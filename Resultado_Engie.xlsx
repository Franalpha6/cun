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ensi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5276"/>
    </font>
    <font>
      <name val="Arial"/>
      <b val="1"/>
      <color rgb="00FFFFFF"/>
      <sz val="10"/>
    </font>
    <font>
      <name val="Arial"/>
      <b val="1"/>
    </font>
    <font>
      <name val="Arial"/>
      <b val="1"/>
      <color rgb="00922B21"/>
      <sz val="12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5" fillId="0" borderId="0" pivotButton="0" quotePrefix="0" xfId="0"/>
    <xf numFmtId="0" fontId="6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Cálculo paso a paso — Engie (Utilities)</t>
        </is>
      </c>
    </row>
    <row r="3">
      <c r="A3" s="2" t="inlineStr">
        <is>
          <t>DATOS DE ENTRADA</t>
        </is>
      </c>
    </row>
    <row r="4">
      <c r="A4" t="inlineStr">
        <is>
          <t>Deuda Neta / EBITDA (x)</t>
        </is>
      </c>
      <c r="B4" t="n">
        <v>1.654031251277584</v>
      </c>
    </row>
    <row r="5">
      <c r="A5" t="inlineStr">
        <is>
          <t>Current Ratio (x)</t>
        </is>
      </c>
      <c r="B5" t="n">
        <v>2.114334313313734</v>
      </c>
    </row>
    <row r="6">
      <c r="A6" t="inlineStr">
        <is>
          <t>Margen EBITDA (%)</t>
        </is>
      </c>
      <c r="B6" s="3" t="n">
        <v>0.3884438989708108</v>
      </c>
    </row>
    <row r="7">
      <c r="A7" t="inlineStr">
        <is>
          <t>Net PPE (USD mm)</t>
        </is>
      </c>
      <c r="B7" t="n">
        <v>1709.882</v>
      </c>
    </row>
    <row r="8">
      <c r="A8" t="inlineStr">
        <is>
          <t>Total Assets (USD mm)</t>
        </is>
      </c>
      <c r="B8" t="n">
        <v>2406.666</v>
      </c>
    </row>
    <row r="9">
      <c r="A9" t="inlineStr">
        <is>
          <t>Dependencia hídrica [0,1] (ya calculada)</t>
        </is>
      </c>
      <c r="B9" t="n">
        <v>0.127641371235584</v>
      </c>
    </row>
    <row r="10">
      <c r="A10" t="inlineStr">
        <is>
          <t>Concentración geográfica [0,1]</t>
        </is>
      </c>
      <c r="B10" t="n">
        <v>0.501494353412921</v>
      </c>
    </row>
    <row r="11">
      <c r="A11" t="inlineStr">
        <is>
          <t>Capacidad de adaptación [0,1] (mitigante: Medio)</t>
        </is>
      </c>
      <c r="B11" t="n">
        <v>0.5</v>
      </c>
    </row>
    <row r="14">
      <c r="A14" s="2" t="inlineStr">
        <is>
          <t>UMBRALES DE NORMALIZACIÓN</t>
        </is>
      </c>
    </row>
    <row r="15">
      <c r="A15" t="inlineStr">
        <is>
          <t>Leverage 'alto' desde (x)</t>
        </is>
      </c>
      <c r="B15" t="n">
        <v>5</v>
      </c>
    </row>
    <row r="16">
      <c r="A16" t="inlineStr">
        <is>
          <t>Liquidez 'buena' desde (x)</t>
        </is>
      </c>
      <c r="B16" t="n">
        <v>2</v>
      </c>
    </row>
    <row r="17">
      <c r="A17" t="inlineStr">
        <is>
          <t>Liquidez 'mala' desde (x)</t>
        </is>
      </c>
      <c r="B17" t="n">
        <v>0.5</v>
      </c>
    </row>
    <row r="18">
      <c r="A18" t="inlineStr">
        <is>
          <t>Margen 'bueno' desde (%)</t>
        </is>
      </c>
      <c r="B18" s="4" t="n">
        <v>0.5</v>
      </c>
    </row>
    <row r="19">
      <c r="A19" t="inlineStr">
        <is>
          <t>Margen 'malo' desde (%)</t>
        </is>
      </c>
      <c r="B19" s="4" t="n">
        <v>0</v>
      </c>
    </row>
    <row r="22">
      <c r="A22" s="2" t="inlineStr">
        <is>
          <t>VULNERABILITY SCORE</t>
        </is>
      </c>
    </row>
    <row r="23">
      <c r="A23" s="5" t="inlineStr">
        <is>
          <t>Variable</t>
        </is>
      </c>
      <c r="B23" s="5" t="inlineStr">
        <is>
          <t>Normalizado [0,1]</t>
        </is>
      </c>
      <c r="C23" s="5" t="inlineStr">
        <is>
          <t>Peso</t>
        </is>
      </c>
      <c r="D23" s="5" t="inlineStr">
        <is>
          <t>Contribución</t>
        </is>
      </c>
    </row>
    <row r="24">
      <c r="A24" t="inlineStr">
        <is>
          <t>Leverage</t>
        </is>
      </c>
      <c r="B24" s="6">
        <f>MIN(1,MAX(0,B4/B15))</f>
        <v/>
      </c>
      <c r="C24" s="4" t="n">
        <v>0.17</v>
      </c>
      <c r="D24" s="6">
        <f>B24*C24</f>
        <v/>
      </c>
    </row>
    <row r="25">
      <c r="A25" t="inlineStr">
        <is>
          <t>Liquidez</t>
        </is>
      </c>
      <c r="B25" s="6">
        <f>MIN(1,MAX(0,(B16-B5)/(B16-B17)))</f>
        <v/>
      </c>
      <c r="C25" s="4" t="n">
        <v>0.11</v>
      </c>
      <c r="D25" s="6">
        <f>B25*C25</f>
        <v/>
      </c>
    </row>
    <row r="26">
      <c r="A26" t="inlineStr">
        <is>
          <t>Margen operativo</t>
        </is>
      </c>
      <c r="B26" s="6">
        <f>MIN(1,MAX(0,(B18-B6)/(B18-B19)))</f>
        <v/>
      </c>
      <c r="C26" s="4" t="n">
        <v>0.11</v>
      </c>
      <c r="D26" s="6">
        <f>B26*C26</f>
        <v/>
      </c>
    </row>
    <row r="27">
      <c r="A27" t="inlineStr">
        <is>
          <t>Intensidad activos fijos</t>
        </is>
      </c>
      <c r="B27" s="6">
        <f>MIN(1,MAX(0,B7/B8))</f>
        <v/>
      </c>
      <c r="C27" s="4" t="n">
        <v>0.17</v>
      </c>
      <c r="D27" s="6">
        <f>B27*C27</f>
        <v/>
      </c>
    </row>
    <row r="28">
      <c r="A28" t="inlineStr">
        <is>
          <t>Dependencia hídrica</t>
        </is>
      </c>
      <c r="B28" s="6">
        <f>B9</f>
        <v/>
      </c>
      <c r="C28" s="4" t="n">
        <v>0.17</v>
      </c>
      <c r="D28" s="6">
        <f>B28*C28</f>
        <v/>
      </c>
    </row>
    <row r="29">
      <c r="A29" t="inlineStr">
        <is>
          <t>Concentración geográfica</t>
        </is>
      </c>
      <c r="B29" s="6">
        <f>B10</f>
        <v/>
      </c>
      <c r="C29" s="4" t="n">
        <v>0.22</v>
      </c>
      <c r="D29" s="6">
        <f>B29*C29</f>
        <v/>
      </c>
    </row>
    <row r="30">
      <c r="A30" t="inlineStr">
        <is>
          <t>Capacidad de adaptación</t>
        </is>
      </c>
      <c r="B30" s="6">
        <f>B11</f>
        <v/>
      </c>
      <c r="C30" s="4" t="n">
        <v>0.05</v>
      </c>
      <c r="D30" s="6">
        <f>B30*C30</f>
        <v/>
      </c>
    </row>
    <row r="31">
      <c r="A31" s="7" t="inlineStr">
        <is>
          <t>VULNERABILITY SCORE TOTAL</t>
        </is>
      </c>
      <c r="D31" s="8">
        <f>SUM(D24:D30)</f>
        <v/>
      </c>
    </row>
    <row r="34">
      <c r="A34" t="inlineStr">
        <is>
          <t>Alpha (convexidad)</t>
        </is>
      </c>
      <c r="B34" t="n">
        <v>1.5</v>
      </c>
    </row>
    <row r="36">
      <c r="A36" s="2" t="inlineStr">
        <is>
          <t>IMPACTO POR HAZARD — ESCENARIO BASE</t>
        </is>
      </c>
    </row>
    <row r="37">
      <c r="A37" s="5" t="inlineStr">
        <is>
          <t>Hazard</t>
        </is>
      </c>
      <c r="B37" s="5" t="inlineStr">
        <is>
          <t>Score CENEPRED</t>
        </is>
      </c>
      <c r="C37" s="5" t="inlineStr">
        <is>
          <t>φ(Score)</t>
        </is>
      </c>
      <c r="D37" s="5" t="inlineStr">
        <is>
          <t>Elast. Revenue</t>
        </is>
      </c>
      <c r="E37" s="5" t="inlineStr">
        <is>
          <t>Δ Revenue %</t>
        </is>
      </c>
      <c r="F37" s="5" t="inlineStr">
        <is>
          <t>Elast. COGS</t>
        </is>
      </c>
      <c r="G37" s="5" t="inlineStr">
        <is>
          <t>Δ COGS %</t>
        </is>
      </c>
    </row>
    <row r="38">
      <c r="A38" t="inlineStr">
        <is>
          <t>Movimiento de Masa</t>
        </is>
      </c>
      <c r="B38" t="n">
        <v>4</v>
      </c>
      <c r="C38" s="6">
        <f>IF(B38&lt;=1,0,((B38-1)^$B$34)/((5-1)^$B$34))</f>
        <v/>
      </c>
      <c r="D38" s="3" t="n">
        <v>-0.06</v>
      </c>
      <c r="E38" s="9">
        <f>C38*$D$31*D38</f>
        <v/>
      </c>
      <c r="F38" s="3" t="n">
        <v>0</v>
      </c>
      <c r="G38" s="9">
        <f>C38*$D$31*F38</f>
        <v/>
      </c>
    </row>
    <row r="39">
      <c r="A39" t="inlineStr">
        <is>
          <t>Inundación</t>
        </is>
      </c>
      <c r="B39" t="n">
        <v>2.65</v>
      </c>
      <c r="C39" s="6">
        <f>IF(B39&lt;=1,0,((B39-1)^$B$34)/((5-1)^$B$34))</f>
        <v/>
      </c>
      <c r="D39" s="3" t="n">
        <v>-0.025</v>
      </c>
      <c r="E39" s="9">
        <f>C39*$D$31*D39</f>
        <v/>
      </c>
      <c r="F39" s="3" t="n">
        <v>0</v>
      </c>
      <c r="G39" s="9">
        <f>C39*$D$31*F39</f>
        <v/>
      </c>
    </row>
    <row r="40">
      <c r="A40" t="inlineStr">
        <is>
          <t>Sequía</t>
        </is>
      </c>
      <c r="B40" t="n">
        <v>0.22</v>
      </c>
      <c r="C40" s="6">
        <f>IF(B40&lt;=1,0,((B40-1)^$B$34)/((5-1)^$B$34))</f>
        <v/>
      </c>
      <c r="D40" s="3" t="n">
        <v>-0.09</v>
      </c>
      <c r="E40" s="9">
        <f>C40*$D$31*D40</f>
        <v/>
      </c>
      <c r="F40" s="3" t="n">
        <v>0.06</v>
      </c>
      <c r="G40" s="9">
        <f>C40*$D$31*F40</f>
        <v/>
      </c>
    </row>
    <row r="41">
      <c r="A41" s="7" t="inlineStr">
        <is>
          <t>TOTAL</t>
        </is>
      </c>
      <c r="E41" s="9">
        <f>SUM(E38:E40)</f>
        <v/>
      </c>
      <c r="G41" s="9">
        <f>SUM(G38:G40)</f>
        <v/>
      </c>
    </row>
    <row r="44">
      <c r="A44" s="2" t="inlineStr">
        <is>
          <t>ESTADOS FINANCIEROS AJUSTADOS — ESCENARIO BASE</t>
        </is>
      </c>
    </row>
    <row r="45">
      <c r="A45" t="inlineStr">
        <is>
          <t>Revenue base (USD mm)</t>
        </is>
      </c>
      <c r="B45" s="10" t="n">
        <v>647.804</v>
      </c>
    </row>
    <row r="46">
      <c r="A46" t="inlineStr">
        <is>
          <t>EBITDA base (USD mm)</t>
        </is>
      </c>
      <c r="B46" s="10" t="n">
        <v>251.6355115288871</v>
      </c>
    </row>
    <row r="47">
      <c r="A47" t="inlineStr">
        <is>
          <t>COGS base (USD mm)</t>
        </is>
      </c>
      <c r="B47" s="10">
        <f>B45-B46</f>
        <v/>
      </c>
    </row>
    <row r="48">
      <c r="A48" t="inlineStr">
        <is>
          <t>Δ Revenue % (total)</t>
        </is>
      </c>
      <c r="B48" s="9">
        <f>E41</f>
        <v/>
      </c>
    </row>
    <row r="49">
      <c r="A49" t="inlineStr">
        <is>
          <t>Δ COGS % (total)</t>
        </is>
      </c>
      <c r="B49" s="9">
        <f>G41</f>
        <v/>
      </c>
    </row>
    <row r="50">
      <c r="A50" t="inlineStr">
        <is>
          <t>Revenue ajustado (USD mm)</t>
        </is>
      </c>
      <c r="B50" s="10">
        <f>B45*(1+B48)</f>
        <v/>
      </c>
    </row>
    <row r="51">
      <c r="A51" t="inlineStr">
        <is>
          <t>COGS ajustado (USD mm)</t>
        </is>
      </c>
      <c r="B51" s="10">
        <f>B47*(1+B49)</f>
        <v/>
      </c>
    </row>
    <row r="52">
      <c r="A52" t="inlineStr">
        <is>
          <t>EBITDA ajustado (USD mm)</t>
        </is>
      </c>
      <c r="B52" s="10">
        <f>B50-B51</f>
        <v/>
      </c>
    </row>
    <row r="53">
      <c r="A53" t="inlineStr">
        <is>
          <t>Δ EBITDA % (vs. base)</t>
        </is>
      </c>
      <c r="B53" s="9">
        <f>B52/B46-1</f>
        <v/>
      </c>
    </row>
    <row r="54">
      <c r="A54" t="inlineStr">
        <is>
          <t>Deuda Neta implícita (USD mm)</t>
        </is>
      </c>
      <c r="B54" s="10">
        <f>B4*B46</f>
        <v/>
      </c>
    </row>
    <row r="55">
      <c r="A55" t="inlineStr">
        <is>
          <t>Deuda Neta / EBITDA ajustado (x)</t>
        </is>
      </c>
      <c r="B55" s="11">
        <f>B54/B52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12" customWidth="1" min="4" max="4"/>
  </cols>
  <sheetData>
    <row r="1" ht="24" customHeight="1">
      <c r="A1" s="1" t="inlineStr">
        <is>
          <t>Riesgo Físico Climático — Engie (Utilities)</t>
        </is>
      </c>
    </row>
    <row r="2"/>
    <row r="3">
      <c r="A3" t="inlineStr">
        <is>
          <t>Impacto esperado sobre EBITDA — Engie, escenario base:</t>
        </is>
      </c>
      <c r="C3" s="12">
        <f>'Cálculo'!B53</f>
        <v/>
      </c>
    </row>
    <row r="4"/>
    <row r="5">
      <c r="A5" t="inlineStr">
        <is>
          <t>Score Movimiento de Masa</t>
        </is>
      </c>
      <c r="B5" t="n">
        <v>4</v>
      </c>
    </row>
    <row r="6">
      <c r="A6" t="inlineStr">
        <is>
          <t>Score Inundación</t>
        </is>
      </c>
      <c r="B6" t="n">
        <v>2.65</v>
      </c>
    </row>
    <row r="7">
      <c r="A7" t="inlineStr">
        <is>
          <t>Score Sequía</t>
        </is>
      </c>
      <c r="B7" t="n">
        <v>0.22</v>
      </c>
    </row>
    <row r="8">
      <c r="A8" t="inlineStr">
        <is>
          <t>Mitigante declarado</t>
        </is>
      </c>
      <c r="B8" t="inlineStr">
        <is>
          <t>Medio</t>
        </is>
      </c>
    </row>
    <row r="9">
      <c r="A9" t="inlineStr">
        <is>
          <t>Vulnerability Score (0=protegida, 1=máxima exposición)</t>
        </is>
      </c>
      <c r="B9" s="6">
        <f>'Cálculo'!D31</f>
        <v/>
      </c>
    </row>
    <row r="10"/>
    <row r="11">
      <c r="A11" s="5" t="inlineStr">
        <is>
          <t>Escenario</t>
        </is>
      </c>
      <c r="B11" s="5" t="inlineStr">
        <is>
          <t>Δ Revenue %</t>
        </is>
      </c>
      <c r="C11" s="5" t="inlineStr">
        <is>
          <t>Δ EBITDA %</t>
        </is>
      </c>
    </row>
    <row r="12">
      <c r="A12" t="inlineStr">
        <is>
          <t>Conservador</t>
        </is>
      </c>
      <c r="B12" s="9" t="n">
        <v>-0.005608218177528971</v>
      </c>
      <c r="C12" s="9" t="n">
        <v>-0.01443765288214849</v>
      </c>
    </row>
    <row r="13">
      <c r="A13" t="inlineStr">
        <is>
          <t>Base</t>
        </is>
      </c>
      <c r="B13" s="9" t="n">
        <v>-0.01634964521259633</v>
      </c>
      <c r="C13" s="9" t="n">
        <v>-0.04209010684918713</v>
      </c>
    </row>
    <row r="14">
      <c r="A14" t="inlineStr">
        <is>
          <t>Severo</t>
        </is>
      </c>
      <c r="B14" s="9" t="n">
        <v>-0.02709107224766368</v>
      </c>
      <c r="C14" s="9" t="n">
        <v>-0.06974256081622587</v>
      </c>
    </row>
    <row r="15"/>
    <row r="16">
      <c r="A16" s="13" t="inlineStr">
        <is>
          <t>Detalle completo del cálculo → hoja 'Cálculo'.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 ht="24" customHeight="1">
      <c r="A1" s="1" t="inlineStr">
        <is>
          <t>Sensibilidad del Resultado</t>
        </is>
      </c>
    </row>
    <row r="2"/>
    <row r="3">
      <c r="A3" s="2" t="inlineStr">
        <is>
          <t>Sensibilidad a Alpha (convexidad)</t>
        </is>
      </c>
    </row>
    <row r="4">
      <c r="A4" s="5" t="inlineStr">
        <is>
          <t>Alpha</t>
        </is>
      </c>
      <c r="B4" s="5" t="inlineStr">
        <is>
          <t>Δ Revenue %</t>
        </is>
      </c>
      <c r="C4" s="5" t="inlineStr">
        <is>
          <t>Δ EBITDA %</t>
        </is>
      </c>
    </row>
    <row r="5">
      <c r="A5" s="14" t="n">
        <v>1</v>
      </c>
      <c r="B5" s="9" t="n">
        <v>-0.01983441908244881</v>
      </c>
      <c r="C5" s="9" t="n">
        <v>-0.05106121922625251</v>
      </c>
    </row>
    <row r="6">
      <c r="A6" s="14" t="n">
        <v>1.25</v>
      </c>
      <c r="B6" s="9" t="n">
        <v>-0.01798026000999685</v>
      </c>
      <c r="C6" s="9" t="n">
        <v>-0.04628791971668489</v>
      </c>
    </row>
    <row r="7">
      <c r="A7" s="14" t="n">
        <v>1.5</v>
      </c>
      <c r="B7" s="9" t="n">
        <v>-0.01634964521259633</v>
      </c>
      <c r="C7" s="9" t="n">
        <v>-0.04209010684918713</v>
      </c>
    </row>
    <row r="8">
      <c r="A8" s="14" t="n">
        <v>1.75</v>
      </c>
      <c r="B8" s="9" t="n">
        <v>-0.01490822086354732</v>
      </c>
      <c r="C8" s="9" t="n">
        <v>-0.03837934101435747</v>
      </c>
    </row>
    <row r="9">
      <c r="A9" s="14" t="n">
        <v>2</v>
      </c>
      <c r="B9" s="9" t="n">
        <v>-0.01362775870431811</v>
      </c>
      <c r="C9" s="9" t="n">
        <v>-0.03508295210820678</v>
      </c>
    </row>
    <row r="10"/>
    <row r="11"/>
    <row r="12">
      <c r="A12" s="2" t="inlineStr">
        <is>
          <t>Monte Carlo — 10,000 simulaciones</t>
        </is>
      </c>
    </row>
    <row r="13">
      <c r="A13" s="5" t="inlineStr">
        <is>
          <t>Percentil</t>
        </is>
      </c>
      <c r="B13" s="5" t="inlineStr">
        <is>
          <t>Δ EBITDA %</t>
        </is>
      </c>
    </row>
    <row r="14">
      <c r="A14" t="inlineStr">
        <is>
          <t>p10</t>
        </is>
      </c>
      <c r="B14" s="9" t="n">
        <v>-0.05687255978314354</v>
      </c>
    </row>
    <row r="15">
      <c r="A15" t="inlineStr">
        <is>
          <t>p25</t>
        </is>
      </c>
      <c r="B15" s="9" t="n">
        <v>-0.04975798298279754</v>
      </c>
    </row>
    <row r="16">
      <c r="A16" t="inlineStr">
        <is>
          <t>p50</t>
        </is>
      </c>
      <c r="B16" s="9" t="n">
        <v>-0.04190973610909665</v>
      </c>
    </row>
    <row r="17">
      <c r="A17" t="inlineStr">
        <is>
          <t>p75</t>
        </is>
      </c>
      <c r="B17" s="9" t="n">
        <v>-0.03440315982500697</v>
      </c>
    </row>
    <row r="18">
      <c r="A18" t="inlineStr">
        <is>
          <t>p90</t>
        </is>
      </c>
      <c r="B18" s="9" t="n">
        <v>-0.02787275833867153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2026-09-09T04:15:16Z</dcterms:created>
  <dcterms:modified xmlns:dcterms="http://purl.org/dc/terms/" xmlns:xsi="http://www.w3.org/2001/XMLSchema-instance" xsi:type="dcterms:W3CDTF">2026-09-09T04:15:17Z</dcterms:modified>
</cp:coreProperties>
</file>