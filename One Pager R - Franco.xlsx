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Z:\Mesa de Inversiones\Bottom-Up\Franco\"/>
    </mc:Choice>
  </mc:AlternateContent>
  <xr:revisionPtr revIDLastSave="0" documentId="13_ncr:1_{41CCEFCE-B96D-471D-943E-1144908C7B5A}" xr6:coauthVersionLast="47" xr6:coauthVersionMax="47" xr10:uidLastSave="{00000000-0000-0000-0000-000000000000}"/>
  <bookViews>
    <workbookView xWindow="-120" yWindow="-120" windowWidth="29040" windowHeight="15720" firstSheet="5" activeTab="10" xr2:uid="{BC4AA5CA-B8F3-49AC-89EB-3642E8D41AC3}"/>
  </bookViews>
  <sheets>
    <sheet name="Cibest" sheetId="1" r:id="rId1"/>
    <sheet name="Grupo Aval" sheetId="2" r:id="rId2"/>
    <sheet name="Davivienda" sheetId="3" r:id="rId3"/>
    <sheet name="BCI" sheetId="4" r:id="rId4"/>
    <sheet name="Ecopetrol" sheetId="5" r:id="rId5"/>
    <sheet name="EPM" sheetId="6" r:id="rId6"/>
    <sheet name="Orazen" sheetId="7" r:id="rId7"/>
    <sheet name="Banorte" sheetId="15" r:id="rId8"/>
    <sheet name="IBK" sheetId="16" r:id="rId9"/>
    <sheet name="_CIQHiddenCacheSheet" sheetId="19" state="veryHidden" r:id="rId10"/>
    <sheet name="BCP" sheetId="17" r:id="rId11"/>
    <sheet name="BBVA Mexico" sheetId="18" r:id="rId12"/>
    <sheet name="Pluz Energia" sheetId="9" r:id="rId13"/>
    <sheet name="LdS" sheetId="8" r:id="rId14"/>
    <sheet name="Orygen" sheetId="10" r:id="rId15"/>
    <sheet name="Engie" sheetId="11" r:id="rId16"/>
    <sheet name="Minsur" sheetId="12" r:id="rId17"/>
    <sheet name="Nexa" sheetId="13" r:id="rId18"/>
    <sheet name="Volcan" sheetId="14" r:id="rId19"/>
  </sheets>
  <externalReferences>
    <externalReference r:id="rId20"/>
    <externalReference r:id="rId21"/>
  </externalReferences>
  <definedNames>
    <definedName name="CIQWBGuid" hidden="1">"c714cf3f-5a7e-4fec-94f1-1118896caf47"</definedName>
    <definedName name="CIQWBInfo" hidden="1">"{ ""CIQVersion"":""9.51.3510.3078""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46210.6621180556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2" i="18" l="1"/>
  <c r="R2" i="18"/>
  <c r="U2" i="17"/>
  <c r="R2" i="17"/>
  <c r="U2" i="16"/>
  <c r="R2" i="16"/>
  <c r="U2" i="15"/>
  <c r="R2" i="15"/>
  <c r="U2" i="13" l="1"/>
  <c r="R2" i="13"/>
  <c r="U2" i="12"/>
  <c r="R2" i="12"/>
  <c r="U2" i="14"/>
  <c r="R2" i="14"/>
  <c r="R60" i="11"/>
  <c r="O55" i="11"/>
  <c r="N55" i="11"/>
  <c r="L55" i="11"/>
  <c r="O54" i="11"/>
  <c r="N54" i="11"/>
  <c r="L54" i="11"/>
  <c r="U2" i="11"/>
  <c r="R2" i="11"/>
  <c r="U2" i="10"/>
  <c r="R2" i="10"/>
  <c r="R51" i="9"/>
  <c r="O49" i="9"/>
  <c r="N49" i="9"/>
  <c r="L49" i="9"/>
  <c r="O48" i="9"/>
  <c r="N48" i="9"/>
  <c r="L48" i="9"/>
  <c r="U2" i="9"/>
  <c r="R2" i="9"/>
  <c r="U2" i="8"/>
  <c r="R2" i="8"/>
  <c r="O55" i="7"/>
  <c r="N55" i="7"/>
  <c r="L55" i="7"/>
  <c r="O54" i="7"/>
  <c r="N54" i="7"/>
  <c r="L54" i="7"/>
  <c r="U2" i="7"/>
  <c r="R2" i="7"/>
  <c r="U2" i="6"/>
  <c r="R2" i="6"/>
  <c r="U2" i="5"/>
  <c r="R2" i="5"/>
  <c r="U2" i="4"/>
  <c r="R2" i="4"/>
  <c r="U2" i="3"/>
  <c r="R2" i="3"/>
  <c r="U2" i="2"/>
  <c r="R2" i="2"/>
</calcChain>
</file>

<file path=xl/sharedStrings.xml><?xml version="1.0" encoding="utf-8"?>
<sst xmlns="http://schemas.openxmlformats.org/spreadsheetml/2006/main" count="1126" uniqueCount="505">
  <si>
    <t>Highlights</t>
  </si>
  <si>
    <t>Grupo Cibest’s (Cibest) and Bancolombia’s 4Q25 results were significantly distorted by the announced sale of Banistmo, which triggered Banistmo’s reclassification as assets held for sale and discontinued operations, as well as a COP 3.4 trillion non-cash impairment charge. As a result, Cibest reported a quarterly net loss of COP 1.9 trillion and ROE of -17.7%; however, excluding this effect, quarterly net income would have reached COP 1.6 trillion, with ROE of 15.0%. For the full year, attributable net income was COP 3.8 trillion, equivalent to ROE of 9.1%, but would have been COP 7.3 trillion and ROE of 17.2% excluding Banistmo. Underlying operating trends remained solid, supported by a stable NIM of 6.16%, resilient loan income, lower funding costs, stronger fees, and improving asset quality.
Cibest’s gross loan portfolio reached COP 256.4 trillion in 4Q25, down 8.4%qoq and 8.3%yoy, mainly due to Banistmo’s reclassification and the 4.2% quarterly appreciation of the Colombian peso against the US dollar. On a pro forma basis including Banistmo, however, gross loans grew 1.9%qoq and 2.1%yoy to COP 285.2 trillion. Excluding this effect, growth was positive across most segments, with consumer loans increasing 2.7%qoq and 3.3%yoy, driven by credit cards, personal loans, payroll loans and Nequi, while mortgages grew 2.0%qoq and 4.9%yoy. Commercial loans also improved, rising 1.6%qoq and 0.7%yoy, supported mainly by stronger corporate activity at Bancolombia S.A. At the bank level, Bancolombia S.A. posted 3.96% loan growth in the quarter and 8.91% growth for the year. Looking ahead to 2026, management expects 7%-8% loan growth, supported by moderate GDP recovery and better credit demand.
Asset quality improved meaningfully during the quarter. Cibest’s 30-day NPL ratio declined to 3.57% from 4.32% in 3Q25 and 4.78% in 4Q24, while the 90-day NPL ratio fell to 2.54% from 3.08% in 3Q25 and 3.37% in 4Q24. Improvements were broad-based, with the 90-day commercial, consumer and mortgage NPL ratios declining to 2.36%, 2.90% and 2.80%, respectively. Coverage also strengthened, with 30-day NPL coverage increasing to 134% from 110% in 3Q25, while provisions represented 4.8% of gross loans. Stage trends were favorable, with Stage 2 and Stage 3 loans declining 23.3%qoq and 15.7%qoq, respectively, and Stage 3 coverage increasing to 71.6%. Net provisions rose 74.7%qoq to COP 1.5 trillion, reflecting specific corporate cases and updated macro assumptions, driving a quarterly annualized cost of credit of 2.12%.
Capital remained solid despite the Banistmo-related impairment. Bancolombia S.A.’s solvency ratios improved sequentially, with basic solvency at 12.22% and total solvency at 14.40%, supported by retained earnings. At the holding-company level, Cibest’s double leverage stood at 101%, while the proposed payout ratio was 60%, reflecting confidence in recurring earnings generation and capital flexibility. Deposits reached COP 264.4 trillion, down 6.0%qoq and 5.3%yoy due to Banistmo’s reclassification; however, pro forma deposits rose 3.7%qoq and 4.5%yoy to COP 291.7 trillion, with deposits at sight representing 55.7% of funding. Overall, both Cibest and Bancolombia enter 2026 from a position of strength, with management guiding to ROE of 18%-18.5%, NIM of 6.8%-7.0%, efficiency near 49%, and normalized cost of risk.</t>
  </si>
  <si>
    <t>Tailwinds</t>
  </si>
  <si>
    <t>● Strong regional franchise with diversified banking exposure</t>
  </si>
  <si>
    <t>- Grupo Cibest maintains a leading franchise in Colombia, with additional exposure to Central America through Banco Agrícola and BAM, and a diversified business mix across retail banking, corporate lending, mortgages, insurance, payments, digital banking and wealth management.</t>
  </si>
  <si>
    <t>- The portfolio remains diversified: Commercial loans: 65.6% of loans | Consumer loans: 20.6% | Mortgages: 13.4% | Microcredit: 0.4%. Exposure to both higher-yield consumer products and stable corporate lending, with Bancolombia being the main earnings/loan growth contributor.</t>
  </si>
  <si>
    <t>● Loan growth expected to accelerate in 2026</t>
  </si>
  <si>
    <t>- Management’s 2026 loan growth guidance stands at 7.0%–8.0%, above 2025 growth, which was distorted by Banistmo’s reclassification.</t>
  </si>
  <si>
    <t>- On a pro forma basis, gross loans grew 1.9% QoQ and 2.1% YoY in 4Q25, while Bancolombia S.A. posted 8.91% annual loan growth.</t>
  </si>
  <si>
    <t>● Consumer lending recovery should support margins</t>
  </si>
  <si>
    <t>- Consumer loans grew 2.7% QoQ and 3.3% YoY on a pro forma basis, driven by credit cards, personal loans, payroll loans and Nequi.</t>
  </si>
  <si>
    <t>- Bancolombia’s consumer portfolio showed a clear transition from contraction in 2024 to accelerating growth throughout 2025.</t>
  </si>
  <si>
    <t>● NIM remained resilient despite treasury headwinds</t>
  </si>
  <si>
    <t>- Cibest’s reported NIM stood at 6.16% in 4Q25; management’s 2026 NIM guidance of 6.8%–7.0% implies further margin resilience.</t>
  </si>
  <si>
    <t>● Asset quality improved materially</t>
  </si>
  <si>
    <t xml:space="preserve">- The 90-day NPL ratio declined to 2.54% in 4Q25 from 3.08% in 3Q25 and 3.37% in 4Q24. Improvement broad-based. </t>
  </si>
  <si>
    <t>Headwinds</t>
  </si>
  <si>
    <t>● Banistmo transaction creates accounting noise and reduces reported comparability</t>
  </si>
  <si>
    <t>- The sale of Banistmo triggered its reclassification as assets held for sale and discontinued operations.</t>
  </si>
  <si>
    <t>- The transaction generated a COP 3.4tn non-cash impairment charge, driving a quarterly net loss of COP 1.9tn and ROE of -17.7%.</t>
  </si>
  <si>
    <t>- Reported loan and deposit trends were negatively distorted by the reclassification, making pro forma figures more relevant for analysis.</t>
  </si>
  <si>
    <t>● Reported balance sheet growth weakened due to Banistmo and FX</t>
  </si>
  <si>
    <t>- Reported gross loans fell 8.4% QoQ and 8.3% YoY to COP 256.4tn. Reported deposits declined 6.0% QoQ and 5.3% YoY to COP 264.4tn.</t>
  </si>
  <si>
    <t>● Provisioning increased sharply in the quarter</t>
  </si>
  <si>
    <t>- Net provisions rose 74.7% QoQ to COP 1.5tn in 4Q25. Cibest’s quarterly annualized cost of credit rose to 2.12%, while Bancolombia S.A.’s cost of credit increased to 2.26%.</t>
  </si>
  <si>
    <t>● Efficiency remains close to 50%</t>
  </si>
  <si>
    <t xml:space="preserve">- Cibest’s efficiency ratio stood at 50.38% in 4Q25 and 49.41% for the full year. Op. Expenses grew by administrative and personnel expenses. </t>
  </si>
  <si>
    <t>● Dividend payout may limit capital flexibility</t>
  </si>
  <si>
    <t>- The proposed payout ratio was 60%, which is meaningful given the Banistmo-related impairment and the need to maintain capital buffers.</t>
  </si>
  <si>
    <t>Key Financials</t>
  </si>
  <si>
    <t>FY2022</t>
  </si>
  <si>
    <t>FY42023</t>
  </si>
  <si>
    <t>FY42024</t>
  </si>
  <si>
    <t>FY42025</t>
  </si>
  <si>
    <t>LTM12025</t>
  </si>
  <si>
    <t>LTM12026</t>
  </si>
  <si>
    <t>Año Fiscal</t>
  </si>
  <si>
    <t>LTM</t>
  </si>
  <si>
    <t>% YoY</t>
  </si>
  <si>
    <t>Interest Income (USD MM)</t>
  </si>
  <si>
    <t>Interest Expense (USD MM)</t>
  </si>
  <si>
    <t>Net Interest Income (USD MM)</t>
  </si>
  <si>
    <t>Non-Interest Income (USD MM)</t>
  </si>
  <si>
    <t>Provision Of Loans (USD MM)</t>
  </si>
  <si>
    <t>SG&amp;A (USD MM)</t>
  </si>
  <si>
    <t>EBT Before Taxes (USD MM)</t>
  </si>
  <si>
    <t>Income Tax Expense (USD MM)</t>
  </si>
  <si>
    <t>Net Income Cons. (USD MM)</t>
  </si>
  <si>
    <t>Net Income (USD MM)</t>
  </si>
  <si>
    <t>NPL</t>
  </si>
  <si>
    <t>-1.1 ppts</t>
  </si>
  <si>
    <t>Loan Coverage</t>
  </si>
  <si>
    <t>14.6 ppts</t>
  </si>
  <si>
    <t>Prov. Loans / Net Charge-Offs</t>
  </si>
  <si>
    <t>0.0 ppts</t>
  </si>
  <si>
    <t>Avg. Com. Equity / Avg. Assets</t>
  </si>
  <si>
    <t>-0.8 ppts</t>
  </si>
  <si>
    <t>Avg. Total Equity / Avg. Assets</t>
  </si>
  <si>
    <t>Gross Loans / Total Deposits</t>
  </si>
  <si>
    <t>-4.4 ppts</t>
  </si>
  <si>
    <t>Tier I Capital Ratio</t>
  </si>
  <si>
    <t>-11.2 ppts</t>
  </si>
  <si>
    <t>Core Tier I Capital Ratio</t>
  </si>
  <si>
    <t>Tier II Capital Ratio</t>
  </si>
  <si>
    <t>Total Capital Ratio</t>
  </si>
  <si>
    <t>-12.9 ppts</t>
  </si>
  <si>
    <t>ROE</t>
  </si>
  <si>
    <t>1.5 ppts</t>
  </si>
  <si>
    <t>ROCE</t>
  </si>
  <si>
    <t>1.6 ppts</t>
  </si>
  <si>
    <t>ROA</t>
  </si>
  <si>
    <t>P / LTM EPS</t>
  </si>
  <si>
    <t>P / FWD EPS</t>
  </si>
  <si>
    <t>P / Tangible BV</t>
  </si>
  <si>
    <t>Grupo Aval reported mixed 4Q25 results, with better YoY earnings and improving core banking trends, but weaker sequential profitability due to lower trading income, higher expenses and losses from discontinued operations related to MFG. Net income attributable to controlling shareholders reached COP 344bn, down 33.9% QoQ but up 22.4% YoY, while FY25 net income increased 69.6% to COP 1.72tn, driving ROAE to 9.6% from 6.0% in 2024. The quarter was also affected by pro forma adjustments following the agreement to sell MFG. Overall, the underlying story remains constructive, supported by stronger NII, lower funding costs, better asset quality and lower cost of risk, although recurring profitability is still constrained by efficiency levels, non-interest income volatility and the earnings drag from discontinued operations.
Loan growth remained moderate but positive, with gross loans reaching COP 190.9tn, up 1.5% QoQ and 4.6% YoY on a pro forma basis. Growth was led by mortgages, which increased 3.9% QoQ and 19.6% YoY, followed by consumer loans at +1.2% QoQ and +4.7% YoY, while commercial loans grew only 1.1% QoQ and 1.9% YoY. Deposits grew faster than loans, rising 3.6% QoQ and 11.2% YoY to COP 207.4tn, improving the deposits-to-net-loans ratio to 112.6% from 107.5% in 4Q24. NII was strong, increasing 17.3% QoQ and 9.3% YoY to COP 2.08tn, supported by lower interest expense, as total funding costs declined to 6.6% from 7.0% in 3Q25 and 7.3% in 4Q24. However, reported NIM including trading income remained weak at 2.86%, down 166bp QoQ and 8bp YoY, due to a negative investment margin, while loan NIM improved materially to 5.05%, up 48bp QoQ and 50bp YoY.
Asset quality continued to improve, with the 90-day NPL ratio falling to 3.3% from 3.4% QoQ and 4.1% YoY, reaching its lowest level in twelve quarters, while the 30-day delinquency ratio declined to 4.4% from 4.6% in 3Q25 and 5.4% in 4Q24. Improvement was broad-based, with commercial 90-day NPLs declining to 3.5%, consumer NPLs at 2.8%, and mortgage NPLs stable at 3.7%. Stage 2 and Stage 3 loans also improved to 10.2% of gross loans from 10.3% in 3Q25 and 11.1% in 4Q24, although coverage of Stage 2 and 3 loans declined to 33.6% from 35.6% QoQ and 39.0% YoY. Net provisions decreased 11.7% QoQ and 4.4% YoY to COP 814bn, while quarterly cost of risk declined to 1.7% from 2.0% QoQ and 1.9% YoY. For the full year, cost of risk improved to 1.9% from 2.3% in 2024, driven mainly by lower consumer and commercial credit costs. 
Capital and holding-company metrics remained broadly stable, but leverage and cash flow coverage remain important variables for creditors. At the consolidated level, equity-to-assets stood at 10.0%, slightly below 10.1% in 4Q24, while the tangible capital ratio declined to 8.6% from 8.8%. At the holding plus Grupo Aval Limited level, gross debt stood at COP 5.4tn and net debt at COP 4.68tn, including the USD 1.0bn 2030 bond guaranteed by Grupo Aval. Liquidity was moderate, with COP 719bn of liquid assets, while net debt-to-flow income improved to 4.39x from 4.72x QoQ and YoY, and flow income-to-interest expense improved to 3.27x from 3.14x QoQ and 3.11x YoY. Overall, Grupo Aval’s credit profile benefits from a diversified banking franchise, improving asset quality and stronger NII, but remains pressured by high structural double leverage, reliance on subsidiary dividends, still-moderate ROE and volatility from non-core/discontinued operations.</t>
  </si>
  <si>
    <t>● Diversified Colombian financial conglomerate with leading banking franchise</t>
  </si>
  <si>
    <t>- Grupo Aval operates through Banco de Bogotá, Banco de Occidente, Banco Popular, Banco AV Villas, Porvenir, Corficolombiana and other financial services entities, giving it diversified exposure across banking, pensions, IB, fiduciary, brokerage and non-financial businesses.</t>
  </si>
  <si>
    <t>- The loan book remains diversified but skewed toward commercial lending: Commercial loans: 56.7% of loans | Consumer loans: 31.7% | Mortgages: 11.6% | Microcredit: negligible.</t>
  </si>
  <si>
    <t>● Earnings recovered strongly in 2025</t>
  </si>
  <si>
    <t>- FY25 net income attributable to shareholders reached COP 1.72tn, up 69.6% YoY, while ROAE improved to 9.6% from 6.0% in 2024.</t>
  </si>
  <si>
    <t>- 4Q25 net income attributable to shareholders was COP 344.4bn, up 22.4% YoY, despite falling 33.9% QoQ due to weaker sequential non-interest income and discontinued operations.</t>
  </si>
  <si>
    <t>● NII improved on lower funding costs</t>
  </si>
  <si>
    <t>- NII increased 17.3% QoQ and 9.3% YoY to COP 2.08tn in 4Q25, supported by a 3.2% QoQ and 2.2% YoY decline in interest expense.</t>
  </si>
  <si>
    <t>- Average cost of funds declined to 6.6% in 4Q25 from 7.0% in 3Q25 and 7.3% in 4Q24, supporting the recovery in core banking profitability.</t>
  </si>
  <si>
    <t>- The 90-day NPL ratio declined to 3.3% in 4Q25 from 3.4% in 3Q25 and 4.1% in 4Q24, reaching its lowest level in twelve quarters.</t>
  </si>
  <si>
    <t>● Cost of risk normalization: Declined to 1.9%, by improvement in consumer (4.2%) and commercial (0.7%).</t>
  </si>
  <si>
    <t>● MFG transaction creates accounting noise and reduces comparability</t>
  </si>
  <si>
    <t>● Sequential profitability weakened</t>
  </si>
  <si>
    <t>- ROAE fell to 7.5% in 4Q25 from 11.5% in 3Q25, highlighting still-volatile quarterly profitability.</t>
  </si>
  <si>
    <t>● Non-interest income remains volatile</t>
  </si>
  <si>
    <t>- Net trading income fell to COP 86.2bn in 4Q25, down 83.4% QoQ and 73.6% YoY.</t>
  </si>
  <si>
    <t>- Gross income from goods and services declined 11.2% YoY to COP 451.9bn, mainly due to a lower contribution from infrastructure, partially offset by hotel-related extraordinary income.</t>
  </si>
  <si>
    <t>● Efficiency remains elevated</t>
  </si>
  <si>
    <t>- The efficiency ratio increased to 54.9% in 4Q25 from 50.3% in 3Q25, although it improved from 60.4% in 4Q24.</t>
  </si>
  <si>
    <t>- Total other expenses increased 11.5% QoQ and 8.3% YoY, driven by administrative expenses, which rose 19.8% QoQ and 10.3% YoY.</t>
  </si>
  <si>
    <t>● Holding-level leverage and dividend dependence remain relevant for creditors</t>
  </si>
  <si>
    <t>- Grupo Aval Acciones y Valores plus Grupo Aval Limited had COP 5.4tn of gross debt and COP 4.68tn of net debt as of 4Q25, including the USD 1.0bn 2030 bond guaranteed by Grupo Aval.</t>
  </si>
  <si>
    <t>81.2 ppts</t>
  </si>
  <si>
    <t>-0.1 ppts</t>
  </si>
  <si>
    <t>-6.0 ppts</t>
  </si>
  <si>
    <t>1.8 ppts</t>
  </si>
  <si>
    <t>2.6 ppts</t>
  </si>
  <si>
    <t>0.2 ppts</t>
  </si>
  <si>
    <t/>
  </si>
  <si>
    <t>NM</t>
  </si>
  <si>
    <t>Banco Davivienda reported optically strong but noisy 4Q25 results, heavily affected by the closing of the BNS transaction and the integration of operations in Panama and Costa Rica. Reported net income reached COP 517bn, up 38.3% QoQ and more than doubling YoY, supported by non-recurring acquisition income, lower provisions, stronger FX and derivatives results, and higher non-financial income. However, underlying profitability was softer, with managerial net profit at COP 389bn, up only 4.2% QoQ, while comparability is limited because the balance sheet reflects full consolidation but the income statement includes only one month of contribution from the integrated operations. Looking into 2026, the key focus should be integration execution, synergy capture, asset quality sustainability and margin pressure from a larger earning-asset base.
Loan growth accelerated sharply on a reported basis, with gross loans up 18.1% QoQ and 17.4% YoY to COP 170.8tn, mainly driven by the incorporation of Panama and Costa Rica balances. Underlying growth was more moderate, with managerial loans up 3.0% QoQ and 2.4% YoY. Reported growth was broad-based: commercial loans rose 14.7% QoQ and 12.2% YoY, consumer loans increased 19.7% QoQ and 14.1% YoY, and mortgages grew 22.2% QoQ and 28.9% YoY. Funding also expanded materially, with demand deposits up 23.1% QoQ and 24.0% YoY, while the loans-to-funding ratio remained stable at 89.1%. Top-line performance was mixed: gross financial margin declined 11.1% QoQ and 0.2% YoY, although including FX and derivatives it was flat QoQ and up 7.1% YoY, while NIM compressed to 4.66%, down 99bp QoQ and 50bp YoY.
Asset quality improved across most indicators, although part of the improvement reflects the newly integrated portfolios. The consolidated 90-day past-due loan ratio declined to 3.79%, down 60bp QoQ and 63bp YoY, while the 120-day ratio fell to 3.59%. Improvements were broad-based across commercial, consumer and mortgage loans, with PDL ratios down 62bp, 51bp and 65bp QoQ, respectively. Stage distribution remained healthy, with Stage 1 loans at 91.1% of the portfolio, Stage 2 at 4.9% and Stage 3 at 4.0%. Charge-offs increased 15.4% QoQ to COP 972bn due to year-end seasonality, but declined 24.8% YoY, while net provisions decreased 29.8% QoQ and 33.1% YoY, bringing quarterly cost of risk down to 1.41% and coverage up to 94.3%.
Capitalization remained adequate but weakened sequentially due to the integration and an early dividend distribution. CET1 closed at 11.62%, down 17bp QoQ but up 68bp YoY, while Tier 1 declined 47bp QoQ to 12.91% and total capital fell 137bp QoQ to 16.13%. The quarterly decline was mainly driven by higher RWAs from the integrated operations and the dividend payment executed in December, partly offset by stronger equity and higher non-controlling interests after Davivienda Group and IFC entered Holding Davivienda Internacional. AT1 capital declined 5.8% QoQ due to COP appreciation against the U.S. dollar, while Tier 2 capital fell 9.1% QoQ, also affected by FX and lower subordinated instrument weighting. Overall, capital remains reasonable, but the larger balance sheet and integration-related execution risk make capital generation and RWA discipline key variables to monitor in 2026.</t>
  </si>
  <si>
    <t>● Stronger regional franchise after BNS integration</t>
  </si>
  <si>
    <t>- Banco Davivienda expanded its operating scale after integrating BNS operations in Panama and Costa Rica, while Davivienda Group also consolidated BNS Colombia under the DAVIbank brand. The bank now operates in 6 countries, with more than 26mn customers, 678 branches and ~3,000 ATMs.</t>
  </si>
  <si>
    <t>- The portfolio is now more diversified by geography and product: Commercial loans: 45.4% of loans | Consumer loans: 23.3% | Mortgages: 31.2%. The larger mortgage and Central America exposure should add more stable, collateralized lending to the mix.</t>
  </si>
  <si>
    <t>● Reported loan growth accelerated sharply</t>
  </si>
  <si>
    <t>- Gross loans reached COP 170.8tn in 4Q25, up 18.1% QoQ and 17.4% YoY, mainly driven by the Panama and Costa Rica integration.</t>
  </si>
  <si>
    <t>- The consolidated 90-day PDL ratio declined to 3.79% in 4Q25 from 4.39% in 3Q25 and 4.41% in 4Q24. Improvement was broad-based.</t>
  </si>
  <si>
    <t>- Net provisions fell 29.8% QoQ and 33.1% YoY to COP 602bn in 4Q25, supported by lower PDL formation and better consumer asset quality.</t>
  </si>
  <si>
    <t>- Quarterly cost of risk fell to 1.41%, down 96bp QoQ and 107bp YoY, while 12-month cost of risk declined to 1.94% from 3.57% in 4Q24.</t>
  </si>
  <si>
    <t>● Funding base strengthened</t>
  </si>
  <si>
    <t>- Demand deposits increased 23.1% QoQ and 24.0% YoY, supported by integrated balances and Davivienda’s low-cost funding strategy in Colom.</t>
  </si>
  <si>
    <t>- The gross loans-to-funding ratio remained broadly stable at 89.1%, despite the sharp balance sheet expansion.</t>
  </si>
  <si>
    <t>● BNS integration creates accounting noise and limits comparability</t>
  </si>
  <si>
    <t>● Margin compression remains a key pressure point</t>
  </si>
  <si>
    <t>- NIM fell to 4.66% in 4Q25, down 99bp QoQ and 50bp YoY, mainly due to the larger earning-asset base after the integration.</t>
  </si>
  <si>
    <t>● Capital weakened sequentially</t>
  </si>
  <si>
    <t>- CET1 closed at 11.62%, down 17bp QoQ, while Tier 1 declined 47bp QoQ to 12.91% and total capital fell 137bp QoQ to 16.13%.</t>
  </si>
  <si>
    <t>- The decline was mainly driven by higher RWAs from the integrated operations and an early dividend distribution in December.</t>
  </si>
  <si>
    <t>● Integration and execution risk increased</t>
  </si>
  <si>
    <t>- The larger regional platform should generate synergies, but also brings operational complexity, accounting harmonization, risk-policy alignment and technology/integration costs.</t>
  </si>
  <si>
    <t>- Capturing synergies without pressuring efficiency, asset quality or capital will be a key 2026 execution risk.</t>
  </si>
  <si>
    <t>● Profitability still depends partly on non-recurring items</t>
  </si>
  <si>
    <t>- 4Q25 earnings benefited from non-recurring income related to the BNS acquisition, lower provisions and stronger FX/derivatives results.</t>
  </si>
  <si>
    <t>- ROAE improved to 11.64% in the quarter, but managerial profitability remains more moderate, implying that recurring earnings power still needs to be proven post-integration.</t>
  </si>
  <si>
    <t>-0.9 ppts</t>
  </si>
  <si>
    <t>13.1 ppts</t>
  </si>
  <si>
    <t>-0.7 ppts</t>
  </si>
  <si>
    <t>-0.2 ppts</t>
  </si>
  <si>
    <t>0.3 ppts</t>
  </si>
  <si>
    <t>0.4 ppts</t>
  </si>
  <si>
    <t>0.8 ppts</t>
  </si>
  <si>
    <t>0.6 ppts</t>
  </si>
  <si>
    <t>6.0 ppts</t>
  </si>
  <si>
    <t>6.4 ppts</t>
  </si>
  <si>
    <t>0.5 ppts</t>
  </si>
  <si>
    <t>Bci reported solid FY25 results, supported by stronger core revenues, lower credit losses and a sharp improvement at City National Bank of Florida, although 4Q25 appeared less clean given softer earnings versus earlier quarters and continued sensitivity to international operations. FY25 net income reached Ch$996bn, up 24.3% YoY, while revenues before loan losses rose 11.8% to Ch$3.06tn and total assets stood at Ch$81.6tn as of December 2025. CNB generated USD261mn of net income in 2025, up 192.2% YoY, with USD28bn in assets. Overall, Bci’s fundamentals remain strong, supported by its leading Chilean franchise, international diversification and improving profitability, although the key risks remain U.S. execution, asset-quality normalization and capital consumption from growth. 
Loan and balance-sheet growth remained positive but not excessive. Total assets declined slightly YoY in CLP terms to Ch$81.6tn from Ch$83.4tn in 2024, partly reflecting FX and balance-sheet mix effects, while operating performance improved despite the softer asset base. Net interest income increased 12.1% YoY to Ch$1.98tn, supported by lower deposit costs, with interest paid on deposits declining to Ch$1.99tn from Ch$2.27tn in 2024. Non-interest income also improved 11.2% YoY to Ch$1.08tn, helped by higher other non-interest income and trading activity, although gain/loss on sale of investments remained negative. As a result, revenues before loan losses increased to Ch$3.06tn, while Bci’s 2025 performance also benefited from strong U.S. contribution and continued digital scale. 
Asset quality trends were constructive through 2025, with provision expenses declining 2.8% YoY to Ch$312bn despite growth in revenues and earnings. This implies better risk absorption and supports the earnings recovery, especially as net income growth outpaced revenue growth. Earlier 2025 disclosures also pointed to improving NPL ratios across consumer, commercial and mortgage portfolios, while Bci maintained additional provisions above USD245mn and a diversified loan book where the 20 largest loans accounted for less than 10% of total loans. That said, asset-quality risk remains relevant given Bci’s exposure to Chilean retail and commercial credit, U.S. commercial real estate through CNB, and Peru’s still-developing contribution. The credit story is therefore favorable but should be monitored for any normalization in cost of risk after a strong 2025.
Capitalization remained adequate and supportive of growth, helped by prior AT1 issuance and improving internal capital generation. In 2024, Bci placed USD1bn of AT1 instruments, helping the bank meet Basel III capital requirements one year ahead of the regulatory deadline, while mid-2025 metrics showed a CET1 ratio of 11.10% and capital adequacy ratio of 15.42%. By FY25, total equity increased to Ch$7.45tn from Ch$7.00tn in 2024, while profitability improved to an ROE of roughly 13.8%, supporting capital generation. Overall, Bci remains one of the stronger credit stories in Chilean banking, with investment-grade ratings, improving profitability and strong international diversification, but capital buffers should be assessed against continued U.S. growth, Basel III requirements, AT1 reliance and potential volatility in CNB’s asset quality.</t>
  </si>
  <si>
    <t>● Strong Chilean franchise with regional diversification</t>
  </si>
  <si>
    <t>- International diversification is a key differentiator versus Chilean peers, with CNB contributing USD261mn of net income in 2025, up 192.2% YoY, and reaching USD28bn in assets.</t>
  </si>
  <si>
    <t>● Profitability improved materially</t>
  </si>
  <si>
    <t>- FY25 net income reached Ch$996bn, up 24.3% YoY, supported by stronger operating revenues, lower credit losses and a significant recovery in the U.S. operation.</t>
  </si>
  <si>
    <t>- Revenues before loan losses increased 11.8% YoY to Ch$3.06tn, while ROE improved to roughly 13.8%, supporting internal capital generation.</t>
  </si>
  <si>
    <t>● Capital position remains adequate</t>
  </si>
  <si>
    <t>- Bci placed USD1bn of AT1 instruments in 2024, helping the bank meet Basel III capital requirements one year ahead of the regulatory deadline.</t>
  </si>
  <si>
    <t>- Mid-2025 metrics showed a CET1 ratio of 11.10% and a capital adequacy ratio of 15.42%, while FY25 equity increased to Ch$7.45tn from Ch$7.00tn in 2024.</t>
  </si>
  <si>
    <t>● U.S. exposure adds execution and asset-quality risk</t>
  </si>
  <si>
    <t>- CNB’s strong recovery is a tailwind, but it also increases sensitivity to the U.S. operating environment, including commercial real estate, funding competition and credit normalization.</t>
  </si>
  <si>
    <t>● Balance sheet growth was not particularly strong in CLP terms</t>
  </si>
  <si>
    <t>- Total assets declined slightly YoY to Ch$81.6tn from Ch$83.4tn, reflecting FX and balance-sheet mix effects.</t>
  </si>
  <si>
    <t>- Operating performance improved despite the softer asset base, but weaker BS growth could limit upside if loan demand remains subdued.</t>
  </si>
  <si>
    <t>● Asset-quality normalization remains a risk after a strong 2025</t>
  </si>
  <si>
    <t>- Provision expenses declined 2.8% YoY to Ch$312bn, but this creates a tougher base if credit costs normalize upward in 2026.</t>
  </si>
  <si>
    <t>● Capital consumption from growth and international operations</t>
  </si>
  <si>
    <t>- Bci’s capital position is adequate, but continued U.S. growth, Basel III requirements and potential risk-weighted asset expansion could pressure buffers.</t>
  </si>
  <si>
    <t>-0.4 ppts</t>
  </si>
  <si>
    <t>1.9 ppts</t>
  </si>
  <si>
    <t>-0.6 ppts</t>
  </si>
  <si>
    <t>1.1 ppts</t>
  </si>
  <si>
    <r>
      <t xml:space="preserve">Ecopetrol reported a soft 4Q25, though credit metrics remained intact. EBITDA came in line with expectations, weakening due to lower production volumes, yoy declines in realized prices, and cost pressure in the E&amp;P segment. Midstream and ISA also posted weaker sequential results. 
</t>
    </r>
    <r>
      <rPr>
        <b/>
        <sz val="10"/>
        <color theme="1"/>
        <rFont val="Aptos Narrow"/>
        <family val="2"/>
        <scheme val="minor"/>
      </rPr>
      <t>Upstream:</t>
    </r>
    <r>
      <rPr>
        <sz val="10"/>
        <color theme="1"/>
        <rFont val="Aptos Narrow"/>
        <family val="2"/>
        <scheme val="minor"/>
      </rPr>
      <t xml:space="preserve"> Consolidated gross hydrocarbon production averaging 729 kboed, down 3% qoq and flat yoy. Full‑year production of 745 kboed came in line with the 740–750 kboed guidance and was unchanged from 2024. Oil continued to represent the majority of volumes at 79% this quarter. As management had anticipated, the Permian  decelerated from the 2Q25 peak of 105 kboed to 95 kboed, though it remained above 4Q24 levels of 90 kboed. Management attributed the sequential decline in Colombia to operational and electrical issues as well as seasonality. The yoy decline reflected the previously noted electrical disruptions, blockades, water intrusion in certain fields, and natural decline in gas fields.
Price realization was healthy considering reference prices, but volumes and costs weighed on EBITDA. Realized prices improved 7% qoq and fell 4% yoy, materially outperforming Brent's movements (–11% qoq; –22% yoy) thanks to narrower differentials and positive trends in gas prices (+4% qoq; +2% yoy). Management noted its commercial strategy helped minimize the differential. 
Reported EBITDA totaled $1.2 bn, down 23% qoq and 22% yoy, with EBITDA margin compressing to 26.6% versus above 30% in prior quarters. The EBITDA breakeven for the quarter was $45/bbl. 
</t>
    </r>
    <r>
      <rPr>
        <b/>
        <sz val="10"/>
        <color theme="1"/>
        <rFont val="Aptos Narrow"/>
        <family val="2"/>
        <scheme val="minor"/>
      </rPr>
      <t>Refining:</t>
    </r>
    <r>
      <rPr>
        <sz val="10"/>
        <color theme="1"/>
        <rFont val="Aptos Narrow"/>
        <family val="2"/>
        <scheme val="minor"/>
      </rPr>
      <t xml:space="preserve"> Reached a recent high, with EBITDA of $201 mn, up 3% qoq and 255% yoy, and EBITDA margin rising to 5.1%. Operationally, the company delivered solid results, with utilization rates above 80% at both refineries, similar to 3Q25. Barrancabermeja (83%) posted stronger sequential numbers than Cartagena (80%), and both refineries operated at higher utilization rates than the 76–78% reported in 4Q24. Sales volumes were nearly unchanged qoq when looking at domestic and export volumes combined but declined 9% yoy. Despite softer volumes, the refining margin increased to $15/bbl, nearly double that of 4Q24, reflecting elevated gasoline and diesel prices. Refining cash costs of $4.1/bbl were up from $3.4/bbl in 3Q25 and $4.0/bbl in 4Q24, but ultimately the higher reference margin drove the strength in the quarter. 
</t>
    </r>
    <r>
      <rPr>
        <b/>
        <sz val="10"/>
        <color theme="1"/>
        <rFont val="Aptos Narrow"/>
        <family val="2"/>
        <scheme val="minor"/>
      </rPr>
      <t>Midstream and ISA:</t>
    </r>
    <r>
      <rPr>
        <sz val="10"/>
        <color theme="1"/>
        <rFont val="Aptos Narrow"/>
        <family val="2"/>
        <scheme val="minor"/>
      </rPr>
      <t xml:space="preserve"> Both reported softer sequential results. The midstream segment posted EBITDA of $651 mn, down 7% qoq but up 6% yoy. The sequential decline was driven by slightly lower volumes and higher costs, while the yoy increase benefited mainly from higher volumes. EBITDA margin reached 68% compared to 73% last quarter and 64% in 4Q24. ISA reported EBITDA of $556 mn, down 11% qoq given higher costs and up 4% yoy, with EBITDA margin of 47%, down from 60% in 3Q25 and 54% in 4Q24. Both segments remain solid contributors, though the sequential softness is worth noting.</t>
    </r>
  </si>
  <si>
    <t>● Only vertically-integrated crude oil and natural gas company</t>
  </si>
  <si>
    <r>
      <t xml:space="preserve">● </t>
    </r>
    <r>
      <rPr>
        <b/>
        <u/>
        <sz val="10"/>
        <color theme="1"/>
        <rFont val="Aptos Narrow"/>
        <family val="2"/>
        <scheme val="minor"/>
      </rPr>
      <t>Long-term strategy</t>
    </r>
    <r>
      <rPr>
        <sz val="10"/>
        <color theme="1"/>
        <rFont val="Aptos Narrow"/>
        <family val="2"/>
        <scheme val="minor"/>
      </rPr>
      <t xml:space="preserve">: 2040 Strategy seeks to grow in the Energy transition and invest in technology. </t>
    </r>
  </si>
  <si>
    <t xml:space="preserve">● Offshore gas exploration with potential: Sirius sites. </t>
  </si>
  <si>
    <r>
      <t xml:space="preserve">● </t>
    </r>
    <r>
      <rPr>
        <b/>
        <sz val="10"/>
        <color theme="1"/>
        <rFont val="Aptos Narrow"/>
        <family val="2"/>
        <scheme val="minor"/>
      </rPr>
      <t xml:space="preserve">Confirmation of Sirius-2 (6 Tcf, +200% country reserves). Petrobras 44% (operator); and Ecopetrol, 56%. </t>
    </r>
  </si>
  <si>
    <t>● Strong reserve replacement ratio of 121%, the highest in recent years: 7.8yrs with 84% in crude (works in mature fields).</t>
  </si>
  <si>
    <t xml:space="preserve">● FEPC is no longer a drag: balance reached $ 794 mn after 4Q25 payment. </t>
  </si>
  <si>
    <t>● No approvals of new exploration projects</t>
  </si>
  <si>
    <t>● Not full certainty in the OXY - Ecopetrol relationship</t>
  </si>
  <si>
    <t>● New tax bill creates big accrued contingency, already on the legal front</t>
  </si>
  <si>
    <t>- A new VAT tax on fuel imports took effect in January 2025, following DIAN's interpretation issued at the end of 2024. Ecopetrol expects to pay COP 4 tn in VAT this year, with &lt;= 93% recoverable in future years as tax credits.</t>
  </si>
  <si>
    <t>- IAN is now saying that Ecopetrol and the Cartagena refinery with about $2.2 bn in penalties and interest on VAT for 2022-24. Management will contest these claims through legal processes and has taken no provisions so far. Additional USD2.2bn in cause total debt to hit $30 bn and leverage to rise to 2.4x</t>
  </si>
  <si>
    <t>● Company can contemplate future inorganic acquisitions to secure reserve life and gas availability</t>
  </si>
  <si>
    <t>- Management responded generically to wether they are selling or not Oxy, stating that it always evaluates its portfolio but believes maintaining reserves is crucial, as these assets have contributed positively to reserves and production.</t>
  </si>
  <si>
    <t>- Regarding gas, the company is banking on offshore projects and has been trying to minimize gas use in its day-to-day operations to meet growing demand and declining supply in Colombia.</t>
  </si>
  <si>
    <t xml:space="preserve">● Ecopetrol guided to modestly ower production of 730-740 kboed, with the majority related to crude (81%). </t>
  </si>
  <si>
    <t>● Company burned cash after dividends</t>
  </si>
  <si>
    <t xml:space="preserve">- Consumed $279 million given $181 million of dividend payments and a small outlay for the integration of acquired assets. </t>
  </si>
  <si>
    <t>Cash and Equivalents (USD MM)</t>
  </si>
  <si>
    <t>Gross Margin</t>
  </si>
  <si>
    <t>EBIT Margin</t>
  </si>
  <si>
    <t>EBITDA Margin</t>
  </si>
  <si>
    <t>Net Margin</t>
  </si>
  <si>
    <t>LFCF Margin</t>
  </si>
  <si>
    <t>CFO / Interest Exp.</t>
  </si>
  <si>
    <t>EBITDA / Interest Exp.</t>
  </si>
  <si>
    <t>(EBITDA-CAPEX) / Interest Exp.</t>
  </si>
  <si>
    <t>Total Debt/EBITDA</t>
  </si>
  <si>
    <t>Net Debt/EBITDA</t>
  </si>
  <si>
    <t>Total Debt/(EBITDA-CAPEX)</t>
  </si>
  <si>
    <t>Net Debt/(EBITDA-CAPEX)</t>
  </si>
  <si>
    <t>Day sales out</t>
  </si>
  <si>
    <t>Day payable out</t>
  </si>
  <si>
    <t>Day inventory out</t>
  </si>
  <si>
    <t>Current Ratio</t>
  </si>
  <si>
    <t>Quick Ratio</t>
  </si>
  <si>
    <t>CCC</t>
  </si>
  <si>
    <t>ROIC</t>
  </si>
  <si>
    <t>EBITDA (USD MM)</t>
  </si>
  <si>
    <t>Sales MM (USD MM)</t>
  </si>
  <si>
    <r>
      <t xml:space="preserve">During 4Q25, EPM reported a 9% y/y increase in EBITDA, driven mainly by a stronger contribution from international subsidiaries.
</t>
    </r>
    <r>
      <rPr>
        <b/>
        <sz val="10"/>
        <color theme="1"/>
        <rFont val="Aptos Narrow"/>
        <family val="2"/>
        <scheme val="minor"/>
      </rPr>
      <t>- Distribution:</t>
    </r>
    <r>
      <rPr>
        <sz val="10"/>
        <color theme="1"/>
        <rFont val="Aptos Narrow"/>
        <family val="2"/>
        <scheme val="minor"/>
      </rPr>
      <t xml:space="preserve"> The distribution segment’s EBITDA posted a 30% y/y increase (43% EBITDA), mainly driven by a 33% y/y increase in revenues, reflecting higher sold volumes, particularly in Guatemala (+3% y/y) and El Salvador (+3% y/y), and reduction in costs.
</t>
    </r>
    <r>
      <rPr>
        <b/>
        <sz val="10"/>
        <color theme="1"/>
        <rFont val="Aptos Narrow"/>
        <family val="2"/>
        <scheme val="minor"/>
      </rPr>
      <t>- Generation:</t>
    </r>
    <r>
      <rPr>
        <sz val="10"/>
        <color theme="1"/>
        <rFont val="Aptos Narrow"/>
        <family val="2"/>
        <scheme val="minor"/>
      </rPr>
      <t xml:space="preserve"> The segment’s EBITDA declined 9% y/y (35% EBITDA), mainly driven by lower spot prices across all countries where the company operates, particularly in Colombia, where spot prices fell by 64% y/y. In terms of generation volumes, supported by favorable hydrological conditions, generation in Colombia increased by 19% y/y, while international subsidiaries reported a 5% y/y increase. For 2H26, should be expected a moderate to strong El Niño event, with increasing intensity toward year-end, which would result in lower hydrological inflows in Colombia. During the previous El Niño episode (2023–2024), despite lower hydrological generation, the company was able to benefit from higher spot prices, supported by the entry into operation of two Hidroituango units. This time anticipate a limited impact on results, given EPM’s level of contracted exposure. 
</t>
    </r>
    <r>
      <rPr>
        <b/>
        <sz val="10"/>
        <color theme="1"/>
        <rFont val="Aptos Narrow"/>
        <family val="2"/>
        <scheme val="minor"/>
      </rPr>
      <t>- Waste and water management:</t>
    </r>
    <r>
      <rPr>
        <sz val="10"/>
        <color theme="1"/>
        <rFont val="Aptos Narrow"/>
        <family val="2"/>
        <scheme val="minor"/>
      </rPr>
      <t xml:space="preserve"> This segment’s EBITDA declined 18% y/y (17% EBITDA), by a 13% y/y decline in revenues.
</t>
    </r>
    <r>
      <rPr>
        <b/>
        <sz val="10"/>
        <color theme="1"/>
        <rFont val="Aptos Narrow"/>
        <family val="2"/>
        <scheme val="minor"/>
      </rPr>
      <t>- Transmission:</t>
    </r>
    <r>
      <rPr>
        <sz val="10"/>
        <color theme="1"/>
        <rFont val="Aptos Narrow"/>
        <family val="2"/>
        <scheme val="minor"/>
      </rPr>
      <t xml:space="preserve"> This segment’s EBITDA increased its contribution from 3% of total EBITDA in 2024 to 4% in 2025. During 4Q25,  revenues posted a slight 1% y/y decline, while operating costs decreased by 3% y/y, supporting EBITDA performance. 
</t>
    </r>
    <r>
      <rPr>
        <b/>
        <sz val="10"/>
        <color theme="1"/>
        <rFont val="Aptos Narrow"/>
        <family val="2"/>
        <scheme val="minor"/>
      </rPr>
      <t>- Gas:</t>
    </r>
    <r>
      <rPr>
        <sz val="10"/>
        <color theme="1"/>
        <rFont val="Aptos Narrow"/>
        <family val="2"/>
        <scheme val="minor"/>
      </rPr>
      <t xml:space="preserve"> This segment’s EBITDA declined 18% y/y (1% of the quarter’s EBITDA), driven by a 13% y/y decline in revenues, reflecting lower demand from the wholesale market amid reduced thermal generation.
During 4Q25, the company reported negative FCF, driven by a 35% q/q increase in capex. Nevertheless, cash balances increased by 22% q/q, supported by the issuance of new debt to fund WK, investments, and debt refinancing. The company secured a USD 500mn loan from international banks to refinance its 2026 maturities. </t>
    </r>
  </si>
  <si>
    <r>
      <t>●</t>
    </r>
    <r>
      <rPr>
        <b/>
        <sz val="10"/>
        <color theme="1"/>
        <rFont val="Aptos Narrow"/>
        <family val="2"/>
        <scheme val="minor"/>
      </rPr>
      <t xml:space="preserve"> Resilient electric demand in Colombia: </t>
    </r>
    <r>
      <rPr>
        <sz val="10"/>
        <color theme="1"/>
        <rFont val="Aptos Narrow"/>
        <family val="2"/>
        <scheme val="minor"/>
      </rPr>
      <t xml:space="preserve">stable growth of consumption --&gt; GDP + gradual electrification (transport, industry). </t>
    </r>
  </si>
  <si>
    <r>
      <t>●</t>
    </r>
    <r>
      <rPr>
        <b/>
        <sz val="10"/>
        <color theme="1"/>
        <rFont val="Aptos Narrow"/>
        <family val="2"/>
        <scheme val="minor"/>
      </rPr>
      <t xml:space="preserve"> Business diversification: </t>
    </r>
    <r>
      <rPr>
        <sz val="10"/>
        <color theme="1"/>
        <rFont val="Aptos Narrow"/>
        <family val="2"/>
        <scheme val="minor"/>
      </rPr>
      <t xml:space="preserve">energy, gas, water and telecom generates multiple sources of income. </t>
    </r>
  </si>
  <si>
    <t>● Greater operational impact of Hidroituango</t>
  </si>
  <si>
    <t>- Total capacity: 2,400 MW (8 turbines of 300 MW each), equivalent to 17% of Colombia's electricity demand.</t>
  </si>
  <si>
    <t>- It is the country's largest generation asset → making EPM a structural player in the system.</t>
  </si>
  <si>
    <t>- 4 operational units (north wing) --&gt; ~1,200 MW installed --&gt; [U1–U2: from the end of 2022, U3–U4: in 2023]. 94% complete.</t>
  </si>
  <si>
    <t>- Key catalyst: doubling of capacity with 4 additional units (south wing) with a target of full operation by Q1 2028.</t>
  </si>
  <si>
    <t>● End of the legal overhang for Hidroituango</t>
  </si>
  <si>
    <t>- The 2018 contingency (collapse of the GAD) delayed the project and triggered costs overruns (cost: COP 11 Tn --&gt; COP 23 Tn).</t>
  </si>
  <si>
    <t>- Lawsuits and arbitrations: (i) EPM lawsuit against contractors (COP 9.9 Tn), (ii) Hidroituango Company lawsuit against EPM (BOOMT) (COP 7.5 Tn), (iii) 2023 arbitration award against EPM (COP 781 Bn). The total is COP 10-15 Tn, comparable to &gt;50% of the total project cost (adjusted).</t>
  </si>
  <si>
    <t>- Key mitigation: insurance recovery: EPM received COP 4.3 Tn from Mapfre --&gt; 90% of the initial estimated financial loss.</t>
  </si>
  <si>
    <t>- Final resolution: 2025 settlement approved by the Arbitration Tribunal and the Attorney General's Office. This resolves the conflicts arising from the BOOMT contract and the litigation following the 2018 contingency. The BOOMT is adjusted to reflect the new reality of the project, and a periodic remuneration is established for the Hidroituango Company.</t>
  </si>
  <si>
    <t>- Allows the payment of dividends to shareholders (EPM and Antioquia).</t>
  </si>
  <si>
    <t xml:space="preserve">● Divestment of its stake in UNE for USDE 573mm, wich strengthened the liquidity position. </t>
  </si>
  <si>
    <t xml:space="preserve">● The 2026–2029 CAPEX plan to be COP 23bn: 2027 peak investment year, at COP 7.4bn. 2026 CAPEX 6.9bn (+41% y/y), mainly driven by higher investment in the EPM segment (ex Hidroituango), whose share increases from 36% in 2025 to 39% in 2026. </t>
  </si>
  <si>
    <t>● Hydrology exposure (moderate-strong El Niño expected by year-end)</t>
  </si>
  <si>
    <t xml:space="preserve">- EPM remains structurally dependent on hydro generation. Adverse scenarios (e.g. El Niño) generates margin compression and EBITDA volatility, with partial hedge via higher spot prices (not 100% contracted), but still downside in prolonged dry conditions. </t>
  </si>
  <si>
    <t>● Fixed contractual obligations (BOOMT reset)</t>
  </si>
  <si>
    <t xml:space="preserve">- Settlement introduces structured payments to the asset owner (Sociedad Hidroituango). Senior to equity cash flow. </t>
  </si>
  <si>
    <t>● Political intervention / governance risk</t>
  </si>
  <si>
    <t xml:space="preserve">- Fully owned by the Municipality of Medellin. By definition, vulnerability to over-interference such as 2020-2021 crisis. </t>
  </si>
  <si>
    <t xml:space="preserve">- 2020-2021 crisis: Mayor (Daniel Quintero) pushed aggressive legal action in Hidroituango. This triggered resignation of the full board. Shortly after the CEO was removed after conflicts with the mayor. Fitch downgraded EPM's rating to BBB-. </t>
  </si>
  <si>
    <t xml:space="preserve">In 4Q25, Orazul reported strong results, with EBITDA increasing 20% y/y and 52% q/q, mainly driven by higher realized prices in both PPAs and the spot market. PPA prices increased 7% y/y, reflecting new contracts signed during the year, while spot prices were also 7% higher compared to the prior year. The company was able to increase spot market sales significantly (+153% y/y), supported by lower volumes sold under PPAs and higher generation during the quarter (+23% y/y). Following the bond issuance completed last year, total debt increased by 4% y/y; however, the company ended the year with net leverage of 4.4x, down from 4.6x at year end 2024, supported by 9% y/y EBITDA growth last year.
Energy production in 4Q25 increased by 23% y/y, driven by improved hydrological inflows, a trend that continued into 1Q26, with generation growing 4% y/y, supporting solid operating results at the beginning of the year. According to the latest ENFEN report (March 27), the El Niño phenomenon is expected to persist through December 2026, mostly with weak intensity, although a moderate phase is anticipated between May and July. 
During 4Q25, the company repay the remaining balance of the 2027 bond totaling USD 112mn and dividends amounting to USD 37m. The company total debt is now fully comprised by the new ORSAPE 32. For the full year the company paid USD 56mn in dividends versus USD 45mn in 2024. CAPEX remained contained to maintenance at USD 10mn for the year
Following the Camisea incident, TGP announced on March 13 the completion of repairs and the resumption of operations, after which spot power prices reverted to their normal range of USD 25–30/MWh. In this context, Orazul should be among the main beneficiaries, given its fully hydro based generation and a contracting level of around 60%, which likely allowed the company to sell excess generation into the spot market at
elevated prices during the disruption. The company estimates a positive impact of USD 10–15mn; accordingly, we expect EBITDA to reach USD 80–85mn in 2026, with net leverage around 4.2x. In addition, a weak to moderate El Niño event is expected in 2H26, which would be positive for Orazul, as it would support higher hydro inflows during the dry season and represents an upside risk to financials. </t>
  </si>
  <si>
    <t>● Considerable market position in the energy market</t>
  </si>
  <si>
    <t>- Cañon del Pato is one of the largest hydroelectric power plant in Peru, with aprox. 4% of mkt share of energy generated by in the SEIN.</t>
  </si>
  <si>
    <t xml:space="preserve">● Orazul is trying to reduce its exposure to the spot. </t>
  </si>
  <si>
    <t xml:space="preserve">- With its current matrix post asset sales, Orazul has exposure to spot which gives it cyclicality. </t>
  </si>
  <si>
    <t>● PPA contracts with more than 6 years LOM, higher than the duration of the bond.</t>
  </si>
  <si>
    <t>● Inkia has announced it is planning the sale of the assets at the moment. No date at the moment.</t>
  </si>
  <si>
    <t>- It is implicitly assumed that it will be a strategic buyer, due to the lack of pressure of Isquared to sell at a bad multiple.</t>
  </si>
  <si>
    <t>● Strong hidrology</t>
  </si>
  <si>
    <t xml:space="preserve">- Hydrology is expected to be resilient during 2025, at least as strong as 2024. This would benefit Orazul (100% hydro assets). </t>
  </si>
  <si>
    <t xml:space="preserve">- Hydro assets are not 100% contracted under PPA, so will have a more continuous and constant exposure to the spot market. </t>
  </si>
  <si>
    <t>● Sale of Inkia</t>
  </si>
  <si>
    <t>- In February 2026, the sale of Inkia Américas S.A.C. was completed, including its direct ownership interests in Kallpa Generación S.A. and Hidro Chilia S.A.C., as well as approximately 99.99% of the shares of Orazul, including direct control of its subsidiary Kondu.</t>
  </si>
  <si>
    <t>- The new shareholders are I Squared, through a continuation vehicle, and Canada Pension Plan Investment Board (CPP Investments), each holding a 50% stake:  I Squared remains involved as a controlling shareholder, ensuring sponsorship and governance, while CPP Investments brings extensive experience in LATAM infrastructure and the Peruvian energy sector.</t>
  </si>
  <si>
    <t>● Unregulated clients belong to Retail business.</t>
  </si>
  <si>
    <t xml:space="preserve">● Climate conditions affect the availability of the hidro resources. </t>
  </si>
  <si>
    <t>● Social unrest, political, and economic uncertainty</t>
  </si>
  <si>
    <t>Benchmark</t>
  </si>
  <si>
    <t>Shareholders</t>
  </si>
  <si>
    <t>Orazul Energía Perú S.A.C.</t>
  </si>
  <si>
    <t>Fecha</t>
  </si>
  <si>
    <t>Absoluto</t>
  </si>
  <si>
    <t>Relativo</t>
  </si>
  <si>
    <t>Accionistas minoritarios</t>
  </si>
  <si>
    <t>.</t>
  </si>
  <si>
    <t>Luz del Sur’s (LDS) 4Q25 results showed resilient top-line growth but continued margin pressure, as higher distribution revenues were more than offset by cost inflation and weaker non-recurring operating income. Consolidated revenues increased 3.3% YoY to S/1.22 billion in 4Q25, supported mainly by distribution (+3.6% YoY to S/1.11 billion), while generation revenues were broadly flat (+0.4% YoY to S/107.6 million). However, cost of sales rose faster than revenues (+6.0% YoY), driving gross profit down 2.4% YoY to S/364.3 million and compressing gross margin to 29.9% from 31.7% in 4Q24. Operating income declined 2.3% YoY to S/305.3 million, although net income increased 6.7% YoY to S/173.9 million, supported by lower financial expenses and a lower effective tax burden.
For the full year, LDS’s consolidated revenues were broadly stable, increasing 0.4% YoY to S/4.67 billion, with generation revenues up 12.1% YoY and distribution revenues slightly down 0.5% YoY. At the individual level, distribution revenues fell 0.3% YoY to S/4.31 billion, as a 2.4% increase in physical electricity sales was offset by a 5.2% decline in the average selling price. Volume growth was concentrated in toll clients from large businesses and industries (+5.3%), medium-voltage businesses and industries (+2.7%), residential and small businesses (+2.5%), and medium businesses and commerce (+2.3%), confirming healthy demand but price/tariff pressure.
Profitability remained under pressure at the operating level, with full-year gross profit declining 5.2% YoY to S/1.41 billion and operating income falling 4.6% YoY to S/1.22 billion, reflecting higher distribution and generation costs, including personnel expenses (+18.3%), depreciation (+7.9%), and third-party services (+33.7%). Operating pressure was partly mitigated by lower administrative expenses, lower provisions for contingencies, and a 21.9% YoY decline in consolidated financial expenses. Consolidated net income declined slightly by 1.3% YoY to S/716.4 million, although individual net income increased 15.1% YoY to S/777.5 million, supported by higher dividends from subsidiaries and lower financial expenses. Overall, LDS ended 2025 with stable revenue generation and solid demand growth, but margins remain the key area to monitor. Liquidity remained tight, with the individual current ratio declining to 0.31x from 0.37x, though leverage improved to 0.83x from 1.00x. LDS also refinanced debt through a S/1.38 billion international bond, executed S/523.2 million in capex, and acquired 100% of Energía Renovable del Sur for US$256 million, reinforcing long-term growth while keeping capex and liquidity needs elevated.</t>
  </si>
  <si>
    <t>● Regulated distribution franchise with resilient demand</t>
  </si>
  <si>
    <t>- Luz del Sur benefits from a stable electricity distribution business in Lima, with demand supported by a growing customer base and essential-service characteristics.</t>
  </si>
  <si>
    <t>- Physical electricity sales increased 2.44% YoY in 2025, despite lower average tariffs/prices.</t>
  </si>
  <si>
    <t>- Distribution revenues, the main business line, grew 3.6% YoY to S/1.11bn, while generation revenues were broadly stable at S/107.6mn.</t>
  </si>
  <si>
    <t>● Generation business provided incremental growth</t>
  </si>
  <si>
    <t>- Full-year generation revenues increased 12.1% YoY to S/357.2mn, partially offsetting the slight decline in distribution revenues.</t>
  </si>
  <si>
    <t>- The acquisition of 100% of Energía Renovable del Sur for US$256mn in Dec 2025 should support long-term growth and diversification into renewables.</t>
  </si>
  <si>
    <t>● Financial expenses declined materially</t>
  </si>
  <si>
    <t>- Consolidated financial expenses fell 21.9% YoY in 2025 to S/279.5mn.</t>
  </si>
  <si>
    <t>- At the individual level, the decline was mainly explained by lower FX losses and lower interest expenses on loans and bonds.</t>
  </si>
  <si>
    <t>- This helped cushion weaker operating profitability and supported 4Q25 net income growth.</t>
  </si>
  <si>
    <t>● Balance sheet leverage improved</t>
  </si>
  <si>
    <t>- Individual liabilities/equity declined to 0.83x in 2025 from 1.00x in 2024. Individual liabilities/equity declined to 0.83x in 2025 from 1.00x in 2024.</t>
  </si>
  <si>
    <t>- The transaction improved the maturity profile by refinancing S/1.37bn of bank debt.</t>
  </si>
  <si>
    <t>● Operating margin compression remains the main risk</t>
  </si>
  <si>
    <t>- Gross margin compressed to 29.9% in 4Q25 from 31.7% in 4Q24.</t>
  </si>
  <si>
    <t>● Lower average electricity prices pressured distribution revenues</t>
  </si>
  <si>
    <t>- At the individual level, distribution revenues declined 0.34% YoY to S/4.31bn in 2025.</t>
  </si>
  <si>
    <t>- This was driven by a 5.16% decline in the avg. electricity selling price, which more than offset the 2.44% increase in physical electricity sales.</t>
  </si>
  <si>
    <t>- This highlights sensitivity to tariff resets and regulated pricing dynamics.</t>
  </si>
  <si>
    <t>● Cost inflation weighed on profitability</t>
  </si>
  <si>
    <t>- Full-year operating costs increased, with distribution expenses affected by higher personnel expenses (+18.3%), depreciation (+7.9%), and third-party services (+33.7%).</t>
  </si>
  <si>
    <t>- Consolidated cost of sales rose 3.1% YoY in 2025, above revenue growth of 0.4% YoY.</t>
  </si>
  <si>
    <t>● Liquidity remains tight</t>
  </si>
  <si>
    <t>● Capex and acquisition needs remain elevated</t>
  </si>
  <si>
    <t>- The acquisition of Energía Renovable del Sur for US$256mn adds strategic growth potential but also increases funding requirements.</t>
  </si>
  <si>
    <t>- Continued investment needs could pressure free cash flow, particularly if margins remain under pressure.</t>
  </si>
  <si>
    <t>Revenue increased 2% year-over-year to PEN 1,092 billion, similar to our estimate (no consensus estimate available). The main component to highlight was Other Operating Revenue (for the third quarter), which rose from PEN 68 billion to PEN 101 billion, driven by asset transfers from customers (+1.6x year-over-year; unearned portion of billing for the execution of medium and low voltage works) and network relocation (+1.9x year-over-year). This reflects increased execution of relocation, lighting, and electrical infrastructure upgrade works for core customers. A higher level is assumed as a result, although not the peak seen this year, subject to evolution in the coming quarters. Energy sales decreased 1% year-over-year, despite higher physical sales (+2% year-over-year) for low voltage (+4% year-over-year) due to an increase in customers and higher average consumption; and medium voltage (+5% year-over-year) due to higher average consumption. Therefore, the drop in revenue was due to a lower average selling price, indexed to inflation, and a reduction in services due to disconnection and reconnection.
Costs increased 2% year-over-year (YoY) to PEN 801 million. Energy purchases decreased 4% YoY due to a lower implicit purchase price (-8% YoY). Purchases accounted for 79% of total costs. Additionally, in line with increased PPE and E use, there was a 16% YoY increase in D&amp;A; higher personnel expenses (+45% YoY) due to increased headcount resulting from organizational changes, CPI adjustments, and performance reviews; and miscellaneous supplies (+2x YoY).
EBITDA of PEN 300 mm (+45% YoY) was achieved, exceeding our estimates.</t>
  </si>
  <si>
    <t>● Part of CSG Group.</t>
  </si>
  <si>
    <t>● Operational efficiency on international standards and reliance on efficient technology.</t>
  </si>
  <si>
    <t xml:space="preserve">- Loss factor of 9%, very below its comps of Brasil, which can reach up to 30%, for example. Warning: has been increasing from 7%. </t>
  </si>
  <si>
    <t>● Continuous investment in quality of service and network extension.</t>
  </si>
  <si>
    <t xml:space="preserve">- The Company has an average CAPEX of US$ 500 mm. Last 2 years has been higher (US$ 700 mm). </t>
  </si>
  <si>
    <t>- Not considering a material reduction.</t>
  </si>
  <si>
    <t xml:space="preserve">- Assets have a energy loss of 7% (one of the lowest in the region). CSG has a portfolio of assets with an average energy loss of 5.5%. Management want to reduce Pluz's energy loss toward their average. </t>
  </si>
  <si>
    <t xml:space="preserve">- Pluz Energía want to invest more in artificial automation to reduce costs, specially for survaillance and day-to-day monitoring of the plants. </t>
  </si>
  <si>
    <t xml:space="preserve">● CSG Group completed the adquisition of the distribution assets. </t>
  </si>
  <si>
    <t>- CSPG is a Chinese state-owned company that is in charge of participating in the investment, construction and management of the transmission, transformation and distribution of energy.</t>
  </si>
  <si>
    <t>- On April 7th., Enel announced that it has closed an agreement to sell Enel Dx Perú and Enel X Perú assets to CSGI. Enel Perú's shareholdings in Enel Dx Perú (83.15%) and Enel X Perú (100%) will be sold for a total of US$ 2,900 mm, equivalent to an enterprise value of US$ 4,000 mm (based on 100%).</t>
  </si>
  <si>
    <t xml:space="preserve">- This implied a EV/EBITDA multiple of 15x and EV/RAB of 2.73x. Both well above of comparables (10x and 2x on average). </t>
  </si>
  <si>
    <t xml:space="preserve">● Stable compensation by reglatory framework. </t>
  </si>
  <si>
    <t xml:space="preserve">● Energy demand has been growing at an stagnant rate (&lt;5%). </t>
  </si>
  <si>
    <t xml:space="preserve">● Concession zone has exposition to industrial consumers: requires more line extensions. </t>
  </si>
  <si>
    <t>Enel Perú</t>
  </si>
  <si>
    <t>AFP Integra</t>
  </si>
  <si>
    <t>Prima AFP</t>
  </si>
  <si>
    <t>Profuturo AFP</t>
  </si>
  <si>
    <t>AFP Habitat</t>
  </si>
  <si>
    <t>Otros</t>
  </si>
  <si>
    <t>Cash and Equivalents (PEN MM)</t>
  </si>
  <si>
    <t>Revenues decreased by 17% year-on-year (-YY) to PEN 615 million, below both consensus and our own estimates. This result was due to the impact of contracts linked to overcontracting (a decrease of PEN 56 million), lower physical sales of energy and capacity due to reduced demand (regulated customers), and the reduction in the average energy price, primarily for regulated customers, associated with the tariff update and the effect of the sol's revaluation against the dollar.
Net energy generation did increase (+4% YoY), driven by higher thermal generation (+12% YoY), renewables (+3% YoY), and Chinango (+26% YoY), partially offset by hydroelectric generation (-9% YoY). The Chinango figure incorporates a strong base effect and an unusually high plant factor (83% vs. the normal 65%) due to the increased inflow from the Tulumayo River. Regarding thermal generation, the recovery was due to the completion of major maintenance at the Ventanilla TG3 plant and more stable operating volumes at Santa Rosa I and II. In renewable generation, the increase was due to the baseload effect of the Wayra Extension, which was already operating at normal levels (2024 ramp-up). In hydropower, the decline was due to lower resource availability in December 2025.
Costs decreased 8% YoY to PEN 308 mm. This was due to (i) lower energy purchases (-4% YoY; 25% of the total) due to higher thermal and RER production, (ii) lower natural gas supply and transport (-8% YoY; 34% of the total) due to lower molecule cost from thermal production and higher Ventanilla production; (iii) lower depreciation and amortization (-18% YoY; 19% of the total), due to lower production from the Santa Rosa turbines versus historical averages and lower hydro production.
There was a visible reduction in hydropower, which is expected to worsen due to a potential El Niño event. At the beginning of March, TGP detected a leak in its gas pipeline in Megantoni (Cusco) and suspended the transport of gas and liquids. Although it is too early for a net impact (as it should only last two weeks), a significant increase in marginal costs (MC) has already been observed, from $30/MWh to $200/MWh in the first week of the interruption.</t>
  </si>
  <si>
    <t>● Leading market position in the energy market</t>
  </si>
  <si>
    <t xml:space="preserve">- With Chinango, Orygen represents 14% of the market generation of the system. </t>
  </si>
  <si>
    <t>● Strong financial position</t>
  </si>
  <si>
    <t>- The Company has PEN 491 mm of cash, amount that represent 0.8x of indebtedness.</t>
  </si>
  <si>
    <t>● Operational efficiency on international standards through partnerships (SIEMENS) and reliance on efficient technology.</t>
  </si>
  <si>
    <t>● Company already accomplished M&amp;A processes</t>
  </si>
  <si>
    <t xml:space="preserve">- Already includes the assets of Enel Green Power Peru (part of Enel SpA strategy). </t>
  </si>
  <si>
    <t xml:space="preserve">- Actis has already acquired the company (previously Enel Gx) for US$ 1,400 mm. </t>
  </si>
  <si>
    <t xml:space="preserve">● Company is looking to change its energy matrix to be more exposed to renewables. </t>
  </si>
  <si>
    <t xml:space="preserve">- Expected entrance of Intipampa Extension in 2026. </t>
  </si>
  <si>
    <t xml:space="preserve">- Hydrology has been resilient in 2025. This would Orygen by lower costs of hydrocarbons, due to lower thermo production. This can compensate the decrease in production due to the change in dispatch order. </t>
  </si>
  <si>
    <t xml:space="preserve">● Market in transition to renewable sources, which make it vulnerable to regulatory changes. </t>
  </si>
  <si>
    <t>● Highly competitive market</t>
  </si>
  <si>
    <t>● Previous sale generates differences in value</t>
  </si>
  <si>
    <r>
      <t xml:space="preserve">- </t>
    </r>
    <r>
      <rPr>
        <b/>
        <sz val="10"/>
        <color theme="1"/>
        <rFont val="Aptos Narrow"/>
        <family val="2"/>
        <scheme val="minor"/>
      </rPr>
      <t xml:space="preserve">Merger: </t>
    </r>
    <r>
      <rPr>
        <sz val="10"/>
        <color theme="1"/>
        <rFont val="Aptos Narrow"/>
        <family val="2"/>
        <scheme val="minor"/>
      </rPr>
      <t>On March 22, 2023, the board committee approved the merger project and convened the AGM for April 24, whose agenda was to approve the merger. The equity value combined was of US$ 2,307 mm.</t>
    </r>
  </si>
  <si>
    <r>
      <t xml:space="preserve">- </t>
    </r>
    <r>
      <rPr>
        <b/>
        <sz val="10"/>
        <color theme="1"/>
        <rFont val="Aptos Narrow"/>
        <family val="2"/>
        <scheme val="minor"/>
      </rPr>
      <t xml:space="preserve">Sale: </t>
    </r>
    <r>
      <rPr>
        <sz val="10"/>
        <color theme="1"/>
        <rFont val="Aptos Narrow"/>
        <family val="2"/>
        <scheme val="minor"/>
      </rPr>
      <t>On November 21, a PR announced that Enel Perú and Enel Américas agreed to sell all of the shares they own issued by Enel Gx and Compañía Energética Veracruz (CEV), respectively; in favor of Actis.</t>
    </r>
  </si>
  <si>
    <t>- The total price of the Purchase and Sale amounts to US$ 1,400 mm of equity value, which implies a total value of US$ 2,100 mm. The equity value turned out to be 39% of the value approved in the merger. The total price implies a price per share of PEN 1.93 (exchange rate: 3.75).</t>
  </si>
  <si>
    <t>● Actis made a liability  management and financed the acquisition with leverage and issue a bond in the market</t>
  </si>
  <si>
    <t>- On March 5, 2024, the Company's Board of Directors approved a financing of US$ 400 mm, which was used to refinance the debt that the Company maintained, with the exception of the bonds, at the time of the execution of the share purchase contract between Enel Peru and Niagara.</t>
  </si>
  <si>
    <t xml:space="preserve">- Rate is daily comp. SOFR + margin (subject to increases). Debt now is more expensive. </t>
  </si>
  <si>
    <t xml:space="preserve">- Niagara issued a US$ 1,200 mm senior unsecured bond. Maturity in 2034 with a spread of 195bps. </t>
  </si>
  <si>
    <t xml:space="preserve">● Exposed to hydrological conditions: thermo assets decrease their dispatch order; can coincide with maintenances. </t>
  </si>
  <si>
    <t>● Actis announced the sale of Niagara Energy to GRIO</t>
  </si>
  <si>
    <t xml:space="preserve">- On December, Actis announced the sale of Niagara Energy to GRIO, what will generate a subsequent tender offer with an independent valuation. The Company has not disclosed the conditions of the deal. Price should be &lt; PEN 3.63. </t>
  </si>
  <si>
    <t>Revenues increased 7% y/y to US$167 million, in line with our reported figures and the consensus. This is explained by higher prices in energy contracts with unregulated customers indexed to the CPI and PPI, increased demand from unregulated customers, and higher sales due to updated power prices at the Ilo31 Thermal Power Plant (Cold Reserve) and the Ilo41 Thermal Power Plant (Energy Hub).
Reported volume decreased 6% y/y, mainly due to lower hydroelectric production (-32% y/y). The most significant decrease was at Quitaracsa (-95% y/y). While maintenance was originally expected to be completed in Q2 2025, the delay has been due to parts replacement and access to the area caused by waterlogging due to increased hydrological conditions. The decrease in thermal production (-2% y/y) was due to the reduction at Chilca2 (-25% y/y) as it recovered after maintenance. In renewables, the 4% YoY increase was due to the higher production of Punta Lomitas (+4% YoY) and PL Extensión (+13% YoY) due to weather conditions.
Costs increased 2% YoY to US$ 126 million. This was due to the following: i) higher purchases at COES due to a higher marginal cost, higher contracted demand for the free market and lower generation; partially offset by lower fuel costs due to lower generation from the Chilca complex per dispatch.
EBITDA was US$56 million, +10% YoY, slightly below our expectations and flat vs. consensus.</t>
  </si>
  <si>
    <t>- Engie is the second largest private energy company in Peru in terms of capacity.</t>
  </si>
  <si>
    <t>Effective Capacity</t>
  </si>
  <si>
    <t>Generation</t>
  </si>
  <si>
    <t>Demand</t>
  </si>
  <si>
    <t>● LT contracts permits the correct funtioning of the unit plants, like the Contract of NG Transportation with TGP until 2031.</t>
  </si>
  <si>
    <t>● Stable financial position</t>
  </si>
  <si>
    <t>- Long-term indebtedness represents 90% of financial debt, and 94% is at fixed rates.</t>
  </si>
  <si>
    <t>● Operational efficiency on international standards through partnerships and reliance on efficient technology.</t>
  </si>
  <si>
    <t xml:space="preserve">● Punta Lomitas and its Expansion help to reshape the energy matrix of the Company, specially when it is exposed to thermal assets and can operate diesel plants (as requested by SEIN) at higher costs. </t>
  </si>
  <si>
    <t>● Change in formulae of spot prices (declaration of natural gas)</t>
  </si>
  <si>
    <t>● Loss of clients during the last few years (clients decreased from 114 on dec-22 to 68 on dic-24 and to 60 on mar-25).</t>
  </si>
  <si>
    <t>● Business requires substantial capital expenditures for ongoing maintenance and environmental compliance.</t>
  </si>
  <si>
    <t xml:space="preserve">● Energy market more vulnerable to hydrological stress situations. </t>
  </si>
  <si>
    <t xml:space="preserve">● Company not signing new LT PPA's, due to last incertainty in the system: average at 5.3 yrs. </t>
  </si>
  <si>
    <t xml:space="preserve">● Higher hydrology can affect sales, due to energy matrix concentrated in gas, yet. Despite lower costs, can affect in net. </t>
  </si>
  <si>
    <t xml:space="preserve">● Interrupción de flujo en TGP debería impactar a la compañía por mayores costos de combustible y suministro de gas. </t>
  </si>
  <si>
    <t>Int. Power</t>
  </si>
  <si>
    <t>AFP I ntegra</t>
  </si>
  <si>
    <t xml:space="preserve">Revenue increased 10% YoY to $320mm, below both the consensus estimate (-10% above target) and our own estimate (-7% above target), despite strong realized price performance for zinc (+5% YoY), silver (+61% YoY), gold (+55% YoY), and copper (+22% YoY), which were very similar to market prices. 
Mining operations were the most affected. At Yauli, progress in the SC and Ticlio pit preparations impacted access to the scheduled pits, as part of the transition to a new mining contractor (there are currently two contractors for the same output). Meanwhile, at Andaychagua, processing was increased due to operational improvements and a revised mining sequence. This resulted in lower head grades. Consequently, the production of zinc, lead, copper, silver, and gold fines decreased by 8%, 10%, 38%, 20%, and 13% YoY, respectively. At Chungar, ore processed fell 7% YoY (YoY) due to reduced vein preparation at the mine's lower levels (due to increased water content), which restricted access in October and November. This resulted in lower grades. Consequently, production of zinc, copper, silver, and gold decreased by 11%, 38%, 15%, and 53% YoY, respectively. Stockpile volume at Cerro de Pasco increased 9% YoY due to operational improvements implemented at the plant to increase processing from 9.5k to 10.2ktpd. Production of zinc, copper, silver, and gold fines increased by 8%, 16%, 23%, and 11%, respectively, due to tonnage, improved grades, and higher recoveries associated with access to new ore zones and an overall improvement.
Costs decreased 3% YoY to $183mm; however, operating costs increased 15% YoY, and the remaining costs (D&amp;A and inventories) offset this increase. In Yauli, costs rose 13% YoY due to labor increases resulting from currency appreciation and updated mining contractor rates. There were also additional expenses for plant maintenance and tailings disposal. In Chungar, costs increased 24% due to currency appreciation, contractual rates, and infrastructure improvements. In CdP, costs increased 10% due to increased activity, plant process improvements, and sustainability and infrastructure initiatives.
EBITDA was $111mm, -12% YoY due to the increase in costs. </t>
  </si>
  <si>
    <t>● Romina on track for late 2Q26 commercial production</t>
  </si>
  <si>
    <t xml:space="preserve">- The Romina project has commercial operational targeted for late 2Q26. Total 2025 capex for Romina reached $40mn, with $60-80mn budgeted for 2026 to complete the project, bringing total investments to $115-135mn over 2023-26. </t>
  </si>
  <si>
    <t xml:space="preserve">- Company's total capex guidance for 2026 is $320-365mn (vs. $243mn in FY25). The 2026 zinc guidance of 275-290kt (+17-23% YoY) is mostly contingent on Romina's timely ramp-up. </t>
  </si>
  <si>
    <t>● Debt refinancing improved profile; capex funding secured</t>
  </si>
  <si>
    <t xml:space="preserve">- Volcan completed a $750mn 8.5% 2032 bond issuance, using proceeds to retire all near-term maturities including the 2030 bonds ($300mn), the syndicated loan ($328mn), and pre-funding the February 2026 bond maturity ($68mn). </t>
  </si>
  <si>
    <t xml:space="preserve">- The transaction eliminates refinancing risk through 2032 and secured Romina project financing. The improved credit profile was recognized by rating agencies, with Moody's upgrading to B2 and Fitch to B, both with positive outlooks. </t>
  </si>
  <si>
    <t>- The 2030 notes ($35mn remaining) include a call option by September 2026, signaling potential further capital structure cleanup. Cash position totals $330mn vs. $97mn of short-term debt.</t>
  </si>
  <si>
    <t xml:space="preserve">● New shareholder: Integra Capital reduces the burocratic noise and management disputes. </t>
  </si>
  <si>
    <t>- Previously, financial decisions were delayed due to reporting to Glencore holding. Also, financial decisions were not on the ground of the financial operations.</t>
  </si>
  <si>
    <t xml:space="preserve">● Company is implementing a hedging strategy to try to take advantage of good prices in zinc and silver. </t>
  </si>
  <si>
    <t xml:space="preserve">- See good prices of zinc above 3,000 $/t and silver above 31 $/oz. </t>
  </si>
  <si>
    <t>● Need of larger track record of new shareholder.</t>
  </si>
  <si>
    <t>● Controversial environmental liabilities</t>
  </si>
  <si>
    <t>-The Company has a history of contamination in the population surrounding the Paragsha operation (currently suspended except for the plant). Levels of lead, arsenic, manganese, iron, and other metals have been found to be well above healthy levels.</t>
  </si>
  <si>
    <t xml:space="preserve">- Studies and news are known through independent parties, no by voluntary remediary actions of the company. </t>
  </si>
  <si>
    <t>● Spin-off of the Chancay port participation, from a accounting view, reduces equity of the Company.</t>
  </si>
  <si>
    <t xml:space="preserve">● Company has not given so many details for its hedging strategy. </t>
  </si>
  <si>
    <t xml:space="preserve">- No detail of about percentage of production hedged (neither approximately). </t>
  </si>
  <si>
    <t>● Production declines across most metals; cost guidance up</t>
  </si>
  <si>
    <t xml:space="preserve">- Production weakened in 4Q25, with zinc down -7% YoY to 59.5kt, silver -13% YoY to 3.3moz, gold -7% YoY to 3.4koz, lead -5% YoY to 15.1kt. For FY, zinc grew +2% YoY to 235kt, lead +17% YoY to 63.7kt, gold +5% YoY to 137kt, and silver fell -3% YoY to 13.5moz. </t>
  </si>
  <si>
    <t>- Unit cost is guided at $60-65/MT for 2026 (vs. 2025 average of $54.2/MT), on cost inflation, deeper mining operations and Romina ramp-up costs.</t>
  </si>
  <si>
    <t>Minsur delivered a solid 4Q25 performance, with revenues rising 22% YoY to $858 mn, reflecting stronger realized prices partially offset by softer volumes. Implicit tin prices increased 30% YoY (3% above our forecast), copper rose 42% YoY (in line), and gold gained 28% YoY. Consolidated sales volumes declined 13% YoY to 22.3 kt of tin equivalent (at 2026E prices), mainly due to weaker copper (-19% YoY), silver (-44% YoY; 27% below est.), and gold (-8% YoY). Tin volumes remained resilient at 9.6 kt (+1% YoY). Sales reached 113% of production (19.6 kt tin equivalent, -17% YoY), reflecting anticipated inventory liquidation.
Production, measured as tin equivalent, decreased 17% YoY to 19.6 kt. 
- Mina Justa: copper production reached 28.8 kt (-23% YoY), primarily explained by lower contained copper in concentrates (17.4 kt; -39% YoY), partially offset by higher cathode output (11.4 kt; +33% YoY). The decline in concentrate production was driven by lower grades and recoveries, in line with the mine plan and expected ore sequencing. In contrast, oxide production benefited from higher grades, increased ore throughput, and improved recoveries (+18%, +9%, and +4%, respectively).
- Pisco: Refined tin production totaled 8.6 kt tons (-7% YoY),mainly reflecting lower concentrate feed grades from San Rafael (-10% YoY) and B2 (-2% YoY) after the consumption of higher-grade inventories in 4Q24.
- Pucamarca: Gold production totaled 11.5 koz (-13% YoY). The YoY decline reflects lower grades stacked on the leach pads (-29% YoY) due to natural mine depletion, fully aligned with the life-of-mine plan. This was partially offset by higher ore stacked, marginal ore processing, and operational optimization initiatives—including slope irrigation and PAD oxygenation.
EBITDA increased 47% YoY to $619 mn, in line with our estimate and above consensus. At San Rafael, unit cash cost declined to $132/t (-15% YoY), driven by fewer development meters associated with mine design optimizations and higher throughput following the incorporation of marginal ore into the ore-sorting plant. At Mina Justa, treatment cost rose to $28.3/t (+17% YoY), reflecting plant maintenance aimed at enhancing reliability, partially offset by higher ore throughput. Pucamarca reported costs of $8.1/t (+7% YoY), while exploration expenses were also higher during the quarter. Importantly, EBITDA was supported by $82 mn in other income from the partial reversal of a prior impairment at Mina Justa, underpinned by improved market conditions.</t>
  </si>
  <si>
    <t>● Leading market position in production of tin</t>
  </si>
  <si>
    <t>● Excellent tin pricing environment has lifted the "old" metal business</t>
  </si>
  <si>
    <r>
      <rPr>
        <b/>
        <sz val="10"/>
        <color theme="1"/>
        <rFont val="Aptos Narrow"/>
        <family val="2"/>
        <scheme val="minor"/>
      </rPr>
      <t xml:space="preserve">- Numerical breakdown: </t>
    </r>
    <r>
      <rPr>
        <sz val="10"/>
        <color theme="1"/>
        <rFont val="Aptos Narrow"/>
        <family val="2"/>
        <scheme val="minor"/>
      </rPr>
      <t>Tin was already one of the top-performing base metals of 2025. In the fourth quarter alone, three-month LME tin forwards surged by 14.65%, settling at $40,596 per metric ton. By mid-December 2025, cash prices peaked at a three-year high of $42,257/mt.</t>
    </r>
  </si>
  <si>
    <r>
      <rPr>
        <b/>
        <sz val="10"/>
        <color theme="1"/>
        <rFont val="Aptos Narrow"/>
        <family val="2"/>
        <scheme val="minor"/>
      </rPr>
      <t>- Semiconductor Supply Chain &amp; AI Demand Shock:</t>
    </r>
    <r>
      <rPr>
        <sz val="10"/>
        <color theme="1"/>
        <rFont val="Aptos Narrow"/>
        <family val="2"/>
        <scheme val="minor"/>
      </rPr>
      <t xml:space="preserve"> Tin acts as the literal "glue" of the digital age, with solder accounting for 50% of global tin demand.</t>
    </r>
  </si>
  <si>
    <r>
      <rPr>
        <b/>
        <sz val="10"/>
        <color theme="1"/>
        <rFont val="Aptos Narrow"/>
        <family val="2"/>
        <scheme val="minor"/>
      </rPr>
      <t>* AI Server Infra:</t>
    </r>
    <r>
      <rPr>
        <sz val="10"/>
        <color theme="1"/>
        <rFont val="Aptos Narrow"/>
        <family val="2"/>
        <scheme val="minor"/>
      </rPr>
      <t xml:space="preserve"> The explosive buildout of AI-enabling data centers requires a massive density of high-performance microchips and processors. Every single advanced GPU and its surrounding printed circuit board (PCB) relies heavily on high-purity tin solder.</t>
    </r>
  </si>
  <si>
    <r>
      <rPr>
        <b/>
        <sz val="10"/>
        <color theme="1"/>
        <rFont val="Aptos Narrow"/>
        <family val="2"/>
        <scheme val="minor"/>
      </rPr>
      <t xml:space="preserve">* Green Energy Co-dependence: </t>
    </r>
    <r>
      <rPr>
        <sz val="10"/>
        <color theme="1"/>
        <rFont val="Aptos Narrow"/>
        <family val="2"/>
        <scheme val="minor"/>
      </rPr>
      <t>Beyond electronics, tin demand has been further squeezed by its use in photovoltaic solar ribbons and as an anode material for advanced electric vehicle (EV) batteries.</t>
    </r>
  </si>
  <si>
    <r>
      <rPr>
        <b/>
        <sz val="10"/>
        <color theme="1"/>
        <rFont val="Aptos Narrow"/>
        <family val="2"/>
        <scheme val="minor"/>
      </rPr>
      <t>- Chronic Supply Bottlenecks:</t>
    </r>
    <r>
      <rPr>
        <sz val="10"/>
        <color theme="1"/>
        <rFont val="Aptos Narrow"/>
        <family val="2"/>
        <scheme val="minor"/>
      </rPr>
      <t xml:space="preserve"> The price surge was highly weaponized by a severe structural deficit, as global exchange inventories at the LME and SHFE plummeted to critical lows.</t>
    </r>
  </si>
  <si>
    <r>
      <rPr>
        <b/>
        <sz val="10"/>
        <color theme="1"/>
        <rFont val="Aptos Narrow"/>
        <family val="2"/>
        <scheme val="minor"/>
      </rPr>
      <t>* Southeast Asian Disruptions:</t>
    </r>
    <r>
      <rPr>
        <sz val="10"/>
        <color theme="1"/>
        <rFont val="Aptos Narrow"/>
        <family val="2"/>
        <scheme val="minor"/>
      </rPr>
      <t xml:space="preserve"> Myanmar continued its strict mining suspensions and sluggish export resumptions. Concurrently, Indonesia— the world's largest refined tin exporter—faced extensive administrative delays in licensing its private smelters.</t>
    </r>
  </si>
  <si>
    <r>
      <rPr>
        <b/>
        <sz val="10"/>
        <color theme="1"/>
        <rFont val="Aptos Narrow"/>
        <family val="2"/>
        <scheme val="minor"/>
      </rPr>
      <t>* African Volatility:</t>
    </r>
    <r>
      <rPr>
        <sz val="10"/>
        <color theme="1"/>
        <rFont val="Aptos Narrow"/>
        <family val="2"/>
        <scheme val="minor"/>
      </rPr>
      <t xml:space="preserve"> Operational halts and regulatory friction at major supply hubs, like the Bisie tin mine in the Democratic Republic of Congo (DRC), further suffocated the market</t>
    </r>
  </si>
  <si>
    <r>
      <rPr>
        <b/>
        <sz val="10"/>
        <color theme="1"/>
        <rFont val="Aptos Narrow"/>
        <family val="2"/>
        <scheme val="minor"/>
      </rPr>
      <t>- Speculative Fund Dominance:</t>
    </r>
    <r>
      <rPr>
        <sz val="10"/>
        <color theme="1"/>
        <rFont val="Aptos Narrow"/>
        <family val="2"/>
        <scheme val="minor"/>
      </rPr>
      <t xml:space="preserve"> The narrative of a "guaranteed deficit" attracted Wall Street and Chinese institutional capital. </t>
    </r>
  </si>
  <si>
    <t>● Excellent copper pricing environment has lifted the "new" metal business</t>
  </si>
  <si>
    <t>- Raw concentrate shortage forced smelters to slash output as processing fees hit zero. This deficit worsened as traders hoarded supply in US warehouses to outrun impending tariffs, draining European and Asian inventories. Finally, a weakening US dollar and interest rate cuts unleashed a wave of speculative capital that pushed prices to records.</t>
  </si>
  <si>
    <t>● Lack of corporate governance</t>
  </si>
  <si>
    <t>- Company with less common communication to the market. Was more infrequent in the past. Lack of investor portal.</t>
  </si>
  <si>
    <t xml:space="preserve">- When a project is developed, tend to give little to no information until full development. </t>
  </si>
  <si>
    <t>● Characteristics of tin price market</t>
  </si>
  <si>
    <t>- It is a metal that is always "under the radar" as it has a lower production volume (approx. 300kt) and negotiation.</t>
  </si>
  <si>
    <t>● Higher vulnerability to social unrest, political, and economic uncertainty</t>
  </si>
  <si>
    <t xml:space="preserve">- Tin operation is in Puno, which is a conflictive zone historically (social unrest). </t>
  </si>
  <si>
    <t>- Company has looked for alternative routes to deliver production from Puno in case of issues, but this is costly.</t>
  </si>
  <si>
    <t>- Additionally, essential public infrastructure such as access to airports can be damaged.</t>
  </si>
  <si>
    <t>Nexa reported a strong 4Q25, with mining segment outperformance and strong by-product contribution more than offsetting persistent smelting margin pressure from the low treatment charges (TC). Revenues grew +22% YoY to $903mn, driven by materially higher silver (+74% YoY), gold (+55% YoY) and copper (+21% YoY) prices, with zinc prices also up modestly +4% YoY. Adjusted EBITDA rose +52% YoY to $300mn with margin expanding to 33.2% (+6.7pp YoY). FCF was positive by $203mn in 4Q25, while FY25 FCF stood positive at $16mn. Net leverage improved to 1.4x (2.2x in 3Q25) on higher EBITDA and net debt reduction. Liquidity stands at $842mn including fully undrawn $320mn RCF and $521mn cash vs. $100mn of debt maturity in 2026.
The mining segment was the primary driver in 4Q25, with EBITDA surging +118% YoY to $266mn at 50% margin (+15.6pp YoY). Zinc production grew +24% YoY to 91kt (a five-year quarterly record), supported by grade improvements across the portfolio. Aripuanã stood out with zinc production up +35% YoY to 12.5kt, achieving its highest quarterly output to date as plant downtime reduces with improved operational reliability. Mining cash costs net of by-products improved dramatically to negative -$0.58/lb from effectively breakeven (-$0.001/lb) in 4Q24, on stronger by-products and low TCs. ROM cost increased +27% YoY to $56/t, indicating the improved cash cost has been supported by-product prices rather than operational gains. 
The smelting segment continued facing significant headwinds, with EBITDA down -55% YoY to $34mn at 5.9% margin (-7.9pp YoY). Total zinc sales fell -7% YoY to 142kt, on lower production and softer zinc oxide demand. Smelting cash cost net of by-products rose +13% YoY to $1.41/lb given collapse of treatment charges (2025 benchmark down -55% YoY) and higher zinc LME prices on third-party purchases.</t>
  </si>
  <si>
    <t>● Leading zinc-focused base metals producer</t>
  </si>
  <si>
    <t>- A top five global zinc producer, leading in Americas, integrated mining &amp; smelting, +65 yrs of experience.</t>
  </si>
  <si>
    <t>● Best Practices in Safety, Community Relations and Environmental Management</t>
  </si>
  <si>
    <t>- The company has a Board sustainability committee overseeing safe, sustainable practices in environmental, health, safety, and social matters. It monitors tailings and waste dams following international guidelines, including those from the International Commission on Large Dams and the Canadian Dam Association.</t>
  </si>
  <si>
    <t>● Company taking actions to accomplish Integración Pasco - Phase I</t>
  </si>
  <si>
    <t xml:space="preserve">- The company advanced on the tailings pumping and piping system – aimed at enhancing operational efficiency and extending the life of the mining complex. </t>
  </si>
  <si>
    <t>● Aripuana starting to make a difference in results and mining profile</t>
  </si>
  <si>
    <t>- The fourth tailings filter arrived on-the site in early November, with installation progressing well. Mechanical assembly of the filter press, fabrication of the electrical house and completion of structural foundations, and others, have been achieved.</t>
  </si>
  <si>
    <t xml:space="preserve">- Aripuanã delivered a strong performance during the quarter, achieving its highest production to date (12kt), with significant improvements in plant performance and reduced downtime. Should continue to increase contribution yet. </t>
  </si>
  <si>
    <t>● Strong market fundamentals for its key commodities</t>
  </si>
  <si>
    <t>- Zinc continues to benefit from tight concentrate supply, steady global demand, and low refined inventories.</t>
  </si>
  <si>
    <t>- Copper is underpinned by ongoing global electrification trends, the energy transition, and disciplined supply growth.</t>
  </si>
  <si>
    <t>- Silver has strenghthen its fundamentals, with a higher expected base value., supported by robust industrial demand associated with its critical role in the energy transition and AI-related applications, as well as its role as a financial asset.</t>
  </si>
  <si>
    <t>● Volatile operating costs</t>
  </si>
  <si>
    <t xml:space="preserve">-  Smelting costs have increased almost all 2024 and also this year (+13% YoY), due to instabilities in the Brazilian smelters, while lower zinc volumes were offset by reduced operational expenses. Also higher zinc prices and lower TCS affected negatively costs. </t>
  </si>
  <si>
    <t xml:space="preserve">● High uncertainty in the long-term price of zinc. </t>
  </si>
  <si>
    <t xml:space="preserve">-  2025 outlook points to smelter overcapacity in China and un uncertain demand recovery; bifurcation of pricing between Western and China. Long-term stability to be determined yet. </t>
  </si>
  <si>
    <t>● Company has put on hold projects such as Magistral to focus on profitability. MdEIA not approved by SENACE.</t>
  </si>
  <si>
    <t>● Company with a higher nominal debt level (&gt; $1.6bn)</t>
  </si>
  <si>
    <t>- Leverage is 1.7x, but financial expenses generates the necessity for management to reduce debt: low interest coverage (1.6x).</t>
  </si>
  <si>
    <t xml:space="preserve">● Company uses cash generation from Nexa Perú to fund projects/operations at Nexa Brasil or corporates. </t>
  </si>
  <si>
    <t xml:space="preserve">- Company finishes its silver streaming of Cerro Lindo with Triple Flag in 1Q26. Triple Flag is entitled to 65% of all payable silver produced at an ongoing cash payment equal to 10% of the spot silver price at the time of each delivery. </t>
  </si>
  <si>
    <t xml:space="preserve">- The initial tier is 65% of payable silver until 19.5 mmoz are delivered. Beyond this, the entitlement permanently drops to 25% of payable silver. This bridge is crossed in 1Q26. The excess cash probable would be used to decrease debt. </t>
  </si>
  <si>
    <t xml:space="preserve">- There is no alignment of dividend policy with current state of Nexa Perú: Subsidiary with no debt and excess cash. </t>
  </si>
  <si>
    <t>● Possible tax payments in Peru due to enforcement of SUNAT's interpretation of tax stability agreement.</t>
  </si>
  <si>
    <t>Banorte reported mixed 4Q25 results, supported by lower funding costs, stronger non-interest income and lower provisions, but offset by uneven asset quality, weaker lending income and a sharp decline in capitalization, with the TLAC buffer reaching its lowest historical level. Looking into 2026, performance should broadly resemble 2025, although downside risks remain: expenses are expected to grow above inflation due to IT investments, revenue resilience may continue but with limited upside, trading income durability is uncertain, and asset quality could remain under pressure. That said, Banorte’s fundamentals remain solid and any deterioration is occurring from a position of strength.
Loan growth accelerated to 5.6% QoQ and 7.4% YoY, driven sequentially by corporate lending and especially a rebound in government lending, while consumer lending was the main YoY driver with 17.3% growth. Mortgages and corporate loans grew at more moderate rates. For 2026, management guides for faster loan growth of 8%–11%, with broad-based acceleration across segments, although consumer growth may normalize after a strong 2025. Top-line performance was supported by lower funding costs: NII rose 1.8% QoQ and 6.7% YoY, as the sharp decline in funding costs offset weaker interest income, partly due to a mix shift toward lower-yield government loans. As a result, NIM remained flat at 6.9%, with limited expected change in 2026.
Asset quality remained mixed. The headline NPL ratio was flat QoQ at 1.4%, but increased 47bp YoY, mainly due to a 100bp YoY increase in corporate NPLs linked to a specific corporate exposure affecting results since 3Q25. Mortgage NPLs have also been gradually rising, up 12bp QoQ and 26bp YoY, although they remain low at 1.0%. Charge-offs improved after the 3Q25 spike, with the LTM charge-off ratio easing to 1.7%. NPL formation declined 18.4% QoQ but remained above 4Q24 levels, at 0.9% of loans versus a historical average of around 0.8%. Early-stage delinquencies were stable, with C–E loans at 4.7% of the portfolio. Provisioning fell sharply QoQ, bringing cost of risk down to 1.4% in 4Q25, although FY25 cost of risk rose to 1.8% from 1.6% in 2024. Meanwhile, NPL coverage declined materially to 135% from 186%, and 2026 cost of risk guidance of 1.8%–2.1% points to potential further asset quality pressure.
Capitalization declined sharply in 4Q25, with CAR falling 224bp QoQ to 20.1%, composed of a 19.7% Tier 1 ratio and 12.6% CET1 ratio. The decline was mainly driven by dividend payments of MXN 25.3bn, the integration of Tarjeta del Futuro, FX effects on AT1 instruments from MXN appreciation, and negative OCI impacts. YoY, CAR, Tier 1 and CET1 were down 171bp, 190bp and 61bp, respectively, pressured by MXN 39.3bn in dividends, FX effects and the portfolio integration. While capital remains comfortably above Basel III requirements, the TLAC buffer fell sharply to 220bp from 441bp QoQ, reaching its lowest historical level.</t>
  </si>
  <si>
    <t>● Strong domestic franchise with diversified loan exposure</t>
  </si>
  <si>
    <t>- Relevant exposure across retail banking, corporate lending, government lending, insurance, pensions, and wealth management.</t>
  </si>
  <si>
    <t>- The portfolio is diversified across: Corporate loans: MXN 457.6bn, around 38% of performing loans | Mortgages: MXN 292.4bn, around 24% | Consumer loans: MXN 239.1bn, around 20% | Government loans: MXN 178.5bn, around 15%.</t>
  </si>
  <si>
    <t>- This mix gives Banorte exposure to both higher-yield retail segments and lower-risk institutional/government lending.</t>
  </si>
  <si>
    <t>- Management’s 2026 loan growth guidance stands at 8.0%–11.0%, above the 7.4% YoY growth reported in 4Q25.</t>
  </si>
  <si>
    <t>- Growth is expected to accelerate across most segments, supporting NII expansion.</t>
  </si>
  <si>
    <t>- Consumer lending is one of the few areas where growth may normalize, but it is still expected to expand at a solid 10.0%–14.0%.</t>
  </si>
  <si>
    <t>- Consumer loans represented roughly 20% of the performing loan book in 4Q25 and grew 17.3% YoY, making it the main YoY growth driver.</t>
  </si>
  <si>
    <t>- Given higher yields in consumer products versus government or corporate loans, growth in this segment should help support margins.</t>
  </si>
  <si>
    <t>● NIM remained stable despite lower asset yields</t>
  </si>
  <si>
    <t>● Provisioning normalized sequentially after the 3Q25 spike (event-driven)</t>
  </si>
  <si>
    <t>- Provisioning expenses declined 41.4% QoQ and 11.4% YoY to MXN 4.3bn in 4Q25.</t>
  </si>
  <si>
    <t>● Capital remains solid in absolute terms</t>
  </si>
  <si>
    <t>- Banorte’s CAR stood at 20.1% in 4Q25, with a Tier 1 ratio of 19.7% and CET1 ratio of 12.6%.</t>
  </si>
  <si>
    <t>● Asset quality pressure remains the main risk</t>
  </si>
  <si>
    <t xml:space="preserve">- The YoY increase was mainly driven by a specific corporate case that has affected the bank since 3Q25. Sensibility to corporate cases. </t>
  </si>
  <si>
    <t xml:space="preserve">● Mortgage NPLs increased 12bp QoQ and 26bp YoY to 1.0%. Upward trend after several quarters of stability. </t>
  </si>
  <si>
    <t xml:space="preserve">● NPL formation remains above historical levels (0.8% quarterly avg. since 2021). </t>
  </si>
  <si>
    <t>- NPL formation declined 18.4% QoQ to MXN 10.7bn, following the spike in 3Q25. However, it was still 27.8% higher YoY.</t>
  </si>
  <si>
    <t>● Cost of risk guidance implies continued asset quality pressure</t>
  </si>
  <si>
    <t>- Management’s 2026 guidance of 1.8%–2.1% implies potential further deterioration or at least sustained pressure.</t>
  </si>
  <si>
    <t>● NPL coverage fell to 135% in 2025 from 186% in 2024.</t>
  </si>
  <si>
    <t>● TLAC buffer reached its lowest historical level: Banorte’s TLAC buffer fell to 220bp in 4Q25 from 441bp in 3Q25.</t>
  </si>
  <si>
    <t>● Dividend policy may conflict with capital rebuild</t>
  </si>
  <si>
    <t>- Banorte distributed MXN 25.3bn in dividends in December 2025 and MXN 39.3bn for the full year. Dividend payments were one of the main drivers of the capital decline.</t>
  </si>
  <si>
    <t>-48.1 ppts</t>
  </si>
  <si>
    <t>-0.5 ppts</t>
  </si>
  <si>
    <t>-1.7 ppts</t>
  </si>
  <si>
    <t>-3.1 ppts</t>
  </si>
  <si>
    <t>1.2 ppts</t>
  </si>
  <si>
    <t>Interbank reported strong 4Q25 results, supported by resilient NII, lower funding costs, stronger financial transaction results and lower provisions, although earnings were partially pressured by higher administrative expenses, depreciation/amortization and taxes. Net income reached S/400.0mn, up 2.6% QoQ and 17.1% YoY, while ROE stood at 16.7%, slightly below 17.1% in 3Q25 but above 16.5% in 4Q24. Gross financial margin rose 3.0% QoQ and 4.2% YoY to S/983.8mn, driven by a 5.6% QoQ and 7.9% YoY decline in financial expenses, while NIM improved to 5.3%, up 10bp QoQ and YoY. Non-interest revenue was also constructive, with net financial service income up 0.4% QoQ and 11.0% YoY, and financial transaction results up 4.5% QoQ and 35.9% YoY, mainly supported by FX and derivatives activity. Looking ahead, the key watchpoints are expense discipline, the sustainability of lower provisions, and whether loan growth can accelerate without pressuring asset quality.
Loan growth was modest but positive. Performing loans increased 0.7% QoQ and 3.4% YoY to S/48.7bn, driven sequentially by personal loans (+1.2% QoQ) and commercial loans (+0.2% QoQ). Within personal loans, growth was supported by mortgages (+2.4% QoQ and +7.9% YoY) and credit cards (+5.8% QoQ and +7.1% YoY), partially offset by weaker personal loans excluding cards and payroll loans. Excluding Reactiva Perú, performing loans would have grown 3.7% YoY, while excluding FX effects, total loan growth would have reached 6.5% YoY. Funding remained deposit-led, with deposits representing 82.9% of total funding, up from 81.1% in 3Q25 and 81.5% in 4Q24; deposits increased 4.8% QoQ and 4.9% YoY, mainly driven by personal deposits, while bonds and due to banks/interbank funding declined.
Asset quality continued to improve in 4Q25. Provision expenses declined to S/222.8mn, down 10.8% QoQ and 31.7% YoY, reflecting lower requirements in both consumer and commercial portfolios as client payment behavior improved. The annualized provision expense over average loans fell to 1.8%, from 2.0% in 3Q25 and 2.7% in 4Q24. The past-due loan ratio remained stable QoQ at 2.5% and improved from 2.7% in 4Q24, while past-due loans declined 3.3% QoQ and 6.7% YoY to S/1.23bn. Coverage softened slightly to 150.2%, from 151.3% QoQ and 152.6% YoY, so the declining coverage ratio and renewed credit card growth remain areas to monitor.
Capitalization remained adequate and improved modestly. Interbank’s global capital ratio reached 16.0% in 4Q25, up from 15.8% in 3Q25 and 15.9% in 4Q24, above the total regulatory requirement of 13.6%, including buffers. CET1 improved to 12.5%, up 39bp QoQ and 23bp YoY, supported by 4Q25 earnings and the application of 2024 profits. Total regulatory capital increased 1.9% QoQ and 8.2% YoY to S/11.1bn, while RWAs rose 0.5% QoQ and 7.5% YoY, mainly due to higher credit risk requirements from business banking and mortgage growth. Overall, Interbank enters 2026 with improving profitability, lower cost of risk, stable asset quality and adequate capital buffers, though higher expenses, softer coverage and the need to sustain loan growth remain the key variables to watch.</t>
  </si>
  <si>
    <t>● Strong positioning in consumer lending with resilient asset quality</t>
  </si>
  <si>
    <t>- Interbank maintains a relevant consumer franchise, with personal loans reaching S/25.5bn in 4Q25, including S/14.5bn in consumer loans and S/11.0bn in mortgages.</t>
  </si>
  <si>
    <t xml:space="preserve">- Despite exposure to consumer credit, asset quality remained contained: the past-due loan ratio stood below 4.0% even in the macro-stressed environment during 2024. </t>
  </si>
  <si>
    <t>● Strong earnings momentum supported by lower provisions</t>
  </si>
  <si>
    <t>- Interbank’s 4Q25 net income reached S/400.0mn, up 2.6% QoQ and 17.1% YoY, while full-year 2025 net income rose 56.2% to S/1.46bn. The main driver was a sharp reduction in provisions, which fell 10.8% QoQ and 31.7% YoY in 4Q25, and declined 38.2% for FY25.</t>
  </si>
  <si>
    <t>● Funding costs continue to decline</t>
  </si>
  <si>
    <t>- Financial expenses fell 5.6% QoQ and 7.9% YoY in 4Q25, supporting a 3.0% QoQ and 4.2% YoY increase in gross financial margin. The average cost of funds declined to 2.9% in 4Q25, down from 3.1% in 3Q25 and 3.2% in 4Q24, reflecting lower market rates and a more efficient funding.</t>
  </si>
  <si>
    <t>● NIM improved despite lower asset yields</t>
  </si>
  <si>
    <t>- NIM increased to 5.3% in 4Q25, up 10bp QoQ and 10bp YoY, supported by lower funding costs despite broadly flat financial income.</t>
  </si>
  <si>
    <t>● Deposit-led funding structure strengthened</t>
  </si>
  <si>
    <t>- Deposits represented 82.9% of total funding in 4Q25, up from 81.1% in 3Q25 and 81.5% in 4Q24. Deposits grew 4.8% QoQ and 4.9% YoY, mainly driven by personal deposits, which increased 8.7% QoQ and 8.2% YoY.</t>
  </si>
  <si>
    <t xml:space="preserve">● Asset quality trends remain favorable: PDL ratio reached 2.5% from 2.7% QoQ. </t>
  </si>
  <si>
    <t xml:space="preserve">● Capital buffers remain adequate: Total capital ratio stayed around 16%. </t>
  </si>
  <si>
    <t>● Expense growth remains the main pressure point</t>
  </si>
  <si>
    <t>- Administrative expenses increased 4.6% QoQ and 17.2% YoY in 4Q25. The annual increase was driven by higher third-party service expenses, mainly technology-related maintenance and advertising, as well as higher personnel expenses.</t>
  </si>
  <si>
    <t>- The efficiency ratio rose to 42.9% in 4Q25, compared with 42.0% in 3Q25 and 39.8% in 4Q24.</t>
  </si>
  <si>
    <t>● Loan growth remains relatively modest</t>
  </si>
  <si>
    <t>- Performing loans grew only 0.7% QoQ and 3.4% YoY, below the pace implied by stronger nominal economic activity. Commercial loan growth was soft at 0.2% QoQ and 2.2% YoY, while total loan growth was helped by mortgages and credit cards.</t>
  </si>
  <si>
    <t>● Financial income remains under pressure from lower rates</t>
  </si>
  <si>
    <t>- Asset yields declined due to lower market rates and portfolio mix, with the return on interest-earning assets falling 20bp YoY.</t>
  </si>
  <si>
    <t>● Pending growth in commercial loans</t>
  </si>
  <si>
    <t xml:space="preserve">- Commercial loans are roughly 48% of total performing loans and has contributed modestly these last years due to Reactiva deplenishing. Only 0.2% QoQ and 2.2% YoY in 4Q25, below the growth seen in personal loans. </t>
  </si>
  <si>
    <t>1.3 ppts</t>
  </si>
  <si>
    <t>0.9 ppts</t>
  </si>
  <si>
    <t>-2.8 ppts</t>
  </si>
  <si>
    <t>0.1 ppts</t>
  </si>
  <si>
    <t>-1.8 ppts</t>
  </si>
  <si>
    <t>3.1 ppts</t>
  </si>
  <si>
    <t>BCP reported solid 4Q25 results, supported by resilient net interest income, stronger non-interest income and a meaningful reduction in provisions, although quarterly earnings were pressured by higher operating expenses and weaker derivatives/FX-related results. Net income reached S/1.59bn, down 0.8% QoQ but up 36.6% YoY, while ROAE remained strong at 23.8%, despite declining from 25.8% in 3Q25. Top-line performance was constructive, with NII rising 3.6% QoQ and 5.4% YoY, supported by higher interest income and lower funding costs versus last year, while NIM expanded slightly to 6.94%, up 2bp QoQ and 9bp YoY. Non-interest income also improved, rising 8.2% QoQ and 5.1% YoY, driven by higher banking fees and FX gains, though partially offset by weaker FX exposure results and lower other income YoY. Looking ahead, the main watchpoints are expense discipline, the durability of fee and FX-related income, and whether lower provisions can be sustained after a strong improvement in asset quality.
Loan growth was moderate but positive. Consolidated loans, measured by average daily balances, increased 1.7% QoQ and 3.6% YoY, mainly driven sequentially by retail banking, which grew 3.4% QoQ, with expansion across SME, mortgages, consumer, credit cards and Mibanco. Wholesale lending was softer, declining 0.9% QoQ, reflecting lower corporate and business loan balances. On a YoY basis, growth was led by retail segments, particularly mortgages at +8.0%, consumer loans at +6.8%, credit cards at +14.5% and Mibanco at +9.2%, while corporate lending declined 3.1%. Funding remained deposit-led, with deposits representing 85.1% of total funding; deposits increased 6.8% QoQ and 6.3% YoY, supported by growth in current accounts, savings and CTS, partly reflecting AFP withdrawals, while time deposits continued to decline.
Asset quality improved meaningfully in 4Q25. Cost of risk declined to 1.58%, down from 1.65% in 3Q25 and 2.49% in 4Q24, as total provisions fell 2.2% QoQ and 33.6% YoY, mainly due to lower specific provisions in medium-sized companies and consumer loans. The NPL ratio also improved, with the past-due loan ratio falling to 3.23% from 3.45% QoQ and 3.82% YoY, while the deteriorated loan ratio declined to 4.57% from 4.84% in 3Q25 and 5.45% in 4Q24. Coverage strengthened further, with past-due loan coverage increasing to 173.5% from 167.4% QoQ and 157.9% YoY, while deteriorated loan coverage improved to 122.8%. These trends point to a healthier risk profile, although the continued growth in retail and Mibanco portfolios will remain important to monitor.
Capitalization strengthened materially during the quarter. The consolidated global capital ratio increased to 19.44%, up from 17.72% in 3Q25 and 18.71% in 4Q24. At the regulatory bank level, CET1 and Tier 1 both stood at 13.66%, up 84bp QoQ, while total regulatory capital reached 19.44%, up 173bp QoQ. The improvement was mainly driven by earnings generation, unrealized gains and the issuance of US$500mn in subordinated Tier 2 notes in October 2025, partially offset by higher investments in subsidiaries and intangibles. Overall, BCP enters 2026 from a position of strength, with high profitability, improving asset quality and stronger capital buffers, though quarterly expense growth and the sustainability of provisioning benefits remain the key variables to watch.</t>
  </si>
  <si>
    <t>● Strong domestic franchise with leading market share in loans and deposits</t>
  </si>
  <si>
    <t>- BCP remains the clear leader in the Peruvian banking system, with 32.9% market share in total loans and 35.8% in deposits as of Nov-25, well above its closest competitor at 22.0% and 21.2%, respectively.</t>
  </si>
  <si>
    <t>● Diversified loan book with strong retail exposure</t>
  </si>
  <si>
    <t>- The consolidated loan portfolio reached S/134.3bn in 4Q25, with broad exposure across wholesale lending, retail banking and Mibanco.</t>
  </si>
  <si>
    <t>- The portfolio is diversified: Wholesale loans: S/52.2bn, ~39% of total loans | Retail loans: S/69.0bn, ~51% | Mibanco: S/13.2bn, ~10%.</t>
  </si>
  <si>
    <t>- Within retail, the largest books are mortgages at S/21.8bn, SMEs at S/18.9bn, consumer loans at S/13.4bn and credit cards at S/6.3bn, giving BCP exposure to both secured lending and higher-yield consumer segments.</t>
  </si>
  <si>
    <t>● Healthy total loan growth, led by retail and Mibanco</t>
  </si>
  <si>
    <t>- Consolidated loans grew 1.7% QoQ and 3.6% YoY in 4Q25, driven mainly by retail banking and Mibanco.</t>
  </si>
  <si>
    <t>- Retail loans increased 3.4% QoQ and 5.5% YoY, supported by Pyme (+4.2% QoQ), mortgages (+3.4% QoQ), consumer loans (+4.0% QoQ) and credit cards (+4.5% QoQ).</t>
  </si>
  <si>
    <t>● NII and NIM showed resilience despite a moderate loan growth environment</t>
  </si>
  <si>
    <t>- Consolidated NIM expanded to 6.94%, up 2bp QoQ and 9bp YoY, showing margin resilience despite a still-competitive lending environment.</t>
  </si>
  <si>
    <t xml:space="preserve">● Deposit franchise remains strong and low-cost funding improved: 85.1% of total funding and grew 6.8% QoQ and 6.3% YoY, supported by current accounts, savings and CTS. </t>
  </si>
  <si>
    <t xml:space="preserve">● Asset quality improved materially in 4Q25: CoR declined to 1.58% in 4Q25, down from 1.65% in 3Q25 and 2.49% in 4Q24. </t>
  </si>
  <si>
    <t xml:space="preserve">● Capital improvement: 19.44% of TCR, helped by US$ 500mn Tier 2 subordinated bond issuance in Oct-25. </t>
  </si>
  <si>
    <t>● Efficiency deteriorated, but still controlled</t>
  </si>
  <si>
    <t>- The efficiency ratio up to 43.57% in 4Q25. Operating expenses rose 10.3% QoQ, driven by higher general and administrative expenses (+16.8%) and personnel expenses (+6.1%).</t>
  </si>
  <si>
    <t>- SG&amp;A increased mainly due to higher marketing, programming and systems expenses. This creates a potential margin-to-earnings conversion risk if revenue growth does not continue offsetting higher operating costs.</t>
  </si>
  <si>
    <t>● Provision improvement may be difficult to sustain at the same pace</t>
  </si>
  <si>
    <t>- Provisions declined 2.2% QoQ and 33.6% YoY in 4Q25, supporting earnings growth. The strong YoY decline was driven by lower specific provisions in medium-sized companies and consumer loans, but the magnitude of the improvement may normalize going forward.</t>
  </si>
  <si>
    <t>● Retail and Mibanco growth require monitoring from a credit-risk perspective</t>
  </si>
  <si>
    <t xml:space="preserve">● Non-interest income quality was mixed, only buffer was gains from FX. </t>
  </si>
  <si>
    <t>-106.3 ppts</t>
  </si>
  <si>
    <t>-0.3 ppts</t>
  </si>
  <si>
    <t>4.7 ppts</t>
  </si>
  <si>
    <t xml:space="preserve">BBVA Bancomer’s (Bancomer) 4Q25 results were once again underpinned by lower funding costs and strong trading gains, which effectively offset weaker lending income, persistently subdued fee-based revenues, and a modest deterioration in asset quality. Overall, it was another solid quarter, highlighted by robust metrics, including one of the lowest cost/income ratios in Latin America and among the highest margins within the region’s largest banks. Looking ahead, some deterioration is possible given the non-recurring nature of certain supportive items;
however, as emphasized throughout this report, any such weakening would occur from a position of strength, reflecting Bancomer’s history of consistently solid results.
Bancomer’s performing loan portfolio (stage 1 and stage 2) reached MXN 2.05 trillion in 4Q25, representing growth of 3.7%qoq and 7.4%yoy, at the lower end of the bank’s high-single-digit loan growth guidance for 2025. Sequentially, the corporate portfolio (+4.0%qoq; +4.1%yoy to MXN 1.1 trillion) led, marking a recovery after several quarters of subdued growth. Relative to 4Q24, however, the consumer portfolio remained the primary growth driver, increasing by 3.6%qoq and 13.7%yoy to MXN 550.4 billion in 4Q25, followed by mortgages, which grew 2.6%qoq and 8.2%yoy to MXN 390.5 billion. Looking ahead to 2026, we expect these trends to persist, with the consumer portfolio continuing to lead growth and a modest acceleration anticipated in corporate lending as Mexico’s economic activity improves. In particular, JPM economists forecast Mexico’s GDP to rise by 1.5% in 2026, compared with a modest 0.5% increase in 2025.
Delinquencies fell slightly sequentially (-1.3%qoq), but remained 9.3% above 4Q24 levels, resulting in an NPL ratio of 1.63% in 4Q25, slightly down from 1.72% in 3Q25 and practically flat relative to 4Q24. The corporate (-18bpqoq; -8bpyoy to 0.8%) and mortgage (-18bpqoq; +9bpyoy to 2.3%) ratios were the main drivers of the sequential decline, offsetting an increase in the consumer ratio (+19bpqoq; +9bpyoy to 3.054%). NPL formation continued to rise (+8.2%qoq; +20.8%yoy to MXN 20.8 billion), yet remained modest at 1.0% of Bancomer’s average portfolio, consistent with previous quarters. Loans classified in the “C”, “D” and “E” categories (-4.1%qoq; +9.7%yoy to MXN 150.3 billion) fell sequentially and made up 7.2% of Bancomer’s average portfolio, down from 7.8% in 3Q25 and broadly in line with Bancomer’s 7.4% quarterly average since 2023. Bancomer’s cost of risk to 3.3% in 4Q25, up from 3.1% in both 3Q25 and 4Q24. On an LTM basis, cost of risk was at 3.0%, slightly surpassing the 2.5% average observed between 2021 and 2023. Despite the higher cost of risk, NPL coverage ended the year at 186%
Bancomer’s CAR stood at 20.2% in 4Q25, with Tier 1 and CET1 ratios at 16.5%. This compares with a CAR of 20.0% and Tier 1/CET1 ratios of 16.3% in 3Q25. The modest improvement was driven by a 1.5%qoq increase in CET1 capital to MXN 379.3 billion, reflecting earnings retention, alongside nearly flat RWAs, which rose just 0.2%qoq to MXN 2.30 trillion. </t>
  </si>
  <si>
    <t>-50.1 ppts</t>
  </si>
  <si>
    <t>-3.3 ppts</t>
  </si>
  <si>
    <t>1.7 ppts</t>
  </si>
  <si>
    <t>BAABTAVMT0NBTAFI/////wFQAQAAAApDSVEuLi4uLi4uBQAAAAAAAAAIAAAAFChJbnZhbGlkIElkZW50aWZpZXIpMOihG1Id3wgFleMbUh3fCA==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</si>
</sst>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_(#,##0.0%_);_(\(#,##0.0%\)_);_(#,##0.0%_)"/>
    <numFmt numFmtId="166" formatCode="0.0\x"/>
    <numFmt numFmtId="167" formatCode="0.0"/>
    <numFmt numFmtId="168" formatCode="#,##0.0"/>
  </numFmts>
  <fonts count="24" x14ac:knownFonts="1">
    <font>
      <sz val="11"/>
      <color theme="1"/>
      <name val="Aptos Narrow"/>
      <family val="2"/>
      <scheme val="minor"/>
    </font>
    <font>
      <sz val="11"/>
      <color theme="1"/>
      <name val="Aptos Narrow"/>
      <family val="2"/>
      <scheme val="minor"/>
    </font>
    <font>
      <sz val="10"/>
      <color theme="1"/>
      <name val="Trebuchet MS"/>
      <family val="2"/>
    </font>
    <font>
      <sz val="10"/>
      <color theme="1"/>
      <name val="Aptos Display"/>
      <family val="2"/>
      <scheme val="major"/>
    </font>
    <font>
      <sz val="16"/>
      <color theme="1"/>
      <name val="Aptos Narrow"/>
      <family val="2"/>
      <scheme val="minor"/>
    </font>
    <font>
      <b/>
      <sz val="16"/>
      <color theme="1"/>
      <name val="Aptos Narrow"/>
      <family val="2"/>
      <scheme val="minor"/>
    </font>
    <font>
      <sz val="16"/>
      <color theme="1"/>
      <name val="Aptos Display"/>
      <family val="2"/>
      <scheme val="major"/>
    </font>
    <font>
      <b/>
      <sz val="16"/>
      <color rgb="FF92D050"/>
      <name val="Aptos Display"/>
      <family val="2"/>
      <scheme val="major"/>
    </font>
    <font>
      <sz val="10"/>
      <color theme="1"/>
      <name val="Aptos Narrow"/>
      <family val="2"/>
      <scheme val="minor"/>
    </font>
    <font>
      <b/>
      <sz val="12"/>
      <color theme="3"/>
      <name val="Aptos Narrow"/>
      <family val="2"/>
      <scheme val="minor"/>
    </font>
    <font>
      <b/>
      <u/>
      <sz val="10"/>
      <color theme="1"/>
      <name val="Aptos Narrow"/>
      <family val="2"/>
      <scheme val="minor"/>
    </font>
    <font>
      <b/>
      <sz val="10"/>
      <color theme="1"/>
      <name val="Aptos Narrow"/>
      <family val="2"/>
      <scheme val="minor"/>
    </font>
    <font>
      <sz val="10"/>
      <name val="Aptos Narrow"/>
      <family val="2"/>
      <scheme val="minor"/>
    </font>
    <font>
      <b/>
      <u/>
      <sz val="10"/>
      <name val="Aptos Narrow"/>
      <family val="2"/>
      <scheme val="minor"/>
    </font>
    <font>
      <sz val="10"/>
      <color theme="0"/>
      <name val="Aptos Narrow"/>
      <family val="2"/>
      <scheme val="minor"/>
    </font>
    <font>
      <sz val="10"/>
      <color indexed="8"/>
      <name val="Aptos Narrow"/>
      <family val="2"/>
      <scheme val="minor"/>
    </font>
    <font>
      <sz val="10"/>
      <color indexed="8"/>
      <name val="Trebuchet MS"/>
      <family val="2"/>
    </font>
    <font>
      <sz val="16"/>
      <color theme="1"/>
      <name val="Trebuchet MS"/>
      <family val="2"/>
    </font>
    <font>
      <b/>
      <sz val="16"/>
      <color theme="1"/>
      <name val="Trebuchet MS"/>
      <family val="2"/>
    </font>
    <font>
      <b/>
      <sz val="12"/>
      <color theme="3"/>
      <name val="Trebuchet MS"/>
      <family val="2"/>
    </font>
    <font>
      <b/>
      <u/>
      <sz val="10"/>
      <color theme="1"/>
      <name val="Trebuchet MS"/>
      <family val="2"/>
    </font>
    <font>
      <b/>
      <sz val="10"/>
      <color theme="0"/>
      <name val="Trebuchet MS"/>
      <family val="2"/>
    </font>
    <font>
      <sz val="10"/>
      <color theme="0"/>
      <name val="Trebuchet MS"/>
      <family val="2"/>
    </font>
    <font>
      <sz val="10"/>
      <color theme="6"/>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3"/>
        <bgColor indexed="64"/>
      </patternFill>
    </fill>
  </fills>
  <borders count="11">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dotted">
        <color indexed="64"/>
      </right>
      <top/>
      <bottom style="thin">
        <color indexed="64"/>
      </bottom>
      <diagonal/>
    </border>
    <border>
      <left/>
      <right style="dotted">
        <color indexed="64"/>
      </right>
      <top/>
      <bottom/>
      <diagonal/>
    </border>
    <border>
      <left/>
      <right/>
      <top/>
      <bottom style="dotted">
        <color auto="1"/>
      </bottom>
      <diagonal/>
    </border>
    <border>
      <left/>
      <right style="dotted">
        <color indexed="64"/>
      </right>
      <top/>
      <bottom style="dotted">
        <color auto="1"/>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12">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1" xfId="0" applyFont="1" applyBorder="1" applyAlignment="1">
      <alignment vertical="center"/>
    </xf>
    <xf numFmtId="0" fontId="5" fillId="0" borderId="1" xfId="0" applyFont="1" applyBorder="1" applyAlignment="1">
      <alignment horizontal="left" vertical="center"/>
    </xf>
    <xf numFmtId="0" fontId="6" fillId="0" borderId="1" xfId="0" applyFont="1" applyBorder="1" applyAlignment="1">
      <alignment vertical="center"/>
    </xf>
    <xf numFmtId="0" fontId="7" fillId="0" borderId="1" xfId="0" applyFont="1" applyBorder="1" applyAlignment="1">
      <alignment horizontal="right" vertical="center"/>
    </xf>
    <xf numFmtId="0" fontId="6" fillId="0" borderId="1" xfId="0" applyFont="1" applyBorder="1" applyAlignment="1">
      <alignment horizontal="right" vertical="center"/>
    </xf>
    <xf numFmtId="0" fontId="8" fillId="0" borderId="0" xfId="0" applyFont="1" applyAlignment="1">
      <alignment vertical="center"/>
    </xf>
    <xf numFmtId="0" fontId="9" fillId="0" borderId="2" xfId="0" applyFont="1" applyBorder="1" applyAlignment="1">
      <alignment vertical="center"/>
    </xf>
    <xf numFmtId="0" fontId="8" fillId="0" borderId="2" xfId="0" applyFont="1" applyBorder="1" applyAlignment="1">
      <alignment vertical="center"/>
    </xf>
    <xf numFmtId="0" fontId="8" fillId="0" borderId="0" xfId="0" applyFont="1" applyAlignment="1">
      <alignment horizontal="justify" vertical="top" wrapText="1"/>
    </xf>
    <xf numFmtId="0" fontId="10" fillId="0" borderId="0" xfId="0" applyFont="1" applyAlignment="1">
      <alignment vertical="center"/>
    </xf>
    <xf numFmtId="0" fontId="8" fillId="0" borderId="0" xfId="0" quotePrefix="1" applyFont="1" applyAlignment="1">
      <alignment vertical="center"/>
    </xf>
    <xf numFmtId="0" fontId="8" fillId="0" borderId="0" xfId="0" quotePrefix="1" applyFont="1" applyAlignment="1">
      <alignment horizontal="left" vertical="center" wrapText="1"/>
    </xf>
    <xf numFmtId="0" fontId="11" fillId="0" borderId="0" xfId="0" quotePrefix="1" applyFont="1" applyAlignment="1">
      <alignment vertical="center" wrapText="1"/>
    </xf>
    <xf numFmtId="0" fontId="8" fillId="0" borderId="0" xfId="0" quotePrefix="1" applyFont="1" applyAlignment="1">
      <alignment vertical="center" wrapText="1"/>
    </xf>
    <xf numFmtId="0" fontId="12" fillId="0" borderId="0" xfId="0" quotePrefix="1" applyFont="1" applyAlignment="1">
      <alignment vertical="center" wrapText="1"/>
    </xf>
    <xf numFmtId="0" fontId="13" fillId="0" borderId="0" xfId="0" applyFont="1"/>
    <xf numFmtId="0" fontId="14" fillId="0" borderId="2" xfId="0" applyFont="1" applyBorder="1" applyAlignment="1">
      <alignment horizontal="right" vertical="center"/>
    </xf>
    <xf numFmtId="0" fontId="12" fillId="0" borderId="3" xfId="0" applyFont="1" applyBorder="1" applyAlignment="1">
      <alignment horizontal="left" vertical="center" indent="7"/>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left" vertical="center" indent="6"/>
    </xf>
    <xf numFmtId="0" fontId="2" fillId="0" borderId="2" xfId="0" applyFont="1" applyBorder="1" applyAlignment="1">
      <alignment vertical="center"/>
    </xf>
    <xf numFmtId="17" fontId="2" fillId="0" borderId="2" xfId="0" applyNumberFormat="1" applyFont="1" applyBorder="1" applyAlignment="1">
      <alignment vertical="center"/>
    </xf>
    <xf numFmtId="17" fontId="2" fillId="0" borderId="6" xfId="0" applyNumberFormat="1" applyFont="1" applyBorder="1" applyAlignment="1">
      <alignment vertical="center"/>
    </xf>
    <xf numFmtId="17" fontId="2" fillId="2" borderId="2" xfId="0" applyNumberFormat="1" applyFont="1" applyFill="1" applyBorder="1" applyAlignment="1">
      <alignment vertical="center"/>
    </xf>
    <xf numFmtId="9" fontId="2" fillId="2" borderId="2" xfId="1" applyFont="1" applyFill="1" applyBorder="1" applyAlignment="1">
      <alignment horizontal="right" vertical="center"/>
    </xf>
    <xf numFmtId="3" fontId="15" fillId="0" borderId="0" xfId="0" applyNumberFormat="1" applyFont="1" applyAlignment="1">
      <alignment horizontal="right" vertical="center" wrapText="1"/>
    </xf>
    <xf numFmtId="3" fontId="16" fillId="0" borderId="7" xfId="0" applyNumberFormat="1" applyFont="1" applyBorder="1" applyAlignment="1">
      <alignment horizontal="right" vertical="center" wrapText="1"/>
    </xf>
    <xf numFmtId="3" fontId="16" fillId="0" borderId="0" xfId="0" applyNumberFormat="1" applyFont="1" applyAlignment="1">
      <alignment horizontal="right" vertical="center" wrapText="1"/>
    </xf>
    <xf numFmtId="164" fontId="16" fillId="0" borderId="0" xfId="1" applyNumberFormat="1" applyFont="1" applyAlignment="1">
      <alignment horizontal="right" vertical="center" wrapText="1"/>
    </xf>
    <xf numFmtId="165" fontId="15" fillId="0" borderId="0" xfId="0" applyNumberFormat="1" applyFont="1" applyAlignment="1">
      <alignment horizontal="right" vertical="center" wrapText="1"/>
    </xf>
    <xf numFmtId="0" fontId="15" fillId="0" borderId="8" xfId="0" applyFont="1" applyBorder="1" applyAlignment="1">
      <alignment horizontal="left" vertical="center"/>
    </xf>
    <xf numFmtId="165" fontId="15" fillId="0" borderId="8" xfId="0" applyNumberFormat="1" applyFont="1" applyBorder="1" applyAlignment="1">
      <alignment horizontal="right" vertical="center" wrapText="1"/>
    </xf>
    <xf numFmtId="3" fontId="15" fillId="0" borderId="8" xfId="0" applyNumberFormat="1" applyFont="1" applyBorder="1" applyAlignment="1">
      <alignment horizontal="right" vertical="center" wrapText="1"/>
    </xf>
    <xf numFmtId="3" fontId="16" fillId="0" borderId="9" xfId="0" applyNumberFormat="1" applyFont="1" applyBorder="1" applyAlignment="1">
      <alignment horizontal="right" vertical="center" wrapText="1"/>
    </xf>
    <xf numFmtId="3" fontId="16" fillId="0" borderId="8" xfId="0" applyNumberFormat="1" applyFont="1" applyBorder="1" applyAlignment="1">
      <alignment horizontal="right" vertical="center" wrapText="1"/>
    </xf>
    <xf numFmtId="164" fontId="16" fillId="0" borderId="8" xfId="1" applyNumberFormat="1" applyFont="1" applyBorder="1" applyAlignment="1">
      <alignment horizontal="right" vertical="center" wrapText="1"/>
    </xf>
    <xf numFmtId="0" fontId="15" fillId="0" borderId="0" xfId="0" applyFont="1" applyAlignment="1">
      <alignment horizontal="left" vertical="center"/>
    </xf>
    <xf numFmtId="164" fontId="15" fillId="0" borderId="0" xfId="1" applyNumberFormat="1" applyFont="1" applyAlignment="1">
      <alignment horizontal="right" vertical="center" wrapText="1"/>
    </xf>
    <xf numFmtId="164" fontId="16" fillId="0" borderId="7" xfId="1" applyNumberFormat="1" applyFont="1" applyBorder="1" applyAlignment="1">
      <alignment horizontal="right" vertical="center" wrapText="1"/>
    </xf>
    <xf numFmtId="166" fontId="15" fillId="0" borderId="0" xfId="0" applyNumberFormat="1" applyFont="1" applyAlignment="1">
      <alignment horizontal="right" vertical="center" wrapText="1"/>
    </xf>
    <xf numFmtId="167" fontId="15" fillId="0" borderId="8" xfId="0" applyNumberFormat="1" applyFont="1" applyBorder="1" applyAlignment="1">
      <alignment horizontal="right" vertical="center" wrapText="1"/>
    </xf>
    <xf numFmtId="164" fontId="15" fillId="0" borderId="8" xfId="1" applyNumberFormat="1" applyFont="1" applyBorder="1" applyAlignment="1">
      <alignment horizontal="right" vertical="center" wrapText="1"/>
    </xf>
    <xf numFmtId="164" fontId="16" fillId="0" borderId="9" xfId="1" applyNumberFormat="1" applyFont="1" applyBorder="1" applyAlignment="1">
      <alignment horizontal="right" vertical="center" wrapText="1"/>
    </xf>
    <xf numFmtId="165" fontId="16" fillId="0" borderId="7" xfId="0" applyNumberFormat="1" applyFont="1" applyBorder="1" applyAlignment="1">
      <alignment horizontal="right" vertical="center" wrapText="1"/>
    </xf>
    <xf numFmtId="165" fontId="16" fillId="0" borderId="0" xfId="0" applyNumberFormat="1" applyFont="1" applyAlignment="1">
      <alignment horizontal="right" vertical="center" wrapText="1"/>
    </xf>
    <xf numFmtId="165" fontId="16" fillId="0" borderId="9" xfId="0" applyNumberFormat="1" applyFont="1" applyBorder="1" applyAlignment="1">
      <alignment horizontal="right" vertical="center" wrapText="1"/>
    </xf>
    <xf numFmtId="165" fontId="16" fillId="0" borderId="8" xfId="0" applyNumberFormat="1" applyFont="1" applyBorder="1" applyAlignment="1">
      <alignment horizontal="right" vertical="center" wrapText="1"/>
    </xf>
    <xf numFmtId="166" fontId="8" fillId="0" borderId="0" xfId="0" applyNumberFormat="1" applyFont="1" applyAlignment="1">
      <alignment vertical="center"/>
    </xf>
    <xf numFmtId="166" fontId="16" fillId="0" borderId="7" xfId="0" applyNumberFormat="1" applyFont="1" applyBorder="1" applyAlignment="1">
      <alignment horizontal="right" vertical="center" wrapText="1"/>
    </xf>
    <xf numFmtId="166" fontId="15" fillId="0" borderId="8" xfId="0" applyNumberFormat="1" applyFont="1" applyBorder="1" applyAlignment="1">
      <alignment horizontal="right" vertical="center" wrapText="1"/>
    </xf>
    <xf numFmtId="166" fontId="16" fillId="0" borderId="9" xfId="0" applyNumberFormat="1" applyFont="1" applyBorder="1" applyAlignment="1">
      <alignment horizontal="right" vertical="center" wrapText="1"/>
    </xf>
    <xf numFmtId="166" fontId="16" fillId="0" borderId="8" xfId="0" applyNumberFormat="1" applyFont="1" applyBorder="1" applyAlignment="1">
      <alignment horizontal="right" vertical="center" wrapText="1"/>
    </xf>
    <xf numFmtId="166" fontId="8" fillId="0" borderId="0" xfId="0" applyNumberFormat="1" applyFont="1" applyAlignment="1">
      <alignment horizontal="right" vertical="center"/>
    </xf>
    <xf numFmtId="0" fontId="12" fillId="0" borderId="0" xfId="0" applyFont="1" applyAlignment="1">
      <alignment vertical="center"/>
    </xf>
    <xf numFmtId="0" fontId="11" fillId="0" borderId="0" xfId="0" quotePrefix="1" applyFont="1" applyAlignment="1">
      <alignment horizontal="left" vertical="center" wrapText="1"/>
    </xf>
    <xf numFmtId="0" fontId="8" fillId="0" borderId="0" xfId="0" quotePrefix="1" applyFont="1" applyAlignment="1">
      <alignment horizontal="justify" vertical="center" wrapText="1"/>
    </xf>
    <xf numFmtId="0" fontId="12" fillId="0" borderId="0" xfId="0" quotePrefix="1" applyFont="1" applyAlignment="1">
      <alignment horizontal="justify" vertical="center" wrapText="1"/>
    </xf>
    <xf numFmtId="166" fontId="16" fillId="0" borderId="0" xfId="0" applyNumberFormat="1" applyFont="1" applyAlignment="1">
      <alignment horizontal="right" vertical="center" wrapText="1"/>
    </xf>
    <xf numFmtId="167" fontId="15" fillId="0" borderId="0" xfId="0" applyNumberFormat="1" applyFont="1" applyAlignment="1">
      <alignment horizontal="right" vertical="center" wrapText="1"/>
    </xf>
    <xf numFmtId="167" fontId="16" fillId="0" borderId="7" xfId="0" applyNumberFormat="1" applyFont="1" applyBorder="1" applyAlignment="1">
      <alignment horizontal="right" vertical="center" wrapText="1"/>
    </xf>
    <xf numFmtId="167" fontId="16" fillId="0" borderId="0" xfId="0" applyNumberFormat="1" applyFont="1" applyAlignment="1">
      <alignment horizontal="right" vertical="center" wrapText="1"/>
    </xf>
    <xf numFmtId="167" fontId="16" fillId="0" borderId="9" xfId="0" applyNumberFormat="1" applyFont="1" applyBorder="1" applyAlignment="1">
      <alignment horizontal="right" vertical="center" wrapText="1"/>
    </xf>
    <xf numFmtId="167" fontId="16" fillId="0" borderId="8" xfId="0" applyNumberFormat="1" applyFont="1" applyBorder="1" applyAlignment="1">
      <alignment horizontal="right" vertical="center" wrapText="1"/>
    </xf>
    <xf numFmtId="0" fontId="15" fillId="2" borderId="0" xfId="0" applyFont="1" applyFill="1" applyAlignment="1">
      <alignment vertical="center"/>
    </xf>
    <xf numFmtId="0" fontId="8" fillId="0" borderId="0" xfId="0" applyFont="1" applyAlignment="1">
      <alignment vertical="top" wrapText="1"/>
    </xf>
    <xf numFmtId="0" fontId="8" fillId="0" borderId="0" xfId="0" quotePrefix="1" applyFont="1" applyAlignment="1">
      <alignment vertical="top"/>
    </xf>
    <xf numFmtId="0" fontId="11" fillId="0" borderId="0" xfId="0" quotePrefix="1" applyFont="1" applyAlignment="1">
      <alignment vertical="top"/>
    </xf>
    <xf numFmtId="0" fontId="17" fillId="0" borderId="1" xfId="0" applyFont="1" applyBorder="1" applyAlignment="1">
      <alignment vertical="center"/>
    </xf>
    <xf numFmtId="0" fontId="18" fillId="0" borderId="1" xfId="0" applyFont="1" applyBorder="1" applyAlignment="1">
      <alignment horizontal="left" vertical="center"/>
    </xf>
    <xf numFmtId="0" fontId="19" fillId="0" borderId="2" xfId="0" applyFont="1" applyBorder="1" applyAlignment="1">
      <alignment vertical="center"/>
    </xf>
    <xf numFmtId="0" fontId="2" fillId="0" borderId="10" xfId="0" applyFont="1" applyBorder="1" applyAlignment="1">
      <alignment vertical="top" wrapText="1"/>
    </xf>
    <xf numFmtId="0" fontId="8" fillId="0" borderId="0" xfId="0" quotePrefix="1" applyFont="1" applyAlignment="1">
      <alignment horizontal="left" vertical="center"/>
    </xf>
    <xf numFmtId="0" fontId="20" fillId="0" borderId="0" xfId="0" applyFont="1" applyAlignment="1">
      <alignment vertical="center"/>
    </xf>
    <xf numFmtId="0" fontId="2" fillId="0" borderId="0" xfId="0" quotePrefix="1" applyFont="1" applyAlignment="1">
      <alignment vertical="center"/>
    </xf>
    <xf numFmtId="10" fontId="2" fillId="0" borderId="0" xfId="0" applyNumberFormat="1" applyFont="1" applyAlignment="1">
      <alignment vertical="center"/>
    </xf>
    <xf numFmtId="0" fontId="21" fillId="3" borderId="0" xfId="0" applyFont="1" applyFill="1" applyAlignment="1">
      <alignment horizontal="left" vertical="center"/>
    </xf>
    <xf numFmtId="0" fontId="21" fillId="3" borderId="0" xfId="0" applyFont="1" applyFill="1" applyAlignment="1">
      <alignment vertical="center"/>
    </xf>
    <xf numFmtId="0" fontId="21" fillId="3" borderId="0" xfId="0" applyFont="1" applyFill="1" applyAlignment="1">
      <alignment horizontal="center" vertical="center"/>
    </xf>
    <xf numFmtId="14" fontId="2" fillId="0" borderId="2" xfId="0" applyNumberFormat="1" applyFont="1" applyBorder="1" applyAlignment="1">
      <alignment horizontal="left" vertical="center"/>
    </xf>
    <xf numFmtId="0" fontId="2" fillId="0" borderId="3" xfId="0" applyFont="1" applyBorder="1" applyAlignment="1">
      <alignment horizontal="center" vertical="center"/>
    </xf>
    <xf numFmtId="0" fontId="22" fillId="0" borderId="0" xfId="0" applyFont="1" applyAlignment="1">
      <alignment vertical="center"/>
    </xf>
    <xf numFmtId="0" fontId="2" fillId="0" borderId="0" xfId="0" quotePrefix="1" applyFont="1" applyAlignment="1">
      <alignment vertical="center"/>
    </xf>
    <xf numFmtId="0" fontId="2" fillId="0" borderId="0" xfId="0" quotePrefix="1" applyFont="1" applyAlignment="1">
      <alignment horizontal="left" vertical="center" wrapText="1"/>
    </xf>
    <xf numFmtId="0" fontId="8" fillId="0" borderId="0" xfId="0" quotePrefix="1" applyFont="1" applyAlignment="1">
      <alignment horizontal="justify" vertical="center"/>
    </xf>
    <xf numFmtId="0" fontId="14" fillId="0" borderId="0" xfId="0" applyFont="1" applyAlignment="1">
      <alignment vertical="center"/>
    </xf>
    <xf numFmtId="10" fontId="14" fillId="0" borderId="0" xfId="0" applyNumberFormat="1" applyFont="1" applyAlignment="1">
      <alignment vertical="center"/>
    </xf>
    <xf numFmtId="14" fontId="8" fillId="0" borderId="0" xfId="0" applyNumberFormat="1" applyFont="1" applyAlignment="1">
      <alignment horizontal="left" vertical="center"/>
    </xf>
    <xf numFmtId="0" fontId="8" fillId="0" borderId="0" xfId="0" quotePrefix="1" applyFont="1" applyAlignment="1">
      <alignment horizontal="left" vertical="center" wrapText="1"/>
    </xf>
    <xf numFmtId="0" fontId="11" fillId="0" borderId="0" xfId="0" applyFont="1" applyAlignment="1">
      <alignment vertical="center"/>
    </xf>
    <xf numFmtId="0" fontId="11" fillId="0" borderId="0" xfId="0" applyFont="1" applyAlignment="1">
      <alignment horizontal="left" vertical="center" indent="2"/>
    </xf>
    <xf numFmtId="0" fontId="8" fillId="0" borderId="0" xfId="0" applyFont="1" applyAlignment="1">
      <alignment horizontal="left" vertical="center" indent="3"/>
    </xf>
    <xf numFmtId="0" fontId="9" fillId="0" borderId="0" xfId="0" applyFont="1" applyAlignment="1">
      <alignment vertical="center"/>
    </xf>
    <xf numFmtId="10" fontId="8" fillId="0" borderId="0" xfId="0" applyNumberFormat="1" applyFont="1" applyAlignment="1">
      <alignment vertical="center"/>
    </xf>
    <xf numFmtId="0" fontId="12" fillId="0" borderId="0" xfId="0" applyFont="1" applyAlignment="1">
      <alignment horizontal="justify" vertical="top" wrapText="1"/>
    </xf>
    <xf numFmtId="0" fontId="13" fillId="0" borderId="0" xfId="0" applyFont="1" applyAlignment="1">
      <alignment vertical="center"/>
    </xf>
    <xf numFmtId="0" fontId="12" fillId="0" borderId="0" xfId="0" applyFont="1" applyAlignment="1">
      <alignment vertical="top" wrapText="1"/>
    </xf>
    <xf numFmtId="0" fontId="12" fillId="0" borderId="0" xfId="0" quotePrefix="1" applyFont="1" applyAlignment="1">
      <alignment horizontal="left" vertical="center" wrapText="1"/>
    </xf>
    <xf numFmtId="0" fontId="12" fillId="0" borderId="0" xfId="0" quotePrefix="1" applyFont="1" applyAlignment="1">
      <alignment vertical="center"/>
    </xf>
    <xf numFmtId="9" fontId="16" fillId="0" borderId="0" xfId="1" applyFont="1" applyAlignment="1">
      <alignment horizontal="right" vertical="center" wrapText="1"/>
    </xf>
    <xf numFmtId="9" fontId="16" fillId="0" borderId="8" xfId="1" applyFont="1" applyBorder="1" applyAlignment="1">
      <alignment horizontal="right" vertical="center" wrapText="1"/>
    </xf>
    <xf numFmtId="0" fontId="12" fillId="0" borderId="10" xfId="0" applyFont="1" applyBorder="1" applyAlignment="1">
      <alignment vertical="top" wrapText="1"/>
    </xf>
    <xf numFmtId="0" fontId="23" fillId="0" borderId="0" xfId="0" applyFont="1" applyAlignment="1">
      <alignment vertical="top" wrapText="1"/>
    </xf>
    <xf numFmtId="0" fontId="8" fillId="0" borderId="0" xfId="0" quotePrefix="1" applyFont="1" applyAlignment="1">
      <alignment horizontal="left" vertical="center" wrapText="1" indent="1"/>
    </xf>
    <xf numFmtId="168" fontId="15" fillId="0" borderId="0" xfId="0" applyNumberFormat="1" applyFont="1" applyAlignment="1">
      <alignment horizontal="right" vertical="center" wrapText="1"/>
    </xf>
    <xf numFmtId="168" fontId="16" fillId="0" borderId="7" xfId="0" applyNumberFormat="1" applyFont="1" applyBorder="1" applyAlignment="1">
      <alignment horizontal="right" vertical="center" wrapText="1"/>
    </xf>
    <xf numFmtId="3" fontId="8" fillId="0" borderId="0" xfId="0" applyNumberFormat="1" applyFont="1" applyAlignment="1">
      <alignment horizontal="justify" vertical="top" wrapText="1"/>
    </xf>
    <xf numFmtId="3" fontId="8" fillId="0" borderId="0" xfId="0" applyNumberFormat="1" applyFont="1" applyAlignment="1">
      <alignment vertical="top" wrapText="1"/>
    </xf>
    <xf numFmtId="0" fontId="8" fillId="0" borderId="0" xfId="0" quotePrefix="1" applyFont="1" applyAlignment="1">
      <alignment horizontal="justify"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A1FF-4506-9B74-AB9C799BF2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FF-4506-9B74-AB9C799BF239}"/>
              </c:ext>
            </c:extLst>
          </c:dPt>
          <c:dLbls>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PE"/>
                </a:p>
              </c:txPr>
              <c:showLegendKey val="0"/>
              <c:showVal val="0"/>
              <c:showCatName val="0"/>
              <c:showSerName val="0"/>
              <c:showPercent val="1"/>
              <c:showBubbleSize val="0"/>
              <c:extLst>
                <c:ext xmlns:c16="http://schemas.microsoft.com/office/drawing/2014/chart" uri="{C3380CC4-5D6E-409C-BE32-E72D297353CC}">
                  <c16:uniqueId val="{00000001-A1FF-4506-9B74-AB9C799BF239}"/>
                </c:ext>
              </c:extLst>
            </c:dLbl>
            <c:dLbl>
              <c:idx val="1"/>
              <c:layout>
                <c:manualLayout>
                  <c:x val="-1.2750797472222351E-2"/>
                  <c:y val="-1.6159132496049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FF-4506-9B74-AB9C799BF239}"/>
                </c:ext>
              </c:extLst>
            </c:dLbl>
            <c:numFmt formatCode="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[1]Orazen!$Q$52:$Q$53</c:f>
              <c:strCache>
                <c:ptCount val="2"/>
                <c:pt idx="0">
                  <c:v>Orazul Energía Perú S.A.C.</c:v>
                </c:pt>
                <c:pt idx="1">
                  <c:v>Accionistas minoritarios</c:v>
                </c:pt>
              </c:strCache>
            </c:strRef>
          </c:cat>
          <c:val>
            <c:numRef>
              <c:f>[1]Orazen!$S$52:$S$53</c:f>
              <c:numCache>
                <c:formatCode>General</c:formatCode>
                <c:ptCount val="2"/>
                <c:pt idx="0">
                  <c:v>0.99970000000000003</c:v>
                </c:pt>
                <c:pt idx="1">
                  <c:v>2.9999999999999997E-4</c:v>
                </c:pt>
              </c:numCache>
            </c:numRef>
          </c:val>
          <c:extLst>
            <c:ext xmlns:c16="http://schemas.microsoft.com/office/drawing/2014/chart" uri="{C3380CC4-5D6E-409C-BE32-E72D297353CC}">
              <c16:uniqueId val="{00000004-A1FF-4506-9B74-AB9C799BF239}"/>
            </c:ext>
          </c:extLst>
        </c:ser>
        <c:dLbls>
          <c:showLegendKey val="0"/>
          <c:showVal val="0"/>
          <c:showCatName val="0"/>
          <c:showSerName val="0"/>
          <c:showPercent val="1"/>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DF88-47AF-A378-82CD90982286}"/>
              </c:ext>
            </c:extLst>
          </c:dPt>
          <c:dPt>
            <c:idx val="1"/>
            <c:bubble3D val="0"/>
            <c:spPr>
              <a:solidFill>
                <a:srgbClr val="3092A6"/>
              </a:solidFill>
              <a:ln w="19050">
                <a:solidFill>
                  <a:schemeClr val="lt1"/>
                </a:solidFill>
              </a:ln>
              <a:effectLst/>
            </c:spPr>
            <c:extLst>
              <c:ext xmlns:c16="http://schemas.microsoft.com/office/drawing/2014/chart" uri="{C3380CC4-5D6E-409C-BE32-E72D297353CC}">
                <c16:uniqueId val="{00000003-DF88-47AF-A378-82CD90982286}"/>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DF88-47AF-A378-82CD90982286}"/>
              </c:ext>
            </c:extLst>
          </c:dPt>
          <c:dPt>
            <c:idx val="3"/>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7-DF88-47AF-A378-82CD90982286}"/>
              </c:ext>
            </c:extLst>
          </c:dPt>
          <c:dPt>
            <c:idx val="4"/>
            <c:bubble3D val="0"/>
            <c:spPr>
              <a:solidFill>
                <a:schemeClr val="tx1"/>
              </a:solidFill>
              <a:ln w="19050">
                <a:solidFill>
                  <a:schemeClr val="lt1"/>
                </a:solidFill>
              </a:ln>
              <a:effectLst/>
            </c:spPr>
            <c:extLst>
              <c:ext xmlns:c16="http://schemas.microsoft.com/office/drawing/2014/chart" uri="{C3380CC4-5D6E-409C-BE32-E72D297353CC}">
                <c16:uniqueId val="{00000009-DF88-47AF-A378-82CD90982286}"/>
              </c:ext>
            </c:extLst>
          </c:dPt>
          <c:dPt>
            <c:idx val="5"/>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B-DF88-47AF-A378-82CD90982286}"/>
              </c:ext>
            </c:extLst>
          </c:dPt>
          <c:dLbls>
            <c:dLbl>
              <c:idx val="3"/>
              <c:layout>
                <c:manualLayout>
                  <c:x val="-5.4957083710417479E-2"/>
                  <c:y val="-3.300914564979190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88-47AF-A378-82CD90982286}"/>
                </c:ext>
              </c:extLst>
            </c:dLbl>
            <c:dLbl>
              <c:idx val="5"/>
              <c:layout>
                <c:manualLayout>
                  <c:x val="3.9968788153030892E-2"/>
                  <c:y val="-1.88623689427382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F88-47AF-A378-82CD909822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'[1]Pluz Energia'!$Q$46:$Q$51</c:f>
              <c:strCache>
                <c:ptCount val="6"/>
                <c:pt idx="0">
                  <c:v>Enel Perú</c:v>
                </c:pt>
                <c:pt idx="1">
                  <c:v>AFP Integra</c:v>
                </c:pt>
                <c:pt idx="2">
                  <c:v>Prima AFP</c:v>
                </c:pt>
                <c:pt idx="3">
                  <c:v>Profuturo AFP</c:v>
                </c:pt>
                <c:pt idx="4">
                  <c:v>AFP Habitat</c:v>
                </c:pt>
                <c:pt idx="5">
                  <c:v>Otros</c:v>
                </c:pt>
              </c:strCache>
            </c:strRef>
          </c:cat>
          <c:val>
            <c:numRef>
              <c:f>'[1]Pluz Energia'!$R$46:$R$51</c:f>
              <c:numCache>
                <c:formatCode>General</c:formatCode>
                <c:ptCount val="6"/>
                <c:pt idx="0">
                  <c:v>0.83150000000000002</c:v>
                </c:pt>
                <c:pt idx="1">
                  <c:v>8.2699999999999996E-2</c:v>
                </c:pt>
                <c:pt idx="2">
                  <c:v>5.4999999999999997E-3</c:v>
                </c:pt>
                <c:pt idx="3">
                  <c:v>3.5700000000000003E-2</c:v>
                </c:pt>
                <c:pt idx="4">
                  <c:v>5.1999999999999998E-3</c:v>
                </c:pt>
                <c:pt idx="5">
                  <c:v>3.9400000000000102E-2</c:v>
                </c:pt>
              </c:numCache>
            </c:numRef>
          </c:val>
          <c:extLst>
            <c:ext xmlns:c16="http://schemas.microsoft.com/office/drawing/2014/chart" uri="{C3380CC4-5D6E-409C-BE32-E72D297353CC}">
              <c16:uniqueId val="{0000000C-DF88-47AF-A378-82CD9098228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C53B-4509-8FB5-0CFEE1DA2915}"/>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53B-4509-8FB5-0CFEE1DA2915}"/>
              </c:ext>
            </c:extLst>
          </c:dPt>
          <c:dPt>
            <c:idx val="2"/>
            <c:bubble3D val="0"/>
            <c:spPr>
              <a:solidFill>
                <a:srgbClr val="DAF0FE"/>
              </a:solidFill>
              <a:ln w="19050">
                <a:solidFill>
                  <a:schemeClr val="lt1"/>
                </a:solidFill>
              </a:ln>
              <a:effectLst/>
            </c:spPr>
            <c:extLst>
              <c:ext xmlns:c16="http://schemas.microsoft.com/office/drawing/2014/chart" uri="{C3380CC4-5D6E-409C-BE32-E72D297353CC}">
                <c16:uniqueId val="{00000005-C53B-4509-8FB5-0CFEE1DA2915}"/>
              </c:ext>
            </c:extLst>
          </c:dPt>
          <c:dPt>
            <c:idx val="3"/>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7-C53B-4509-8FB5-0CFEE1DA2915}"/>
              </c:ext>
            </c:extLst>
          </c:dPt>
          <c:dPt>
            <c:idx val="4"/>
            <c:bubble3D val="0"/>
            <c:spPr>
              <a:solidFill>
                <a:schemeClr val="tx1"/>
              </a:solidFill>
              <a:ln w="19050">
                <a:solidFill>
                  <a:schemeClr val="lt1"/>
                </a:solidFill>
              </a:ln>
              <a:effectLst/>
            </c:spPr>
            <c:extLst>
              <c:ext xmlns:c16="http://schemas.microsoft.com/office/drawing/2014/chart" uri="{C3380CC4-5D6E-409C-BE32-E72D297353CC}">
                <c16:uniqueId val="{00000009-C53B-4509-8FB5-0CFEE1DA2915}"/>
              </c:ext>
            </c:extLst>
          </c:dPt>
          <c:dPt>
            <c:idx val="5"/>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B-C53B-4509-8FB5-0CFEE1DA2915}"/>
              </c:ext>
            </c:extLst>
          </c:dPt>
          <c:dLbls>
            <c:dLbl>
              <c:idx val="3"/>
              <c:layout>
                <c:manualLayout>
                  <c:x val="-3.4972675875875721E-2"/>
                  <c:y val="4.791045917303440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3B-4509-8FB5-0CFEE1DA2915}"/>
                </c:ext>
              </c:extLst>
            </c:dLbl>
            <c:dLbl>
              <c:idx val="5"/>
              <c:layout>
                <c:manualLayout>
                  <c:x val="3.9968788153030892E-2"/>
                  <c:y val="-1.88623689427382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53B-4509-8FB5-0CFEE1DA29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[1]Engie!$Q$55:$Q$60</c:f>
              <c:strCache>
                <c:ptCount val="6"/>
                <c:pt idx="0">
                  <c:v>Int. Power</c:v>
                </c:pt>
                <c:pt idx="1">
                  <c:v>AFP I ntegra</c:v>
                </c:pt>
                <c:pt idx="2">
                  <c:v>Prima AFP</c:v>
                </c:pt>
                <c:pt idx="3">
                  <c:v>Profuturo AFP</c:v>
                </c:pt>
                <c:pt idx="4">
                  <c:v>AFP Habitat</c:v>
                </c:pt>
                <c:pt idx="5">
                  <c:v>Otros</c:v>
                </c:pt>
              </c:strCache>
            </c:strRef>
          </c:cat>
          <c:val>
            <c:numRef>
              <c:f>[1]Engie!$R$55:$R$60</c:f>
              <c:numCache>
                <c:formatCode>General</c:formatCode>
                <c:ptCount val="6"/>
                <c:pt idx="0">
                  <c:v>0.61770000000000003</c:v>
                </c:pt>
                <c:pt idx="1">
                  <c:v>0.1195</c:v>
                </c:pt>
                <c:pt idx="2">
                  <c:v>0.1187</c:v>
                </c:pt>
                <c:pt idx="3">
                  <c:v>8.9700000000000002E-2</c:v>
                </c:pt>
                <c:pt idx="4">
                  <c:v>1.4E-2</c:v>
                </c:pt>
                <c:pt idx="5">
                  <c:v>4.039999999999988E-2</c:v>
                </c:pt>
              </c:numCache>
            </c:numRef>
          </c:val>
          <c:extLst>
            <c:ext xmlns:c16="http://schemas.microsoft.com/office/drawing/2014/chart" uri="{C3380CC4-5D6E-409C-BE32-E72D297353CC}">
              <c16:uniqueId val="{0000000C-C53B-4509-8FB5-0CFEE1DA2915}"/>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18</xdr:col>
      <xdr:colOff>582081</xdr:colOff>
      <xdr:row>28</xdr:row>
      <xdr:rowOff>63500</xdr:rowOff>
    </xdr:from>
    <xdr:to>
      <xdr:col>20</xdr:col>
      <xdr:colOff>298177</xdr:colOff>
      <xdr:row>29</xdr:row>
      <xdr:rowOff>131027</xdr:rowOff>
    </xdr:to>
    <xdr:pic>
      <xdr:nvPicPr>
        <xdr:cNvPr id="2" name="Picture 1">
          <a:extLst>
            <a:ext uri="{FF2B5EF4-FFF2-40B4-BE49-F238E27FC236}">
              <a16:creationId xmlns:a16="http://schemas.microsoft.com/office/drawing/2014/main" id="{875EE95F-92E4-4D9C-9F83-6B7E5A92F577}"/>
            </a:ext>
          </a:extLst>
        </xdr:cNvPr>
        <xdr:cNvPicPr>
          <a:picLocks noChangeAspect="1"/>
        </xdr:cNvPicPr>
      </xdr:nvPicPr>
      <xdr:blipFill rotWithShape="1">
        <a:blip xmlns:r="http://schemas.openxmlformats.org/officeDocument/2006/relationships" r:embed="rId1"/>
        <a:srcRect l="34458" t="80288" r="48953" b="8633"/>
        <a:stretch>
          <a:fillRect/>
        </a:stretch>
      </xdr:blipFill>
      <xdr:spPr>
        <a:xfrm>
          <a:off x="13955181" y="5483225"/>
          <a:ext cx="935296" cy="258027"/>
        </a:xfrm>
        <a:prstGeom prst="rect">
          <a:avLst/>
        </a:prstGeom>
      </xdr:spPr>
    </xdr:pic>
    <xdr:clientData/>
  </xdr:twoCellAnchor>
  <xdr:twoCellAnchor editAs="oneCell">
    <xdr:from>
      <xdr:col>18</xdr:col>
      <xdr:colOff>571497</xdr:colOff>
      <xdr:row>31</xdr:row>
      <xdr:rowOff>84670</xdr:rowOff>
    </xdr:from>
    <xdr:to>
      <xdr:col>20</xdr:col>
      <xdr:colOff>358774</xdr:colOff>
      <xdr:row>32</xdr:row>
      <xdr:rowOff>116605</xdr:rowOff>
    </xdr:to>
    <xdr:pic>
      <xdr:nvPicPr>
        <xdr:cNvPr id="3" name="Picture 2">
          <a:extLst>
            <a:ext uri="{FF2B5EF4-FFF2-40B4-BE49-F238E27FC236}">
              <a16:creationId xmlns:a16="http://schemas.microsoft.com/office/drawing/2014/main" id="{2224FA07-026C-4A82-87ED-222BBB946895}"/>
            </a:ext>
          </a:extLst>
        </xdr:cNvPr>
        <xdr:cNvPicPr>
          <a:picLocks noChangeAspect="1"/>
        </xdr:cNvPicPr>
      </xdr:nvPicPr>
      <xdr:blipFill rotWithShape="1">
        <a:blip xmlns:r="http://schemas.openxmlformats.org/officeDocument/2006/relationships" r:embed="rId1"/>
        <a:srcRect l="34458" t="90220" r="47690" b="230"/>
        <a:stretch>
          <a:fillRect/>
        </a:stretch>
      </xdr:blipFill>
      <xdr:spPr>
        <a:xfrm>
          <a:off x="13944597" y="6075895"/>
          <a:ext cx="1006477" cy="222435"/>
        </a:xfrm>
        <a:prstGeom prst="rect">
          <a:avLst/>
        </a:prstGeom>
      </xdr:spPr>
    </xdr:pic>
    <xdr:clientData/>
  </xdr:twoCellAnchor>
  <xdr:twoCellAnchor editAs="oneCell">
    <xdr:from>
      <xdr:col>18</xdr:col>
      <xdr:colOff>592663</xdr:colOff>
      <xdr:row>29</xdr:row>
      <xdr:rowOff>169335</xdr:rowOff>
    </xdr:from>
    <xdr:to>
      <xdr:col>20</xdr:col>
      <xdr:colOff>290965</xdr:colOff>
      <xdr:row>31</xdr:row>
      <xdr:rowOff>19671</xdr:rowOff>
    </xdr:to>
    <xdr:pic>
      <xdr:nvPicPr>
        <xdr:cNvPr id="5" name="Picture 4">
          <a:extLst>
            <a:ext uri="{FF2B5EF4-FFF2-40B4-BE49-F238E27FC236}">
              <a16:creationId xmlns:a16="http://schemas.microsoft.com/office/drawing/2014/main" id="{189B646D-CFC1-46FD-A362-8BCA1A0E4829}"/>
            </a:ext>
          </a:extLst>
        </xdr:cNvPr>
        <xdr:cNvPicPr>
          <a:picLocks noChangeAspect="1"/>
        </xdr:cNvPicPr>
      </xdr:nvPicPr>
      <xdr:blipFill rotWithShape="1">
        <a:blip xmlns:r="http://schemas.openxmlformats.org/officeDocument/2006/relationships" r:embed="rId1"/>
        <a:srcRect l="51678" t="81434" r="32049" b="8633"/>
        <a:stretch>
          <a:fillRect/>
        </a:stretch>
      </xdr:blipFill>
      <xdr:spPr>
        <a:xfrm>
          <a:off x="13965763" y="5779560"/>
          <a:ext cx="917502" cy="2313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51</xdr:row>
      <xdr:rowOff>22411</xdr:rowOff>
    </xdr:from>
    <xdr:to>
      <xdr:col>20</xdr:col>
      <xdr:colOff>714375</xdr:colOff>
      <xdr:row>61</xdr:row>
      <xdr:rowOff>148166</xdr:rowOff>
    </xdr:to>
    <xdr:graphicFrame macro="">
      <xdr:nvGraphicFramePr>
        <xdr:cNvPr id="2" name="Chart 1">
          <a:extLst>
            <a:ext uri="{FF2B5EF4-FFF2-40B4-BE49-F238E27FC236}">
              <a16:creationId xmlns:a16="http://schemas.microsoft.com/office/drawing/2014/main" id="{42D7B35B-F4DE-487F-9BBD-8D72BCAEE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33</xdr:row>
      <xdr:rowOff>0</xdr:rowOff>
    </xdr:from>
    <xdr:to>
      <xdr:col>11</xdr:col>
      <xdr:colOff>304800</xdr:colOff>
      <xdr:row>34</xdr:row>
      <xdr:rowOff>111125</xdr:rowOff>
    </xdr:to>
    <xdr:sp macro="" textlink="">
      <xdr:nvSpPr>
        <xdr:cNvPr id="2" name="AutoShape 3" descr="Vista previa de imagen">
          <a:extLst>
            <a:ext uri="{FF2B5EF4-FFF2-40B4-BE49-F238E27FC236}">
              <a16:creationId xmlns:a16="http://schemas.microsoft.com/office/drawing/2014/main" id="{C62BD8CD-5E67-4027-8A49-84C261AA07BE}"/>
            </a:ext>
          </a:extLst>
        </xdr:cNvPr>
        <xdr:cNvSpPr>
          <a:spLocks noChangeAspect="1" noChangeArrowheads="1"/>
        </xdr:cNvSpPr>
      </xdr:nvSpPr>
      <xdr:spPr bwMode="auto">
        <a:xfrm>
          <a:off x="7439025" y="63722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40</xdr:row>
      <xdr:rowOff>0</xdr:rowOff>
    </xdr:from>
    <xdr:to>
      <xdr:col>21</xdr:col>
      <xdr:colOff>164963</xdr:colOff>
      <xdr:row>48</xdr:row>
      <xdr:rowOff>31750</xdr:rowOff>
    </xdr:to>
    <xdr:pic>
      <xdr:nvPicPr>
        <xdr:cNvPr id="4" name="Picture 3">
          <a:extLst>
            <a:ext uri="{FF2B5EF4-FFF2-40B4-BE49-F238E27FC236}">
              <a16:creationId xmlns:a16="http://schemas.microsoft.com/office/drawing/2014/main" id="{A94F423B-8BE6-416C-ACE3-64478C262CA8}"/>
            </a:ext>
          </a:extLst>
        </xdr:cNvPr>
        <xdr:cNvPicPr>
          <a:picLocks noChangeAspect="1"/>
        </xdr:cNvPicPr>
      </xdr:nvPicPr>
      <xdr:blipFill>
        <a:blip xmlns:r="http://schemas.openxmlformats.org/officeDocument/2006/relationships" r:embed="rId1"/>
        <a:stretch>
          <a:fillRect/>
        </a:stretch>
      </xdr:blipFill>
      <xdr:spPr>
        <a:xfrm>
          <a:off x="8286750" y="7705725"/>
          <a:ext cx="5651363" cy="1555750"/>
        </a:xfrm>
        <a:prstGeom prst="rect">
          <a:avLst/>
        </a:prstGeom>
      </xdr:spPr>
    </xdr:pic>
    <xdr:clientData/>
  </xdr:twoCellAnchor>
  <xdr:twoCellAnchor editAs="oneCell">
    <xdr:from>
      <xdr:col>12</xdr:col>
      <xdr:colOff>1</xdr:colOff>
      <xdr:row>49</xdr:row>
      <xdr:rowOff>1</xdr:rowOff>
    </xdr:from>
    <xdr:to>
      <xdr:col>21</xdr:col>
      <xdr:colOff>234951</xdr:colOff>
      <xdr:row>56</xdr:row>
      <xdr:rowOff>138965</xdr:rowOff>
    </xdr:to>
    <xdr:pic>
      <xdr:nvPicPr>
        <xdr:cNvPr id="5" name="Picture 4">
          <a:extLst>
            <a:ext uri="{FF2B5EF4-FFF2-40B4-BE49-F238E27FC236}">
              <a16:creationId xmlns:a16="http://schemas.microsoft.com/office/drawing/2014/main" id="{EE0A3EEE-30E6-41FA-8442-0F24F75EED2D}"/>
            </a:ext>
          </a:extLst>
        </xdr:cNvPr>
        <xdr:cNvPicPr>
          <a:picLocks noChangeAspect="1"/>
        </xdr:cNvPicPr>
      </xdr:nvPicPr>
      <xdr:blipFill>
        <a:blip xmlns:r="http://schemas.openxmlformats.org/officeDocument/2006/relationships" r:embed="rId2"/>
        <a:stretch>
          <a:fillRect/>
        </a:stretch>
      </xdr:blipFill>
      <xdr:spPr>
        <a:xfrm>
          <a:off x="8286751" y="9420226"/>
          <a:ext cx="5721350" cy="14724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15</xdr:col>
      <xdr:colOff>742951</xdr:colOff>
      <xdr:row>45</xdr:row>
      <xdr:rowOff>43656</xdr:rowOff>
    </xdr:from>
    <xdr:to>
      <xdr:col>20</xdr:col>
      <xdr:colOff>685801</xdr:colOff>
      <xdr:row>59</xdr:row>
      <xdr:rowOff>74084</xdr:rowOff>
    </xdr:to>
    <xdr:graphicFrame macro="">
      <xdr:nvGraphicFramePr>
        <xdr:cNvPr id="2" name="Chart 1">
          <a:extLst>
            <a:ext uri="{FF2B5EF4-FFF2-40B4-BE49-F238E27FC236}">
              <a16:creationId xmlns:a16="http://schemas.microsoft.com/office/drawing/2014/main" id="{9FFECB6E-0308-4947-946D-6C03D4767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21166</xdr:colOff>
      <xdr:row>51</xdr:row>
      <xdr:rowOff>63500</xdr:rowOff>
    </xdr:from>
    <xdr:to>
      <xdr:col>20</xdr:col>
      <xdr:colOff>370416</xdr:colOff>
      <xdr:row>61</xdr:row>
      <xdr:rowOff>148167</xdr:rowOff>
    </xdr:to>
    <xdr:graphicFrame macro="">
      <xdr:nvGraphicFramePr>
        <xdr:cNvPr id="2" name="Chart 1">
          <a:extLst>
            <a:ext uri="{FF2B5EF4-FFF2-40B4-BE49-F238E27FC236}">
              <a16:creationId xmlns:a16="http://schemas.microsoft.com/office/drawing/2014/main" id="{C5114A8C-9F27-4CC3-A3BD-CD9C01B7E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Mesa%20de%20Inversiones\Bottom-Up\Franco\TAREAS%204Q%202026\One%20pager%20Model%20R.xlsm" TargetMode="External"/><Relationship Id="rId1" Type="http://schemas.openxmlformats.org/officeDocument/2006/relationships/externalLinkPath" Target="TAREAS%204Q%202026/One%20pager%20Model%20R.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20Proceso%20de%20Inversi&#243;n%20Renta%20Fija/Corporates%20-%20Emisiones/Cr&#233;dito%20-%20BU/1.%20Emisores/1.%20One%20pagers/One%20pager%20Model%20R.xlsm" TargetMode="External"/><Relationship Id="rId2" Type="http://schemas.openxmlformats.org/officeDocument/2006/relationships/externalLinkPath" Target="file:///Z:\Mesa%20de%20Inversiones\Bottom-Up\2%20Proceso%20de%20Inversi&#243;n%20Renta%20Fija\Corporates%20-%20Emisiones\Cr&#233;dito%20-%20BU\1.%20Emisores\1.%20One%20pagers\One%20pager%20Model%20R.xlsm" TargetMode="External"/><Relationship Id="rId1" Type="http://schemas.openxmlformats.org/officeDocument/2006/relationships/externalLinkPath" Target="/Mesa%20de%20Inversiones/Bottom-Up/2%20Proceso%20de%20Inversi&#243;n%20Renta%20Fija/Corporates%20-%20Emisiones/Cr&#233;dito%20-%20BU/1.%20Emisores/1.%20One%20pagers/One%20pager%20Model%20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sheetName val="Comando"/>
      <sheetName val="MSCI"/>
      <sheetName val="BD"/>
      <sheetName val="CT"/>
      <sheetName val="CIQ --&gt;"/>
      <sheetName val="BCP"/>
      <sheetName val="IBK"/>
      <sheetName val="Banorte"/>
      <sheetName val="_CIQHiddenCacheSheet"/>
      <sheetName val="BBVA Mexico"/>
      <sheetName val="Cibest"/>
      <sheetName val="Davivienda"/>
      <sheetName val="Grupo Aval"/>
      <sheetName val="BCI"/>
      <sheetName val="Hunt Oil Peru"/>
      <sheetName val="Ecopetrol"/>
      <sheetName val="EPM"/>
      <sheetName val="Orazen"/>
      <sheetName val="LdS"/>
      <sheetName val="Pluz Energia"/>
      <sheetName val="Orygen"/>
      <sheetName val="Engie"/>
      <sheetName val="Nexa"/>
      <sheetName val="Minsur"/>
      <sheetName val="Volcan"/>
      <sheetName val="NOT --&gt;"/>
      <sheetName val="Kallpa"/>
      <sheetName val="AES Andes"/>
      <sheetName val="Cálidda"/>
      <sheetName val="CTM"/>
      <sheetName val="Fenix"/>
      <sheetName val="Inkia"/>
      <sheetName val="Energía Eólica"/>
      <sheetName val="SCCO"/>
      <sheetName val="Nexa Perú"/>
      <sheetName val="REP"/>
      <sheetName val="Celulosa Arauco"/>
      <sheetName val="Peru LNG"/>
      <sheetName val="TTG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52">
          <cell r="Q52" t="str">
            <v>Orazul Energía Perú S.A.C.</v>
          </cell>
          <cell r="S52">
            <v>0.99970000000000003</v>
          </cell>
        </row>
        <row r="53">
          <cell r="Q53" t="str">
            <v>Accionistas minoritarios</v>
          </cell>
          <cell r="S53">
            <v>2.9999999999999997E-4</v>
          </cell>
        </row>
      </sheetData>
      <sheetData sheetId="19" refreshError="1"/>
      <sheetData sheetId="20">
        <row r="46">
          <cell r="Q46" t="str">
            <v>Enel Perú</v>
          </cell>
          <cell r="R46">
            <v>0.83150000000000002</v>
          </cell>
        </row>
        <row r="47">
          <cell r="Q47" t="str">
            <v>AFP Integra</v>
          </cell>
          <cell r="R47">
            <v>8.2699999999999996E-2</v>
          </cell>
        </row>
        <row r="48">
          <cell r="Q48" t="str">
            <v>Prima AFP</v>
          </cell>
          <cell r="R48">
            <v>5.4999999999999997E-3</v>
          </cell>
        </row>
        <row r="49">
          <cell r="Q49" t="str">
            <v>Profuturo AFP</v>
          </cell>
          <cell r="R49">
            <v>3.5700000000000003E-2</v>
          </cell>
        </row>
        <row r="50">
          <cell r="Q50" t="str">
            <v>AFP Habitat</v>
          </cell>
          <cell r="R50">
            <v>5.1999999999999998E-3</v>
          </cell>
        </row>
        <row r="51">
          <cell r="Q51" t="str">
            <v>Otros</v>
          </cell>
          <cell r="R51">
            <v>3.9400000000000102E-2</v>
          </cell>
        </row>
      </sheetData>
      <sheetData sheetId="21" refreshError="1"/>
      <sheetData sheetId="22">
        <row r="55">
          <cell r="Q55" t="str">
            <v>Int. Power</v>
          </cell>
          <cell r="R55">
            <v>0.61770000000000003</v>
          </cell>
        </row>
        <row r="56">
          <cell r="Q56" t="str">
            <v>AFP I ntegra</v>
          </cell>
          <cell r="R56">
            <v>0.1195</v>
          </cell>
        </row>
        <row r="57">
          <cell r="Q57" t="str">
            <v>Prima AFP</v>
          </cell>
          <cell r="R57">
            <v>0.1187</v>
          </cell>
        </row>
        <row r="58">
          <cell r="Q58" t="str">
            <v>Profuturo AFP</v>
          </cell>
          <cell r="R58">
            <v>8.9700000000000002E-2</v>
          </cell>
        </row>
        <row r="59">
          <cell r="Q59" t="str">
            <v>AFP Habitat</v>
          </cell>
          <cell r="R59">
            <v>1.4E-2</v>
          </cell>
        </row>
        <row r="60">
          <cell r="Q60" t="str">
            <v>Otros</v>
          </cell>
          <cell r="R60">
            <v>4.039999999999988E-2</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os"/>
      <sheetName val="_CIQHiddenCacheSheet"/>
      <sheetName val="Comando"/>
      <sheetName val="MSCI"/>
      <sheetName val="BD"/>
      <sheetName val="CT"/>
      <sheetName val="CIQ --&gt;"/>
      <sheetName val="BCP"/>
      <sheetName val="IBK"/>
      <sheetName val="Banorte"/>
      <sheetName val="BBVA Mexico"/>
      <sheetName val="Cibest"/>
      <sheetName val="Davivienda"/>
      <sheetName val="Grupo Aval"/>
      <sheetName val="BCI"/>
      <sheetName val="Hunt Oil Peru"/>
      <sheetName val="Ecopetrol"/>
      <sheetName val="EPM"/>
      <sheetName val="Orazen"/>
      <sheetName val="LdS"/>
      <sheetName val="Pluz Energia"/>
      <sheetName val="Orygen"/>
      <sheetName val="Engie"/>
      <sheetName val="Nexa"/>
      <sheetName val="Minsur"/>
      <sheetName val="Volcan"/>
      <sheetName val="NOT --&gt;"/>
      <sheetName val="Kallpa"/>
      <sheetName val="AES Andes"/>
      <sheetName val="Cálidda"/>
      <sheetName val="CTM"/>
      <sheetName val="Fenix"/>
      <sheetName val="Inkia"/>
      <sheetName val="Energía Eólica"/>
      <sheetName val="SCCO"/>
      <sheetName val="Nexa Perú"/>
      <sheetName val="REP"/>
      <sheetName val="Celulosa Arauco"/>
      <sheetName val="Peru LNG"/>
      <sheetName val="TTG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55">
          <cell r="R55">
            <v>0.61770000000000003</v>
          </cell>
        </row>
        <row r="56">
          <cell r="R56">
            <v>0.1195</v>
          </cell>
        </row>
        <row r="57">
          <cell r="R57">
            <v>0.1187</v>
          </cell>
        </row>
        <row r="58">
          <cell r="R58">
            <v>8.9700000000000002E-2</v>
          </cell>
        </row>
        <row r="59">
          <cell r="R59">
            <v>1.4E-2</v>
          </cell>
        </row>
        <row r="60">
          <cell r="R60">
            <v>4.039999999999988E-2</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AC5E1-AFA0-485E-9002-B9DAD3551C06}">
  <dimension ref="B1:U68"/>
  <sheetViews>
    <sheetView workbookViewId="0">
      <selection activeCell="U2" sqref="P2:U2"/>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c r="S2" s="7"/>
      <c r="T2" s="5"/>
      <c r="U2" s="6"/>
    </row>
    <row r="4" spans="12:21" ht="15.75" x14ac:dyDescent="0.25">
      <c r="L4" s="9" t="s">
        <v>0</v>
      </c>
      <c r="M4" s="10"/>
      <c r="N4" s="10"/>
      <c r="O4" s="10"/>
      <c r="P4" s="10"/>
      <c r="Q4" s="10"/>
      <c r="R4" s="10"/>
      <c r="S4" s="10"/>
      <c r="T4" s="10"/>
      <c r="U4" s="10"/>
    </row>
    <row r="6" spans="12:21" x14ac:dyDescent="0.25">
      <c r="L6" s="11" t="s">
        <v>1</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ht="15.75" x14ac:dyDescent="0.25">
      <c r="B23" s="9" t="s">
        <v>29</v>
      </c>
      <c r="C23" s="10"/>
      <c r="D23" s="19" t="s">
        <v>30</v>
      </c>
      <c r="E23" s="19" t="s">
        <v>31</v>
      </c>
      <c r="F23" s="19" t="s">
        <v>32</v>
      </c>
      <c r="G23" s="19" t="s">
        <v>33</v>
      </c>
      <c r="H23" s="19" t="s">
        <v>34</v>
      </c>
      <c r="I23" s="19" t="s">
        <v>35</v>
      </c>
      <c r="J23" s="8"/>
      <c r="L23" s="11"/>
      <c r="M23" s="11"/>
      <c r="N23" s="11"/>
      <c r="O23" s="11"/>
      <c r="P23" s="11"/>
      <c r="Q23" s="11"/>
      <c r="R23" s="11"/>
      <c r="S23" s="11"/>
      <c r="T23" s="11"/>
      <c r="U23" s="11"/>
    </row>
    <row r="24" spans="2:21" x14ac:dyDescent="0.25">
      <c r="B24" s="1"/>
      <c r="C24" s="1"/>
      <c r="D24" s="20" t="s">
        <v>36</v>
      </c>
      <c r="E24" s="21"/>
      <c r="F24" s="21"/>
      <c r="G24" s="22"/>
      <c r="H24" s="23" t="s">
        <v>37</v>
      </c>
      <c r="I24" s="21"/>
      <c r="J24" s="21"/>
      <c r="L24" s="11"/>
      <c r="M24" s="11"/>
      <c r="N24" s="11"/>
      <c r="O24" s="11"/>
      <c r="P24" s="11"/>
      <c r="Q24" s="11"/>
      <c r="R24" s="11"/>
      <c r="S24" s="11"/>
      <c r="T24" s="11"/>
      <c r="U24" s="11"/>
    </row>
    <row r="25" spans="2:21" x14ac:dyDescent="0.25">
      <c r="B25" s="24"/>
      <c r="C25" s="24"/>
      <c r="D25" s="25">
        <v>44926</v>
      </c>
      <c r="E25" s="25">
        <v>45291</v>
      </c>
      <c r="F25" s="25">
        <v>45657</v>
      </c>
      <c r="G25" s="26">
        <v>46022</v>
      </c>
      <c r="H25" s="27">
        <v>45747</v>
      </c>
      <c r="I25" s="26">
        <v>46112</v>
      </c>
      <c r="J25" s="28" t="s">
        <v>38</v>
      </c>
      <c r="L25" s="11"/>
      <c r="M25" s="11"/>
      <c r="N25" s="11"/>
      <c r="O25" s="11"/>
      <c r="P25" s="11"/>
      <c r="Q25" s="11"/>
      <c r="R25" s="11"/>
      <c r="S25" s="11"/>
      <c r="T25" s="11"/>
      <c r="U25" s="11"/>
    </row>
    <row r="26" spans="2:21" x14ac:dyDescent="0.25">
      <c r="B26" s="8" t="s">
        <v>39</v>
      </c>
      <c r="C26" s="8"/>
      <c r="D26" s="29">
        <v>5113.3798399999996</v>
      </c>
      <c r="E26" s="29">
        <v>8473.2928200000006</v>
      </c>
      <c r="F26" s="29">
        <v>6878.2763000000004</v>
      </c>
      <c r="G26" s="30">
        <v>7753.4754400000002</v>
      </c>
      <c r="H26" s="31">
        <v>6959.7875700000004</v>
      </c>
      <c r="I26" s="30">
        <v>8136.2742799999996</v>
      </c>
      <c r="J26" s="32">
        <v>0.16904060622068662</v>
      </c>
      <c r="L26" s="11"/>
      <c r="M26" s="11"/>
      <c r="N26" s="11"/>
      <c r="O26" s="11"/>
      <c r="P26" s="11"/>
      <c r="Q26" s="11"/>
      <c r="R26" s="11"/>
      <c r="S26" s="11"/>
      <c r="T26" s="11"/>
      <c r="U26" s="11"/>
    </row>
    <row r="27" spans="2:21" x14ac:dyDescent="0.25">
      <c r="B27" s="8" t="s">
        <v>40</v>
      </c>
      <c r="C27" s="33"/>
      <c r="D27" s="29">
        <v>1741.8672999999999</v>
      </c>
      <c r="E27" s="29">
        <v>3983.00857</v>
      </c>
      <c r="F27" s="29">
        <v>3104.06016</v>
      </c>
      <c r="G27" s="30">
        <v>3198.6733199999999</v>
      </c>
      <c r="H27" s="31">
        <v>3045.5396900000001</v>
      </c>
      <c r="I27" s="30">
        <v>3307.5188400000002</v>
      </c>
      <c r="J27" s="32">
        <v>8.6020599521393848E-2</v>
      </c>
      <c r="L27" s="11"/>
      <c r="M27" s="11"/>
      <c r="N27" s="11"/>
      <c r="O27" s="11"/>
      <c r="P27" s="11"/>
      <c r="Q27" s="11"/>
      <c r="R27" s="11"/>
      <c r="S27" s="11"/>
      <c r="T27" s="11"/>
      <c r="U27" s="11"/>
    </row>
    <row r="28" spans="2:21" x14ac:dyDescent="0.25">
      <c r="B28" s="8" t="s">
        <v>41</v>
      </c>
      <c r="C28" s="33"/>
      <c r="D28" s="29">
        <v>3835.5942700000001</v>
      </c>
      <c r="E28" s="29">
        <v>4900.9020099999998</v>
      </c>
      <c r="F28" s="29">
        <v>4367.6887200000001</v>
      </c>
      <c r="G28" s="30">
        <v>5335.7016400000002</v>
      </c>
      <c r="H28" s="31">
        <v>4506.5469800000001</v>
      </c>
      <c r="I28" s="30">
        <v>5613.4823299999998</v>
      </c>
      <c r="J28" s="32">
        <v>0.24562827258044018</v>
      </c>
      <c r="L28" s="11"/>
      <c r="M28" s="11"/>
      <c r="N28" s="11"/>
      <c r="O28" s="11"/>
      <c r="P28" s="11"/>
      <c r="Q28" s="11"/>
      <c r="R28" s="11"/>
      <c r="S28" s="11"/>
      <c r="T28" s="11"/>
      <c r="U28" s="11"/>
    </row>
    <row r="29" spans="2:21" x14ac:dyDescent="0.25">
      <c r="B29" s="8" t="s">
        <v>42</v>
      </c>
      <c r="C29" s="33"/>
      <c r="D29" s="29">
        <v>1103.5171399999999</v>
      </c>
      <c r="E29" s="29">
        <v>1881.2114899999999</v>
      </c>
      <c r="F29" s="29">
        <v>1482.31762</v>
      </c>
      <c r="G29" s="30">
        <v>2011.1921500000001</v>
      </c>
      <c r="H29" s="31">
        <v>1606.24891</v>
      </c>
      <c r="I29" s="30">
        <v>2117.3563399999998</v>
      </c>
      <c r="J29" s="32">
        <v>0.31819939413997789</v>
      </c>
      <c r="L29" s="11"/>
      <c r="M29" s="11"/>
      <c r="N29" s="11"/>
      <c r="O29" s="11"/>
      <c r="P29" s="11"/>
      <c r="Q29" s="11"/>
      <c r="R29" s="11"/>
      <c r="S29" s="11"/>
      <c r="T29" s="11"/>
      <c r="U29" s="11"/>
    </row>
    <row r="30" spans="2:21" x14ac:dyDescent="0.25">
      <c r="B30" s="8" t="s">
        <v>43</v>
      </c>
      <c r="C30" s="33"/>
      <c r="D30" s="29">
        <v>767.79699000000005</v>
      </c>
      <c r="E30" s="29">
        <v>1861.2251799999999</v>
      </c>
      <c r="F30" s="29">
        <v>1125.92851</v>
      </c>
      <c r="G30" s="30">
        <v>1176.8202799999999</v>
      </c>
      <c r="H30" s="31">
        <v>1121.3366100000001</v>
      </c>
      <c r="I30" s="30">
        <v>1247.66668</v>
      </c>
      <c r="J30" s="32">
        <v>0.11266025640596888</v>
      </c>
      <c r="L30" s="11"/>
      <c r="M30" s="11"/>
      <c r="N30" s="11"/>
      <c r="O30" s="11"/>
      <c r="P30" s="11"/>
      <c r="Q30" s="11"/>
      <c r="R30" s="11"/>
      <c r="S30" s="11"/>
      <c r="T30" s="11"/>
      <c r="U30" s="11"/>
    </row>
    <row r="31" spans="2:21" x14ac:dyDescent="0.25">
      <c r="B31" s="8" t="s">
        <v>44</v>
      </c>
      <c r="C31" s="8"/>
      <c r="D31" s="29">
        <v>940.80768999999998</v>
      </c>
      <c r="E31" s="29">
        <v>1191.2712100000001</v>
      </c>
      <c r="F31" s="29">
        <v>1141.8324500000001</v>
      </c>
      <c r="G31" s="30">
        <v>1484.9670699999999</v>
      </c>
      <c r="H31" s="31">
        <v>1241.7763600000001</v>
      </c>
      <c r="I31" s="30">
        <v>1548.21712</v>
      </c>
      <c r="J31" s="32">
        <v>0.24677612641941415</v>
      </c>
      <c r="L31" s="11"/>
      <c r="M31" s="11"/>
      <c r="N31" s="11"/>
      <c r="O31" s="11"/>
      <c r="P31" s="11"/>
      <c r="Q31" s="11"/>
      <c r="R31" s="11"/>
      <c r="S31" s="11"/>
      <c r="T31" s="11"/>
      <c r="U31" s="11"/>
    </row>
    <row r="32" spans="2:21" x14ac:dyDescent="0.25">
      <c r="B32" s="8" t="s">
        <v>45</v>
      </c>
      <c r="C32" s="8"/>
      <c r="D32" s="29">
        <v>2010.5637400000001</v>
      </c>
      <c r="E32" s="29">
        <v>1941.8345899999999</v>
      </c>
      <c r="F32" s="29">
        <v>1925.40146</v>
      </c>
      <c r="G32" s="30">
        <v>2588.1969600000002</v>
      </c>
      <c r="H32" s="31">
        <v>2014.9522999999999</v>
      </c>
      <c r="I32" s="30">
        <v>2612.7710999999999</v>
      </c>
      <c r="J32" s="32">
        <v>0.29669129140178652</v>
      </c>
      <c r="L32" s="11"/>
      <c r="M32" s="11"/>
      <c r="N32" s="11"/>
      <c r="O32" s="11"/>
      <c r="P32" s="11"/>
      <c r="Q32" s="11"/>
      <c r="R32" s="11"/>
      <c r="S32" s="11"/>
      <c r="T32" s="11"/>
      <c r="U32" s="11"/>
    </row>
    <row r="33" spans="2:21" x14ac:dyDescent="0.25">
      <c r="B33" s="8" t="s">
        <v>46</v>
      </c>
      <c r="C33" s="8"/>
      <c r="D33" s="29">
        <v>567.05971999999997</v>
      </c>
      <c r="E33" s="29">
        <v>469.87405000000001</v>
      </c>
      <c r="F33" s="29">
        <v>539.69808</v>
      </c>
      <c r="G33" s="30">
        <v>745.47662000000003</v>
      </c>
      <c r="H33" s="31">
        <v>560.97410000000002</v>
      </c>
      <c r="I33" s="30">
        <v>779.31138999999996</v>
      </c>
      <c r="J33" s="32">
        <v>0.38921099922438485</v>
      </c>
      <c r="L33" s="12" t="s">
        <v>2</v>
      </c>
    </row>
    <row r="34" spans="2:21" x14ac:dyDescent="0.25">
      <c r="B34" s="8" t="s">
        <v>47</v>
      </c>
      <c r="C34" s="8"/>
      <c r="D34" s="29">
        <v>1443.5040200000001</v>
      </c>
      <c r="E34" s="29">
        <v>1471.96054</v>
      </c>
      <c r="F34" s="29">
        <v>1385.7033799999999</v>
      </c>
      <c r="G34" s="30">
        <v>1842.7203500000001</v>
      </c>
      <c r="H34" s="31">
        <v>1453.9782</v>
      </c>
      <c r="I34" s="30">
        <v>1833.4597100000001</v>
      </c>
      <c r="J34" s="32">
        <v>0.26099532303854356</v>
      </c>
      <c r="L34" s="13" t="s">
        <v>3</v>
      </c>
    </row>
    <row r="35" spans="2:21" x14ac:dyDescent="0.25">
      <c r="B35" s="34" t="s">
        <v>48</v>
      </c>
      <c r="C35" s="35"/>
      <c r="D35" s="36">
        <v>1399.58322</v>
      </c>
      <c r="E35" s="36">
        <v>1578.97081</v>
      </c>
      <c r="F35" s="36">
        <v>1421.38645</v>
      </c>
      <c r="G35" s="37">
        <v>1013.2436</v>
      </c>
      <c r="H35" s="38">
        <v>1512.1458500000001</v>
      </c>
      <c r="I35" s="37">
        <v>967.07578999999998</v>
      </c>
      <c r="J35" s="39">
        <v>-0.36046130074026927</v>
      </c>
      <c r="L35" s="14" t="s">
        <v>4</v>
      </c>
      <c r="M35" s="14"/>
      <c r="N35" s="14"/>
      <c r="O35" s="14"/>
      <c r="P35" s="14"/>
      <c r="Q35" s="14"/>
      <c r="R35" s="14"/>
      <c r="S35" s="14"/>
      <c r="T35" s="14"/>
      <c r="U35" s="14"/>
    </row>
    <row r="36" spans="2:21" x14ac:dyDescent="0.25">
      <c r="B36" s="40" t="s">
        <v>49</v>
      </c>
      <c r="C36" s="8"/>
      <c r="D36" s="41">
        <v>5.0484999999999995E-2</v>
      </c>
      <c r="E36" s="41">
        <v>5.6868999999999996E-2</v>
      </c>
      <c r="F36" s="41">
        <v>5.9118000000000004E-2</v>
      </c>
      <c r="G36" s="42">
        <v>4.598E-2</v>
      </c>
      <c r="H36" s="32">
        <v>5.9278999999999998E-2</v>
      </c>
      <c r="I36" s="42">
        <v>4.7889000000000001E-2</v>
      </c>
      <c r="J36" s="32" t="s">
        <v>50</v>
      </c>
      <c r="L36" s="14"/>
      <c r="M36" s="14"/>
      <c r="N36" s="14"/>
      <c r="O36" s="14"/>
      <c r="P36" s="14"/>
      <c r="Q36" s="14"/>
      <c r="R36" s="14"/>
      <c r="S36" s="14"/>
      <c r="T36" s="14"/>
      <c r="U36" s="14"/>
    </row>
    <row r="37" spans="2:21" x14ac:dyDescent="0.25">
      <c r="B37" s="40" t="s">
        <v>51</v>
      </c>
      <c r="C37" s="8"/>
      <c r="D37" s="41">
        <v>1.0677639999999999</v>
      </c>
      <c r="E37" s="41">
        <v>1.044219</v>
      </c>
      <c r="F37" s="41">
        <v>0.92395799999999995</v>
      </c>
      <c r="G37" s="42">
        <v>1.057463</v>
      </c>
      <c r="H37" s="32">
        <v>0.94076499999999996</v>
      </c>
      <c r="I37" s="42">
        <v>1.086711</v>
      </c>
      <c r="J37" s="32" t="s">
        <v>52</v>
      </c>
      <c r="L37" s="14" t="s">
        <v>5</v>
      </c>
      <c r="M37" s="14"/>
      <c r="N37" s="14"/>
      <c r="O37" s="14"/>
      <c r="P37" s="14"/>
      <c r="Q37" s="14"/>
      <c r="R37" s="14"/>
      <c r="S37" s="14"/>
      <c r="T37" s="14"/>
      <c r="U37" s="14"/>
    </row>
    <row r="38" spans="2:21" x14ac:dyDescent="0.25">
      <c r="B38" s="40" t="s">
        <v>53</v>
      </c>
      <c r="C38" s="8"/>
      <c r="D38" s="41">
        <v>0.67784899999999992</v>
      </c>
      <c r="E38" s="41">
        <v>1.211946</v>
      </c>
      <c r="F38" s="41">
        <v>0.71647099999999997</v>
      </c>
      <c r="G38" s="42">
        <v>0.79462100000000002</v>
      </c>
      <c r="H38" s="32">
        <v>0</v>
      </c>
      <c r="I38" s="42">
        <v>0</v>
      </c>
      <c r="J38" s="32" t="s">
        <v>54</v>
      </c>
      <c r="L38" s="14"/>
      <c r="M38" s="14"/>
      <c r="N38" s="14"/>
      <c r="O38" s="14"/>
      <c r="P38" s="14"/>
      <c r="Q38" s="14"/>
      <c r="R38" s="14"/>
      <c r="S38" s="14"/>
      <c r="T38" s="14"/>
      <c r="U38" s="14"/>
    </row>
    <row r="39" spans="2:21" x14ac:dyDescent="0.25">
      <c r="B39" s="8" t="s">
        <v>55</v>
      </c>
      <c r="C39" s="43"/>
      <c r="D39" s="41">
        <v>0.11097899999999999</v>
      </c>
      <c r="E39" s="41">
        <v>0.110929</v>
      </c>
      <c r="F39" s="41">
        <v>0.114147</v>
      </c>
      <c r="G39" s="42">
        <v>0.110772</v>
      </c>
      <c r="H39" s="32">
        <v>0.110001</v>
      </c>
      <c r="I39" s="42">
        <v>0.10223499999999999</v>
      </c>
      <c r="J39" s="32" t="s">
        <v>56</v>
      </c>
      <c r="L39" s="13" t="s">
        <v>6</v>
      </c>
      <c r="M39" s="13"/>
      <c r="N39" s="13"/>
      <c r="O39" s="13"/>
      <c r="P39" s="13"/>
      <c r="Q39" s="13"/>
      <c r="R39" s="13"/>
      <c r="S39" s="13"/>
      <c r="T39" s="13"/>
      <c r="U39" s="13"/>
    </row>
    <row r="40" spans="2:21" x14ac:dyDescent="0.25">
      <c r="B40" s="8" t="s">
        <v>57</v>
      </c>
      <c r="C40" s="43"/>
      <c r="D40" s="41">
        <v>0.115024</v>
      </c>
      <c r="E40" s="41">
        <v>0.11361499999999999</v>
      </c>
      <c r="F40" s="41">
        <v>0.116947</v>
      </c>
      <c r="G40" s="42">
        <v>0.11380699999999999</v>
      </c>
      <c r="H40" s="32">
        <v>0.112882</v>
      </c>
      <c r="I40" s="42">
        <v>0.105281</v>
      </c>
      <c r="J40" s="32" t="s">
        <v>56</v>
      </c>
      <c r="L40" s="13" t="s">
        <v>7</v>
      </c>
      <c r="M40" s="13"/>
      <c r="N40" s="13"/>
      <c r="O40" s="13"/>
      <c r="P40" s="13"/>
      <c r="Q40" s="13"/>
      <c r="R40" s="13"/>
      <c r="S40" s="13"/>
      <c r="T40" s="13"/>
      <c r="U40" s="13"/>
    </row>
    <row r="41" spans="2:21" x14ac:dyDescent="0.25">
      <c r="B41" s="8" t="s">
        <v>58</v>
      </c>
      <c r="C41" s="43"/>
      <c r="D41" s="41">
        <v>1.139994</v>
      </c>
      <c r="E41" s="41">
        <v>1.099146</v>
      </c>
      <c r="F41" s="41">
        <v>1.0587200000000001</v>
      </c>
      <c r="G41" s="42">
        <v>1.0307839999999999</v>
      </c>
      <c r="H41" s="32">
        <v>1.0067170000000001</v>
      </c>
      <c r="I41" s="42">
        <v>0.96295500000000001</v>
      </c>
      <c r="J41" s="32" t="s">
        <v>59</v>
      </c>
      <c r="L41" s="13" t="s">
        <v>8</v>
      </c>
      <c r="M41" s="13"/>
      <c r="N41" s="13"/>
      <c r="O41" s="13"/>
      <c r="P41" s="13"/>
      <c r="Q41" s="13"/>
      <c r="R41" s="13"/>
      <c r="S41" s="13"/>
      <c r="T41" s="13"/>
      <c r="U41" s="13"/>
    </row>
    <row r="42" spans="2:21" ht="30" x14ac:dyDescent="0.25">
      <c r="B42" s="40" t="s">
        <v>60</v>
      </c>
      <c r="C42" s="43"/>
      <c r="D42" s="41">
        <v>0.10369999999999999</v>
      </c>
      <c r="E42" s="41">
        <v>0.1142</v>
      </c>
      <c r="F42" s="41">
        <v>0.11890000000000001</v>
      </c>
      <c r="G42" s="42">
        <v>0</v>
      </c>
      <c r="H42" s="32">
        <v>0.1116</v>
      </c>
      <c r="I42" s="42">
        <v>0</v>
      </c>
      <c r="J42" s="32" t="s">
        <v>61</v>
      </c>
      <c r="L42" s="13" t="s">
        <v>9</v>
      </c>
      <c r="M42" s="15"/>
      <c r="N42" s="15"/>
      <c r="O42" s="15"/>
      <c r="P42" s="15"/>
      <c r="Q42" s="15"/>
      <c r="R42" s="15"/>
      <c r="S42" s="15"/>
      <c r="T42" s="15"/>
      <c r="U42" s="15"/>
    </row>
    <row r="43" spans="2:21" x14ac:dyDescent="0.25">
      <c r="B43" s="40" t="s">
        <v>62</v>
      </c>
      <c r="C43" s="43"/>
      <c r="D43" s="41">
        <v>0</v>
      </c>
      <c r="E43" s="41">
        <v>0</v>
      </c>
      <c r="F43" s="41">
        <v>0</v>
      </c>
      <c r="G43" s="42">
        <v>0</v>
      </c>
      <c r="H43" s="32">
        <v>0</v>
      </c>
      <c r="I43" s="42">
        <v>0</v>
      </c>
      <c r="J43" s="32" t="s">
        <v>54</v>
      </c>
      <c r="L43" s="13" t="s">
        <v>10</v>
      </c>
      <c r="M43" s="15"/>
      <c r="N43" s="15"/>
      <c r="O43" s="15"/>
      <c r="P43" s="15"/>
      <c r="Q43" s="15"/>
      <c r="R43" s="15"/>
      <c r="S43" s="15"/>
      <c r="T43" s="15"/>
      <c r="U43" s="15"/>
    </row>
    <row r="44" spans="2:21" x14ac:dyDescent="0.25">
      <c r="B44" s="40" t="s">
        <v>63</v>
      </c>
      <c r="C44" s="43"/>
      <c r="D44" s="41">
        <v>2.41E-2</v>
      </c>
      <c r="E44" s="41">
        <v>1.9799999999999998E-2</v>
      </c>
      <c r="F44" s="41">
        <v>1.8600000000000002E-2</v>
      </c>
      <c r="G44" s="42">
        <v>0</v>
      </c>
      <c r="H44" s="32">
        <v>0</v>
      </c>
      <c r="I44" s="42">
        <v>0</v>
      </c>
      <c r="J44" s="32" t="s">
        <v>54</v>
      </c>
      <c r="L44" s="13" t="s">
        <v>11</v>
      </c>
    </row>
    <row r="45" spans="2:21" ht="30" x14ac:dyDescent="0.25">
      <c r="B45" s="34" t="s">
        <v>64</v>
      </c>
      <c r="C45" s="44"/>
      <c r="D45" s="45">
        <v>0.12789999999999999</v>
      </c>
      <c r="E45" s="45">
        <v>0.13400000000000001</v>
      </c>
      <c r="F45" s="45">
        <v>0.13750000000000001</v>
      </c>
      <c r="G45" s="46">
        <v>0</v>
      </c>
      <c r="H45" s="39">
        <v>0.12909999999999999</v>
      </c>
      <c r="I45" s="46">
        <v>0</v>
      </c>
      <c r="J45" s="39" t="s">
        <v>65</v>
      </c>
      <c r="L45" s="13" t="s">
        <v>12</v>
      </c>
    </row>
    <row r="46" spans="2:21" x14ac:dyDescent="0.25">
      <c r="B46" s="40" t="s">
        <v>66</v>
      </c>
      <c r="C46" s="33"/>
      <c r="D46" s="33">
        <v>0.18928699999999998</v>
      </c>
      <c r="E46" s="33">
        <v>0.14427699999999999</v>
      </c>
      <c r="F46" s="33">
        <v>0.146122</v>
      </c>
      <c r="G46" s="47">
        <v>0.162382</v>
      </c>
      <c r="H46" s="48">
        <v>0.15410599999999999</v>
      </c>
      <c r="I46" s="47">
        <v>0.16925899999999999</v>
      </c>
      <c r="J46" s="32" t="s">
        <v>67</v>
      </c>
      <c r="L46" s="13" t="s">
        <v>13</v>
      </c>
    </row>
    <row r="47" spans="2:21" x14ac:dyDescent="0.25">
      <c r="B47" s="8" t="s">
        <v>68</v>
      </c>
      <c r="C47" s="8"/>
      <c r="D47" s="33">
        <v>0.190218</v>
      </c>
      <c r="E47" s="33">
        <v>0.14523</v>
      </c>
      <c r="F47" s="33">
        <v>0.14730799999999999</v>
      </c>
      <c r="G47" s="47">
        <v>0.16392499999999999</v>
      </c>
      <c r="H47" s="48">
        <v>0.15545999999999999</v>
      </c>
      <c r="I47" s="47">
        <v>0.17111399999999999</v>
      </c>
      <c r="J47" s="32" t="s">
        <v>69</v>
      </c>
      <c r="L47" s="13" t="s">
        <v>14</v>
      </c>
      <c r="M47" s="16"/>
      <c r="N47" s="16"/>
      <c r="O47" s="16"/>
      <c r="P47" s="16"/>
      <c r="Q47" s="16"/>
      <c r="R47" s="16"/>
      <c r="S47" s="16"/>
      <c r="T47" s="16"/>
      <c r="U47" s="16"/>
    </row>
    <row r="48" spans="2:21" x14ac:dyDescent="0.25">
      <c r="B48" s="34" t="s">
        <v>70</v>
      </c>
      <c r="C48" s="35"/>
      <c r="D48" s="35">
        <v>2.1772E-2</v>
      </c>
      <c r="E48" s="35">
        <v>1.6392E-2</v>
      </c>
      <c r="F48" s="35">
        <v>1.7088000000000002E-2</v>
      </c>
      <c r="G48" s="49">
        <v>1.848E-2</v>
      </c>
      <c r="H48" s="50">
        <v>1.7395000000000001E-2</v>
      </c>
      <c r="I48" s="49">
        <v>1.7819000000000002E-2</v>
      </c>
      <c r="J48" s="39" t="s">
        <v>54</v>
      </c>
      <c r="L48" s="13" t="s">
        <v>15</v>
      </c>
      <c r="M48" s="16"/>
      <c r="N48" s="16"/>
      <c r="O48" s="16"/>
      <c r="P48" s="16"/>
      <c r="Q48" s="16"/>
      <c r="R48" s="16"/>
      <c r="S48" s="16"/>
      <c r="T48" s="16"/>
      <c r="U48" s="16"/>
    </row>
    <row r="49" spans="2:21" x14ac:dyDescent="0.25">
      <c r="B49" s="8" t="s">
        <v>71</v>
      </c>
      <c r="C49" s="8"/>
      <c r="D49" s="43">
        <v>6.2071800000000001</v>
      </c>
      <c r="E49" s="51">
        <v>5.0590700000000002</v>
      </c>
      <c r="F49" s="51">
        <v>5.9752999999999998</v>
      </c>
      <c r="G49" s="52">
        <v>9.0039800000000003</v>
      </c>
      <c r="H49" s="51">
        <v>7.2124600000000001</v>
      </c>
      <c r="I49" s="52">
        <v>13.31155</v>
      </c>
      <c r="J49" s="32">
        <v>0.84563241945189294</v>
      </c>
      <c r="L49" s="13"/>
      <c r="M49" s="17"/>
      <c r="N49" s="17"/>
      <c r="O49" s="17"/>
      <c r="P49" s="17"/>
      <c r="Q49" s="17"/>
      <c r="R49" s="17"/>
      <c r="S49" s="17"/>
      <c r="T49" s="17"/>
      <c r="U49" s="17"/>
    </row>
    <row r="50" spans="2:21" x14ac:dyDescent="0.25">
      <c r="B50" s="8" t="s">
        <v>72</v>
      </c>
      <c r="C50" s="8"/>
      <c r="D50" s="43">
        <v>6.3931399999999998</v>
      </c>
      <c r="E50" s="51">
        <v>5.4335100000000001</v>
      </c>
      <c r="F50" s="51">
        <v>6.0371499999999996</v>
      </c>
      <c r="G50" s="52">
        <v>8.2559799999999992</v>
      </c>
      <c r="H50" s="51">
        <v>7.2137599999999997</v>
      </c>
      <c r="I50" s="52">
        <v>10.869289999999999</v>
      </c>
      <c r="J50" s="32">
        <v>0.50674405580446247</v>
      </c>
      <c r="L50" s="18" t="s">
        <v>16</v>
      </c>
      <c r="M50" s="17"/>
      <c r="N50" s="17"/>
      <c r="O50" s="17"/>
      <c r="P50" s="17"/>
      <c r="Q50" s="17"/>
      <c r="R50" s="17"/>
      <c r="S50" s="17"/>
      <c r="T50" s="17"/>
      <c r="U50" s="17"/>
    </row>
    <row r="51" spans="2:21" x14ac:dyDescent="0.25">
      <c r="B51" s="34" t="s">
        <v>73</v>
      </c>
      <c r="C51" s="35"/>
      <c r="D51" s="53">
        <v>1.5378400000000001</v>
      </c>
      <c r="E51" s="53">
        <v>1.1148499999999999</v>
      </c>
      <c r="F51" s="53">
        <v>1.14344</v>
      </c>
      <c r="G51" s="54">
        <v>1.96567</v>
      </c>
      <c r="H51" s="55">
        <v>1.33846</v>
      </c>
      <c r="I51" s="54">
        <v>2.9811800000000002</v>
      </c>
      <c r="J51" s="39">
        <v>1.2273209509436218</v>
      </c>
      <c r="L51" s="13" t="s">
        <v>17</v>
      </c>
    </row>
    <row r="52" spans="2:21" x14ac:dyDescent="0.25">
      <c r="L52" s="13" t="s">
        <v>18</v>
      </c>
      <c r="M52" s="15"/>
      <c r="N52" s="15"/>
      <c r="O52" s="15"/>
      <c r="P52" s="15"/>
      <c r="Q52" s="15"/>
      <c r="R52" s="15"/>
      <c r="S52" s="15"/>
      <c r="T52" s="15"/>
      <c r="U52" s="15"/>
    </row>
    <row r="53" spans="2:21" x14ac:dyDescent="0.25">
      <c r="L53" s="13" t="s">
        <v>19</v>
      </c>
      <c r="M53" s="16"/>
      <c r="N53" s="16"/>
      <c r="O53" s="16"/>
      <c r="P53" s="16"/>
      <c r="Q53" s="16"/>
      <c r="R53" s="16"/>
      <c r="S53" s="16"/>
      <c r="T53" s="16"/>
      <c r="U53" s="16"/>
    </row>
    <row r="54" spans="2:21" x14ac:dyDescent="0.25">
      <c r="L54" s="13" t="s">
        <v>20</v>
      </c>
      <c r="M54" s="16"/>
      <c r="N54" s="16"/>
      <c r="O54" s="16"/>
      <c r="P54" s="16"/>
      <c r="Q54" s="16"/>
      <c r="R54" s="16"/>
      <c r="S54" s="16"/>
      <c r="T54" s="16"/>
      <c r="U54" s="16"/>
    </row>
    <row r="55" spans="2:21" x14ac:dyDescent="0.25">
      <c r="L55" s="13" t="s">
        <v>21</v>
      </c>
      <c r="M55" s="16"/>
      <c r="N55" s="16"/>
      <c r="O55" s="16"/>
      <c r="P55" s="16"/>
      <c r="Q55" s="16"/>
      <c r="R55" s="16"/>
      <c r="S55" s="16"/>
      <c r="T55" s="16"/>
      <c r="U55" s="16"/>
    </row>
    <row r="56" spans="2:21" x14ac:dyDescent="0.25">
      <c r="L56" s="13" t="s">
        <v>22</v>
      </c>
      <c r="M56" s="16"/>
      <c r="N56" s="16"/>
      <c r="O56" s="16"/>
      <c r="P56" s="16"/>
      <c r="Q56" s="16"/>
      <c r="R56" s="16"/>
      <c r="S56" s="16"/>
      <c r="T56" s="16"/>
      <c r="U56" s="16"/>
    </row>
    <row r="57" spans="2:21" x14ac:dyDescent="0.25">
      <c r="L57" s="13" t="s">
        <v>23</v>
      </c>
      <c r="M57" s="15"/>
      <c r="N57" s="15"/>
      <c r="O57" s="15"/>
      <c r="P57" s="15"/>
      <c r="Q57" s="15"/>
      <c r="R57" s="15"/>
      <c r="S57" s="15"/>
      <c r="T57" s="15"/>
      <c r="U57" s="15"/>
    </row>
    <row r="58" spans="2:21" x14ac:dyDescent="0.25">
      <c r="L58" s="14" t="s">
        <v>24</v>
      </c>
      <c r="M58" s="14"/>
      <c r="N58" s="14"/>
      <c r="O58" s="14"/>
      <c r="P58" s="14"/>
      <c r="Q58" s="14"/>
      <c r="R58" s="14"/>
      <c r="S58" s="14"/>
      <c r="T58" s="14"/>
      <c r="U58" s="14"/>
    </row>
    <row r="59" spans="2:21" x14ac:dyDescent="0.25">
      <c r="L59" s="14"/>
      <c r="M59" s="14"/>
      <c r="N59" s="14"/>
      <c r="O59" s="14"/>
      <c r="P59" s="14"/>
      <c r="Q59" s="14"/>
      <c r="R59" s="14"/>
      <c r="S59" s="14"/>
      <c r="T59" s="14"/>
      <c r="U59" s="14"/>
    </row>
    <row r="60" spans="2:21" x14ac:dyDescent="0.25">
      <c r="L60" s="13" t="s">
        <v>25</v>
      </c>
    </row>
    <row r="61" spans="2:21" x14ac:dyDescent="0.25">
      <c r="L61" s="13" t="s">
        <v>26</v>
      </c>
    </row>
    <row r="62" spans="2:21" x14ac:dyDescent="0.25">
      <c r="L62" s="13" t="s">
        <v>27</v>
      </c>
    </row>
    <row r="63" spans="2:21" x14ac:dyDescent="0.25">
      <c r="L63" s="13" t="s">
        <v>28</v>
      </c>
      <c r="M63" s="13"/>
      <c r="N63" s="13"/>
      <c r="O63" s="13"/>
      <c r="P63" s="13"/>
      <c r="Q63" s="13"/>
      <c r="R63" s="13"/>
      <c r="S63" s="13"/>
      <c r="T63" s="13"/>
      <c r="U63" s="13"/>
    </row>
    <row r="64" spans="2:21" x14ac:dyDescent="0.25">
      <c r="L64" s="13"/>
      <c r="M64" s="13"/>
      <c r="N64" s="13"/>
      <c r="O64" s="13"/>
      <c r="P64" s="13"/>
      <c r="Q64" s="13"/>
      <c r="R64" s="13"/>
      <c r="S64" s="13"/>
      <c r="T64" s="13"/>
      <c r="U64" s="13"/>
    </row>
    <row r="66" spans="12:21" x14ac:dyDescent="0.25">
      <c r="L66" s="16"/>
      <c r="M66" s="16"/>
      <c r="N66" s="16"/>
      <c r="O66" s="16"/>
      <c r="P66" s="16"/>
      <c r="Q66" s="16"/>
      <c r="R66" s="16"/>
      <c r="S66" s="16"/>
      <c r="T66" s="16"/>
      <c r="U66" s="16"/>
    </row>
    <row r="67" spans="12:21" x14ac:dyDescent="0.25">
      <c r="L67" s="16"/>
      <c r="M67" s="16"/>
      <c r="N67" s="16"/>
      <c r="O67" s="16"/>
      <c r="P67" s="16"/>
      <c r="Q67" s="16"/>
      <c r="R67" s="16"/>
      <c r="S67" s="16"/>
      <c r="T67" s="16"/>
      <c r="U67" s="16"/>
    </row>
    <row r="68" spans="12:21" x14ac:dyDescent="0.25">
      <c r="L68" s="16"/>
      <c r="M68" s="16"/>
      <c r="N68" s="16"/>
      <c r="O68" s="16"/>
      <c r="P68" s="16"/>
      <c r="Q68" s="16"/>
      <c r="R68" s="16"/>
      <c r="S68" s="16"/>
      <c r="T68" s="16"/>
      <c r="U68" s="16"/>
    </row>
  </sheetData>
  <mergeCells count="4">
    <mergeCell ref="L6:U32"/>
    <mergeCell ref="L35:U36"/>
    <mergeCell ref="L37:U38"/>
    <mergeCell ref="L58:U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7C6DB-7F9C-4663-89AF-77B4973313CF}">
  <dimension ref="B1:U68"/>
  <sheetViews>
    <sheetView topLeftCell="A9" workbookViewId="0">
      <selection activeCell="B24" sqref="B24"/>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 t="s">
        <v>74</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x14ac:dyDescent="0.25">
      <c r="L23" s="11"/>
      <c r="M23" s="11"/>
      <c r="N23" s="11"/>
      <c r="O23" s="11"/>
      <c r="P23" s="11"/>
      <c r="Q23" s="11"/>
      <c r="R23" s="11"/>
      <c r="S23" s="11"/>
      <c r="T23" s="11"/>
      <c r="U23" s="11"/>
    </row>
    <row r="24" spans="2:21" x14ac:dyDescent="0.25">
      <c r="B24" s="1"/>
      <c r="C24" s="1"/>
      <c r="D24" s="20" t="s">
        <v>36</v>
      </c>
      <c r="E24" s="21"/>
      <c r="F24" s="21"/>
      <c r="G24" s="22"/>
      <c r="H24" s="23" t="s">
        <v>37</v>
      </c>
      <c r="I24" s="21"/>
      <c r="J24" s="21"/>
      <c r="L24" s="11"/>
      <c r="M24" s="11"/>
      <c r="N24" s="11"/>
      <c r="O24" s="11"/>
      <c r="P24" s="11"/>
      <c r="Q24" s="11"/>
      <c r="R24" s="11"/>
      <c r="S24" s="11"/>
      <c r="T24" s="11"/>
      <c r="U24" s="11"/>
    </row>
    <row r="25" spans="2:21" x14ac:dyDescent="0.25">
      <c r="B25" s="24"/>
      <c r="C25" s="24"/>
      <c r="D25" s="25">
        <v>44926</v>
      </c>
      <c r="E25" s="25">
        <v>45291</v>
      </c>
      <c r="F25" s="25">
        <v>45657</v>
      </c>
      <c r="G25" s="26">
        <v>46022</v>
      </c>
      <c r="H25" s="27">
        <v>45747</v>
      </c>
      <c r="I25" s="26">
        <v>46112</v>
      </c>
      <c r="J25" s="28" t="s">
        <v>38</v>
      </c>
      <c r="L25" s="11"/>
      <c r="M25" s="11"/>
      <c r="N25" s="11"/>
      <c r="O25" s="11"/>
      <c r="P25" s="11"/>
      <c r="Q25" s="11"/>
      <c r="R25" s="11"/>
      <c r="S25" s="11"/>
      <c r="T25" s="11"/>
      <c r="U25" s="11"/>
    </row>
    <row r="26" spans="2:21" x14ac:dyDescent="0.25">
      <c r="B26" s="8" t="s">
        <v>39</v>
      </c>
      <c r="C26" s="8"/>
      <c r="D26" s="29">
        <v>3622.91446</v>
      </c>
      <c r="E26" s="29">
        <v>6849.2776400000002</v>
      </c>
      <c r="F26" s="29">
        <v>5383.7972600000003</v>
      </c>
      <c r="G26" s="30">
        <v>5957.3597399999999</v>
      </c>
      <c r="H26" s="31">
        <v>5455.7244600000004</v>
      </c>
      <c r="I26" s="30">
        <v>6246.3812500000004</v>
      </c>
      <c r="J26" s="32">
        <v>0.14492241970739106</v>
      </c>
      <c r="L26" s="11"/>
      <c r="M26" s="11"/>
      <c r="N26" s="11"/>
      <c r="O26" s="11"/>
      <c r="P26" s="11"/>
      <c r="Q26" s="11"/>
      <c r="R26" s="11"/>
      <c r="S26" s="11"/>
      <c r="T26" s="11"/>
      <c r="U26" s="11"/>
    </row>
    <row r="27" spans="2:21" x14ac:dyDescent="0.25">
      <c r="B27" s="8" t="s">
        <v>40</v>
      </c>
      <c r="C27" s="33"/>
      <c r="D27" s="29">
        <v>1600.3225600000001</v>
      </c>
      <c r="E27" s="29">
        <v>4185.39437</v>
      </c>
      <c r="F27" s="29">
        <v>3313.9606600000002</v>
      </c>
      <c r="G27" s="30">
        <v>3471.3889899999999</v>
      </c>
      <c r="H27" s="31">
        <v>3217.8185199999998</v>
      </c>
      <c r="I27" s="30">
        <v>3693.0547200000001</v>
      </c>
      <c r="J27" s="32">
        <v>0.14768893803246574</v>
      </c>
      <c r="L27" s="11"/>
      <c r="M27" s="11"/>
      <c r="N27" s="11"/>
      <c r="O27" s="11"/>
      <c r="P27" s="11"/>
      <c r="Q27" s="11"/>
      <c r="R27" s="11"/>
      <c r="S27" s="11"/>
      <c r="T27" s="11"/>
      <c r="U27" s="11"/>
    </row>
    <row r="28" spans="2:21" x14ac:dyDescent="0.25">
      <c r="B28" s="8" t="s">
        <v>41</v>
      </c>
      <c r="C28" s="33"/>
      <c r="D28" s="29">
        <v>1596.6510599999999</v>
      </c>
      <c r="E28" s="29">
        <v>1622.8628900000001</v>
      </c>
      <c r="F28" s="29">
        <v>1570.98441</v>
      </c>
      <c r="G28" s="30">
        <v>2023.6718000000001</v>
      </c>
      <c r="H28" s="31">
        <v>1713.4092000000001</v>
      </c>
      <c r="I28" s="30">
        <v>2077.1239</v>
      </c>
      <c r="J28" s="32">
        <v>0.21227544476824334</v>
      </c>
      <c r="L28" s="11"/>
      <c r="M28" s="11"/>
      <c r="N28" s="11"/>
      <c r="O28" s="11"/>
      <c r="P28" s="11"/>
      <c r="Q28" s="11"/>
      <c r="R28" s="11"/>
      <c r="S28" s="11"/>
      <c r="T28" s="11"/>
      <c r="U28" s="11"/>
    </row>
    <row r="29" spans="2:21" x14ac:dyDescent="0.25">
      <c r="B29" s="8" t="s">
        <v>42</v>
      </c>
      <c r="C29" s="33"/>
      <c r="D29" s="29">
        <v>1328.2725600000001</v>
      </c>
      <c r="E29" s="29">
        <v>2498.9920200000001</v>
      </c>
      <c r="F29" s="29">
        <v>1427.2348300000001</v>
      </c>
      <c r="G29" s="30">
        <v>2004.5519899999999</v>
      </c>
      <c r="H29" s="31">
        <v>1426.25071</v>
      </c>
      <c r="I29" s="30">
        <v>2109.6475</v>
      </c>
      <c r="J29" s="32">
        <v>0.47915614359273473</v>
      </c>
      <c r="L29" s="11"/>
      <c r="M29" s="11"/>
      <c r="N29" s="11"/>
      <c r="O29" s="11"/>
      <c r="P29" s="11"/>
      <c r="Q29" s="11"/>
      <c r="R29" s="11"/>
      <c r="S29" s="11"/>
      <c r="T29" s="11"/>
      <c r="U29" s="11"/>
    </row>
    <row r="30" spans="2:21" x14ac:dyDescent="0.25">
      <c r="B30" s="8" t="s">
        <v>43</v>
      </c>
      <c r="C30" s="33"/>
      <c r="D30" s="29">
        <v>510.94096000000002</v>
      </c>
      <c r="E30" s="29">
        <v>1082.92795</v>
      </c>
      <c r="F30" s="29">
        <v>916.48586999999998</v>
      </c>
      <c r="G30" s="30">
        <v>936.68957</v>
      </c>
      <c r="H30" s="31">
        <v>869.81334000000004</v>
      </c>
      <c r="I30" s="30">
        <v>932.53994999999998</v>
      </c>
      <c r="J30" s="32">
        <v>7.2115024126900629E-2</v>
      </c>
      <c r="L30" s="11"/>
      <c r="M30" s="11"/>
      <c r="N30" s="11"/>
      <c r="O30" s="11"/>
      <c r="P30" s="11"/>
      <c r="Q30" s="11"/>
      <c r="R30" s="11"/>
      <c r="S30" s="11"/>
      <c r="T30" s="11"/>
      <c r="U30" s="11"/>
    </row>
    <row r="31" spans="2:21" x14ac:dyDescent="0.25">
      <c r="B31" s="8" t="s">
        <v>44</v>
      </c>
      <c r="C31" s="8"/>
      <c r="D31" s="29">
        <v>258.31637999999998</v>
      </c>
      <c r="E31" s="29">
        <v>346.63533999999999</v>
      </c>
      <c r="F31" s="29">
        <v>316.67212000000001</v>
      </c>
      <c r="G31" s="30">
        <v>406.32468</v>
      </c>
      <c r="H31" s="31">
        <v>339.41532000000001</v>
      </c>
      <c r="I31" s="30">
        <v>430.52</v>
      </c>
      <c r="J31" s="32">
        <v>0.26841652286054729</v>
      </c>
      <c r="L31" s="11"/>
      <c r="M31" s="11"/>
      <c r="N31" s="11"/>
      <c r="O31" s="11"/>
      <c r="P31" s="11"/>
      <c r="Q31" s="11"/>
      <c r="R31" s="11"/>
      <c r="S31" s="11"/>
      <c r="T31" s="11"/>
      <c r="U31" s="11"/>
    </row>
    <row r="32" spans="2:21" x14ac:dyDescent="0.25">
      <c r="B32" s="8" t="s">
        <v>45</v>
      </c>
      <c r="C32" s="8"/>
      <c r="D32" s="29">
        <v>1294.5407700000001</v>
      </c>
      <c r="E32" s="29">
        <v>900.24477000000002</v>
      </c>
      <c r="F32" s="29">
        <v>704.77863000000002</v>
      </c>
      <c r="G32" s="30">
        <v>1225.56512</v>
      </c>
      <c r="H32" s="31">
        <v>848.91204000000005</v>
      </c>
      <c r="I32" s="30">
        <v>1315.4852800000001</v>
      </c>
      <c r="J32" s="32">
        <v>0.54961317311508506</v>
      </c>
      <c r="L32" s="11"/>
      <c r="M32" s="11"/>
      <c r="N32" s="11"/>
      <c r="O32" s="11"/>
      <c r="P32" s="11"/>
      <c r="Q32" s="11"/>
      <c r="R32" s="11"/>
      <c r="S32" s="11"/>
      <c r="T32" s="11"/>
      <c r="U32" s="11"/>
    </row>
    <row r="33" spans="2:21" x14ac:dyDescent="0.25">
      <c r="B33" s="8" t="s">
        <v>46</v>
      </c>
      <c r="C33" s="8"/>
      <c r="D33" s="29">
        <v>468.64062000000001</v>
      </c>
      <c r="E33" s="29">
        <v>338.26364000000001</v>
      </c>
      <c r="F33" s="29">
        <v>213.61989</v>
      </c>
      <c r="G33" s="30">
        <v>379.95846</v>
      </c>
      <c r="H33" s="31">
        <v>260.17849999999999</v>
      </c>
      <c r="I33" s="30">
        <v>446.74027000000001</v>
      </c>
      <c r="J33" s="32">
        <v>0.71705298477775847</v>
      </c>
      <c r="L33" s="12" t="s">
        <v>2</v>
      </c>
    </row>
    <row r="34" spans="2:21" x14ac:dyDescent="0.25">
      <c r="B34" s="8" t="s">
        <v>47</v>
      </c>
      <c r="C34" s="8"/>
      <c r="D34" s="29">
        <v>825.90016000000003</v>
      </c>
      <c r="E34" s="29">
        <v>561.98113000000001</v>
      </c>
      <c r="F34" s="29">
        <v>491.15874000000002</v>
      </c>
      <c r="G34" s="30">
        <v>845.60666000000003</v>
      </c>
      <c r="H34" s="31">
        <v>588.73352999999997</v>
      </c>
      <c r="I34" s="30">
        <v>868.74500999999998</v>
      </c>
      <c r="J34" s="32">
        <v>0.47561666820641246</v>
      </c>
      <c r="L34" s="13" t="s">
        <v>75</v>
      </c>
    </row>
    <row r="35" spans="2:21" x14ac:dyDescent="0.25">
      <c r="B35" s="34" t="s">
        <v>48</v>
      </c>
      <c r="C35" s="35"/>
      <c r="D35" s="36">
        <v>512.27380000000005</v>
      </c>
      <c r="E35" s="36">
        <v>190.75958</v>
      </c>
      <c r="F35" s="36">
        <v>230.1994</v>
      </c>
      <c r="G35" s="37">
        <v>456.64562000000001</v>
      </c>
      <c r="H35" s="38">
        <v>301.11272000000002</v>
      </c>
      <c r="I35" s="37">
        <v>463.56263999999999</v>
      </c>
      <c r="J35" s="39">
        <v>0.53949869670069051</v>
      </c>
      <c r="L35" s="14" t="s">
        <v>76</v>
      </c>
      <c r="M35" s="14"/>
      <c r="N35" s="14"/>
      <c r="O35" s="14"/>
      <c r="P35" s="14"/>
      <c r="Q35" s="14"/>
      <c r="R35" s="14"/>
      <c r="S35" s="14"/>
      <c r="T35" s="14"/>
      <c r="U35" s="14"/>
    </row>
    <row r="36" spans="2:21" x14ac:dyDescent="0.25">
      <c r="B36" s="40" t="s">
        <v>49</v>
      </c>
      <c r="C36" s="8"/>
      <c r="D36" s="41">
        <v>5.9095000000000002E-2</v>
      </c>
      <c r="E36" s="41">
        <v>6.2260999999999997E-2</v>
      </c>
      <c r="F36" s="41">
        <v>6.4115000000000005E-2</v>
      </c>
      <c r="G36" s="42">
        <v>5.3807999999999995E-2</v>
      </c>
      <c r="H36" s="32">
        <v>3.7308000000000001E-2</v>
      </c>
      <c r="I36" s="42">
        <v>5.2420000000000001E-2</v>
      </c>
      <c r="J36" s="32" t="s">
        <v>67</v>
      </c>
      <c r="L36" s="14"/>
      <c r="M36" s="14"/>
      <c r="N36" s="14"/>
      <c r="O36" s="14"/>
      <c r="P36" s="14"/>
      <c r="Q36" s="14"/>
      <c r="R36" s="14"/>
      <c r="S36" s="14"/>
      <c r="T36" s="14"/>
      <c r="U36" s="14"/>
    </row>
    <row r="37" spans="2:21" x14ac:dyDescent="0.25">
      <c r="B37" s="40" t="s">
        <v>51</v>
      </c>
      <c r="C37" s="8"/>
      <c r="D37" s="41">
        <v>0.7906780000000001</v>
      </c>
      <c r="E37" s="41">
        <v>0.79869299999999999</v>
      </c>
      <c r="F37" s="41">
        <v>0.74559399999999998</v>
      </c>
      <c r="G37" s="42">
        <v>0.77517099999999994</v>
      </c>
      <c r="H37" s="32">
        <v>0</v>
      </c>
      <c r="I37" s="42">
        <v>0.81221999999999994</v>
      </c>
      <c r="J37" s="32" t="s">
        <v>97</v>
      </c>
      <c r="L37" s="14" t="s">
        <v>77</v>
      </c>
      <c r="M37" s="14"/>
      <c r="N37" s="14"/>
      <c r="O37" s="14"/>
      <c r="P37" s="14"/>
      <c r="Q37" s="14"/>
      <c r="R37" s="14"/>
      <c r="S37" s="14"/>
      <c r="T37" s="14"/>
      <c r="U37" s="14"/>
    </row>
    <row r="38" spans="2:21" x14ac:dyDescent="0.25">
      <c r="B38" s="40" t="s">
        <v>53</v>
      </c>
      <c r="C38" s="8"/>
      <c r="D38" s="41">
        <v>0.96436300000000008</v>
      </c>
      <c r="E38" s="41">
        <v>1.1586799999999999</v>
      </c>
      <c r="F38" s="41">
        <v>0.822662</v>
      </c>
      <c r="G38" s="42">
        <v>0.71544300000000005</v>
      </c>
      <c r="H38" s="32">
        <v>0</v>
      </c>
      <c r="I38" s="42">
        <v>0</v>
      </c>
      <c r="J38" s="32" t="s">
        <v>54</v>
      </c>
      <c r="L38" s="14"/>
      <c r="M38" s="14"/>
      <c r="N38" s="14"/>
      <c r="O38" s="14"/>
      <c r="P38" s="14"/>
      <c r="Q38" s="14"/>
      <c r="R38" s="14"/>
      <c r="S38" s="14"/>
      <c r="T38" s="14"/>
      <c r="U38" s="14"/>
    </row>
    <row r="39" spans="2:21" x14ac:dyDescent="0.25">
      <c r="B39" s="8" t="s">
        <v>55</v>
      </c>
      <c r="C39" s="43"/>
      <c r="D39" s="41">
        <v>5.9593E-2</v>
      </c>
      <c r="E39" s="41">
        <v>5.5715000000000001E-2</v>
      </c>
      <c r="F39" s="41">
        <v>5.4421999999999998E-2</v>
      </c>
      <c r="G39" s="42">
        <v>5.3038999999999996E-2</v>
      </c>
      <c r="H39" s="32">
        <v>5.2807000000000007E-2</v>
      </c>
      <c r="I39" s="42">
        <v>5.2396000000000005E-2</v>
      </c>
      <c r="J39" s="32" t="s">
        <v>54</v>
      </c>
      <c r="L39" s="13" t="s">
        <v>78</v>
      </c>
      <c r="M39" s="16"/>
      <c r="N39" s="16"/>
      <c r="O39" s="16"/>
      <c r="P39" s="16"/>
      <c r="Q39" s="16"/>
      <c r="R39" s="16"/>
      <c r="S39" s="16"/>
      <c r="T39" s="16"/>
      <c r="U39" s="16"/>
    </row>
    <row r="40" spans="2:21" x14ac:dyDescent="0.25">
      <c r="B40" s="8" t="s">
        <v>57</v>
      </c>
      <c r="C40" s="43"/>
      <c r="D40" s="41">
        <v>0.106103</v>
      </c>
      <c r="E40" s="41">
        <v>0.104465</v>
      </c>
      <c r="F40" s="41">
        <v>0.102828</v>
      </c>
      <c r="G40" s="42">
        <v>0.10033400000000001</v>
      </c>
      <c r="H40" s="32">
        <v>0.100054</v>
      </c>
      <c r="I40" s="42">
        <v>9.9251000000000006E-2</v>
      </c>
      <c r="J40" s="32" t="s">
        <v>98</v>
      </c>
      <c r="L40" s="13" t="s">
        <v>79</v>
      </c>
      <c r="M40" s="13"/>
      <c r="N40" s="13"/>
      <c r="O40" s="13"/>
      <c r="P40" s="13"/>
      <c r="Q40" s="13"/>
      <c r="R40" s="13"/>
      <c r="S40" s="13"/>
      <c r="T40" s="13"/>
      <c r="U40" s="13"/>
    </row>
    <row r="41" spans="2:21" x14ac:dyDescent="0.25">
      <c r="B41" s="8" t="s">
        <v>58</v>
      </c>
      <c r="C41" s="43"/>
      <c r="D41" s="41">
        <v>1.135564</v>
      </c>
      <c r="E41" s="41">
        <v>1.10894</v>
      </c>
      <c r="F41" s="41">
        <v>1.04209</v>
      </c>
      <c r="G41" s="42">
        <v>0.97445300000000001</v>
      </c>
      <c r="H41" s="32">
        <v>0.95997399999999999</v>
      </c>
      <c r="I41" s="42">
        <v>0.89987700000000004</v>
      </c>
      <c r="J41" s="32" t="s">
        <v>99</v>
      </c>
      <c r="L41" s="14" t="s">
        <v>80</v>
      </c>
      <c r="M41" s="14"/>
      <c r="N41" s="14"/>
      <c r="O41" s="14"/>
      <c r="P41" s="14"/>
      <c r="Q41" s="14"/>
      <c r="R41" s="14"/>
      <c r="S41" s="14"/>
      <c r="T41" s="14"/>
      <c r="U41" s="14"/>
    </row>
    <row r="42" spans="2:21" x14ac:dyDescent="0.25">
      <c r="B42" s="40" t="s">
        <v>60</v>
      </c>
      <c r="C42" s="43"/>
      <c r="D42" s="41">
        <v>0.10060000000000001</v>
      </c>
      <c r="E42" s="41">
        <v>0.1293</v>
      </c>
      <c r="F42" s="41">
        <v>0.1321</v>
      </c>
      <c r="G42" s="42">
        <v>0.13819999999999999</v>
      </c>
      <c r="H42" s="32">
        <v>0</v>
      </c>
      <c r="I42" s="42">
        <v>0</v>
      </c>
      <c r="J42" s="32" t="s">
        <v>54</v>
      </c>
      <c r="L42" s="14"/>
      <c r="M42" s="14"/>
      <c r="N42" s="14"/>
      <c r="O42" s="14"/>
      <c r="P42" s="14"/>
      <c r="Q42" s="14"/>
      <c r="R42" s="14"/>
      <c r="S42" s="14"/>
      <c r="T42" s="14"/>
      <c r="U42" s="14"/>
    </row>
    <row r="43" spans="2:21" x14ac:dyDescent="0.25">
      <c r="B43" s="40" t="s">
        <v>62</v>
      </c>
      <c r="C43" s="43"/>
      <c r="D43" s="41">
        <v>0.10060000000000001</v>
      </c>
      <c r="E43" s="41">
        <v>0.1293</v>
      </c>
      <c r="F43" s="41">
        <v>0.1321</v>
      </c>
      <c r="G43" s="42">
        <v>0.13819999999999999</v>
      </c>
      <c r="H43" s="32">
        <v>0</v>
      </c>
      <c r="I43" s="42">
        <v>0</v>
      </c>
      <c r="J43" s="32" t="s">
        <v>54</v>
      </c>
      <c r="L43" s="13" t="s">
        <v>81</v>
      </c>
      <c r="M43" s="15"/>
      <c r="N43" s="15"/>
      <c r="O43" s="15"/>
      <c r="P43" s="15"/>
      <c r="Q43" s="15"/>
      <c r="R43" s="15"/>
      <c r="S43" s="15"/>
      <c r="T43" s="15"/>
      <c r="U43" s="15"/>
    </row>
    <row r="44" spans="2:21" x14ac:dyDescent="0.25">
      <c r="B44" s="40" t="s">
        <v>63</v>
      </c>
      <c r="C44" s="43"/>
      <c r="D44" s="41">
        <v>3.0200000000000001E-2</v>
      </c>
      <c r="E44" s="41">
        <v>2.4399999999999998E-2</v>
      </c>
      <c r="F44" s="41">
        <v>2.2599999999999999E-2</v>
      </c>
      <c r="G44" s="42">
        <v>1.5300000000000001E-2</v>
      </c>
      <c r="H44" s="32">
        <v>0</v>
      </c>
      <c r="I44" s="42">
        <v>0</v>
      </c>
      <c r="J44" s="32" t="s">
        <v>54</v>
      </c>
      <c r="L44" s="13" t="s">
        <v>82</v>
      </c>
      <c r="M44" s="13"/>
      <c r="N44" s="13"/>
      <c r="O44" s="13"/>
      <c r="P44" s="13"/>
      <c r="Q44" s="13"/>
      <c r="R44" s="13"/>
      <c r="S44" s="13"/>
      <c r="T44" s="13"/>
      <c r="U44" s="13"/>
    </row>
    <row r="45" spans="2:21" x14ac:dyDescent="0.25">
      <c r="B45" s="34" t="s">
        <v>64</v>
      </c>
      <c r="C45" s="44"/>
      <c r="D45" s="45">
        <v>0.1308</v>
      </c>
      <c r="E45" s="45">
        <v>0.1537</v>
      </c>
      <c r="F45" s="45">
        <v>0.1547</v>
      </c>
      <c r="G45" s="46">
        <v>0.15340000000000001</v>
      </c>
      <c r="H45" s="39">
        <v>0</v>
      </c>
      <c r="I45" s="46">
        <v>0</v>
      </c>
      <c r="J45" s="39" t="s">
        <v>54</v>
      </c>
      <c r="L45" s="13" t="s">
        <v>83</v>
      </c>
      <c r="M45" s="13"/>
      <c r="N45" s="13"/>
      <c r="O45" s="13"/>
      <c r="P45" s="13"/>
      <c r="Q45" s="13"/>
      <c r="R45" s="13"/>
      <c r="S45" s="13"/>
      <c r="T45" s="13"/>
      <c r="U45" s="13"/>
    </row>
    <row r="46" spans="2:21" x14ac:dyDescent="0.25">
      <c r="B46" s="40" t="s">
        <v>66</v>
      </c>
      <c r="C46" s="33"/>
      <c r="D46" s="33">
        <v>0.11389300000000001</v>
      </c>
      <c r="E46" s="33">
        <v>6.9844000000000003E-2</v>
      </c>
      <c r="F46" s="33">
        <v>6.6965999999999998E-2</v>
      </c>
      <c r="G46" s="47">
        <v>9.3909999999999993E-2</v>
      </c>
      <c r="H46" s="48">
        <v>7.7512999999999999E-2</v>
      </c>
      <c r="I46" s="47">
        <v>9.6008999999999997E-2</v>
      </c>
      <c r="J46" s="32" t="s">
        <v>100</v>
      </c>
      <c r="L46" s="13" t="s">
        <v>14</v>
      </c>
      <c r="M46" s="13"/>
      <c r="N46" s="13"/>
      <c r="O46" s="13"/>
      <c r="P46" s="13"/>
      <c r="Q46" s="13"/>
      <c r="R46" s="13"/>
      <c r="S46" s="13"/>
      <c r="T46" s="13"/>
      <c r="U46" s="13"/>
    </row>
    <row r="47" spans="2:21" x14ac:dyDescent="0.25">
      <c r="B47" s="8" t="s">
        <v>68</v>
      </c>
      <c r="C47" s="8"/>
      <c r="D47" s="33">
        <v>9.5686999999999994E-2</v>
      </c>
      <c r="E47" s="33">
        <v>4.4450999999999997E-2</v>
      </c>
      <c r="F47" s="33">
        <v>5.8269000000000001E-2</v>
      </c>
      <c r="G47" s="47">
        <v>9.4909999999999994E-2</v>
      </c>
      <c r="H47" s="48">
        <v>7.2592999999999991E-2</v>
      </c>
      <c r="I47" s="47">
        <v>9.8632000000000011E-2</v>
      </c>
      <c r="J47" s="32" t="s">
        <v>101</v>
      </c>
      <c r="L47" s="13" t="s">
        <v>84</v>
      </c>
      <c r="M47" s="16"/>
      <c r="N47" s="16"/>
      <c r="O47" s="16"/>
      <c r="P47" s="16"/>
      <c r="Q47" s="16"/>
      <c r="R47" s="16"/>
      <c r="S47" s="16"/>
      <c r="T47" s="16"/>
      <c r="U47" s="16"/>
    </row>
    <row r="48" spans="2:21" x14ac:dyDescent="0.25">
      <c r="B48" s="34" t="s">
        <v>70</v>
      </c>
      <c r="C48" s="35"/>
      <c r="D48" s="35">
        <v>1.2083999999999999E-2</v>
      </c>
      <c r="E48" s="35">
        <v>7.2960000000000004E-3</v>
      </c>
      <c r="F48" s="35">
        <v>6.8859999999999998E-3</v>
      </c>
      <c r="G48" s="49">
        <v>9.4219999999999998E-3</v>
      </c>
      <c r="H48" s="50">
        <v>7.7549999999999997E-3</v>
      </c>
      <c r="I48" s="49">
        <v>9.5289999999999993E-3</v>
      </c>
      <c r="J48" s="39" t="s">
        <v>102</v>
      </c>
      <c r="L48" s="13" t="s">
        <v>85</v>
      </c>
      <c r="M48" s="16"/>
      <c r="N48" s="16"/>
      <c r="O48" s="16"/>
      <c r="P48" s="16"/>
      <c r="Q48" s="16"/>
      <c r="R48" s="16"/>
      <c r="S48" s="16"/>
      <c r="T48" s="16"/>
      <c r="U48" s="16"/>
    </row>
    <row r="49" spans="2:21" x14ac:dyDescent="0.25">
      <c r="B49" s="8" t="s">
        <v>71</v>
      </c>
      <c r="C49" s="8"/>
      <c r="D49" s="43">
        <v>3.65239</v>
      </c>
      <c r="E49" s="56">
        <v>13.39451</v>
      </c>
      <c r="F49" s="56">
        <v>12.99644</v>
      </c>
      <c r="G49" s="52">
        <v>10.83553</v>
      </c>
      <c r="H49" s="56">
        <v>13.122120000000001</v>
      </c>
      <c r="I49" s="52">
        <v>10.81589</v>
      </c>
      <c r="J49" s="32">
        <v>-0.17575132676732119</v>
      </c>
      <c r="L49" s="13"/>
      <c r="M49" s="17"/>
      <c r="N49" s="17"/>
      <c r="O49" s="17"/>
      <c r="P49" s="17"/>
      <c r="Q49" s="17"/>
      <c r="R49" s="17"/>
      <c r="S49" s="17"/>
      <c r="T49" s="17"/>
      <c r="U49" s="17"/>
    </row>
    <row r="50" spans="2:21" x14ac:dyDescent="0.25">
      <c r="B50" s="8" t="s">
        <v>72</v>
      </c>
      <c r="C50" s="8"/>
      <c r="D50" s="43">
        <v>4.8741199999999996</v>
      </c>
      <c r="E50" s="56">
        <v>4.2769000000000004</v>
      </c>
      <c r="F50" s="56">
        <v>0</v>
      </c>
      <c r="G50" s="52">
        <v>0</v>
      </c>
      <c r="H50" s="56">
        <v>0</v>
      </c>
      <c r="I50" s="52">
        <v>0</v>
      </c>
      <c r="J50" s="32" t="s">
        <v>103</v>
      </c>
      <c r="L50" s="18" t="s">
        <v>16</v>
      </c>
      <c r="M50" s="17"/>
      <c r="N50" s="17"/>
      <c r="O50" s="17"/>
      <c r="P50" s="17"/>
      <c r="Q50" s="17"/>
      <c r="R50" s="17"/>
      <c r="S50" s="17"/>
      <c r="T50" s="17"/>
      <c r="U50" s="17"/>
    </row>
    <row r="51" spans="2:21" x14ac:dyDescent="0.25">
      <c r="B51" s="34" t="s">
        <v>73</v>
      </c>
      <c r="C51" s="35"/>
      <c r="D51" s="53" t="s">
        <v>104</v>
      </c>
      <c r="E51" s="53" t="s">
        <v>104</v>
      </c>
      <c r="F51" s="53" t="s">
        <v>104</v>
      </c>
      <c r="G51" s="54" t="s">
        <v>104</v>
      </c>
      <c r="H51" s="55" t="s">
        <v>104</v>
      </c>
      <c r="I51" s="54" t="s">
        <v>104</v>
      </c>
      <c r="J51" s="39" t="s">
        <v>103</v>
      </c>
      <c r="L51" s="13" t="s">
        <v>86</v>
      </c>
    </row>
    <row r="52" spans="2:21" x14ac:dyDescent="0.25">
      <c r="L52" s="13" t="s">
        <v>87</v>
      </c>
      <c r="M52" s="15"/>
      <c r="N52" s="15"/>
      <c r="O52" s="15"/>
      <c r="P52" s="15"/>
      <c r="Q52" s="15"/>
      <c r="R52" s="15"/>
      <c r="S52" s="15"/>
      <c r="T52" s="15"/>
      <c r="U52" s="15"/>
    </row>
    <row r="53" spans="2:21" x14ac:dyDescent="0.25">
      <c r="L53" s="13" t="s">
        <v>88</v>
      </c>
      <c r="M53" s="16"/>
      <c r="N53" s="16"/>
      <c r="O53" s="16"/>
      <c r="P53" s="16"/>
      <c r="Q53" s="16"/>
      <c r="R53" s="16"/>
      <c r="S53" s="16"/>
      <c r="T53" s="16"/>
      <c r="U53" s="16"/>
    </row>
    <row r="54" spans="2:21" x14ac:dyDescent="0.25">
      <c r="L54" s="13" t="s">
        <v>89</v>
      </c>
      <c r="M54" s="16"/>
      <c r="N54" s="16"/>
      <c r="O54" s="16"/>
      <c r="P54" s="16"/>
      <c r="Q54" s="16"/>
      <c r="R54" s="16"/>
      <c r="S54" s="16"/>
      <c r="T54" s="16"/>
      <c r="U54" s="16"/>
    </row>
    <row r="55" spans="2:21" x14ac:dyDescent="0.25">
      <c r="L55" s="13" t="s">
        <v>90</v>
      </c>
      <c r="M55" s="16"/>
      <c r="N55" s="16"/>
      <c r="O55" s="16"/>
      <c r="P55" s="16"/>
      <c r="Q55" s="16"/>
      <c r="R55" s="16"/>
      <c r="S55" s="16"/>
      <c r="T55" s="16"/>
      <c r="U55" s="16"/>
    </row>
    <row r="56" spans="2:21" x14ac:dyDescent="0.25">
      <c r="L56" s="14" t="s">
        <v>91</v>
      </c>
      <c r="M56" s="14"/>
      <c r="N56" s="14"/>
      <c r="O56" s="14"/>
      <c r="P56" s="14"/>
      <c r="Q56" s="14"/>
      <c r="R56" s="14"/>
      <c r="S56" s="14"/>
      <c r="T56" s="14"/>
      <c r="U56" s="14"/>
    </row>
    <row r="57" spans="2:21" x14ac:dyDescent="0.25">
      <c r="L57" s="14"/>
      <c r="M57" s="14"/>
      <c r="N57" s="14"/>
      <c r="O57" s="14"/>
      <c r="P57" s="14"/>
      <c r="Q57" s="14"/>
      <c r="R57" s="14"/>
      <c r="S57" s="14"/>
      <c r="T57" s="14"/>
      <c r="U57" s="14"/>
    </row>
    <row r="58" spans="2:21" x14ac:dyDescent="0.25">
      <c r="L58" s="13" t="s">
        <v>92</v>
      </c>
      <c r="M58" s="16"/>
      <c r="N58" s="16"/>
      <c r="O58" s="16"/>
      <c r="P58" s="16"/>
      <c r="Q58" s="16"/>
      <c r="R58" s="16"/>
      <c r="S58" s="16"/>
      <c r="T58" s="16"/>
      <c r="U58" s="16"/>
    </row>
    <row r="59" spans="2:21" x14ac:dyDescent="0.25">
      <c r="L59" s="13" t="s">
        <v>93</v>
      </c>
      <c r="M59" s="16"/>
      <c r="N59" s="16"/>
      <c r="O59" s="16"/>
      <c r="P59" s="16"/>
      <c r="Q59" s="16"/>
      <c r="R59" s="16"/>
      <c r="S59" s="16"/>
      <c r="T59" s="16"/>
      <c r="U59" s="16"/>
    </row>
    <row r="60" spans="2:21" x14ac:dyDescent="0.25">
      <c r="L60" s="13" t="s">
        <v>94</v>
      </c>
    </row>
    <row r="61" spans="2:21" x14ac:dyDescent="0.25">
      <c r="L61" s="13" t="s">
        <v>95</v>
      </c>
    </row>
    <row r="62" spans="2:21" x14ac:dyDescent="0.25">
      <c r="L62" s="14" t="s">
        <v>96</v>
      </c>
      <c r="M62" s="14"/>
      <c r="N62" s="14"/>
      <c r="O62" s="14"/>
      <c r="P62" s="14"/>
      <c r="Q62" s="14"/>
      <c r="R62" s="14"/>
      <c r="S62" s="14"/>
      <c r="T62" s="14"/>
      <c r="U62" s="14"/>
    </row>
    <row r="63" spans="2:21" x14ac:dyDescent="0.25">
      <c r="L63" s="14"/>
      <c r="M63" s="14"/>
      <c r="N63" s="14"/>
      <c r="O63" s="14"/>
      <c r="P63" s="14"/>
      <c r="Q63" s="14"/>
      <c r="R63" s="14"/>
      <c r="S63" s="14"/>
      <c r="T63" s="14"/>
      <c r="U63" s="14"/>
    </row>
    <row r="64" spans="2:21" x14ac:dyDescent="0.25">
      <c r="L64" s="16"/>
      <c r="M64" s="16"/>
      <c r="N64" s="16"/>
      <c r="O64" s="16"/>
      <c r="P64" s="16"/>
      <c r="Q64" s="16"/>
      <c r="R64" s="16"/>
      <c r="S64" s="16"/>
      <c r="T64" s="16"/>
      <c r="U64" s="16"/>
    </row>
    <row r="66" spans="12:21" x14ac:dyDescent="0.25">
      <c r="L66" s="16"/>
      <c r="M66" s="16"/>
      <c r="N66" s="16"/>
      <c r="O66" s="16"/>
      <c r="P66" s="16"/>
      <c r="Q66" s="16"/>
      <c r="R66" s="16"/>
      <c r="S66" s="16"/>
      <c r="T66" s="16"/>
      <c r="U66" s="16"/>
    </row>
    <row r="67" spans="12:21" x14ac:dyDescent="0.25">
      <c r="L67" s="16"/>
      <c r="M67" s="16"/>
      <c r="N67" s="16"/>
      <c r="O67" s="16"/>
      <c r="P67" s="16"/>
      <c r="Q67" s="16"/>
      <c r="R67" s="16"/>
      <c r="S67" s="16"/>
      <c r="T67" s="16"/>
      <c r="U67" s="16"/>
    </row>
    <row r="68" spans="12:21" x14ac:dyDescent="0.25">
      <c r="L68" s="16"/>
      <c r="M68" s="16"/>
      <c r="N68" s="16"/>
      <c r="O68" s="16"/>
      <c r="P68" s="16"/>
      <c r="Q68" s="16"/>
      <c r="R68" s="16"/>
      <c r="S68" s="16"/>
      <c r="T68" s="16"/>
      <c r="U68" s="16"/>
    </row>
  </sheetData>
  <mergeCells count="6">
    <mergeCell ref="L6:U32"/>
    <mergeCell ref="L35:U36"/>
    <mergeCell ref="L37:U38"/>
    <mergeCell ref="L41:U42"/>
    <mergeCell ref="L56:U57"/>
    <mergeCell ref="L62:U6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B59B6-5DE5-4C18-8467-8149888EE492}">
  <dimension ref="B1:U68"/>
  <sheetViews>
    <sheetView topLeftCell="A18" workbookViewId="0">
      <selection activeCell="E57" sqref="E5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 t="s">
        <v>105</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x14ac:dyDescent="0.25">
      <c r="L23" s="11"/>
      <c r="M23" s="11"/>
      <c r="N23" s="11"/>
      <c r="O23" s="11"/>
      <c r="P23" s="11"/>
      <c r="Q23" s="11"/>
      <c r="R23" s="11"/>
      <c r="S23" s="11"/>
      <c r="T23" s="11"/>
      <c r="U23" s="11"/>
    </row>
    <row r="24" spans="2:21" ht="15.75" x14ac:dyDescent="0.25">
      <c r="B24" s="9" t="s">
        <v>29</v>
      </c>
      <c r="C24" s="10"/>
      <c r="D24" s="19" t="s">
        <v>30</v>
      </c>
      <c r="E24" s="19" t="s">
        <v>31</v>
      </c>
      <c r="F24" s="19" t="s">
        <v>32</v>
      </c>
      <c r="G24" s="19" t="s">
        <v>33</v>
      </c>
      <c r="H24" s="19" t="s">
        <v>34</v>
      </c>
      <c r="I24" s="19" t="s">
        <v>35</v>
      </c>
      <c r="J24" s="8"/>
      <c r="L24" s="11"/>
      <c r="M24" s="11"/>
      <c r="N24" s="11"/>
      <c r="O24" s="11"/>
      <c r="P24" s="11"/>
      <c r="Q24" s="11"/>
      <c r="R24" s="11"/>
      <c r="S24" s="11"/>
      <c r="T24" s="11"/>
      <c r="U24" s="11"/>
    </row>
    <row r="25" spans="2:21" x14ac:dyDescent="0.25">
      <c r="B25" s="1"/>
      <c r="C25" s="1"/>
      <c r="D25" s="20" t="s">
        <v>36</v>
      </c>
      <c r="E25" s="21"/>
      <c r="F25" s="21"/>
      <c r="G25" s="22"/>
      <c r="H25" s="23" t="s">
        <v>37</v>
      </c>
      <c r="I25" s="21"/>
      <c r="J25" s="21"/>
      <c r="L25" s="11"/>
      <c r="M25" s="11"/>
      <c r="N25" s="11"/>
      <c r="O25" s="11"/>
      <c r="P25" s="11"/>
      <c r="Q25" s="11"/>
      <c r="R25" s="11"/>
      <c r="S25" s="11"/>
      <c r="T25" s="11"/>
      <c r="U25" s="11"/>
    </row>
    <row r="26" spans="2:21" x14ac:dyDescent="0.25">
      <c r="B26" s="24"/>
      <c r="C26" s="24"/>
      <c r="D26" s="25">
        <v>44926</v>
      </c>
      <c r="E26" s="25">
        <v>45291</v>
      </c>
      <c r="F26" s="25">
        <v>45657</v>
      </c>
      <c r="G26" s="26">
        <v>46022</v>
      </c>
      <c r="H26" s="27">
        <v>45747</v>
      </c>
      <c r="I26" s="26">
        <v>46112</v>
      </c>
      <c r="J26" s="28" t="s">
        <v>38</v>
      </c>
      <c r="L26" s="11"/>
      <c r="M26" s="11"/>
      <c r="N26" s="11"/>
      <c r="O26" s="11"/>
      <c r="P26" s="11"/>
      <c r="Q26" s="11"/>
      <c r="R26" s="11"/>
      <c r="S26" s="11"/>
      <c r="T26" s="11"/>
      <c r="U26" s="11"/>
    </row>
    <row r="27" spans="2:21" x14ac:dyDescent="0.25">
      <c r="B27" s="8" t="s">
        <v>39</v>
      </c>
      <c r="C27" s="8"/>
      <c r="D27" s="29">
        <v>3164.3153299999999</v>
      </c>
      <c r="E27" s="29">
        <v>5231.2196000000004</v>
      </c>
      <c r="F27" s="29">
        <v>4157.2097100000001</v>
      </c>
      <c r="G27" s="30">
        <v>4670.9467100000002</v>
      </c>
      <c r="H27" s="31">
        <v>4275.0604400000002</v>
      </c>
      <c r="I27" s="30">
        <v>4994.50407</v>
      </c>
      <c r="J27" s="32">
        <v>0.16828852833715713</v>
      </c>
      <c r="L27" s="11"/>
      <c r="M27" s="11"/>
      <c r="N27" s="11"/>
      <c r="O27" s="11"/>
      <c r="P27" s="11"/>
      <c r="Q27" s="11"/>
      <c r="R27" s="11"/>
      <c r="S27" s="11"/>
      <c r="T27" s="11"/>
      <c r="U27" s="11"/>
    </row>
    <row r="28" spans="2:21" x14ac:dyDescent="0.25">
      <c r="B28" s="8" t="s">
        <v>40</v>
      </c>
      <c r="C28" s="33"/>
      <c r="D28" s="29">
        <v>940.30322999999999</v>
      </c>
      <c r="E28" s="29">
        <v>2461.1688600000002</v>
      </c>
      <c r="F28" s="29">
        <v>1962.71801</v>
      </c>
      <c r="G28" s="30">
        <v>2143.6904800000002</v>
      </c>
      <c r="H28" s="31">
        <v>2011.23127</v>
      </c>
      <c r="I28" s="30">
        <v>2252.8624100000002</v>
      </c>
      <c r="J28" s="32">
        <v>0.12014090254274934</v>
      </c>
      <c r="L28" s="11"/>
      <c r="M28" s="11"/>
      <c r="N28" s="11"/>
      <c r="O28" s="11"/>
      <c r="P28" s="11"/>
      <c r="Q28" s="11"/>
      <c r="R28" s="11"/>
      <c r="S28" s="11"/>
      <c r="T28" s="11"/>
      <c r="U28" s="11"/>
    </row>
    <row r="29" spans="2:21" x14ac:dyDescent="0.25">
      <c r="B29" s="8" t="s">
        <v>41</v>
      </c>
      <c r="C29" s="33"/>
      <c r="D29" s="29">
        <v>1831.6268600000001</v>
      </c>
      <c r="E29" s="29">
        <v>2406.3893400000002</v>
      </c>
      <c r="F29" s="29">
        <v>1973.67048</v>
      </c>
      <c r="G29" s="30">
        <v>2401.08988</v>
      </c>
      <c r="H29" s="31">
        <v>2086.0799000000002</v>
      </c>
      <c r="I29" s="30">
        <v>2583.1248999999998</v>
      </c>
      <c r="J29" s="32">
        <v>0.23826747959174499</v>
      </c>
      <c r="L29" s="11"/>
      <c r="M29" s="11"/>
      <c r="N29" s="11"/>
      <c r="O29" s="11"/>
      <c r="P29" s="11"/>
      <c r="Q29" s="11"/>
      <c r="R29" s="11"/>
      <c r="S29" s="11"/>
      <c r="T29" s="11"/>
      <c r="U29" s="11"/>
    </row>
    <row r="30" spans="2:21" x14ac:dyDescent="0.25">
      <c r="B30" s="8" t="s">
        <v>42</v>
      </c>
      <c r="C30" s="33"/>
      <c r="D30" s="29">
        <v>379.44245999999998</v>
      </c>
      <c r="E30" s="29">
        <v>539.24288999999999</v>
      </c>
      <c r="F30" s="29">
        <v>491.93069000000003</v>
      </c>
      <c r="G30" s="30">
        <v>638.06542000000002</v>
      </c>
      <c r="H30" s="31">
        <v>532.28024000000005</v>
      </c>
      <c r="I30" s="30">
        <v>680.95766000000003</v>
      </c>
      <c r="J30" s="32">
        <v>0.27932169715712152</v>
      </c>
      <c r="L30" s="11"/>
      <c r="M30" s="11"/>
      <c r="N30" s="11"/>
      <c r="O30" s="11"/>
      <c r="P30" s="11"/>
      <c r="Q30" s="11"/>
      <c r="R30" s="11"/>
      <c r="S30" s="11"/>
      <c r="T30" s="11"/>
      <c r="U30" s="11"/>
    </row>
    <row r="31" spans="2:21" x14ac:dyDescent="0.25">
      <c r="B31" s="8" t="s">
        <v>43</v>
      </c>
      <c r="C31" s="33"/>
      <c r="D31" s="29">
        <v>710.89112</v>
      </c>
      <c r="E31" s="29">
        <v>1527.4119800000001</v>
      </c>
      <c r="F31" s="29">
        <v>1178.22578</v>
      </c>
      <c r="G31" s="30">
        <v>876.95816000000002</v>
      </c>
      <c r="H31" s="31">
        <v>1027.11672</v>
      </c>
      <c r="I31" s="30">
        <v>890.61707999999999</v>
      </c>
      <c r="J31" s="32">
        <v>-0.13289593805852951</v>
      </c>
      <c r="L31" s="11"/>
      <c r="M31" s="11"/>
      <c r="N31" s="11"/>
      <c r="O31" s="11"/>
      <c r="P31" s="11"/>
      <c r="Q31" s="11"/>
      <c r="R31" s="11"/>
      <c r="S31" s="11"/>
      <c r="T31" s="11"/>
      <c r="U31" s="11"/>
    </row>
    <row r="32" spans="2:21" x14ac:dyDescent="0.25">
      <c r="B32" s="8" t="s">
        <v>44</v>
      </c>
      <c r="C32" s="8"/>
      <c r="D32" s="29">
        <v>508.88186999999999</v>
      </c>
      <c r="E32" s="29">
        <v>701.96144000000004</v>
      </c>
      <c r="F32" s="29">
        <v>624.68109000000004</v>
      </c>
      <c r="G32" s="30">
        <v>902.79583000000002</v>
      </c>
      <c r="H32" s="31">
        <v>673.70210999999995</v>
      </c>
      <c r="I32" s="30">
        <v>1023.7101699999999</v>
      </c>
      <c r="J32" s="32">
        <v>0.51952941040959488</v>
      </c>
      <c r="L32" s="11"/>
      <c r="M32" s="11"/>
      <c r="N32" s="11"/>
      <c r="O32" s="11"/>
      <c r="P32" s="11"/>
      <c r="Q32" s="11"/>
      <c r="R32" s="11"/>
      <c r="S32" s="11"/>
      <c r="T32" s="11"/>
      <c r="U32" s="11"/>
    </row>
    <row r="33" spans="2:21" x14ac:dyDescent="0.25">
      <c r="B33" s="8" t="s">
        <v>45</v>
      </c>
      <c r="C33" s="8"/>
      <c r="D33" s="29">
        <v>478.57790999999997</v>
      </c>
      <c r="E33" s="29">
        <v>-256.53136000000001</v>
      </c>
      <c r="F33" s="29">
        <v>-14.40494</v>
      </c>
      <c r="G33" s="30">
        <v>588.96388000000002</v>
      </c>
      <c r="H33" s="31">
        <v>188.22185999999999</v>
      </c>
      <c r="I33" s="30">
        <v>607.78093000000001</v>
      </c>
      <c r="J33" s="32">
        <v>2.2290666450751258</v>
      </c>
      <c r="L33" s="12" t="s">
        <v>2</v>
      </c>
    </row>
    <row r="34" spans="2:21" x14ac:dyDescent="0.25">
      <c r="B34" s="8" t="s">
        <v>46</v>
      </c>
      <c r="C34" s="8"/>
      <c r="D34" s="29">
        <v>145.17291</v>
      </c>
      <c r="E34" s="29">
        <v>-160.42093</v>
      </c>
      <c r="F34" s="29">
        <v>5.9268400000000003</v>
      </c>
      <c r="G34" s="30">
        <v>160.76499999999999</v>
      </c>
      <c r="H34" s="31">
        <v>71.723929999999996</v>
      </c>
      <c r="I34" s="30">
        <v>168.84264999999999</v>
      </c>
      <c r="J34" s="32">
        <v>1.3540630024038003</v>
      </c>
      <c r="L34" s="13" t="s">
        <v>106</v>
      </c>
    </row>
    <row r="35" spans="2:21" x14ac:dyDescent="0.25">
      <c r="B35" s="8" t="s">
        <v>47</v>
      </c>
      <c r="C35" s="8"/>
      <c r="D35" s="29">
        <v>333.40499999999997</v>
      </c>
      <c r="E35" s="29">
        <v>-96.110429999999994</v>
      </c>
      <c r="F35" s="29">
        <v>-20.331779999999998</v>
      </c>
      <c r="G35" s="30">
        <v>428.19889000000001</v>
      </c>
      <c r="H35" s="31">
        <v>116.49791999999999</v>
      </c>
      <c r="I35" s="30">
        <v>438.93828000000002</v>
      </c>
      <c r="J35" s="32">
        <v>2.7677778281363312</v>
      </c>
      <c r="L35" s="14" t="s">
        <v>107</v>
      </c>
      <c r="M35" s="14"/>
      <c r="N35" s="14"/>
      <c r="O35" s="14"/>
      <c r="P35" s="14"/>
      <c r="Q35" s="14"/>
      <c r="R35" s="14"/>
      <c r="S35" s="14"/>
      <c r="T35" s="14"/>
      <c r="U35" s="14"/>
    </row>
    <row r="36" spans="2:21" x14ac:dyDescent="0.25">
      <c r="B36" s="34" t="s">
        <v>48</v>
      </c>
      <c r="C36" s="35"/>
      <c r="D36" s="36">
        <v>328.70024000000001</v>
      </c>
      <c r="E36" s="36">
        <v>-102.14243999999999</v>
      </c>
      <c r="F36" s="36">
        <v>-26.30058</v>
      </c>
      <c r="G36" s="37">
        <v>403.65355</v>
      </c>
      <c r="H36" s="38">
        <v>110.22490999999999</v>
      </c>
      <c r="I36" s="37">
        <v>415.87678</v>
      </c>
      <c r="J36" s="39">
        <v>2.7729836204901415</v>
      </c>
      <c r="L36" s="14"/>
      <c r="M36" s="14"/>
      <c r="N36" s="14"/>
      <c r="O36" s="14"/>
      <c r="P36" s="14"/>
      <c r="Q36" s="14"/>
      <c r="R36" s="14"/>
      <c r="S36" s="14"/>
      <c r="T36" s="14"/>
      <c r="U36" s="14"/>
    </row>
    <row r="37" spans="2:21" x14ac:dyDescent="0.25">
      <c r="B37" s="40" t="s">
        <v>49</v>
      </c>
      <c r="C37" s="8"/>
      <c r="D37" s="41">
        <v>5.6131E-2</v>
      </c>
      <c r="E37" s="41">
        <v>4.9355999999999997E-2</v>
      </c>
      <c r="F37" s="41">
        <v>4.8913000000000005E-2</v>
      </c>
      <c r="G37" s="42">
        <v>4.0399000000000004E-2</v>
      </c>
      <c r="H37" s="32">
        <v>5.0416999999999997E-2</v>
      </c>
      <c r="I37" s="42">
        <v>4.0982999999999999E-2</v>
      </c>
      <c r="J37" s="32" t="s">
        <v>129</v>
      </c>
      <c r="L37" s="14"/>
      <c r="M37" s="14"/>
      <c r="N37" s="14"/>
      <c r="O37" s="14"/>
      <c r="P37" s="14"/>
      <c r="Q37" s="14"/>
      <c r="R37" s="14"/>
      <c r="S37" s="14"/>
      <c r="T37" s="14"/>
      <c r="U37" s="14"/>
    </row>
    <row r="38" spans="2:21" x14ac:dyDescent="0.25">
      <c r="B38" s="40" t="s">
        <v>51</v>
      </c>
      <c r="C38" s="8"/>
      <c r="D38" s="41">
        <v>1.358938</v>
      </c>
      <c r="E38" s="41">
        <v>0.90309899999999999</v>
      </c>
      <c r="F38" s="41">
        <v>0.77615899999999993</v>
      </c>
      <c r="G38" s="42">
        <v>0.882965</v>
      </c>
      <c r="H38" s="32">
        <v>0.75946500000000006</v>
      </c>
      <c r="I38" s="42">
        <v>0.89072400000000007</v>
      </c>
      <c r="J38" s="32" t="s">
        <v>130</v>
      </c>
      <c r="L38" s="14" t="s">
        <v>108</v>
      </c>
      <c r="M38" s="14"/>
      <c r="N38" s="14"/>
      <c r="O38" s="14"/>
      <c r="P38" s="14"/>
      <c r="Q38" s="14"/>
      <c r="R38" s="14"/>
      <c r="S38" s="14"/>
      <c r="T38" s="14"/>
      <c r="U38" s="14"/>
    </row>
    <row r="39" spans="2:21" x14ac:dyDescent="0.25">
      <c r="B39" s="40" t="s">
        <v>53</v>
      </c>
      <c r="C39" s="8"/>
      <c r="D39" s="41">
        <v>0</v>
      </c>
      <c r="E39" s="41">
        <v>0</v>
      </c>
      <c r="F39" s="41">
        <v>0</v>
      </c>
      <c r="G39" s="42">
        <v>0</v>
      </c>
      <c r="H39" s="32">
        <v>0</v>
      </c>
      <c r="I39" s="42">
        <v>0</v>
      </c>
      <c r="J39" s="32" t="s">
        <v>54</v>
      </c>
      <c r="L39" s="14"/>
      <c r="M39" s="14"/>
      <c r="N39" s="14"/>
      <c r="O39" s="14"/>
      <c r="P39" s="14"/>
      <c r="Q39" s="14"/>
      <c r="R39" s="14"/>
      <c r="S39" s="14"/>
      <c r="T39" s="14"/>
      <c r="U39" s="14"/>
    </row>
    <row r="40" spans="2:21" x14ac:dyDescent="0.25">
      <c r="B40" s="8" t="s">
        <v>55</v>
      </c>
      <c r="C40" s="43"/>
      <c r="D40" s="41">
        <v>8.9675999999999992E-2</v>
      </c>
      <c r="E40" s="41">
        <v>8.4602000000000011E-2</v>
      </c>
      <c r="F40" s="41">
        <v>8.2545000000000007E-2</v>
      </c>
      <c r="G40" s="42">
        <v>7.7441999999999997E-2</v>
      </c>
      <c r="H40" s="32">
        <v>8.4810999999999998E-2</v>
      </c>
      <c r="I40" s="42">
        <v>7.7644000000000005E-2</v>
      </c>
      <c r="J40" s="32" t="s">
        <v>131</v>
      </c>
      <c r="L40" s="13" t="s">
        <v>109</v>
      </c>
      <c r="M40" s="13"/>
      <c r="N40" s="13"/>
      <c r="O40" s="13"/>
      <c r="P40" s="13"/>
      <c r="Q40" s="13"/>
      <c r="R40" s="13"/>
      <c r="S40" s="13"/>
      <c r="T40" s="13"/>
      <c r="U40" s="13"/>
    </row>
    <row r="41" spans="2:21" x14ac:dyDescent="0.25">
      <c r="B41" s="8" t="s">
        <v>57</v>
      </c>
      <c r="C41" s="43"/>
      <c r="D41" s="41">
        <v>9.0772999999999993E-2</v>
      </c>
      <c r="E41" s="41">
        <v>8.5679999999999992E-2</v>
      </c>
      <c r="F41" s="41">
        <v>8.3652000000000004E-2</v>
      </c>
      <c r="G41" s="42">
        <v>8.4186999999999998E-2</v>
      </c>
      <c r="H41" s="32">
        <v>8.5883000000000001E-2</v>
      </c>
      <c r="I41" s="42">
        <v>8.4337999999999996E-2</v>
      </c>
      <c r="J41" s="32" t="s">
        <v>132</v>
      </c>
      <c r="L41" s="13" t="s">
        <v>110</v>
      </c>
      <c r="M41" s="13"/>
      <c r="N41" s="13"/>
      <c r="O41" s="13"/>
      <c r="P41" s="13"/>
      <c r="Q41" s="13"/>
      <c r="R41" s="13"/>
      <c r="S41" s="13"/>
      <c r="T41" s="13"/>
      <c r="U41" s="13"/>
    </row>
    <row r="42" spans="2:21" x14ac:dyDescent="0.25">
      <c r="B42" s="8" t="s">
        <v>58</v>
      </c>
      <c r="C42" s="43"/>
      <c r="D42" s="41">
        <v>1.3528929999999999</v>
      </c>
      <c r="E42" s="41">
        <v>1.1038950000000001</v>
      </c>
      <c r="F42" s="41">
        <v>1.0678860000000001</v>
      </c>
      <c r="G42" s="42">
        <v>1.049291</v>
      </c>
      <c r="H42" s="32">
        <v>1.035188</v>
      </c>
      <c r="I42" s="42">
        <v>1.0379849999999999</v>
      </c>
      <c r="J42" s="32" t="s">
        <v>133</v>
      </c>
      <c r="L42" s="13" t="s">
        <v>14</v>
      </c>
      <c r="M42" s="13"/>
      <c r="N42" s="13"/>
      <c r="O42" s="13"/>
      <c r="P42" s="13"/>
      <c r="Q42" s="13"/>
      <c r="R42" s="13"/>
      <c r="S42" s="13"/>
      <c r="T42" s="13"/>
      <c r="U42" s="13"/>
    </row>
    <row r="43" spans="2:21" x14ac:dyDescent="0.25">
      <c r="B43" s="40" t="s">
        <v>60</v>
      </c>
      <c r="C43" s="43"/>
      <c r="D43" s="41">
        <v>0.1288</v>
      </c>
      <c r="E43" s="41">
        <v>0.11749999999999999</v>
      </c>
      <c r="F43" s="41">
        <v>0.12659999999999999</v>
      </c>
      <c r="G43" s="42">
        <v>0.12909999999999999</v>
      </c>
      <c r="H43" s="32">
        <v>0.1285</v>
      </c>
      <c r="I43" s="42">
        <v>0.1323</v>
      </c>
      <c r="J43" s="32" t="s">
        <v>134</v>
      </c>
      <c r="L43" s="13" t="s">
        <v>111</v>
      </c>
      <c r="M43" s="15"/>
      <c r="N43" s="15"/>
      <c r="O43" s="15"/>
      <c r="P43" s="15"/>
      <c r="Q43" s="15"/>
      <c r="R43" s="15"/>
      <c r="S43" s="15"/>
      <c r="T43" s="15"/>
      <c r="U43" s="15"/>
    </row>
    <row r="44" spans="2:21" x14ac:dyDescent="0.25">
      <c r="B44" s="40" t="s">
        <v>62</v>
      </c>
      <c r="C44" s="43"/>
      <c r="D44" s="41">
        <v>0.11070000000000001</v>
      </c>
      <c r="E44" s="41">
        <v>0.10249999999999999</v>
      </c>
      <c r="F44" s="41">
        <v>0.10949999999999999</v>
      </c>
      <c r="G44" s="42">
        <v>0.1162</v>
      </c>
      <c r="H44" s="32">
        <v>0.1118</v>
      </c>
      <c r="I44" s="42">
        <v>0.1195</v>
      </c>
      <c r="J44" s="32" t="s">
        <v>135</v>
      </c>
      <c r="L44" s="13" t="s">
        <v>112</v>
      </c>
    </row>
    <row r="45" spans="2:21" x14ac:dyDescent="0.25">
      <c r="B45" s="40" t="s">
        <v>63</v>
      </c>
      <c r="C45" s="43"/>
      <c r="D45" s="41">
        <v>3.4124000000000002E-2</v>
      </c>
      <c r="E45" s="41">
        <v>2.7837999999999998E-2</v>
      </c>
      <c r="F45" s="41">
        <v>2.9104000000000001E-2</v>
      </c>
      <c r="G45" s="42">
        <v>3.2244000000000002E-2</v>
      </c>
      <c r="H45" s="32">
        <v>2.7757999999999998E-2</v>
      </c>
      <c r="I45" s="42">
        <v>2.9853000000000001E-2</v>
      </c>
      <c r="J45" s="32" t="s">
        <v>102</v>
      </c>
      <c r="L45" s="13" t="s">
        <v>113</v>
      </c>
    </row>
    <row r="46" spans="2:21" x14ac:dyDescent="0.25">
      <c r="B46" s="34" t="s">
        <v>64</v>
      </c>
      <c r="C46" s="44"/>
      <c r="D46" s="45">
        <v>0.16289999999999999</v>
      </c>
      <c r="E46" s="45">
        <v>0.1454</v>
      </c>
      <c r="F46" s="45">
        <v>0.15570000000000001</v>
      </c>
      <c r="G46" s="46">
        <v>0.1613</v>
      </c>
      <c r="H46" s="39">
        <v>0.15620000000000001</v>
      </c>
      <c r="I46" s="46">
        <v>0.16219999999999998</v>
      </c>
      <c r="J46" s="39" t="s">
        <v>136</v>
      </c>
      <c r="L46" s="13" t="s">
        <v>114</v>
      </c>
    </row>
    <row r="47" spans="2:21" x14ac:dyDescent="0.25">
      <c r="B47" s="40" t="s">
        <v>66</v>
      </c>
      <c r="C47" s="33"/>
      <c r="D47" s="33">
        <v>0.105709</v>
      </c>
      <c r="E47" s="33">
        <v>-2.3984999999999999E-2</v>
      </c>
      <c r="F47" s="33">
        <v>-5.7999999999999996E-3</v>
      </c>
      <c r="G47" s="47">
        <v>9.2243999999999993E-2</v>
      </c>
      <c r="H47" s="48">
        <v>3.1084000000000001E-2</v>
      </c>
      <c r="I47" s="47">
        <v>9.1081000000000009E-2</v>
      </c>
      <c r="J47" s="32" t="s">
        <v>137</v>
      </c>
      <c r="L47" s="13" t="s">
        <v>115</v>
      </c>
      <c r="M47" s="16"/>
      <c r="N47" s="16"/>
      <c r="O47" s="16"/>
      <c r="P47" s="16"/>
      <c r="Q47" s="16"/>
      <c r="R47" s="16"/>
      <c r="S47" s="16"/>
      <c r="T47" s="16"/>
      <c r="U47" s="16"/>
    </row>
    <row r="48" spans="2:21" x14ac:dyDescent="0.25">
      <c r="B48" s="8" t="s">
        <v>68</v>
      </c>
      <c r="C48" s="8"/>
      <c r="D48" s="33">
        <v>0.105493</v>
      </c>
      <c r="E48" s="33">
        <v>-2.5815000000000001E-2</v>
      </c>
      <c r="F48" s="33">
        <v>-7.6029999999999995E-3</v>
      </c>
      <c r="G48" s="47">
        <v>9.4529000000000002E-2</v>
      </c>
      <c r="H48" s="48">
        <v>2.9782000000000003E-2</v>
      </c>
      <c r="I48" s="47">
        <v>9.3734999999999999E-2</v>
      </c>
      <c r="J48" s="32" t="s">
        <v>138</v>
      </c>
      <c r="L48" s="13" t="s">
        <v>116</v>
      </c>
      <c r="M48" s="16"/>
      <c r="N48" s="16"/>
      <c r="O48" s="16"/>
      <c r="P48" s="16"/>
      <c r="Q48" s="16"/>
      <c r="R48" s="16"/>
      <c r="S48" s="16"/>
      <c r="T48" s="16"/>
      <c r="U48" s="16"/>
    </row>
    <row r="49" spans="2:21" x14ac:dyDescent="0.25">
      <c r="B49" s="34" t="s">
        <v>70</v>
      </c>
      <c r="C49" s="35"/>
      <c r="D49" s="35">
        <v>9.5949999999999994E-3</v>
      </c>
      <c r="E49" s="35">
        <v>-2.055E-3</v>
      </c>
      <c r="F49" s="35">
        <v>-4.8500000000000003E-4</v>
      </c>
      <c r="G49" s="49">
        <v>7.7649999999999993E-3</v>
      </c>
      <c r="H49" s="50">
        <v>2.6690000000000004E-3</v>
      </c>
      <c r="I49" s="49">
        <v>7.6810000000000003E-3</v>
      </c>
      <c r="J49" s="39" t="s">
        <v>139</v>
      </c>
      <c r="L49" s="13"/>
      <c r="M49" s="17"/>
      <c r="N49" s="17"/>
      <c r="O49" s="17"/>
      <c r="P49" s="17"/>
      <c r="Q49" s="17"/>
      <c r="R49" s="17"/>
      <c r="S49" s="17"/>
      <c r="T49" s="17"/>
      <c r="U49" s="17"/>
    </row>
    <row r="50" spans="2:21" x14ac:dyDescent="0.25">
      <c r="B50" s="8" t="s">
        <v>71</v>
      </c>
      <c r="C50" s="8"/>
      <c r="D50" s="43">
        <v>6.6368400000000003</v>
      </c>
      <c r="E50" s="56" t="s">
        <v>104</v>
      </c>
      <c r="F50" s="56" t="s">
        <v>104</v>
      </c>
      <c r="G50" s="52">
        <v>9.6377900000000007</v>
      </c>
      <c r="H50" s="56" t="s">
        <v>104</v>
      </c>
      <c r="I50" s="52">
        <v>7.5358700000000001</v>
      </c>
      <c r="J50" s="32" t="s">
        <v>103</v>
      </c>
      <c r="L50" s="18" t="s">
        <v>16</v>
      </c>
      <c r="M50" s="17"/>
      <c r="N50" s="17"/>
      <c r="O50" s="17"/>
      <c r="P50" s="17"/>
      <c r="Q50" s="17"/>
      <c r="R50" s="17"/>
      <c r="S50" s="17"/>
      <c r="T50" s="17"/>
      <c r="U50" s="17"/>
    </row>
    <row r="51" spans="2:21" x14ac:dyDescent="0.25">
      <c r="B51" s="8" t="s">
        <v>72</v>
      </c>
      <c r="C51" s="8"/>
      <c r="D51" s="43">
        <v>6.4102100000000002</v>
      </c>
      <c r="E51" s="56">
        <v>10.708410000000001</v>
      </c>
      <c r="F51" s="56">
        <v>5.4238099999999996</v>
      </c>
      <c r="G51" s="52">
        <v>6.2141200000000003</v>
      </c>
      <c r="H51" s="56">
        <v>6.9910100000000002</v>
      </c>
      <c r="I51" s="52">
        <v>6.2011000000000003</v>
      </c>
      <c r="J51" s="32">
        <v>-0.11298939638192473</v>
      </c>
      <c r="L51" s="13" t="s">
        <v>117</v>
      </c>
    </row>
    <row r="52" spans="2:21" x14ac:dyDescent="0.25">
      <c r="B52" s="34" t="s">
        <v>73</v>
      </c>
      <c r="C52" s="35"/>
      <c r="D52" s="53">
        <v>0.90146999999999999</v>
      </c>
      <c r="E52" s="53">
        <v>0.66218999999999995</v>
      </c>
      <c r="F52" s="53">
        <v>0.63597000000000004</v>
      </c>
      <c r="G52" s="54">
        <v>0.84108000000000005</v>
      </c>
      <c r="H52" s="55">
        <v>0.72170999999999996</v>
      </c>
      <c r="I52" s="54">
        <v>0.81059999999999999</v>
      </c>
      <c r="J52" s="39">
        <v>0.12316581452383923</v>
      </c>
      <c r="L52" s="13" t="s">
        <v>118</v>
      </c>
      <c r="M52" s="15"/>
      <c r="N52" s="15"/>
      <c r="O52" s="15"/>
      <c r="P52" s="15"/>
      <c r="Q52" s="15"/>
      <c r="R52" s="15"/>
      <c r="S52" s="15"/>
      <c r="T52" s="15"/>
      <c r="U52" s="15"/>
    </row>
    <row r="53" spans="2:21" x14ac:dyDescent="0.25">
      <c r="L53" s="13" t="s">
        <v>119</v>
      </c>
      <c r="M53" s="16"/>
      <c r="N53" s="16"/>
      <c r="O53" s="16"/>
      <c r="P53" s="16"/>
      <c r="Q53" s="16"/>
      <c r="R53" s="16"/>
      <c r="S53" s="16"/>
      <c r="T53" s="16"/>
      <c r="U53" s="16"/>
    </row>
    <row r="54" spans="2:21" x14ac:dyDescent="0.25">
      <c r="L54" s="13" t="s">
        <v>120</v>
      </c>
      <c r="M54" s="16"/>
      <c r="N54" s="16"/>
      <c r="O54" s="16"/>
      <c r="P54" s="16"/>
      <c r="Q54" s="16"/>
      <c r="R54" s="16"/>
      <c r="S54" s="16"/>
      <c r="T54" s="16"/>
      <c r="U54" s="16"/>
    </row>
    <row r="55" spans="2:21" x14ac:dyDescent="0.25">
      <c r="L55" s="13" t="s">
        <v>121</v>
      </c>
      <c r="M55" s="16"/>
      <c r="N55" s="16"/>
      <c r="O55" s="16"/>
      <c r="P55" s="16"/>
      <c r="Q55" s="16"/>
      <c r="R55" s="16"/>
      <c r="S55" s="16"/>
      <c r="T55" s="16"/>
      <c r="U55" s="16"/>
    </row>
    <row r="56" spans="2:21" x14ac:dyDescent="0.25">
      <c r="L56" s="13" t="s">
        <v>122</v>
      </c>
      <c r="M56" s="16"/>
      <c r="N56" s="16"/>
      <c r="O56" s="16"/>
      <c r="P56" s="16"/>
      <c r="Q56" s="16"/>
      <c r="R56" s="16"/>
      <c r="S56" s="16"/>
      <c r="T56" s="16"/>
      <c r="U56" s="16"/>
    </row>
    <row r="57" spans="2:21" x14ac:dyDescent="0.25">
      <c r="L57" s="13" t="s">
        <v>123</v>
      </c>
      <c r="M57" s="15"/>
      <c r="N57" s="15"/>
      <c r="O57" s="15"/>
      <c r="P57" s="15"/>
      <c r="Q57" s="15"/>
      <c r="R57" s="15"/>
      <c r="S57" s="15"/>
      <c r="T57" s="15"/>
      <c r="U57" s="15"/>
    </row>
    <row r="58" spans="2:21" x14ac:dyDescent="0.25">
      <c r="L58" s="14" t="s">
        <v>124</v>
      </c>
      <c r="M58" s="14"/>
      <c r="N58" s="14"/>
      <c r="O58" s="14"/>
      <c r="P58" s="14"/>
      <c r="Q58" s="14"/>
      <c r="R58" s="14"/>
      <c r="S58" s="14"/>
      <c r="T58" s="14"/>
      <c r="U58" s="14"/>
    </row>
    <row r="59" spans="2:21" x14ac:dyDescent="0.25">
      <c r="L59" s="14"/>
      <c r="M59" s="14"/>
      <c r="N59" s="14"/>
      <c r="O59" s="14"/>
      <c r="P59" s="14"/>
      <c r="Q59" s="14"/>
      <c r="R59" s="14"/>
      <c r="S59" s="14"/>
      <c r="T59" s="14"/>
      <c r="U59" s="14"/>
    </row>
    <row r="60" spans="2:21" x14ac:dyDescent="0.25">
      <c r="L60" s="13" t="s">
        <v>125</v>
      </c>
    </row>
    <row r="61" spans="2:21" x14ac:dyDescent="0.25">
      <c r="L61" s="13" t="s">
        <v>126</v>
      </c>
    </row>
    <row r="62" spans="2:21" x14ac:dyDescent="0.25">
      <c r="L62" s="13" t="s">
        <v>127</v>
      </c>
    </row>
    <row r="63" spans="2:21" x14ac:dyDescent="0.25">
      <c r="L63" s="14" t="s">
        <v>128</v>
      </c>
      <c r="M63" s="14"/>
      <c r="N63" s="14"/>
      <c r="O63" s="14"/>
      <c r="P63" s="14"/>
      <c r="Q63" s="14"/>
      <c r="R63" s="14"/>
      <c r="S63" s="14"/>
      <c r="T63" s="14"/>
      <c r="U63" s="14"/>
    </row>
    <row r="64" spans="2:21" x14ac:dyDescent="0.25">
      <c r="L64" s="14"/>
      <c r="M64" s="14"/>
      <c r="N64" s="14"/>
      <c r="O64" s="14"/>
      <c r="P64" s="14"/>
      <c r="Q64" s="14"/>
      <c r="R64" s="14"/>
      <c r="S64" s="14"/>
      <c r="T64" s="14"/>
      <c r="U64" s="14"/>
    </row>
    <row r="66" spans="12:21" x14ac:dyDescent="0.25">
      <c r="L66" s="16"/>
      <c r="M66" s="16"/>
      <c r="N66" s="16"/>
      <c r="O66" s="16"/>
      <c r="P66" s="16"/>
      <c r="Q66" s="16"/>
      <c r="R66" s="16"/>
      <c r="S66" s="16"/>
      <c r="T66" s="16"/>
      <c r="U66" s="16"/>
    </row>
    <row r="67" spans="12:21" x14ac:dyDescent="0.25">
      <c r="L67" s="16"/>
      <c r="M67" s="16"/>
      <c r="N67" s="16"/>
      <c r="O67" s="16"/>
      <c r="P67" s="16"/>
      <c r="Q67" s="16"/>
      <c r="R67" s="16"/>
      <c r="S67" s="16"/>
      <c r="T67" s="16"/>
      <c r="U67" s="16"/>
    </row>
    <row r="68" spans="12:21" x14ac:dyDescent="0.25">
      <c r="L68" s="16"/>
      <c r="M68" s="16"/>
      <c r="N68" s="16"/>
      <c r="O68" s="16"/>
      <c r="P68" s="16"/>
      <c r="Q68" s="16"/>
      <c r="R68" s="16"/>
      <c r="S68" s="16"/>
      <c r="T68" s="16"/>
      <c r="U68" s="16"/>
    </row>
  </sheetData>
  <mergeCells count="5">
    <mergeCell ref="L6:U32"/>
    <mergeCell ref="L35:U37"/>
    <mergeCell ref="L38:U39"/>
    <mergeCell ref="L58:U59"/>
    <mergeCell ref="L63:U6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8CB8-46A5-48BF-93F0-309DA0E34E74}">
  <dimension ref="B1:U68"/>
  <sheetViews>
    <sheetView topLeftCell="A6" workbookViewId="0">
      <selection activeCell="B24" sqref="B24:J51"/>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 t="s">
        <v>140</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x14ac:dyDescent="0.25">
      <c r="L23" s="11"/>
      <c r="M23" s="11"/>
      <c r="N23" s="11"/>
      <c r="O23" s="11"/>
      <c r="P23" s="11"/>
      <c r="Q23" s="11"/>
      <c r="R23" s="11"/>
      <c r="S23" s="11"/>
      <c r="T23" s="11"/>
      <c r="U23" s="11"/>
    </row>
    <row r="24" spans="2:21" x14ac:dyDescent="0.25">
      <c r="B24" s="1"/>
      <c r="C24" s="1"/>
      <c r="D24" s="20" t="s">
        <v>36</v>
      </c>
      <c r="E24" s="21"/>
      <c r="F24" s="21"/>
      <c r="G24" s="22"/>
      <c r="H24" s="23" t="s">
        <v>37</v>
      </c>
      <c r="I24" s="21"/>
      <c r="J24" s="21"/>
      <c r="L24" s="11"/>
      <c r="M24" s="11"/>
      <c r="N24" s="11"/>
      <c r="O24" s="11"/>
      <c r="P24" s="11"/>
      <c r="Q24" s="11"/>
      <c r="R24" s="11"/>
      <c r="S24" s="11"/>
      <c r="T24" s="11"/>
      <c r="U24" s="11"/>
    </row>
    <row r="25" spans="2:21" x14ac:dyDescent="0.25">
      <c r="B25" s="24"/>
      <c r="C25" s="24"/>
      <c r="D25" s="25">
        <v>44926</v>
      </c>
      <c r="E25" s="25">
        <v>45291</v>
      </c>
      <c r="F25" s="25">
        <v>45657</v>
      </c>
      <c r="G25" s="26">
        <v>46022</v>
      </c>
      <c r="H25" s="27">
        <v>45747</v>
      </c>
      <c r="I25" s="26">
        <v>46112</v>
      </c>
      <c r="J25" s="28" t="s">
        <v>38</v>
      </c>
      <c r="L25" s="11"/>
      <c r="M25" s="11"/>
      <c r="N25" s="11"/>
      <c r="O25" s="11"/>
      <c r="P25" s="11"/>
      <c r="Q25" s="11"/>
      <c r="R25" s="11"/>
      <c r="S25" s="11"/>
      <c r="T25" s="11"/>
      <c r="U25" s="11"/>
    </row>
    <row r="26" spans="2:21" x14ac:dyDescent="0.25">
      <c r="B26" s="8" t="s">
        <v>39</v>
      </c>
      <c r="C26" s="8"/>
      <c r="D26" s="29">
        <v>3417.9184300000002</v>
      </c>
      <c r="E26" s="29">
        <v>4679.5792099999999</v>
      </c>
      <c r="F26" s="29">
        <v>4061.2458799999999</v>
      </c>
      <c r="G26" s="30">
        <v>4402.3223500000004</v>
      </c>
      <c r="H26" s="31">
        <v>4143.09202</v>
      </c>
      <c r="I26" s="30">
        <v>4230.8964299999998</v>
      </c>
      <c r="J26" s="32">
        <v>2.1192966406765823E-2</v>
      </c>
      <c r="L26" s="11"/>
      <c r="M26" s="11"/>
      <c r="N26" s="11"/>
      <c r="O26" s="11"/>
      <c r="P26" s="11"/>
      <c r="Q26" s="11"/>
      <c r="R26" s="11"/>
      <c r="S26" s="11"/>
      <c r="T26" s="11"/>
      <c r="U26" s="11"/>
    </row>
    <row r="27" spans="2:21" x14ac:dyDescent="0.25">
      <c r="B27" s="8" t="s">
        <v>40</v>
      </c>
      <c r="C27" s="33"/>
      <c r="D27" s="29">
        <v>1581.15977</v>
      </c>
      <c r="E27" s="29">
        <v>2896.4377399999998</v>
      </c>
      <c r="F27" s="29">
        <v>2287.29592</v>
      </c>
      <c r="G27" s="30">
        <v>2208.4743600000002</v>
      </c>
      <c r="H27" s="31">
        <v>2250.4781200000002</v>
      </c>
      <c r="I27" s="30">
        <v>2118.3865099999998</v>
      </c>
      <c r="J27" s="32">
        <v>-5.8694909684347651E-2</v>
      </c>
      <c r="L27" s="11"/>
      <c r="M27" s="11"/>
      <c r="N27" s="11"/>
      <c r="O27" s="11"/>
      <c r="P27" s="11"/>
      <c r="Q27" s="11"/>
      <c r="R27" s="11"/>
      <c r="S27" s="11"/>
      <c r="T27" s="11"/>
      <c r="U27" s="11"/>
    </row>
    <row r="28" spans="2:21" x14ac:dyDescent="0.25">
      <c r="B28" s="8" t="s">
        <v>41</v>
      </c>
      <c r="C28" s="33"/>
      <c r="D28" s="29">
        <v>1836.7586699999999</v>
      </c>
      <c r="E28" s="29">
        <v>1783.14147</v>
      </c>
      <c r="F28" s="29">
        <v>1773.9499499999999</v>
      </c>
      <c r="G28" s="30">
        <v>2193.8479900000002</v>
      </c>
      <c r="H28" s="31">
        <v>1892.6139000000001</v>
      </c>
      <c r="I28" s="30">
        <v>2112.50992</v>
      </c>
      <c r="J28" s="32">
        <v>0.11618641287586429</v>
      </c>
      <c r="L28" s="11"/>
      <c r="M28" s="11"/>
      <c r="N28" s="11"/>
      <c r="O28" s="11"/>
      <c r="P28" s="11"/>
      <c r="Q28" s="11"/>
      <c r="R28" s="11"/>
      <c r="S28" s="11"/>
      <c r="T28" s="11"/>
      <c r="U28" s="11"/>
    </row>
    <row r="29" spans="2:21" x14ac:dyDescent="0.25">
      <c r="B29" s="8" t="s">
        <v>42</v>
      </c>
      <c r="C29" s="33"/>
      <c r="D29" s="29">
        <v>1310.64355</v>
      </c>
      <c r="E29" s="29">
        <v>808.53416000000004</v>
      </c>
      <c r="F29" s="29">
        <v>734.84204</v>
      </c>
      <c r="G29" s="30">
        <v>1098.27673</v>
      </c>
      <c r="H29" s="31">
        <v>899.46523999999999</v>
      </c>
      <c r="I29" s="30">
        <v>961.41522999999995</v>
      </c>
      <c r="J29" s="32">
        <v>6.8874245768518971E-2</v>
      </c>
      <c r="L29" s="11"/>
      <c r="M29" s="11"/>
      <c r="N29" s="11"/>
      <c r="O29" s="11"/>
      <c r="P29" s="11"/>
      <c r="Q29" s="11"/>
      <c r="R29" s="11"/>
      <c r="S29" s="11"/>
      <c r="T29" s="11"/>
      <c r="U29" s="11"/>
    </row>
    <row r="30" spans="2:21" x14ac:dyDescent="0.25">
      <c r="B30" s="8" t="s">
        <v>43</v>
      </c>
      <c r="C30" s="33"/>
      <c r="D30" s="29">
        <v>582.50851</v>
      </c>
      <c r="E30" s="29">
        <v>455.40143</v>
      </c>
      <c r="F30" s="29">
        <v>323.41615000000002</v>
      </c>
      <c r="G30" s="30">
        <v>346.69995</v>
      </c>
      <c r="H30" s="31">
        <v>310.80293</v>
      </c>
      <c r="I30" s="30">
        <v>311.19402000000002</v>
      </c>
      <c r="J30" s="32">
        <v>1.2583214707790891E-3</v>
      </c>
      <c r="L30" s="11"/>
      <c r="M30" s="11"/>
      <c r="N30" s="11"/>
      <c r="O30" s="11"/>
      <c r="P30" s="11"/>
      <c r="Q30" s="11"/>
      <c r="R30" s="11"/>
      <c r="S30" s="11"/>
      <c r="T30" s="11"/>
      <c r="U30" s="11"/>
    </row>
    <row r="31" spans="2:21" x14ac:dyDescent="0.25">
      <c r="B31" s="8" t="s">
        <v>44</v>
      </c>
      <c r="C31" s="8"/>
      <c r="D31" s="29">
        <v>480.80169999999998</v>
      </c>
      <c r="E31" s="29">
        <v>546.91174000000001</v>
      </c>
      <c r="F31" s="29">
        <v>522.60009000000002</v>
      </c>
      <c r="G31" s="30">
        <v>627.52738999999997</v>
      </c>
      <c r="H31" s="31">
        <v>564.24910999999997</v>
      </c>
      <c r="I31" s="30">
        <v>602.28563999999994</v>
      </c>
      <c r="J31" s="32">
        <v>6.7410881693725555E-2</v>
      </c>
      <c r="L31" s="11"/>
      <c r="M31" s="11"/>
      <c r="N31" s="11"/>
      <c r="O31" s="11"/>
      <c r="P31" s="11"/>
      <c r="Q31" s="11"/>
      <c r="R31" s="11"/>
      <c r="S31" s="11"/>
      <c r="T31" s="11"/>
      <c r="U31" s="11"/>
    </row>
    <row r="32" spans="2:21" x14ac:dyDescent="0.25">
      <c r="B32" s="8" t="s">
        <v>45</v>
      </c>
      <c r="C32" s="8"/>
      <c r="D32" s="29">
        <v>1073.39555</v>
      </c>
      <c r="E32" s="29">
        <v>933.00518999999997</v>
      </c>
      <c r="F32" s="29">
        <v>1084.86328</v>
      </c>
      <c r="G32" s="30">
        <v>1294.9228800000001</v>
      </c>
      <c r="H32" s="31">
        <v>1163.7910400000001</v>
      </c>
      <c r="I32" s="30">
        <v>1297.9182000000001</v>
      </c>
      <c r="J32" s="32">
        <v>0.11525020849103629</v>
      </c>
      <c r="L32" s="11"/>
      <c r="M32" s="11"/>
      <c r="N32" s="11"/>
      <c r="O32" s="11"/>
      <c r="P32" s="11"/>
      <c r="Q32" s="11"/>
      <c r="R32" s="11"/>
      <c r="S32" s="11"/>
      <c r="T32" s="11"/>
      <c r="U32" s="11"/>
    </row>
    <row r="33" spans="2:21" x14ac:dyDescent="0.25">
      <c r="B33" s="8" t="s">
        <v>46</v>
      </c>
      <c r="C33" s="8"/>
      <c r="D33" s="29">
        <v>106.97313</v>
      </c>
      <c r="E33" s="29">
        <v>154.44559000000001</v>
      </c>
      <c r="F33" s="29">
        <v>278.07841999999999</v>
      </c>
      <c r="G33" s="30">
        <v>188.96717000000001</v>
      </c>
      <c r="H33" s="31">
        <v>252.13705999999999</v>
      </c>
      <c r="I33" s="30">
        <v>210.77562</v>
      </c>
      <c r="J33" s="32">
        <v>-0.16404347698826971</v>
      </c>
      <c r="L33" s="12" t="s">
        <v>2</v>
      </c>
    </row>
    <row r="34" spans="2:21" x14ac:dyDescent="0.25">
      <c r="B34" s="8" t="s">
        <v>47</v>
      </c>
      <c r="C34" s="8"/>
      <c r="D34" s="29">
        <v>966.42241999999999</v>
      </c>
      <c r="E34" s="29">
        <v>778.55960000000005</v>
      </c>
      <c r="F34" s="29">
        <v>806.78485999999998</v>
      </c>
      <c r="G34" s="30">
        <v>1105.95571</v>
      </c>
      <c r="H34" s="31">
        <v>911.65398000000005</v>
      </c>
      <c r="I34" s="30">
        <v>1087.1425899999999</v>
      </c>
      <c r="J34" s="32">
        <v>0.19249475552116802</v>
      </c>
      <c r="L34" s="13" t="s">
        <v>141</v>
      </c>
    </row>
    <row r="35" spans="2:21" x14ac:dyDescent="0.25">
      <c r="B35" s="34" t="s">
        <v>48</v>
      </c>
      <c r="C35" s="35"/>
      <c r="D35" s="36">
        <v>966.18465000000003</v>
      </c>
      <c r="E35" s="36">
        <v>778.44210999999996</v>
      </c>
      <c r="F35" s="36">
        <v>806.70838000000003</v>
      </c>
      <c r="G35" s="37">
        <v>1105.72702</v>
      </c>
      <c r="H35" s="38">
        <v>911.56362000000001</v>
      </c>
      <c r="I35" s="37">
        <v>1086.8995199999999</v>
      </c>
      <c r="J35" s="39">
        <v>0.19234631149496728</v>
      </c>
      <c r="L35" s="14" t="s">
        <v>142</v>
      </c>
      <c r="M35" s="14"/>
      <c r="N35" s="14"/>
      <c r="O35" s="14"/>
      <c r="P35" s="14"/>
      <c r="Q35" s="14"/>
      <c r="R35" s="14"/>
      <c r="S35" s="14"/>
      <c r="T35" s="14"/>
      <c r="U35" s="14"/>
    </row>
    <row r="36" spans="2:21" x14ac:dyDescent="0.25">
      <c r="B36" s="40" t="s">
        <v>49</v>
      </c>
      <c r="C36" s="8"/>
      <c r="D36" s="41">
        <v>6.1238000000000001E-2</v>
      </c>
      <c r="E36" s="41">
        <v>7.1083999999999994E-2</v>
      </c>
      <c r="F36" s="41">
        <v>8.5582999999999992E-2</v>
      </c>
      <c r="G36" s="42">
        <v>8.0193999999999988E-2</v>
      </c>
      <c r="H36" s="32">
        <v>8.6235999999999993E-2</v>
      </c>
      <c r="I36" s="42">
        <v>8.2324999999999995E-2</v>
      </c>
      <c r="J36" s="32" t="s">
        <v>158</v>
      </c>
      <c r="L36" s="14"/>
      <c r="M36" s="14"/>
      <c r="N36" s="14"/>
      <c r="O36" s="14"/>
      <c r="P36" s="14"/>
      <c r="Q36" s="14"/>
      <c r="R36" s="14"/>
      <c r="S36" s="14"/>
      <c r="T36" s="14"/>
      <c r="U36" s="14"/>
    </row>
    <row r="37" spans="2:21" x14ac:dyDescent="0.25">
      <c r="B37" s="40" t="s">
        <v>51</v>
      </c>
      <c r="C37" s="8"/>
      <c r="D37" s="41">
        <v>3.4751999999999998E-2</v>
      </c>
      <c r="E37" s="41">
        <v>3.0249999999999999E-2</v>
      </c>
      <c r="F37" s="41">
        <v>2.8309999999999998E-2</v>
      </c>
      <c r="G37" s="42">
        <v>2.6753999999999997E-2</v>
      </c>
      <c r="H37" s="32">
        <v>2.9011999999999996E-2</v>
      </c>
      <c r="I37" s="42">
        <v>2.7736E-2</v>
      </c>
      <c r="J37" s="32" t="s">
        <v>98</v>
      </c>
      <c r="L37" s="13" t="s">
        <v>143</v>
      </c>
      <c r="M37" s="16"/>
      <c r="N37" s="16"/>
      <c r="O37" s="16"/>
      <c r="P37" s="16"/>
      <c r="Q37" s="16"/>
      <c r="R37" s="16"/>
      <c r="S37" s="16"/>
      <c r="T37" s="16"/>
      <c r="U37" s="16"/>
    </row>
    <row r="38" spans="2:21" x14ac:dyDescent="0.25">
      <c r="B38" s="40" t="s">
        <v>53</v>
      </c>
      <c r="C38" s="8"/>
      <c r="D38" s="41">
        <v>8.7582959999999996</v>
      </c>
      <c r="E38" s="41">
        <v>3.8508390000000001</v>
      </c>
      <c r="F38" s="41">
        <v>3.1896080000000002</v>
      </c>
      <c r="G38" s="42">
        <v>5.5270869999999999</v>
      </c>
      <c r="H38" s="32">
        <v>0</v>
      </c>
      <c r="I38" s="42">
        <v>0</v>
      </c>
      <c r="J38" s="32" t="s">
        <v>54</v>
      </c>
      <c r="L38" s="14" t="s">
        <v>144</v>
      </c>
      <c r="M38" s="14"/>
      <c r="N38" s="14"/>
      <c r="O38" s="14"/>
      <c r="P38" s="14"/>
      <c r="Q38" s="14"/>
      <c r="R38" s="14"/>
      <c r="S38" s="14"/>
      <c r="T38" s="14"/>
      <c r="U38" s="14"/>
    </row>
    <row r="39" spans="2:21" x14ac:dyDescent="0.25">
      <c r="B39" s="8" t="s">
        <v>55</v>
      </c>
      <c r="C39" s="43"/>
      <c r="D39" s="41">
        <v>6.2964999999999993E-2</v>
      </c>
      <c r="E39" s="41">
        <v>6.9584999999999994E-2</v>
      </c>
      <c r="F39" s="41">
        <v>8.1044000000000005E-2</v>
      </c>
      <c r="G39" s="42">
        <v>8.7523000000000004E-2</v>
      </c>
      <c r="H39" s="32">
        <v>8.1104000000000009E-2</v>
      </c>
      <c r="I39" s="42">
        <v>8.7558999999999998E-2</v>
      </c>
      <c r="J39" s="32" t="s">
        <v>136</v>
      </c>
      <c r="L39" s="14"/>
      <c r="M39" s="14"/>
      <c r="N39" s="14"/>
      <c r="O39" s="14"/>
      <c r="P39" s="14"/>
      <c r="Q39" s="14"/>
      <c r="R39" s="14"/>
      <c r="S39" s="14"/>
      <c r="T39" s="14"/>
      <c r="U39" s="14"/>
    </row>
    <row r="40" spans="2:21" x14ac:dyDescent="0.25">
      <c r="B40" s="8" t="s">
        <v>57</v>
      </c>
      <c r="C40" s="43"/>
      <c r="D40" s="41">
        <v>6.2982999999999997E-2</v>
      </c>
      <c r="E40" s="41">
        <v>6.9603999999999999E-2</v>
      </c>
      <c r="F40" s="41">
        <v>8.1065999999999999E-2</v>
      </c>
      <c r="G40" s="42">
        <v>8.7548000000000001E-2</v>
      </c>
      <c r="H40" s="32">
        <v>8.1127000000000005E-2</v>
      </c>
      <c r="I40" s="42">
        <v>8.7583999999999995E-2</v>
      </c>
      <c r="J40" s="32" t="s">
        <v>136</v>
      </c>
      <c r="L40" s="13" t="s">
        <v>145</v>
      </c>
      <c r="M40" s="13"/>
      <c r="N40" s="13"/>
      <c r="O40" s="13"/>
      <c r="P40" s="13"/>
      <c r="Q40" s="13"/>
      <c r="R40" s="13"/>
      <c r="S40" s="13"/>
      <c r="T40" s="13"/>
      <c r="U40" s="13"/>
    </row>
    <row r="41" spans="2:21" x14ac:dyDescent="0.25">
      <c r="B41" s="8" t="s">
        <v>58</v>
      </c>
      <c r="C41" s="43"/>
      <c r="D41" s="41">
        <v>1.144323</v>
      </c>
      <c r="E41" s="41">
        <v>1.2327330000000001</v>
      </c>
      <c r="F41" s="41">
        <v>1.186221</v>
      </c>
      <c r="G41" s="42">
        <v>1.2747040000000001</v>
      </c>
      <c r="H41" s="32">
        <v>1.222124</v>
      </c>
      <c r="I41" s="42">
        <v>1.2409289999999999</v>
      </c>
      <c r="J41" s="32" t="s">
        <v>159</v>
      </c>
      <c r="L41" s="13" t="s">
        <v>146</v>
      </c>
      <c r="M41" s="13"/>
      <c r="N41" s="13"/>
      <c r="O41" s="13"/>
      <c r="P41" s="13"/>
      <c r="Q41" s="13"/>
      <c r="R41" s="13"/>
      <c r="S41" s="13"/>
      <c r="T41" s="13"/>
      <c r="U41" s="13"/>
    </row>
    <row r="42" spans="2:21" x14ac:dyDescent="0.25">
      <c r="B42" s="40" t="s">
        <v>60</v>
      </c>
      <c r="C42" s="43"/>
      <c r="D42" s="41">
        <v>9.8949999999999996E-2</v>
      </c>
      <c r="E42" s="41">
        <v>0.11079</v>
      </c>
      <c r="F42" s="41">
        <v>0.12685000000000002</v>
      </c>
      <c r="G42" s="42">
        <v>0.12664</v>
      </c>
      <c r="H42" s="32">
        <v>0.12611</v>
      </c>
      <c r="I42" s="42">
        <v>0.12235</v>
      </c>
      <c r="J42" s="32" t="s">
        <v>158</v>
      </c>
      <c r="L42" s="14" t="s">
        <v>147</v>
      </c>
      <c r="M42" s="14"/>
      <c r="N42" s="14"/>
      <c r="O42" s="14"/>
      <c r="P42" s="14"/>
      <c r="Q42" s="14"/>
      <c r="R42" s="14"/>
      <c r="S42" s="14"/>
      <c r="T42" s="14"/>
      <c r="U42" s="14"/>
    </row>
    <row r="43" spans="2:21" x14ac:dyDescent="0.25">
      <c r="B43" s="40" t="s">
        <v>62</v>
      </c>
      <c r="C43" s="43"/>
      <c r="D43" s="41">
        <v>9.3949999999999992E-2</v>
      </c>
      <c r="E43" s="41">
        <v>0.11079</v>
      </c>
      <c r="F43" s="41">
        <v>0.1101</v>
      </c>
      <c r="G43" s="42">
        <v>0.11196</v>
      </c>
      <c r="H43" s="32">
        <v>0.11025</v>
      </c>
      <c r="I43" s="42">
        <v>0.10804999999999999</v>
      </c>
      <c r="J43" s="32" t="s">
        <v>132</v>
      </c>
      <c r="L43" s="14"/>
      <c r="M43" s="14"/>
      <c r="N43" s="14"/>
      <c r="O43" s="14"/>
      <c r="P43" s="14"/>
      <c r="Q43" s="14"/>
      <c r="R43" s="14"/>
      <c r="S43" s="14"/>
      <c r="T43" s="14"/>
      <c r="U43" s="14"/>
    </row>
    <row r="44" spans="2:21" x14ac:dyDescent="0.25">
      <c r="B44" s="40" t="s">
        <v>63</v>
      </c>
      <c r="C44" s="43"/>
      <c r="D44" s="41">
        <v>3.0586000000000002E-2</v>
      </c>
      <c r="E44" s="41">
        <v>3.3418999999999997E-2</v>
      </c>
      <c r="F44" s="41">
        <v>2.8565999999999998E-2</v>
      </c>
      <c r="G44" s="42">
        <v>2.7113000000000002E-2</v>
      </c>
      <c r="H44" s="32">
        <v>2.7954E-2</v>
      </c>
      <c r="I44" s="42">
        <v>2.5758E-2</v>
      </c>
      <c r="J44" s="32" t="s">
        <v>132</v>
      </c>
      <c r="L44" s="14" t="s">
        <v>148</v>
      </c>
      <c r="M44" s="14"/>
      <c r="N44" s="14"/>
      <c r="O44" s="14"/>
      <c r="P44" s="14"/>
      <c r="Q44" s="14"/>
      <c r="R44" s="14"/>
      <c r="S44" s="14"/>
      <c r="T44" s="14"/>
      <c r="U44" s="14"/>
    </row>
    <row r="45" spans="2:21" x14ac:dyDescent="0.25">
      <c r="B45" s="34" t="s">
        <v>64</v>
      </c>
      <c r="C45" s="44"/>
      <c r="D45" s="45">
        <v>0.12954000000000002</v>
      </c>
      <c r="E45" s="45">
        <v>0.14421</v>
      </c>
      <c r="F45" s="45">
        <v>0.15540999999999999</v>
      </c>
      <c r="G45" s="46">
        <v>0.15375</v>
      </c>
      <c r="H45" s="39">
        <v>0.15406</v>
      </c>
      <c r="I45" s="46">
        <v>0.14810999999999999</v>
      </c>
      <c r="J45" s="39" t="s">
        <v>160</v>
      </c>
      <c r="L45" s="14"/>
      <c r="M45" s="14"/>
      <c r="N45" s="14"/>
      <c r="O45" s="14"/>
      <c r="P45" s="14"/>
      <c r="Q45" s="14"/>
      <c r="R45" s="14"/>
      <c r="S45" s="14"/>
      <c r="T45" s="14"/>
      <c r="U45" s="14"/>
    </row>
    <row r="46" spans="2:21" x14ac:dyDescent="0.25">
      <c r="B46" s="40" t="s">
        <v>66</v>
      </c>
      <c r="C46" s="33"/>
      <c r="D46" s="33">
        <v>0.177116</v>
      </c>
      <c r="E46" s="33">
        <v>0.125887</v>
      </c>
      <c r="F46" s="33">
        <v>0.122726</v>
      </c>
      <c r="G46" s="47">
        <v>0.13794000000000001</v>
      </c>
      <c r="H46" s="48">
        <v>0.127389</v>
      </c>
      <c r="I46" s="47">
        <v>0.138044</v>
      </c>
      <c r="J46" s="32" t="s">
        <v>161</v>
      </c>
      <c r="L46" s="13"/>
      <c r="M46" s="13"/>
      <c r="N46" s="13"/>
      <c r="O46" s="13"/>
      <c r="P46" s="13"/>
      <c r="Q46" s="13"/>
      <c r="R46" s="13"/>
      <c r="S46" s="13"/>
      <c r="T46" s="13"/>
      <c r="U46" s="13"/>
    </row>
    <row r="47" spans="2:21" x14ac:dyDescent="0.25">
      <c r="B47" s="8" t="s">
        <v>68</v>
      </c>
      <c r="C47" s="8"/>
      <c r="D47" s="33">
        <v>0.17712399999999998</v>
      </c>
      <c r="E47" s="33">
        <v>0.12590099999999999</v>
      </c>
      <c r="F47" s="33">
        <v>0.12274800000000001</v>
      </c>
      <c r="G47" s="47">
        <v>0.13795099999999999</v>
      </c>
      <c r="H47" s="48">
        <v>0.127413</v>
      </c>
      <c r="I47" s="47">
        <v>0.13805400000000001</v>
      </c>
      <c r="J47" s="32" t="s">
        <v>161</v>
      </c>
      <c r="L47" s="18" t="s">
        <v>16</v>
      </c>
      <c r="M47" s="16"/>
      <c r="N47" s="16"/>
      <c r="O47" s="16"/>
      <c r="P47" s="16"/>
      <c r="Q47" s="16"/>
      <c r="R47" s="16"/>
      <c r="S47" s="16"/>
      <c r="T47" s="16"/>
      <c r="U47" s="16"/>
    </row>
    <row r="48" spans="2:21" x14ac:dyDescent="0.25">
      <c r="B48" s="34" t="s">
        <v>70</v>
      </c>
      <c r="C48" s="35"/>
      <c r="D48" s="35">
        <v>1.1155E-2</v>
      </c>
      <c r="E48" s="35">
        <v>8.761999999999999E-3</v>
      </c>
      <c r="F48" s="35">
        <v>9.9480000000000002E-3</v>
      </c>
      <c r="G48" s="49">
        <v>1.2076E-2</v>
      </c>
      <c r="H48" s="50">
        <v>1.0334000000000001E-2</v>
      </c>
      <c r="I48" s="49">
        <v>1.209E-2</v>
      </c>
      <c r="J48" s="39" t="s">
        <v>102</v>
      </c>
      <c r="L48" s="13" t="s">
        <v>149</v>
      </c>
      <c r="M48" s="16"/>
      <c r="N48" s="16"/>
      <c r="O48" s="16"/>
      <c r="P48" s="16"/>
      <c r="Q48" s="16"/>
      <c r="R48" s="16"/>
      <c r="S48" s="16"/>
      <c r="T48" s="16"/>
      <c r="U48" s="16"/>
    </row>
    <row r="49" spans="2:21" x14ac:dyDescent="0.25">
      <c r="B49" s="8" t="s">
        <v>71</v>
      </c>
      <c r="C49" s="8"/>
      <c r="D49" s="43">
        <v>5.1801399999999997</v>
      </c>
      <c r="E49" s="56">
        <v>5.6107699999999996</v>
      </c>
      <c r="F49" s="56">
        <v>7.5775300000000003</v>
      </c>
      <c r="G49" s="52">
        <v>13.61605</v>
      </c>
      <c r="H49" s="56">
        <v>9.5691299999999995</v>
      </c>
      <c r="I49" s="52">
        <v>13.169449999999999</v>
      </c>
      <c r="J49" s="32">
        <v>0.37624319034227782</v>
      </c>
      <c r="L49" s="14" t="s">
        <v>150</v>
      </c>
      <c r="M49" s="14"/>
      <c r="N49" s="14"/>
      <c r="O49" s="14"/>
      <c r="P49" s="14"/>
      <c r="Q49" s="14"/>
      <c r="R49" s="14"/>
      <c r="S49" s="14"/>
      <c r="T49" s="14"/>
      <c r="U49" s="14"/>
    </row>
    <row r="50" spans="2:21" x14ac:dyDescent="0.25">
      <c r="B50" s="8" t="s">
        <v>72</v>
      </c>
      <c r="C50" s="8"/>
      <c r="D50" s="43">
        <v>6.2846799999999998</v>
      </c>
      <c r="E50" s="56">
        <v>7.4956500000000004</v>
      </c>
      <c r="F50" s="56">
        <v>7.3844200000000004</v>
      </c>
      <c r="G50" s="52">
        <v>12.733930000000001</v>
      </c>
      <c r="H50" s="56">
        <v>8.6100600000000007</v>
      </c>
      <c r="I50" s="52">
        <v>11.875159999999999</v>
      </c>
      <c r="J50" s="32">
        <v>0.37921919243303748</v>
      </c>
      <c r="L50" s="14"/>
      <c r="M50" s="14"/>
      <c r="N50" s="14"/>
      <c r="O50" s="14"/>
      <c r="P50" s="14"/>
      <c r="Q50" s="14"/>
      <c r="R50" s="14"/>
      <c r="S50" s="14"/>
      <c r="T50" s="14"/>
      <c r="U50" s="14"/>
    </row>
    <row r="51" spans="2:21" x14ac:dyDescent="0.25">
      <c r="B51" s="34" t="s">
        <v>73</v>
      </c>
      <c r="C51" s="35"/>
      <c r="D51" s="53">
        <v>0.93552999999999997</v>
      </c>
      <c r="E51" s="53">
        <v>0.93430999999999997</v>
      </c>
      <c r="F51" s="53">
        <v>0.98002</v>
      </c>
      <c r="G51" s="54">
        <v>1.8313699999999999</v>
      </c>
      <c r="H51" s="55">
        <v>1.18116</v>
      </c>
      <c r="I51" s="54">
        <v>1.89157</v>
      </c>
      <c r="J51" s="39">
        <v>0.60145111585221311</v>
      </c>
      <c r="L51" s="13" t="s">
        <v>151</v>
      </c>
    </row>
    <row r="52" spans="2:21" x14ac:dyDescent="0.25">
      <c r="L52" s="13" t="s">
        <v>152</v>
      </c>
      <c r="M52" s="15"/>
      <c r="N52" s="15"/>
      <c r="O52" s="15"/>
      <c r="P52" s="15"/>
      <c r="Q52" s="15"/>
      <c r="R52" s="15"/>
      <c r="S52" s="15"/>
      <c r="T52" s="15"/>
      <c r="U52" s="15"/>
    </row>
    <row r="53" spans="2:21" x14ac:dyDescent="0.25">
      <c r="L53" s="13" t="s">
        <v>153</v>
      </c>
      <c r="M53" s="16"/>
      <c r="N53" s="16"/>
      <c r="O53" s="16"/>
      <c r="P53" s="16"/>
      <c r="Q53" s="16"/>
      <c r="R53" s="16"/>
      <c r="S53" s="16"/>
      <c r="T53" s="16"/>
      <c r="U53" s="16"/>
    </row>
    <row r="54" spans="2:21" x14ac:dyDescent="0.25">
      <c r="L54" s="13" t="s">
        <v>154</v>
      </c>
      <c r="M54" s="16"/>
      <c r="N54" s="16"/>
      <c r="O54" s="16"/>
      <c r="P54" s="16"/>
      <c r="Q54" s="16"/>
      <c r="R54" s="16"/>
      <c r="S54" s="16"/>
      <c r="T54" s="16"/>
      <c r="U54" s="16"/>
    </row>
    <row r="55" spans="2:21" x14ac:dyDescent="0.25">
      <c r="L55" s="13" t="s">
        <v>155</v>
      </c>
      <c r="M55" s="16"/>
      <c r="N55" s="16"/>
      <c r="O55" s="16"/>
      <c r="P55" s="16"/>
      <c r="Q55" s="16"/>
      <c r="R55" s="16"/>
      <c r="S55" s="16"/>
      <c r="T55" s="16"/>
      <c r="U55" s="16"/>
    </row>
    <row r="56" spans="2:21" x14ac:dyDescent="0.25">
      <c r="L56" s="13" t="s">
        <v>156</v>
      </c>
      <c r="M56" s="13"/>
      <c r="N56" s="13"/>
      <c r="O56" s="13"/>
      <c r="P56" s="13"/>
      <c r="Q56" s="13"/>
      <c r="R56" s="13"/>
      <c r="S56" s="13"/>
      <c r="T56" s="13"/>
      <c r="U56" s="13"/>
    </row>
    <row r="57" spans="2:21" x14ac:dyDescent="0.25">
      <c r="L57" s="14" t="s">
        <v>157</v>
      </c>
      <c r="M57" s="14"/>
      <c r="N57" s="14"/>
      <c r="O57" s="14"/>
      <c r="P57" s="14"/>
      <c r="Q57" s="14"/>
      <c r="R57" s="14"/>
      <c r="S57" s="14"/>
      <c r="T57" s="14"/>
      <c r="U57" s="14"/>
    </row>
    <row r="58" spans="2:21" x14ac:dyDescent="0.25">
      <c r="L58" s="14"/>
      <c r="M58" s="14"/>
      <c r="N58" s="14"/>
      <c r="O58" s="14"/>
      <c r="P58" s="14"/>
      <c r="Q58" s="14"/>
      <c r="R58" s="14"/>
      <c r="S58" s="14"/>
      <c r="T58" s="14"/>
      <c r="U58" s="14"/>
    </row>
    <row r="59" spans="2:21" x14ac:dyDescent="0.25">
      <c r="L59" s="13"/>
      <c r="M59" s="16"/>
      <c r="N59" s="16"/>
      <c r="O59" s="16"/>
      <c r="P59" s="16"/>
      <c r="Q59" s="16"/>
      <c r="R59" s="16"/>
      <c r="S59" s="16"/>
      <c r="T59" s="16"/>
      <c r="U59" s="16"/>
    </row>
    <row r="60" spans="2:21" x14ac:dyDescent="0.25">
      <c r="L60" s="13"/>
    </row>
    <row r="62" spans="2:21" x14ac:dyDescent="0.25">
      <c r="L62" s="13"/>
      <c r="M62" s="13"/>
      <c r="N62" s="13"/>
      <c r="O62" s="13"/>
      <c r="P62" s="13"/>
      <c r="Q62" s="13"/>
      <c r="R62" s="13"/>
      <c r="S62" s="13"/>
      <c r="T62" s="13"/>
      <c r="U62" s="13"/>
    </row>
    <row r="63" spans="2:21" x14ac:dyDescent="0.25">
      <c r="L63" s="13"/>
      <c r="M63" s="13"/>
      <c r="N63" s="13"/>
      <c r="O63" s="13"/>
      <c r="P63" s="13"/>
      <c r="Q63" s="13"/>
      <c r="R63" s="13"/>
      <c r="S63" s="13"/>
      <c r="T63" s="13"/>
      <c r="U63" s="13"/>
    </row>
    <row r="64" spans="2:21" x14ac:dyDescent="0.25">
      <c r="L64" s="16"/>
      <c r="M64" s="16"/>
      <c r="N64" s="16"/>
      <c r="O64" s="16"/>
      <c r="P64" s="16"/>
      <c r="Q64" s="16"/>
      <c r="R64" s="16"/>
      <c r="S64" s="16"/>
      <c r="T64" s="16"/>
      <c r="U64" s="16"/>
    </row>
    <row r="66" spans="12:21" x14ac:dyDescent="0.25">
      <c r="L66" s="16"/>
      <c r="M66" s="16"/>
      <c r="N66" s="16"/>
      <c r="O66" s="16"/>
      <c r="P66" s="16"/>
      <c r="Q66" s="16"/>
      <c r="R66" s="16"/>
      <c r="S66" s="16"/>
      <c r="T66" s="16"/>
      <c r="U66" s="16"/>
    </row>
    <row r="67" spans="12:21" x14ac:dyDescent="0.25">
      <c r="L67" s="16"/>
      <c r="M67" s="16"/>
      <c r="N67" s="16"/>
      <c r="O67" s="16"/>
      <c r="P67" s="16"/>
      <c r="Q67" s="16"/>
      <c r="R67" s="16"/>
      <c r="S67" s="16"/>
      <c r="T67" s="16"/>
      <c r="U67" s="16"/>
    </row>
    <row r="68" spans="12:21" x14ac:dyDescent="0.25">
      <c r="L68" s="16"/>
      <c r="M68" s="16"/>
      <c r="N68" s="16"/>
      <c r="O68" s="16"/>
      <c r="P68" s="16"/>
      <c r="Q68" s="16"/>
      <c r="R68" s="16"/>
      <c r="S68" s="16"/>
      <c r="T68" s="16"/>
      <c r="U68" s="16"/>
    </row>
  </sheetData>
  <mergeCells count="7">
    <mergeCell ref="L57:U58"/>
    <mergeCell ref="L6:U32"/>
    <mergeCell ref="L35:U36"/>
    <mergeCell ref="L38:U39"/>
    <mergeCell ref="L42:U43"/>
    <mergeCell ref="L44:U45"/>
    <mergeCell ref="L49:U5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EA692-2A71-4BA1-9C54-6FF8505668ED}">
  <dimension ref="B1:U68"/>
  <sheetViews>
    <sheetView workbookViewId="0">
      <selection activeCell="B24" sqref="B24:J49"/>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 t="s">
        <v>162</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x14ac:dyDescent="0.25">
      <c r="L23" s="11"/>
      <c r="M23" s="11"/>
      <c r="N23" s="11"/>
      <c r="O23" s="11"/>
      <c r="P23" s="11"/>
      <c r="Q23" s="11"/>
      <c r="R23" s="11"/>
      <c r="S23" s="11"/>
      <c r="T23" s="11"/>
      <c r="U23" s="11"/>
    </row>
    <row r="24" spans="2:21" x14ac:dyDescent="0.25">
      <c r="B24" s="1"/>
      <c r="C24" s="1"/>
      <c r="D24" s="20" t="s">
        <v>36</v>
      </c>
      <c r="E24" s="21"/>
      <c r="F24" s="21"/>
      <c r="G24" s="22"/>
      <c r="H24" s="23" t="s">
        <v>37</v>
      </c>
      <c r="I24" s="21"/>
      <c r="J24" s="21"/>
      <c r="L24" s="11"/>
      <c r="M24" s="11"/>
      <c r="N24" s="11"/>
      <c r="O24" s="11"/>
      <c r="P24" s="11"/>
      <c r="Q24" s="11"/>
      <c r="R24" s="11"/>
      <c r="S24" s="11"/>
      <c r="T24" s="11"/>
      <c r="U24" s="11"/>
    </row>
    <row r="25" spans="2:21" x14ac:dyDescent="0.25">
      <c r="B25" s="24"/>
      <c r="C25" s="24"/>
      <c r="D25" s="25">
        <v>44926</v>
      </c>
      <c r="E25" s="25">
        <v>45291</v>
      </c>
      <c r="F25" s="25">
        <v>45657</v>
      </c>
      <c r="G25" s="26">
        <v>46022</v>
      </c>
      <c r="H25" s="27">
        <v>45747</v>
      </c>
      <c r="I25" s="26">
        <v>46112</v>
      </c>
      <c r="J25" s="28" t="s">
        <v>38</v>
      </c>
      <c r="L25" s="11"/>
      <c r="M25" s="11"/>
      <c r="N25" s="11"/>
      <c r="O25" s="11"/>
      <c r="P25" s="11"/>
      <c r="Q25" s="11"/>
      <c r="R25" s="11"/>
      <c r="S25" s="11"/>
      <c r="T25" s="11"/>
      <c r="U25" s="11"/>
    </row>
    <row r="26" spans="2:21" x14ac:dyDescent="0.25">
      <c r="B26" s="8" t="s">
        <v>180</v>
      </c>
      <c r="C26" s="8"/>
      <c r="D26" s="29">
        <v>3177.5770900000002</v>
      </c>
      <c r="E26" s="29">
        <v>3184.3337000000001</v>
      </c>
      <c r="F26" s="29">
        <v>3187.1380100000001</v>
      </c>
      <c r="G26" s="30">
        <v>2836.08088</v>
      </c>
      <c r="H26" s="31">
        <v>3362.46668</v>
      </c>
      <c r="I26" s="30">
        <v>3518.5455200000001</v>
      </c>
      <c r="J26" s="32">
        <v>4.6417958853944619E-2</v>
      </c>
      <c r="L26" s="11"/>
      <c r="M26" s="11"/>
      <c r="N26" s="11"/>
      <c r="O26" s="11"/>
      <c r="P26" s="11"/>
      <c r="Q26" s="11"/>
      <c r="R26" s="11"/>
      <c r="S26" s="11"/>
      <c r="T26" s="11"/>
      <c r="U26" s="11"/>
    </row>
    <row r="27" spans="2:21" x14ac:dyDescent="0.25">
      <c r="B27" s="40" t="s">
        <v>181</v>
      </c>
      <c r="C27" s="33"/>
      <c r="D27" s="33">
        <v>0.446019</v>
      </c>
      <c r="E27" s="33">
        <v>0.393729</v>
      </c>
      <c r="F27" s="33">
        <v>0.35936100000000004</v>
      </c>
      <c r="G27" s="47">
        <v>0.32759300000000002</v>
      </c>
      <c r="H27" s="48">
        <v>0.34785400000000005</v>
      </c>
      <c r="I27" s="47">
        <v>0.33896999999999999</v>
      </c>
      <c r="J27" s="32">
        <v>-2.5539450459100776E-2</v>
      </c>
      <c r="L27" s="11"/>
      <c r="M27" s="11"/>
      <c r="N27" s="11"/>
      <c r="O27" s="11"/>
      <c r="P27" s="11"/>
      <c r="Q27" s="11"/>
      <c r="R27" s="11"/>
      <c r="S27" s="11"/>
      <c r="T27" s="11"/>
      <c r="U27" s="11"/>
    </row>
    <row r="28" spans="2:21" x14ac:dyDescent="0.25">
      <c r="B28" s="40" t="s">
        <v>182</v>
      </c>
      <c r="C28" s="33"/>
      <c r="D28" s="33">
        <v>0.37526100000000001</v>
      </c>
      <c r="E28" s="33">
        <v>0.28984799999999999</v>
      </c>
      <c r="F28" s="33">
        <v>0.28057099999999996</v>
      </c>
      <c r="G28" s="47">
        <v>0.22144800000000001</v>
      </c>
      <c r="H28" s="48">
        <v>0.26956199999999997</v>
      </c>
      <c r="I28" s="47">
        <v>0.22808900000000001</v>
      </c>
      <c r="J28" s="32">
        <v>-0.15385328792633957</v>
      </c>
      <c r="L28" s="11"/>
      <c r="M28" s="11"/>
      <c r="N28" s="11"/>
      <c r="O28" s="11"/>
      <c r="P28" s="11"/>
      <c r="Q28" s="11"/>
      <c r="R28" s="11"/>
      <c r="S28" s="11"/>
      <c r="T28" s="11"/>
      <c r="U28" s="11"/>
    </row>
    <row r="29" spans="2:21" x14ac:dyDescent="0.25">
      <c r="B29" s="40" t="s">
        <v>183</v>
      </c>
      <c r="C29" s="33"/>
      <c r="D29" s="33">
        <v>0.46169699999999997</v>
      </c>
      <c r="E29" s="33">
        <v>0.41172600000000004</v>
      </c>
      <c r="F29" s="33">
        <v>0.40296100000000001</v>
      </c>
      <c r="G29" s="47">
        <v>0.36110399999999998</v>
      </c>
      <c r="H29" s="48">
        <v>0.39239099999999999</v>
      </c>
      <c r="I29" s="47">
        <v>0.36913600000000002</v>
      </c>
      <c r="J29" s="32">
        <v>-5.9264865911807241E-2</v>
      </c>
      <c r="L29" s="11"/>
      <c r="M29" s="11"/>
      <c r="N29" s="11"/>
      <c r="O29" s="11"/>
      <c r="P29" s="11"/>
      <c r="Q29" s="11"/>
      <c r="R29" s="11"/>
      <c r="S29" s="11"/>
      <c r="T29" s="11"/>
      <c r="U29" s="11"/>
    </row>
    <row r="30" spans="2:21" x14ac:dyDescent="0.25">
      <c r="B30" s="40" t="s">
        <v>184</v>
      </c>
      <c r="C30" s="33"/>
      <c r="D30" s="33">
        <v>0.209478</v>
      </c>
      <c r="E30" s="33">
        <v>0.13322800000000001</v>
      </c>
      <c r="F30" s="33">
        <v>0.11201599999999999</v>
      </c>
      <c r="G30" s="47">
        <v>7.5434000000000001E-2</v>
      </c>
      <c r="H30" s="48">
        <v>0.10533200000000001</v>
      </c>
      <c r="I30" s="47">
        <v>7.5148999999999994E-2</v>
      </c>
      <c r="J30" s="32">
        <v>-0.28655109558348857</v>
      </c>
      <c r="L30" s="11"/>
      <c r="M30" s="11"/>
      <c r="N30" s="11"/>
      <c r="O30" s="11"/>
      <c r="P30" s="11"/>
      <c r="Q30" s="11"/>
      <c r="R30" s="11"/>
      <c r="S30" s="11"/>
      <c r="T30" s="11"/>
      <c r="U30" s="11"/>
    </row>
    <row r="31" spans="2:21" x14ac:dyDescent="0.25">
      <c r="B31" s="34" t="s">
        <v>185</v>
      </c>
      <c r="C31" s="35"/>
      <c r="D31" s="35">
        <v>8.9088000000000001E-2</v>
      </c>
      <c r="E31" s="35">
        <v>0.102497</v>
      </c>
      <c r="F31" s="35">
        <v>0.16969400000000001</v>
      </c>
      <c r="G31" s="49">
        <v>6.5974000000000005E-2</v>
      </c>
      <c r="H31" s="50">
        <v>0.12531599999999998</v>
      </c>
      <c r="I31" s="49">
        <v>7.6289999999999997E-2</v>
      </c>
      <c r="J31" s="39">
        <v>-0.39121899837211527</v>
      </c>
      <c r="L31" s="11"/>
      <c r="M31" s="11"/>
      <c r="N31" s="11"/>
      <c r="O31" s="11"/>
      <c r="P31" s="11"/>
      <c r="Q31" s="11"/>
      <c r="R31" s="11"/>
      <c r="S31" s="11"/>
      <c r="T31" s="11"/>
      <c r="U31" s="11"/>
    </row>
    <row r="32" spans="2:21" x14ac:dyDescent="0.25">
      <c r="B32" s="40" t="s">
        <v>186</v>
      </c>
      <c r="C32" s="8"/>
      <c r="D32" s="43">
        <v>6.5673048934118841</v>
      </c>
      <c r="E32" s="43">
        <v>2.8597620040394762</v>
      </c>
      <c r="F32" s="43">
        <v>6.1536879282833867</v>
      </c>
      <c r="G32" s="52">
        <v>4.4232496029746233</v>
      </c>
      <c r="H32" s="61">
        <v>6.0577905004521</v>
      </c>
      <c r="I32" s="52">
        <v>4.6124170778247402</v>
      </c>
      <c r="J32" s="32">
        <v>-0.23859745934090815</v>
      </c>
      <c r="L32" s="11"/>
      <c r="M32" s="11"/>
      <c r="N32" s="11"/>
      <c r="O32" s="11"/>
      <c r="P32" s="11"/>
      <c r="Q32" s="11"/>
      <c r="R32" s="11"/>
      <c r="S32" s="11"/>
      <c r="T32" s="11"/>
      <c r="U32" s="11"/>
    </row>
    <row r="33" spans="2:21" x14ac:dyDescent="0.25">
      <c r="B33" s="40" t="s">
        <v>187</v>
      </c>
      <c r="C33" s="8"/>
      <c r="D33" s="43">
        <v>13.34478</v>
      </c>
      <c r="E33" s="43">
        <v>8.5079399999999996</v>
      </c>
      <c r="F33" s="43">
        <v>7.3262799999999997</v>
      </c>
      <c r="G33" s="52">
        <v>5.7339599999999997</v>
      </c>
      <c r="H33" s="61">
        <v>7.0095799999999997</v>
      </c>
      <c r="I33" s="52">
        <v>5.7889200000000001</v>
      </c>
      <c r="J33" s="32">
        <v>-0.17414167467951003</v>
      </c>
      <c r="L33" s="11"/>
      <c r="M33" s="11"/>
      <c r="N33" s="11"/>
      <c r="O33" s="11"/>
      <c r="P33" s="11"/>
      <c r="Q33" s="11"/>
      <c r="R33" s="11"/>
      <c r="S33" s="11"/>
      <c r="T33" s="11"/>
      <c r="U33" s="11"/>
    </row>
    <row r="34" spans="2:21" x14ac:dyDescent="0.25">
      <c r="B34" s="40" t="s">
        <v>188</v>
      </c>
      <c r="C34" s="8"/>
      <c r="D34" s="43">
        <v>9.5875400000000006</v>
      </c>
      <c r="E34" s="43">
        <v>5.1408100000000001</v>
      </c>
      <c r="F34" s="43">
        <v>4.48909</v>
      </c>
      <c r="G34" s="52">
        <v>2.91675</v>
      </c>
      <c r="H34" s="61">
        <v>4.2465999999999999</v>
      </c>
      <c r="I34" s="52">
        <v>2.9108299999999998</v>
      </c>
      <c r="J34" s="32">
        <v>-0.31455046390053221</v>
      </c>
      <c r="L34" s="11"/>
      <c r="M34" s="11"/>
      <c r="N34" s="11"/>
      <c r="O34" s="11"/>
      <c r="P34" s="11"/>
      <c r="Q34" s="11"/>
      <c r="R34" s="11"/>
      <c r="S34" s="11"/>
      <c r="T34" s="11"/>
      <c r="U34" s="11"/>
    </row>
    <row r="35" spans="2:21" x14ac:dyDescent="0.25">
      <c r="B35" s="40" t="s">
        <v>189</v>
      </c>
      <c r="C35" s="8"/>
      <c r="D35" s="43">
        <v>1.56372</v>
      </c>
      <c r="E35" s="43">
        <v>1.7962499999999999</v>
      </c>
      <c r="F35" s="43">
        <v>2.2196799999999999</v>
      </c>
      <c r="G35" s="52">
        <v>2.5045299999999999</v>
      </c>
      <c r="H35" s="61">
        <v>2.2532700000000001</v>
      </c>
      <c r="I35" s="52">
        <v>2.4830800000000002</v>
      </c>
      <c r="J35" s="32">
        <v>0.10198955296080814</v>
      </c>
      <c r="L35" s="11"/>
      <c r="M35" s="11"/>
      <c r="N35" s="11"/>
      <c r="O35" s="11"/>
      <c r="P35" s="11"/>
      <c r="Q35" s="11"/>
      <c r="R35" s="11"/>
      <c r="S35" s="11"/>
      <c r="T35" s="11"/>
      <c r="U35" s="11"/>
    </row>
    <row r="36" spans="2:21" x14ac:dyDescent="0.25">
      <c r="B36" s="40" t="s">
        <v>190</v>
      </c>
      <c r="C36" s="8"/>
      <c r="D36" s="43">
        <v>1.33877</v>
      </c>
      <c r="E36" s="43">
        <v>1.55525</v>
      </c>
      <c r="F36" s="43">
        <v>1.9439</v>
      </c>
      <c r="G36" s="52">
        <v>2.2171099999999999</v>
      </c>
      <c r="H36" s="61">
        <v>1.9374800000000001</v>
      </c>
      <c r="I36" s="52">
        <v>2.16635</v>
      </c>
      <c r="J36" s="32">
        <v>0.11812767099531341</v>
      </c>
      <c r="L36" s="12" t="s">
        <v>2</v>
      </c>
    </row>
    <row r="37" spans="2:21" x14ac:dyDescent="0.25">
      <c r="B37" s="40" t="s">
        <v>191</v>
      </c>
      <c r="C37" s="8"/>
      <c r="D37" s="43">
        <v>2.17652</v>
      </c>
      <c r="E37" s="43">
        <v>2.9727600000000001</v>
      </c>
      <c r="F37" s="43">
        <v>3.6225700000000001</v>
      </c>
      <c r="G37" s="52">
        <v>4.9235800000000003</v>
      </c>
      <c r="H37" s="61">
        <v>3.7193299999999998</v>
      </c>
      <c r="I37" s="52">
        <v>4.9382400000000004</v>
      </c>
      <c r="J37" s="32">
        <v>0.32772300387435394</v>
      </c>
      <c r="L37" s="13" t="s">
        <v>163</v>
      </c>
    </row>
    <row r="38" spans="2:21" x14ac:dyDescent="0.25">
      <c r="B38" s="34" t="s">
        <v>192</v>
      </c>
      <c r="C38" s="53"/>
      <c r="D38" s="53">
        <v>1.86341</v>
      </c>
      <c r="E38" s="53">
        <v>2.5739100000000001</v>
      </c>
      <c r="F38" s="53">
        <v>3.1724800000000002</v>
      </c>
      <c r="G38" s="54">
        <v>4.3585399999999996</v>
      </c>
      <c r="H38" s="55">
        <v>3.19807</v>
      </c>
      <c r="I38" s="54">
        <v>4.3083299999999998</v>
      </c>
      <c r="J38" s="39">
        <v>0.34716563427317104</v>
      </c>
      <c r="L38" s="13" t="s">
        <v>164</v>
      </c>
    </row>
    <row r="39" spans="2:21" x14ac:dyDescent="0.25">
      <c r="B39" s="8" t="s">
        <v>193</v>
      </c>
      <c r="C39" s="43"/>
      <c r="D39" s="62">
        <v>63.380789999999998</v>
      </c>
      <c r="E39" s="62">
        <v>89.136290000000002</v>
      </c>
      <c r="F39" s="62">
        <v>70.188190000000006</v>
      </c>
      <c r="G39" s="63">
        <v>49.678330000000003</v>
      </c>
      <c r="H39" s="64">
        <v>70.620199999999997</v>
      </c>
      <c r="I39" s="63">
        <v>52.49868</v>
      </c>
      <c r="J39" s="32">
        <v>-0.25660533388463924</v>
      </c>
      <c r="L39" s="13" t="s">
        <v>165</v>
      </c>
    </row>
    <row r="40" spans="2:21" x14ac:dyDescent="0.25">
      <c r="B40" s="8" t="s">
        <v>194</v>
      </c>
      <c r="C40" s="43"/>
      <c r="D40" s="62">
        <v>50.956189999999999</v>
      </c>
      <c r="E40" s="62">
        <v>61.941600000000001</v>
      </c>
      <c r="F40" s="62">
        <v>62.058230000000002</v>
      </c>
      <c r="G40" s="63">
        <v>61.798879999999997</v>
      </c>
      <c r="H40" s="64">
        <v>49.76155</v>
      </c>
      <c r="I40" s="63">
        <v>57.232370000000003</v>
      </c>
      <c r="J40" s="32">
        <v>0.15013238132654627</v>
      </c>
      <c r="L40" s="13" t="s">
        <v>166</v>
      </c>
    </row>
    <row r="41" spans="2:21" x14ac:dyDescent="0.25">
      <c r="B41" s="8" t="s">
        <v>195</v>
      </c>
      <c r="C41" s="43"/>
      <c r="D41" s="62">
        <v>41.889589999999998</v>
      </c>
      <c r="E41" s="62">
        <v>46.459029999999998</v>
      </c>
      <c r="F41" s="62">
        <v>43.343179999999997</v>
      </c>
      <c r="G41" s="63">
        <v>42.260429999999999</v>
      </c>
      <c r="H41" s="64">
        <v>45.830500000000001</v>
      </c>
      <c r="I41" s="63">
        <v>50.57002</v>
      </c>
      <c r="J41" s="32">
        <v>0.10341410196266665</v>
      </c>
      <c r="L41" s="13" t="s">
        <v>167</v>
      </c>
      <c r="M41" s="16"/>
      <c r="N41" s="16"/>
      <c r="O41" s="16"/>
      <c r="P41" s="16"/>
      <c r="Q41" s="16"/>
      <c r="R41" s="16"/>
      <c r="S41" s="16"/>
      <c r="T41" s="16"/>
      <c r="U41" s="16"/>
    </row>
    <row r="42" spans="2:21" x14ac:dyDescent="0.25">
      <c r="B42" s="40" t="s">
        <v>196</v>
      </c>
      <c r="C42" s="43"/>
      <c r="D42" s="43">
        <v>1.36093</v>
      </c>
      <c r="E42" s="43">
        <v>1.5750599999999999</v>
      </c>
      <c r="F42" s="43">
        <v>1.5300499999999999</v>
      </c>
      <c r="G42" s="52">
        <v>1.5485</v>
      </c>
      <c r="H42" s="61">
        <v>1.32942</v>
      </c>
      <c r="I42" s="52">
        <v>1.25864</v>
      </c>
      <c r="J42" s="32">
        <v>-5.3241263107219772E-2</v>
      </c>
      <c r="L42" s="13" t="s">
        <v>168</v>
      </c>
      <c r="M42" s="16"/>
      <c r="N42" s="16"/>
      <c r="O42" s="16"/>
      <c r="P42" s="16"/>
      <c r="Q42" s="16"/>
      <c r="R42" s="16"/>
      <c r="S42" s="16"/>
      <c r="T42" s="16"/>
      <c r="U42" s="16"/>
    </row>
    <row r="43" spans="2:21" x14ac:dyDescent="0.25">
      <c r="B43" s="40" t="s">
        <v>197</v>
      </c>
      <c r="C43" s="43"/>
      <c r="D43" s="43">
        <v>1.1019699999999999</v>
      </c>
      <c r="E43" s="43">
        <v>1.2767299999999999</v>
      </c>
      <c r="F43" s="43">
        <v>1.1800200000000001</v>
      </c>
      <c r="G43" s="52">
        <v>1.21475</v>
      </c>
      <c r="H43" s="61">
        <v>1.0225200000000001</v>
      </c>
      <c r="I43" s="52">
        <v>0.95879000000000003</v>
      </c>
      <c r="J43" s="32">
        <v>-6.2326409263388505E-2</v>
      </c>
      <c r="M43" s="57"/>
      <c r="N43" s="57"/>
      <c r="O43" s="57"/>
      <c r="P43" s="57"/>
      <c r="Q43" s="57"/>
      <c r="R43" s="57"/>
      <c r="S43" s="57"/>
      <c r="T43" s="57"/>
      <c r="U43" s="57"/>
    </row>
    <row r="44" spans="2:21" x14ac:dyDescent="0.25">
      <c r="B44" s="34" t="s">
        <v>198</v>
      </c>
      <c r="C44" s="44"/>
      <c r="D44" s="44">
        <v>54.314190000000004</v>
      </c>
      <c r="E44" s="44">
        <v>73.653720000000007</v>
      </c>
      <c r="F44" s="44">
        <v>51.473140000000001</v>
      </c>
      <c r="G44" s="65">
        <v>30.139880000000002</v>
      </c>
      <c r="H44" s="66">
        <v>66.689149999999998</v>
      </c>
      <c r="I44" s="65">
        <v>45.83634</v>
      </c>
      <c r="J44" s="39">
        <v>-0.31268669641163516</v>
      </c>
      <c r="L44" s="18" t="s">
        <v>16</v>
      </c>
      <c r="M44" s="57"/>
      <c r="N44" s="57"/>
      <c r="O44" s="57"/>
      <c r="P44" s="57"/>
      <c r="Q44" s="57"/>
      <c r="R44" s="57"/>
      <c r="S44" s="57"/>
      <c r="T44" s="57"/>
      <c r="U44" s="57"/>
    </row>
    <row r="45" spans="2:21" x14ac:dyDescent="0.25">
      <c r="B45" s="40" t="s">
        <v>70</v>
      </c>
      <c r="C45" s="33"/>
      <c r="D45" s="33">
        <v>0.13630800000000001</v>
      </c>
      <c r="E45" s="33">
        <v>8.8063000000000002E-2</v>
      </c>
      <c r="F45" s="33">
        <v>8.011900000000001E-2</v>
      </c>
      <c r="G45" s="47">
        <v>5.6590000000000001E-2</v>
      </c>
      <c r="H45" s="48">
        <v>7.6309000000000002E-2</v>
      </c>
      <c r="I45" s="47">
        <v>5.6715999999999996E-2</v>
      </c>
      <c r="J45" s="32">
        <v>-0.256758704739939</v>
      </c>
      <c r="L45" s="13" t="s">
        <v>169</v>
      </c>
    </row>
    <row r="46" spans="2:21" x14ac:dyDescent="0.25">
      <c r="B46" s="40" t="s">
        <v>199</v>
      </c>
      <c r="C46" s="33"/>
      <c r="D46" s="33">
        <v>0.17816500000000002</v>
      </c>
      <c r="E46" s="33">
        <v>0.116981</v>
      </c>
      <c r="F46" s="33">
        <v>0.10654899999999999</v>
      </c>
      <c r="G46" s="47">
        <v>7.3891999999999999E-2</v>
      </c>
      <c r="H46" s="48">
        <v>0.106044</v>
      </c>
      <c r="I46" s="47">
        <v>7.6676000000000008E-2</v>
      </c>
      <c r="J46" s="32">
        <v>-0.27694164686356604</v>
      </c>
      <c r="L46" s="58" t="s">
        <v>170</v>
      </c>
      <c r="M46" s="58"/>
      <c r="N46" s="58"/>
      <c r="O46" s="58"/>
      <c r="P46" s="58"/>
      <c r="Q46" s="58"/>
      <c r="R46" s="58"/>
      <c r="S46" s="58"/>
      <c r="T46" s="58"/>
      <c r="U46" s="58"/>
    </row>
    <row r="47" spans="2:21" x14ac:dyDescent="0.25">
      <c r="B47" s="34" t="s">
        <v>66</v>
      </c>
      <c r="C47" s="35"/>
      <c r="D47" s="35">
        <v>0.35327599999999998</v>
      </c>
      <c r="E47" s="35">
        <v>0.20977900000000002</v>
      </c>
      <c r="F47" s="35">
        <v>0.18410399999999999</v>
      </c>
      <c r="G47" s="49">
        <v>0.11799899999999999</v>
      </c>
      <c r="H47" s="50">
        <v>0.19106899999999999</v>
      </c>
      <c r="I47" s="49">
        <v>0.120366</v>
      </c>
      <c r="J47" s="39">
        <v>-0.37003909582402161</v>
      </c>
      <c r="L47" s="58" t="s">
        <v>171</v>
      </c>
      <c r="M47" s="58"/>
      <c r="N47" s="58"/>
      <c r="O47" s="58"/>
      <c r="P47" s="58"/>
      <c r="Q47" s="58"/>
      <c r="R47" s="58"/>
      <c r="S47" s="58"/>
      <c r="T47" s="58"/>
      <c r="U47" s="58"/>
    </row>
    <row r="48" spans="2:21" x14ac:dyDescent="0.25">
      <c r="B48" s="40" t="s">
        <v>200</v>
      </c>
      <c r="C48" s="67"/>
      <c r="D48" s="29">
        <v>15191.228279999999</v>
      </c>
      <c r="E48" s="29">
        <v>15206.239079999999</v>
      </c>
      <c r="F48" s="29">
        <v>12183.874830000001</v>
      </c>
      <c r="G48" s="29">
        <v>11462.604069999999</v>
      </c>
      <c r="H48" s="29">
        <v>12480.120070000001</v>
      </c>
      <c r="I48" s="29">
        <v>11793.683789999999</v>
      </c>
      <c r="J48" s="41">
        <v>-5.500237787375728E-2</v>
      </c>
      <c r="L48" s="59" t="s">
        <v>172</v>
      </c>
      <c r="M48" s="59"/>
      <c r="N48" s="59"/>
      <c r="O48" s="59"/>
      <c r="P48" s="59"/>
      <c r="Q48" s="59"/>
      <c r="R48" s="59"/>
      <c r="S48" s="59"/>
      <c r="T48" s="59"/>
      <c r="U48" s="59"/>
    </row>
    <row r="49" spans="2:21" x14ac:dyDescent="0.25">
      <c r="B49" s="34" t="s">
        <v>201</v>
      </c>
      <c r="C49" s="35"/>
      <c r="D49" s="36">
        <v>32903.025750654648</v>
      </c>
      <c r="E49" s="36">
        <v>36932.909459203445</v>
      </c>
      <c r="F49" s="36">
        <v>30235.866076369675</v>
      </c>
      <c r="G49" s="36">
        <v>31743.220983428597</v>
      </c>
      <c r="H49" s="36">
        <v>31805.316814096146</v>
      </c>
      <c r="I49" s="36">
        <v>31949.427284252954</v>
      </c>
      <c r="J49" s="45">
        <v>4.5310182256363962E-3</v>
      </c>
      <c r="L49" s="59"/>
      <c r="M49" s="59"/>
      <c r="N49" s="59"/>
      <c r="O49" s="59"/>
      <c r="P49" s="59"/>
      <c r="Q49" s="59"/>
      <c r="R49" s="59"/>
      <c r="S49" s="59"/>
      <c r="T49" s="59"/>
      <c r="U49" s="59"/>
    </row>
    <row r="50" spans="2:21" x14ac:dyDescent="0.25">
      <c r="L50" s="60" t="s">
        <v>173</v>
      </c>
      <c r="M50" s="60"/>
      <c r="N50" s="60"/>
      <c r="O50" s="60"/>
      <c r="P50" s="60"/>
      <c r="Q50" s="60"/>
      <c r="R50" s="60"/>
      <c r="S50" s="60"/>
      <c r="T50" s="60"/>
      <c r="U50" s="60"/>
    </row>
    <row r="51" spans="2:21" x14ac:dyDescent="0.25">
      <c r="L51" s="60"/>
      <c r="M51" s="60"/>
      <c r="N51" s="60"/>
      <c r="O51" s="60"/>
      <c r="P51" s="60"/>
      <c r="Q51" s="60"/>
      <c r="R51" s="60"/>
      <c r="S51" s="60"/>
      <c r="T51" s="60"/>
      <c r="U51" s="60"/>
    </row>
    <row r="52" spans="2:21" x14ac:dyDescent="0.25">
      <c r="L52" s="60"/>
      <c r="M52" s="60"/>
      <c r="N52" s="60"/>
      <c r="O52" s="60"/>
      <c r="P52" s="60"/>
      <c r="Q52" s="60"/>
      <c r="R52" s="60"/>
      <c r="S52" s="60"/>
      <c r="T52" s="60"/>
      <c r="U52" s="60"/>
    </row>
    <row r="53" spans="2:21" x14ac:dyDescent="0.25">
      <c r="L53" s="58" t="s">
        <v>174</v>
      </c>
      <c r="M53" s="58"/>
      <c r="N53" s="58"/>
      <c r="O53" s="58"/>
      <c r="P53" s="58"/>
      <c r="Q53" s="58"/>
      <c r="R53" s="58"/>
      <c r="S53" s="58"/>
      <c r="T53" s="58"/>
      <c r="U53" s="58"/>
    </row>
    <row r="54" spans="2:21" x14ac:dyDescent="0.25">
      <c r="L54" s="59" t="s">
        <v>175</v>
      </c>
      <c r="M54" s="59"/>
      <c r="N54" s="59"/>
      <c r="O54" s="59"/>
      <c r="P54" s="59"/>
      <c r="Q54" s="59"/>
      <c r="R54" s="59"/>
      <c r="S54" s="59"/>
      <c r="T54" s="59"/>
      <c r="U54" s="59"/>
    </row>
    <row r="55" spans="2:21" x14ac:dyDescent="0.25">
      <c r="L55" s="59"/>
      <c r="M55" s="59"/>
      <c r="N55" s="59"/>
      <c r="O55" s="59"/>
      <c r="P55" s="59"/>
      <c r="Q55" s="59"/>
      <c r="R55" s="59"/>
      <c r="S55" s="59"/>
      <c r="T55" s="59"/>
      <c r="U55" s="59"/>
    </row>
    <row r="56" spans="2:21" x14ac:dyDescent="0.25">
      <c r="L56" s="59" t="s">
        <v>176</v>
      </c>
      <c r="M56" s="59"/>
      <c r="N56" s="59"/>
      <c r="O56" s="59"/>
      <c r="P56" s="59"/>
      <c r="Q56" s="59"/>
      <c r="R56" s="59"/>
      <c r="S56" s="59"/>
      <c r="T56" s="59"/>
      <c r="U56" s="59"/>
    </row>
    <row r="57" spans="2:21" x14ac:dyDescent="0.25">
      <c r="L57" s="59"/>
      <c r="M57" s="59"/>
      <c r="N57" s="59"/>
      <c r="O57" s="59"/>
      <c r="P57" s="59"/>
      <c r="Q57" s="59"/>
      <c r="R57" s="59"/>
      <c r="S57" s="59"/>
      <c r="T57" s="59"/>
      <c r="U57" s="59"/>
    </row>
    <row r="58" spans="2:21" x14ac:dyDescent="0.25">
      <c r="L58" s="58" t="s">
        <v>177</v>
      </c>
      <c r="M58" s="58"/>
      <c r="N58" s="58"/>
      <c r="O58" s="58"/>
      <c r="P58" s="58"/>
      <c r="Q58" s="58"/>
      <c r="R58" s="58"/>
      <c r="S58" s="58"/>
      <c r="T58" s="58"/>
      <c r="U58" s="58"/>
    </row>
    <row r="59" spans="2:21" x14ac:dyDescent="0.25">
      <c r="L59" s="58" t="s">
        <v>178</v>
      </c>
      <c r="M59" s="58"/>
      <c r="N59" s="58"/>
      <c r="O59" s="58"/>
      <c r="P59" s="58"/>
      <c r="Q59" s="58"/>
      <c r="R59" s="58"/>
      <c r="S59" s="58"/>
      <c r="T59" s="58"/>
      <c r="U59" s="58"/>
    </row>
    <row r="60" spans="2:21" x14ac:dyDescent="0.25">
      <c r="L60" s="13" t="s">
        <v>179</v>
      </c>
      <c r="M60" s="13"/>
      <c r="N60" s="13"/>
      <c r="O60" s="13"/>
      <c r="P60" s="13"/>
      <c r="Q60" s="13"/>
      <c r="R60" s="13"/>
      <c r="S60" s="13"/>
      <c r="T60" s="13"/>
      <c r="U60" s="13"/>
    </row>
    <row r="66" spans="12:21" x14ac:dyDescent="0.25">
      <c r="L66" s="16"/>
      <c r="M66" s="16"/>
      <c r="N66" s="16"/>
      <c r="O66" s="16"/>
      <c r="P66" s="16"/>
      <c r="Q66" s="16"/>
      <c r="R66" s="16"/>
      <c r="S66" s="16"/>
      <c r="T66" s="16"/>
      <c r="U66" s="16"/>
    </row>
    <row r="67" spans="12:21" x14ac:dyDescent="0.25">
      <c r="L67" s="16"/>
      <c r="M67" s="16"/>
      <c r="N67" s="16"/>
      <c r="O67" s="16"/>
      <c r="P67" s="16"/>
      <c r="Q67" s="16"/>
      <c r="R67" s="16"/>
      <c r="S67" s="16"/>
      <c r="T67" s="16"/>
      <c r="U67" s="16"/>
    </row>
    <row r="68" spans="12:21" x14ac:dyDescent="0.25">
      <c r="L68" s="16"/>
      <c r="M68" s="16"/>
      <c r="N68" s="16"/>
      <c r="O68" s="16"/>
      <c r="P68" s="16"/>
      <c r="Q68" s="16"/>
      <c r="R68" s="16"/>
      <c r="S68" s="16"/>
      <c r="T68" s="16"/>
      <c r="U68" s="16"/>
    </row>
  </sheetData>
  <mergeCells count="10">
    <mergeCell ref="L54:U55"/>
    <mergeCell ref="L56:U57"/>
    <mergeCell ref="L58:U58"/>
    <mergeCell ref="L59:U59"/>
    <mergeCell ref="L6:U35"/>
    <mergeCell ref="L46:U46"/>
    <mergeCell ref="L47:U47"/>
    <mergeCell ref="L48:U49"/>
    <mergeCell ref="L50:U52"/>
    <mergeCell ref="L53:U5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76F72-C74A-4923-BE70-70C2815E590F}">
  <dimension ref="B1:U68"/>
  <sheetViews>
    <sheetView topLeftCell="A12" workbookViewId="0">
      <selection activeCell="B24" sqref="B24:J49"/>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 t="s">
        <v>202</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x14ac:dyDescent="0.25">
      <c r="L23" s="11"/>
      <c r="M23" s="11"/>
      <c r="N23" s="11"/>
      <c r="O23" s="11"/>
      <c r="P23" s="11"/>
      <c r="Q23" s="11"/>
      <c r="R23" s="11"/>
      <c r="S23" s="11"/>
      <c r="T23" s="11"/>
      <c r="U23" s="11"/>
    </row>
    <row r="24" spans="2:21" x14ac:dyDescent="0.25">
      <c r="B24" s="1"/>
      <c r="C24" s="1"/>
      <c r="D24" s="20" t="s">
        <v>36</v>
      </c>
      <c r="E24" s="21"/>
      <c r="F24" s="21"/>
      <c r="G24" s="22"/>
      <c r="H24" s="23" t="s">
        <v>37</v>
      </c>
      <c r="I24" s="21"/>
      <c r="J24" s="21"/>
      <c r="L24" s="11"/>
      <c r="M24" s="11"/>
      <c r="N24" s="11"/>
      <c r="O24" s="11"/>
      <c r="P24" s="11"/>
      <c r="Q24" s="11"/>
      <c r="R24" s="11"/>
      <c r="S24" s="11"/>
      <c r="T24" s="11"/>
      <c r="U24" s="11"/>
    </row>
    <row r="25" spans="2:21" x14ac:dyDescent="0.25">
      <c r="B25" s="24"/>
      <c r="C25" s="24"/>
      <c r="D25" s="25">
        <v>44926</v>
      </c>
      <c r="E25" s="25">
        <v>45291</v>
      </c>
      <c r="F25" s="25">
        <v>45657</v>
      </c>
      <c r="G25" s="26">
        <v>46022</v>
      </c>
      <c r="H25" s="27">
        <v>45747</v>
      </c>
      <c r="I25" s="26">
        <v>46112</v>
      </c>
      <c r="J25" s="28" t="s">
        <v>38</v>
      </c>
      <c r="L25" s="12" t="s">
        <v>2</v>
      </c>
      <c r="M25" s="68"/>
      <c r="N25" s="68"/>
      <c r="O25" s="68"/>
      <c r="P25" s="68"/>
      <c r="Q25" s="68"/>
      <c r="R25" s="68"/>
      <c r="S25" s="68"/>
      <c r="T25" s="68"/>
      <c r="U25" s="68"/>
    </row>
    <row r="26" spans="2:21" x14ac:dyDescent="0.25">
      <c r="B26" s="8" t="s">
        <v>180</v>
      </c>
      <c r="C26" s="8"/>
      <c r="D26" s="29">
        <v>833.26832999999999</v>
      </c>
      <c r="E26" s="29">
        <v>837.49879999999996</v>
      </c>
      <c r="F26" s="29">
        <v>639.04044999999996</v>
      </c>
      <c r="G26" s="30">
        <v>1150.83383</v>
      </c>
      <c r="H26" s="31">
        <v>598.13243999999997</v>
      </c>
      <c r="I26" s="30">
        <v>2148.6437999999998</v>
      </c>
      <c r="J26" s="32">
        <v>2.5922542505803561</v>
      </c>
      <c r="L26" s="69" t="s">
        <v>203</v>
      </c>
      <c r="M26" s="68"/>
      <c r="N26" s="68"/>
      <c r="O26" s="68"/>
      <c r="P26" s="68"/>
      <c r="Q26" s="68"/>
      <c r="R26" s="68"/>
      <c r="S26" s="68"/>
      <c r="T26" s="68"/>
      <c r="U26" s="68"/>
    </row>
    <row r="27" spans="2:21" x14ac:dyDescent="0.25">
      <c r="B27" s="40" t="s">
        <v>181</v>
      </c>
      <c r="C27" s="33"/>
      <c r="D27" s="33">
        <v>0.35179299999999997</v>
      </c>
      <c r="E27" s="33">
        <v>0.32899700000000004</v>
      </c>
      <c r="F27" s="33">
        <v>0.32905000000000001</v>
      </c>
      <c r="G27" s="47">
        <v>0.33457799999999999</v>
      </c>
      <c r="H27" s="48">
        <v>0.32075200000000004</v>
      </c>
      <c r="I27" s="47">
        <v>0.33321599999999996</v>
      </c>
      <c r="J27" s="32">
        <v>3.8858682097071551E-2</v>
      </c>
      <c r="L27" s="69" t="s">
        <v>204</v>
      </c>
      <c r="M27" s="68"/>
      <c r="N27" s="68"/>
      <c r="O27" s="68"/>
      <c r="P27" s="68"/>
      <c r="Q27" s="68"/>
      <c r="R27" s="68"/>
      <c r="S27" s="68"/>
      <c r="T27" s="68"/>
      <c r="U27" s="68"/>
    </row>
    <row r="28" spans="2:21" x14ac:dyDescent="0.25">
      <c r="B28" s="40" t="s">
        <v>182</v>
      </c>
      <c r="C28" s="33"/>
      <c r="D28" s="33">
        <v>0.25344</v>
      </c>
      <c r="E28" s="33">
        <v>0.205896</v>
      </c>
      <c r="F28" s="33">
        <v>0.24309999999999998</v>
      </c>
      <c r="G28" s="47">
        <v>0.26252400000000004</v>
      </c>
      <c r="H28" s="48">
        <v>0.23235399999999998</v>
      </c>
      <c r="I28" s="47">
        <v>0.25750800000000001</v>
      </c>
      <c r="J28" s="32">
        <v>0.10825722819490968</v>
      </c>
      <c r="L28" s="68"/>
      <c r="M28" s="68"/>
      <c r="N28" s="68"/>
      <c r="O28" s="68"/>
      <c r="P28" s="68"/>
      <c r="Q28" s="68"/>
      <c r="R28" s="68"/>
      <c r="S28" s="68"/>
      <c r="T28" s="68"/>
      <c r="U28" s="68"/>
    </row>
    <row r="29" spans="2:21" x14ac:dyDescent="0.25">
      <c r="B29" s="40" t="s">
        <v>183</v>
      </c>
      <c r="C29" s="33"/>
      <c r="D29" s="33">
        <v>0.29621900000000001</v>
      </c>
      <c r="E29" s="33">
        <v>0.25006299999999998</v>
      </c>
      <c r="F29" s="33">
        <v>0.29212199999999999</v>
      </c>
      <c r="G29" s="47">
        <v>0.31161300000000003</v>
      </c>
      <c r="H29" s="48">
        <v>0.283329</v>
      </c>
      <c r="I29" s="47">
        <v>0.30728300000000003</v>
      </c>
      <c r="J29" s="32">
        <v>8.4544822450225876E-2</v>
      </c>
      <c r="L29" s="68"/>
      <c r="M29" s="68"/>
      <c r="N29" s="68"/>
      <c r="O29" s="68"/>
      <c r="P29" s="68"/>
      <c r="Q29" s="68"/>
      <c r="R29" s="68"/>
      <c r="S29" s="68"/>
      <c r="T29" s="68"/>
      <c r="U29" s="68"/>
    </row>
    <row r="30" spans="2:21" x14ac:dyDescent="0.25">
      <c r="B30" s="40" t="s">
        <v>184</v>
      </c>
      <c r="C30" s="33"/>
      <c r="D30" s="33">
        <v>0.121118</v>
      </c>
      <c r="E30" s="33">
        <v>8.7456999999999993E-2</v>
      </c>
      <c r="F30" s="33">
        <v>0.11463</v>
      </c>
      <c r="G30" s="47">
        <v>0.130632</v>
      </c>
      <c r="H30" s="48">
        <v>0.11043500000000001</v>
      </c>
      <c r="I30" s="47">
        <v>0.15684100000000001</v>
      </c>
      <c r="J30" s="32">
        <v>0.4202109838366459</v>
      </c>
      <c r="L30" s="68"/>
      <c r="M30" s="68"/>
      <c r="N30" s="68"/>
      <c r="O30" s="68"/>
      <c r="P30" s="68"/>
      <c r="Q30" s="68"/>
      <c r="R30" s="68"/>
      <c r="S30" s="68"/>
      <c r="T30" s="68"/>
      <c r="U30" s="68"/>
    </row>
    <row r="31" spans="2:21" x14ac:dyDescent="0.25">
      <c r="B31" s="34" t="s">
        <v>185</v>
      </c>
      <c r="C31" s="35"/>
      <c r="D31" s="35">
        <v>3.8809000000000003E-2</v>
      </c>
      <c r="E31" s="35">
        <v>-1.6736000000000001E-2</v>
      </c>
      <c r="F31" s="35">
        <v>-7.18E-4</v>
      </c>
      <c r="G31" s="49">
        <v>-1.5800000000000002E-2</v>
      </c>
      <c r="H31" s="50">
        <v>-5.0243000000000003E-2</v>
      </c>
      <c r="I31" s="49">
        <v>-1.6763999999999998E-2</v>
      </c>
      <c r="J31" s="39">
        <v>-0.66634157992158116</v>
      </c>
      <c r="L31" s="68"/>
      <c r="M31" s="68"/>
      <c r="N31" s="68"/>
      <c r="O31" s="68"/>
      <c r="P31" s="68"/>
      <c r="Q31" s="68"/>
      <c r="R31" s="68"/>
      <c r="S31" s="68"/>
      <c r="T31" s="68"/>
      <c r="U31" s="68"/>
    </row>
    <row r="32" spans="2:21" x14ac:dyDescent="0.25">
      <c r="B32" s="40" t="s">
        <v>186</v>
      </c>
      <c r="C32" s="8"/>
      <c r="D32" s="43">
        <v>2.4232659114118875</v>
      </c>
      <c r="E32" s="43">
        <v>1.6342716953346337</v>
      </c>
      <c r="F32" s="43">
        <v>1.6465628859264971</v>
      </c>
      <c r="G32" s="52">
        <v>1.8300270054481167</v>
      </c>
      <c r="H32" s="61">
        <v>1.0336004297460271</v>
      </c>
      <c r="I32" s="52">
        <v>2.1400895260702306</v>
      </c>
      <c r="J32" s="32">
        <v>1.0705191914404355</v>
      </c>
      <c r="L32" s="68"/>
      <c r="M32" s="68"/>
      <c r="N32" s="68"/>
      <c r="O32" s="68"/>
      <c r="P32" s="68"/>
      <c r="Q32" s="68"/>
      <c r="R32" s="68"/>
      <c r="S32" s="68"/>
      <c r="T32" s="68"/>
      <c r="U32" s="68"/>
    </row>
    <row r="33" spans="2:21" x14ac:dyDescent="0.25">
      <c r="B33" s="40" t="s">
        <v>187</v>
      </c>
      <c r="C33" s="8"/>
      <c r="D33" s="43">
        <v>4.8042800000000003</v>
      </c>
      <c r="E33" s="43">
        <v>4.0030400000000004</v>
      </c>
      <c r="F33" s="43">
        <v>3.2754699999999999</v>
      </c>
      <c r="G33" s="52">
        <v>3.3757100000000002</v>
      </c>
      <c r="H33" s="61">
        <v>2.95472</v>
      </c>
      <c r="I33" s="52">
        <v>3.22038</v>
      </c>
      <c r="J33" s="32">
        <v>8.9910380679049107E-2</v>
      </c>
      <c r="L33" s="68"/>
    </row>
    <row r="34" spans="2:21" x14ac:dyDescent="0.25">
      <c r="B34" s="40" t="s">
        <v>188</v>
      </c>
      <c r="C34" s="8"/>
      <c r="D34" s="43">
        <v>2.2989899999999999</v>
      </c>
      <c r="E34" s="43">
        <v>1.8226599999999999</v>
      </c>
      <c r="F34" s="43">
        <v>1.7702800000000001</v>
      </c>
      <c r="G34" s="52">
        <v>1.9180200000000001</v>
      </c>
      <c r="H34" s="61">
        <v>1.51939</v>
      </c>
      <c r="I34" s="52">
        <v>1.78156</v>
      </c>
      <c r="J34" s="32">
        <v>0.17254951000072394</v>
      </c>
      <c r="L34" s="68"/>
    </row>
    <row r="35" spans="2:21" x14ac:dyDescent="0.25">
      <c r="B35" s="40" t="s">
        <v>189</v>
      </c>
      <c r="C35" s="8"/>
      <c r="D35" s="43">
        <v>3.1971099999999999</v>
      </c>
      <c r="E35" s="43">
        <v>3.0598399999999999</v>
      </c>
      <c r="F35" s="43">
        <v>2.8453200000000001</v>
      </c>
      <c r="G35" s="52">
        <v>2.7722000000000002</v>
      </c>
      <c r="H35" s="61">
        <v>2.9743300000000001</v>
      </c>
      <c r="I35" s="52">
        <v>2.8864800000000002</v>
      </c>
      <c r="J35" s="32">
        <v>-2.9536063584067684E-2</v>
      </c>
      <c r="L35" s="68"/>
    </row>
    <row r="36" spans="2:21" x14ac:dyDescent="0.25">
      <c r="B36" s="40" t="s">
        <v>190</v>
      </c>
      <c r="C36" s="8"/>
      <c r="D36" s="43">
        <v>2.6951299999999998</v>
      </c>
      <c r="E36" s="43">
        <v>2.6648700000000001</v>
      </c>
      <c r="F36" s="43">
        <v>2.5251899999999998</v>
      </c>
      <c r="G36" s="52">
        <v>2.3404400000000001</v>
      </c>
      <c r="H36" s="61">
        <v>2.6836600000000002</v>
      </c>
      <c r="I36" s="52">
        <v>2.1451600000000002</v>
      </c>
      <c r="J36" s="32">
        <v>-0.20065880178562112</v>
      </c>
      <c r="L36" s="70" t="s">
        <v>205</v>
      </c>
    </row>
    <row r="37" spans="2:21" x14ac:dyDescent="0.25">
      <c r="B37" s="40" t="s">
        <v>191</v>
      </c>
      <c r="C37" s="8"/>
      <c r="D37" s="43">
        <v>6.6810999999999998</v>
      </c>
      <c r="E37" s="43">
        <v>6.7202200000000003</v>
      </c>
      <c r="F37" s="43">
        <v>5.2645600000000004</v>
      </c>
      <c r="G37" s="52">
        <v>4.87906</v>
      </c>
      <c r="H37" s="61">
        <v>5.7840800000000003</v>
      </c>
      <c r="I37" s="52">
        <v>5.2176499999999999</v>
      </c>
      <c r="J37" s="32">
        <v>-9.7929143441999433E-2</v>
      </c>
      <c r="L37" s="13" t="s">
        <v>206</v>
      </c>
    </row>
    <row r="38" spans="2:21" x14ac:dyDescent="0.25">
      <c r="B38" s="34" t="s">
        <v>192</v>
      </c>
      <c r="C38" s="53"/>
      <c r="D38" s="53">
        <v>5.6320899999999998</v>
      </c>
      <c r="E38" s="53">
        <v>5.8527399999999998</v>
      </c>
      <c r="F38" s="53">
        <v>4.6722299999999999</v>
      </c>
      <c r="G38" s="54">
        <v>4.1191599999999999</v>
      </c>
      <c r="H38" s="55">
        <v>5.2188299999999996</v>
      </c>
      <c r="I38" s="54">
        <v>3.8776299999999999</v>
      </c>
      <c r="J38" s="39">
        <v>-0.25699246766037598</v>
      </c>
      <c r="L38" s="13" t="s">
        <v>207</v>
      </c>
    </row>
    <row r="39" spans="2:21" x14ac:dyDescent="0.25">
      <c r="B39" s="8" t="s">
        <v>193</v>
      </c>
      <c r="C39" s="43"/>
      <c r="D39" s="62">
        <v>68.160830000000004</v>
      </c>
      <c r="E39" s="62">
        <v>72.966419999999999</v>
      </c>
      <c r="F39" s="62">
        <v>73.400930000000002</v>
      </c>
      <c r="G39" s="63">
        <v>74.120919999999998</v>
      </c>
      <c r="H39" s="64">
        <v>74.371669999999995</v>
      </c>
      <c r="I39" s="63">
        <v>74.509280000000004</v>
      </c>
      <c r="J39" s="32">
        <v>1.8503013311386152E-3</v>
      </c>
      <c r="L39" s="13" t="s">
        <v>208</v>
      </c>
      <c r="M39" s="13"/>
      <c r="N39" s="13"/>
      <c r="O39" s="13"/>
      <c r="P39" s="13"/>
      <c r="Q39" s="13"/>
      <c r="R39" s="13"/>
      <c r="S39" s="13"/>
      <c r="T39" s="13"/>
      <c r="U39" s="13"/>
    </row>
    <row r="40" spans="2:21" x14ac:dyDescent="0.25">
      <c r="B40" s="8" t="s">
        <v>194</v>
      </c>
      <c r="C40" s="43"/>
      <c r="D40" s="62">
        <v>50.365989999999996</v>
      </c>
      <c r="E40" s="62">
        <v>57.287849999999999</v>
      </c>
      <c r="F40" s="62">
        <v>68.531670000000005</v>
      </c>
      <c r="G40" s="63">
        <v>69.202179999999998</v>
      </c>
      <c r="H40" s="64">
        <v>89.633420000000001</v>
      </c>
      <c r="I40" s="63">
        <v>77.906700000000001</v>
      </c>
      <c r="J40" s="32">
        <v>-0.13082977309133137</v>
      </c>
      <c r="L40" s="13" t="s">
        <v>209</v>
      </c>
      <c r="M40" s="13"/>
      <c r="N40" s="13"/>
      <c r="O40" s="13"/>
      <c r="P40" s="13"/>
      <c r="Q40" s="13"/>
      <c r="R40" s="13"/>
      <c r="S40" s="13"/>
      <c r="T40" s="13"/>
      <c r="U40" s="13"/>
    </row>
    <row r="41" spans="2:21" x14ac:dyDescent="0.25">
      <c r="B41" s="8" t="s">
        <v>195</v>
      </c>
      <c r="C41" s="43"/>
      <c r="D41" s="62">
        <v>10.87153</v>
      </c>
      <c r="E41" s="62">
        <v>10.79743</v>
      </c>
      <c r="F41" s="62">
        <v>9.9497099999999996</v>
      </c>
      <c r="G41" s="63">
        <v>9.2312200000000004</v>
      </c>
      <c r="H41" s="64">
        <v>10.41893</v>
      </c>
      <c r="I41" s="63">
        <v>9.9250799999999995</v>
      </c>
      <c r="J41" s="32">
        <v>-4.7399301079861345E-2</v>
      </c>
      <c r="L41" s="70" t="s">
        <v>210</v>
      </c>
      <c r="M41" s="17"/>
      <c r="N41" s="17"/>
      <c r="O41" s="17"/>
      <c r="P41" s="17"/>
      <c r="Q41" s="17"/>
      <c r="R41" s="17"/>
      <c r="S41" s="17"/>
      <c r="T41" s="17"/>
      <c r="U41" s="17"/>
    </row>
    <row r="42" spans="2:21" x14ac:dyDescent="0.25">
      <c r="B42" s="40" t="s">
        <v>196</v>
      </c>
      <c r="C42" s="43"/>
      <c r="D42" s="43">
        <v>1.23936</v>
      </c>
      <c r="E42" s="43">
        <v>1.05949</v>
      </c>
      <c r="F42" s="43">
        <v>1.2337899999999999</v>
      </c>
      <c r="G42" s="52">
        <v>1.32203</v>
      </c>
      <c r="H42" s="61">
        <v>1.10581</v>
      </c>
      <c r="I42" s="52">
        <v>1.5289600000000001</v>
      </c>
      <c r="J42" s="32">
        <v>0.38266067407601678</v>
      </c>
      <c r="L42" s="13" t="s">
        <v>211</v>
      </c>
      <c r="M42" s="13"/>
      <c r="N42" s="13"/>
      <c r="O42" s="13"/>
      <c r="P42" s="13"/>
      <c r="Q42" s="13"/>
      <c r="R42" s="13"/>
      <c r="S42" s="13"/>
      <c r="T42" s="13"/>
      <c r="U42" s="13"/>
    </row>
    <row r="43" spans="2:21" x14ac:dyDescent="0.25">
      <c r="B43" s="40" t="s">
        <v>197</v>
      </c>
      <c r="C43" s="43"/>
      <c r="D43" s="43">
        <v>1.0467299999999999</v>
      </c>
      <c r="E43" s="43">
        <v>0.88926000000000005</v>
      </c>
      <c r="F43" s="43">
        <v>1.0452300000000001</v>
      </c>
      <c r="G43" s="52">
        <v>1.0628299999999999</v>
      </c>
      <c r="H43" s="61">
        <v>0.93794</v>
      </c>
      <c r="I43" s="52">
        <v>1.35195</v>
      </c>
      <c r="J43" s="32">
        <v>0.44140350129006123</v>
      </c>
      <c r="L43" s="14" t="s">
        <v>212</v>
      </c>
      <c r="M43" s="14"/>
      <c r="N43" s="14"/>
      <c r="O43" s="14"/>
      <c r="P43" s="14"/>
      <c r="Q43" s="14"/>
      <c r="R43" s="14"/>
      <c r="S43" s="14"/>
      <c r="T43" s="14"/>
      <c r="U43" s="14"/>
    </row>
    <row r="44" spans="2:21" x14ac:dyDescent="0.25">
      <c r="B44" s="34" t="s">
        <v>198</v>
      </c>
      <c r="C44" s="44"/>
      <c r="D44" s="44">
        <v>28.666370000000001</v>
      </c>
      <c r="E44" s="44">
        <v>26.476009999999999</v>
      </c>
      <c r="F44" s="44">
        <v>14.81897</v>
      </c>
      <c r="G44" s="65">
        <v>14.14996</v>
      </c>
      <c r="H44" s="66">
        <v>-4.8428199999999997</v>
      </c>
      <c r="I44" s="65">
        <v>6.52766</v>
      </c>
      <c r="J44" s="39">
        <v>-2.3479047331926441</v>
      </c>
      <c r="L44" s="14"/>
      <c r="M44" s="14"/>
      <c r="N44" s="14"/>
      <c r="O44" s="14"/>
      <c r="P44" s="14"/>
      <c r="Q44" s="14"/>
      <c r="R44" s="14"/>
      <c r="S44" s="14"/>
      <c r="T44" s="14"/>
      <c r="U44" s="14"/>
    </row>
    <row r="45" spans="2:21" x14ac:dyDescent="0.25">
      <c r="B45" s="40" t="s">
        <v>70</v>
      </c>
      <c r="C45" s="33"/>
      <c r="D45" s="33">
        <v>7.0163000000000003E-2</v>
      </c>
      <c r="E45" s="33">
        <v>6.2573999999999991E-2</v>
      </c>
      <c r="F45" s="33">
        <v>7.4926000000000006E-2</v>
      </c>
      <c r="G45" s="47">
        <v>7.3291000000000009E-2</v>
      </c>
      <c r="H45" s="48">
        <v>6.9942000000000004E-2</v>
      </c>
      <c r="I45" s="47">
        <v>7.0550000000000002E-2</v>
      </c>
      <c r="J45" s="32">
        <v>8.6929169883618318E-3</v>
      </c>
      <c r="L45" s="14"/>
      <c r="M45" s="14"/>
      <c r="N45" s="14"/>
      <c r="O45" s="14"/>
      <c r="P45" s="14"/>
      <c r="Q45" s="14"/>
      <c r="R45" s="14"/>
      <c r="S45" s="14"/>
      <c r="T45" s="14"/>
      <c r="U45" s="14"/>
    </row>
    <row r="46" spans="2:21" x14ac:dyDescent="0.25">
      <c r="B46" s="40" t="s">
        <v>199</v>
      </c>
      <c r="C46" s="33"/>
      <c r="D46" s="33">
        <v>8.6266999999999996E-2</v>
      </c>
      <c r="E46" s="33">
        <v>7.8739999999999991E-2</v>
      </c>
      <c r="F46" s="33">
        <v>9.4690999999999997E-2</v>
      </c>
      <c r="G46" s="47">
        <v>9.1267000000000001E-2</v>
      </c>
      <c r="H46" s="48">
        <v>9.0173000000000003E-2</v>
      </c>
      <c r="I46" s="47">
        <v>8.7972999999999996E-2</v>
      </c>
      <c r="J46" s="32">
        <v>-2.4397546937553471E-2</v>
      </c>
      <c r="L46" s="13" t="s">
        <v>213</v>
      </c>
    </row>
    <row r="47" spans="2:21" x14ac:dyDescent="0.25">
      <c r="B47" s="34" t="s">
        <v>66</v>
      </c>
      <c r="C47" s="35"/>
      <c r="D47" s="35">
        <v>0.13812199999999999</v>
      </c>
      <c r="E47" s="35">
        <v>0.114342</v>
      </c>
      <c r="F47" s="35">
        <v>0.14993000000000001</v>
      </c>
      <c r="G47" s="49">
        <v>0.15073999999999999</v>
      </c>
      <c r="H47" s="50">
        <v>0.14554999999999998</v>
      </c>
      <c r="I47" s="49">
        <v>0.17635699999999999</v>
      </c>
      <c r="J47" s="39">
        <v>0.21165922363448986</v>
      </c>
      <c r="L47" s="14" t="s">
        <v>214</v>
      </c>
      <c r="M47" s="14"/>
      <c r="N47" s="14"/>
      <c r="O47" s="14"/>
      <c r="P47" s="14"/>
      <c r="Q47" s="14"/>
      <c r="R47" s="14"/>
      <c r="S47" s="14"/>
      <c r="T47" s="14"/>
      <c r="U47" s="14"/>
    </row>
    <row r="48" spans="2:21" x14ac:dyDescent="0.25">
      <c r="B48" s="40" t="s">
        <v>200</v>
      </c>
      <c r="C48" s="67"/>
      <c r="D48" s="29">
        <v>1940.42581</v>
      </c>
      <c r="E48" s="29">
        <v>2398.2383300000001</v>
      </c>
      <c r="F48" s="29">
        <v>2624.5469200000002</v>
      </c>
      <c r="G48" s="29">
        <v>3150.0939600000002</v>
      </c>
      <c r="H48" s="29">
        <v>2630.9381100000001</v>
      </c>
      <c r="I48" s="29">
        <v>3181.3983800000001</v>
      </c>
      <c r="J48" s="41">
        <v>0.20922585290309237</v>
      </c>
      <c r="L48" s="14"/>
      <c r="M48" s="14"/>
      <c r="N48" s="14"/>
      <c r="O48" s="14"/>
      <c r="P48" s="14"/>
      <c r="Q48" s="14"/>
      <c r="R48" s="14"/>
      <c r="S48" s="14"/>
      <c r="T48" s="14"/>
      <c r="U48" s="14"/>
    </row>
    <row r="49" spans="2:21" x14ac:dyDescent="0.25">
      <c r="B49" s="34" t="s">
        <v>201</v>
      </c>
      <c r="C49" s="35"/>
      <c r="D49" s="36">
        <v>6550.6460085274739</v>
      </c>
      <c r="E49" s="36">
        <v>9590.5365048007916</v>
      </c>
      <c r="F49" s="36">
        <v>8984.4206187825639</v>
      </c>
      <c r="G49" s="36">
        <v>10108.99404068508</v>
      </c>
      <c r="H49" s="36">
        <v>9285.8059358554892</v>
      </c>
      <c r="I49" s="36">
        <v>10353.317235252194</v>
      </c>
      <c r="J49" s="45">
        <v>0.11496162064670123</v>
      </c>
      <c r="L49" s="14"/>
      <c r="M49" s="14"/>
      <c r="N49" s="14"/>
      <c r="O49" s="14"/>
      <c r="P49" s="14"/>
      <c r="Q49" s="14"/>
      <c r="R49" s="14"/>
      <c r="S49" s="14"/>
      <c r="T49" s="14"/>
      <c r="U49" s="14"/>
    </row>
    <row r="50" spans="2:21" x14ac:dyDescent="0.25">
      <c r="L50" s="13" t="s">
        <v>215</v>
      </c>
    </row>
    <row r="51" spans="2:21" x14ac:dyDescent="0.25">
      <c r="L51" s="13" t="s">
        <v>216</v>
      </c>
    </row>
    <row r="52" spans="2:21" x14ac:dyDescent="0.25">
      <c r="L52" s="14" t="s">
        <v>217</v>
      </c>
      <c r="M52" s="14"/>
      <c r="N52" s="14"/>
      <c r="O52" s="14"/>
      <c r="P52" s="14"/>
      <c r="Q52" s="14"/>
      <c r="R52" s="14"/>
      <c r="S52" s="14"/>
      <c r="T52" s="14"/>
      <c r="U52" s="14"/>
    </row>
    <row r="53" spans="2:21" x14ac:dyDescent="0.25">
      <c r="L53" s="14"/>
      <c r="M53" s="14"/>
      <c r="N53" s="14"/>
      <c r="O53" s="14"/>
      <c r="P53" s="14"/>
      <c r="Q53" s="14"/>
      <c r="R53" s="14"/>
      <c r="S53" s="14"/>
      <c r="T53" s="14"/>
      <c r="U53" s="14"/>
    </row>
    <row r="55" spans="2:21" x14ac:dyDescent="0.25">
      <c r="L55" s="12" t="s">
        <v>16</v>
      </c>
      <c r="M55" s="13"/>
      <c r="N55" s="13"/>
      <c r="O55" s="13"/>
      <c r="P55" s="13"/>
      <c r="Q55" s="13"/>
      <c r="R55" s="13"/>
      <c r="S55" s="13"/>
      <c r="T55" s="13"/>
      <c r="U55" s="13"/>
    </row>
    <row r="56" spans="2:21" x14ac:dyDescent="0.25">
      <c r="L56" s="70" t="s">
        <v>218</v>
      </c>
    </row>
    <row r="57" spans="2:21" x14ac:dyDescent="0.25">
      <c r="L57" s="14" t="s">
        <v>219</v>
      </c>
      <c r="M57" s="14"/>
      <c r="N57" s="14"/>
      <c r="O57" s="14"/>
      <c r="P57" s="14"/>
      <c r="Q57" s="14"/>
      <c r="R57" s="14"/>
      <c r="S57" s="14"/>
      <c r="T57" s="14"/>
      <c r="U57" s="14"/>
    </row>
    <row r="58" spans="2:21" x14ac:dyDescent="0.25">
      <c r="L58" s="14"/>
      <c r="M58" s="14"/>
      <c r="N58" s="14"/>
      <c r="O58" s="14"/>
      <c r="P58" s="14"/>
      <c r="Q58" s="14"/>
      <c r="R58" s="14"/>
      <c r="S58" s="14"/>
      <c r="T58" s="14"/>
      <c r="U58" s="14"/>
    </row>
    <row r="59" spans="2:21" x14ac:dyDescent="0.25">
      <c r="L59" s="70" t="s">
        <v>220</v>
      </c>
    </row>
    <row r="60" spans="2:21" x14ac:dyDescent="0.25">
      <c r="L60" s="13" t="s">
        <v>221</v>
      </c>
    </row>
    <row r="61" spans="2:21" x14ac:dyDescent="0.25">
      <c r="L61" s="70" t="s">
        <v>222</v>
      </c>
      <c r="M61" s="13"/>
      <c r="N61" s="13"/>
      <c r="O61" s="13"/>
      <c r="P61" s="13"/>
      <c r="Q61" s="13"/>
      <c r="R61" s="13"/>
      <c r="S61" s="13"/>
      <c r="T61" s="13"/>
      <c r="U61" s="13"/>
    </row>
    <row r="62" spans="2:21" x14ac:dyDescent="0.25">
      <c r="L62" s="13" t="s">
        <v>223</v>
      </c>
    </row>
    <row r="63" spans="2:21" x14ac:dyDescent="0.25">
      <c r="L63" s="14" t="s">
        <v>224</v>
      </c>
      <c r="M63" s="14"/>
      <c r="N63" s="14"/>
      <c r="O63" s="14"/>
      <c r="P63" s="14"/>
      <c r="Q63" s="14"/>
      <c r="R63" s="14"/>
      <c r="S63" s="14"/>
      <c r="T63" s="14"/>
      <c r="U63" s="14"/>
    </row>
    <row r="64" spans="2:21" x14ac:dyDescent="0.25">
      <c r="L64" s="14"/>
      <c r="M64" s="14"/>
      <c r="N64" s="14"/>
      <c r="O64" s="14"/>
      <c r="P64" s="14"/>
      <c r="Q64" s="14"/>
      <c r="R64" s="14"/>
      <c r="S64" s="14"/>
      <c r="T64" s="14"/>
      <c r="U64" s="14"/>
    </row>
    <row r="66" spans="12:21" x14ac:dyDescent="0.25">
      <c r="L66" s="16"/>
      <c r="M66" s="16"/>
      <c r="N66" s="16"/>
      <c r="O66" s="16"/>
      <c r="P66" s="16"/>
      <c r="Q66" s="16"/>
      <c r="R66" s="16"/>
      <c r="S66" s="16"/>
      <c r="T66" s="16"/>
      <c r="U66" s="16"/>
    </row>
    <row r="67" spans="12:21" x14ac:dyDescent="0.25">
      <c r="L67" s="16"/>
      <c r="M67" s="16"/>
      <c r="N67" s="16"/>
      <c r="O67" s="16"/>
      <c r="P67" s="16"/>
      <c r="Q67" s="16"/>
      <c r="R67" s="16"/>
      <c r="S67" s="16"/>
      <c r="T67" s="16"/>
      <c r="U67" s="16"/>
    </row>
    <row r="68" spans="12:21" x14ac:dyDescent="0.25">
      <c r="L68" s="16"/>
      <c r="M68" s="16"/>
      <c r="N68" s="16"/>
      <c r="O68" s="16"/>
      <c r="P68" s="16"/>
      <c r="Q68" s="16"/>
      <c r="R68" s="16"/>
      <c r="S68" s="16"/>
      <c r="T68" s="16"/>
      <c r="U68" s="16"/>
    </row>
  </sheetData>
  <mergeCells count="6">
    <mergeCell ref="L6:U24"/>
    <mergeCell ref="L43:U45"/>
    <mergeCell ref="L47:U49"/>
    <mergeCell ref="L52:U53"/>
    <mergeCell ref="L57:U58"/>
    <mergeCell ref="L63:U6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2268-15CA-489C-8B99-50FA65FDB431}">
  <dimension ref="B1:U59"/>
  <sheetViews>
    <sheetView workbookViewId="0">
      <selection activeCell="B24" sqref="B24:J47"/>
    </sheetView>
  </sheetViews>
  <sheetFormatPr defaultRowHeight="15" x14ac:dyDescent="0.25"/>
  <cols>
    <col min="12" max="21" width="12.7109375" style="1" customWidth="1"/>
  </cols>
  <sheetData>
    <row r="1" spans="12:21" x14ac:dyDescent="0.25">
      <c r="O1" s="2"/>
      <c r="P1" s="2"/>
      <c r="Q1" s="2"/>
      <c r="R1" s="2"/>
      <c r="S1" s="2"/>
      <c r="T1" s="2"/>
      <c r="U1" s="2"/>
    </row>
    <row r="2" spans="12:21" ht="21.75" thickBot="1" x14ac:dyDescent="0.3">
      <c r="L2" s="71"/>
      <c r="M2" s="71"/>
      <c r="N2" s="72"/>
      <c r="O2" s="5"/>
      <c r="P2" s="5"/>
      <c r="Q2" s="5"/>
      <c r="R2" s="6" t="str">
        <f>"ESG INTERNO: "&amp;Z16&amp;IF(OR(Z16="NA",Z16=""),"","(")&amp;Z15&amp;IF(OR(Z16="NA",Z16=""),"",")")</f>
        <v xml:space="preserve">ESG INTERNO: </v>
      </c>
      <c r="S2" s="7"/>
      <c r="T2" s="5"/>
      <c r="U2" s="6" t="str">
        <f>"MSCI ESG: "&amp;Z19&amp;IF(Z19="NA","","(")&amp;Z18&amp;IF(Z19="NA","",")")</f>
        <v>MSCI ESG: ()</v>
      </c>
    </row>
    <row r="4" spans="12:21" ht="18" x14ac:dyDescent="0.25">
      <c r="L4" s="73" t="s">
        <v>0</v>
      </c>
      <c r="M4" s="24"/>
      <c r="N4" s="24"/>
      <c r="O4" s="24"/>
      <c r="P4" s="24"/>
      <c r="Q4" s="24"/>
      <c r="R4" s="24"/>
      <c r="S4" s="24"/>
      <c r="T4" s="24"/>
      <c r="U4" s="24"/>
    </row>
    <row r="5" spans="12:21" x14ac:dyDescent="0.25">
      <c r="L5" s="74"/>
      <c r="M5" s="74"/>
      <c r="N5" s="74"/>
      <c r="O5" s="74"/>
      <c r="P5" s="74"/>
      <c r="Q5" s="74"/>
      <c r="R5" s="74"/>
      <c r="S5" s="74"/>
      <c r="T5" s="74"/>
      <c r="U5" s="74"/>
    </row>
    <row r="6" spans="12:21" x14ac:dyDescent="0.25">
      <c r="L6" s="11" t="s">
        <v>225</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x14ac:dyDescent="0.25">
      <c r="L23" s="11"/>
      <c r="M23" s="11"/>
      <c r="N23" s="11"/>
      <c r="O23" s="11"/>
      <c r="P23" s="11"/>
      <c r="Q23" s="11"/>
      <c r="R23" s="11"/>
      <c r="S23" s="11"/>
      <c r="T23" s="11"/>
      <c r="U23" s="11"/>
    </row>
    <row r="24" spans="2:21" x14ac:dyDescent="0.25">
      <c r="B24" s="1"/>
      <c r="C24" s="1"/>
      <c r="D24" s="20" t="s">
        <v>36</v>
      </c>
      <c r="E24" s="21"/>
      <c r="F24" s="21"/>
      <c r="G24" s="22"/>
      <c r="H24" s="23" t="s">
        <v>37</v>
      </c>
      <c r="I24" s="21"/>
      <c r="J24" s="21"/>
      <c r="L24" s="11"/>
      <c r="M24" s="11"/>
      <c r="N24" s="11"/>
      <c r="O24" s="11"/>
      <c r="P24" s="11"/>
      <c r="Q24" s="11"/>
      <c r="R24" s="11"/>
      <c r="S24" s="11"/>
      <c r="T24" s="11"/>
      <c r="U24" s="11"/>
    </row>
    <row r="25" spans="2:21" x14ac:dyDescent="0.25">
      <c r="B25" s="24"/>
      <c r="C25" s="24"/>
      <c r="D25" s="25">
        <v>44926</v>
      </c>
      <c r="E25" s="25">
        <v>45291</v>
      </c>
      <c r="F25" s="25">
        <v>45657</v>
      </c>
      <c r="G25" s="26">
        <v>46022</v>
      </c>
      <c r="H25" s="27">
        <v>45747</v>
      </c>
      <c r="I25" s="26">
        <v>46112</v>
      </c>
      <c r="J25" s="28" t="s">
        <v>38</v>
      </c>
      <c r="L25" s="11"/>
      <c r="M25" s="11"/>
      <c r="N25" s="11"/>
      <c r="O25" s="11"/>
      <c r="P25" s="11"/>
      <c r="Q25" s="11"/>
      <c r="R25" s="11"/>
      <c r="S25" s="11"/>
      <c r="T25" s="11"/>
      <c r="U25" s="11"/>
    </row>
    <row r="26" spans="2:21" x14ac:dyDescent="0.25">
      <c r="B26" s="8" t="s">
        <v>180</v>
      </c>
      <c r="C26" s="8"/>
      <c r="D26" s="62">
        <v>16.779</v>
      </c>
      <c r="E26" s="62">
        <v>36.042999999999999</v>
      </c>
      <c r="F26" s="62">
        <v>26.266999999999999</v>
      </c>
      <c r="G26" s="63">
        <v>23.901</v>
      </c>
      <c r="H26" s="64">
        <v>45.235999999999997</v>
      </c>
      <c r="I26" s="63">
        <v>21.280999999999999</v>
      </c>
      <c r="J26" s="32">
        <v>-0.52955610575647716</v>
      </c>
      <c r="L26" s="11"/>
      <c r="M26" s="11"/>
      <c r="N26" s="11"/>
      <c r="O26" s="11"/>
      <c r="P26" s="11"/>
      <c r="Q26" s="11"/>
      <c r="R26" s="11"/>
      <c r="S26" s="11"/>
      <c r="T26" s="11"/>
      <c r="U26" s="11"/>
    </row>
    <row r="27" spans="2:21" x14ac:dyDescent="0.25">
      <c r="B27" s="40" t="s">
        <v>181</v>
      </c>
      <c r="C27" s="33"/>
      <c r="D27" s="33">
        <v>0.76940200000000003</v>
      </c>
      <c r="E27" s="33">
        <v>0.64374700000000007</v>
      </c>
      <c r="F27" s="33">
        <v>0.7550960000000001</v>
      </c>
      <c r="G27" s="47">
        <v>0.77139499999999994</v>
      </c>
      <c r="H27" s="48">
        <v>0.76259900000000003</v>
      </c>
      <c r="I27" s="47">
        <v>0.79117900000000008</v>
      </c>
      <c r="J27" s="32">
        <v>3.7477101333728502E-2</v>
      </c>
      <c r="L27" s="12" t="s">
        <v>2</v>
      </c>
      <c r="M27" s="68"/>
      <c r="N27" s="68"/>
      <c r="O27" s="68"/>
      <c r="P27" s="68"/>
      <c r="Q27" s="68"/>
      <c r="R27" s="68"/>
      <c r="S27" s="68"/>
      <c r="T27" s="68"/>
      <c r="U27" s="68"/>
    </row>
    <row r="28" spans="2:21" x14ac:dyDescent="0.25">
      <c r="B28" s="40" t="s">
        <v>182</v>
      </c>
      <c r="C28" s="33"/>
      <c r="D28" s="33">
        <v>0.59279000000000004</v>
      </c>
      <c r="E28" s="33">
        <v>0.367481</v>
      </c>
      <c r="F28" s="33">
        <v>0.44196399999999997</v>
      </c>
      <c r="G28" s="47">
        <v>0.47081800000000001</v>
      </c>
      <c r="H28" s="48">
        <v>0.45189500000000005</v>
      </c>
      <c r="I28" s="47">
        <v>0.52526200000000001</v>
      </c>
      <c r="J28" s="32">
        <v>0.16235408667942774</v>
      </c>
      <c r="L28" s="13" t="s">
        <v>226</v>
      </c>
      <c r="M28" s="68"/>
      <c r="N28" s="68"/>
      <c r="O28" s="68"/>
      <c r="P28" s="68"/>
      <c r="Q28" s="68"/>
      <c r="R28" s="68"/>
      <c r="S28" s="68"/>
      <c r="T28" s="68"/>
      <c r="U28" s="68"/>
    </row>
    <row r="29" spans="2:21" x14ac:dyDescent="0.25">
      <c r="B29" s="40" t="s">
        <v>183</v>
      </c>
      <c r="C29" s="33"/>
      <c r="D29" s="33">
        <v>0.70980399999999999</v>
      </c>
      <c r="E29" s="33">
        <v>0.58790300000000006</v>
      </c>
      <c r="F29" s="33">
        <v>0.69</v>
      </c>
      <c r="G29" s="47">
        <v>0.71448999999999996</v>
      </c>
      <c r="H29" s="48">
        <v>0.69833299999999998</v>
      </c>
      <c r="I29" s="47">
        <v>0.74138499999999996</v>
      </c>
      <c r="J29" s="32">
        <v>6.1649671431823982E-2</v>
      </c>
      <c r="L29" s="75" t="s">
        <v>227</v>
      </c>
      <c r="M29" s="16"/>
      <c r="N29" s="16"/>
      <c r="O29" s="16"/>
      <c r="P29" s="16"/>
      <c r="Q29" s="16"/>
      <c r="R29" s="16"/>
      <c r="S29" s="16"/>
      <c r="T29" s="16"/>
      <c r="U29" s="16"/>
    </row>
    <row r="30" spans="2:21" x14ac:dyDescent="0.25">
      <c r="B30" s="40" t="s">
        <v>184</v>
      </c>
      <c r="C30" s="33"/>
      <c r="D30" s="33">
        <v>0.26654</v>
      </c>
      <c r="E30" s="33">
        <v>0.28784300000000002</v>
      </c>
      <c r="F30" s="33">
        <v>-0.36667</v>
      </c>
      <c r="G30" s="47">
        <v>0.32103700000000002</v>
      </c>
      <c r="H30" s="48">
        <v>-0.316577</v>
      </c>
      <c r="I30" s="47">
        <v>0.296904</v>
      </c>
      <c r="J30" s="32">
        <v>-1.9378571406008649</v>
      </c>
      <c r="L30" s="13" t="s">
        <v>228</v>
      </c>
      <c r="M30" s="16"/>
      <c r="N30" s="16"/>
      <c r="O30" s="16"/>
      <c r="P30" s="16"/>
      <c r="Q30" s="16"/>
      <c r="R30" s="16"/>
      <c r="S30" s="16"/>
      <c r="T30" s="16"/>
      <c r="U30" s="16"/>
    </row>
    <row r="31" spans="2:21" x14ac:dyDescent="0.25">
      <c r="B31" s="34" t="s">
        <v>185</v>
      </c>
      <c r="C31" s="35"/>
      <c r="D31" s="35">
        <v>0.42855200000000004</v>
      </c>
      <c r="E31" s="35">
        <v>0.14959899999999998</v>
      </c>
      <c r="F31" s="35">
        <v>0.29419600000000001</v>
      </c>
      <c r="G31" s="49">
        <v>0.401474</v>
      </c>
      <c r="H31" s="50">
        <v>0.28744399999999998</v>
      </c>
      <c r="I31" s="49">
        <v>0.21047000000000002</v>
      </c>
      <c r="J31" s="39">
        <v>-0.26778781258262463</v>
      </c>
      <c r="L31" s="13" t="s">
        <v>229</v>
      </c>
      <c r="M31" s="13"/>
      <c r="N31" s="13"/>
      <c r="O31" s="13"/>
      <c r="P31" s="13"/>
      <c r="Q31" s="13"/>
      <c r="R31" s="13"/>
      <c r="S31" s="13"/>
      <c r="T31" s="13"/>
      <c r="U31" s="13"/>
    </row>
    <row r="32" spans="2:21" x14ac:dyDescent="0.25">
      <c r="B32" s="40" t="s">
        <v>186</v>
      </c>
      <c r="C32" s="8"/>
      <c r="D32" s="43">
        <v>3.4346010214375791</v>
      </c>
      <c r="E32" s="43">
        <v>2.3347508161172383</v>
      </c>
      <c r="F32" s="43">
        <v>3.0113430097792677</v>
      </c>
      <c r="G32" s="52">
        <v>2.8892099630875441</v>
      </c>
      <c r="H32" s="61">
        <v>2.916875295054302</v>
      </c>
      <c r="I32" s="52">
        <v>2.8519192704239971</v>
      </c>
      <c r="J32" s="32">
        <v>-2.2269044117326775E-2</v>
      </c>
      <c r="L32" s="13" t="s">
        <v>230</v>
      </c>
      <c r="M32" s="68"/>
      <c r="N32" s="68"/>
      <c r="O32" s="68"/>
      <c r="P32" s="68"/>
      <c r="Q32" s="68"/>
      <c r="R32" s="68"/>
      <c r="S32" s="68"/>
      <c r="T32" s="68"/>
      <c r="U32" s="68"/>
    </row>
    <row r="33" spans="2:21" x14ac:dyDescent="0.25">
      <c r="B33" s="40" t="s">
        <v>187</v>
      </c>
      <c r="C33" s="8"/>
      <c r="D33" s="43">
        <v>3.6009600000000002</v>
      </c>
      <c r="E33" s="43">
        <v>3.1777700000000002</v>
      </c>
      <c r="F33" s="43">
        <v>3.36842</v>
      </c>
      <c r="G33" s="52">
        <v>3.2824300000000002</v>
      </c>
      <c r="H33" s="61">
        <v>3.4662099999999998</v>
      </c>
      <c r="I33" s="52">
        <v>3.7847200000000001</v>
      </c>
      <c r="J33" s="32">
        <v>9.1889989354366985E-2</v>
      </c>
      <c r="L33" s="13" t="s">
        <v>231</v>
      </c>
    </row>
    <row r="34" spans="2:21" x14ac:dyDescent="0.25">
      <c r="B34" s="40" t="s">
        <v>188</v>
      </c>
      <c r="C34" s="8"/>
      <c r="D34" s="43">
        <v>3.4226399999999999</v>
      </c>
      <c r="E34" s="43">
        <v>2.7592099999999999</v>
      </c>
      <c r="F34" s="43">
        <v>2.97614</v>
      </c>
      <c r="G34" s="52">
        <v>2.8865099999999999</v>
      </c>
      <c r="H34" s="61">
        <v>3.1154700000000002</v>
      </c>
      <c r="I34" s="52">
        <v>3.35833</v>
      </c>
      <c r="J34" s="32">
        <v>7.795292524081443E-2</v>
      </c>
      <c r="L34" s="13" t="s">
        <v>232</v>
      </c>
      <c r="M34" s="13"/>
      <c r="N34" s="13"/>
      <c r="O34" s="13"/>
      <c r="P34" s="13"/>
      <c r="Q34" s="13"/>
      <c r="R34" s="13"/>
      <c r="S34" s="13"/>
      <c r="T34" s="13"/>
      <c r="U34" s="13"/>
    </row>
    <row r="35" spans="2:21" x14ac:dyDescent="0.25">
      <c r="B35" s="40" t="s">
        <v>189</v>
      </c>
      <c r="C35" s="8"/>
      <c r="D35" s="43">
        <v>4.7147600000000001</v>
      </c>
      <c r="E35" s="43">
        <v>5.3522699999999999</v>
      </c>
      <c r="F35" s="43">
        <v>5.0421199999999997</v>
      </c>
      <c r="G35" s="52">
        <v>4.7212300000000003</v>
      </c>
      <c r="H35" s="61">
        <v>4.9150099999999997</v>
      </c>
      <c r="I35" s="52">
        <v>3.9720300000000002</v>
      </c>
      <c r="J35" s="32">
        <v>-0.19185718848995215</v>
      </c>
      <c r="L35" s="13" t="s">
        <v>233</v>
      </c>
      <c r="M35" s="13"/>
      <c r="N35" s="13"/>
      <c r="O35" s="13"/>
      <c r="P35" s="13"/>
      <c r="Q35" s="13"/>
      <c r="R35" s="13"/>
      <c r="S35" s="13"/>
      <c r="T35" s="13"/>
      <c r="U35" s="13"/>
    </row>
    <row r="36" spans="2:21" x14ac:dyDescent="0.25">
      <c r="B36" s="40" t="s">
        <v>190</v>
      </c>
      <c r="C36" s="8"/>
      <c r="D36" s="43">
        <v>4.4947699999999999</v>
      </c>
      <c r="E36" s="43">
        <v>4.8177099999999999</v>
      </c>
      <c r="F36" s="43">
        <v>4.6758100000000002</v>
      </c>
      <c r="G36" s="52">
        <v>4.4208299999999996</v>
      </c>
      <c r="H36" s="61">
        <v>4.3004300000000004</v>
      </c>
      <c r="I36" s="52">
        <v>3.74708</v>
      </c>
      <c r="J36" s="32">
        <v>-0.12867317919370858</v>
      </c>
      <c r="L36" s="13" t="s">
        <v>234</v>
      </c>
      <c r="M36" s="13"/>
      <c r="N36" s="13"/>
      <c r="O36" s="13"/>
      <c r="P36" s="13"/>
      <c r="Q36" s="13"/>
      <c r="R36" s="13"/>
      <c r="S36" s="13"/>
      <c r="T36" s="13"/>
      <c r="U36" s="13"/>
    </row>
    <row r="37" spans="2:21" x14ac:dyDescent="0.25">
      <c r="B37" s="40" t="s">
        <v>191</v>
      </c>
      <c r="C37" s="8"/>
      <c r="D37" s="43">
        <v>4.9603999999999999</v>
      </c>
      <c r="E37" s="43">
        <v>6.16418</v>
      </c>
      <c r="F37" s="43">
        <v>5.7067199999999998</v>
      </c>
      <c r="G37" s="52">
        <v>5.3687899999999997</v>
      </c>
      <c r="H37" s="61">
        <v>5.4683400000000004</v>
      </c>
      <c r="I37" s="52">
        <v>4.4763400000000004</v>
      </c>
      <c r="J37" s="32">
        <v>-0.18140788612266245</v>
      </c>
      <c r="L37" s="13" t="s">
        <v>235</v>
      </c>
      <c r="M37" s="13"/>
      <c r="N37" s="13"/>
      <c r="O37" s="13"/>
      <c r="P37" s="13"/>
      <c r="Q37" s="13"/>
      <c r="R37" s="13"/>
      <c r="S37" s="13"/>
      <c r="T37" s="13"/>
      <c r="U37" s="13"/>
    </row>
    <row r="38" spans="2:21" x14ac:dyDescent="0.25">
      <c r="B38" s="34" t="s">
        <v>192</v>
      </c>
      <c r="C38" s="53"/>
      <c r="D38" s="53">
        <v>4.7289500000000002</v>
      </c>
      <c r="E38" s="53">
        <v>5.54854</v>
      </c>
      <c r="F38" s="53">
        <v>5.2921300000000002</v>
      </c>
      <c r="G38" s="54">
        <v>5.0271999999999997</v>
      </c>
      <c r="H38" s="55">
        <v>4.7845700000000004</v>
      </c>
      <c r="I38" s="54">
        <v>4.2228300000000001</v>
      </c>
      <c r="J38" s="39">
        <v>-0.11740657990164227</v>
      </c>
      <c r="L38" s="13" t="s">
        <v>236</v>
      </c>
    </row>
    <row r="39" spans="2:21" x14ac:dyDescent="0.25">
      <c r="B39" s="8" t="s">
        <v>193</v>
      </c>
      <c r="C39" s="43"/>
      <c r="D39" s="62">
        <v>58.754420000000003</v>
      </c>
      <c r="E39" s="62">
        <v>61.901449999999997</v>
      </c>
      <c r="F39" s="62">
        <v>78.693659999999994</v>
      </c>
      <c r="G39" s="63">
        <v>73.84863</v>
      </c>
      <c r="H39" s="64">
        <v>70.114310000000003</v>
      </c>
      <c r="I39" s="63">
        <v>84.336539999999999</v>
      </c>
      <c r="J39" s="32">
        <v>0.20284347089773824</v>
      </c>
      <c r="L39" s="59" t="s">
        <v>237</v>
      </c>
      <c r="M39" s="59"/>
      <c r="N39" s="59"/>
      <c r="O39" s="59"/>
      <c r="P39" s="59"/>
      <c r="Q39" s="59"/>
      <c r="R39" s="59"/>
      <c r="S39" s="59"/>
      <c r="T39" s="59"/>
      <c r="U39" s="59"/>
    </row>
    <row r="40" spans="2:21" x14ac:dyDescent="0.25">
      <c r="B40" s="8" t="s">
        <v>194</v>
      </c>
      <c r="C40" s="43"/>
      <c r="D40" s="62">
        <v>100.39727000000001</v>
      </c>
      <c r="E40" s="62">
        <v>60.980919999999998</v>
      </c>
      <c r="F40" s="62">
        <v>76.784239999999997</v>
      </c>
      <c r="G40" s="63">
        <v>69.150710000000004</v>
      </c>
      <c r="H40" s="64">
        <v>59.920960000000001</v>
      </c>
      <c r="I40" s="63">
        <v>57.419249999999998</v>
      </c>
      <c r="J40" s="32">
        <v>-4.1750165551419749E-2</v>
      </c>
      <c r="L40" s="59"/>
      <c r="M40" s="59"/>
      <c r="N40" s="59"/>
      <c r="O40" s="59"/>
      <c r="P40" s="59"/>
      <c r="Q40" s="59"/>
      <c r="R40" s="59"/>
      <c r="S40" s="59"/>
      <c r="T40" s="59"/>
      <c r="U40" s="59"/>
    </row>
    <row r="41" spans="2:21" x14ac:dyDescent="0.25">
      <c r="B41" s="8" t="s">
        <v>195</v>
      </c>
      <c r="C41" s="43"/>
      <c r="D41" s="62">
        <v>22.993179999999999</v>
      </c>
      <c r="E41" s="62">
        <v>17.895589999999999</v>
      </c>
      <c r="F41" s="62">
        <v>34.941650000000003</v>
      </c>
      <c r="G41" s="63">
        <v>38.724679999999999</v>
      </c>
      <c r="H41" s="64">
        <v>35.661230000000003</v>
      </c>
      <c r="I41" s="63">
        <v>37.753050000000002</v>
      </c>
      <c r="J41" s="32">
        <v>5.8658100127225055E-2</v>
      </c>
      <c r="L41" s="59" t="s">
        <v>238</v>
      </c>
      <c r="M41" s="59"/>
      <c r="N41" s="59"/>
      <c r="O41" s="59"/>
      <c r="P41" s="59"/>
      <c r="Q41" s="59"/>
      <c r="R41" s="59"/>
      <c r="S41" s="59"/>
      <c r="T41" s="59"/>
      <c r="U41" s="59"/>
    </row>
    <row r="42" spans="2:21" x14ac:dyDescent="0.25">
      <c r="B42" s="40" t="s">
        <v>196</v>
      </c>
      <c r="C42" s="43"/>
      <c r="D42" s="43">
        <v>1.6258600000000001</v>
      </c>
      <c r="E42" s="43">
        <v>3.68255</v>
      </c>
      <c r="F42" s="43">
        <v>3.2862399999999998</v>
      </c>
      <c r="G42" s="52">
        <v>2.0272700000000001</v>
      </c>
      <c r="H42" s="61">
        <v>4.0259200000000002</v>
      </c>
      <c r="I42" s="52">
        <v>3.8492000000000002</v>
      </c>
      <c r="J42" s="32">
        <v>-4.3895556791987866E-2</v>
      </c>
      <c r="L42" s="59"/>
      <c r="M42" s="59"/>
      <c r="N42" s="59"/>
      <c r="O42" s="59"/>
      <c r="P42" s="59"/>
      <c r="Q42" s="59"/>
      <c r="R42" s="59"/>
      <c r="S42" s="59"/>
      <c r="T42" s="59"/>
      <c r="U42" s="59"/>
    </row>
    <row r="43" spans="2:21" x14ac:dyDescent="0.25">
      <c r="B43" s="40" t="s">
        <v>197</v>
      </c>
      <c r="C43" s="43"/>
      <c r="D43" s="43">
        <v>1.5166299999999999</v>
      </c>
      <c r="E43" s="43">
        <v>3.3864900000000002</v>
      </c>
      <c r="F43" s="43">
        <v>2.9702700000000002</v>
      </c>
      <c r="G43" s="52">
        <v>1.8182400000000001</v>
      </c>
      <c r="H43" s="61">
        <v>3.7387199999999998</v>
      </c>
      <c r="I43" s="52">
        <v>3.5291399999999999</v>
      </c>
      <c r="J43" s="32">
        <v>-5.605661830787001E-2</v>
      </c>
      <c r="L43" s="59"/>
      <c r="M43" s="59"/>
      <c r="N43" s="59"/>
      <c r="O43" s="59"/>
      <c r="P43" s="59"/>
      <c r="Q43" s="59"/>
      <c r="R43" s="59"/>
      <c r="S43" s="59"/>
      <c r="T43" s="59"/>
      <c r="U43" s="59"/>
    </row>
    <row r="44" spans="2:21" x14ac:dyDescent="0.25">
      <c r="B44" s="34" t="s">
        <v>198</v>
      </c>
      <c r="C44" s="44"/>
      <c r="D44" s="44">
        <v>-18.64968</v>
      </c>
      <c r="E44" s="44">
        <v>18.816120000000002</v>
      </c>
      <c r="F44" s="44">
        <v>36.851080000000003</v>
      </c>
      <c r="G44" s="65">
        <v>43.42259</v>
      </c>
      <c r="H44" s="66">
        <v>45.854590000000002</v>
      </c>
      <c r="I44" s="65">
        <v>64.670339999999996</v>
      </c>
      <c r="J44" s="39">
        <v>0.41033514856418929</v>
      </c>
      <c r="L44" s="16"/>
      <c r="M44" s="16"/>
      <c r="N44" s="16"/>
      <c r="O44" s="16"/>
      <c r="P44" s="16"/>
      <c r="Q44" s="16"/>
      <c r="R44" s="16"/>
      <c r="S44" s="16"/>
      <c r="T44" s="16"/>
      <c r="U44" s="16"/>
    </row>
    <row r="45" spans="2:21" x14ac:dyDescent="0.25">
      <c r="B45" s="40" t="s">
        <v>70</v>
      </c>
      <c r="C45" s="33"/>
      <c r="D45" s="33">
        <v>3.7959E-2</v>
      </c>
      <c r="E45" s="33">
        <v>2.2048999999999999E-2</v>
      </c>
      <c r="F45" s="33">
        <v>2.4636000000000002E-2</v>
      </c>
      <c r="G45" s="47">
        <v>2.9169999999999998E-2</v>
      </c>
      <c r="H45" s="48">
        <v>2.5285000000000002E-2</v>
      </c>
      <c r="I45" s="47">
        <v>3.7131999999999998E-2</v>
      </c>
      <c r="J45" s="32">
        <v>0.4685386592841605</v>
      </c>
      <c r="L45" s="76" t="s">
        <v>16</v>
      </c>
      <c r="M45" s="76"/>
      <c r="N45" s="76"/>
      <c r="O45" s="76"/>
      <c r="P45" s="76"/>
      <c r="Q45" s="76"/>
      <c r="R45" s="76"/>
      <c r="S45" s="76"/>
      <c r="T45" s="76"/>
      <c r="U45" s="76"/>
    </row>
    <row r="46" spans="2:21" x14ac:dyDescent="0.25">
      <c r="B46" s="40" t="s">
        <v>199</v>
      </c>
      <c r="C46" s="33"/>
      <c r="D46" s="33">
        <v>3.8904999999999995E-2</v>
      </c>
      <c r="E46" s="33">
        <v>2.2509000000000001E-2</v>
      </c>
      <c r="F46" s="33">
        <v>2.5097000000000001E-2</v>
      </c>
      <c r="G46" s="47">
        <v>2.9845E-2</v>
      </c>
      <c r="H46" s="48">
        <v>2.5784999999999999E-2</v>
      </c>
      <c r="I46" s="47">
        <v>3.7853999999999999E-2</v>
      </c>
      <c r="J46" s="32">
        <v>0.46806282722513082</v>
      </c>
      <c r="L46" s="77" t="s">
        <v>239</v>
      </c>
      <c r="M46" s="77"/>
      <c r="N46" s="77"/>
      <c r="O46" s="77"/>
      <c r="P46" s="77"/>
      <c r="Q46" s="77"/>
      <c r="R46" s="77"/>
      <c r="S46" s="77"/>
      <c r="T46" s="77"/>
      <c r="U46" s="77"/>
    </row>
    <row r="47" spans="2:21" x14ac:dyDescent="0.25">
      <c r="B47" s="34" t="s">
        <v>66</v>
      </c>
      <c r="C47" s="35"/>
      <c r="D47" s="35">
        <v>4.3899000000000001E-2</v>
      </c>
      <c r="E47" s="35">
        <v>4.0795999999999999E-2</v>
      </c>
      <c r="F47" s="35">
        <v>-4.8730999999999997E-2</v>
      </c>
      <c r="G47" s="49">
        <v>4.9075000000000001E-2</v>
      </c>
      <c r="H47" s="50">
        <v>-4.2106999999999999E-2</v>
      </c>
      <c r="I47" s="49">
        <v>5.1397000000000005E-2</v>
      </c>
      <c r="J47" s="39">
        <v>-2.2206283990785383</v>
      </c>
      <c r="L47" s="77" t="s">
        <v>240</v>
      </c>
      <c r="M47" s="77"/>
      <c r="N47" s="77"/>
      <c r="O47" s="77"/>
      <c r="P47" s="77"/>
      <c r="Q47" s="77"/>
      <c r="R47" s="77"/>
      <c r="S47" s="77"/>
      <c r="T47" s="77"/>
      <c r="U47" s="77"/>
    </row>
    <row r="48" spans="2:21" x14ac:dyDescent="0.25">
      <c r="L48" s="14" t="s">
        <v>241</v>
      </c>
      <c r="M48" s="14"/>
      <c r="N48" s="14"/>
      <c r="O48" s="14"/>
      <c r="P48" s="14"/>
      <c r="Q48" s="14"/>
      <c r="R48" s="14"/>
      <c r="S48" s="14"/>
      <c r="T48" s="14"/>
      <c r="U48" s="14"/>
    </row>
    <row r="51" spans="12:21" ht="18" x14ac:dyDescent="0.25">
      <c r="L51" s="9" t="s">
        <v>242</v>
      </c>
      <c r="M51" s="10"/>
      <c r="N51" s="10"/>
      <c r="O51" s="10"/>
      <c r="Q51" s="9" t="s">
        <v>243</v>
      </c>
      <c r="R51" s="24"/>
      <c r="S51" s="73"/>
      <c r="T51" s="73"/>
      <c r="U51" s="73"/>
    </row>
    <row r="52" spans="12:21" x14ac:dyDescent="0.25">
      <c r="Q52" s="1" t="s">
        <v>244</v>
      </c>
      <c r="S52" s="78">
        <v>0.99970000000000003</v>
      </c>
    </row>
    <row r="53" spans="12:21" x14ac:dyDescent="0.25">
      <c r="L53" s="79" t="s">
        <v>245</v>
      </c>
      <c r="M53" s="79"/>
      <c r="N53" s="80" t="s">
        <v>246</v>
      </c>
      <c r="O53" s="81" t="s">
        <v>247</v>
      </c>
      <c r="Q53" s="1" t="s">
        <v>248</v>
      </c>
      <c r="S53" s="78">
        <v>2.9999999999999997E-4</v>
      </c>
    </row>
    <row r="54" spans="12:21" x14ac:dyDescent="0.25">
      <c r="L54" s="82">
        <f>$AG$6</f>
        <v>0</v>
      </c>
      <c r="M54" s="82"/>
      <c r="N54" s="83" t="str">
        <f>TEXT($AH$9*10000,"0")&amp;","&amp;TEXT($AI$9*10000,"0")&amp;","&amp;TEXT($AJ$9*10000,"0")</f>
        <v>0,0,0</v>
      </c>
      <c r="O54" s="83" t="str">
        <f>TEXT($AH$29*10000,"0")&amp;","&amp;TEXT($AI$29*10000,"0")&amp;","&amp;TEXT($AJ$29*10000,"0")</f>
        <v>0,0,0</v>
      </c>
    </row>
    <row r="55" spans="12:21" x14ac:dyDescent="0.25">
      <c r="L55" s="82">
        <f>$AB$6</f>
        <v>0</v>
      </c>
      <c r="M55" s="82"/>
      <c r="N55" s="83" t="str">
        <f>TEXT($AC$9*10000,"0")&amp;","&amp;TEXT($AD$9*10000,"0")&amp;","&amp;TEXT($AE$9*10000,"0")</f>
        <v>0,0,0</v>
      </c>
      <c r="O55" s="83" t="str">
        <f>TEXT($AC$29*10000,"0")&amp;","&amp;TEXT($AD$29*10000,"0")&amp;","&amp;TEXT($AE$29*10000,"0")</f>
        <v>0,0,0</v>
      </c>
    </row>
    <row r="57" spans="12:21" x14ac:dyDescent="0.25">
      <c r="L57" s="84" t="s">
        <v>249</v>
      </c>
    </row>
    <row r="58" spans="12:21" x14ac:dyDescent="0.25">
      <c r="L58" s="84" t="s">
        <v>249</v>
      </c>
    </row>
    <row r="59" spans="12:21" x14ac:dyDescent="0.25">
      <c r="L59" s="84" t="s">
        <v>249</v>
      </c>
    </row>
  </sheetData>
  <mergeCells count="6">
    <mergeCell ref="L6:U26"/>
    <mergeCell ref="L39:U40"/>
    <mergeCell ref="L41:U43"/>
    <mergeCell ref="L46:U46"/>
    <mergeCell ref="L47:U47"/>
    <mergeCell ref="L48:U4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CB00-708E-4945-9AC2-63BF6E6F08FE}">
  <dimension ref="B1:U68"/>
  <sheetViews>
    <sheetView zoomScale="85" zoomScaleNormal="85" workbookViewId="0">
      <selection activeCell="D25" sqref="D25:I25"/>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ht="15" customHeight="1" x14ac:dyDescent="0.25">
      <c r="L6" s="11" t="s">
        <v>415</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x14ac:dyDescent="0.25">
      <c r="L23" s="11"/>
      <c r="M23" s="11"/>
      <c r="N23" s="11"/>
      <c r="O23" s="11"/>
      <c r="P23" s="11"/>
      <c r="Q23" s="11"/>
      <c r="R23" s="11"/>
      <c r="S23" s="11"/>
      <c r="T23" s="11"/>
      <c r="U23" s="11"/>
    </row>
    <row r="24" spans="2:21" x14ac:dyDescent="0.25">
      <c r="B24" s="1"/>
      <c r="C24" s="1"/>
      <c r="D24" s="20" t="s">
        <v>36</v>
      </c>
      <c r="E24" s="21"/>
      <c r="F24" s="21"/>
      <c r="G24" s="22"/>
      <c r="H24" s="23" t="s">
        <v>37</v>
      </c>
      <c r="I24" s="21"/>
      <c r="J24" s="21"/>
      <c r="L24" s="11"/>
      <c r="M24" s="11"/>
      <c r="N24" s="11"/>
      <c r="O24" s="11"/>
      <c r="P24" s="11"/>
      <c r="Q24" s="11"/>
      <c r="R24" s="11"/>
      <c r="S24" s="11"/>
      <c r="T24" s="11"/>
      <c r="U24" s="11"/>
    </row>
    <row r="25" spans="2:21" ht="15" customHeight="1" x14ac:dyDescent="0.25">
      <c r="B25" s="24"/>
      <c r="C25" s="24"/>
      <c r="D25" s="25">
        <v>44926</v>
      </c>
      <c r="E25" s="25">
        <v>45291</v>
      </c>
      <c r="F25" s="25">
        <v>45657</v>
      </c>
      <c r="G25" s="26">
        <v>46022</v>
      </c>
      <c r="H25" s="27">
        <v>45747</v>
      </c>
      <c r="I25" s="26">
        <v>46112</v>
      </c>
      <c r="J25" s="28" t="s">
        <v>38</v>
      </c>
      <c r="L25" s="11"/>
      <c r="M25" s="11"/>
      <c r="N25" s="11"/>
      <c r="O25" s="11"/>
      <c r="P25" s="11"/>
      <c r="Q25" s="11"/>
      <c r="R25" s="11"/>
      <c r="S25" s="11"/>
      <c r="T25" s="11"/>
      <c r="U25" s="11"/>
    </row>
    <row r="26" spans="2:21" x14ac:dyDescent="0.25">
      <c r="B26" s="8" t="s">
        <v>39</v>
      </c>
      <c r="C26" s="8"/>
      <c r="D26" s="29">
        <v>13771.48681</v>
      </c>
      <c r="E26" s="29">
        <v>22211.00315</v>
      </c>
      <c r="F26" s="29">
        <v>19417.249660000001</v>
      </c>
      <c r="G26" s="30">
        <v>22498.111540000002</v>
      </c>
      <c r="H26" s="31">
        <v>20461.232970000001</v>
      </c>
      <c r="I26" s="30">
        <v>21330.017690000001</v>
      </c>
      <c r="J26" s="32">
        <v>4.2460037538979201E-2</v>
      </c>
      <c r="L26" s="11"/>
      <c r="M26" s="11"/>
      <c r="N26" s="11"/>
      <c r="O26" s="11"/>
      <c r="P26" s="11"/>
      <c r="Q26" s="11"/>
      <c r="R26" s="11"/>
      <c r="S26" s="11"/>
      <c r="T26" s="11"/>
      <c r="U26" s="11"/>
    </row>
    <row r="27" spans="2:21" x14ac:dyDescent="0.25">
      <c r="B27" s="8" t="s">
        <v>40</v>
      </c>
      <c r="C27" s="33"/>
      <c r="D27" s="29">
        <v>7816.4778900000001</v>
      </c>
      <c r="E27" s="29">
        <v>14670.322120000001</v>
      </c>
      <c r="F27" s="29">
        <v>12779.377409999999</v>
      </c>
      <c r="G27" s="30">
        <v>14356.33671</v>
      </c>
      <c r="H27" s="31">
        <v>13630.21321</v>
      </c>
      <c r="I27" s="30">
        <v>13010.76131</v>
      </c>
      <c r="J27" s="32">
        <v>-4.5446970671414788E-2</v>
      </c>
      <c r="L27" s="11"/>
      <c r="M27" s="11"/>
      <c r="N27" s="11"/>
      <c r="O27" s="11"/>
      <c r="P27" s="11"/>
      <c r="Q27" s="11"/>
      <c r="R27" s="11"/>
      <c r="S27" s="11"/>
      <c r="T27" s="11"/>
      <c r="U27" s="11"/>
    </row>
    <row r="28" spans="2:21" x14ac:dyDescent="0.25">
      <c r="B28" s="8" t="s">
        <v>41</v>
      </c>
      <c r="C28" s="33"/>
      <c r="D28" s="29">
        <v>5955.0089200000002</v>
      </c>
      <c r="E28" s="29">
        <v>7540.6810299999997</v>
      </c>
      <c r="F28" s="29">
        <v>6637.8722600000001</v>
      </c>
      <c r="G28" s="30">
        <v>8141.7748300000003</v>
      </c>
      <c r="H28" s="31">
        <v>6831.0197699999999</v>
      </c>
      <c r="I28" s="30">
        <v>8319.2563800000007</v>
      </c>
      <c r="J28" s="32">
        <v>0.21786448584674512</v>
      </c>
      <c r="L28" s="11"/>
      <c r="M28" s="11"/>
      <c r="N28" s="11"/>
      <c r="O28" s="11"/>
      <c r="P28" s="11"/>
      <c r="Q28" s="11"/>
      <c r="R28" s="11"/>
      <c r="S28" s="11"/>
      <c r="T28" s="11"/>
      <c r="U28" s="11"/>
    </row>
    <row r="29" spans="2:21" x14ac:dyDescent="0.25">
      <c r="B29" s="8" t="s">
        <v>42</v>
      </c>
      <c r="C29" s="33"/>
      <c r="D29" s="29">
        <v>77.719279999999998</v>
      </c>
      <c r="E29" s="29">
        <v>390.57369999999997</v>
      </c>
      <c r="F29" s="29">
        <v>379.31796000000003</v>
      </c>
      <c r="G29" s="30">
        <v>815.63278000000003</v>
      </c>
      <c r="H29" s="31">
        <v>496.19162999999998</v>
      </c>
      <c r="I29" s="30">
        <v>786.81510000000003</v>
      </c>
      <c r="J29" s="32">
        <v>0.58570812651555615</v>
      </c>
      <c r="L29" s="11"/>
      <c r="M29" s="11"/>
      <c r="N29" s="11"/>
      <c r="O29" s="11"/>
      <c r="P29" s="11"/>
      <c r="Q29" s="11"/>
      <c r="R29" s="11"/>
      <c r="S29" s="11"/>
      <c r="T29" s="11"/>
      <c r="U29" s="11"/>
    </row>
    <row r="30" spans="2:21" x14ac:dyDescent="0.25">
      <c r="B30" s="8" t="s">
        <v>43</v>
      </c>
      <c r="C30" s="33"/>
      <c r="D30" s="29">
        <v>609.09150999999997</v>
      </c>
      <c r="E30" s="29">
        <v>942.98440000000005</v>
      </c>
      <c r="F30" s="29">
        <v>869.68623000000002</v>
      </c>
      <c r="G30" s="30">
        <v>1199.17571</v>
      </c>
      <c r="H30" s="31">
        <v>915.07726000000002</v>
      </c>
      <c r="I30" s="30">
        <v>1278.89526</v>
      </c>
      <c r="J30" s="32">
        <v>0.3975817298749178</v>
      </c>
      <c r="L30" s="11"/>
      <c r="M30" s="11"/>
      <c r="N30" s="11"/>
      <c r="O30" s="11"/>
      <c r="P30" s="11"/>
      <c r="Q30" s="11"/>
      <c r="R30" s="11"/>
      <c r="S30" s="11"/>
      <c r="T30" s="11"/>
      <c r="U30" s="11"/>
    </row>
    <row r="31" spans="2:21" x14ac:dyDescent="0.25">
      <c r="B31" s="8" t="s">
        <v>44</v>
      </c>
      <c r="C31" s="8"/>
      <c r="D31" s="29">
        <v>2295.2819800000002</v>
      </c>
      <c r="E31" s="29">
        <v>2873.6713100000002</v>
      </c>
      <c r="F31" s="29">
        <v>2507.7504800000002</v>
      </c>
      <c r="G31" s="30">
        <v>3209.3739</v>
      </c>
      <c r="H31" s="31">
        <v>2627.1114400000001</v>
      </c>
      <c r="I31" s="30">
        <v>3250.9466699999998</v>
      </c>
      <c r="J31" s="32">
        <v>0.23746051290462189</v>
      </c>
      <c r="L31" s="11"/>
      <c r="M31" s="11"/>
      <c r="N31" s="11"/>
      <c r="O31" s="11"/>
      <c r="P31" s="11"/>
      <c r="Q31" s="11"/>
      <c r="R31" s="11"/>
      <c r="S31" s="11"/>
      <c r="T31" s="11"/>
      <c r="U31" s="11"/>
    </row>
    <row r="32" spans="2:21" x14ac:dyDescent="0.25">
      <c r="B32" s="8" t="s">
        <v>45</v>
      </c>
      <c r="C32" s="8"/>
      <c r="D32" s="29">
        <v>3177.8776800000001</v>
      </c>
      <c r="E32" s="29">
        <v>4198.1793100000004</v>
      </c>
      <c r="F32" s="29">
        <v>3721.96146</v>
      </c>
      <c r="G32" s="30">
        <v>4644.6187499999996</v>
      </c>
      <c r="H32" s="31">
        <v>3862.0216099999998</v>
      </c>
      <c r="I32" s="30">
        <v>4669.1962299999996</v>
      </c>
      <c r="J32" s="32">
        <v>0.20900313398298143</v>
      </c>
      <c r="L32" s="11"/>
      <c r="M32" s="11"/>
      <c r="N32" s="11"/>
      <c r="O32" s="11"/>
      <c r="P32" s="11"/>
      <c r="Q32" s="11"/>
      <c r="R32" s="11"/>
      <c r="S32" s="11"/>
      <c r="T32" s="11"/>
      <c r="U32" s="11"/>
    </row>
    <row r="33" spans="2:21" x14ac:dyDescent="0.25">
      <c r="B33" s="8" t="s">
        <v>46</v>
      </c>
      <c r="C33" s="8"/>
      <c r="D33" s="29">
        <v>818.35937999999999</v>
      </c>
      <c r="E33" s="29">
        <v>1054.7796900000001</v>
      </c>
      <c r="F33" s="29">
        <v>937.35302000000001</v>
      </c>
      <c r="G33" s="30">
        <v>1209.3405700000001</v>
      </c>
      <c r="H33" s="31">
        <v>966.70444999999995</v>
      </c>
      <c r="I33" s="30">
        <v>1208.71099</v>
      </c>
      <c r="J33" s="32">
        <v>0.25034180819173857</v>
      </c>
      <c r="L33" s="12" t="s">
        <v>2</v>
      </c>
    </row>
    <row r="34" spans="2:21" x14ac:dyDescent="0.25">
      <c r="B34" s="8" t="s">
        <v>47</v>
      </c>
      <c r="C34" s="8"/>
      <c r="D34" s="29">
        <v>2359.51829</v>
      </c>
      <c r="E34" s="29">
        <v>3143.3996299999999</v>
      </c>
      <c r="F34" s="29">
        <v>2784.6084300000002</v>
      </c>
      <c r="G34" s="30">
        <v>3435.27819</v>
      </c>
      <c r="H34" s="31">
        <v>2895.3171600000001</v>
      </c>
      <c r="I34" s="30">
        <v>3460.48524</v>
      </c>
      <c r="J34" s="32">
        <v>0.19520074961321332</v>
      </c>
      <c r="L34" s="13" t="s">
        <v>416</v>
      </c>
    </row>
    <row r="35" spans="2:21" x14ac:dyDescent="0.25">
      <c r="B35" s="34" t="s">
        <v>48</v>
      </c>
      <c r="C35" s="35"/>
      <c r="D35" s="36">
        <v>2327.8871600000002</v>
      </c>
      <c r="E35" s="36">
        <v>3100.5743400000001</v>
      </c>
      <c r="F35" s="36">
        <v>2696.4976299999998</v>
      </c>
      <c r="G35" s="37">
        <v>3265.4195</v>
      </c>
      <c r="H35" s="38">
        <v>2801.9128900000001</v>
      </c>
      <c r="I35" s="37">
        <v>3270.4309199999998</v>
      </c>
      <c r="J35" s="39">
        <v>0.16721363168431691</v>
      </c>
      <c r="L35" s="13" t="s">
        <v>417</v>
      </c>
      <c r="M35" s="13"/>
      <c r="N35" s="13"/>
      <c r="O35" s="13"/>
      <c r="P35" s="13"/>
      <c r="Q35" s="13"/>
      <c r="R35" s="13"/>
      <c r="S35" s="13"/>
      <c r="T35" s="13"/>
      <c r="U35" s="13"/>
    </row>
    <row r="36" spans="2:21" ht="15" customHeight="1" x14ac:dyDescent="0.25">
      <c r="B36" s="40" t="s">
        <v>49</v>
      </c>
      <c r="C36" s="8"/>
      <c r="D36" s="41">
        <v>1.0482E-2</v>
      </c>
      <c r="E36" s="41">
        <v>1.0156E-2</v>
      </c>
      <c r="F36" s="41">
        <v>9.1050000000000002E-3</v>
      </c>
      <c r="G36" s="42">
        <v>1.3499000000000001E-2</v>
      </c>
      <c r="H36" s="32">
        <v>9.1970000000000003E-3</v>
      </c>
      <c r="I36" s="42">
        <v>1.4232E-2</v>
      </c>
      <c r="J36" s="32" t="s">
        <v>139</v>
      </c>
      <c r="L36" s="14" t="s">
        <v>418</v>
      </c>
      <c r="M36" s="14"/>
      <c r="N36" s="14"/>
      <c r="O36" s="14"/>
      <c r="P36" s="14"/>
      <c r="Q36" s="14"/>
      <c r="R36" s="14"/>
      <c r="S36" s="14"/>
      <c r="T36" s="14"/>
      <c r="U36" s="14"/>
    </row>
    <row r="37" spans="2:21" ht="30" x14ac:dyDescent="0.25">
      <c r="B37" s="40" t="s">
        <v>51</v>
      </c>
      <c r="C37" s="8"/>
      <c r="D37" s="41">
        <v>1.794745</v>
      </c>
      <c r="E37" s="41">
        <v>1.823415</v>
      </c>
      <c r="F37" s="41">
        <v>1.8367640000000001</v>
      </c>
      <c r="G37" s="42">
        <v>1.3508799999999999</v>
      </c>
      <c r="H37" s="32">
        <v>1.8786969999999998</v>
      </c>
      <c r="I37" s="42">
        <v>1.3975880000000001</v>
      </c>
      <c r="J37" s="32" t="s">
        <v>441</v>
      </c>
      <c r="L37" s="14"/>
      <c r="M37" s="14"/>
      <c r="N37" s="14"/>
      <c r="O37" s="14"/>
      <c r="P37" s="14"/>
      <c r="Q37" s="14"/>
      <c r="R37" s="14"/>
      <c r="S37" s="14"/>
      <c r="T37" s="14"/>
      <c r="U37" s="14"/>
    </row>
    <row r="38" spans="2:21" ht="15" customHeight="1" x14ac:dyDescent="0.25">
      <c r="B38" s="40" t="s">
        <v>53</v>
      </c>
      <c r="C38" s="8"/>
      <c r="D38" s="41">
        <v>1.1095440000000001</v>
      </c>
      <c r="E38" s="41">
        <v>1.112025</v>
      </c>
      <c r="F38" s="41">
        <v>0.94498599999999999</v>
      </c>
      <c r="G38" s="42">
        <v>1.0828060000000002</v>
      </c>
      <c r="H38" s="32">
        <v>0</v>
      </c>
      <c r="I38" s="42">
        <v>0</v>
      </c>
      <c r="J38" s="32" t="s">
        <v>54</v>
      </c>
      <c r="L38" s="13" t="s">
        <v>419</v>
      </c>
      <c r="M38" s="13"/>
      <c r="N38" s="13"/>
      <c r="O38" s="13"/>
      <c r="P38" s="13"/>
      <c r="Q38" s="13"/>
      <c r="R38" s="13"/>
      <c r="S38" s="13"/>
      <c r="T38" s="13"/>
      <c r="U38" s="13"/>
    </row>
    <row r="39" spans="2:21" x14ac:dyDescent="0.25">
      <c r="B39" s="8" t="s">
        <v>55</v>
      </c>
      <c r="C39" s="43"/>
      <c r="D39" s="41">
        <v>0.119939</v>
      </c>
      <c r="E39" s="41">
        <v>0.11171499999999999</v>
      </c>
      <c r="F39" s="41">
        <v>0.105089</v>
      </c>
      <c r="G39" s="42">
        <v>9.8324999999999996E-2</v>
      </c>
      <c r="H39" s="32">
        <v>0.106889</v>
      </c>
      <c r="I39" s="42">
        <v>0.10179600000000001</v>
      </c>
      <c r="J39" s="32" t="s">
        <v>442</v>
      </c>
      <c r="L39" s="13" t="s">
        <v>6</v>
      </c>
      <c r="M39" s="13"/>
      <c r="N39" s="13"/>
      <c r="O39" s="13"/>
      <c r="P39" s="13"/>
      <c r="Q39" s="13"/>
      <c r="R39" s="13"/>
      <c r="S39" s="13"/>
      <c r="T39" s="13"/>
      <c r="U39" s="13"/>
    </row>
    <row r="40" spans="2:21" ht="15" customHeight="1" x14ac:dyDescent="0.25">
      <c r="B40" s="8" t="s">
        <v>57</v>
      </c>
      <c r="C40" s="43"/>
      <c r="D40" s="41">
        <v>0.12146800000000001</v>
      </c>
      <c r="E40" s="41">
        <v>0.112369</v>
      </c>
      <c r="F40" s="41">
        <v>0.10485099999999999</v>
      </c>
      <c r="G40" s="42">
        <v>9.8748000000000002E-2</v>
      </c>
      <c r="H40" s="32">
        <v>0.106658</v>
      </c>
      <c r="I40" s="42">
        <v>0.10225400000000001</v>
      </c>
      <c r="J40" s="32" t="s">
        <v>158</v>
      </c>
      <c r="L40" s="13" t="s">
        <v>420</v>
      </c>
      <c r="M40" s="13"/>
      <c r="N40" s="13"/>
      <c r="O40" s="13"/>
      <c r="P40" s="13"/>
      <c r="Q40" s="13"/>
      <c r="R40" s="13"/>
      <c r="S40" s="13"/>
      <c r="T40" s="13"/>
      <c r="U40" s="13"/>
    </row>
    <row r="41" spans="2:21" x14ac:dyDescent="0.25">
      <c r="B41" s="8" t="s">
        <v>58</v>
      </c>
      <c r="C41" s="43"/>
      <c r="D41" s="41">
        <v>1.092921</v>
      </c>
      <c r="E41" s="41">
        <v>1.0626959999999999</v>
      </c>
      <c r="F41" s="41">
        <v>1.1273439999999999</v>
      </c>
      <c r="G41" s="42">
        <v>1.10588</v>
      </c>
      <c r="H41" s="32">
        <v>1.0608649999999999</v>
      </c>
      <c r="I41" s="42">
        <v>1.0659829999999999</v>
      </c>
      <c r="J41" s="32" t="s">
        <v>139</v>
      </c>
      <c r="L41" s="13" t="s">
        <v>421</v>
      </c>
      <c r="M41" s="13"/>
      <c r="N41" s="13"/>
      <c r="O41" s="13"/>
      <c r="P41" s="13"/>
      <c r="Q41" s="13"/>
      <c r="R41" s="13"/>
      <c r="S41" s="13"/>
      <c r="T41" s="13"/>
      <c r="U41" s="13"/>
    </row>
    <row r="42" spans="2:21" x14ac:dyDescent="0.25">
      <c r="B42" s="40" t="s">
        <v>60</v>
      </c>
      <c r="C42" s="43"/>
      <c r="D42" s="41">
        <v>0</v>
      </c>
      <c r="E42" s="41">
        <v>0</v>
      </c>
      <c r="F42" s="41">
        <v>0</v>
      </c>
      <c r="G42" s="42">
        <v>0.1966</v>
      </c>
      <c r="H42" s="32">
        <v>0.14400000000000002</v>
      </c>
      <c r="I42" s="42">
        <v>0.12740000000000001</v>
      </c>
      <c r="J42" s="32" t="s">
        <v>443</v>
      </c>
      <c r="L42" s="13" t="s">
        <v>422</v>
      </c>
      <c r="M42" s="15"/>
      <c r="N42" s="15"/>
      <c r="O42" s="15"/>
      <c r="P42" s="15"/>
      <c r="Q42" s="15"/>
      <c r="R42" s="15"/>
      <c r="S42" s="15"/>
      <c r="T42" s="15"/>
      <c r="U42" s="15"/>
    </row>
    <row r="43" spans="2:21" x14ac:dyDescent="0.25">
      <c r="B43" s="40" t="s">
        <v>62</v>
      </c>
      <c r="C43" s="43"/>
      <c r="D43" s="41">
        <v>0</v>
      </c>
      <c r="E43" s="41">
        <v>0</v>
      </c>
      <c r="F43" s="41">
        <v>0</v>
      </c>
      <c r="G43" s="42">
        <v>0.12609999999999999</v>
      </c>
      <c r="H43" s="32">
        <v>0</v>
      </c>
      <c r="I43" s="42">
        <v>0</v>
      </c>
      <c r="J43" s="32" t="s">
        <v>54</v>
      </c>
      <c r="L43" s="13" t="s">
        <v>6</v>
      </c>
      <c r="M43" s="15"/>
      <c r="N43" s="15"/>
      <c r="O43" s="15"/>
      <c r="P43" s="15"/>
      <c r="Q43" s="15"/>
      <c r="R43" s="15"/>
      <c r="S43" s="15"/>
      <c r="T43" s="15"/>
      <c r="U43" s="15"/>
    </row>
    <row r="44" spans="2:21" x14ac:dyDescent="0.25">
      <c r="B44" s="40" t="s">
        <v>63</v>
      </c>
      <c r="C44" s="43"/>
      <c r="D44" s="41">
        <v>0</v>
      </c>
      <c r="E44" s="41">
        <v>0</v>
      </c>
      <c r="F44" s="41">
        <v>0</v>
      </c>
      <c r="G44" s="42">
        <v>4.0260000000000001E-3</v>
      </c>
      <c r="H44" s="32">
        <v>0</v>
      </c>
      <c r="I44" s="42">
        <v>0</v>
      </c>
      <c r="J44" s="32" t="s">
        <v>54</v>
      </c>
      <c r="L44" s="13" t="s">
        <v>423</v>
      </c>
    </row>
    <row r="45" spans="2:21" x14ac:dyDescent="0.25">
      <c r="B45" s="34" t="s">
        <v>64</v>
      </c>
      <c r="C45" s="44"/>
      <c r="D45" s="45">
        <v>0</v>
      </c>
      <c r="E45" s="45">
        <v>0</v>
      </c>
      <c r="F45" s="45">
        <v>0</v>
      </c>
      <c r="G45" s="46">
        <v>0.2006</v>
      </c>
      <c r="H45" s="39">
        <v>0.22870000000000001</v>
      </c>
      <c r="I45" s="46">
        <v>0.19739999999999999</v>
      </c>
      <c r="J45" s="39" t="s">
        <v>444</v>
      </c>
      <c r="L45" s="13" t="s">
        <v>424</v>
      </c>
    </row>
    <row r="46" spans="2:21" x14ac:dyDescent="0.25">
      <c r="B46" s="40" t="s">
        <v>66</v>
      </c>
      <c r="C46" s="33"/>
      <c r="D46" s="33">
        <v>0.193272</v>
      </c>
      <c r="E46" s="33">
        <v>0.21768899999999999</v>
      </c>
      <c r="F46" s="33">
        <v>0.23319900000000002</v>
      </c>
      <c r="G46" s="47">
        <v>0.24706700000000001</v>
      </c>
      <c r="H46" s="48">
        <v>0.22425599999999998</v>
      </c>
      <c r="I46" s="47">
        <v>0.23515999999999998</v>
      </c>
      <c r="J46" s="32" t="s">
        <v>161</v>
      </c>
      <c r="L46" s="13" t="s">
        <v>425</v>
      </c>
    </row>
    <row r="47" spans="2:21" x14ac:dyDescent="0.25">
      <c r="B47" s="8" t="s">
        <v>68</v>
      </c>
      <c r="C47" s="8"/>
      <c r="D47" s="33">
        <v>0.19311200000000001</v>
      </c>
      <c r="E47" s="33">
        <v>0.21597999999999998</v>
      </c>
      <c r="F47" s="33">
        <v>0.22941199999999998</v>
      </c>
      <c r="G47" s="47">
        <v>0.24463399999999999</v>
      </c>
      <c r="H47" s="48">
        <v>0.22042100000000001</v>
      </c>
      <c r="I47" s="47">
        <v>0.23220300000000002</v>
      </c>
      <c r="J47" s="32" t="s">
        <v>445</v>
      </c>
      <c r="L47" s="13" t="s">
        <v>426</v>
      </c>
      <c r="M47" s="16"/>
      <c r="N47" s="16"/>
      <c r="O47" s="16"/>
      <c r="P47" s="16"/>
      <c r="Q47" s="16"/>
      <c r="R47" s="16"/>
      <c r="S47" s="16"/>
      <c r="T47" s="16"/>
      <c r="U47" s="16"/>
    </row>
    <row r="48" spans="2:21" x14ac:dyDescent="0.25">
      <c r="B48" s="34" t="s">
        <v>70</v>
      </c>
      <c r="C48" s="35"/>
      <c r="D48" s="35">
        <v>2.3476E-2</v>
      </c>
      <c r="E48" s="35">
        <v>2.4461E-2</v>
      </c>
      <c r="F48" s="35">
        <v>2.4451000000000001E-2</v>
      </c>
      <c r="G48" s="49">
        <v>2.4397000000000002E-2</v>
      </c>
      <c r="H48" s="50">
        <v>2.3917999999999998E-2</v>
      </c>
      <c r="I48" s="49">
        <v>2.4045999999999998E-2</v>
      </c>
      <c r="J48" s="39" t="s">
        <v>54</v>
      </c>
      <c r="L48" s="13" t="s">
        <v>427</v>
      </c>
      <c r="M48" s="16"/>
      <c r="N48" s="16"/>
      <c r="O48" s="16"/>
      <c r="P48" s="16"/>
      <c r="Q48" s="16"/>
      <c r="R48" s="16"/>
      <c r="S48" s="16"/>
      <c r="T48" s="16"/>
      <c r="U48" s="16"/>
    </row>
    <row r="49" spans="2:21" ht="15" customHeight="1" x14ac:dyDescent="0.25">
      <c r="B49" s="8" t="s">
        <v>71</v>
      </c>
      <c r="C49" s="8"/>
      <c r="D49" s="43">
        <v>9.2484800000000007</v>
      </c>
      <c r="E49" s="51">
        <v>9.6469199999999997</v>
      </c>
      <c r="F49" s="51">
        <v>6.99275</v>
      </c>
      <c r="G49" s="52">
        <v>8.1716300000000004</v>
      </c>
      <c r="H49" s="51">
        <v>7.1974</v>
      </c>
      <c r="I49" s="52">
        <v>9.2195900000000002</v>
      </c>
      <c r="J49" s="32">
        <v>0.28096118042626506</v>
      </c>
      <c r="L49" s="13" t="s">
        <v>428</v>
      </c>
      <c r="M49" s="17"/>
      <c r="N49" s="17"/>
      <c r="O49" s="17"/>
      <c r="P49" s="17"/>
      <c r="Q49" s="17"/>
      <c r="R49" s="17"/>
      <c r="S49" s="17"/>
      <c r="T49" s="17"/>
      <c r="U49" s="17"/>
    </row>
    <row r="50" spans="2:21" x14ac:dyDescent="0.25">
      <c r="B50" s="8" t="s">
        <v>72</v>
      </c>
      <c r="C50" s="8"/>
      <c r="D50" s="43">
        <v>7.8903400000000001</v>
      </c>
      <c r="E50" s="51">
        <v>8.48644</v>
      </c>
      <c r="F50" s="51">
        <v>6.2892000000000001</v>
      </c>
      <c r="G50" s="52">
        <v>7.6478000000000002</v>
      </c>
      <c r="H50" s="51">
        <v>6.7269399999999999</v>
      </c>
      <c r="I50" s="52">
        <v>8.9869400000000006</v>
      </c>
      <c r="J50" s="32">
        <v>0.33596256247268452</v>
      </c>
      <c r="L50" s="13" t="s">
        <v>429</v>
      </c>
      <c r="M50" s="17"/>
      <c r="N50" s="17"/>
      <c r="O50" s="17"/>
      <c r="P50" s="17"/>
      <c r="Q50" s="17"/>
      <c r="R50" s="17"/>
      <c r="S50" s="17"/>
      <c r="T50" s="17"/>
      <c r="U50" s="17"/>
    </row>
    <row r="51" spans="2:21" x14ac:dyDescent="0.25">
      <c r="B51" s="34" t="s">
        <v>73</v>
      </c>
      <c r="C51" s="35"/>
      <c r="D51" s="53">
        <v>2.0563500000000001</v>
      </c>
      <c r="E51" s="53">
        <v>2.1880299999999999</v>
      </c>
      <c r="F51" s="53">
        <v>1.8127599999999999</v>
      </c>
      <c r="G51" s="54">
        <v>2.14751</v>
      </c>
      <c r="H51" s="55">
        <v>1.91631</v>
      </c>
      <c r="I51" s="54">
        <v>2.6279599999999999</v>
      </c>
      <c r="J51" s="39">
        <v>0.37136475831154669</v>
      </c>
    </row>
    <row r="52" spans="2:21" x14ac:dyDescent="0.25">
      <c r="L52" s="18" t="s">
        <v>16</v>
      </c>
      <c r="M52" s="15"/>
      <c r="N52" s="15"/>
      <c r="O52" s="15"/>
      <c r="P52" s="15"/>
      <c r="Q52" s="15"/>
      <c r="R52" s="15"/>
      <c r="S52" s="15"/>
      <c r="T52" s="15"/>
      <c r="U52" s="15"/>
    </row>
    <row r="53" spans="2:21" x14ac:dyDescent="0.25">
      <c r="L53" s="13" t="s">
        <v>430</v>
      </c>
      <c r="M53" s="16"/>
      <c r="N53" s="16"/>
      <c r="O53" s="16"/>
      <c r="P53" s="16"/>
      <c r="Q53" s="16"/>
      <c r="R53" s="16"/>
      <c r="S53" s="16"/>
      <c r="T53" s="16"/>
      <c r="U53" s="16"/>
    </row>
    <row r="54" spans="2:21" x14ac:dyDescent="0.25">
      <c r="L54" s="13" t="s">
        <v>431</v>
      </c>
      <c r="M54" s="16"/>
      <c r="N54" s="16"/>
      <c r="O54" s="16"/>
      <c r="P54" s="16"/>
      <c r="Q54" s="16"/>
      <c r="R54" s="16"/>
      <c r="S54" s="16"/>
      <c r="T54" s="16"/>
      <c r="U54" s="16"/>
    </row>
    <row r="55" spans="2:21" x14ac:dyDescent="0.25">
      <c r="L55" s="13" t="s">
        <v>432</v>
      </c>
      <c r="M55" s="16"/>
      <c r="N55" s="16"/>
      <c r="O55" s="16"/>
      <c r="P55" s="16"/>
      <c r="Q55" s="16"/>
      <c r="R55" s="16"/>
      <c r="S55" s="16"/>
      <c r="T55" s="16"/>
      <c r="U55" s="16"/>
    </row>
    <row r="56" spans="2:21" x14ac:dyDescent="0.25">
      <c r="L56" s="13" t="s">
        <v>433</v>
      </c>
      <c r="M56" s="16"/>
      <c r="N56" s="16"/>
      <c r="O56" s="16"/>
      <c r="P56" s="16"/>
      <c r="Q56" s="16"/>
      <c r="R56" s="16"/>
      <c r="S56" s="16"/>
      <c r="T56" s="16"/>
      <c r="U56" s="16"/>
    </row>
    <row r="57" spans="2:21" x14ac:dyDescent="0.25">
      <c r="L57" s="13" t="s">
        <v>434</v>
      </c>
      <c r="M57" s="15"/>
      <c r="N57" s="15"/>
      <c r="O57" s="15"/>
      <c r="P57" s="15"/>
      <c r="Q57" s="15"/>
      <c r="R57" s="15"/>
      <c r="S57" s="15"/>
      <c r="T57" s="15"/>
      <c r="U57" s="15"/>
    </row>
    <row r="58" spans="2:21" x14ac:dyDescent="0.25">
      <c r="L58" s="13" t="s">
        <v>435</v>
      </c>
      <c r="M58" s="15"/>
      <c r="N58" s="15"/>
      <c r="O58" s="15"/>
      <c r="P58" s="15"/>
      <c r="Q58" s="15"/>
      <c r="R58" s="15"/>
      <c r="S58" s="15"/>
      <c r="T58" s="15"/>
      <c r="U58" s="15"/>
    </row>
    <row r="59" spans="2:21" x14ac:dyDescent="0.25">
      <c r="L59" s="13" t="s">
        <v>436</v>
      </c>
      <c r="M59" s="13"/>
      <c r="N59" s="13"/>
      <c r="O59" s="13"/>
      <c r="P59" s="13"/>
      <c r="Q59" s="13"/>
      <c r="R59" s="13"/>
      <c r="S59" s="13"/>
      <c r="T59" s="13"/>
      <c r="U59" s="13"/>
    </row>
    <row r="60" spans="2:21" x14ac:dyDescent="0.25">
      <c r="L60" s="13" t="s">
        <v>437</v>
      </c>
    </row>
    <row r="61" spans="2:21" x14ac:dyDescent="0.25">
      <c r="L61" s="13" t="s">
        <v>438</v>
      </c>
    </row>
    <row r="62" spans="2:21" ht="15" customHeight="1" x14ac:dyDescent="0.25">
      <c r="L62" s="13" t="s">
        <v>439</v>
      </c>
    </row>
    <row r="63" spans="2:21" x14ac:dyDescent="0.25">
      <c r="L63" s="14" t="s">
        <v>440</v>
      </c>
      <c r="M63" s="14"/>
      <c r="N63" s="14"/>
      <c r="O63" s="14"/>
      <c r="P63" s="14"/>
      <c r="Q63" s="14"/>
      <c r="R63" s="14"/>
      <c r="S63" s="14"/>
      <c r="T63" s="14"/>
      <c r="U63" s="14"/>
    </row>
    <row r="64" spans="2:21" x14ac:dyDescent="0.25">
      <c r="L64" s="14"/>
      <c r="M64" s="14"/>
      <c r="N64" s="14"/>
      <c r="O64" s="14"/>
      <c r="P64" s="14"/>
      <c r="Q64" s="14"/>
      <c r="R64" s="14"/>
      <c r="S64" s="14"/>
      <c r="T64" s="14"/>
      <c r="U64" s="14"/>
    </row>
    <row r="66" spans="12:21" x14ac:dyDescent="0.25">
      <c r="L66" s="16"/>
      <c r="M66" s="16"/>
      <c r="N66" s="16"/>
      <c r="O66" s="16"/>
      <c r="P66" s="16"/>
      <c r="Q66" s="16"/>
      <c r="R66" s="16"/>
      <c r="S66" s="16"/>
      <c r="T66" s="16"/>
      <c r="U66" s="16"/>
    </row>
    <row r="67" spans="12:21" x14ac:dyDescent="0.25">
      <c r="L67" s="16"/>
      <c r="M67" s="16"/>
      <c r="N67" s="16"/>
      <c r="O67" s="16"/>
      <c r="P67" s="16"/>
      <c r="Q67" s="16"/>
      <c r="R67" s="16"/>
      <c r="S67" s="16"/>
      <c r="T67" s="16"/>
      <c r="U67" s="16"/>
    </row>
    <row r="68" spans="12:21" x14ac:dyDescent="0.25">
      <c r="L68" s="16"/>
      <c r="M68" s="16"/>
      <c r="N68" s="16"/>
      <c r="O68" s="16"/>
      <c r="P68" s="16"/>
      <c r="Q68" s="16"/>
      <c r="R68" s="16"/>
      <c r="S68" s="16"/>
      <c r="T68" s="16"/>
      <c r="U68" s="16"/>
    </row>
  </sheetData>
  <mergeCells count="3">
    <mergeCell ref="L6:U32"/>
    <mergeCell ref="L63:U64"/>
    <mergeCell ref="L36:U3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19A2-0CF5-4527-AD83-7D2BB37EB018}">
  <dimension ref="B1:U66"/>
  <sheetViews>
    <sheetView topLeftCell="A12" workbookViewId="0">
      <selection activeCell="D25" sqref="D25:I25"/>
    </sheetView>
  </sheetViews>
  <sheetFormatPr defaultRowHeight="15" x14ac:dyDescent="0.25"/>
  <cols>
    <col min="4" max="9" width="10.42578125" bestFit="1" customWidth="1"/>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 t="s">
        <v>446</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x14ac:dyDescent="0.25">
      <c r="L23" s="11"/>
      <c r="M23" s="11"/>
      <c r="N23" s="11"/>
      <c r="O23" s="11"/>
      <c r="P23" s="11"/>
      <c r="Q23" s="11"/>
      <c r="R23" s="11"/>
      <c r="S23" s="11"/>
      <c r="T23" s="11"/>
      <c r="U23" s="11"/>
    </row>
    <row r="24" spans="2:21" x14ac:dyDescent="0.25">
      <c r="D24" t="s">
        <v>36</v>
      </c>
      <c r="H24" t="s">
        <v>37</v>
      </c>
      <c r="L24" s="11"/>
      <c r="M24" s="11"/>
      <c r="N24" s="11"/>
      <c r="O24" s="11"/>
      <c r="P24" s="11"/>
      <c r="Q24" s="11"/>
      <c r="R24" s="11"/>
      <c r="S24" s="11"/>
      <c r="T24" s="11"/>
      <c r="U24" s="11"/>
    </row>
    <row r="25" spans="2:21" x14ac:dyDescent="0.25">
      <c r="D25" s="25">
        <v>44926</v>
      </c>
      <c r="E25" s="25">
        <v>45291</v>
      </c>
      <c r="F25" s="25">
        <v>45657</v>
      </c>
      <c r="G25" s="26">
        <v>46022</v>
      </c>
      <c r="H25" s="27">
        <v>45747</v>
      </c>
      <c r="I25" s="26">
        <v>46112</v>
      </c>
      <c r="J25" t="s">
        <v>38</v>
      </c>
      <c r="L25" s="11"/>
      <c r="M25" s="11"/>
      <c r="N25" s="11"/>
      <c r="O25" s="11"/>
      <c r="P25" s="11"/>
      <c r="Q25" s="11"/>
      <c r="R25" s="11"/>
      <c r="S25" s="11"/>
      <c r="T25" s="11"/>
      <c r="U25" s="11"/>
    </row>
    <row r="26" spans="2:21" x14ac:dyDescent="0.25">
      <c r="B26" t="s">
        <v>39</v>
      </c>
      <c r="D26">
        <v>1226.09645</v>
      </c>
      <c r="E26">
        <v>1604.2881400000001</v>
      </c>
      <c r="F26">
        <v>1567.8247899999999</v>
      </c>
      <c r="G26">
        <v>1712.8422800000001</v>
      </c>
      <c r="H26">
        <v>1595.4494400000001</v>
      </c>
      <c r="I26">
        <v>1654.0513900000001</v>
      </c>
      <c r="J26">
        <v>3.6730684489757248E-2</v>
      </c>
      <c r="L26" s="11"/>
      <c r="M26" s="11"/>
      <c r="N26" s="11"/>
      <c r="O26" s="11"/>
      <c r="P26" s="11"/>
      <c r="Q26" s="11"/>
      <c r="R26" s="11"/>
      <c r="S26" s="11"/>
      <c r="T26" s="11"/>
      <c r="U26" s="11"/>
    </row>
    <row r="27" spans="2:21" x14ac:dyDescent="0.25">
      <c r="B27" t="s">
        <v>40</v>
      </c>
      <c r="D27">
        <v>364.87306999999998</v>
      </c>
      <c r="E27">
        <v>613.53710000000001</v>
      </c>
      <c r="F27">
        <v>563.25061000000005</v>
      </c>
      <c r="G27">
        <v>559.25837000000001</v>
      </c>
      <c r="H27">
        <v>552.03698999999995</v>
      </c>
      <c r="I27">
        <v>528.12828000000002</v>
      </c>
      <c r="J27">
        <v>-4.3309978195482768E-2</v>
      </c>
      <c r="L27" s="11"/>
      <c r="M27" s="11"/>
      <c r="N27" s="11"/>
      <c r="O27" s="11"/>
      <c r="P27" s="11"/>
      <c r="Q27" s="11"/>
      <c r="R27" s="11"/>
      <c r="S27" s="11"/>
      <c r="T27" s="11"/>
      <c r="U27" s="11"/>
    </row>
    <row r="28" spans="2:21" x14ac:dyDescent="0.25">
      <c r="B28" t="s">
        <v>41</v>
      </c>
      <c r="D28">
        <v>861.22338999999999</v>
      </c>
      <c r="E28">
        <v>990.75103999999999</v>
      </c>
      <c r="F28">
        <v>1004.57419</v>
      </c>
      <c r="G28">
        <v>1153.5839100000001</v>
      </c>
      <c r="H28">
        <v>1043.41245</v>
      </c>
      <c r="I28">
        <v>1125.92311</v>
      </c>
      <c r="J28">
        <v>7.9077703165224777E-2</v>
      </c>
      <c r="L28" s="11"/>
      <c r="M28" s="11"/>
      <c r="N28" s="11"/>
      <c r="O28" s="11"/>
      <c r="P28" s="11"/>
      <c r="Q28" s="11"/>
      <c r="R28" s="11"/>
      <c r="S28" s="11"/>
      <c r="T28" s="11"/>
      <c r="U28" s="11"/>
    </row>
    <row r="29" spans="2:21" x14ac:dyDescent="0.25">
      <c r="B29" t="s">
        <v>42</v>
      </c>
      <c r="D29">
        <v>265.29232999999999</v>
      </c>
      <c r="E29">
        <v>275.64508000000001</v>
      </c>
      <c r="F29">
        <v>274.12450999999999</v>
      </c>
      <c r="G29">
        <v>362.67284999999998</v>
      </c>
      <c r="H29">
        <v>302.78255000000001</v>
      </c>
      <c r="I29">
        <v>356.29264999999998</v>
      </c>
      <c r="J29">
        <v>0.17672782001472664</v>
      </c>
      <c r="L29" s="11"/>
      <c r="M29" s="11"/>
      <c r="N29" s="11"/>
      <c r="O29" s="11"/>
      <c r="P29" s="11"/>
      <c r="Q29" s="11"/>
      <c r="R29" s="11"/>
      <c r="S29" s="11"/>
      <c r="T29" s="11"/>
      <c r="U29" s="11"/>
    </row>
    <row r="30" spans="2:21" x14ac:dyDescent="0.25">
      <c r="B30" t="s">
        <v>43</v>
      </c>
      <c r="D30">
        <v>262.47485999999998</v>
      </c>
      <c r="E30">
        <v>478.54154</v>
      </c>
      <c r="F30">
        <v>469.08924999999999</v>
      </c>
      <c r="G30">
        <v>325.17804999999998</v>
      </c>
      <c r="H30">
        <v>425.98685</v>
      </c>
      <c r="I30">
        <v>276.84980999999999</v>
      </c>
      <c r="J30">
        <v>-0.35009775536498366</v>
      </c>
      <c r="L30" s="11"/>
      <c r="M30" s="11"/>
      <c r="N30" s="11"/>
      <c r="O30" s="11"/>
      <c r="P30" s="11"/>
      <c r="Q30" s="11"/>
      <c r="R30" s="11"/>
      <c r="S30" s="11"/>
      <c r="T30" s="11"/>
      <c r="U30" s="11"/>
    </row>
    <row r="31" spans="2:21" x14ac:dyDescent="0.25">
      <c r="B31" t="s">
        <v>44</v>
      </c>
      <c r="D31">
        <v>419.52929</v>
      </c>
      <c r="E31">
        <v>431.33944000000002</v>
      </c>
      <c r="F31">
        <v>442.56416000000002</v>
      </c>
      <c r="G31">
        <v>560.12275999999997</v>
      </c>
      <c r="H31">
        <v>467.53581000000003</v>
      </c>
      <c r="I31">
        <v>560.28072999999995</v>
      </c>
      <c r="J31">
        <v>0.19836966071112272</v>
      </c>
      <c r="L31" s="11"/>
      <c r="M31" s="11"/>
      <c r="N31" s="11"/>
      <c r="O31" s="11"/>
      <c r="P31" s="11"/>
      <c r="Q31" s="11"/>
      <c r="R31" s="11"/>
      <c r="S31" s="11"/>
      <c r="T31" s="11"/>
      <c r="U31" s="11"/>
    </row>
    <row r="32" spans="2:21" x14ac:dyDescent="0.25">
      <c r="B32" t="s">
        <v>45</v>
      </c>
      <c r="D32">
        <v>391.31475</v>
      </c>
      <c r="E32">
        <v>303.35883000000001</v>
      </c>
      <c r="F32">
        <v>306.70510999999999</v>
      </c>
      <c r="G32">
        <v>571.92349000000002</v>
      </c>
      <c r="H32">
        <v>396.65411999999998</v>
      </c>
      <c r="I32">
        <v>594.00297999999998</v>
      </c>
      <c r="J32">
        <v>0.49753387157556817</v>
      </c>
      <c r="L32" s="12" t="s">
        <v>2</v>
      </c>
    </row>
    <row r="33" spans="2:21" x14ac:dyDescent="0.25">
      <c r="B33" t="s">
        <v>46</v>
      </c>
      <c r="D33">
        <v>83.709800000000001</v>
      </c>
      <c r="E33">
        <v>60.865760000000002</v>
      </c>
      <c r="F33">
        <v>59.152349999999998</v>
      </c>
      <c r="G33">
        <v>138.38654</v>
      </c>
      <c r="H33">
        <v>82.941050000000004</v>
      </c>
      <c r="I33">
        <v>140.08938000000001</v>
      </c>
      <c r="J33">
        <v>0.68902346907833945</v>
      </c>
      <c r="L33" s="13" t="s">
        <v>447</v>
      </c>
    </row>
    <row r="34" spans="2:21" x14ac:dyDescent="0.25">
      <c r="B34" t="s">
        <v>47</v>
      </c>
      <c r="D34">
        <v>307.60494999999997</v>
      </c>
      <c r="E34">
        <v>242.49306999999999</v>
      </c>
      <c r="F34">
        <v>247.55276000000001</v>
      </c>
      <c r="G34">
        <v>433.53694999999999</v>
      </c>
      <c r="H34">
        <v>313.71307000000002</v>
      </c>
      <c r="I34">
        <v>453.91359999999997</v>
      </c>
      <c r="J34">
        <v>0.44690688213914687</v>
      </c>
      <c r="L34" s="14" t="s">
        <v>448</v>
      </c>
      <c r="M34" s="14"/>
      <c r="N34" s="14"/>
      <c r="O34" s="14"/>
      <c r="P34" s="14"/>
      <c r="Q34" s="14"/>
      <c r="R34" s="14"/>
      <c r="S34" s="14"/>
      <c r="T34" s="14"/>
      <c r="U34" s="14"/>
    </row>
    <row r="35" spans="2:21" x14ac:dyDescent="0.25">
      <c r="B35" t="s">
        <v>48</v>
      </c>
      <c r="D35">
        <v>307.60494999999997</v>
      </c>
      <c r="E35">
        <v>242.49306999999999</v>
      </c>
      <c r="F35">
        <v>247.55276000000001</v>
      </c>
      <c r="G35">
        <v>433.53694999999999</v>
      </c>
      <c r="H35">
        <v>313.71307000000002</v>
      </c>
      <c r="I35">
        <v>453.91359999999997</v>
      </c>
      <c r="J35">
        <v>0.44690688213914687</v>
      </c>
      <c r="L35" s="14"/>
      <c r="M35" s="14"/>
      <c r="N35" s="14"/>
      <c r="O35" s="14"/>
      <c r="P35" s="14"/>
      <c r="Q35" s="14"/>
      <c r="R35" s="14"/>
      <c r="S35" s="14"/>
      <c r="T35" s="14"/>
      <c r="U35" s="14"/>
    </row>
    <row r="36" spans="2:21" x14ac:dyDescent="0.25">
      <c r="B36" t="s">
        <v>49</v>
      </c>
      <c r="D36">
        <v>3.0093000000000002E-2</v>
      </c>
      <c r="E36">
        <v>3.5009999999999999E-2</v>
      </c>
      <c r="F36">
        <v>2.6966E-2</v>
      </c>
      <c r="G36">
        <v>2.4482E-2</v>
      </c>
      <c r="H36">
        <v>2.7158999999999999E-2</v>
      </c>
      <c r="I36">
        <v>2.2991000000000001E-2</v>
      </c>
      <c r="J36" t="s">
        <v>158</v>
      </c>
      <c r="L36" s="14" t="s">
        <v>449</v>
      </c>
      <c r="M36" s="14"/>
      <c r="N36" s="14"/>
      <c r="O36" s="14"/>
      <c r="P36" s="14"/>
      <c r="Q36" s="14"/>
      <c r="R36" s="14"/>
      <c r="S36" s="14"/>
      <c r="T36" s="14"/>
      <c r="U36" s="14"/>
    </row>
    <row r="37" spans="2:21" x14ac:dyDescent="0.25">
      <c r="B37" t="s">
        <v>51</v>
      </c>
      <c r="D37">
        <v>0.95919100000000002</v>
      </c>
      <c r="E37">
        <v>0.80934099999999998</v>
      </c>
      <c r="F37">
        <v>0.81542000000000003</v>
      </c>
      <c r="G37">
        <v>0.82874300000000001</v>
      </c>
      <c r="H37">
        <v>0.81387200000000004</v>
      </c>
      <c r="I37">
        <v>0.826905</v>
      </c>
      <c r="J37" t="s">
        <v>469</v>
      </c>
      <c r="L37" s="14"/>
      <c r="M37" s="14"/>
      <c r="N37" s="14"/>
      <c r="O37" s="14"/>
      <c r="P37" s="14"/>
      <c r="Q37" s="14"/>
      <c r="R37" s="14"/>
      <c r="S37" s="14"/>
      <c r="T37" s="14"/>
      <c r="U37" s="14"/>
    </row>
    <row r="38" spans="2:21" x14ac:dyDescent="0.25">
      <c r="B38" t="s">
        <v>53</v>
      </c>
      <c r="D38">
        <v>1.2406759999999999</v>
      </c>
      <c r="E38">
        <v>1.127521</v>
      </c>
      <c r="F38">
        <v>0.79491699999999998</v>
      </c>
      <c r="G38">
        <v>0.91380300000000003</v>
      </c>
      <c r="H38">
        <v>0</v>
      </c>
      <c r="I38">
        <v>0</v>
      </c>
      <c r="J38" t="s">
        <v>54</v>
      </c>
      <c r="L38" s="13" t="s">
        <v>450</v>
      </c>
    </row>
    <row r="39" spans="2:21" x14ac:dyDescent="0.25">
      <c r="B39" t="s">
        <v>55</v>
      </c>
      <c r="D39">
        <v>0.103172</v>
      </c>
      <c r="E39">
        <v>0.11003500000000001</v>
      </c>
      <c r="F39">
        <v>0.11471000000000001</v>
      </c>
      <c r="G39">
        <v>0.122627</v>
      </c>
      <c r="H39">
        <v>0.11029</v>
      </c>
      <c r="I39">
        <v>0.118813</v>
      </c>
      <c r="J39" t="s">
        <v>470</v>
      </c>
      <c r="L39" s="14" t="s">
        <v>451</v>
      </c>
      <c r="M39" s="14"/>
      <c r="N39" s="14"/>
      <c r="O39" s="14"/>
      <c r="P39" s="14"/>
      <c r="Q39" s="14"/>
      <c r="R39" s="14"/>
      <c r="S39" s="14"/>
      <c r="T39" s="14"/>
      <c r="U39" s="14"/>
    </row>
    <row r="40" spans="2:21" x14ac:dyDescent="0.25">
      <c r="B40" t="s">
        <v>57</v>
      </c>
      <c r="D40">
        <v>0.103172</v>
      </c>
      <c r="E40">
        <v>0.11003500000000001</v>
      </c>
      <c r="F40">
        <v>0.11471000000000001</v>
      </c>
      <c r="G40">
        <v>0.122627</v>
      </c>
      <c r="H40">
        <v>0.11029</v>
      </c>
      <c r="I40">
        <v>0.118813</v>
      </c>
      <c r="J40" t="s">
        <v>470</v>
      </c>
      <c r="L40" s="14"/>
      <c r="M40" s="14"/>
      <c r="N40" s="14"/>
      <c r="O40" s="14"/>
      <c r="P40" s="14"/>
      <c r="Q40" s="14"/>
      <c r="R40" s="14"/>
      <c r="S40" s="14"/>
      <c r="T40" s="14"/>
      <c r="U40" s="14"/>
    </row>
    <row r="41" spans="2:21" x14ac:dyDescent="0.25">
      <c r="B41" t="s">
        <v>58</v>
      </c>
      <c r="D41">
        <v>1.020948</v>
      </c>
      <c r="E41">
        <v>1.0263960000000001</v>
      </c>
      <c r="F41">
        <v>0.95871300000000004</v>
      </c>
      <c r="G41">
        <v>0.93904200000000004</v>
      </c>
      <c r="H41">
        <v>0.96926400000000001</v>
      </c>
      <c r="I41">
        <v>0.94101800000000002</v>
      </c>
      <c r="J41" t="s">
        <v>471</v>
      </c>
      <c r="L41" s="13" t="s">
        <v>452</v>
      </c>
    </row>
    <row r="42" spans="2:21" x14ac:dyDescent="0.25">
      <c r="B42" t="s">
        <v>60</v>
      </c>
      <c r="D42">
        <v>0.108462</v>
      </c>
      <c r="E42">
        <v>0.117516</v>
      </c>
      <c r="F42">
        <v>0.122726</v>
      </c>
      <c r="G42">
        <v>0.125</v>
      </c>
      <c r="H42">
        <v>0.11599999999999999</v>
      </c>
      <c r="I42">
        <v>0.11699999999999999</v>
      </c>
      <c r="J42" t="s">
        <v>472</v>
      </c>
      <c r="L42" s="14" t="s">
        <v>453</v>
      </c>
      <c r="M42" s="14"/>
      <c r="N42" s="14"/>
      <c r="O42" s="14"/>
      <c r="P42" s="14"/>
      <c r="Q42" s="14"/>
      <c r="R42" s="14"/>
      <c r="S42" s="14"/>
      <c r="T42" s="14"/>
      <c r="U42" s="14"/>
    </row>
    <row r="43" spans="2:21" x14ac:dyDescent="0.25">
      <c r="B43" t="s">
        <v>62</v>
      </c>
      <c r="D43">
        <v>0</v>
      </c>
      <c r="E43">
        <v>0</v>
      </c>
      <c r="F43">
        <v>0</v>
      </c>
      <c r="G43">
        <v>0</v>
      </c>
      <c r="H43">
        <v>0.11599999999999999</v>
      </c>
      <c r="I43">
        <v>0.11699999999999999</v>
      </c>
      <c r="J43" t="s">
        <v>472</v>
      </c>
      <c r="L43" s="14"/>
      <c r="M43" s="14"/>
      <c r="N43" s="14"/>
      <c r="O43" s="14"/>
      <c r="P43" s="14"/>
      <c r="Q43" s="14"/>
      <c r="R43" s="14"/>
      <c r="S43" s="14"/>
      <c r="T43" s="14"/>
      <c r="U43" s="14"/>
    </row>
    <row r="44" spans="2:21" x14ac:dyDescent="0.25">
      <c r="B44" t="s">
        <v>63</v>
      </c>
      <c r="D44">
        <v>4.233E-2</v>
      </c>
      <c r="E44">
        <v>3.7006999999999998E-2</v>
      </c>
      <c r="F44">
        <v>3.6495E-2</v>
      </c>
      <c r="G44">
        <v>3.5220000000000001E-2</v>
      </c>
      <c r="H44">
        <v>5.5650000000000005E-2</v>
      </c>
      <c r="I44">
        <v>3.7843000000000002E-2</v>
      </c>
      <c r="J44" t="s">
        <v>473</v>
      </c>
      <c r="L44" s="13" t="s">
        <v>454</v>
      </c>
    </row>
    <row r="45" spans="2:21" x14ac:dyDescent="0.25">
      <c r="B45" t="s">
        <v>64</v>
      </c>
      <c r="D45">
        <v>0.15079999999999999</v>
      </c>
      <c r="E45">
        <v>0.1545</v>
      </c>
      <c r="F45">
        <v>0.15920000000000001</v>
      </c>
      <c r="G45">
        <v>0.16020000000000001</v>
      </c>
      <c r="H45">
        <v>0.1721</v>
      </c>
      <c r="I45">
        <v>0.15490000000000001</v>
      </c>
      <c r="J45" t="s">
        <v>443</v>
      </c>
      <c r="L45" s="13" t="s">
        <v>455</v>
      </c>
      <c r="M45" s="13"/>
      <c r="N45" s="13"/>
      <c r="O45" s="13"/>
      <c r="P45" s="13"/>
      <c r="Q45" s="13"/>
      <c r="R45" s="13"/>
      <c r="S45" s="13"/>
      <c r="T45" s="13"/>
      <c r="U45" s="13"/>
    </row>
    <row r="46" spans="2:21" x14ac:dyDescent="0.25">
      <c r="B46" t="s">
        <v>66</v>
      </c>
      <c r="D46">
        <v>0.16879999999999998</v>
      </c>
      <c r="E46">
        <v>0.121749</v>
      </c>
      <c r="F46">
        <v>0.11549799999999999</v>
      </c>
      <c r="G46">
        <v>0.15964400000000001</v>
      </c>
      <c r="H46">
        <v>0.144759</v>
      </c>
      <c r="I46">
        <v>0.17546299999999998</v>
      </c>
      <c r="J46" t="s">
        <v>474</v>
      </c>
      <c r="L46" s="13" t="s">
        <v>456</v>
      </c>
      <c r="M46" s="13"/>
      <c r="N46" s="13"/>
      <c r="O46" s="13"/>
      <c r="P46" s="13"/>
      <c r="Q46" s="13"/>
      <c r="R46" s="13"/>
      <c r="S46" s="13"/>
      <c r="T46" s="13"/>
      <c r="U46" s="13"/>
    </row>
    <row r="47" spans="2:21" x14ac:dyDescent="0.25">
      <c r="B47" t="s">
        <v>68</v>
      </c>
      <c r="D47">
        <v>0.16879999999999998</v>
      </c>
      <c r="E47">
        <v>0.121749</v>
      </c>
      <c r="F47">
        <v>0.11549799999999999</v>
      </c>
      <c r="G47">
        <v>0.15964400000000001</v>
      </c>
      <c r="H47">
        <v>0.144759</v>
      </c>
      <c r="I47">
        <v>0.17546299999999998</v>
      </c>
      <c r="J47" t="s">
        <v>474</v>
      </c>
      <c r="L47" s="14" t="s">
        <v>457</v>
      </c>
      <c r="M47" s="14"/>
      <c r="N47" s="14"/>
      <c r="O47" s="14"/>
      <c r="P47" s="14"/>
      <c r="Q47" s="14"/>
      <c r="R47" s="14"/>
      <c r="S47" s="14"/>
      <c r="T47" s="14"/>
      <c r="U47" s="14"/>
    </row>
    <row r="48" spans="2:21" x14ac:dyDescent="0.25">
      <c r="B48" t="s">
        <v>70</v>
      </c>
      <c r="D48">
        <v>1.7415E-2</v>
      </c>
      <c r="E48">
        <v>1.3395999999999998E-2</v>
      </c>
      <c r="F48">
        <v>1.3247999999999999E-2</v>
      </c>
      <c r="G48">
        <v>1.9576E-2</v>
      </c>
      <c r="H48">
        <v>1.5965E-2</v>
      </c>
      <c r="I48">
        <v>2.0847000000000001E-2</v>
      </c>
      <c r="J48" t="s">
        <v>139</v>
      </c>
      <c r="L48" s="14"/>
      <c r="M48" s="14"/>
      <c r="N48" s="14"/>
      <c r="O48" s="14"/>
      <c r="P48" s="14"/>
      <c r="Q48" s="14"/>
      <c r="R48" s="14"/>
      <c r="S48" s="14"/>
      <c r="T48" s="14"/>
      <c r="U48" s="14"/>
    </row>
    <row r="49" spans="2:21" x14ac:dyDescent="0.25">
      <c r="B49" t="s">
        <v>71</v>
      </c>
      <c r="D49">
        <v>10.472289999999999</v>
      </c>
      <c r="E49">
        <v>9.0996699999999997</v>
      </c>
      <c r="F49">
        <v>12.718400000000001</v>
      </c>
      <c r="G49">
        <v>7.1958299999999999</v>
      </c>
      <c r="H49">
        <v>10.519080000000001</v>
      </c>
      <c r="I49">
        <v>8.7487899999999996</v>
      </c>
      <c r="J49">
        <v>-0.16829323476958069</v>
      </c>
      <c r="L49" s="13" t="s">
        <v>458</v>
      </c>
      <c r="M49" s="17"/>
      <c r="N49" s="17"/>
      <c r="O49" s="17"/>
      <c r="P49" s="17"/>
      <c r="Q49" s="17"/>
      <c r="R49" s="17"/>
      <c r="S49" s="17"/>
      <c r="T49" s="17"/>
      <c r="U49" s="17"/>
    </row>
    <row r="50" spans="2:21" x14ac:dyDescent="0.25">
      <c r="B50" t="s">
        <v>72</v>
      </c>
      <c r="D50">
        <v>0</v>
      </c>
      <c r="E50">
        <v>0</v>
      </c>
      <c r="F50">
        <v>0</v>
      </c>
      <c r="G50">
        <v>0</v>
      </c>
      <c r="H50">
        <v>0</v>
      </c>
      <c r="I50">
        <v>0</v>
      </c>
      <c r="J50" t="s">
        <v>103</v>
      </c>
      <c r="L50" s="13" t="s">
        <v>459</v>
      </c>
    </row>
    <row r="51" spans="2:21" x14ac:dyDescent="0.25">
      <c r="B51" t="s">
        <v>73</v>
      </c>
      <c r="D51">
        <v>2.2811300000000001</v>
      </c>
      <c r="E51">
        <v>1.37185</v>
      </c>
      <c r="F51">
        <v>1.26257</v>
      </c>
      <c r="G51">
        <v>1.14595</v>
      </c>
      <c r="H51">
        <v>1.2507600000000001</v>
      </c>
      <c r="I51">
        <v>1.3843300000000001</v>
      </c>
      <c r="J51">
        <v>0.10679107102881447</v>
      </c>
    </row>
    <row r="52" spans="2:21" x14ac:dyDescent="0.25">
      <c r="L52" s="18" t="s">
        <v>16</v>
      </c>
      <c r="M52" s="15"/>
      <c r="N52" s="15"/>
      <c r="O52" s="15"/>
      <c r="P52" s="15"/>
      <c r="Q52" s="15"/>
      <c r="R52" s="15"/>
      <c r="S52" s="15"/>
      <c r="T52" s="15"/>
      <c r="U52" s="15"/>
    </row>
    <row r="53" spans="2:21" x14ac:dyDescent="0.25">
      <c r="L53" s="13" t="s">
        <v>460</v>
      </c>
      <c r="M53" s="16"/>
      <c r="N53" s="16"/>
      <c r="O53" s="16"/>
      <c r="P53" s="16"/>
      <c r="Q53" s="16"/>
      <c r="R53" s="16"/>
      <c r="S53" s="16"/>
      <c r="T53" s="16"/>
      <c r="U53" s="16"/>
    </row>
    <row r="54" spans="2:21" x14ac:dyDescent="0.25">
      <c r="L54" s="14" t="s">
        <v>461</v>
      </c>
      <c r="M54" s="14"/>
      <c r="N54" s="14"/>
      <c r="O54" s="14"/>
      <c r="P54" s="14"/>
      <c r="Q54" s="14"/>
      <c r="R54" s="14"/>
      <c r="S54" s="14"/>
      <c r="T54" s="14"/>
      <c r="U54" s="14"/>
    </row>
    <row r="55" spans="2:21" x14ac:dyDescent="0.25">
      <c r="L55" s="14"/>
      <c r="M55" s="14"/>
      <c r="N55" s="14"/>
      <c r="O55" s="14"/>
      <c r="P55" s="14"/>
      <c r="Q55" s="14"/>
      <c r="R55" s="14"/>
      <c r="S55" s="14"/>
      <c r="T55" s="14"/>
      <c r="U55" s="14"/>
    </row>
    <row r="56" spans="2:21" x14ac:dyDescent="0.25">
      <c r="L56" s="13" t="s">
        <v>462</v>
      </c>
      <c r="M56" s="13"/>
      <c r="N56" s="13"/>
      <c r="O56" s="13"/>
      <c r="P56" s="13"/>
      <c r="Q56" s="13"/>
      <c r="R56" s="13"/>
      <c r="S56" s="13"/>
      <c r="T56" s="13"/>
      <c r="U56" s="13"/>
    </row>
    <row r="57" spans="2:21" x14ac:dyDescent="0.25">
      <c r="L57" s="13" t="s">
        <v>463</v>
      </c>
      <c r="M57" s="13"/>
      <c r="N57" s="13"/>
      <c r="O57" s="13"/>
      <c r="P57" s="13"/>
      <c r="Q57" s="13"/>
      <c r="R57" s="13"/>
      <c r="S57" s="13"/>
      <c r="T57" s="13"/>
      <c r="U57" s="13"/>
    </row>
    <row r="58" spans="2:21" x14ac:dyDescent="0.25">
      <c r="L58" s="14" t="s">
        <v>464</v>
      </c>
      <c r="M58" s="14"/>
      <c r="N58" s="14"/>
      <c r="O58" s="14"/>
      <c r="P58" s="14"/>
      <c r="Q58" s="14"/>
      <c r="R58" s="14"/>
      <c r="S58" s="14"/>
      <c r="T58" s="14"/>
      <c r="U58" s="14"/>
    </row>
    <row r="59" spans="2:21" x14ac:dyDescent="0.25">
      <c r="L59" s="14"/>
      <c r="M59" s="14"/>
      <c r="N59" s="14"/>
      <c r="O59" s="14"/>
      <c r="P59" s="14"/>
      <c r="Q59" s="14"/>
      <c r="R59" s="14"/>
      <c r="S59" s="14"/>
      <c r="T59" s="14"/>
      <c r="U59" s="14"/>
    </row>
    <row r="60" spans="2:21" x14ac:dyDescent="0.25">
      <c r="L60" s="13" t="s">
        <v>465</v>
      </c>
    </row>
    <row r="61" spans="2:21" x14ac:dyDescent="0.25">
      <c r="L61" s="13" t="s">
        <v>466</v>
      </c>
      <c r="M61" s="13"/>
      <c r="N61" s="13"/>
      <c r="O61" s="13"/>
      <c r="P61" s="13"/>
      <c r="Q61" s="13"/>
      <c r="R61" s="13"/>
      <c r="S61" s="13"/>
      <c r="T61" s="13"/>
      <c r="U61" s="13"/>
    </row>
    <row r="62" spans="2:21" x14ac:dyDescent="0.25">
      <c r="L62" s="13" t="s">
        <v>467</v>
      </c>
      <c r="M62" s="13"/>
      <c r="N62" s="13"/>
      <c r="O62" s="13"/>
      <c r="P62" s="13"/>
      <c r="Q62" s="13"/>
      <c r="R62" s="13"/>
      <c r="S62" s="13"/>
      <c r="T62" s="13"/>
      <c r="U62" s="13"/>
    </row>
    <row r="63" spans="2:21" x14ac:dyDescent="0.25">
      <c r="L63" s="14" t="s">
        <v>468</v>
      </c>
      <c r="M63" s="14"/>
      <c r="N63" s="14"/>
      <c r="O63" s="14"/>
      <c r="P63" s="14"/>
      <c r="Q63" s="14"/>
      <c r="R63" s="14"/>
      <c r="S63" s="14"/>
      <c r="T63" s="14"/>
      <c r="U63" s="14"/>
    </row>
    <row r="64" spans="2:21" x14ac:dyDescent="0.25">
      <c r="L64" s="14"/>
      <c r="M64" s="14"/>
      <c r="N64" s="14"/>
      <c r="O64" s="14"/>
      <c r="P64" s="14"/>
      <c r="Q64" s="14"/>
      <c r="R64" s="14"/>
      <c r="S64" s="14"/>
      <c r="T64" s="14"/>
      <c r="U64" s="14"/>
    </row>
    <row r="66" spans="12:21" x14ac:dyDescent="0.25">
      <c r="L66" s="16"/>
      <c r="M66" s="16"/>
      <c r="N66" s="16"/>
      <c r="O66" s="16"/>
      <c r="P66" s="16"/>
      <c r="Q66" s="16"/>
      <c r="R66" s="16"/>
      <c r="S66" s="16"/>
      <c r="T66" s="16"/>
      <c r="U66" s="16"/>
    </row>
  </sheetData>
  <mergeCells count="9">
    <mergeCell ref="L54:U55"/>
    <mergeCell ref="L58:U59"/>
    <mergeCell ref="L63:U64"/>
    <mergeCell ref="L6:U31"/>
    <mergeCell ref="L34:U35"/>
    <mergeCell ref="L36:U37"/>
    <mergeCell ref="L39:U40"/>
    <mergeCell ref="L42:U43"/>
    <mergeCell ref="L47:U4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98F8B-2DE8-47B3-82EA-0B37B03A619D}">
  <dimension ref="A1:B1"/>
  <sheetViews>
    <sheetView workbookViewId="0"/>
  </sheetViews>
  <sheetFormatPr defaultRowHeight="15" x14ac:dyDescent="0.25"/>
  <sheetData>
    <row r="1" spans="1:2" x14ac:dyDescent="0.25">
      <c r="A1">
        <v>2</v>
      </c>
      <c r="B1" t="s">
        <v>504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9979C-17EC-473E-B993-2BB4ED969270}">
  <dimension ref="B1:U68"/>
  <sheetViews>
    <sheetView tabSelected="1" topLeftCell="A3" workbookViewId="0">
      <selection activeCell="L6" sqref="L6:U32"/>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 t="s">
        <v>475</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x14ac:dyDescent="0.25">
      <c r="L23" s="11"/>
      <c r="M23" s="11"/>
      <c r="N23" s="11"/>
      <c r="O23" s="11"/>
      <c r="P23" s="11"/>
      <c r="Q23" s="11"/>
      <c r="R23" s="11"/>
      <c r="S23" s="11"/>
      <c r="T23" s="11"/>
      <c r="U23" s="11"/>
    </row>
    <row r="24" spans="2:21" x14ac:dyDescent="0.25">
      <c r="D24" t="s">
        <v>36</v>
      </c>
      <c r="H24" t="s">
        <v>37</v>
      </c>
      <c r="L24" s="11"/>
      <c r="M24" s="11"/>
      <c r="N24" s="11"/>
      <c r="O24" s="11"/>
      <c r="P24" s="11"/>
      <c r="Q24" s="11"/>
      <c r="R24" s="11"/>
      <c r="S24" s="11"/>
      <c r="T24" s="11"/>
      <c r="U24" s="11"/>
    </row>
    <row r="25" spans="2:21" x14ac:dyDescent="0.25">
      <c r="D25" s="25">
        <v>44926</v>
      </c>
      <c r="E25" s="25">
        <v>45291</v>
      </c>
      <c r="F25" s="25">
        <v>45657</v>
      </c>
      <c r="G25" s="26">
        <v>46022</v>
      </c>
      <c r="H25" s="27">
        <v>45747</v>
      </c>
      <c r="I25" s="26">
        <v>46112</v>
      </c>
      <c r="J25" t="s">
        <v>38</v>
      </c>
      <c r="L25" s="11"/>
      <c r="M25" s="11"/>
      <c r="N25" s="11"/>
      <c r="O25" s="11"/>
      <c r="P25" s="11"/>
      <c r="Q25" s="11"/>
      <c r="R25" s="11"/>
      <c r="S25" s="11"/>
      <c r="T25" s="11"/>
      <c r="U25" s="11"/>
    </row>
    <row r="26" spans="2:21" x14ac:dyDescent="0.25">
      <c r="B26" t="s">
        <v>39</v>
      </c>
      <c r="D26">
        <v>3413.4126099999999</v>
      </c>
      <c r="E26">
        <v>4450.5006100000001</v>
      </c>
      <c r="F26">
        <v>4625.8863600000004</v>
      </c>
      <c r="G26">
        <v>5194.2366599999996</v>
      </c>
      <c r="H26">
        <v>4752.7708300000004</v>
      </c>
      <c r="I26">
        <v>5072.7459900000003</v>
      </c>
      <c r="J26">
        <v>6.7323919339910665E-2</v>
      </c>
      <c r="L26" s="11"/>
      <c r="M26" s="11"/>
      <c r="N26" s="11"/>
      <c r="O26" s="11"/>
      <c r="P26" s="11"/>
      <c r="Q26" s="11"/>
      <c r="R26" s="11"/>
      <c r="S26" s="11"/>
      <c r="T26" s="11"/>
      <c r="U26" s="11"/>
    </row>
    <row r="27" spans="2:21" x14ac:dyDescent="0.25">
      <c r="B27" t="s">
        <v>40</v>
      </c>
      <c r="D27">
        <v>728.99109999999996</v>
      </c>
      <c r="E27">
        <v>1199.75764</v>
      </c>
      <c r="F27">
        <v>1131.3060800000001</v>
      </c>
      <c r="G27">
        <v>1121.58314</v>
      </c>
      <c r="H27">
        <v>1124.4370799999999</v>
      </c>
      <c r="I27">
        <v>1049.7662499999999</v>
      </c>
      <c r="J27">
        <v>-6.6407299552946109E-2</v>
      </c>
      <c r="L27" s="11"/>
      <c r="M27" s="11"/>
      <c r="N27" s="11"/>
      <c r="O27" s="11"/>
      <c r="P27" s="11"/>
      <c r="Q27" s="11"/>
      <c r="R27" s="11"/>
      <c r="S27" s="11"/>
      <c r="T27" s="11"/>
      <c r="U27" s="11"/>
    </row>
    <row r="28" spans="2:21" x14ac:dyDescent="0.25">
      <c r="B28" t="s">
        <v>41</v>
      </c>
      <c r="D28">
        <v>2684.4215100000001</v>
      </c>
      <c r="E28">
        <v>3250.7429699999998</v>
      </c>
      <c r="F28">
        <v>3494.5802800000001</v>
      </c>
      <c r="G28">
        <v>4072.65353</v>
      </c>
      <c r="H28">
        <v>3628.3337499999998</v>
      </c>
      <c r="I28">
        <v>4022.9797400000002</v>
      </c>
      <c r="J28">
        <v>0.10876783041251392</v>
      </c>
      <c r="L28" s="11"/>
      <c r="M28" s="11"/>
      <c r="N28" s="11"/>
      <c r="O28" s="11"/>
      <c r="P28" s="11"/>
      <c r="Q28" s="11"/>
      <c r="R28" s="11"/>
      <c r="S28" s="11"/>
      <c r="T28" s="11"/>
      <c r="U28" s="11"/>
    </row>
    <row r="29" spans="2:21" x14ac:dyDescent="0.25">
      <c r="B29" t="s">
        <v>42</v>
      </c>
      <c r="D29">
        <v>1106.75855</v>
      </c>
      <c r="E29">
        <v>1152.5116499999999</v>
      </c>
      <c r="F29">
        <v>1268.3603800000001</v>
      </c>
      <c r="G29">
        <v>1512.6758199999999</v>
      </c>
      <c r="H29">
        <v>1335.0645199999999</v>
      </c>
      <c r="I29">
        <v>1546.7501199999999</v>
      </c>
      <c r="J29">
        <v>0.15855832945062454</v>
      </c>
      <c r="L29" s="11"/>
      <c r="M29" s="11"/>
      <c r="N29" s="11"/>
      <c r="O29" s="11"/>
      <c r="P29" s="11"/>
      <c r="Q29" s="11"/>
      <c r="R29" s="11"/>
      <c r="S29" s="11"/>
      <c r="T29" s="11"/>
      <c r="U29" s="11"/>
    </row>
    <row r="30" spans="2:21" x14ac:dyDescent="0.25">
      <c r="B30" t="s">
        <v>43</v>
      </c>
      <c r="D30">
        <v>519.33264999999994</v>
      </c>
      <c r="E30">
        <v>932.13815</v>
      </c>
      <c r="F30">
        <v>914.50603999999998</v>
      </c>
      <c r="G30">
        <v>664.42719999999997</v>
      </c>
      <c r="H30">
        <v>833.07690000000002</v>
      </c>
      <c r="I30">
        <v>611.04672000000005</v>
      </c>
      <c r="J30">
        <v>-0.26651822898942457</v>
      </c>
      <c r="L30" s="11"/>
      <c r="M30" s="11"/>
      <c r="N30" s="11"/>
      <c r="O30" s="11"/>
      <c r="P30" s="11"/>
      <c r="Q30" s="11"/>
      <c r="R30" s="11"/>
      <c r="S30" s="11"/>
      <c r="T30" s="11"/>
      <c r="U30" s="11"/>
    </row>
    <row r="31" spans="2:21" x14ac:dyDescent="0.25">
      <c r="B31" t="s">
        <v>44</v>
      </c>
      <c r="D31">
        <v>690.06668000000002</v>
      </c>
      <c r="E31">
        <v>805.80503999999996</v>
      </c>
      <c r="F31">
        <v>848.84929</v>
      </c>
      <c r="G31">
        <v>923.58925999999997</v>
      </c>
      <c r="H31">
        <v>917.13070000000005</v>
      </c>
      <c r="I31">
        <v>948.90372000000002</v>
      </c>
      <c r="J31">
        <v>3.4643938971838928E-2</v>
      </c>
      <c r="L31" s="11"/>
      <c r="M31" s="11"/>
      <c r="N31" s="11"/>
      <c r="O31" s="11"/>
      <c r="P31" s="11"/>
      <c r="Q31" s="11"/>
      <c r="R31" s="11"/>
      <c r="S31" s="11"/>
      <c r="T31" s="11"/>
      <c r="U31" s="11"/>
    </row>
    <row r="32" spans="2:21" x14ac:dyDescent="0.25">
      <c r="B32" t="s">
        <v>45</v>
      </c>
      <c r="D32">
        <v>1620.0855799999999</v>
      </c>
      <c r="E32">
        <v>1667.92002</v>
      </c>
      <c r="F32">
        <v>1866.7199599999999</v>
      </c>
      <c r="G32">
        <v>2621.0439299999998</v>
      </c>
      <c r="H32">
        <v>2044.52001</v>
      </c>
      <c r="I32">
        <v>2671.5319800000002</v>
      </c>
      <c r="J32">
        <v>0.30667930219963968</v>
      </c>
      <c r="L32" s="11"/>
      <c r="M32" s="11"/>
      <c r="N32" s="11"/>
      <c r="O32" s="11"/>
      <c r="P32" s="11"/>
      <c r="Q32" s="11"/>
      <c r="R32" s="11"/>
      <c r="S32" s="11"/>
      <c r="T32" s="11"/>
      <c r="U32" s="11"/>
    </row>
    <row r="33" spans="2:21" x14ac:dyDescent="0.25">
      <c r="B33" t="s">
        <v>46</v>
      </c>
      <c r="D33">
        <v>438.12738000000002</v>
      </c>
      <c r="E33">
        <v>411.40460999999999</v>
      </c>
      <c r="F33">
        <v>481.01866999999999</v>
      </c>
      <c r="G33">
        <v>689.21883000000003</v>
      </c>
      <c r="H33">
        <v>536.18600000000004</v>
      </c>
      <c r="I33">
        <v>699.36491999999998</v>
      </c>
      <c r="J33">
        <v>0.30433267560137711</v>
      </c>
      <c r="L33" s="12" t="s">
        <v>2</v>
      </c>
    </row>
    <row r="34" spans="2:21" x14ac:dyDescent="0.25">
      <c r="B34" t="s">
        <v>47</v>
      </c>
      <c r="D34">
        <v>1181.9582</v>
      </c>
      <c r="E34">
        <v>1256.5154199999999</v>
      </c>
      <c r="F34">
        <v>1385.70129</v>
      </c>
      <c r="G34">
        <v>1931.8251</v>
      </c>
      <c r="H34">
        <v>1508.33402</v>
      </c>
      <c r="I34">
        <v>1972.16706</v>
      </c>
      <c r="J34">
        <v>0.30751347768447213</v>
      </c>
      <c r="L34" s="13" t="s">
        <v>476</v>
      </c>
    </row>
    <row r="35" spans="2:21" x14ac:dyDescent="0.25">
      <c r="B35" t="s">
        <v>48</v>
      </c>
      <c r="D35">
        <v>1176.2458300000001</v>
      </c>
      <c r="E35">
        <v>1253.0063299999999</v>
      </c>
      <c r="F35">
        <v>1381.6279500000001</v>
      </c>
      <c r="G35">
        <v>1923.67219</v>
      </c>
      <c r="H35">
        <v>1503.71225</v>
      </c>
      <c r="I35">
        <v>1963.27107</v>
      </c>
      <c r="J35">
        <v>0.30561619751385272</v>
      </c>
      <c r="L35" s="14" t="s">
        <v>477</v>
      </c>
      <c r="M35" s="14"/>
      <c r="N35" s="14"/>
      <c r="O35" s="14"/>
      <c r="P35" s="14"/>
      <c r="Q35" s="14"/>
      <c r="R35" s="14"/>
      <c r="S35" s="14"/>
      <c r="T35" s="14"/>
      <c r="U35" s="14"/>
    </row>
    <row r="36" spans="2:21" x14ac:dyDescent="0.25">
      <c r="B36" t="s">
        <v>49</v>
      </c>
      <c r="D36">
        <v>4.1870000000000004E-2</v>
      </c>
      <c r="E36">
        <v>4.4561000000000003E-2</v>
      </c>
      <c r="F36">
        <v>3.8689000000000001E-2</v>
      </c>
      <c r="G36">
        <v>3.2723000000000002E-2</v>
      </c>
      <c r="H36">
        <v>3.7627000000000001E-2</v>
      </c>
      <c r="I36">
        <v>2.9712000000000002E-2</v>
      </c>
      <c r="J36" t="s">
        <v>56</v>
      </c>
      <c r="L36" s="14"/>
      <c r="M36" s="14"/>
      <c r="N36" s="14"/>
      <c r="O36" s="14"/>
      <c r="P36" s="14"/>
      <c r="Q36" s="14"/>
      <c r="R36" s="14"/>
      <c r="S36" s="14"/>
      <c r="T36" s="14"/>
      <c r="U36" s="14"/>
    </row>
    <row r="37" spans="2:21" x14ac:dyDescent="0.25">
      <c r="B37" t="s">
        <v>51</v>
      </c>
      <c r="D37">
        <v>0.91414299999999993</v>
      </c>
      <c r="E37">
        <v>0.92580099999999999</v>
      </c>
      <c r="F37">
        <v>1.0224059999999999</v>
      </c>
      <c r="G37">
        <v>1.0863350000000001</v>
      </c>
      <c r="H37">
        <v>1.0634489999999999</v>
      </c>
      <c r="I37">
        <v>0</v>
      </c>
      <c r="J37" t="s">
        <v>497</v>
      </c>
      <c r="L37" s="13" t="s">
        <v>478</v>
      </c>
      <c r="M37" s="16"/>
      <c r="N37" s="16"/>
      <c r="O37" s="16"/>
      <c r="P37" s="16"/>
      <c r="Q37" s="16"/>
      <c r="R37" s="16"/>
      <c r="S37" s="16"/>
      <c r="T37" s="16"/>
      <c r="U37" s="16"/>
    </row>
    <row r="38" spans="2:21" x14ac:dyDescent="0.25">
      <c r="B38" t="s">
        <v>53</v>
      </c>
      <c r="D38">
        <v>0.99090900000000004</v>
      </c>
      <c r="E38">
        <v>1.201856</v>
      </c>
      <c r="F38">
        <v>1.0455920000000001</v>
      </c>
      <c r="G38">
        <v>1.0153220000000001</v>
      </c>
      <c r="H38">
        <v>0</v>
      </c>
      <c r="I38">
        <v>0</v>
      </c>
      <c r="J38" t="s">
        <v>54</v>
      </c>
      <c r="L38" s="13" t="s">
        <v>479</v>
      </c>
      <c r="M38" s="13"/>
      <c r="N38" s="13"/>
      <c r="O38" s="13"/>
      <c r="P38" s="13"/>
      <c r="Q38" s="13"/>
      <c r="R38" s="13"/>
      <c r="S38" s="13"/>
      <c r="T38" s="13"/>
      <c r="U38" s="13"/>
    </row>
    <row r="39" spans="2:21" x14ac:dyDescent="0.25">
      <c r="B39" t="s">
        <v>55</v>
      </c>
      <c r="D39">
        <v>0.109125</v>
      </c>
      <c r="E39">
        <v>0.120424</v>
      </c>
      <c r="F39">
        <v>0.12235</v>
      </c>
      <c r="G39">
        <v>0.122615</v>
      </c>
      <c r="H39">
        <v>0.10723000000000001</v>
      </c>
      <c r="I39">
        <v>0.104223</v>
      </c>
      <c r="J39" t="s">
        <v>498</v>
      </c>
      <c r="L39" s="13" t="s">
        <v>480</v>
      </c>
      <c r="M39" s="13"/>
      <c r="N39" s="13"/>
      <c r="O39" s="13"/>
      <c r="P39" s="13"/>
      <c r="Q39" s="13"/>
      <c r="R39" s="13"/>
      <c r="S39" s="13"/>
      <c r="T39" s="13"/>
      <c r="U39" s="13"/>
    </row>
    <row r="40" spans="2:21" x14ac:dyDescent="0.25">
      <c r="B40" t="s">
        <v>57</v>
      </c>
      <c r="D40">
        <v>0.109787</v>
      </c>
      <c r="E40">
        <v>0.12118000000000001</v>
      </c>
      <c r="F40">
        <v>0.123058</v>
      </c>
      <c r="G40">
        <v>0.12326599999999999</v>
      </c>
      <c r="H40">
        <v>0.107864</v>
      </c>
      <c r="I40">
        <v>0.104824</v>
      </c>
      <c r="J40" t="s">
        <v>498</v>
      </c>
      <c r="L40" s="14" t="s">
        <v>481</v>
      </c>
      <c r="M40" s="14"/>
      <c r="N40" s="14"/>
      <c r="O40" s="14"/>
      <c r="P40" s="14"/>
      <c r="Q40" s="14"/>
      <c r="R40" s="14"/>
      <c r="S40" s="14"/>
      <c r="T40" s="14"/>
      <c r="U40" s="14"/>
    </row>
    <row r="41" spans="2:21" x14ac:dyDescent="0.25">
      <c r="B41" t="s">
        <v>58</v>
      </c>
      <c r="D41">
        <v>1.040243</v>
      </c>
      <c r="E41">
        <v>0.98949100000000001</v>
      </c>
      <c r="F41">
        <v>0.88871300000000009</v>
      </c>
      <c r="G41">
        <v>0.87357099999999999</v>
      </c>
      <c r="H41">
        <v>0.89131500000000008</v>
      </c>
      <c r="I41">
        <v>0.84684099999999995</v>
      </c>
      <c r="J41" t="s">
        <v>59</v>
      </c>
      <c r="L41" s="14"/>
      <c r="M41" s="14"/>
      <c r="N41" s="14"/>
      <c r="O41" s="14"/>
      <c r="P41" s="14"/>
      <c r="Q41" s="14"/>
      <c r="R41" s="14"/>
      <c r="S41" s="14"/>
      <c r="T41" s="14"/>
      <c r="U41" s="14"/>
    </row>
    <row r="42" spans="2:21" x14ac:dyDescent="0.25">
      <c r="B42" t="s">
        <v>60</v>
      </c>
      <c r="D42">
        <v>0</v>
      </c>
      <c r="E42">
        <v>0</v>
      </c>
      <c r="F42">
        <v>0</v>
      </c>
      <c r="G42">
        <v>0</v>
      </c>
      <c r="H42">
        <v>0</v>
      </c>
      <c r="I42">
        <v>0</v>
      </c>
      <c r="J42" t="s">
        <v>54</v>
      </c>
      <c r="L42" s="13" t="s">
        <v>482</v>
      </c>
      <c r="M42" s="15"/>
      <c r="N42" s="15"/>
      <c r="O42" s="15"/>
      <c r="P42" s="15"/>
      <c r="Q42" s="15"/>
      <c r="R42" s="15"/>
      <c r="S42" s="15"/>
      <c r="T42" s="15"/>
      <c r="U42" s="15"/>
    </row>
    <row r="43" spans="2:21" x14ac:dyDescent="0.25">
      <c r="B43" t="s">
        <v>62</v>
      </c>
      <c r="D43">
        <v>0</v>
      </c>
      <c r="E43">
        <v>0</v>
      </c>
      <c r="F43">
        <v>0</v>
      </c>
      <c r="G43">
        <v>0</v>
      </c>
      <c r="H43">
        <v>0</v>
      </c>
      <c r="I43">
        <v>0</v>
      </c>
      <c r="J43" t="s">
        <v>54</v>
      </c>
      <c r="L43" s="13" t="s">
        <v>483</v>
      </c>
      <c r="M43" s="15"/>
      <c r="N43" s="15"/>
      <c r="O43" s="15"/>
      <c r="P43" s="15"/>
      <c r="Q43" s="15"/>
      <c r="R43" s="15"/>
      <c r="S43" s="15"/>
      <c r="T43" s="15"/>
      <c r="U43" s="15"/>
    </row>
    <row r="44" spans="2:21" x14ac:dyDescent="0.25">
      <c r="B44" t="s">
        <v>63</v>
      </c>
      <c r="D44">
        <v>0</v>
      </c>
      <c r="E44">
        <v>0</v>
      </c>
      <c r="F44">
        <v>0</v>
      </c>
      <c r="G44">
        <v>0</v>
      </c>
      <c r="H44">
        <v>0</v>
      </c>
      <c r="I44">
        <v>0</v>
      </c>
      <c r="J44" t="s">
        <v>54</v>
      </c>
      <c r="L44" s="14" t="s">
        <v>484</v>
      </c>
      <c r="M44" s="14"/>
      <c r="N44" s="14"/>
      <c r="O44" s="14"/>
      <c r="P44" s="14"/>
      <c r="Q44" s="14"/>
      <c r="R44" s="14"/>
      <c r="S44" s="14"/>
      <c r="T44" s="14"/>
      <c r="U44" s="14"/>
    </row>
    <row r="45" spans="2:21" x14ac:dyDescent="0.25">
      <c r="B45" t="s">
        <v>64</v>
      </c>
      <c r="D45">
        <v>0</v>
      </c>
      <c r="E45">
        <v>0</v>
      </c>
      <c r="F45">
        <v>0</v>
      </c>
      <c r="G45">
        <v>0</v>
      </c>
      <c r="H45">
        <v>0</v>
      </c>
      <c r="I45">
        <v>0</v>
      </c>
      <c r="J45" t="s">
        <v>54</v>
      </c>
      <c r="L45" s="14"/>
      <c r="M45" s="14"/>
      <c r="N45" s="14"/>
      <c r="O45" s="14"/>
      <c r="P45" s="14"/>
      <c r="Q45" s="14"/>
      <c r="R45" s="14"/>
      <c r="S45" s="14"/>
      <c r="T45" s="14"/>
      <c r="U45" s="14"/>
    </row>
    <row r="46" spans="2:21" x14ac:dyDescent="0.25">
      <c r="B46" t="s">
        <v>66</v>
      </c>
      <c r="D46">
        <v>0.211009</v>
      </c>
      <c r="E46">
        <v>0.20122099999999998</v>
      </c>
      <c r="F46">
        <v>0.21192599999999998</v>
      </c>
      <c r="G46">
        <v>0.246889</v>
      </c>
      <c r="H46">
        <v>0.25473000000000001</v>
      </c>
      <c r="I46">
        <v>0.301815</v>
      </c>
      <c r="J46" t="s">
        <v>499</v>
      </c>
      <c r="L46" s="13" t="s">
        <v>485</v>
      </c>
    </row>
    <row r="47" spans="2:21" x14ac:dyDescent="0.25">
      <c r="B47" t="s">
        <v>68</v>
      </c>
      <c r="D47">
        <v>0.21126300000000001</v>
      </c>
      <c r="E47">
        <v>0.20191900000000002</v>
      </c>
      <c r="F47">
        <v>0.21252600000000002</v>
      </c>
      <c r="G47">
        <v>0.24715199999999998</v>
      </c>
      <c r="H47">
        <v>0.25545100000000004</v>
      </c>
      <c r="I47">
        <v>0.30218600000000001</v>
      </c>
      <c r="J47" t="s">
        <v>499</v>
      </c>
      <c r="L47" s="13" t="s">
        <v>486</v>
      </c>
      <c r="M47" s="13"/>
      <c r="N47" s="13"/>
      <c r="O47" s="13"/>
      <c r="P47" s="13"/>
      <c r="Q47" s="13"/>
      <c r="R47" s="13"/>
      <c r="S47" s="13"/>
      <c r="T47" s="13"/>
      <c r="U47" s="13"/>
    </row>
    <row r="48" spans="2:21" x14ac:dyDescent="0.25">
      <c r="B48" t="s">
        <v>70</v>
      </c>
      <c r="D48">
        <v>2.3166000000000003E-2</v>
      </c>
      <c r="E48">
        <v>2.4384000000000003E-2</v>
      </c>
      <c r="F48">
        <v>2.6078999999999998E-2</v>
      </c>
      <c r="G48">
        <v>3.0432999999999998E-2</v>
      </c>
      <c r="H48">
        <v>2.7475999999999997E-2</v>
      </c>
      <c r="I48">
        <v>3.1636999999999998E-2</v>
      </c>
      <c r="J48" t="s">
        <v>134</v>
      </c>
      <c r="L48" s="14" t="s">
        <v>487</v>
      </c>
      <c r="M48" s="14"/>
      <c r="N48" s="14"/>
      <c r="O48" s="14"/>
      <c r="P48" s="14"/>
      <c r="Q48" s="14"/>
      <c r="R48" s="14"/>
      <c r="S48" s="14"/>
      <c r="T48" s="14"/>
      <c r="U48" s="14"/>
    </row>
    <row r="49" spans="2:21" x14ac:dyDescent="0.25">
      <c r="B49" t="s">
        <v>71</v>
      </c>
      <c r="D49">
        <v>7.8888100000000003</v>
      </c>
      <c r="E49">
        <v>7.5598400000000003</v>
      </c>
      <c r="F49">
        <v>10.480370000000001</v>
      </c>
      <c r="G49">
        <v>12.079499999999999</v>
      </c>
      <c r="H49">
        <v>10.705310000000001</v>
      </c>
      <c r="I49">
        <v>12.629149999999999</v>
      </c>
      <c r="J49">
        <v>0.17970894817618532</v>
      </c>
      <c r="L49" s="14"/>
      <c r="M49" s="14"/>
      <c r="N49" s="14"/>
      <c r="O49" s="14"/>
      <c r="P49" s="14"/>
      <c r="Q49" s="14"/>
      <c r="R49" s="14"/>
      <c r="S49" s="14"/>
      <c r="T49" s="14"/>
      <c r="U49" s="14"/>
    </row>
    <row r="50" spans="2:21" x14ac:dyDescent="0.25">
      <c r="B50" t="s">
        <v>72</v>
      </c>
      <c r="D50">
        <v>0</v>
      </c>
      <c r="E50">
        <v>0</v>
      </c>
      <c r="F50">
        <v>0</v>
      </c>
      <c r="G50">
        <v>0</v>
      </c>
      <c r="H50">
        <v>0</v>
      </c>
      <c r="I50">
        <v>0</v>
      </c>
      <c r="J50" t="s">
        <v>103</v>
      </c>
      <c r="L50" s="13" t="s">
        <v>488</v>
      </c>
      <c r="M50" s="17"/>
      <c r="N50" s="17"/>
      <c r="O50" s="17"/>
      <c r="P50" s="17"/>
      <c r="Q50" s="17"/>
      <c r="R50" s="17"/>
      <c r="S50" s="17"/>
      <c r="T50" s="17"/>
      <c r="U50" s="17"/>
    </row>
    <row r="51" spans="2:21" x14ac:dyDescent="0.25">
      <c r="B51" t="s">
        <v>73</v>
      </c>
      <c r="D51">
        <v>1.6830799999999999</v>
      </c>
      <c r="E51">
        <v>1.6998800000000001</v>
      </c>
      <c r="F51">
        <v>2.31942</v>
      </c>
      <c r="G51">
        <v>3.12201</v>
      </c>
      <c r="H51">
        <v>2.4450099999999999</v>
      </c>
      <c r="I51">
        <v>3.2746400000000002</v>
      </c>
      <c r="J51">
        <v>0.3393155856213268</v>
      </c>
      <c r="L51" s="13" t="s">
        <v>489</v>
      </c>
    </row>
    <row r="53" spans="2:21" x14ac:dyDescent="0.25">
      <c r="L53" s="18" t="s">
        <v>16</v>
      </c>
      <c r="M53" s="15"/>
      <c r="N53" s="15"/>
      <c r="O53" s="15"/>
      <c r="P53" s="15"/>
      <c r="Q53" s="15"/>
      <c r="R53" s="15"/>
      <c r="S53" s="15"/>
      <c r="T53" s="15"/>
      <c r="U53" s="15"/>
    </row>
    <row r="54" spans="2:21" x14ac:dyDescent="0.25">
      <c r="L54" s="13" t="s">
        <v>490</v>
      </c>
      <c r="M54" s="16"/>
      <c r="N54" s="16"/>
      <c r="O54" s="16"/>
      <c r="P54" s="16"/>
      <c r="Q54" s="16"/>
      <c r="R54" s="16"/>
      <c r="S54" s="16"/>
      <c r="T54" s="16"/>
      <c r="U54" s="16"/>
    </row>
    <row r="55" spans="2:21" x14ac:dyDescent="0.25">
      <c r="L55" s="14" t="s">
        <v>491</v>
      </c>
      <c r="M55" s="14"/>
      <c r="N55" s="14"/>
      <c r="O55" s="14"/>
      <c r="P55" s="14"/>
      <c r="Q55" s="14"/>
      <c r="R55" s="14"/>
      <c r="S55" s="14"/>
      <c r="T55" s="14"/>
      <c r="U55" s="14"/>
    </row>
    <row r="56" spans="2:21" x14ac:dyDescent="0.25">
      <c r="L56" s="14"/>
      <c r="M56" s="14"/>
      <c r="N56" s="14"/>
      <c r="O56" s="14"/>
      <c r="P56" s="14"/>
      <c r="Q56" s="14"/>
      <c r="R56" s="14"/>
      <c r="S56" s="14"/>
      <c r="T56" s="14"/>
      <c r="U56" s="14"/>
    </row>
    <row r="57" spans="2:21" x14ac:dyDescent="0.25">
      <c r="L57" s="14" t="s">
        <v>492</v>
      </c>
      <c r="M57" s="14"/>
      <c r="N57" s="14"/>
      <c r="O57" s="14"/>
      <c r="P57" s="14"/>
      <c r="Q57" s="14"/>
      <c r="R57" s="14"/>
      <c r="S57" s="14"/>
      <c r="T57" s="14"/>
      <c r="U57" s="14"/>
    </row>
    <row r="58" spans="2:21" x14ac:dyDescent="0.25">
      <c r="L58" s="14"/>
      <c r="M58" s="14"/>
      <c r="N58" s="14"/>
      <c r="O58" s="14"/>
      <c r="P58" s="14"/>
      <c r="Q58" s="14"/>
      <c r="R58" s="14"/>
      <c r="S58" s="14"/>
      <c r="T58" s="14"/>
      <c r="U58" s="14"/>
    </row>
    <row r="59" spans="2:21" x14ac:dyDescent="0.25">
      <c r="L59" s="13" t="s">
        <v>493</v>
      </c>
      <c r="M59" s="15"/>
      <c r="N59" s="15"/>
      <c r="O59" s="15"/>
      <c r="P59" s="15"/>
      <c r="Q59" s="15"/>
      <c r="R59" s="15"/>
      <c r="S59" s="15"/>
      <c r="T59" s="15"/>
      <c r="U59" s="15"/>
    </row>
    <row r="60" spans="2:21" x14ac:dyDescent="0.25">
      <c r="L60" s="14" t="s">
        <v>494</v>
      </c>
      <c r="M60" s="14"/>
      <c r="N60" s="14"/>
      <c r="O60" s="14"/>
      <c r="P60" s="14"/>
      <c r="Q60" s="14"/>
      <c r="R60" s="14"/>
      <c r="S60" s="14"/>
      <c r="T60" s="14"/>
      <c r="U60" s="14"/>
    </row>
    <row r="61" spans="2:21" x14ac:dyDescent="0.25">
      <c r="L61" s="14"/>
      <c r="M61" s="14"/>
      <c r="N61" s="14"/>
      <c r="O61" s="14"/>
      <c r="P61" s="14"/>
      <c r="Q61" s="14"/>
      <c r="R61" s="14"/>
      <c r="S61" s="14"/>
      <c r="T61" s="14"/>
      <c r="U61" s="14"/>
    </row>
    <row r="62" spans="2:21" x14ac:dyDescent="0.25">
      <c r="L62" s="13" t="s">
        <v>495</v>
      </c>
    </row>
    <row r="63" spans="2:21" x14ac:dyDescent="0.25">
      <c r="L63" s="13" t="s">
        <v>496</v>
      </c>
    </row>
    <row r="64" spans="2:21" x14ac:dyDescent="0.25">
      <c r="L64" s="91"/>
      <c r="M64" s="91"/>
      <c r="N64" s="91"/>
      <c r="O64" s="91"/>
      <c r="P64" s="91"/>
      <c r="Q64" s="91"/>
      <c r="R64" s="91"/>
      <c r="S64" s="91"/>
      <c r="T64" s="91"/>
      <c r="U64" s="91"/>
    </row>
    <row r="66" spans="12:21" x14ac:dyDescent="0.25">
      <c r="L66" s="16"/>
      <c r="M66" s="16"/>
      <c r="N66" s="16"/>
      <c r="O66" s="16"/>
      <c r="P66" s="16"/>
      <c r="Q66" s="16"/>
      <c r="R66" s="16"/>
      <c r="S66" s="16"/>
      <c r="T66" s="16"/>
      <c r="U66" s="16"/>
    </row>
    <row r="67" spans="12:21" x14ac:dyDescent="0.25">
      <c r="L67" s="16"/>
      <c r="M67" s="16"/>
      <c r="N67" s="16"/>
      <c r="O67" s="16"/>
      <c r="P67" s="16"/>
      <c r="Q67" s="16"/>
      <c r="R67" s="16"/>
      <c r="S67" s="16"/>
      <c r="T67" s="16"/>
      <c r="U67" s="16"/>
    </row>
    <row r="68" spans="12:21" x14ac:dyDescent="0.25">
      <c r="L68" s="16"/>
      <c r="M68" s="16"/>
      <c r="N68" s="16"/>
      <c r="O68" s="16"/>
      <c r="P68" s="16"/>
      <c r="Q68" s="16"/>
      <c r="R68" s="16"/>
      <c r="S68" s="16"/>
      <c r="T68" s="16"/>
      <c r="U68" s="16"/>
    </row>
  </sheetData>
  <mergeCells count="8">
    <mergeCell ref="L57:U58"/>
    <mergeCell ref="L60:U61"/>
    <mergeCell ref="L6:U32"/>
    <mergeCell ref="L35:U36"/>
    <mergeCell ref="L40:U41"/>
    <mergeCell ref="L44:U45"/>
    <mergeCell ref="L48:U49"/>
    <mergeCell ref="L55:U5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BD3BC-753D-4643-B214-D8B35CB254F9}">
  <dimension ref="B1:U68"/>
  <sheetViews>
    <sheetView workbookViewId="0">
      <selection activeCell="D25" sqref="D25:I25"/>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 t="s">
        <v>500</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x14ac:dyDescent="0.25">
      <c r="L23" s="11"/>
      <c r="M23" s="11"/>
      <c r="N23" s="11"/>
      <c r="O23" s="11"/>
      <c r="P23" s="11"/>
      <c r="Q23" s="11"/>
      <c r="R23" s="11"/>
      <c r="S23" s="11"/>
      <c r="T23" s="11"/>
      <c r="U23" s="11"/>
    </row>
    <row r="24" spans="2:21" x14ac:dyDescent="0.25">
      <c r="D24" t="s">
        <v>36</v>
      </c>
      <c r="H24" t="s">
        <v>37</v>
      </c>
      <c r="L24" s="11"/>
      <c r="M24" s="11"/>
      <c r="N24" s="11"/>
      <c r="O24" s="11"/>
      <c r="P24" s="11"/>
      <c r="Q24" s="11"/>
      <c r="R24" s="11"/>
      <c r="S24" s="11"/>
      <c r="T24" s="11"/>
      <c r="U24" s="11"/>
    </row>
    <row r="25" spans="2:21" x14ac:dyDescent="0.25">
      <c r="D25" s="25">
        <v>44926</v>
      </c>
      <c r="E25" s="25">
        <v>45291</v>
      </c>
      <c r="F25" s="25">
        <v>45657</v>
      </c>
      <c r="G25" s="26">
        <v>46022</v>
      </c>
      <c r="H25" s="27">
        <v>45747</v>
      </c>
      <c r="I25" s="26">
        <v>46112</v>
      </c>
      <c r="J25" t="s">
        <v>38</v>
      </c>
      <c r="L25" s="11"/>
      <c r="M25" s="11"/>
      <c r="N25" s="11"/>
      <c r="O25" s="11"/>
      <c r="P25" s="11"/>
      <c r="Q25" s="11"/>
      <c r="R25" s="11"/>
      <c r="S25" s="11"/>
      <c r="T25" s="11"/>
      <c r="U25" s="11"/>
    </row>
    <row r="26" spans="2:21" x14ac:dyDescent="0.25">
      <c r="B26" t="s">
        <v>39</v>
      </c>
      <c r="D26">
        <v>11619.031950000001</v>
      </c>
      <c r="E26">
        <v>19380.097969999999</v>
      </c>
      <c r="F26">
        <v>16814.141800000001</v>
      </c>
      <c r="G26">
        <v>19835.584869999999</v>
      </c>
      <c r="H26">
        <v>17894.410110000001</v>
      </c>
      <c r="I26">
        <v>18731.632140000002</v>
      </c>
      <c r="J26">
        <v>4.6786791229968205E-2</v>
      </c>
      <c r="L26" s="11"/>
      <c r="M26" s="11"/>
      <c r="N26" s="11"/>
      <c r="O26" s="11"/>
      <c r="P26" s="11"/>
      <c r="Q26" s="11"/>
      <c r="R26" s="11"/>
      <c r="S26" s="11"/>
      <c r="T26" s="11"/>
      <c r="U26" s="11"/>
    </row>
    <row r="27" spans="2:21" x14ac:dyDescent="0.25">
      <c r="B27" t="s">
        <v>40</v>
      </c>
      <c r="D27">
        <v>7248.9631099999997</v>
      </c>
      <c r="E27">
        <v>13413.2462</v>
      </c>
      <c r="F27">
        <v>11601.015429999999</v>
      </c>
      <c r="G27">
        <v>13335.129370000001</v>
      </c>
      <c r="H27">
        <v>12460.33706</v>
      </c>
      <c r="I27">
        <v>12113.140530000001</v>
      </c>
      <c r="J27">
        <v>-2.786413628525064E-2</v>
      </c>
      <c r="L27" s="11"/>
      <c r="M27" s="11"/>
      <c r="N27" s="11"/>
      <c r="O27" s="11"/>
      <c r="P27" s="11"/>
      <c r="Q27" s="11"/>
      <c r="R27" s="11"/>
      <c r="S27" s="11"/>
      <c r="T27" s="11"/>
      <c r="U27" s="11"/>
    </row>
    <row r="28" spans="2:21" x14ac:dyDescent="0.25">
      <c r="B28" t="s">
        <v>41</v>
      </c>
      <c r="D28">
        <v>4370.0688300000002</v>
      </c>
      <c r="E28">
        <v>5966.85178</v>
      </c>
      <c r="F28">
        <v>5213.12637</v>
      </c>
      <c r="G28">
        <v>6500.4555</v>
      </c>
      <c r="H28">
        <v>5434.07305</v>
      </c>
      <c r="I28">
        <v>6618.49161</v>
      </c>
      <c r="J28">
        <v>0.21796147182820813</v>
      </c>
      <c r="L28" s="11"/>
      <c r="M28" s="11"/>
      <c r="N28" s="11"/>
      <c r="O28" s="11"/>
      <c r="P28" s="11"/>
      <c r="Q28" s="11"/>
      <c r="R28" s="11"/>
      <c r="S28" s="11"/>
      <c r="T28" s="11"/>
      <c r="U28" s="11"/>
    </row>
    <row r="29" spans="2:21" x14ac:dyDescent="0.25">
      <c r="B29" t="s">
        <v>42</v>
      </c>
      <c r="D29">
        <v>732.48880999999994</v>
      </c>
      <c r="E29">
        <v>915.59751000000006</v>
      </c>
      <c r="F29">
        <v>840.84385999999995</v>
      </c>
      <c r="G29">
        <v>1250.7221</v>
      </c>
      <c r="H29">
        <v>891.79206999999997</v>
      </c>
      <c r="I29">
        <v>1326.40174</v>
      </c>
      <c r="J29">
        <v>0.48734417429838772</v>
      </c>
      <c r="L29" s="11"/>
      <c r="M29" s="11"/>
      <c r="N29" s="11"/>
      <c r="O29" s="11"/>
      <c r="P29" s="11"/>
      <c r="Q29" s="11"/>
      <c r="R29" s="11"/>
      <c r="S29" s="11"/>
      <c r="T29" s="11"/>
      <c r="U29" s="11"/>
    </row>
    <row r="30" spans="2:21" x14ac:dyDescent="0.25">
      <c r="B30" t="s">
        <v>43</v>
      </c>
      <c r="D30">
        <v>600.94021999999995</v>
      </c>
      <c r="E30">
        <v>933.52025000000003</v>
      </c>
      <c r="F30">
        <v>862.19970000000001</v>
      </c>
      <c r="G30">
        <v>1183.6784600000001</v>
      </c>
      <c r="H30">
        <v>900.02488000000005</v>
      </c>
      <c r="I30">
        <v>1259.7373500000001</v>
      </c>
      <c r="J30">
        <v>0.39966947358166371</v>
      </c>
      <c r="L30" s="11"/>
      <c r="M30" s="11"/>
      <c r="N30" s="11"/>
      <c r="O30" s="11"/>
      <c r="P30" s="11"/>
      <c r="Q30" s="11"/>
      <c r="R30" s="11"/>
      <c r="S30" s="11"/>
      <c r="T30" s="11"/>
      <c r="U30" s="11"/>
    </row>
    <row r="31" spans="2:21" x14ac:dyDescent="0.25">
      <c r="B31" t="s">
        <v>44</v>
      </c>
      <c r="D31">
        <v>2098.9331499999998</v>
      </c>
      <c r="E31">
        <v>2626.6569500000001</v>
      </c>
      <c r="F31">
        <v>2308.3494000000001</v>
      </c>
      <c r="G31">
        <v>2968.1390099999999</v>
      </c>
      <c r="H31">
        <v>2430.58464</v>
      </c>
      <c r="I31">
        <v>3022.4397399999998</v>
      </c>
      <c r="J31">
        <v>0.24350318448486519</v>
      </c>
      <c r="L31" s="11"/>
      <c r="M31" s="11"/>
      <c r="N31" s="11"/>
      <c r="O31" s="11"/>
      <c r="P31" s="11"/>
      <c r="Q31" s="11"/>
      <c r="R31" s="11"/>
      <c r="S31" s="11"/>
      <c r="T31" s="11"/>
      <c r="U31" s="11"/>
    </row>
    <row r="32" spans="2:21" x14ac:dyDescent="0.25">
      <c r="B32" t="s">
        <v>45</v>
      </c>
      <c r="D32">
        <v>2411.2969699999999</v>
      </c>
      <c r="E32">
        <v>3332.6235099999999</v>
      </c>
      <c r="F32">
        <v>2901.3696399999999</v>
      </c>
      <c r="G32">
        <v>3611.1358100000002</v>
      </c>
      <c r="H32">
        <v>3004.8240000000001</v>
      </c>
      <c r="I32">
        <v>3674.1509299999998</v>
      </c>
      <c r="J32">
        <v>0.2227507933908941</v>
      </c>
      <c r="L32" s="11"/>
      <c r="M32" s="11"/>
      <c r="N32" s="11"/>
      <c r="O32" s="11"/>
      <c r="P32" s="11"/>
      <c r="Q32" s="11"/>
      <c r="R32" s="11"/>
      <c r="S32" s="11"/>
      <c r="T32" s="11"/>
      <c r="U32" s="11"/>
    </row>
    <row r="33" spans="2:21" x14ac:dyDescent="0.25">
      <c r="B33" t="s">
        <v>46</v>
      </c>
      <c r="D33">
        <v>640.10744999999997</v>
      </c>
      <c r="E33">
        <v>853.25241000000005</v>
      </c>
      <c r="F33">
        <v>746.49428</v>
      </c>
      <c r="G33">
        <v>981.88099999999997</v>
      </c>
      <c r="H33">
        <v>768.18570999999997</v>
      </c>
      <c r="I33">
        <v>993.40817000000004</v>
      </c>
      <c r="J33">
        <v>0.29318751581567448</v>
      </c>
      <c r="L33" s="12" t="s">
        <v>2</v>
      </c>
    </row>
    <row r="34" spans="2:21" x14ac:dyDescent="0.25">
      <c r="B34" t="s">
        <v>47</v>
      </c>
      <c r="D34">
        <v>1771.1895199999999</v>
      </c>
      <c r="E34">
        <v>2479.3710900000001</v>
      </c>
      <c r="F34">
        <v>2154.87536</v>
      </c>
      <c r="G34">
        <v>2629.2548099999999</v>
      </c>
      <c r="H34">
        <v>2236.6382800000001</v>
      </c>
      <c r="I34">
        <v>2680.7427699999998</v>
      </c>
      <c r="J34">
        <v>0.19855892388643182</v>
      </c>
      <c r="L34" s="13" t="s">
        <v>416</v>
      </c>
    </row>
    <row r="35" spans="2:21" x14ac:dyDescent="0.25">
      <c r="B35" t="s">
        <v>48</v>
      </c>
      <c r="D35">
        <v>1771.1895199999999</v>
      </c>
      <c r="E35">
        <v>2481.1456199999998</v>
      </c>
      <c r="F35">
        <v>2152.5718099999999</v>
      </c>
      <c r="G35">
        <v>2628.4216299999998</v>
      </c>
      <c r="H35">
        <v>2231.373</v>
      </c>
      <c r="I35">
        <v>2662.8413799999998</v>
      </c>
      <c r="J35">
        <v>0.19336452489117684</v>
      </c>
      <c r="L35" s="13" t="s">
        <v>417</v>
      </c>
      <c r="M35" s="13"/>
      <c r="N35" s="13"/>
      <c r="O35" s="13"/>
      <c r="P35" s="13"/>
      <c r="Q35" s="13"/>
      <c r="R35" s="13"/>
      <c r="S35" s="13"/>
      <c r="T35" s="13"/>
      <c r="U35" s="13"/>
    </row>
    <row r="36" spans="2:21" x14ac:dyDescent="0.25">
      <c r="B36" t="s">
        <v>49</v>
      </c>
      <c r="D36">
        <v>1.0026999999999999E-2</v>
      </c>
      <c r="E36">
        <v>9.7879999999999998E-3</v>
      </c>
      <c r="F36">
        <v>9.0310000000000008E-3</v>
      </c>
      <c r="G36">
        <v>1.374E-2</v>
      </c>
      <c r="H36">
        <v>8.967000000000001E-3</v>
      </c>
      <c r="I36">
        <v>1.4055999999999999E-2</v>
      </c>
      <c r="J36" t="s">
        <v>139</v>
      </c>
      <c r="L36" s="14" t="s">
        <v>418</v>
      </c>
      <c r="M36" s="14"/>
      <c r="N36" s="14"/>
      <c r="O36" s="14"/>
      <c r="P36" s="14"/>
      <c r="Q36" s="14"/>
      <c r="R36" s="14"/>
      <c r="S36" s="14"/>
      <c r="T36" s="14"/>
      <c r="U36" s="14"/>
    </row>
    <row r="37" spans="2:21" x14ac:dyDescent="0.25">
      <c r="B37" t="s">
        <v>51</v>
      </c>
      <c r="D37">
        <v>1.873775</v>
      </c>
      <c r="E37">
        <v>1.873775</v>
      </c>
      <c r="F37">
        <v>1.8606720000000001</v>
      </c>
      <c r="G37">
        <v>1.344954</v>
      </c>
      <c r="H37">
        <v>1.899769</v>
      </c>
      <c r="I37">
        <v>1.3990850000000001</v>
      </c>
      <c r="J37" t="s">
        <v>501</v>
      </c>
      <c r="L37" s="14"/>
      <c r="M37" s="14"/>
      <c r="N37" s="14"/>
      <c r="O37" s="14"/>
      <c r="P37" s="14"/>
      <c r="Q37" s="14"/>
      <c r="R37" s="14"/>
      <c r="S37" s="14"/>
      <c r="T37" s="14"/>
      <c r="U37" s="14"/>
    </row>
    <row r="38" spans="2:21" x14ac:dyDescent="0.25">
      <c r="B38" t="s">
        <v>53</v>
      </c>
      <c r="D38">
        <v>1.0920430000000001</v>
      </c>
      <c r="E38">
        <v>1.1034820000000001</v>
      </c>
      <c r="F38">
        <v>0.96591300000000002</v>
      </c>
      <c r="G38">
        <v>1.0854170000000001</v>
      </c>
      <c r="H38">
        <v>0</v>
      </c>
      <c r="I38">
        <v>0</v>
      </c>
      <c r="J38" t="s">
        <v>54</v>
      </c>
      <c r="L38" s="13" t="s">
        <v>419</v>
      </c>
      <c r="M38" s="13"/>
      <c r="N38" s="13"/>
      <c r="O38" s="13"/>
      <c r="P38" s="13"/>
      <c r="Q38" s="13"/>
      <c r="R38" s="13"/>
      <c r="S38" s="13"/>
      <c r="T38" s="13"/>
      <c r="U38" s="13"/>
    </row>
    <row r="39" spans="2:21" x14ac:dyDescent="0.25">
      <c r="B39" t="s">
        <v>55</v>
      </c>
      <c r="D39">
        <v>0.10373900000000001</v>
      </c>
      <c r="E39">
        <v>9.2420000000000002E-2</v>
      </c>
      <c r="F39">
        <v>8.7035000000000001E-2</v>
      </c>
      <c r="G39">
        <v>7.9863999999999991E-2</v>
      </c>
      <c r="H39">
        <v>8.8742000000000001E-2</v>
      </c>
      <c r="I39">
        <v>8.3741999999999997E-2</v>
      </c>
      <c r="J39" t="s">
        <v>442</v>
      </c>
      <c r="L39" s="13" t="s">
        <v>6</v>
      </c>
      <c r="M39" s="13"/>
      <c r="N39" s="13"/>
      <c r="O39" s="13"/>
      <c r="P39" s="13"/>
      <c r="Q39" s="13"/>
      <c r="R39" s="13"/>
      <c r="S39" s="13"/>
      <c r="T39" s="13"/>
      <c r="U39" s="13"/>
    </row>
    <row r="40" spans="2:21" x14ac:dyDescent="0.25">
      <c r="B40" t="s">
        <v>57</v>
      </c>
      <c r="D40">
        <v>0.103742</v>
      </c>
      <c r="E40">
        <v>9.1395999999999991E-2</v>
      </c>
      <c r="F40">
        <v>8.4976999999999997E-2</v>
      </c>
      <c r="G40">
        <v>7.8882999999999995E-2</v>
      </c>
      <c r="H40">
        <v>8.6674000000000001E-2</v>
      </c>
      <c r="I40">
        <v>8.2739999999999994E-2</v>
      </c>
      <c r="J40" t="s">
        <v>158</v>
      </c>
      <c r="L40" s="13" t="s">
        <v>420</v>
      </c>
      <c r="M40" s="13"/>
      <c r="N40" s="13"/>
      <c r="O40" s="13"/>
      <c r="P40" s="13"/>
      <c r="Q40" s="13"/>
      <c r="R40" s="13"/>
      <c r="S40" s="13"/>
      <c r="T40" s="13"/>
      <c r="U40" s="13"/>
    </row>
    <row r="41" spans="2:21" x14ac:dyDescent="0.25">
      <c r="B41" t="s">
        <v>58</v>
      </c>
      <c r="D41">
        <v>1.021471</v>
      </c>
      <c r="E41">
        <v>1.004475</v>
      </c>
      <c r="F41">
        <v>1.0602880000000001</v>
      </c>
      <c r="G41">
        <v>1.041156</v>
      </c>
      <c r="H41">
        <v>1.024877</v>
      </c>
      <c r="I41">
        <v>1.03338</v>
      </c>
      <c r="J41" t="s">
        <v>470</v>
      </c>
      <c r="L41" s="13" t="s">
        <v>421</v>
      </c>
      <c r="M41" s="13"/>
      <c r="N41" s="13"/>
      <c r="O41" s="13"/>
      <c r="P41" s="13"/>
      <c r="Q41" s="13"/>
      <c r="R41" s="13"/>
      <c r="S41" s="13"/>
      <c r="T41" s="13"/>
      <c r="U41" s="13"/>
    </row>
    <row r="42" spans="2:21" x14ac:dyDescent="0.25">
      <c r="B42" t="s">
        <v>60</v>
      </c>
      <c r="D42">
        <v>0.22450000000000001</v>
      </c>
      <c r="E42">
        <v>0.20480000000000001</v>
      </c>
      <c r="F42">
        <v>0</v>
      </c>
      <c r="G42">
        <v>0.1966</v>
      </c>
      <c r="H42">
        <v>0.2266</v>
      </c>
      <c r="I42">
        <v>0.19329999999999997</v>
      </c>
      <c r="J42" t="s">
        <v>502</v>
      </c>
      <c r="L42" s="13" t="s">
        <v>422</v>
      </c>
      <c r="M42" s="15"/>
      <c r="N42" s="15"/>
      <c r="O42" s="15"/>
      <c r="P42" s="15"/>
      <c r="Q42" s="15"/>
      <c r="R42" s="15"/>
      <c r="S42" s="15"/>
      <c r="T42" s="15"/>
      <c r="U42" s="15"/>
    </row>
    <row r="43" spans="2:21" x14ac:dyDescent="0.25">
      <c r="B43" t="s">
        <v>62</v>
      </c>
      <c r="D43">
        <v>0.15140000000000001</v>
      </c>
      <c r="E43">
        <v>0.14730000000000001</v>
      </c>
      <c r="F43">
        <v>0</v>
      </c>
      <c r="G43">
        <v>0.12609999999999999</v>
      </c>
      <c r="H43">
        <v>0.14400000000000002</v>
      </c>
      <c r="I43">
        <v>0.12740000000000001</v>
      </c>
      <c r="J43" t="s">
        <v>443</v>
      </c>
      <c r="L43" s="13" t="s">
        <v>6</v>
      </c>
      <c r="M43" s="15"/>
      <c r="N43" s="15"/>
      <c r="O43" s="15"/>
      <c r="P43" s="15"/>
      <c r="Q43" s="15"/>
      <c r="R43" s="15"/>
      <c r="S43" s="15"/>
      <c r="T43" s="15"/>
      <c r="U43" s="15"/>
    </row>
    <row r="44" spans="2:21" x14ac:dyDescent="0.25">
      <c r="B44" t="s">
        <v>63</v>
      </c>
      <c r="D44">
        <v>3.9000000000000003E-3</v>
      </c>
      <c r="E44">
        <v>2.3999999999999998E-3</v>
      </c>
      <c r="F44">
        <v>0</v>
      </c>
      <c r="G44">
        <v>4.0260000000000001E-3</v>
      </c>
      <c r="H44">
        <v>2.117E-3</v>
      </c>
      <c r="I44">
        <v>4.0590000000000001E-3</v>
      </c>
      <c r="J44" t="s">
        <v>102</v>
      </c>
      <c r="L44" s="13" t="s">
        <v>423</v>
      </c>
    </row>
    <row r="45" spans="2:21" x14ac:dyDescent="0.25">
      <c r="B45" t="s">
        <v>64</v>
      </c>
      <c r="D45">
        <v>0.22850000000000001</v>
      </c>
      <c r="E45">
        <v>0.2072</v>
      </c>
      <c r="F45">
        <v>0</v>
      </c>
      <c r="G45">
        <v>0.2006</v>
      </c>
      <c r="H45">
        <v>0.22870000000000001</v>
      </c>
      <c r="I45">
        <v>0.19739999999999999</v>
      </c>
      <c r="J45" t="s">
        <v>444</v>
      </c>
      <c r="L45" s="13" t="s">
        <v>424</v>
      </c>
    </row>
    <row r="46" spans="2:21" x14ac:dyDescent="0.25">
      <c r="B46" t="s">
        <v>66</v>
      </c>
      <c r="D46">
        <v>0.23883500000000002</v>
      </c>
      <c r="E46">
        <v>0.28355799999999998</v>
      </c>
      <c r="F46">
        <v>0.300817</v>
      </c>
      <c r="G46">
        <v>0.31662600000000002</v>
      </c>
      <c r="H46">
        <v>0.28533599999999998</v>
      </c>
      <c r="I46">
        <v>0.30010500000000001</v>
      </c>
      <c r="J46" t="s">
        <v>67</v>
      </c>
      <c r="L46" s="13" t="s">
        <v>425</v>
      </c>
    </row>
    <row r="47" spans="2:21" x14ac:dyDescent="0.25">
      <c r="B47" t="s">
        <v>68</v>
      </c>
      <c r="D47">
        <v>0.238843</v>
      </c>
      <c r="E47">
        <v>0.28061599999999998</v>
      </c>
      <c r="F47">
        <v>0.29366300000000001</v>
      </c>
      <c r="G47">
        <v>0.31260399999999999</v>
      </c>
      <c r="H47">
        <v>0.27828399999999998</v>
      </c>
      <c r="I47">
        <v>0.295298</v>
      </c>
      <c r="J47" t="s">
        <v>503</v>
      </c>
      <c r="L47" s="13" t="s">
        <v>426</v>
      </c>
      <c r="M47" s="16"/>
      <c r="N47" s="16"/>
      <c r="O47" s="16"/>
      <c r="P47" s="16"/>
      <c r="Q47" s="16"/>
      <c r="R47" s="16"/>
      <c r="S47" s="16"/>
      <c r="T47" s="16"/>
      <c r="U47" s="16"/>
    </row>
    <row r="48" spans="2:21" x14ac:dyDescent="0.25">
      <c r="B48" t="s">
        <v>70</v>
      </c>
      <c r="D48">
        <v>2.4777E-2</v>
      </c>
      <c r="E48">
        <v>2.5916000000000002E-2</v>
      </c>
      <c r="F48">
        <v>2.5562000000000001E-2</v>
      </c>
      <c r="G48">
        <v>2.4975999999999998E-2</v>
      </c>
      <c r="H48">
        <v>2.4731E-2</v>
      </c>
      <c r="I48">
        <v>2.4830000000000001E-2</v>
      </c>
      <c r="J48" t="s">
        <v>54</v>
      </c>
      <c r="L48" s="13" t="s">
        <v>427</v>
      </c>
      <c r="M48" s="16"/>
      <c r="N48" s="16"/>
      <c r="O48" s="16"/>
      <c r="P48" s="16"/>
      <c r="Q48" s="16"/>
      <c r="R48" s="16"/>
      <c r="S48" s="16"/>
      <c r="T48" s="16"/>
      <c r="U48" s="16"/>
    </row>
    <row r="49" spans="2:21" x14ac:dyDescent="0.25">
      <c r="B49" t="s">
        <v>71</v>
      </c>
      <c r="D49">
        <v>0</v>
      </c>
      <c r="E49">
        <v>0</v>
      </c>
      <c r="F49">
        <v>0</v>
      </c>
      <c r="G49">
        <v>0</v>
      </c>
      <c r="H49">
        <v>0</v>
      </c>
      <c r="I49">
        <v>0</v>
      </c>
      <c r="J49" t="s">
        <v>103</v>
      </c>
      <c r="L49" s="13" t="s">
        <v>428</v>
      </c>
      <c r="M49" s="17"/>
      <c r="N49" s="17"/>
      <c r="O49" s="17"/>
      <c r="P49" s="17"/>
      <c r="Q49" s="17"/>
      <c r="R49" s="17"/>
      <c r="S49" s="17"/>
      <c r="T49" s="17"/>
      <c r="U49" s="17"/>
    </row>
    <row r="50" spans="2:21" x14ac:dyDescent="0.25">
      <c r="B50" t="s">
        <v>72</v>
      </c>
      <c r="D50">
        <v>0</v>
      </c>
      <c r="E50">
        <v>0</v>
      </c>
      <c r="F50">
        <v>0</v>
      </c>
      <c r="G50">
        <v>0</v>
      </c>
      <c r="H50">
        <v>0</v>
      </c>
      <c r="I50">
        <v>0</v>
      </c>
      <c r="J50" t="s">
        <v>103</v>
      </c>
      <c r="L50" s="13" t="s">
        <v>429</v>
      </c>
      <c r="M50" s="17"/>
      <c r="N50" s="17"/>
      <c r="O50" s="17"/>
      <c r="P50" s="17"/>
      <c r="Q50" s="17"/>
      <c r="R50" s="17"/>
      <c r="S50" s="17"/>
      <c r="T50" s="17"/>
      <c r="U50" s="17"/>
    </row>
    <row r="51" spans="2:21" x14ac:dyDescent="0.25">
      <c r="B51" t="s">
        <v>73</v>
      </c>
      <c r="D51">
        <v>0</v>
      </c>
      <c r="E51">
        <v>0</v>
      </c>
      <c r="F51">
        <v>0</v>
      </c>
      <c r="G51">
        <v>0</v>
      </c>
      <c r="H51">
        <v>0</v>
      </c>
      <c r="I51">
        <v>0</v>
      </c>
      <c r="J51" t="s">
        <v>103</v>
      </c>
    </row>
    <row r="52" spans="2:21" x14ac:dyDescent="0.25">
      <c r="L52" s="18" t="s">
        <v>16</v>
      </c>
      <c r="M52" s="15"/>
      <c r="N52" s="15"/>
      <c r="O52" s="15"/>
      <c r="P52" s="15"/>
      <c r="Q52" s="15"/>
      <c r="R52" s="15"/>
      <c r="S52" s="15"/>
      <c r="T52" s="15"/>
      <c r="U52" s="15"/>
    </row>
    <row r="53" spans="2:21" x14ac:dyDescent="0.25">
      <c r="L53" s="13" t="s">
        <v>430</v>
      </c>
      <c r="M53" s="16"/>
      <c r="N53" s="16"/>
      <c r="O53" s="16"/>
      <c r="P53" s="16"/>
      <c r="Q53" s="16"/>
      <c r="R53" s="16"/>
      <c r="S53" s="16"/>
      <c r="T53" s="16"/>
      <c r="U53" s="16"/>
    </row>
    <row r="54" spans="2:21" x14ac:dyDescent="0.25">
      <c r="L54" s="13" t="s">
        <v>431</v>
      </c>
      <c r="M54" s="16"/>
      <c r="N54" s="16"/>
      <c r="O54" s="16"/>
      <c r="P54" s="16"/>
      <c r="Q54" s="16"/>
      <c r="R54" s="16"/>
      <c r="S54" s="16"/>
      <c r="T54" s="16"/>
      <c r="U54" s="16"/>
    </row>
    <row r="55" spans="2:21" x14ac:dyDescent="0.25">
      <c r="L55" s="13" t="s">
        <v>432</v>
      </c>
      <c r="M55" s="16"/>
      <c r="N55" s="16"/>
      <c r="O55" s="16"/>
      <c r="P55" s="16"/>
      <c r="Q55" s="16"/>
      <c r="R55" s="16"/>
      <c r="S55" s="16"/>
      <c r="T55" s="16"/>
      <c r="U55" s="16"/>
    </row>
    <row r="56" spans="2:21" x14ac:dyDescent="0.25">
      <c r="L56" s="13" t="s">
        <v>433</v>
      </c>
      <c r="M56" s="16"/>
      <c r="N56" s="16"/>
      <c r="O56" s="16"/>
      <c r="P56" s="16"/>
      <c r="Q56" s="16"/>
      <c r="R56" s="16"/>
      <c r="S56" s="16"/>
      <c r="T56" s="16"/>
      <c r="U56" s="16"/>
    </row>
    <row r="57" spans="2:21" x14ac:dyDescent="0.25">
      <c r="L57" s="13" t="s">
        <v>434</v>
      </c>
      <c r="M57" s="15"/>
      <c r="N57" s="15"/>
      <c r="O57" s="15"/>
      <c r="P57" s="15"/>
      <c r="Q57" s="15"/>
      <c r="R57" s="15"/>
      <c r="S57" s="15"/>
      <c r="T57" s="15"/>
      <c r="U57" s="15"/>
    </row>
    <row r="58" spans="2:21" x14ac:dyDescent="0.25">
      <c r="L58" s="13" t="s">
        <v>435</v>
      </c>
      <c r="M58" s="15"/>
      <c r="N58" s="15"/>
      <c r="O58" s="15"/>
      <c r="P58" s="15"/>
      <c r="Q58" s="15"/>
      <c r="R58" s="15"/>
      <c r="S58" s="15"/>
      <c r="T58" s="15"/>
      <c r="U58" s="15"/>
    </row>
    <row r="59" spans="2:21" x14ac:dyDescent="0.25">
      <c r="L59" s="13" t="s">
        <v>436</v>
      </c>
      <c r="M59" s="13"/>
      <c r="N59" s="13"/>
      <c r="O59" s="13"/>
      <c r="P59" s="13"/>
      <c r="Q59" s="13"/>
      <c r="R59" s="13"/>
      <c r="S59" s="13"/>
      <c r="T59" s="13"/>
      <c r="U59" s="13"/>
    </row>
    <row r="60" spans="2:21" x14ac:dyDescent="0.25">
      <c r="L60" s="13" t="s">
        <v>437</v>
      </c>
    </row>
    <row r="61" spans="2:21" x14ac:dyDescent="0.25">
      <c r="L61" s="13" t="s">
        <v>438</v>
      </c>
    </row>
    <row r="62" spans="2:21" x14ac:dyDescent="0.25">
      <c r="L62" s="13" t="s">
        <v>439</v>
      </c>
    </row>
    <row r="63" spans="2:21" x14ac:dyDescent="0.25">
      <c r="L63" s="14" t="s">
        <v>440</v>
      </c>
      <c r="M63" s="14"/>
      <c r="N63" s="14"/>
      <c r="O63" s="14"/>
      <c r="P63" s="14"/>
      <c r="Q63" s="14"/>
      <c r="R63" s="14"/>
      <c r="S63" s="14"/>
      <c r="T63" s="14"/>
      <c r="U63" s="14"/>
    </row>
    <row r="64" spans="2:21" x14ac:dyDescent="0.25">
      <c r="L64" s="14"/>
      <c r="M64" s="14"/>
      <c r="N64" s="14"/>
      <c r="O64" s="14"/>
      <c r="P64" s="14"/>
      <c r="Q64" s="14"/>
      <c r="R64" s="14"/>
      <c r="S64" s="14"/>
      <c r="T64" s="14"/>
      <c r="U64" s="14"/>
    </row>
    <row r="66" spans="12:21" x14ac:dyDescent="0.25">
      <c r="L66" s="16"/>
      <c r="M66" s="16"/>
      <c r="N66" s="16"/>
      <c r="O66" s="16"/>
      <c r="P66" s="16"/>
      <c r="Q66" s="16"/>
      <c r="R66" s="16"/>
      <c r="S66" s="16"/>
      <c r="T66" s="16"/>
      <c r="U66" s="16"/>
    </row>
    <row r="67" spans="12:21" x14ac:dyDescent="0.25">
      <c r="L67" s="16"/>
      <c r="M67" s="16"/>
      <c r="N67" s="16"/>
      <c r="O67" s="16"/>
      <c r="P67" s="16"/>
      <c r="Q67" s="16"/>
      <c r="R67" s="16"/>
      <c r="S67" s="16"/>
      <c r="T67" s="16"/>
      <c r="U67" s="16"/>
    </row>
    <row r="68" spans="12:21" x14ac:dyDescent="0.25">
      <c r="L68" s="16"/>
      <c r="M68" s="16"/>
      <c r="N68" s="16"/>
      <c r="O68" s="16"/>
      <c r="P68" s="16"/>
      <c r="Q68" s="16"/>
      <c r="R68" s="16"/>
      <c r="S68" s="16"/>
      <c r="T68" s="16"/>
      <c r="U68" s="16"/>
    </row>
  </sheetData>
  <mergeCells count="3">
    <mergeCell ref="L6:U32"/>
    <mergeCell ref="L36:U37"/>
    <mergeCell ref="L63:U6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763B-C10B-46F0-B90F-EE0195740C34}">
  <dimension ref="B1:U53"/>
  <sheetViews>
    <sheetView workbookViewId="0">
      <selection activeCell="B24" sqref="B24: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 t="s">
        <v>278</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2" t="s">
        <v>2</v>
      </c>
      <c r="M21" s="68"/>
      <c r="N21" s="68"/>
      <c r="O21" s="68"/>
      <c r="P21" s="68"/>
      <c r="Q21" s="68"/>
      <c r="R21" s="68"/>
      <c r="S21" s="68"/>
      <c r="T21" s="68"/>
      <c r="U21" s="68"/>
    </row>
    <row r="22" spans="2:21" x14ac:dyDescent="0.25">
      <c r="L22" s="13" t="s">
        <v>279</v>
      </c>
      <c r="M22" s="68"/>
      <c r="N22" s="68"/>
      <c r="O22" s="68"/>
      <c r="P22" s="68"/>
      <c r="Q22" s="68"/>
      <c r="R22" s="68"/>
      <c r="S22" s="68"/>
      <c r="T22" s="68"/>
      <c r="U22" s="68"/>
    </row>
    <row r="23" spans="2:21" x14ac:dyDescent="0.25">
      <c r="L23" s="14" t="s">
        <v>280</v>
      </c>
      <c r="M23" s="14"/>
      <c r="N23" s="14"/>
      <c r="O23" s="14"/>
      <c r="P23" s="14"/>
      <c r="Q23" s="14"/>
      <c r="R23" s="14"/>
      <c r="S23" s="14"/>
      <c r="T23" s="14"/>
      <c r="U23" s="14"/>
    </row>
    <row r="24" spans="2:21" x14ac:dyDescent="0.25">
      <c r="B24" s="1"/>
      <c r="C24" s="1"/>
      <c r="D24" s="20" t="s">
        <v>36</v>
      </c>
      <c r="E24" s="21"/>
      <c r="F24" s="21"/>
      <c r="G24" s="22"/>
      <c r="H24" s="23" t="s">
        <v>37</v>
      </c>
      <c r="I24" s="21"/>
      <c r="J24" s="21"/>
      <c r="L24" s="13" t="s">
        <v>281</v>
      </c>
      <c r="M24" s="13"/>
      <c r="N24" s="13"/>
      <c r="O24" s="13"/>
      <c r="P24" s="13"/>
      <c r="Q24" s="13"/>
      <c r="R24" s="13"/>
      <c r="S24" s="13"/>
      <c r="T24" s="13"/>
      <c r="U24" s="13"/>
    </row>
    <row r="25" spans="2:21" x14ac:dyDescent="0.25">
      <c r="B25" s="24"/>
      <c r="C25" s="24"/>
      <c r="D25" s="25">
        <v>44926</v>
      </c>
      <c r="E25" s="25">
        <v>45291</v>
      </c>
      <c r="F25" s="25">
        <v>45657</v>
      </c>
      <c r="G25" s="26">
        <v>46022</v>
      </c>
      <c r="H25" s="27">
        <v>45747</v>
      </c>
      <c r="I25" s="26">
        <v>46112</v>
      </c>
      <c r="J25" s="28" t="s">
        <v>38</v>
      </c>
      <c r="L25" s="13" t="s">
        <v>282</v>
      </c>
      <c r="M25" s="68"/>
      <c r="N25" s="68"/>
      <c r="O25" s="68"/>
      <c r="P25" s="68"/>
      <c r="Q25" s="68"/>
      <c r="R25" s="68"/>
      <c r="S25" s="68"/>
      <c r="T25" s="68"/>
      <c r="U25" s="68"/>
    </row>
    <row r="26" spans="2:21" x14ac:dyDescent="0.25">
      <c r="B26" s="8" t="s">
        <v>300</v>
      </c>
      <c r="C26" s="8"/>
      <c r="D26" s="62">
        <v>48.584000000000003</v>
      </c>
      <c r="E26" s="62">
        <v>56.863</v>
      </c>
      <c r="F26" s="62">
        <v>236.16900000000001</v>
      </c>
      <c r="G26" s="63">
        <v>90.263000000000005</v>
      </c>
      <c r="H26" s="64">
        <v>125.551</v>
      </c>
      <c r="I26" s="63">
        <v>305.36799999999999</v>
      </c>
      <c r="J26" s="32">
        <v>1.4322227620648182</v>
      </c>
      <c r="L26" s="13" t="s">
        <v>283</v>
      </c>
      <c r="M26" s="13"/>
      <c r="N26" s="13"/>
      <c r="O26" s="13"/>
      <c r="P26" s="13"/>
      <c r="Q26" s="13"/>
      <c r="R26" s="13"/>
      <c r="S26" s="13"/>
      <c r="T26" s="13"/>
      <c r="U26" s="13"/>
    </row>
    <row r="27" spans="2:21" x14ac:dyDescent="0.25">
      <c r="B27" s="40" t="s">
        <v>181</v>
      </c>
      <c r="C27" s="33"/>
      <c r="D27" s="33">
        <v>0.25449899999999998</v>
      </c>
      <c r="E27" s="33">
        <v>0.238786</v>
      </c>
      <c r="F27" s="33">
        <v>0.24644300000000002</v>
      </c>
      <c r="G27" s="47">
        <v>0.25525900000000001</v>
      </c>
      <c r="H27" s="48">
        <v>0.24484500000000001</v>
      </c>
      <c r="I27" s="47">
        <v>0.26236899999999996</v>
      </c>
      <c r="J27" s="32">
        <v>7.1571810737405039E-2</v>
      </c>
      <c r="L27" s="13" t="s">
        <v>284</v>
      </c>
      <c r="M27" s="13"/>
      <c r="N27" s="13"/>
      <c r="O27" s="13"/>
      <c r="P27" s="13"/>
      <c r="Q27" s="13"/>
      <c r="R27" s="13"/>
      <c r="S27" s="13"/>
      <c r="T27" s="13"/>
      <c r="U27" s="13"/>
    </row>
    <row r="28" spans="2:21" x14ac:dyDescent="0.25">
      <c r="B28" s="40" t="s">
        <v>182</v>
      </c>
      <c r="C28" s="33"/>
      <c r="D28" s="33">
        <v>0.196497</v>
      </c>
      <c r="E28" s="33">
        <v>0.17851299999999998</v>
      </c>
      <c r="F28" s="33">
        <v>0.18688400000000002</v>
      </c>
      <c r="G28" s="47">
        <v>0.18768899999999999</v>
      </c>
      <c r="H28" s="48">
        <v>0.1895</v>
      </c>
      <c r="I28" s="47">
        <v>0.193272</v>
      </c>
      <c r="J28" s="32">
        <v>1.9905013192612175E-2</v>
      </c>
      <c r="L28" s="87" t="s">
        <v>285</v>
      </c>
      <c r="M28" s="87"/>
      <c r="N28" s="87"/>
      <c r="O28" s="87"/>
      <c r="P28" s="87"/>
      <c r="Q28" s="87"/>
      <c r="R28" s="87"/>
      <c r="S28" s="87"/>
      <c r="T28" s="87"/>
      <c r="U28" s="87"/>
    </row>
    <row r="29" spans="2:21" x14ac:dyDescent="0.25">
      <c r="B29" s="40" t="s">
        <v>183</v>
      </c>
      <c r="C29" s="33"/>
      <c r="D29" s="33">
        <v>0.24757000000000001</v>
      </c>
      <c r="E29" s="33">
        <v>0.23206600000000002</v>
      </c>
      <c r="F29" s="33">
        <v>0.24409500000000001</v>
      </c>
      <c r="G29" s="47">
        <v>0.24717500000000001</v>
      </c>
      <c r="H29" s="48">
        <v>0.24649799999999999</v>
      </c>
      <c r="I29" s="47">
        <v>0.25518599999999997</v>
      </c>
      <c r="J29" s="32">
        <v>3.5245722074824126E-2</v>
      </c>
      <c r="L29" s="87"/>
      <c r="M29" s="87"/>
      <c r="N29" s="87"/>
      <c r="O29" s="87"/>
      <c r="P29" s="87"/>
      <c r="Q29" s="87"/>
      <c r="R29" s="87"/>
      <c r="S29" s="87"/>
      <c r="T29" s="87"/>
      <c r="U29" s="87"/>
    </row>
    <row r="30" spans="2:21" x14ac:dyDescent="0.25">
      <c r="B30" s="40" t="s">
        <v>184</v>
      </c>
      <c r="C30" s="33"/>
      <c r="D30" s="33">
        <v>0.122168</v>
      </c>
      <c r="E30" s="33">
        <v>0.10486000000000001</v>
      </c>
      <c r="F30" s="33">
        <v>9.3584999999999988E-2</v>
      </c>
      <c r="G30" s="47">
        <v>0.108432</v>
      </c>
      <c r="H30" s="48">
        <v>9.0859000000000009E-2</v>
      </c>
      <c r="I30" s="47">
        <v>0.11126200000000001</v>
      </c>
      <c r="J30" s="32">
        <v>0.22455673075864802</v>
      </c>
      <c r="L30" s="87" t="s">
        <v>286</v>
      </c>
      <c r="M30" s="87"/>
      <c r="N30" s="87"/>
      <c r="O30" s="87"/>
      <c r="P30" s="87"/>
      <c r="Q30" s="87"/>
      <c r="R30" s="87"/>
      <c r="S30" s="87"/>
      <c r="T30" s="87"/>
      <c r="U30" s="87"/>
    </row>
    <row r="31" spans="2:21" x14ac:dyDescent="0.25">
      <c r="B31" s="34" t="s">
        <v>185</v>
      </c>
      <c r="C31" s="35"/>
      <c r="D31" s="35">
        <v>1.1960999999999999E-2</v>
      </c>
      <c r="E31" s="35">
        <v>-3.823E-2</v>
      </c>
      <c r="F31" s="35">
        <v>-3.552E-3</v>
      </c>
      <c r="G31" s="49">
        <v>-1.9879000000000001E-2</v>
      </c>
      <c r="H31" s="50">
        <v>-4.0106999999999997E-2</v>
      </c>
      <c r="I31" s="49">
        <v>5.4260999999999997E-2</v>
      </c>
      <c r="J31" s="39">
        <v>-2.3529059765128282</v>
      </c>
      <c r="L31" s="87"/>
      <c r="M31" s="87"/>
      <c r="N31" s="87"/>
      <c r="O31" s="87"/>
      <c r="P31" s="87"/>
      <c r="Q31" s="87"/>
      <c r="R31" s="87"/>
      <c r="S31" s="87"/>
      <c r="T31" s="87"/>
      <c r="U31" s="87"/>
    </row>
    <row r="32" spans="2:21" x14ac:dyDescent="0.25">
      <c r="B32" s="40" t="s">
        <v>186</v>
      </c>
      <c r="C32" s="8"/>
      <c r="D32" s="43">
        <v>10.971098932904532</v>
      </c>
      <c r="E32" s="43">
        <v>5.7191748742868818</v>
      </c>
      <c r="F32" s="43">
        <v>7.4306183285747256</v>
      </c>
      <c r="G32" s="52">
        <v>8.6172757111683236</v>
      </c>
      <c r="H32" s="61">
        <v>5.849264993160471</v>
      </c>
      <c r="I32" s="52">
        <v>10.963408975468813</v>
      </c>
      <c r="J32" s="32">
        <v>0.874322498346082</v>
      </c>
      <c r="L32" s="14" t="s">
        <v>287</v>
      </c>
      <c r="M32" s="14"/>
      <c r="N32" s="14"/>
      <c r="O32" s="14"/>
      <c r="P32" s="14"/>
      <c r="Q32" s="14"/>
      <c r="R32" s="14"/>
      <c r="S32" s="14"/>
      <c r="T32" s="14"/>
      <c r="U32" s="14"/>
    </row>
    <row r="33" spans="2:21" x14ac:dyDescent="0.25">
      <c r="B33" s="40" t="s">
        <v>187</v>
      </c>
      <c r="C33" s="8"/>
      <c r="D33" s="43">
        <v>11.224030000000001</v>
      </c>
      <c r="E33" s="43">
        <v>8.7691400000000002</v>
      </c>
      <c r="F33" s="43">
        <v>8.50366</v>
      </c>
      <c r="G33" s="52">
        <v>9.2563899999999997</v>
      </c>
      <c r="H33" s="61">
        <v>8.1611499999999992</v>
      </c>
      <c r="I33" s="52">
        <v>7.9183000000000003</v>
      </c>
      <c r="J33" s="32">
        <v>-2.9756835740061049E-2</v>
      </c>
      <c r="L33" s="87" t="s">
        <v>288</v>
      </c>
      <c r="M33" s="87"/>
      <c r="N33" s="87"/>
      <c r="O33" s="87"/>
      <c r="P33" s="87"/>
      <c r="Q33" s="87"/>
      <c r="R33" s="87"/>
      <c r="S33" s="87"/>
      <c r="T33" s="87"/>
      <c r="U33" s="87"/>
    </row>
    <row r="34" spans="2:21" x14ac:dyDescent="0.25">
      <c r="B34" s="40" t="s">
        <v>188</v>
      </c>
      <c r="C34" s="8"/>
      <c r="D34" s="43">
        <v>3.7282000000000002</v>
      </c>
      <c r="E34" s="43">
        <v>4.2708500000000003</v>
      </c>
      <c r="F34" s="43">
        <v>2.0117400000000001</v>
      </c>
      <c r="G34" s="52">
        <v>2.43797</v>
      </c>
      <c r="H34" s="61">
        <v>1.7031400000000001</v>
      </c>
      <c r="I34" s="52">
        <v>1.74166</v>
      </c>
      <c r="J34" s="32">
        <v>2.2617048510398474E-2</v>
      </c>
      <c r="L34" s="87"/>
      <c r="M34" s="87"/>
      <c r="N34" s="87"/>
      <c r="O34" s="87"/>
      <c r="P34" s="87"/>
      <c r="Q34" s="87"/>
      <c r="R34" s="87"/>
      <c r="S34" s="87"/>
      <c r="T34" s="87"/>
      <c r="U34" s="87"/>
    </row>
    <row r="35" spans="2:21" x14ac:dyDescent="0.25">
      <c r="B35" s="40" t="s">
        <v>189</v>
      </c>
      <c r="C35" s="8"/>
      <c r="D35" s="43">
        <v>1.8742799999999999</v>
      </c>
      <c r="E35" s="43">
        <v>2.1478999999999999</v>
      </c>
      <c r="F35" s="43">
        <v>2.4795699999999998</v>
      </c>
      <c r="G35" s="52">
        <v>2.4892400000000001</v>
      </c>
      <c r="H35" s="61">
        <v>2.53423</v>
      </c>
      <c r="I35" s="52">
        <v>2.4744000000000002</v>
      </c>
      <c r="J35" s="32">
        <v>-2.360874900857457E-2</v>
      </c>
      <c r="L35" s="59" t="s">
        <v>289</v>
      </c>
      <c r="M35" s="59"/>
      <c r="N35" s="59"/>
      <c r="O35" s="59"/>
      <c r="P35" s="59"/>
      <c r="Q35" s="59"/>
      <c r="R35" s="59"/>
      <c r="S35" s="59"/>
      <c r="T35" s="59"/>
      <c r="U35" s="59"/>
    </row>
    <row r="36" spans="2:21" x14ac:dyDescent="0.25">
      <c r="B36" s="40" t="s">
        <v>190</v>
      </c>
      <c r="C36" s="8"/>
      <c r="D36" s="43">
        <v>1.82423</v>
      </c>
      <c r="E36" s="43">
        <v>2.0886100000000001</v>
      </c>
      <c r="F36" s="43">
        <v>2.2435499999999999</v>
      </c>
      <c r="G36" s="52">
        <v>2.4024299999999998</v>
      </c>
      <c r="H36" s="61">
        <v>2.41086</v>
      </c>
      <c r="I36" s="52">
        <v>2.1864599999999998</v>
      </c>
      <c r="J36" s="32">
        <v>-9.3078818346979952E-2</v>
      </c>
      <c r="L36" s="59"/>
      <c r="M36" s="59"/>
      <c r="N36" s="59"/>
      <c r="O36" s="59"/>
      <c r="P36" s="59"/>
      <c r="Q36" s="59"/>
      <c r="R36" s="59"/>
      <c r="S36" s="59"/>
      <c r="T36" s="59"/>
      <c r="U36" s="59"/>
    </row>
    <row r="37" spans="2:21" x14ac:dyDescent="0.25">
      <c r="B37" s="40" t="s">
        <v>191</v>
      </c>
      <c r="C37" s="8"/>
      <c r="D37" s="43">
        <v>5.6426499999999997</v>
      </c>
      <c r="E37" s="43">
        <v>4.4101699999999999</v>
      </c>
      <c r="F37" s="43">
        <v>10.481210000000001</v>
      </c>
      <c r="G37" s="52">
        <v>9.4510400000000008</v>
      </c>
      <c r="H37" s="61">
        <v>12.14359</v>
      </c>
      <c r="I37" s="52">
        <v>11.24963</v>
      </c>
      <c r="J37" s="32">
        <v>-7.3615792364531418E-2</v>
      </c>
      <c r="L37" s="59"/>
      <c r="M37" s="59"/>
      <c r="N37" s="59"/>
      <c r="O37" s="59"/>
      <c r="P37" s="59"/>
      <c r="Q37" s="59"/>
      <c r="R37" s="59"/>
      <c r="S37" s="59"/>
      <c r="T37" s="59"/>
      <c r="U37" s="59"/>
    </row>
    <row r="38" spans="2:21" x14ac:dyDescent="0.25">
      <c r="B38" s="34" t="s">
        <v>192</v>
      </c>
      <c r="C38" s="53"/>
      <c r="D38" s="53">
        <v>5.4919799999999999</v>
      </c>
      <c r="E38" s="53">
        <v>4.2884500000000001</v>
      </c>
      <c r="F38" s="53">
        <v>9.4835600000000007</v>
      </c>
      <c r="G38" s="54">
        <v>9.1214499999999994</v>
      </c>
      <c r="H38" s="55">
        <v>11.552379999999999</v>
      </c>
      <c r="I38" s="54">
        <v>9.94055</v>
      </c>
      <c r="J38" s="39">
        <v>-0.13952363062849382</v>
      </c>
      <c r="L38" s="13" t="s">
        <v>290</v>
      </c>
      <c r="M38" s="13"/>
      <c r="N38" s="13"/>
      <c r="O38" s="13"/>
      <c r="P38" s="13"/>
      <c r="Q38" s="13"/>
      <c r="R38" s="13"/>
      <c r="S38" s="13"/>
      <c r="T38" s="13"/>
      <c r="U38" s="13"/>
    </row>
    <row r="39" spans="2:21" x14ac:dyDescent="0.25">
      <c r="B39" s="8" t="s">
        <v>193</v>
      </c>
      <c r="C39" s="43"/>
      <c r="D39" s="62">
        <v>46.289299999999997</v>
      </c>
      <c r="E39" s="62">
        <v>46.687519999999999</v>
      </c>
      <c r="F39" s="62">
        <v>46.324620000000003</v>
      </c>
      <c r="G39" s="63">
        <v>51.442740000000001</v>
      </c>
      <c r="H39" s="64">
        <v>56.284460000000003</v>
      </c>
      <c r="I39" s="63">
        <v>61.05574</v>
      </c>
      <c r="J39" s="32">
        <v>8.4770823065549505E-2</v>
      </c>
      <c r="L39" s="58" t="s">
        <v>291</v>
      </c>
      <c r="M39" s="58"/>
      <c r="N39" s="58"/>
      <c r="O39" s="58"/>
      <c r="P39" s="58"/>
      <c r="Q39" s="58"/>
      <c r="R39" s="58"/>
      <c r="S39" s="58"/>
      <c r="T39" s="58"/>
      <c r="U39" s="58"/>
    </row>
    <row r="40" spans="2:21" x14ac:dyDescent="0.25">
      <c r="B40" s="8" t="s">
        <v>194</v>
      </c>
      <c r="C40" s="43"/>
      <c r="D40" s="62">
        <v>73.332149999999999</v>
      </c>
      <c r="E40" s="62">
        <v>60.838929999999998</v>
      </c>
      <c r="F40" s="62">
        <v>64.883020000000002</v>
      </c>
      <c r="G40" s="63">
        <v>66.50264</v>
      </c>
      <c r="H40" s="64">
        <v>55.474890000000002</v>
      </c>
      <c r="I40" s="63">
        <v>59.94979</v>
      </c>
      <c r="J40" s="32">
        <v>8.0665324437777075E-2</v>
      </c>
      <c r="L40" s="16"/>
      <c r="M40" s="16"/>
      <c r="N40" s="16"/>
      <c r="O40" s="16"/>
      <c r="P40" s="16"/>
      <c r="Q40" s="16"/>
      <c r="R40" s="16"/>
      <c r="S40" s="16"/>
      <c r="T40" s="16"/>
      <c r="U40" s="16"/>
    </row>
    <row r="41" spans="2:21" x14ac:dyDescent="0.25">
      <c r="B41" s="8" t="s">
        <v>195</v>
      </c>
      <c r="C41" s="43"/>
      <c r="D41" s="62">
        <v>13.63275</v>
      </c>
      <c r="E41" s="62">
        <v>19.319089999999999</v>
      </c>
      <c r="F41" s="62">
        <v>27.957640000000001</v>
      </c>
      <c r="G41" s="63">
        <v>23.53228</v>
      </c>
      <c r="H41" s="64">
        <v>28.592639999999999</v>
      </c>
      <c r="I41" s="63">
        <v>23.256340000000002</v>
      </c>
      <c r="J41" s="32">
        <v>-0.18663194444444442</v>
      </c>
      <c r="L41" s="12" t="s">
        <v>16</v>
      </c>
      <c r="M41" s="16"/>
      <c r="N41" s="16"/>
      <c r="O41" s="16"/>
      <c r="P41" s="16"/>
      <c r="Q41" s="16"/>
      <c r="R41" s="16"/>
      <c r="S41" s="16"/>
      <c r="T41" s="16"/>
      <c r="U41" s="16"/>
    </row>
    <row r="42" spans="2:21" x14ac:dyDescent="0.25">
      <c r="B42" s="40" t="s">
        <v>196</v>
      </c>
      <c r="C42" s="43"/>
      <c r="D42" s="43">
        <v>0.49730000000000002</v>
      </c>
      <c r="E42" s="43">
        <v>0.44901000000000002</v>
      </c>
      <c r="F42" s="43">
        <v>0.3851</v>
      </c>
      <c r="G42" s="52">
        <v>0.39530999999999999</v>
      </c>
      <c r="H42" s="61">
        <v>0.37867000000000001</v>
      </c>
      <c r="I42" s="52">
        <v>0.62307000000000001</v>
      </c>
      <c r="J42" s="32">
        <v>0.64541685372487922</v>
      </c>
      <c r="L42" s="14" t="s">
        <v>292</v>
      </c>
      <c r="M42" s="14"/>
      <c r="N42" s="14"/>
      <c r="O42" s="14"/>
      <c r="P42" s="14"/>
      <c r="Q42" s="14"/>
      <c r="R42" s="14"/>
      <c r="S42" s="14"/>
      <c r="T42" s="14"/>
      <c r="U42" s="14"/>
    </row>
    <row r="43" spans="2:21" x14ac:dyDescent="0.25">
      <c r="B43" s="40" t="s">
        <v>197</v>
      </c>
      <c r="C43" s="43"/>
      <c r="D43" s="43">
        <v>0.42053000000000001</v>
      </c>
      <c r="E43" s="43">
        <v>0.31222</v>
      </c>
      <c r="F43" s="43">
        <v>0.29108000000000001</v>
      </c>
      <c r="G43" s="52">
        <v>0.31356000000000001</v>
      </c>
      <c r="H43" s="61">
        <v>0.28391</v>
      </c>
      <c r="I43" s="52">
        <v>0.52481</v>
      </c>
      <c r="J43" s="32">
        <v>0.84850833010461058</v>
      </c>
      <c r="L43" s="14" t="s">
        <v>293</v>
      </c>
      <c r="M43" s="14"/>
      <c r="N43" s="14"/>
      <c r="O43" s="14"/>
      <c r="P43" s="14"/>
      <c r="Q43" s="14"/>
      <c r="R43" s="14"/>
      <c r="S43" s="14"/>
      <c r="T43" s="14"/>
      <c r="U43" s="14"/>
    </row>
    <row r="44" spans="2:21" x14ac:dyDescent="0.25">
      <c r="B44" s="34" t="s">
        <v>198</v>
      </c>
      <c r="C44" s="44"/>
      <c r="D44" s="44">
        <v>-13.4101</v>
      </c>
      <c r="E44" s="44">
        <v>5.1676700000000002</v>
      </c>
      <c r="F44" s="44">
        <v>9.3992500000000003</v>
      </c>
      <c r="G44" s="65">
        <v>8.4723799999999994</v>
      </c>
      <c r="H44" s="66">
        <v>29.40221</v>
      </c>
      <c r="I44" s="65">
        <v>24.362290000000002</v>
      </c>
      <c r="J44" s="39">
        <v>-0.17141296521588001</v>
      </c>
    </row>
    <row r="45" spans="2:21" ht="15.75" x14ac:dyDescent="0.25">
      <c r="B45" s="40" t="s">
        <v>70</v>
      </c>
      <c r="C45" s="33"/>
      <c r="D45" s="33">
        <v>8.0732999999999999E-2</v>
      </c>
      <c r="E45" s="33">
        <v>7.2679999999999995E-2</v>
      </c>
      <c r="F45" s="33">
        <v>6.9390999999999994E-2</v>
      </c>
      <c r="G45" s="47">
        <v>6.5948000000000007E-2</v>
      </c>
      <c r="H45" s="48">
        <v>6.9327E-2</v>
      </c>
      <c r="I45" s="47">
        <v>6.4701999999999996E-2</v>
      </c>
      <c r="J45" s="32">
        <v>-6.6712824729182052E-2</v>
      </c>
      <c r="L45" s="9" t="s">
        <v>242</v>
      </c>
      <c r="M45" s="10"/>
      <c r="N45" s="10"/>
      <c r="O45" s="10"/>
      <c r="Q45" s="9" t="s">
        <v>243</v>
      </c>
      <c r="R45" s="10"/>
      <c r="S45" s="10"/>
      <c r="T45" s="10"/>
      <c r="U45" s="10"/>
    </row>
    <row r="46" spans="2:21" x14ac:dyDescent="0.25">
      <c r="B46" s="40" t="s">
        <v>199</v>
      </c>
      <c r="C46" s="33"/>
      <c r="D46" s="33">
        <v>0.10022</v>
      </c>
      <c r="E46" s="33">
        <v>8.9519000000000001E-2</v>
      </c>
      <c r="F46" s="33">
        <v>8.382400000000001E-2</v>
      </c>
      <c r="G46" s="47">
        <v>7.9341999999999996E-2</v>
      </c>
      <c r="H46" s="48">
        <v>8.3145999999999998E-2</v>
      </c>
      <c r="I46" s="47">
        <v>7.8939999999999996E-2</v>
      </c>
      <c r="J46" s="32">
        <v>-5.0585716691121663E-2</v>
      </c>
      <c r="Q46" s="88" t="s">
        <v>294</v>
      </c>
      <c r="R46" s="89">
        <v>0.83150000000000002</v>
      </c>
    </row>
    <row r="47" spans="2:21" x14ac:dyDescent="0.25">
      <c r="B47" s="34" t="s">
        <v>66</v>
      </c>
      <c r="C47" s="35"/>
      <c r="D47" s="35">
        <v>0.16336999999999999</v>
      </c>
      <c r="E47" s="35">
        <v>0.13495599999999999</v>
      </c>
      <c r="F47" s="35">
        <v>0.11147399999999999</v>
      </c>
      <c r="G47" s="49">
        <v>0.123791</v>
      </c>
      <c r="H47" s="50">
        <v>0.106156</v>
      </c>
      <c r="I47" s="49">
        <v>0.12291299999999999</v>
      </c>
      <c r="J47" s="39">
        <v>0.15785259429518805</v>
      </c>
      <c r="L47" s="79" t="s">
        <v>245</v>
      </c>
      <c r="M47" s="79"/>
      <c r="N47" s="80" t="s">
        <v>246</v>
      </c>
      <c r="O47" s="81" t="s">
        <v>247</v>
      </c>
      <c r="Q47" s="88" t="s">
        <v>295</v>
      </c>
      <c r="R47" s="89">
        <v>8.2699999999999996E-2</v>
      </c>
    </row>
    <row r="48" spans="2:21" x14ac:dyDescent="0.25">
      <c r="L48" s="82">
        <f>$AG$6</f>
        <v>0</v>
      </c>
      <c r="M48" s="82"/>
      <c r="N48" s="83" t="str">
        <f>TEXT($AH$9*10000,"0")&amp;","&amp;TEXT($AI$9*10000,"0")&amp;","&amp;TEXT($AJ$9*10000,"0")</f>
        <v>0,0,0</v>
      </c>
      <c r="O48" s="83" t="str">
        <f>TEXT($AH$29*10000,"0")&amp;","&amp;TEXT($AI$29*10000,"0")&amp;","&amp;TEXT($AJ$29*10000,"0")</f>
        <v>0,0,0</v>
      </c>
      <c r="Q48" s="88" t="s">
        <v>296</v>
      </c>
      <c r="R48" s="89">
        <v>5.4999999999999997E-3</v>
      </c>
    </row>
    <row r="49" spans="12:18" x14ac:dyDescent="0.25">
      <c r="L49" s="82">
        <f>$AB$6</f>
        <v>0</v>
      </c>
      <c r="M49" s="82"/>
      <c r="N49" s="83" t="str">
        <f>TEXT($AC$9*10000,"0")&amp;","&amp;TEXT($AD$9*10000,"0")&amp;","&amp;TEXT($AE$9*10000,"0")</f>
        <v>0,0,0</v>
      </c>
      <c r="O49" s="83" t="str">
        <f>TEXT($AC$29*10000,"0")&amp;","&amp;TEXT($AD$29*10000,"0")&amp;","&amp;TEXT($AE$29*10000,"0")</f>
        <v>0,0,0</v>
      </c>
      <c r="Q49" s="88" t="s">
        <v>297</v>
      </c>
      <c r="R49" s="89">
        <v>3.5700000000000003E-2</v>
      </c>
    </row>
    <row r="50" spans="12:18" x14ac:dyDescent="0.25">
      <c r="L50" s="90"/>
      <c r="M50" s="90"/>
      <c r="Q50" s="88" t="s">
        <v>298</v>
      </c>
      <c r="R50" s="89">
        <v>5.1999999999999998E-3</v>
      </c>
    </row>
    <row r="51" spans="12:18" x14ac:dyDescent="0.25">
      <c r="Q51" s="88" t="s">
        <v>299</v>
      </c>
      <c r="R51" s="89">
        <f>100%-SUM(R46:R50)</f>
        <v>3.9400000000000102E-2</v>
      </c>
    </row>
    <row r="52" spans="12:18" x14ac:dyDescent="0.25">
      <c r="Q52" s="88"/>
      <c r="R52" s="88"/>
    </row>
    <row r="53" spans="12:18" x14ac:dyDescent="0.25">
      <c r="Q53" s="88"/>
      <c r="R53" s="88"/>
    </row>
  </sheetData>
  <mergeCells count="10">
    <mergeCell ref="L35:U37"/>
    <mergeCell ref="L39:U39"/>
    <mergeCell ref="L42:U42"/>
    <mergeCell ref="L43:U43"/>
    <mergeCell ref="L6:U20"/>
    <mergeCell ref="L23:U23"/>
    <mergeCell ref="L28:U29"/>
    <mergeCell ref="L30:U31"/>
    <mergeCell ref="L32:U32"/>
    <mergeCell ref="L33:U3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67E68-0E99-40E5-998B-062AF3399B7C}">
  <dimension ref="B1:U61"/>
  <sheetViews>
    <sheetView workbookViewId="0">
      <selection activeCell="B24" sqref="B24:J47"/>
    </sheetView>
  </sheetViews>
  <sheetFormatPr defaultRowHeight="15" x14ac:dyDescent="0.25"/>
  <cols>
    <col min="12" max="21" width="12.7109375" style="1" customWidth="1"/>
  </cols>
  <sheetData>
    <row r="1" spans="12:21" x14ac:dyDescent="0.25">
      <c r="O1" s="2"/>
      <c r="P1" s="2"/>
      <c r="Q1" s="2"/>
      <c r="R1" s="2"/>
      <c r="S1" s="2"/>
      <c r="T1" s="2"/>
      <c r="U1" s="2"/>
    </row>
    <row r="2" spans="12:21" ht="21.75" thickBot="1" x14ac:dyDescent="0.3">
      <c r="L2" s="71"/>
      <c r="M2" s="71"/>
      <c r="N2" s="72"/>
      <c r="O2" s="5"/>
      <c r="P2" s="5"/>
      <c r="Q2" s="5"/>
      <c r="R2" s="6" t="str">
        <f>"ESG INTERNO: "&amp;Z16&amp;IF(OR(Z16="NA",Z16=""),"","(")&amp;Z15&amp;IF(OR(Z16="NA",Z16=""),"",")")</f>
        <v xml:space="preserve">ESG INTERNO: </v>
      </c>
      <c r="S2" s="7"/>
      <c r="T2" s="5"/>
      <c r="U2" s="6" t="str">
        <f>"MSCI ESG: "&amp;Z19&amp;IF(Z19="NA","","(")&amp;Z18&amp;IF(Z19="NA","",")")</f>
        <v>MSCI ESG: ()</v>
      </c>
    </row>
    <row r="4" spans="12:21" ht="18" x14ac:dyDescent="0.25">
      <c r="L4" s="73" t="s">
        <v>0</v>
      </c>
      <c r="M4" s="24"/>
      <c r="N4" s="24"/>
      <c r="O4" s="24"/>
      <c r="P4" s="24"/>
      <c r="Q4" s="24"/>
      <c r="R4" s="24"/>
      <c r="S4" s="24"/>
      <c r="T4" s="24"/>
      <c r="U4" s="24"/>
    </row>
    <row r="5" spans="12:21" x14ac:dyDescent="0.25">
      <c r="L5" s="74"/>
      <c r="M5" s="74"/>
      <c r="N5" s="74"/>
      <c r="O5" s="74"/>
      <c r="P5" s="74"/>
      <c r="Q5" s="74"/>
      <c r="R5" s="74"/>
      <c r="S5" s="74"/>
      <c r="T5" s="74"/>
      <c r="U5" s="74"/>
    </row>
    <row r="6" spans="12:21" x14ac:dyDescent="0.25">
      <c r="L6" s="11" t="s">
        <v>250</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x14ac:dyDescent="0.25">
      <c r="L23" s="11"/>
      <c r="M23" s="11"/>
      <c r="N23" s="11"/>
      <c r="O23" s="11"/>
      <c r="P23" s="11"/>
      <c r="Q23" s="11"/>
      <c r="R23" s="11"/>
      <c r="S23" s="11"/>
      <c r="T23" s="11"/>
      <c r="U23" s="11"/>
    </row>
    <row r="24" spans="2:21" x14ac:dyDescent="0.25">
      <c r="B24" s="1"/>
      <c r="C24" s="1"/>
      <c r="D24" s="20" t="s">
        <v>36</v>
      </c>
      <c r="E24" s="21"/>
      <c r="F24" s="21"/>
      <c r="G24" s="22"/>
      <c r="H24" s="23" t="s">
        <v>37</v>
      </c>
      <c r="I24" s="21"/>
      <c r="J24" s="21"/>
      <c r="L24" s="11"/>
      <c r="M24" s="11"/>
      <c r="N24" s="11"/>
      <c r="O24" s="11"/>
      <c r="P24" s="11"/>
      <c r="Q24" s="11"/>
      <c r="R24" s="11"/>
      <c r="S24" s="11"/>
      <c r="T24" s="11"/>
      <c r="U24" s="11"/>
    </row>
    <row r="25" spans="2:21" x14ac:dyDescent="0.25">
      <c r="B25" s="24"/>
      <c r="C25" s="24"/>
      <c r="D25" s="25">
        <v>44926</v>
      </c>
      <c r="E25" s="25">
        <v>45291</v>
      </c>
      <c r="F25" s="25">
        <v>45657</v>
      </c>
      <c r="G25" s="26">
        <v>46022</v>
      </c>
      <c r="H25" s="27">
        <v>45747</v>
      </c>
      <c r="I25" s="26">
        <v>46112</v>
      </c>
      <c r="J25" s="28" t="s">
        <v>38</v>
      </c>
      <c r="L25" s="11"/>
      <c r="M25" s="11"/>
      <c r="N25" s="11"/>
      <c r="O25" s="11"/>
      <c r="P25" s="11"/>
      <c r="Q25" s="11"/>
      <c r="R25" s="11"/>
      <c r="S25" s="11"/>
      <c r="T25" s="11"/>
      <c r="U25" s="11"/>
    </row>
    <row r="26" spans="2:21" x14ac:dyDescent="0.25">
      <c r="B26" s="8" t="s">
        <v>180</v>
      </c>
      <c r="C26" s="8"/>
      <c r="D26" s="62">
        <v>11.932740000000001</v>
      </c>
      <c r="E26" s="62">
        <v>86.007000000000005</v>
      </c>
      <c r="F26" s="62">
        <v>167.84255999999999</v>
      </c>
      <c r="G26" s="63">
        <v>164.54462000000001</v>
      </c>
      <c r="H26" s="64">
        <v>150.92778999999999</v>
      </c>
      <c r="I26" s="63">
        <v>173.41229999999999</v>
      </c>
      <c r="J26" s="32">
        <v>0.14897528149057249</v>
      </c>
      <c r="L26" s="11"/>
      <c r="M26" s="11"/>
      <c r="N26" s="11"/>
      <c r="O26" s="11"/>
      <c r="P26" s="11"/>
      <c r="Q26" s="11"/>
      <c r="R26" s="11"/>
      <c r="S26" s="11"/>
      <c r="T26" s="11"/>
      <c r="U26" s="11"/>
    </row>
    <row r="27" spans="2:21" x14ac:dyDescent="0.25">
      <c r="B27" s="40" t="s">
        <v>181</v>
      </c>
      <c r="C27" s="33"/>
      <c r="D27" s="33">
        <v>0.32472000000000001</v>
      </c>
      <c r="E27" s="33">
        <v>0.32215000000000005</v>
      </c>
      <c r="F27" s="33">
        <v>0.32978000000000002</v>
      </c>
      <c r="G27" s="47">
        <v>0.31321899999999997</v>
      </c>
      <c r="H27" s="48">
        <v>0.32815600000000006</v>
      </c>
      <c r="I27" s="47">
        <v>0.32341000000000003</v>
      </c>
      <c r="J27" s="32">
        <v>-1.4462633625470844E-2</v>
      </c>
      <c r="L27" s="12" t="s">
        <v>2</v>
      </c>
      <c r="M27" s="68"/>
      <c r="N27" s="68"/>
      <c r="O27" s="68"/>
      <c r="P27" s="68"/>
      <c r="Q27" s="68"/>
      <c r="R27" s="68"/>
      <c r="S27" s="68"/>
      <c r="T27" s="68"/>
      <c r="U27" s="68"/>
    </row>
    <row r="28" spans="2:21" x14ac:dyDescent="0.25">
      <c r="B28" s="40" t="s">
        <v>182</v>
      </c>
      <c r="C28" s="33"/>
      <c r="D28" s="33">
        <v>0.25938600000000001</v>
      </c>
      <c r="E28" s="33">
        <v>0.27473999999999998</v>
      </c>
      <c r="F28" s="33">
        <v>0.28442200000000001</v>
      </c>
      <c r="G28" s="47">
        <v>0.26447900000000002</v>
      </c>
      <c r="H28" s="48">
        <v>0.280277</v>
      </c>
      <c r="I28" s="47">
        <v>0.27599899999999999</v>
      </c>
      <c r="J28" s="32">
        <v>-1.5263471494271763E-2</v>
      </c>
      <c r="L28" s="13" t="s">
        <v>251</v>
      </c>
      <c r="M28" s="68"/>
      <c r="N28" s="68"/>
      <c r="O28" s="68"/>
      <c r="P28" s="68"/>
      <c r="Q28" s="68"/>
      <c r="R28" s="68"/>
      <c r="S28" s="68"/>
      <c r="T28" s="68"/>
      <c r="U28" s="68"/>
    </row>
    <row r="29" spans="2:21" x14ac:dyDescent="0.25">
      <c r="B29" s="40" t="s">
        <v>183</v>
      </c>
      <c r="C29" s="33"/>
      <c r="D29" s="33">
        <v>0.29679899999999998</v>
      </c>
      <c r="E29" s="33">
        <v>0.30983899999999998</v>
      </c>
      <c r="F29" s="33">
        <v>0.33309699999999998</v>
      </c>
      <c r="G29" s="47">
        <v>0.31801600000000002</v>
      </c>
      <c r="H29" s="48">
        <v>0.33173799999999998</v>
      </c>
      <c r="I29" s="47">
        <v>0.33005099999999998</v>
      </c>
      <c r="J29" s="32">
        <v>-5.0853384297246951E-3</v>
      </c>
      <c r="L29" s="14" t="s">
        <v>252</v>
      </c>
      <c r="M29" s="14"/>
      <c r="N29" s="14"/>
      <c r="O29" s="14"/>
      <c r="P29" s="14"/>
      <c r="Q29" s="14"/>
      <c r="R29" s="14"/>
      <c r="S29" s="14"/>
      <c r="T29" s="14"/>
      <c r="U29" s="14"/>
    </row>
    <row r="30" spans="2:21" x14ac:dyDescent="0.25">
      <c r="B30" s="40" t="s">
        <v>184</v>
      </c>
      <c r="C30" s="33"/>
      <c r="D30" s="33">
        <v>0.16553599999999999</v>
      </c>
      <c r="E30" s="33">
        <v>0.165487</v>
      </c>
      <c r="F30" s="33">
        <v>0.156166</v>
      </c>
      <c r="G30" s="47">
        <v>0.15345300000000001</v>
      </c>
      <c r="H30" s="48">
        <v>0.15382400000000002</v>
      </c>
      <c r="I30" s="47">
        <v>0.159494</v>
      </c>
      <c r="J30" s="32">
        <v>3.6860307884335253E-2</v>
      </c>
      <c r="L30" s="14"/>
      <c r="M30" s="14"/>
      <c r="N30" s="14"/>
      <c r="O30" s="14"/>
      <c r="P30" s="14"/>
      <c r="Q30" s="14"/>
      <c r="R30" s="14"/>
      <c r="S30" s="14"/>
      <c r="T30" s="14"/>
      <c r="U30" s="14"/>
    </row>
    <row r="31" spans="2:21" x14ac:dyDescent="0.25">
      <c r="B31" s="34" t="s">
        <v>185</v>
      </c>
      <c r="C31" s="35"/>
      <c r="D31" s="35">
        <v>7.4720999999999996E-2</v>
      </c>
      <c r="E31" s="35">
        <v>0.105434</v>
      </c>
      <c r="F31" s="35">
        <v>0.13106500000000001</v>
      </c>
      <c r="G31" s="49">
        <v>9.5169000000000004E-2</v>
      </c>
      <c r="H31" s="50">
        <v>0.108977</v>
      </c>
      <c r="I31" s="49">
        <v>0.111759</v>
      </c>
      <c r="J31" s="39">
        <v>2.5528322490066646E-2</v>
      </c>
      <c r="L31" s="75" t="s">
        <v>253</v>
      </c>
      <c r="M31" s="13"/>
      <c r="N31" s="13"/>
      <c r="O31" s="13"/>
      <c r="P31" s="13"/>
      <c r="Q31" s="13"/>
      <c r="R31" s="13"/>
      <c r="S31" s="13"/>
      <c r="T31" s="13"/>
      <c r="U31" s="13"/>
    </row>
    <row r="32" spans="2:21" x14ac:dyDescent="0.25">
      <c r="B32" s="40" t="s">
        <v>186</v>
      </c>
      <c r="C32" s="8"/>
      <c r="D32" s="43">
        <v>6.6542326514371792</v>
      </c>
      <c r="E32" s="43">
        <v>4.7622772461279093</v>
      </c>
      <c r="F32" s="43">
        <v>4.021404801867682</v>
      </c>
      <c r="G32" s="52">
        <v>4.1514440402204924</v>
      </c>
      <c r="H32" s="61">
        <v>4.117460647084676</v>
      </c>
      <c r="I32" s="52">
        <v>4.203610415246068</v>
      </c>
      <c r="J32" s="32">
        <v>2.0923033768978305E-2</v>
      </c>
      <c r="L32" s="75" t="s">
        <v>254</v>
      </c>
      <c r="M32" s="68"/>
      <c r="N32" s="68"/>
      <c r="O32" s="68"/>
      <c r="P32" s="68"/>
      <c r="Q32" s="68"/>
      <c r="R32" s="68"/>
      <c r="S32" s="68"/>
      <c r="T32" s="68"/>
      <c r="U32" s="68"/>
    </row>
    <row r="33" spans="2:21" x14ac:dyDescent="0.25">
      <c r="B33" s="40" t="s">
        <v>187</v>
      </c>
      <c r="C33" s="8"/>
      <c r="D33" s="43">
        <v>9.1293900000000008</v>
      </c>
      <c r="E33" s="43">
        <v>7.2625999999999999</v>
      </c>
      <c r="F33" s="43">
        <v>6.1901599999999997</v>
      </c>
      <c r="G33" s="52">
        <v>6.1508799999999999</v>
      </c>
      <c r="H33" s="61">
        <v>6.0189000000000004</v>
      </c>
      <c r="I33" s="52">
        <v>6.2133500000000002</v>
      </c>
      <c r="J33" s="32">
        <v>3.230656764525075E-2</v>
      </c>
      <c r="L33" s="13" t="s">
        <v>255</v>
      </c>
    </row>
    <row r="34" spans="2:21" x14ac:dyDescent="0.25">
      <c r="B34" s="40" t="s">
        <v>188</v>
      </c>
      <c r="C34" s="8"/>
      <c r="D34" s="43">
        <v>6.4072800000000001</v>
      </c>
      <c r="E34" s="43">
        <v>5.5852000000000004</v>
      </c>
      <c r="F34" s="43">
        <v>4.6023199999999997</v>
      </c>
      <c r="G34" s="52">
        <v>4.22262</v>
      </c>
      <c r="H34" s="61">
        <v>4.5609700000000002</v>
      </c>
      <c r="I34" s="52">
        <v>4.1482099999999997</v>
      </c>
      <c r="J34" s="32">
        <v>-9.0498293126243023E-2</v>
      </c>
      <c r="L34" s="75" t="s">
        <v>256</v>
      </c>
      <c r="M34" s="13"/>
      <c r="N34" s="13"/>
      <c r="O34" s="13"/>
      <c r="P34" s="13"/>
      <c r="Q34" s="13"/>
      <c r="R34" s="13"/>
      <c r="S34" s="13"/>
      <c r="T34" s="13"/>
      <c r="U34" s="13"/>
    </row>
    <row r="35" spans="2:21" x14ac:dyDescent="0.25">
      <c r="B35" s="40" t="s">
        <v>189</v>
      </c>
      <c r="C35" s="8"/>
      <c r="D35" s="43">
        <v>2.3281800000000001</v>
      </c>
      <c r="E35" s="43">
        <v>2.4738500000000001</v>
      </c>
      <c r="F35" s="43">
        <v>2.9009399999999999</v>
      </c>
      <c r="G35" s="52">
        <v>3.2672500000000002</v>
      </c>
      <c r="H35" s="61">
        <v>2.8753799999999998</v>
      </c>
      <c r="I35" s="52">
        <v>3.0992299999999999</v>
      </c>
      <c r="J35" s="32">
        <v>7.7850579749459303E-2</v>
      </c>
      <c r="L35" s="14" t="s">
        <v>257</v>
      </c>
      <c r="M35" s="14"/>
      <c r="N35" s="14"/>
      <c r="O35" s="14"/>
      <c r="P35" s="14"/>
      <c r="Q35" s="14"/>
      <c r="R35" s="14"/>
      <c r="S35" s="14"/>
      <c r="T35" s="14"/>
      <c r="U35" s="14"/>
    </row>
    <row r="36" spans="2:21" x14ac:dyDescent="0.25">
      <c r="B36" s="40" t="s">
        <v>190</v>
      </c>
      <c r="C36" s="8"/>
      <c r="D36" s="43">
        <v>2.2897699999999999</v>
      </c>
      <c r="E36" s="43">
        <v>2.2440500000000001</v>
      </c>
      <c r="F36" s="43">
        <v>2.4924900000000001</v>
      </c>
      <c r="G36" s="52">
        <v>2.8947699999999998</v>
      </c>
      <c r="H36" s="61">
        <v>2.51702</v>
      </c>
      <c r="I36" s="52">
        <v>2.7094</v>
      </c>
      <c r="J36" s="32">
        <v>7.6431653304304348E-2</v>
      </c>
      <c r="L36" s="14"/>
      <c r="M36" s="14"/>
      <c r="N36" s="14"/>
      <c r="O36" s="14"/>
      <c r="P36" s="14"/>
      <c r="Q36" s="14"/>
      <c r="R36" s="14"/>
      <c r="S36" s="14"/>
      <c r="T36" s="14"/>
      <c r="U36" s="14"/>
    </row>
    <row r="37" spans="2:21" x14ac:dyDescent="0.25">
      <c r="B37" s="40" t="s">
        <v>191</v>
      </c>
      <c r="C37" s="8"/>
      <c r="D37" s="43">
        <v>3.3172999999999999</v>
      </c>
      <c r="E37" s="43">
        <v>3.2168299999999999</v>
      </c>
      <c r="F37" s="43">
        <v>3.9017900000000001</v>
      </c>
      <c r="G37" s="52">
        <v>4.7592499999999998</v>
      </c>
      <c r="H37" s="61">
        <v>3.7945099999999998</v>
      </c>
      <c r="I37" s="52">
        <v>4.64215</v>
      </c>
      <c r="J37" s="32">
        <v>0.22338589172251488</v>
      </c>
      <c r="L37" s="13" t="s">
        <v>258</v>
      </c>
      <c r="M37" s="13"/>
      <c r="N37" s="13"/>
      <c r="O37" s="13"/>
      <c r="P37" s="13"/>
      <c r="Q37" s="13"/>
      <c r="R37" s="13"/>
      <c r="S37" s="13"/>
      <c r="T37" s="13"/>
      <c r="U37" s="13"/>
    </row>
    <row r="38" spans="2:21" x14ac:dyDescent="0.25">
      <c r="B38" s="34" t="s">
        <v>192</v>
      </c>
      <c r="C38" s="53"/>
      <c r="D38" s="53">
        <v>3.2625700000000002</v>
      </c>
      <c r="E38" s="53">
        <v>2.9180000000000001</v>
      </c>
      <c r="F38" s="53">
        <v>3.35242</v>
      </c>
      <c r="G38" s="54">
        <v>4.2166699999999997</v>
      </c>
      <c r="H38" s="55">
        <v>3.3216000000000001</v>
      </c>
      <c r="I38" s="54">
        <v>4.0582500000000001</v>
      </c>
      <c r="J38" s="39">
        <v>0.22177565028901736</v>
      </c>
      <c r="L38" s="75" t="s">
        <v>259</v>
      </c>
    </row>
    <row r="39" spans="2:21" x14ac:dyDescent="0.25">
      <c r="B39" s="8" t="s">
        <v>193</v>
      </c>
      <c r="C39" s="43"/>
      <c r="D39" s="62">
        <v>53.401330000000002</v>
      </c>
      <c r="E39" s="62">
        <v>51.83511</v>
      </c>
      <c r="F39" s="62">
        <v>51.683959999999999</v>
      </c>
      <c r="G39" s="63">
        <v>50.852170000000001</v>
      </c>
      <c r="H39" s="64">
        <v>55.082880000000003</v>
      </c>
      <c r="I39" s="63">
        <v>52.81915</v>
      </c>
      <c r="J39" s="32">
        <v>-4.1096798134011903E-2</v>
      </c>
      <c r="L39" s="75" t="s">
        <v>260</v>
      </c>
      <c r="M39" s="16"/>
      <c r="N39" s="16"/>
      <c r="O39" s="16"/>
      <c r="P39" s="16"/>
      <c r="Q39" s="16"/>
      <c r="R39" s="16"/>
      <c r="S39" s="16"/>
      <c r="T39" s="16"/>
      <c r="U39" s="16"/>
    </row>
    <row r="40" spans="2:21" x14ac:dyDescent="0.25">
      <c r="B40" s="8" t="s">
        <v>194</v>
      </c>
      <c r="C40" s="43"/>
      <c r="D40" s="62">
        <v>50.680250000000001</v>
      </c>
      <c r="E40" s="62">
        <v>44.421959999999999</v>
      </c>
      <c r="F40" s="62">
        <v>45.495629999999998</v>
      </c>
      <c r="G40" s="63">
        <v>45.578650000000003</v>
      </c>
      <c r="H40" s="64">
        <v>42.98751</v>
      </c>
      <c r="I40" s="63">
        <v>44.379620000000003</v>
      </c>
      <c r="J40" s="32">
        <v>3.2384057601847704E-2</v>
      </c>
      <c r="L40" s="75" t="s">
        <v>261</v>
      </c>
      <c r="M40" s="16"/>
      <c r="N40" s="16"/>
      <c r="O40" s="16"/>
      <c r="P40" s="16"/>
      <c r="Q40" s="16"/>
      <c r="R40" s="16"/>
      <c r="S40" s="16"/>
      <c r="T40" s="16"/>
      <c r="U40" s="16"/>
    </row>
    <row r="41" spans="2:21" x14ac:dyDescent="0.25">
      <c r="B41" s="8" t="s">
        <v>195</v>
      </c>
      <c r="C41" s="43"/>
      <c r="D41" s="62">
        <v>4.8442800000000004</v>
      </c>
      <c r="E41" s="62">
        <v>3.9591599999999998</v>
      </c>
      <c r="F41" s="62">
        <v>4.0765099999999999</v>
      </c>
      <c r="G41" s="63">
        <v>4.6033799999999996</v>
      </c>
      <c r="H41" s="64">
        <v>4.0310600000000001</v>
      </c>
      <c r="I41" s="63">
        <v>4.6734600000000004</v>
      </c>
      <c r="J41" s="32">
        <v>0.15936254980079689</v>
      </c>
      <c r="L41" s="13" t="s">
        <v>262</v>
      </c>
      <c r="M41" s="16"/>
      <c r="N41" s="16"/>
      <c r="O41" s="16"/>
      <c r="P41" s="16"/>
      <c r="Q41" s="16"/>
      <c r="R41" s="16"/>
      <c r="S41" s="16"/>
      <c r="T41" s="16"/>
      <c r="U41" s="16"/>
    </row>
    <row r="42" spans="2:21" x14ac:dyDescent="0.25">
      <c r="B42" s="40" t="s">
        <v>196</v>
      </c>
      <c r="C42" s="43"/>
      <c r="D42" s="43">
        <v>0.35060999999999998</v>
      </c>
      <c r="E42" s="43">
        <v>0.37797999999999998</v>
      </c>
      <c r="F42" s="43">
        <v>0.54225000000000001</v>
      </c>
      <c r="G42" s="52">
        <v>0.45873000000000003</v>
      </c>
      <c r="H42" s="61">
        <v>0.53164</v>
      </c>
      <c r="I42" s="52">
        <v>0.48447000000000001</v>
      </c>
      <c r="J42" s="32">
        <v>-8.872545331427284E-2</v>
      </c>
      <c r="L42" s="75" t="s">
        <v>263</v>
      </c>
      <c r="M42" s="16"/>
      <c r="N42" s="16"/>
      <c r="O42" s="16"/>
      <c r="P42" s="16"/>
      <c r="Q42" s="16"/>
      <c r="R42" s="16"/>
      <c r="S42" s="16"/>
      <c r="T42" s="16"/>
      <c r="U42" s="16"/>
    </row>
    <row r="43" spans="2:21" x14ac:dyDescent="0.25">
      <c r="B43" s="40" t="s">
        <v>197</v>
      </c>
      <c r="C43" s="43"/>
      <c r="D43" s="43">
        <v>0.32178000000000001</v>
      </c>
      <c r="E43" s="43">
        <v>0.35283999999999999</v>
      </c>
      <c r="F43" s="43">
        <v>0.51393</v>
      </c>
      <c r="G43" s="52">
        <v>0.42307</v>
      </c>
      <c r="H43" s="61">
        <v>0.50212000000000001</v>
      </c>
      <c r="I43" s="52">
        <v>0.45021</v>
      </c>
      <c r="J43" s="32">
        <v>-0.10338166175416241</v>
      </c>
      <c r="L43" s="75" t="s">
        <v>264</v>
      </c>
      <c r="M43" s="16"/>
      <c r="N43" s="16"/>
      <c r="O43" s="16"/>
      <c r="P43" s="16"/>
      <c r="Q43" s="16"/>
      <c r="R43" s="16"/>
      <c r="S43" s="16"/>
      <c r="T43" s="16"/>
      <c r="U43" s="16"/>
    </row>
    <row r="44" spans="2:21" x14ac:dyDescent="0.25">
      <c r="B44" s="34" t="s">
        <v>198</v>
      </c>
      <c r="C44" s="44"/>
      <c r="D44" s="44">
        <v>7.5653600000000001</v>
      </c>
      <c r="E44" s="44">
        <v>11.372310000000001</v>
      </c>
      <c r="F44" s="44">
        <v>10.26484</v>
      </c>
      <c r="G44" s="65">
        <v>9.8768999999999991</v>
      </c>
      <c r="H44" s="66">
        <v>16.126429999999999</v>
      </c>
      <c r="I44" s="65">
        <v>13.11299</v>
      </c>
      <c r="J44" s="39">
        <v>-0.18686342854556148</v>
      </c>
      <c r="L44" s="16"/>
      <c r="M44" s="16"/>
      <c r="N44" s="16"/>
      <c r="O44" s="16"/>
      <c r="P44" s="16"/>
      <c r="Q44" s="16"/>
      <c r="R44" s="16"/>
      <c r="S44" s="16"/>
      <c r="T44" s="16"/>
      <c r="U44" s="16"/>
    </row>
    <row r="45" spans="2:21" x14ac:dyDescent="0.25">
      <c r="B45" s="40" t="s">
        <v>70</v>
      </c>
      <c r="C45" s="33"/>
      <c r="D45" s="33">
        <v>8.3621000000000001E-2</v>
      </c>
      <c r="E45" s="33">
        <v>9.257E-2</v>
      </c>
      <c r="F45" s="33">
        <v>8.2481000000000013E-2</v>
      </c>
      <c r="G45" s="47">
        <v>6.4870999999999998E-2</v>
      </c>
      <c r="H45" s="48">
        <v>8.2121E-2</v>
      </c>
      <c r="I45" s="47">
        <v>6.7707000000000003E-2</v>
      </c>
      <c r="J45" s="32">
        <v>-0.17552148658686573</v>
      </c>
      <c r="L45" s="76" t="s">
        <v>16</v>
      </c>
      <c r="M45" s="76"/>
      <c r="N45" s="76"/>
      <c r="O45" s="76"/>
      <c r="P45" s="76"/>
      <c r="Q45" s="76"/>
      <c r="R45" s="76"/>
      <c r="S45" s="76"/>
      <c r="T45" s="76"/>
      <c r="U45" s="76"/>
    </row>
    <row r="46" spans="2:21" x14ac:dyDescent="0.25">
      <c r="B46" s="40" t="s">
        <v>199</v>
      </c>
      <c r="C46" s="33"/>
      <c r="D46" s="33">
        <v>0.10219400000000001</v>
      </c>
      <c r="E46" s="33">
        <v>0.112691</v>
      </c>
      <c r="F46" s="33">
        <v>0.10102</v>
      </c>
      <c r="G46" s="47">
        <v>7.9364999999999991E-2</v>
      </c>
      <c r="H46" s="48">
        <v>0.10191700000000001</v>
      </c>
      <c r="I46" s="47">
        <v>8.3278000000000005E-2</v>
      </c>
      <c r="J46" s="32">
        <v>-0.18288411158099238</v>
      </c>
      <c r="L46" s="77" t="s">
        <v>265</v>
      </c>
      <c r="M46" s="77"/>
      <c r="N46" s="77"/>
      <c r="O46" s="77"/>
      <c r="P46" s="77"/>
      <c r="Q46" s="77"/>
      <c r="R46" s="77"/>
      <c r="S46" s="77"/>
      <c r="T46" s="77"/>
      <c r="U46" s="77"/>
    </row>
    <row r="47" spans="2:21" x14ac:dyDescent="0.25">
      <c r="B47" s="34" t="s">
        <v>66</v>
      </c>
      <c r="C47" s="35"/>
      <c r="D47" s="35">
        <v>0.18404299999999998</v>
      </c>
      <c r="E47" s="35">
        <v>0.19860700000000001</v>
      </c>
      <c r="F47" s="35">
        <v>0.172259</v>
      </c>
      <c r="G47" s="49">
        <v>0.14193</v>
      </c>
      <c r="H47" s="50">
        <v>0.16989899999999999</v>
      </c>
      <c r="I47" s="49">
        <v>0.146705</v>
      </c>
      <c r="J47" s="39">
        <v>-0.13651640092054684</v>
      </c>
      <c r="L47" s="85" t="s">
        <v>266</v>
      </c>
      <c r="M47" s="85"/>
      <c r="N47" s="85"/>
      <c r="O47" s="85"/>
      <c r="P47" s="85"/>
      <c r="Q47" s="85"/>
      <c r="R47" s="85"/>
      <c r="S47" s="85"/>
      <c r="T47" s="85"/>
      <c r="U47" s="85"/>
    </row>
    <row r="48" spans="2:21" x14ac:dyDescent="0.25">
      <c r="L48" s="14" t="s">
        <v>267</v>
      </c>
      <c r="M48" s="14"/>
      <c r="N48" s="14"/>
      <c r="O48" s="14"/>
      <c r="P48" s="14"/>
      <c r="Q48" s="14"/>
      <c r="R48" s="14"/>
      <c r="S48" s="14"/>
      <c r="T48" s="14"/>
      <c r="U48" s="14"/>
    </row>
    <row r="49" spans="12:21" x14ac:dyDescent="0.25">
      <c r="L49" s="85" t="s">
        <v>268</v>
      </c>
      <c r="M49" s="85"/>
      <c r="N49" s="85"/>
      <c r="O49" s="85"/>
      <c r="P49" s="85"/>
      <c r="Q49" s="85"/>
      <c r="R49" s="85"/>
      <c r="S49" s="85"/>
      <c r="T49" s="85"/>
      <c r="U49" s="85"/>
    </row>
    <row r="50" spans="12:21" x14ac:dyDescent="0.25">
      <c r="L50" s="85" t="s">
        <v>269</v>
      </c>
    </row>
    <row r="51" spans="12:21" x14ac:dyDescent="0.25">
      <c r="L51" s="85" t="s">
        <v>270</v>
      </c>
    </row>
    <row r="52" spans="12:21" x14ac:dyDescent="0.25">
      <c r="L52" s="14" t="s">
        <v>271</v>
      </c>
      <c r="M52" s="14"/>
      <c r="N52" s="14"/>
      <c r="O52" s="14"/>
      <c r="P52" s="14"/>
      <c r="Q52" s="14"/>
      <c r="R52" s="14"/>
      <c r="S52" s="14"/>
      <c r="T52" s="14"/>
      <c r="U52" s="14"/>
    </row>
    <row r="53" spans="12:21" x14ac:dyDescent="0.25">
      <c r="L53" s="86" t="s">
        <v>272</v>
      </c>
      <c r="M53" s="86"/>
      <c r="N53" s="86"/>
      <c r="O53" s="86"/>
      <c r="P53" s="86"/>
      <c r="Q53" s="86"/>
      <c r="R53" s="86"/>
      <c r="S53" s="86"/>
      <c r="T53" s="86"/>
      <c r="U53" s="86"/>
    </row>
    <row r="54" spans="12:21" x14ac:dyDescent="0.25">
      <c r="L54" s="86"/>
      <c r="M54" s="86"/>
      <c r="N54" s="86"/>
      <c r="O54" s="86"/>
      <c r="P54" s="86"/>
      <c r="Q54" s="86"/>
      <c r="R54" s="86"/>
      <c r="S54" s="86"/>
      <c r="T54" s="86"/>
      <c r="U54" s="86"/>
    </row>
    <row r="55" spans="12:21" x14ac:dyDescent="0.25">
      <c r="L55" s="85" t="s">
        <v>273</v>
      </c>
    </row>
    <row r="56" spans="12:21" x14ac:dyDescent="0.25">
      <c r="L56" s="14" t="s">
        <v>274</v>
      </c>
      <c r="M56" s="14"/>
      <c r="N56" s="14"/>
      <c r="O56" s="14"/>
      <c r="P56" s="14"/>
      <c r="Q56" s="14"/>
      <c r="R56" s="14"/>
      <c r="S56" s="14"/>
      <c r="T56" s="14"/>
      <c r="U56" s="14"/>
    </row>
    <row r="57" spans="12:21" x14ac:dyDescent="0.25">
      <c r="L57"/>
      <c r="M57"/>
      <c r="N57"/>
      <c r="O57"/>
      <c r="P57"/>
      <c r="Q57"/>
      <c r="R57"/>
      <c r="S57"/>
      <c r="T57"/>
      <c r="U57"/>
    </row>
    <row r="58" spans="12:21" x14ac:dyDescent="0.25">
      <c r="L58"/>
      <c r="M58"/>
      <c r="N58"/>
      <c r="O58"/>
      <c r="P58"/>
      <c r="Q58"/>
      <c r="R58"/>
      <c r="S58"/>
      <c r="T58"/>
      <c r="U58"/>
    </row>
    <row r="59" spans="12:21" x14ac:dyDescent="0.25">
      <c r="L59" s="14" t="s">
        <v>275</v>
      </c>
      <c r="M59" s="14"/>
      <c r="N59" s="14"/>
      <c r="O59" s="14"/>
      <c r="P59" s="14"/>
      <c r="Q59" s="14"/>
      <c r="R59" s="14"/>
      <c r="S59" s="14"/>
      <c r="T59" s="14"/>
      <c r="U59" s="14"/>
    </row>
    <row r="60" spans="12:21" x14ac:dyDescent="0.25">
      <c r="L60" s="85" t="s">
        <v>276</v>
      </c>
      <c r="M60" s="85"/>
      <c r="N60" s="85"/>
      <c r="O60" s="85"/>
      <c r="P60" s="85"/>
      <c r="Q60" s="85"/>
      <c r="R60" s="85"/>
      <c r="S60" s="85"/>
      <c r="T60" s="85"/>
      <c r="U60" s="85"/>
    </row>
    <row r="61" spans="12:21" x14ac:dyDescent="0.25">
      <c r="L61" s="85" t="s">
        <v>277</v>
      </c>
      <c r="M61" s="85"/>
      <c r="N61" s="85"/>
      <c r="O61" s="85"/>
      <c r="P61" s="85"/>
      <c r="Q61" s="85"/>
      <c r="R61" s="85"/>
      <c r="S61" s="85"/>
      <c r="T61" s="85"/>
      <c r="U61" s="85"/>
    </row>
  </sheetData>
  <mergeCells count="9">
    <mergeCell ref="L53:U54"/>
    <mergeCell ref="L56:U56"/>
    <mergeCell ref="L59:U59"/>
    <mergeCell ref="L6:U26"/>
    <mergeCell ref="L29:U30"/>
    <mergeCell ref="L35:U36"/>
    <mergeCell ref="L46:U46"/>
    <mergeCell ref="L48:U48"/>
    <mergeCell ref="L52:U5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742FD-AF04-4450-B643-943E2BE43E70}">
  <dimension ref="B1:U70"/>
  <sheetViews>
    <sheetView workbookViewId="0">
      <selection activeCell="B24" sqref="B24: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 t="s">
        <v>301</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1"/>
      <c r="M21" s="11"/>
      <c r="N21" s="11"/>
      <c r="O21" s="11"/>
      <c r="P21" s="11"/>
      <c r="Q21" s="11"/>
      <c r="R21" s="11"/>
      <c r="S21" s="11"/>
      <c r="T21" s="11"/>
      <c r="U21" s="11"/>
    </row>
    <row r="22" spans="2:21" x14ac:dyDescent="0.25">
      <c r="L22" s="11"/>
      <c r="M22" s="11"/>
      <c r="N22" s="11"/>
      <c r="O22" s="11"/>
      <c r="P22" s="11"/>
      <c r="Q22" s="11"/>
      <c r="R22" s="11"/>
      <c r="S22" s="11"/>
      <c r="T22" s="11"/>
      <c r="U22" s="11"/>
    </row>
    <row r="23" spans="2:21" x14ac:dyDescent="0.25">
      <c r="L23" s="11"/>
      <c r="M23" s="11"/>
      <c r="N23" s="11"/>
      <c r="O23" s="11"/>
      <c r="P23" s="11"/>
      <c r="Q23" s="11"/>
      <c r="R23" s="11"/>
      <c r="S23" s="11"/>
      <c r="T23" s="11"/>
      <c r="U23" s="11"/>
    </row>
    <row r="24" spans="2:21" x14ac:dyDescent="0.25">
      <c r="B24" s="1"/>
      <c r="C24" s="1"/>
      <c r="D24" s="20" t="s">
        <v>36</v>
      </c>
      <c r="E24" s="21"/>
      <c r="F24" s="21"/>
      <c r="G24" s="22"/>
      <c r="H24" s="23" t="s">
        <v>37</v>
      </c>
      <c r="I24" s="21"/>
      <c r="J24" s="21"/>
      <c r="L24" s="11"/>
      <c r="M24" s="11"/>
      <c r="N24" s="11"/>
      <c r="O24" s="11"/>
      <c r="P24" s="11"/>
      <c r="Q24" s="11"/>
      <c r="R24" s="11"/>
      <c r="S24" s="11"/>
      <c r="T24" s="11"/>
      <c r="U24" s="11"/>
    </row>
    <row r="25" spans="2:21" x14ac:dyDescent="0.25">
      <c r="B25" s="24"/>
      <c r="C25" s="24"/>
      <c r="D25" s="25">
        <v>44926</v>
      </c>
      <c r="E25" s="25">
        <v>45291</v>
      </c>
      <c r="F25" s="25">
        <v>45657</v>
      </c>
      <c r="G25" s="26">
        <v>46022</v>
      </c>
      <c r="H25" s="27">
        <v>45747</v>
      </c>
      <c r="I25" s="26">
        <v>46112</v>
      </c>
      <c r="J25" s="28" t="s">
        <v>38</v>
      </c>
      <c r="L25" s="11"/>
      <c r="M25" s="11"/>
      <c r="N25" s="11"/>
      <c r="O25" s="11"/>
      <c r="P25" s="11"/>
      <c r="Q25" s="11"/>
      <c r="R25" s="11"/>
      <c r="S25" s="11"/>
      <c r="T25" s="11"/>
      <c r="U25" s="11"/>
    </row>
    <row r="26" spans="2:21" x14ac:dyDescent="0.25">
      <c r="B26" s="8" t="s">
        <v>300</v>
      </c>
      <c r="C26" s="8"/>
      <c r="D26" s="62">
        <v>257.36900000000003</v>
      </c>
      <c r="E26" s="62">
        <v>520.68499999999995</v>
      </c>
      <c r="F26" s="62">
        <v>409.57499999999999</v>
      </c>
      <c r="G26" s="63">
        <v>491.05</v>
      </c>
      <c r="H26" s="64">
        <v>261.38299999999998</v>
      </c>
      <c r="I26" s="63">
        <v>127.497</v>
      </c>
      <c r="J26" s="32">
        <v>-0.51222152932669673</v>
      </c>
      <c r="L26" s="12" t="s">
        <v>2</v>
      </c>
      <c r="M26" s="68"/>
      <c r="N26" s="68"/>
      <c r="O26" s="68"/>
      <c r="P26" s="68"/>
      <c r="Q26" s="68"/>
      <c r="R26" s="68"/>
      <c r="S26" s="68"/>
      <c r="T26" s="68"/>
      <c r="U26" s="68"/>
    </row>
    <row r="27" spans="2:21" x14ac:dyDescent="0.25">
      <c r="B27" s="40" t="s">
        <v>181</v>
      </c>
      <c r="C27" s="33"/>
      <c r="D27" s="33">
        <v>0.48307600000000001</v>
      </c>
      <c r="E27" s="33">
        <v>0.459171</v>
      </c>
      <c r="F27" s="33">
        <v>0.52456199999999997</v>
      </c>
      <c r="G27" s="47">
        <v>0.540099</v>
      </c>
      <c r="H27" s="48">
        <v>0.52871099999999993</v>
      </c>
      <c r="I27" s="47">
        <v>0.49977699999999997</v>
      </c>
      <c r="J27" s="32">
        <v>-5.4725549496794978E-2</v>
      </c>
      <c r="L27" s="13" t="s">
        <v>302</v>
      </c>
      <c r="M27" s="68"/>
      <c r="N27" s="68"/>
      <c r="O27" s="68"/>
      <c r="P27" s="68"/>
      <c r="Q27" s="68"/>
      <c r="R27" s="68"/>
      <c r="S27" s="68"/>
      <c r="T27" s="68"/>
      <c r="U27" s="68"/>
    </row>
    <row r="28" spans="2:21" x14ac:dyDescent="0.25">
      <c r="B28" s="40" t="s">
        <v>182</v>
      </c>
      <c r="C28" s="33"/>
      <c r="D28" s="33">
        <v>0.45001600000000003</v>
      </c>
      <c r="E28" s="33">
        <v>0.42891199999999996</v>
      </c>
      <c r="F28" s="33">
        <v>0.50085800000000003</v>
      </c>
      <c r="G28" s="47">
        <v>0.50036000000000003</v>
      </c>
      <c r="H28" s="48">
        <v>0.50442700000000007</v>
      </c>
      <c r="I28" s="47">
        <v>0.45896299999999995</v>
      </c>
      <c r="J28" s="32">
        <v>-9.0129989076714989E-2</v>
      </c>
      <c r="L28" s="59" t="s">
        <v>303</v>
      </c>
      <c r="M28" s="59"/>
      <c r="N28" s="59"/>
      <c r="O28" s="59"/>
      <c r="P28" s="59"/>
      <c r="Q28" s="59"/>
      <c r="R28" s="59"/>
      <c r="S28" s="59"/>
      <c r="T28" s="59"/>
      <c r="U28" s="59"/>
    </row>
    <row r="29" spans="2:21" x14ac:dyDescent="0.25">
      <c r="B29" s="40" t="s">
        <v>183</v>
      </c>
      <c r="C29" s="33"/>
      <c r="D29" s="33">
        <v>0.52899399999999996</v>
      </c>
      <c r="E29" s="33">
        <v>0.500058</v>
      </c>
      <c r="F29" s="33">
        <v>0.57719900000000002</v>
      </c>
      <c r="G29" s="47">
        <v>0.59052000000000004</v>
      </c>
      <c r="H29" s="48">
        <v>0.585816</v>
      </c>
      <c r="I29" s="47">
        <v>0.55566000000000004</v>
      </c>
      <c r="J29" s="32">
        <v>-5.1476914252939432E-2</v>
      </c>
      <c r="L29" s="14" t="s">
        <v>304</v>
      </c>
      <c r="M29" s="14"/>
      <c r="N29" s="14"/>
      <c r="O29" s="14"/>
      <c r="P29" s="14"/>
      <c r="Q29" s="14"/>
      <c r="R29" s="14"/>
      <c r="S29" s="14"/>
      <c r="T29" s="14"/>
      <c r="U29" s="14"/>
    </row>
    <row r="30" spans="2:21" x14ac:dyDescent="0.25">
      <c r="B30" s="40" t="s">
        <v>184</v>
      </c>
      <c r="C30" s="33"/>
      <c r="D30" s="33">
        <v>0.33212600000000003</v>
      </c>
      <c r="E30" s="33">
        <v>0.304066</v>
      </c>
      <c r="F30" s="33">
        <v>0.33197200000000004</v>
      </c>
      <c r="G30" s="47">
        <v>0.303894</v>
      </c>
      <c r="H30" s="48">
        <v>0.33182899999999999</v>
      </c>
      <c r="I30" s="47">
        <v>0.27551100000000001</v>
      </c>
      <c r="J30" s="32">
        <v>-0.16971994611682517</v>
      </c>
      <c r="L30" s="59" t="s">
        <v>305</v>
      </c>
      <c r="M30" s="59"/>
      <c r="N30" s="59"/>
      <c r="O30" s="59"/>
      <c r="P30" s="59"/>
      <c r="Q30" s="59"/>
      <c r="R30" s="59"/>
      <c r="S30" s="59"/>
      <c r="T30" s="59"/>
      <c r="U30" s="59"/>
    </row>
    <row r="31" spans="2:21" x14ac:dyDescent="0.25">
      <c r="B31" s="34" t="s">
        <v>185</v>
      </c>
      <c r="C31" s="35"/>
      <c r="D31" s="35">
        <v>4.1971999999999995E-2</v>
      </c>
      <c r="E31" s="35">
        <v>0.25523200000000001</v>
      </c>
      <c r="F31" s="35">
        <v>0.13200200000000001</v>
      </c>
      <c r="G31" s="49">
        <v>0.28885500000000003</v>
      </c>
      <c r="H31" s="50">
        <v>0.22508900000000001</v>
      </c>
      <c r="I31" s="49">
        <v>0.17632600000000001</v>
      </c>
      <c r="J31" s="39">
        <v>-0.21663875178262815</v>
      </c>
      <c r="L31" s="14" t="s">
        <v>306</v>
      </c>
      <c r="M31" s="14"/>
      <c r="N31" s="14"/>
      <c r="O31" s="14"/>
      <c r="P31" s="14"/>
      <c r="Q31" s="14"/>
      <c r="R31" s="14"/>
      <c r="S31" s="14"/>
      <c r="T31" s="14"/>
      <c r="U31" s="14"/>
    </row>
    <row r="32" spans="2:21" x14ac:dyDescent="0.25">
      <c r="B32" s="40" t="s">
        <v>186</v>
      </c>
      <c r="C32" s="8"/>
      <c r="D32" s="43">
        <v>37.155070930619225</v>
      </c>
      <c r="E32" s="43">
        <v>18.586955141398541</v>
      </c>
      <c r="F32" s="43">
        <v>11.853487552377153</v>
      </c>
      <c r="G32" s="52">
        <v>12.780923781986022</v>
      </c>
      <c r="H32" s="61">
        <v>12.541117619856465</v>
      </c>
      <c r="I32" s="52">
        <v>12.247872940156668</v>
      </c>
      <c r="J32" s="32">
        <v>-2.338265923249927E-2</v>
      </c>
      <c r="L32" s="14" t="s">
        <v>307</v>
      </c>
      <c r="M32" s="14"/>
      <c r="N32" s="14"/>
      <c r="O32" s="14"/>
      <c r="P32" s="14"/>
      <c r="Q32" s="14"/>
      <c r="R32" s="14"/>
      <c r="S32" s="14"/>
      <c r="T32" s="14"/>
      <c r="U32" s="14"/>
    </row>
    <row r="33" spans="2:21" x14ac:dyDescent="0.25">
      <c r="B33" s="40" t="s">
        <v>187</v>
      </c>
      <c r="C33" s="8"/>
      <c r="D33" s="43">
        <v>37.846789999999999</v>
      </c>
      <c r="E33" s="43">
        <v>19.911259999999999</v>
      </c>
      <c r="F33" s="43">
        <v>17.5305</v>
      </c>
      <c r="G33" s="52">
        <v>14.828440000000001</v>
      </c>
      <c r="H33" s="61">
        <v>15.73113</v>
      </c>
      <c r="I33" s="52">
        <v>13.76441</v>
      </c>
      <c r="J33" s="32">
        <v>-0.12502089805373173</v>
      </c>
      <c r="L33" s="59" t="s">
        <v>308</v>
      </c>
      <c r="M33" s="59"/>
      <c r="N33" s="59"/>
      <c r="O33" s="59"/>
      <c r="P33" s="59"/>
      <c r="Q33" s="59"/>
      <c r="R33" s="59"/>
      <c r="S33" s="59"/>
      <c r="T33" s="59"/>
      <c r="U33" s="59"/>
    </row>
    <row r="34" spans="2:21" x14ac:dyDescent="0.25">
      <c r="B34" s="40" t="s">
        <v>188</v>
      </c>
      <c r="C34" s="8"/>
      <c r="D34" s="43">
        <v>11.33569</v>
      </c>
      <c r="E34" s="43">
        <v>14.74464</v>
      </c>
      <c r="F34" s="43">
        <v>13.69971</v>
      </c>
      <c r="G34" s="52">
        <v>12.124930000000001</v>
      </c>
      <c r="H34" s="61">
        <v>12.85416</v>
      </c>
      <c r="I34" s="52">
        <v>10.27825</v>
      </c>
      <c r="J34" s="32">
        <v>-0.20039504720650747</v>
      </c>
      <c r="L34" s="59" t="s">
        <v>309</v>
      </c>
      <c r="M34" s="59"/>
      <c r="N34" s="59"/>
      <c r="O34" s="59"/>
      <c r="P34" s="59"/>
      <c r="Q34" s="59"/>
      <c r="R34" s="59"/>
      <c r="S34" s="59"/>
      <c r="T34" s="59"/>
      <c r="U34" s="59"/>
    </row>
    <row r="35" spans="2:21" x14ac:dyDescent="0.25">
      <c r="B35" s="40" t="s">
        <v>189</v>
      </c>
      <c r="C35" s="8"/>
      <c r="D35" s="43">
        <v>1.16534</v>
      </c>
      <c r="E35" s="43">
        <v>1.2016199999999999</v>
      </c>
      <c r="F35" s="43">
        <v>0.96906000000000003</v>
      </c>
      <c r="G35" s="52">
        <v>0.73784000000000005</v>
      </c>
      <c r="H35" s="61">
        <v>0.76443000000000005</v>
      </c>
      <c r="I35" s="52">
        <v>0.87992999999999999</v>
      </c>
      <c r="J35" s="32">
        <v>0.15109297123346788</v>
      </c>
      <c r="L35" s="14" t="s">
        <v>310</v>
      </c>
      <c r="M35" s="14"/>
      <c r="N35" s="14"/>
      <c r="O35" s="14"/>
      <c r="P35" s="14"/>
      <c r="Q35" s="14"/>
      <c r="R35" s="14"/>
      <c r="S35" s="14"/>
      <c r="T35" s="14"/>
      <c r="U35" s="14"/>
    </row>
    <row r="36" spans="2:21" x14ac:dyDescent="0.25">
      <c r="B36" s="40" t="s">
        <v>190</v>
      </c>
      <c r="C36" s="8"/>
      <c r="D36" s="43">
        <v>0.96048999999999995</v>
      </c>
      <c r="E36" s="43">
        <v>0.80457999999999996</v>
      </c>
      <c r="F36" s="43">
        <v>0.71548</v>
      </c>
      <c r="G36" s="52">
        <v>0.41716999999999999</v>
      </c>
      <c r="H36" s="61">
        <v>0.60209999999999997</v>
      </c>
      <c r="I36" s="52">
        <v>0.78429000000000004</v>
      </c>
      <c r="J36" s="32">
        <v>0.30259093173891394</v>
      </c>
      <c r="L36" s="59" t="s">
        <v>311</v>
      </c>
      <c r="M36" s="59"/>
      <c r="N36" s="59"/>
      <c r="O36" s="59"/>
      <c r="P36" s="59"/>
      <c r="Q36" s="59"/>
      <c r="R36" s="59"/>
      <c r="S36" s="59"/>
      <c r="T36" s="59"/>
      <c r="U36" s="59"/>
    </row>
    <row r="37" spans="2:21" x14ac:dyDescent="0.25">
      <c r="B37" s="40" t="s">
        <v>191</v>
      </c>
      <c r="C37" s="8"/>
      <c r="D37" s="43">
        <v>3.8907500000000002</v>
      </c>
      <c r="E37" s="43">
        <v>1.6226700000000001</v>
      </c>
      <c r="F37" s="43">
        <v>1.24003</v>
      </c>
      <c r="G37" s="52">
        <v>0.90234999999999999</v>
      </c>
      <c r="H37" s="61">
        <v>0.93552000000000002</v>
      </c>
      <c r="I37" s="52">
        <v>1.17838</v>
      </c>
      <c r="J37" s="32">
        <v>0.25959893962715919</v>
      </c>
      <c r="L37" s="13" t="s">
        <v>233</v>
      </c>
      <c r="M37" s="1"/>
      <c r="N37" s="1"/>
      <c r="O37" s="1"/>
      <c r="P37" s="1"/>
      <c r="Q37" s="1"/>
      <c r="R37" s="1"/>
      <c r="S37" s="1"/>
      <c r="T37" s="1"/>
      <c r="U37" s="1"/>
    </row>
    <row r="38" spans="2:21" x14ac:dyDescent="0.25">
      <c r="B38" s="34" t="s">
        <v>192</v>
      </c>
      <c r="C38" s="53"/>
      <c r="D38" s="53">
        <v>3.20682</v>
      </c>
      <c r="E38" s="53">
        <v>1.0865100000000001</v>
      </c>
      <c r="F38" s="53">
        <v>0.91554999999999997</v>
      </c>
      <c r="G38" s="54">
        <v>0.51019000000000003</v>
      </c>
      <c r="H38" s="55">
        <v>0.73685</v>
      </c>
      <c r="I38" s="54">
        <v>1.0503</v>
      </c>
      <c r="J38" s="39">
        <v>0.42539187080138419</v>
      </c>
      <c r="L38" s="59" t="s">
        <v>312</v>
      </c>
      <c r="M38" s="59"/>
      <c r="N38" s="59"/>
      <c r="O38" s="59"/>
      <c r="P38" s="59"/>
      <c r="Q38" s="59"/>
      <c r="R38" s="59"/>
      <c r="S38" s="59"/>
      <c r="T38" s="59"/>
      <c r="U38" s="59"/>
    </row>
    <row r="39" spans="2:21" x14ac:dyDescent="0.25">
      <c r="B39" s="8" t="s">
        <v>193</v>
      </c>
      <c r="C39" s="43"/>
      <c r="D39" s="62">
        <v>51.864310000000003</v>
      </c>
      <c r="E39" s="62">
        <v>54.313099999999999</v>
      </c>
      <c r="F39" s="62">
        <v>58.508389999999999</v>
      </c>
      <c r="G39" s="63">
        <v>62.488370000000003</v>
      </c>
      <c r="H39" s="64">
        <v>61.204659999999997</v>
      </c>
      <c r="I39" s="63">
        <v>61.75253</v>
      </c>
      <c r="J39" s="32">
        <v>8.9514425862344815E-3</v>
      </c>
      <c r="L39" s="59"/>
      <c r="M39" s="59"/>
      <c r="N39" s="59"/>
      <c r="O39" s="59"/>
      <c r="P39" s="59"/>
      <c r="Q39" s="59"/>
      <c r="R39" s="59"/>
      <c r="S39" s="59"/>
      <c r="T39" s="59"/>
      <c r="U39" s="59"/>
    </row>
    <row r="40" spans="2:21" x14ac:dyDescent="0.25">
      <c r="B40" s="8" t="s">
        <v>194</v>
      </c>
      <c r="C40" s="43"/>
      <c r="D40" s="62">
        <v>118.78158999999999</v>
      </c>
      <c r="E40" s="62">
        <v>109.19450000000001</v>
      </c>
      <c r="F40" s="62">
        <v>80.151799999999994</v>
      </c>
      <c r="G40" s="63">
        <v>83.257230000000007</v>
      </c>
      <c r="H40" s="64">
        <v>95.1785</v>
      </c>
      <c r="I40" s="63">
        <v>72.910579999999996</v>
      </c>
      <c r="J40" s="32">
        <v>-0.23395956019479192</v>
      </c>
      <c r="L40" s="16"/>
      <c r="M40" s="16"/>
      <c r="N40" s="16"/>
      <c r="O40" s="16"/>
      <c r="P40" s="16"/>
      <c r="Q40" s="16"/>
      <c r="R40" s="16"/>
      <c r="S40" s="16"/>
      <c r="T40" s="16"/>
      <c r="U40" s="16"/>
    </row>
    <row r="41" spans="2:21" x14ac:dyDescent="0.25">
      <c r="B41" s="8" t="s">
        <v>195</v>
      </c>
      <c r="C41" s="43"/>
      <c r="D41" s="62">
        <v>20.73237</v>
      </c>
      <c r="E41" s="62">
        <v>20.60389</v>
      </c>
      <c r="F41" s="62">
        <v>22.095790000000001</v>
      </c>
      <c r="G41" s="63">
        <v>23.81005</v>
      </c>
      <c r="H41" s="64">
        <v>27.575749999999999</v>
      </c>
      <c r="I41" s="63">
        <v>29.199269999999999</v>
      </c>
      <c r="J41" s="32">
        <v>5.8874917273328942E-2</v>
      </c>
      <c r="L41" s="12" t="s">
        <v>16</v>
      </c>
    </row>
    <row r="42" spans="2:21" x14ac:dyDescent="0.25">
      <c r="B42" s="40" t="s">
        <v>196</v>
      </c>
      <c r="C42" s="43"/>
      <c r="D42" s="43">
        <v>0.67652000000000001</v>
      </c>
      <c r="E42" s="43">
        <v>0.78678999999999999</v>
      </c>
      <c r="F42" s="43">
        <v>1.71163</v>
      </c>
      <c r="G42" s="52">
        <v>2.0526800000000001</v>
      </c>
      <c r="H42" s="61">
        <v>1.4418899999999999</v>
      </c>
      <c r="I42" s="52">
        <v>1.84538</v>
      </c>
      <c r="J42" s="32">
        <v>0.27983410662394514</v>
      </c>
      <c r="L42" s="13" t="s">
        <v>313</v>
      </c>
      <c r="M42" s="91"/>
      <c r="N42" s="91"/>
      <c r="O42" s="91"/>
      <c r="P42" s="91"/>
      <c r="Q42" s="91"/>
      <c r="R42" s="91"/>
      <c r="S42" s="91"/>
      <c r="T42" s="91"/>
      <c r="U42" s="91"/>
    </row>
    <row r="43" spans="2:21" x14ac:dyDescent="0.25">
      <c r="B43" s="40" t="s">
        <v>197</v>
      </c>
      <c r="C43" s="43"/>
      <c r="D43" s="43">
        <v>0.60029999999999994</v>
      </c>
      <c r="E43" s="43">
        <v>0.69859000000000004</v>
      </c>
      <c r="F43" s="43">
        <v>1.55182</v>
      </c>
      <c r="G43" s="52">
        <v>1.7973699999999999</v>
      </c>
      <c r="H43" s="61">
        <v>1.24281</v>
      </c>
      <c r="I43" s="52">
        <v>1.4800199999999999</v>
      </c>
      <c r="J43" s="32">
        <v>0.19086586042918863</v>
      </c>
      <c r="L43" s="13" t="s">
        <v>314</v>
      </c>
      <c r="M43" s="91"/>
      <c r="N43" s="91"/>
      <c r="O43" s="91"/>
      <c r="P43" s="91"/>
      <c r="Q43" s="91"/>
      <c r="R43" s="91"/>
      <c r="S43" s="91"/>
      <c r="T43" s="91"/>
      <c r="U43" s="91"/>
    </row>
    <row r="44" spans="2:21" x14ac:dyDescent="0.25">
      <c r="B44" s="34" t="s">
        <v>198</v>
      </c>
      <c r="C44" s="44"/>
      <c r="D44" s="44">
        <v>-46.184910000000002</v>
      </c>
      <c r="E44" s="44">
        <v>-34.277520000000003</v>
      </c>
      <c r="F44" s="44">
        <v>0.45238</v>
      </c>
      <c r="G44" s="65">
        <v>3.0411800000000002</v>
      </c>
      <c r="H44" s="66">
        <v>-6.3980899999999998</v>
      </c>
      <c r="I44" s="65">
        <v>18.041219999999999</v>
      </c>
      <c r="J44" s="39">
        <v>-3.8197821537365058</v>
      </c>
      <c r="L44" s="14" t="s">
        <v>315</v>
      </c>
      <c r="M44" s="14"/>
      <c r="N44" s="14"/>
      <c r="O44" s="14"/>
      <c r="P44" s="14"/>
      <c r="Q44" s="14"/>
      <c r="R44" s="14"/>
      <c r="S44" s="14"/>
      <c r="T44" s="14"/>
      <c r="U44" s="14"/>
    </row>
    <row r="45" spans="2:21" x14ac:dyDescent="0.25">
      <c r="B45" s="40" t="s">
        <v>70</v>
      </c>
      <c r="C45" s="33"/>
      <c r="D45" s="33">
        <v>0.122068</v>
      </c>
      <c r="E45" s="33">
        <v>0.105281</v>
      </c>
      <c r="F45" s="33">
        <v>0.13078099999999998</v>
      </c>
      <c r="G45" s="47">
        <v>0.12289899999999999</v>
      </c>
      <c r="H45" s="48">
        <v>0.13217999999999999</v>
      </c>
      <c r="I45" s="47">
        <v>0.109099</v>
      </c>
      <c r="J45" s="32">
        <v>-0.17461794522620666</v>
      </c>
      <c r="L45" s="59" t="s">
        <v>316</v>
      </c>
      <c r="M45" s="59"/>
      <c r="N45" s="59"/>
      <c r="O45" s="59"/>
      <c r="P45" s="59"/>
      <c r="Q45" s="59"/>
      <c r="R45" s="59"/>
      <c r="S45" s="59"/>
      <c r="T45" s="59"/>
      <c r="U45" s="59"/>
    </row>
    <row r="46" spans="2:21" x14ac:dyDescent="0.25">
      <c r="B46" s="40" t="s">
        <v>199</v>
      </c>
      <c r="C46" s="33"/>
      <c r="D46" s="33">
        <v>0.17359000000000002</v>
      </c>
      <c r="E46" s="33">
        <v>0.14612700000000001</v>
      </c>
      <c r="F46" s="33">
        <v>0.17633400000000002</v>
      </c>
      <c r="G46" s="47">
        <v>0.16201199999999999</v>
      </c>
      <c r="H46" s="48">
        <v>0.17741900000000002</v>
      </c>
      <c r="I46" s="47">
        <v>0.14480399999999999</v>
      </c>
      <c r="J46" s="32">
        <v>-0.18383036766073546</v>
      </c>
      <c r="L46" s="59"/>
      <c r="M46" s="59"/>
      <c r="N46" s="59"/>
      <c r="O46" s="59"/>
      <c r="P46" s="59"/>
      <c r="Q46" s="59"/>
      <c r="R46" s="59"/>
      <c r="S46" s="59"/>
      <c r="T46" s="59"/>
      <c r="U46" s="59"/>
    </row>
    <row r="47" spans="2:21" x14ac:dyDescent="0.25">
      <c r="B47" s="34" t="s">
        <v>66</v>
      </c>
      <c r="C47" s="35"/>
      <c r="D47" s="35">
        <v>0.27218300000000001</v>
      </c>
      <c r="E47" s="35">
        <v>0.24743600000000002</v>
      </c>
      <c r="F47" s="35">
        <v>0.281665</v>
      </c>
      <c r="G47" s="49">
        <v>0.223053</v>
      </c>
      <c r="H47" s="50">
        <v>0.26906099999999999</v>
      </c>
      <c r="I47" s="49">
        <v>0.193325</v>
      </c>
      <c r="J47" s="39">
        <v>-0.28148263776615712</v>
      </c>
      <c r="L47" s="59" t="s">
        <v>317</v>
      </c>
      <c r="M47" s="59"/>
      <c r="N47" s="59"/>
      <c r="O47" s="59"/>
      <c r="P47" s="59"/>
      <c r="Q47" s="59"/>
      <c r="R47" s="59"/>
      <c r="S47" s="59"/>
      <c r="T47" s="59"/>
      <c r="U47" s="59"/>
    </row>
    <row r="48" spans="2:21" x14ac:dyDescent="0.25">
      <c r="L48" s="59"/>
      <c r="M48" s="59"/>
      <c r="N48" s="59"/>
      <c r="O48" s="59"/>
      <c r="P48" s="59"/>
      <c r="Q48" s="59"/>
      <c r="R48" s="59"/>
      <c r="S48" s="59"/>
      <c r="T48" s="59"/>
      <c r="U48" s="59"/>
    </row>
    <row r="49" spans="12:21" x14ac:dyDescent="0.25">
      <c r="L49" s="59" t="s">
        <v>318</v>
      </c>
      <c r="M49" s="59"/>
      <c r="N49" s="59"/>
      <c r="O49" s="59"/>
      <c r="P49" s="59"/>
      <c r="Q49" s="59"/>
      <c r="R49" s="59"/>
      <c r="S49" s="59"/>
      <c r="T49" s="59"/>
      <c r="U49" s="59"/>
    </row>
    <row r="50" spans="12:21" x14ac:dyDescent="0.25">
      <c r="L50" s="59"/>
      <c r="M50" s="59"/>
      <c r="N50" s="59"/>
      <c r="O50" s="59"/>
      <c r="P50" s="59"/>
      <c r="Q50" s="59"/>
      <c r="R50" s="59"/>
      <c r="S50" s="59"/>
      <c r="T50" s="59"/>
      <c r="U50" s="59"/>
    </row>
    <row r="51" spans="12:21" x14ac:dyDescent="0.25">
      <c r="L51" s="59"/>
      <c r="M51" s="59"/>
      <c r="N51" s="59"/>
      <c r="O51" s="59"/>
      <c r="P51" s="59"/>
      <c r="Q51" s="59"/>
      <c r="R51" s="59"/>
      <c r="S51" s="59"/>
      <c r="T51" s="59"/>
      <c r="U51" s="59"/>
    </row>
    <row r="52" spans="12:21" x14ac:dyDescent="0.25">
      <c r="L52" s="13" t="s">
        <v>319</v>
      </c>
    </row>
    <row r="53" spans="12:21" x14ac:dyDescent="0.25">
      <c r="L53" s="59" t="s">
        <v>320</v>
      </c>
      <c r="M53" s="59"/>
      <c r="N53" s="59"/>
      <c r="O53" s="59"/>
      <c r="P53" s="59"/>
      <c r="Q53" s="59"/>
      <c r="R53" s="59"/>
      <c r="S53" s="59"/>
      <c r="T53" s="59"/>
      <c r="U53" s="59"/>
    </row>
    <row r="54" spans="12:21" x14ac:dyDescent="0.25">
      <c r="L54" s="59"/>
      <c r="M54" s="59"/>
      <c r="N54" s="59"/>
      <c r="O54" s="59"/>
      <c r="P54" s="59"/>
      <c r="Q54" s="59"/>
      <c r="R54" s="59"/>
      <c r="S54" s="59"/>
      <c r="T54" s="59"/>
      <c r="U54" s="59"/>
    </row>
    <row r="55" spans="12:21" x14ac:dyDescent="0.25">
      <c r="L55" s="59"/>
      <c r="M55" s="59"/>
      <c r="N55" s="59"/>
      <c r="O55" s="59"/>
      <c r="P55" s="59"/>
      <c r="Q55" s="59"/>
      <c r="R55" s="59"/>
      <c r="S55" s="59"/>
      <c r="T55" s="59"/>
      <c r="U55" s="59"/>
    </row>
    <row r="56" spans="12:21" x14ac:dyDescent="0.25">
      <c r="L56" s="59" t="s">
        <v>321</v>
      </c>
      <c r="M56" s="59"/>
      <c r="N56" s="59"/>
      <c r="O56" s="59"/>
      <c r="P56" s="59"/>
      <c r="Q56" s="59"/>
      <c r="R56" s="59"/>
      <c r="S56" s="59"/>
      <c r="T56" s="59"/>
      <c r="U56" s="59"/>
    </row>
    <row r="57" spans="12:21" x14ac:dyDescent="0.25">
      <c r="L57" s="59" t="s">
        <v>322</v>
      </c>
      <c r="M57" s="59"/>
      <c r="N57" s="59"/>
      <c r="O57" s="59"/>
      <c r="P57" s="59"/>
      <c r="Q57" s="59"/>
      <c r="R57" s="59"/>
      <c r="S57" s="59"/>
      <c r="T57" s="59"/>
      <c r="U57" s="59"/>
    </row>
    <row r="58" spans="12:21" x14ac:dyDescent="0.25">
      <c r="L58" s="13" t="s">
        <v>323</v>
      </c>
    </row>
    <row r="59" spans="12:21" x14ac:dyDescent="0.25">
      <c r="L59" s="13" t="s">
        <v>324</v>
      </c>
    </row>
    <row r="60" spans="12:21" x14ac:dyDescent="0.25">
      <c r="L60" s="59" t="s">
        <v>325</v>
      </c>
      <c r="M60" s="59"/>
      <c r="N60" s="59"/>
      <c r="O60" s="59"/>
      <c r="P60" s="59"/>
      <c r="Q60" s="59"/>
      <c r="R60" s="59"/>
      <c r="S60" s="59"/>
      <c r="T60" s="59"/>
      <c r="U60" s="59"/>
    </row>
    <row r="61" spans="12:21" x14ac:dyDescent="0.25">
      <c r="L61" s="59"/>
      <c r="M61" s="59"/>
      <c r="N61" s="59"/>
      <c r="O61" s="59"/>
      <c r="P61" s="59"/>
      <c r="Q61" s="59"/>
      <c r="R61" s="59"/>
      <c r="S61" s="59"/>
      <c r="T61" s="59"/>
      <c r="U61" s="59"/>
    </row>
    <row r="62" spans="12:21" x14ac:dyDescent="0.25">
      <c r="L62" s="16"/>
      <c r="M62" s="16"/>
      <c r="N62" s="16"/>
      <c r="O62" s="16"/>
      <c r="P62" s="16"/>
      <c r="Q62" s="16"/>
      <c r="R62" s="16"/>
      <c r="S62" s="16"/>
      <c r="T62" s="16"/>
      <c r="U62" s="16"/>
    </row>
    <row r="69" spans="12:12" x14ac:dyDescent="0.25">
      <c r="L69" s="13"/>
    </row>
    <row r="70" spans="12:12" x14ac:dyDescent="0.25">
      <c r="L70" s="13"/>
    </row>
  </sheetData>
  <mergeCells count="19">
    <mergeCell ref="L60:U61"/>
    <mergeCell ref="L45:U46"/>
    <mergeCell ref="L47:U48"/>
    <mergeCell ref="L49:U51"/>
    <mergeCell ref="L53:U55"/>
    <mergeCell ref="L56:U56"/>
    <mergeCell ref="L57:U57"/>
    <mergeCell ref="L33:U33"/>
    <mergeCell ref="L34:U34"/>
    <mergeCell ref="L35:U35"/>
    <mergeCell ref="L36:U36"/>
    <mergeCell ref="L38:U39"/>
    <mergeCell ref="L44:U44"/>
    <mergeCell ref="L6:U25"/>
    <mergeCell ref="L28:U28"/>
    <mergeCell ref="L29:U29"/>
    <mergeCell ref="L30:U30"/>
    <mergeCell ref="L31:U31"/>
    <mergeCell ref="L32:U3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0CDDF-BEA9-4E6D-B79A-9F9FBFD8E4A8}">
  <dimension ref="B1:U60"/>
  <sheetViews>
    <sheetView workbookViewId="0">
      <selection activeCell="B24" sqref="B24: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 t="s">
        <v>326</v>
      </c>
      <c r="M6" s="11"/>
      <c r="N6" s="11"/>
      <c r="O6" s="11"/>
      <c r="P6" s="11"/>
      <c r="Q6" s="11"/>
      <c r="R6" s="11"/>
      <c r="S6" s="11"/>
      <c r="T6" s="11"/>
      <c r="U6" s="11"/>
    </row>
    <row r="7" spans="12:21" x14ac:dyDescent="0.25">
      <c r="L7" s="11"/>
      <c r="M7" s="11"/>
      <c r="N7" s="11"/>
      <c r="O7" s="11"/>
      <c r="P7" s="11"/>
      <c r="Q7" s="11"/>
      <c r="R7" s="11"/>
      <c r="S7" s="11"/>
      <c r="T7" s="11"/>
      <c r="U7" s="11"/>
    </row>
    <row r="8" spans="12:21" x14ac:dyDescent="0.25">
      <c r="L8" s="11"/>
      <c r="M8" s="11"/>
      <c r="N8" s="11"/>
      <c r="O8" s="11"/>
      <c r="P8" s="11"/>
      <c r="Q8" s="11"/>
      <c r="R8" s="11"/>
      <c r="S8" s="11"/>
      <c r="T8" s="11"/>
      <c r="U8" s="11"/>
    </row>
    <row r="9" spans="12:21" x14ac:dyDescent="0.25">
      <c r="L9" s="11"/>
      <c r="M9" s="11"/>
      <c r="N9" s="11"/>
      <c r="O9" s="11"/>
      <c r="P9" s="11"/>
      <c r="Q9" s="11"/>
      <c r="R9" s="11"/>
      <c r="S9" s="11"/>
      <c r="T9" s="11"/>
      <c r="U9" s="11"/>
    </row>
    <row r="10" spans="12:21" x14ac:dyDescent="0.25">
      <c r="L10" s="11"/>
      <c r="M10" s="11"/>
      <c r="N10" s="11"/>
      <c r="O10" s="11"/>
      <c r="P10" s="11"/>
      <c r="Q10" s="11"/>
      <c r="R10" s="11"/>
      <c r="S10" s="11"/>
      <c r="T10" s="11"/>
      <c r="U10" s="11"/>
    </row>
    <row r="11" spans="12:21" x14ac:dyDescent="0.25">
      <c r="L11" s="11"/>
      <c r="M11" s="11"/>
      <c r="N11" s="11"/>
      <c r="O11" s="11"/>
      <c r="P11" s="11"/>
      <c r="Q11" s="11"/>
      <c r="R11" s="11"/>
      <c r="S11" s="11"/>
      <c r="T11" s="11"/>
      <c r="U11" s="11"/>
    </row>
    <row r="12" spans="12:21" x14ac:dyDescent="0.25">
      <c r="L12" s="11"/>
      <c r="M12" s="11"/>
      <c r="N12" s="11"/>
      <c r="O12" s="11"/>
      <c r="P12" s="11"/>
      <c r="Q12" s="11"/>
      <c r="R12" s="11"/>
      <c r="S12" s="11"/>
      <c r="T12" s="11"/>
      <c r="U12" s="11"/>
    </row>
    <row r="13" spans="12:21" x14ac:dyDescent="0.25">
      <c r="L13" s="11"/>
      <c r="M13" s="11"/>
      <c r="N13" s="11"/>
      <c r="O13" s="11"/>
      <c r="P13" s="11"/>
      <c r="Q13" s="11"/>
      <c r="R13" s="11"/>
      <c r="S13" s="11"/>
      <c r="T13" s="11"/>
      <c r="U13" s="11"/>
    </row>
    <row r="14" spans="12:21" x14ac:dyDescent="0.25">
      <c r="L14" s="11"/>
      <c r="M14" s="11"/>
      <c r="N14" s="11"/>
      <c r="O14" s="11"/>
      <c r="P14" s="11"/>
      <c r="Q14" s="11"/>
      <c r="R14" s="11"/>
      <c r="S14" s="11"/>
      <c r="T14" s="11"/>
      <c r="U14" s="11"/>
    </row>
    <row r="15" spans="12:21" x14ac:dyDescent="0.25">
      <c r="L15" s="11"/>
      <c r="M15" s="11"/>
      <c r="N15" s="11"/>
      <c r="O15" s="11"/>
      <c r="P15" s="11"/>
      <c r="Q15" s="11"/>
      <c r="R15" s="11"/>
      <c r="S15" s="11"/>
      <c r="T15" s="11"/>
      <c r="U15" s="11"/>
    </row>
    <row r="16" spans="12:21" x14ac:dyDescent="0.25">
      <c r="L16" s="11"/>
      <c r="M16" s="11"/>
      <c r="N16" s="11"/>
      <c r="O16" s="11"/>
      <c r="P16" s="11"/>
      <c r="Q16" s="11"/>
      <c r="R16" s="11"/>
      <c r="S16" s="11"/>
      <c r="T16" s="11"/>
      <c r="U16" s="11"/>
    </row>
    <row r="17" spans="2:21" x14ac:dyDescent="0.25">
      <c r="L17" s="11"/>
      <c r="M17" s="11"/>
      <c r="N17" s="11"/>
      <c r="O17" s="11"/>
      <c r="P17" s="11"/>
      <c r="Q17" s="11"/>
      <c r="R17" s="11"/>
      <c r="S17" s="11"/>
      <c r="T17" s="11"/>
      <c r="U17" s="11"/>
    </row>
    <row r="18" spans="2:21" x14ac:dyDescent="0.25">
      <c r="L18" s="11"/>
      <c r="M18" s="11"/>
      <c r="N18" s="11"/>
      <c r="O18" s="11"/>
      <c r="P18" s="11"/>
      <c r="Q18" s="11"/>
      <c r="R18" s="11"/>
      <c r="S18" s="11"/>
      <c r="T18" s="11"/>
      <c r="U18" s="11"/>
    </row>
    <row r="19" spans="2:21" x14ac:dyDescent="0.25">
      <c r="L19" s="11"/>
      <c r="M19" s="11"/>
      <c r="N19" s="11"/>
      <c r="O19" s="11"/>
      <c r="P19" s="11"/>
      <c r="Q19" s="11"/>
      <c r="R19" s="11"/>
      <c r="S19" s="11"/>
      <c r="T19" s="11"/>
      <c r="U19" s="11"/>
    </row>
    <row r="20" spans="2:21" x14ac:dyDescent="0.25">
      <c r="L20" s="11"/>
      <c r="M20" s="11"/>
      <c r="N20" s="11"/>
      <c r="O20" s="11"/>
      <c r="P20" s="11"/>
      <c r="Q20" s="11"/>
      <c r="R20" s="11"/>
      <c r="S20" s="11"/>
      <c r="T20" s="11"/>
      <c r="U20" s="11"/>
    </row>
    <row r="21" spans="2:21" x14ac:dyDescent="0.25">
      <c r="L21" s="12" t="s">
        <v>2</v>
      </c>
      <c r="M21" s="68"/>
      <c r="N21" s="68"/>
      <c r="O21" s="68"/>
      <c r="P21" s="68"/>
      <c r="Q21" s="68"/>
      <c r="R21" s="68"/>
      <c r="S21" s="68"/>
      <c r="T21" s="68"/>
      <c r="U21" s="68"/>
    </row>
    <row r="22" spans="2:21" x14ac:dyDescent="0.25">
      <c r="L22" s="13" t="s">
        <v>302</v>
      </c>
      <c r="M22" s="68"/>
      <c r="N22" s="68"/>
      <c r="O22" s="68"/>
      <c r="P22" s="68"/>
      <c r="Q22" s="68"/>
      <c r="R22" s="68"/>
      <c r="S22" s="68"/>
      <c r="T22" s="68"/>
      <c r="U22" s="68"/>
    </row>
    <row r="23" spans="2:21" x14ac:dyDescent="0.25">
      <c r="L23" s="13" t="s">
        <v>327</v>
      </c>
      <c r="M23" s="13"/>
      <c r="N23" s="13"/>
      <c r="O23" s="13"/>
      <c r="P23" s="13"/>
      <c r="Q23" s="13"/>
      <c r="R23" s="13"/>
      <c r="S23" s="13"/>
      <c r="T23" s="13"/>
      <c r="U23" s="13"/>
    </row>
    <row r="24" spans="2:21" x14ac:dyDescent="0.25">
      <c r="B24" s="1"/>
      <c r="C24" s="1"/>
      <c r="D24" s="20" t="s">
        <v>36</v>
      </c>
      <c r="E24" s="21"/>
      <c r="F24" s="21"/>
      <c r="G24" s="22"/>
      <c r="H24" s="23" t="s">
        <v>37</v>
      </c>
      <c r="I24" s="21"/>
      <c r="J24" s="21"/>
      <c r="N24" s="92" t="s">
        <v>328</v>
      </c>
      <c r="P24" s="93" t="s">
        <v>329</v>
      </c>
      <c r="R24" s="94" t="s">
        <v>330</v>
      </c>
    </row>
    <row r="25" spans="2:21" x14ac:dyDescent="0.25">
      <c r="B25" s="24"/>
      <c r="C25" s="24"/>
      <c r="D25" s="25">
        <v>44926</v>
      </c>
      <c r="E25" s="25">
        <v>45291</v>
      </c>
      <c r="F25" s="25">
        <v>45657</v>
      </c>
      <c r="G25" s="26">
        <v>46022</v>
      </c>
      <c r="H25" s="27">
        <v>45747</v>
      </c>
      <c r="I25" s="26">
        <v>46112</v>
      </c>
      <c r="J25" s="28" t="s">
        <v>38</v>
      </c>
    </row>
    <row r="26" spans="2:21" x14ac:dyDescent="0.25">
      <c r="B26" s="8" t="s">
        <v>300</v>
      </c>
      <c r="C26" s="8"/>
      <c r="D26" s="62">
        <v>308.26285000000001</v>
      </c>
      <c r="E26" s="62">
        <v>286.76017999999999</v>
      </c>
      <c r="F26" s="62">
        <v>663.74503000000004</v>
      </c>
      <c r="G26" s="63">
        <v>741.08280000000002</v>
      </c>
      <c r="H26" s="64">
        <v>804.64314000000002</v>
      </c>
      <c r="I26" s="63">
        <v>804.42553999999996</v>
      </c>
      <c r="J26" s="32">
        <v>-2.7043044199703825E-4</v>
      </c>
    </row>
    <row r="27" spans="2:21" x14ac:dyDescent="0.25">
      <c r="B27" s="40" t="s">
        <v>181</v>
      </c>
      <c r="C27" s="33"/>
      <c r="D27" s="33">
        <v>0.22534500000000002</v>
      </c>
      <c r="E27" s="33">
        <v>0.165934</v>
      </c>
      <c r="F27" s="33">
        <v>0.26895199999999997</v>
      </c>
      <c r="G27" s="47">
        <v>0.258525</v>
      </c>
      <c r="H27" s="48">
        <v>0.27487600000000001</v>
      </c>
      <c r="I27" s="47">
        <v>0.19939000000000001</v>
      </c>
      <c r="J27" s="32">
        <v>-0.27461837337563122</v>
      </c>
    </row>
    <row r="28" spans="2:21" x14ac:dyDescent="0.25">
      <c r="B28" s="40" t="s">
        <v>182</v>
      </c>
      <c r="C28" s="33"/>
      <c r="D28" s="33">
        <v>0.19142299999999998</v>
      </c>
      <c r="E28" s="33">
        <v>0.10823199999999999</v>
      </c>
      <c r="F28" s="33">
        <v>0.21503</v>
      </c>
      <c r="G28" s="47">
        <v>0.213587</v>
      </c>
      <c r="H28" s="48">
        <v>0.21334599999999998</v>
      </c>
      <c r="I28" s="47">
        <v>0.15478</v>
      </c>
      <c r="J28" s="32">
        <v>-0.27451182586033951</v>
      </c>
    </row>
    <row r="29" spans="2:21" x14ac:dyDescent="0.25">
      <c r="B29" s="40" t="s">
        <v>183</v>
      </c>
      <c r="C29" s="33"/>
      <c r="D29" s="33">
        <v>0.339808</v>
      </c>
      <c r="E29" s="33">
        <v>0.24341599999999999</v>
      </c>
      <c r="F29" s="33">
        <v>0.36035099999999998</v>
      </c>
      <c r="G29" s="47">
        <v>0.381046</v>
      </c>
      <c r="H29" s="48">
        <v>0.36068199999999995</v>
      </c>
      <c r="I29" s="47">
        <v>0.319741</v>
      </c>
      <c r="J29" s="32">
        <v>-0.11350996168369909</v>
      </c>
    </row>
    <row r="30" spans="2:21" x14ac:dyDescent="0.25">
      <c r="B30" s="40" t="s">
        <v>184</v>
      </c>
      <c r="C30" s="33"/>
      <c r="D30" s="33">
        <v>0.117407</v>
      </c>
      <c r="E30" s="33">
        <v>8.9309999999999997E-3</v>
      </c>
      <c r="F30" s="33">
        <v>0.13611999999999999</v>
      </c>
      <c r="G30" s="47">
        <v>0.117356</v>
      </c>
      <c r="H30" s="48">
        <v>0.13783899999999999</v>
      </c>
      <c r="I30" s="47">
        <v>6.8460999999999994E-2</v>
      </c>
      <c r="J30" s="32">
        <v>-0.50332634450336988</v>
      </c>
    </row>
    <row r="31" spans="2:21" x14ac:dyDescent="0.25">
      <c r="B31" s="34" t="s">
        <v>185</v>
      </c>
      <c r="C31" s="35"/>
      <c r="D31" s="35">
        <v>-0.24038000000000001</v>
      </c>
      <c r="E31" s="35">
        <v>8.4730000000000014E-3</v>
      </c>
      <c r="F31" s="35">
        <v>0.109483</v>
      </c>
      <c r="G31" s="49">
        <v>0.17250299999999999</v>
      </c>
      <c r="H31" s="50">
        <v>0.29575899999999999</v>
      </c>
      <c r="I31" s="49">
        <v>0.14097400000000002</v>
      </c>
      <c r="J31" s="39">
        <v>-0.52334840190831045</v>
      </c>
    </row>
    <row r="32" spans="2:21" x14ac:dyDescent="0.25">
      <c r="B32" s="40" t="s">
        <v>186</v>
      </c>
      <c r="C32" s="8"/>
      <c r="D32" s="43">
        <v>3.0037734110336918</v>
      </c>
      <c r="E32" s="43">
        <v>5.6853874319318898</v>
      </c>
      <c r="F32" s="43">
        <v>5.9572249200823046</v>
      </c>
      <c r="G32" s="52">
        <v>5.6556544232423835</v>
      </c>
      <c r="H32" s="61">
        <v>6.2048644334459766</v>
      </c>
      <c r="I32" s="52">
        <v>5.444008104860087</v>
      </c>
      <c r="J32" s="32">
        <v>-0.12262255473055272</v>
      </c>
    </row>
    <row r="33" spans="2:21" x14ac:dyDescent="0.25">
      <c r="B33" s="40" t="s">
        <v>187</v>
      </c>
      <c r="C33" s="8"/>
      <c r="D33" s="43">
        <v>10.203889999999999</v>
      </c>
      <c r="E33" s="43">
        <v>5.6964300000000003</v>
      </c>
      <c r="F33" s="43">
        <v>6.2398400000000001</v>
      </c>
      <c r="G33" s="52">
        <v>6.6169000000000002</v>
      </c>
      <c r="H33" s="61">
        <v>6.3423499999999997</v>
      </c>
      <c r="I33" s="52">
        <v>5.7141000000000002</v>
      </c>
      <c r="J33" s="32">
        <v>-9.9056343468903463E-2</v>
      </c>
    </row>
    <row r="34" spans="2:21" x14ac:dyDescent="0.25">
      <c r="B34" s="40" t="s">
        <v>188</v>
      </c>
      <c r="C34" s="8"/>
      <c r="D34" s="43" t="s">
        <v>104</v>
      </c>
      <c r="E34" s="43">
        <v>2.2224400000000002</v>
      </c>
      <c r="F34" s="43">
        <v>3.57877</v>
      </c>
      <c r="G34" s="52">
        <v>4.3340500000000004</v>
      </c>
      <c r="H34" s="61">
        <v>4.91228</v>
      </c>
      <c r="I34" s="52">
        <v>3.6251099999999998</v>
      </c>
      <c r="J34" s="32">
        <v>-0.26203107314729623</v>
      </c>
      <c r="L34" s="14" t="s">
        <v>331</v>
      </c>
      <c r="M34" s="14"/>
      <c r="N34" s="14"/>
      <c r="O34" s="14"/>
      <c r="P34" s="14"/>
      <c r="Q34" s="14"/>
      <c r="R34" s="14"/>
      <c r="S34" s="14"/>
      <c r="T34" s="14"/>
      <c r="U34" s="14"/>
    </row>
    <row r="35" spans="2:21" x14ac:dyDescent="0.25">
      <c r="B35" s="40" t="s">
        <v>189</v>
      </c>
      <c r="C35" s="8"/>
      <c r="D35" s="43">
        <v>3.36768</v>
      </c>
      <c r="E35" s="43">
        <v>3.6487799999999999</v>
      </c>
      <c r="F35" s="43">
        <v>2.2876500000000002</v>
      </c>
      <c r="G35" s="52">
        <v>2.48671</v>
      </c>
      <c r="H35" s="61">
        <v>2.2710499999999998</v>
      </c>
      <c r="I35" s="52">
        <v>2.7048399999999999</v>
      </c>
      <c r="J35" s="32">
        <v>0.19100856432046864</v>
      </c>
      <c r="L35" s="14" t="s">
        <v>332</v>
      </c>
      <c r="M35" s="14"/>
      <c r="N35" s="14"/>
      <c r="O35" s="14"/>
      <c r="P35" s="14"/>
      <c r="Q35" s="14"/>
      <c r="R35" s="14"/>
      <c r="S35" s="14"/>
      <c r="T35" s="14"/>
      <c r="U35" s="14"/>
    </row>
    <row r="36" spans="2:21" x14ac:dyDescent="0.25">
      <c r="B36" s="40" t="s">
        <v>190</v>
      </c>
      <c r="C36" s="8"/>
      <c r="D36" s="43">
        <v>2.9495100000000001</v>
      </c>
      <c r="E36" s="43">
        <v>3.19015</v>
      </c>
      <c r="F36" s="43">
        <v>1.6257699999999999</v>
      </c>
      <c r="G36" s="52">
        <v>1.6198600000000001</v>
      </c>
      <c r="H36" s="61">
        <v>1.4496599999999999</v>
      </c>
      <c r="I36" s="52">
        <v>1.65604</v>
      </c>
      <c r="J36" s="32">
        <v>0.14236441648386511</v>
      </c>
      <c r="L36" s="13" t="s">
        <v>333</v>
      </c>
      <c r="M36" s="13"/>
      <c r="N36" s="13"/>
      <c r="O36" s="13"/>
      <c r="P36" s="13"/>
      <c r="Q36" s="13"/>
      <c r="R36" s="13"/>
      <c r="S36" s="13"/>
      <c r="T36" s="13"/>
      <c r="U36" s="13"/>
    </row>
    <row r="37" spans="2:21" x14ac:dyDescent="0.25">
      <c r="B37" s="40" t="s">
        <v>191</v>
      </c>
      <c r="C37" s="8"/>
      <c r="D37" s="43" t="s">
        <v>104</v>
      </c>
      <c r="E37" s="43">
        <v>9.3523200000000006</v>
      </c>
      <c r="F37" s="43">
        <v>3.9886900000000001</v>
      </c>
      <c r="G37" s="52">
        <v>3.7965300000000002</v>
      </c>
      <c r="H37" s="61">
        <v>2.93221</v>
      </c>
      <c r="I37" s="52">
        <v>4.2635300000000003</v>
      </c>
      <c r="J37" s="32">
        <v>0.45403296489678446</v>
      </c>
      <c r="L37" s="14" t="s">
        <v>334</v>
      </c>
      <c r="M37" s="14"/>
      <c r="N37" s="14"/>
      <c r="O37" s="14"/>
      <c r="P37" s="14"/>
      <c r="Q37" s="14"/>
      <c r="R37" s="14"/>
      <c r="S37" s="14"/>
      <c r="T37" s="14"/>
      <c r="U37" s="14"/>
    </row>
    <row r="38" spans="2:21" x14ac:dyDescent="0.25">
      <c r="B38" s="34" t="s">
        <v>192</v>
      </c>
      <c r="C38" s="53"/>
      <c r="D38" s="53" t="s">
        <v>104</v>
      </c>
      <c r="E38" s="53">
        <v>8.1768000000000001</v>
      </c>
      <c r="F38" s="53">
        <v>2.8346499999999999</v>
      </c>
      <c r="G38" s="54">
        <v>2.47309</v>
      </c>
      <c r="H38" s="55">
        <v>1.87168</v>
      </c>
      <c r="I38" s="54">
        <v>2.6103499999999999</v>
      </c>
      <c r="J38" s="39">
        <v>0.39465613780133357</v>
      </c>
      <c r="L38" s="14" t="s">
        <v>335</v>
      </c>
      <c r="M38" s="14"/>
      <c r="N38" s="14"/>
      <c r="O38" s="14"/>
      <c r="P38" s="14"/>
      <c r="Q38" s="14"/>
      <c r="R38" s="14"/>
      <c r="S38" s="14"/>
      <c r="T38" s="14"/>
      <c r="U38" s="14"/>
    </row>
    <row r="39" spans="2:21" x14ac:dyDescent="0.25">
      <c r="B39" s="8" t="s">
        <v>193</v>
      </c>
      <c r="C39" s="43"/>
      <c r="D39" s="62">
        <v>75.853939999999994</v>
      </c>
      <c r="E39" s="62">
        <v>81.334410000000005</v>
      </c>
      <c r="F39" s="62">
        <v>68.366600000000005</v>
      </c>
      <c r="G39" s="63">
        <v>74.856759999999994</v>
      </c>
      <c r="H39" s="64">
        <v>68.436040000000006</v>
      </c>
      <c r="I39" s="63">
        <v>76.742710000000002</v>
      </c>
      <c r="J39" s="32">
        <v>0.12137858940990731</v>
      </c>
      <c r="L39" s="14"/>
      <c r="M39" s="14"/>
      <c r="N39" s="14"/>
      <c r="O39" s="14"/>
      <c r="P39" s="14"/>
      <c r="Q39" s="14"/>
      <c r="R39" s="14"/>
      <c r="S39" s="14"/>
      <c r="T39" s="14"/>
      <c r="U39" s="14"/>
    </row>
    <row r="40" spans="2:21" x14ac:dyDescent="0.25">
      <c r="B40" s="8" t="s">
        <v>194</v>
      </c>
      <c r="C40" s="43"/>
      <c r="D40" s="62">
        <v>53.440379999999998</v>
      </c>
      <c r="E40" s="62">
        <v>47.630679999999998</v>
      </c>
      <c r="F40" s="62">
        <v>50.569490000000002</v>
      </c>
      <c r="G40" s="63">
        <v>57.710149999999999</v>
      </c>
      <c r="H40" s="64">
        <v>46.152059999999999</v>
      </c>
      <c r="I40" s="63">
        <v>65.493409999999997</v>
      </c>
      <c r="J40" s="32">
        <v>0.41907880168295852</v>
      </c>
    </row>
    <row r="41" spans="2:21" x14ac:dyDescent="0.25">
      <c r="B41" s="8" t="s">
        <v>195</v>
      </c>
      <c r="C41" s="43"/>
      <c r="D41" s="62">
        <v>78.323890000000006</v>
      </c>
      <c r="E41" s="62">
        <v>71.675420000000003</v>
      </c>
      <c r="F41" s="62">
        <v>81.529060000000001</v>
      </c>
      <c r="G41" s="63">
        <v>88.628569999999996</v>
      </c>
      <c r="H41" s="64">
        <v>81.231480000000005</v>
      </c>
      <c r="I41" s="63">
        <v>78.074960000000004</v>
      </c>
      <c r="J41" s="32">
        <v>-3.8858334231999692E-2</v>
      </c>
      <c r="L41" s="12" t="s">
        <v>16</v>
      </c>
    </row>
    <row r="42" spans="2:21" x14ac:dyDescent="0.25">
      <c r="B42" s="40" t="s">
        <v>196</v>
      </c>
      <c r="C42" s="43"/>
      <c r="D42" s="43">
        <v>1.65561</v>
      </c>
      <c r="E42" s="43">
        <v>1.91536</v>
      </c>
      <c r="F42" s="43">
        <v>2.0214400000000001</v>
      </c>
      <c r="G42" s="52">
        <v>2.1314799999999998</v>
      </c>
      <c r="H42" s="61">
        <v>1.56995</v>
      </c>
      <c r="I42" s="52">
        <v>1.6008500000000001</v>
      </c>
      <c r="J42" s="32">
        <v>1.9682155482658725E-2</v>
      </c>
      <c r="L42" s="13" t="s">
        <v>336</v>
      </c>
    </row>
    <row r="43" spans="2:21" x14ac:dyDescent="0.25">
      <c r="B43" s="40" t="s">
        <v>197</v>
      </c>
      <c r="C43" s="43"/>
      <c r="D43" s="43">
        <v>1.1457200000000001</v>
      </c>
      <c r="E43" s="43">
        <v>1.25895</v>
      </c>
      <c r="F43" s="43">
        <v>1.4377899999999999</v>
      </c>
      <c r="G43" s="52">
        <v>1.58172</v>
      </c>
      <c r="H43" s="61">
        <v>1.1726099999999999</v>
      </c>
      <c r="I43" s="52">
        <v>1.22228</v>
      </c>
      <c r="J43" s="32">
        <v>4.2358499415833251E-2</v>
      </c>
      <c r="L43" s="13" t="s">
        <v>337</v>
      </c>
    </row>
    <row r="44" spans="2:21" x14ac:dyDescent="0.25">
      <c r="B44" s="34" t="s">
        <v>198</v>
      </c>
      <c r="C44" s="44"/>
      <c r="D44" s="44">
        <v>100.73745</v>
      </c>
      <c r="E44" s="44">
        <v>105.37915</v>
      </c>
      <c r="F44" s="44">
        <v>99.326179999999994</v>
      </c>
      <c r="G44" s="65">
        <v>105.77518000000001</v>
      </c>
      <c r="H44" s="66">
        <v>103.51546</v>
      </c>
      <c r="I44" s="65">
        <v>89.324259999999995</v>
      </c>
      <c r="J44" s="39">
        <v>-0.1370925656901878</v>
      </c>
      <c r="L44" s="13" t="s">
        <v>314</v>
      </c>
    </row>
    <row r="45" spans="2:21" x14ac:dyDescent="0.25">
      <c r="B45" s="40" t="s">
        <v>70</v>
      </c>
      <c r="C45" s="33"/>
      <c r="D45" s="33">
        <v>2.8593E-2</v>
      </c>
      <c r="E45" s="33">
        <v>1.9311999999999999E-2</v>
      </c>
      <c r="F45" s="33">
        <v>4.1154999999999997E-2</v>
      </c>
      <c r="G45" s="47">
        <v>3.6105999999999999E-2</v>
      </c>
      <c r="H45" s="48">
        <v>4.0141000000000003E-2</v>
      </c>
      <c r="I45" s="47">
        <v>2.6768E-2</v>
      </c>
      <c r="J45" s="32">
        <v>-0.33315064397997063</v>
      </c>
      <c r="L45" s="13" t="s">
        <v>338</v>
      </c>
    </row>
    <row r="46" spans="2:21" x14ac:dyDescent="0.25">
      <c r="B46" s="40" t="s">
        <v>199</v>
      </c>
      <c r="C46" s="33"/>
      <c r="D46" s="33">
        <v>3.6889999999999999E-2</v>
      </c>
      <c r="E46" s="33">
        <v>2.4984000000000003E-2</v>
      </c>
      <c r="F46" s="33">
        <v>5.3404E-2</v>
      </c>
      <c r="G46" s="47">
        <v>4.7085999999999996E-2</v>
      </c>
      <c r="H46" s="48">
        <v>5.3338000000000003E-2</v>
      </c>
      <c r="I46" s="47">
        <v>3.6662E-2</v>
      </c>
      <c r="J46" s="32">
        <v>-0.31264764333120854</v>
      </c>
      <c r="L46" s="13" t="s">
        <v>339</v>
      </c>
    </row>
    <row r="47" spans="2:21" x14ac:dyDescent="0.25">
      <c r="B47" s="34" t="s">
        <v>66</v>
      </c>
      <c r="C47" s="35"/>
      <c r="D47" s="35">
        <v>5.5603E-2</v>
      </c>
      <c r="E47" s="35">
        <v>5.0590000000000001E-3</v>
      </c>
      <c r="F47" s="35">
        <v>8.1388999999999989E-2</v>
      </c>
      <c r="G47" s="49">
        <v>6.2240999999999998E-2</v>
      </c>
      <c r="H47" s="50">
        <v>8.417899999999999E-2</v>
      </c>
      <c r="I47" s="49">
        <v>3.9269999999999999E-2</v>
      </c>
      <c r="J47" s="39">
        <v>-0.53349410185438173</v>
      </c>
      <c r="L47" s="13" t="s">
        <v>340</v>
      </c>
      <c r="M47" s="16"/>
      <c r="N47" s="16"/>
      <c r="O47" s="16"/>
      <c r="P47" s="16"/>
      <c r="Q47" s="16"/>
      <c r="R47" s="16"/>
      <c r="S47" s="16"/>
      <c r="T47" s="16"/>
      <c r="U47" s="16"/>
    </row>
    <row r="48" spans="2:21" x14ac:dyDescent="0.25">
      <c r="L48" s="13" t="s">
        <v>341</v>
      </c>
    </row>
    <row r="49" spans="12:21" x14ac:dyDescent="0.25">
      <c r="L49" s="13" t="s">
        <v>342</v>
      </c>
      <c r="M49" s="16"/>
      <c r="N49" s="16"/>
      <c r="O49" s="16"/>
      <c r="P49" s="16"/>
      <c r="Q49" s="16"/>
      <c r="R49" s="16"/>
      <c r="S49" s="16"/>
      <c r="T49" s="16"/>
      <c r="U49" s="16"/>
    </row>
    <row r="50" spans="12:21" x14ac:dyDescent="0.25">
      <c r="M50" s="16"/>
      <c r="N50" s="16"/>
      <c r="O50" s="16"/>
      <c r="P50" s="16"/>
      <c r="Q50" s="16"/>
      <c r="R50" s="16"/>
      <c r="S50" s="16"/>
      <c r="T50" s="16"/>
      <c r="U50" s="16"/>
    </row>
    <row r="51" spans="12:21" ht="15.75" x14ac:dyDescent="0.25">
      <c r="L51" s="9" t="s">
        <v>242</v>
      </c>
      <c r="M51" s="10"/>
      <c r="N51" s="10"/>
      <c r="O51" s="10"/>
      <c r="P51" s="33"/>
      <c r="Q51" s="9" t="s">
        <v>243</v>
      </c>
      <c r="R51" s="10"/>
      <c r="S51" s="10"/>
      <c r="T51" s="10"/>
    </row>
    <row r="52" spans="12:21" ht="15.75" x14ac:dyDescent="0.25">
      <c r="P52" s="13"/>
      <c r="Q52" s="95"/>
    </row>
    <row r="53" spans="12:21" ht="15.75" x14ac:dyDescent="0.25">
      <c r="L53" s="79" t="s">
        <v>245</v>
      </c>
      <c r="M53" s="79"/>
      <c r="N53" s="80" t="s">
        <v>246</v>
      </c>
      <c r="O53" s="81" t="s">
        <v>247</v>
      </c>
      <c r="Q53" s="95"/>
    </row>
    <row r="54" spans="12:21" ht="15.75" x14ac:dyDescent="0.25">
      <c r="L54" s="82">
        <f>$AG$6</f>
        <v>0</v>
      </c>
      <c r="M54" s="82"/>
      <c r="N54" s="83" t="str">
        <f>TEXT($AH$9*10000,"0")&amp;","&amp;TEXT($AI$9*10000,"0")&amp;","&amp;TEXT($AJ$9*10000,"0")</f>
        <v>0,0,0</v>
      </c>
      <c r="O54" s="83" t="str">
        <f>TEXT($AH$29*10000,"0")&amp;","&amp;TEXT($AI$29*10000,"0")&amp;","&amp;TEXT($AJ$29*10000,"0")</f>
        <v>0,0,0</v>
      </c>
      <c r="Q54" s="95"/>
    </row>
    <row r="55" spans="12:21" x14ac:dyDescent="0.25">
      <c r="L55" s="82">
        <f>$AB$6</f>
        <v>0</v>
      </c>
      <c r="M55" s="82"/>
      <c r="N55" s="83" t="str">
        <f>TEXT($AC$9*10000,"0")&amp;","&amp;TEXT($AD$9*10000,"0")&amp;","&amp;TEXT($AE$9*10000,"0")</f>
        <v>0,0,0</v>
      </c>
      <c r="O55" s="83" t="str">
        <f>TEXT($AC$29*10000,"0")&amp;","&amp;TEXT($AD$29*10000,"0")&amp;","&amp;TEXT($AE$29*10000,"0")</f>
        <v>0,0,0</v>
      </c>
      <c r="Q55" s="8" t="s">
        <v>343</v>
      </c>
      <c r="R55" s="96">
        <v>0.61770000000000003</v>
      </c>
    </row>
    <row r="56" spans="12:21" x14ac:dyDescent="0.25">
      <c r="Q56" s="8" t="s">
        <v>344</v>
      </c>
      <c r="R56" s="96">
        <v>0.1195</v>
      </c>
    </row>
    <row r="57" spans="12:21" x14ac:dyDescent="0.25">
      <c r="Q57" s="8" t="s">
        <v>296</v>
      </c>
      <c r="R57" s="96">
        <v>0.1187</v>
      </c>
    </row>
    <row r="58" spans="12:21" x14ac:dyDescent="0.25">
      <c r="Q58" s="8" t="s">
        <v>297</v>
      </c>
      <c r="R58" s="96">
        <v>8.9700000000000002E-2</v>
      </c>
    </row>
    <row r="59" spans="12:21" x14ac:dyDescent="0.25">
      <c r="Q59" s="8" t="s">
        <v>298</v>
      </c>
      <c r="R59" s="96">
        <v>1.4E-2</v>
      </c>
    </row>
    <row r="60" spans="12:21" x14ac:dyDescent="0.25">
      <c r="Q60" s="8" t="s">
        <v>299</v>
      </c>
      <c r="R60" s="96">
        <f>100%-SUM(R55:R59)</f>
        <v>4.039999999999988E-2</v>
      </c>
    </row>
  </sheetData>
  <mergeCells count="5">
    <mergeCell ref="L6:U20"/>
    <mergeCell ref="L34:U34"/>
    <mergeCell ref="L35:U35"/>
    <mergeCell ref="L37:U37"/>
    <mergeCell ref="L38:U3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6006F-84C0-4C24-BE6A-219E154BC52B}">
  <dimension ref="B1:U94"/>
  <sheetViews>
    <sheetView workbookViewId="0">
      <selection activeCell="B24" sqref="B24: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5" spans="12:21" x14ac:dyDescent="0.25">
      <c r="M5" s="104"/>
      <c r="N5" s="104"/>
      <c r="O5" s="104"/>
      <c r="P5" s="104"/>
      <c r="Q5" s="104"/>
      <c r="R5" s="104"/>
      <c r="S5" s="104"/>
      <c r="T5" s="104"/>
      <c r="U5" s="104"/>
    </row>
    <row r="6" spans="12:21" x14ac:dyDescent="0.25">
      <c r="L6" s="97" t="s">
        <v>367</v>
      </c>
      <c r="M6" s="97"/>
      <c r="N6" s="97"/>
      <c r="O6" s="97"/>
      <c r="P6" s="97"/>
      <c r="Q6" s="97"/>
      <c r="R6" s="97"/>
      <c r="S6" s="97"/>
      <c r="T6" s="97"/>
      <c r="U6" s="97"/>
    </row>
    <row r="7" spans="12:21" x14ac:dyDescent="0.25">
      <c r="L7" s="97"/>
      <c r="M7" s="97"/>
      <c r="N7" s="97"/>
      <c r="O7" s="97"/>
      <c r="P7" s="97"/>
      <c r="Q7" s="97"/>
      <c r="R7" s="97"/>
      <c r="S7" s="97"/>
      <c r="T7" s="97"/>
      <c r="U7" s="97"/>
    </row>
    <row r="8" spans="12:21" x14ac:dyDescent="0.25">
      <c r="L8" s="97"/>
      <c r="M8" s="97"/>
      <c r="N8" s="97"/>
      <c r="O8" s="97"/>
      <c r="P8" s="97"/>
      <c r="Q8" s="97"/>
      <c r="R8" s="97"/>
      <c r="S8" s="97"/>
      <c r="T8" s="97"/>
      <c r="U8" s="97"/>
    </row>
    <row r="9" spans="12:21" x14ac:dyDescent="0.25">
      <c r="L9" s="97"/>
      <c r="M9" s="97"/>
      <c r="N9" s="97"/>
      <c r="O9" s="97"/>
      <c r="P9" s="97"/>
      <c r="Q9" s="97"/>
      <c r="R9" s="97"/>
      <c r="S9" s="97"/>
      <c r="T9" s="97"/>
      <c r="U9" s="97"/>
    </row>
    <row r="10" spans="12:21" x14ac:dyDescent="0.25">
      <c r="L10" s="97"/>
      <c r="M10" s="97"/>
      <c r="N10" s="97"/>
      <c r="O10" s="97"/>
      <c r="P10" s="97"/>
      <c r="Q10" s="97"/>
      <c r="R10" s="97"/>
      <c r="S10" s="97"/>
      <c r="T10" s="97"/>
      <c r="U10" s="97"/>
    </row>
    <row r="11" spans="12:21" x14ac:dyDescent="0.25">
      <c r="L11" s="97"/>
      <c r="M11" s="97"/>
      <c r="N11" s="97"/>
      <c r="O11" s="97"/>
      <c r="P11" s="97"/>
      <c r="Q11" s="97"/>
      <c r="R11" s="97"/>
      <c r="S11" s="97"/>
      <c r="T11" s="97"/>
      <c r="U11" s="97"/>
    </row>
    <row r="12" spans="12:21" x14ac:dyDescent="0.25">
      <c r="L12" s="97"/>
      <c r="M12" s="97"/>
      <c r="N12" s="97"/>
      <c r="O12" s="97"/>
      <c r="P12" s="97"/>
      <c r="Q12" s="97"/>
      <c r="R12" s="97"/>
      <c r="S12" s="97"/>
      <c r="T12" s="97"/>
      <c r="U12" s="97"/>
    </row>
    <row r="13" spans="12:21" x14ac:dyDescent="0.25">
      <c r="L13" s="97"/>
      <c r="M13" s="97"/>
      <c r="N13" s="97"/>
      <c r="O13" s="97"/>
      <c r="P13" s="97"/>
      <c r="Q13" s="97"/>
      <c r="R13" s="97"/>
      <c r="S13" s="97"/>
      <c r="T13" s="97"/>
      <c r="U13" s="97"/>
    </row>
    <row r="14" spans="12:21" x14ac:dyDescent="0.25">
      <c r="L14" s="97"/>
      <c r="M14" s="97"/>
      <c r="N14" s="97"/>
      <c r="O14" s="97"/>
      <c r="P14" s="97"/>
      <c r="Q14" s="97"/>
      <c r="R14" s="97"/>
      <c r="S14" s="97"/>
      <c r="T14" s="97"/>
      <c r="U14" s="97"/>
    </row>
    <row r="15" spans="12:21" x14ac:dyDescent="0.25">
      <c r="L15" s="97"/>
      <c r="M15" s="97"/>
      <c r="N15" s="97"/>
      <c r="O15" s="97"/>
      <c r="P15" s="97"/>
      <c r="Q15" s="97"/>
      <c r="R15" s="97"/>
      <c r="S15" s="97"/>
      <c r="T15" s="97"/>
      <c r="U15" s="97"/>
    </row>
    <row r="16" spans="12:21" x14ac:dyDescent="0.25">
      <c r="L16" s="97"/>
      <c r="M16" s="97"/>
      <c r="N16" s="97"/>
      <c r="O16" s="97"/>
      <c r="P16" s="97"/>
      <c r="Q16" s="97"/>
      <c r="R16" s="97"/>
      <c r="S16" s="97"/>
      <c r="T16" s="97"/>
      <c r="U16" s="97"/>
    </row>
    <row r="17" spans="2:21" x14ac:dyDescent="0.25">
      <c r="L17" s="97"/>
      <c r="M17" s="97"/>
      <c r="N17" s="97"/>
      <c r="O17" s="97"/>
      <c r="P17" s="97"/>
      <c r="Q17" s="97"/>
      <c r="R17" s="97"/>
      <c r="S17" s="97"/>
      <c r="T17" s="97"/>
      <c r="U17" s="97"/>
    </row>
    <row r="18" spans="2:21" x14ac:dyDescent="0.25">
      <c r="L18" s="97"/>
      <c r="M18" s="97"/>
      <c r="N18" s="97"/>
      <c r="O18" s="97"/>
      <c r="P18" s="97"/>
      <c r="Q18" s="97"/>
      <c r="R18" s="97"/>
      <c r="S18" s="97"/>
      <c r="T18" s="97"/>
      <c r="U18" s="97"/>
    </row>
    <row r="19" spans="2:21" x14ac:dyDescent="0.25">
      <c r="L19" s="97"/>
      <c r="M19" s="97"/>
      <c r="N19" s="97"/>
      <c r="O19" s="97"/>
      <c r="P19" s="97"/>
      <c r="Q19" s="97"/>
      <c r="R19" s="97"/>
      <c r="S19" s="97"/>
      <c r="T19" s="97"/>
      <c r="U19" s="97"/>
    </row>
    <row r="20" spans="2:21" x14ac:dyDescent="0.25">
      <c r="L20" s="97"/>
      <c r="M20" s="97"/>
      <c r="N20" s="97"/>
      <c r="O20" s="97"/>
      <c r="P20" s="97"/>
      <c r="Q20" s="97"/>
      <c r="R20" s="97"/>
      <c r="S20" s="97"/>
      <c r="T20" s="97"/>
      <c r="U20" s="97"/>
    </row>
    <row r="21" spans="2:21" x14ac:dyDescent="0.25">
      <c r="L21" s="97"/>
      <c r="M21" s="97"/>
      <c r="N21" s="97"/>
      <c r="O21" s="97"/>
      <c r="P21" s="97"/>
      <c r="Q21" s="97"/>
      <c r="R21" s="97"/>
      <c r="S21" s="97"/>
      <c r="T21" s="97"/>
      <c r="U21" s="97"/>
    </row>
    <row r="22" spans="2:21" x14ac:dyDescent="0.25">
      <c r="L22" s="97"/>
      <c r="M22" s="97"/>
      <c r="N22" s="97"/>
      <c r="O22" s="97"/>
      <c r="P22" s="97"/>
      <c r="Q22" s="97"/>
      <c r="R22" s="97"/>
      <c r="S22" s="97"/>
      <c r="T22" s="97"/>
      <c r="U22" s="97"/>
    </row>
    <row r="23" spans="2:21" x14ac:dyDescent="0.25">
      <c r="L23" s="97"/>
      <c r="M23" s="97"/>
      <c r="N23" s="97"/>
      <c r="O23" s="97"/>
      <c r="P23" s="97"/>
      <c r="Q23" s="97"/>
      <c r="R23" s="97"/>
      <c r="S23" s="97"/>
      <c r="T23" s="97"/>
      <c r="U23" s="97"/>
    </row>
    <row r="24" spans="2:21" x14ac:dyDescent="0.25">
      <c r="B24" s="1"/>
      <c r="C24" s="1"/>
      <c r="D24" s="20" t="s">
        <v>36</v>
      </c>
      <c r="E24" s="21"/>
      <c r="F24" s="21"/>
      <c r="G24" s="22"/>
      <c r="H24" s="23" t="s">
        <v>37</v>
      </c>
      <c r="I24" s="21"/>
      <c r="J24" s="21"/>
      <c r="L24" s="97"/>
      <c r="M24" s="97"/>
      <c r="N24" s="97"/>
      <c r="O24" s="97"/>
      <c r="P24" s="97"/>
      <c r="Q24" s="97"/>
      <c r="R24" s="97"/>
      <c r="S24" s="97"/>
      <c r="T24" s="97"/>
      <c r="U24" s="97"/>
    </row>
    <row r="25" spans="2:21" x14ac:dyDescent="0.25">
      <c r="B25" s="24"/>
      <c r="C25" s="24"/>
      <c r="D25" s="25">
        <v>44926</v>
      </c>
      <c r="E25" s="25">
        <v>45291</v>
      </c>
      <c r="F25" s="25">
        <v>45657</v>
      </c>
      <c r="G25" s="26">
        <v>46022</v>
      </c>
      <c r="H25" s="27">
        <v>45747</v>
      </c>
      <c r="I25" s="26">
        <v>46112</v>
      </c>
      <c r="J25" s="28" t="s">
        <v>38</v>
      </c>
      <c r="L25" s="97"/>
      <c r="M25" s="97"/>
      <c r="N25" s="97"/>
      <c r="O25" s="97"/>
      <c r="P25" s="97"/>
      <c r="Q25" s="97"/>
      <c r="R25" s="97"/>
      <c r="S25" s="97"/>
      <c r="T25" s="97"/>
      <c r="U25" s="97"/>
    </row>
    <row r="26" spans="2:21" x14ac:dyDescent="0.25">
      <c r="B26" s="8" t="s">
        <v>300</v>
      </c>
      <c r="C26" s="8"/>
      <c r="D26" s="107">
        <v>876.36725999999999</v>
      </c>
      <c r="E26" s="107">
        <v>1283.50072</v>
      </c>
      <c r="F26" s="107">
        <v>870.50036999999998</v>
      </c>
      <c r="G26" s="108">
        <v>1330.4199900000001</v>
      </c>
      <c r="H26" s="64">
        <v>1821.58897</v>
      </c>
      <c r="I26" s="63">
        <v>2212.5149700000002</v>
      </c>
      <c r="J26" s="32">
        <v>0.21460714049009644</v>
      </c>
      <c r="L26" s="97"/>
      <c r="M26" s="97"/>
      <c r="N26" s="97"/>
      <c r="O26" s="97"/>
      <c r="P26" s="97"/>
      <c r="Q26" s="97"/>
      <c r="R26" s="97"/>
      <c r="S26" s="97"/>
      <c r="T26" s="97"/>
      <c r="U26" s="97"/>
    </row>
    <row r="27" spans="2:21" x14ac:dyDescent="0.25">
      <c r="B27" s="40" t="s">
        <v>181</v>
      </c>
      <c r="C27" s="33"/>
      <c r="D27" s="33">
        <v>0.57764199999999999</v>
      </c>
      <c r="E27" s="33">
        <v>0.55509500000000001</v>
      </c>
      <c r="F27" s="33">
        <v>0.56597700000000006</v>
      </c>
      <c r="G27" s="47">
        <v>0.61318800000000007</v>
      </c>
      <c r="H27" s="48">
        <v>0.58372599999999997</v>
      </c>
      <c r="I27" s="47">
        <v>0.63035400000000008</v>
      </c>
      <c r="J27" s="32">
        <v>7.9879943672202636E-2</v>
      </c>
      <c r="L27" s="97"/>
      <c r="M27" s="97"/>
      <c r="N27" s="97"/>
      <c r="O27" s="97"/>
      <c r="P27" s="97"/>
      <c r="Q27" s="97"/>
      <c r="R27" s="97"/>
      <c r="S27" s="97"/>
      <c r="T27" s="97"/>
      <c r="U27" s="97"/>
    </row>
    <row r="28" spans="2:21" x14ac:dyDescent="0.25">
      <c r="B28" s="40" t="s">
        <v>182</v>
      </c>
      <c r="C28" s="33"/>
      <c r="D28" s="33">
        <v>0.48826999999999998</v>
      </c>
      <c r="E28" s="33">
        <v>0.44327599999999995</v>
      </c>
      <c r="F28" s="33">
        <v>0.47305599999999998</v>
      </c>
      <c r="G28" s="47">
        <v>0.50448899999999997</v>
      </c>
      <c r="H28" s="48">
        <v>0.49130600000000002</v>
      </c>
      <c r="I28" s="47">
        <v>0.52041300000000001</v>
      </c>
      <c r="J28" s="32">
        <v>5.9244137055114221E-2</v>
      </c>
      <c r="L28" s="97"/>
      <c r="M28" s="97"/>
      <c r="N28" s="97"/>
      <c r="O28" s="97"/>
      <c r="P28" s="97"/>
      <c r="Q28" s="97"/>
      <c r="R28" s="97"/>
      <c r="S28" s="97"/>
      <c r="T28" s="97"/>
      <c r="U28" s="97"/>
    </row>
    <row r="29" spans="2:21" x14ac:dyDescent="0.25">
      <c r="B29" s="40" t="s">
        <v>183</v>
      </c>
      <c r="C29" s="33"/>
      <c r="D29" s="33">
        <v>0.57412700000000005</v>
      </c>
      <c r="E29" s="33">
        <v>0.60257099999999997</v>
      </c>
      <c r="F29" s="33">
        <v>0.65440200000000004</v>
      </c>
      <c r="G29" s="47">
        <v>0.65925200000000006</v>
      </c>
      <c r="H29" s="48">
        <v>0.661605</v>
      </c>
      <c r="I29" s="47">
        <v>0.67238399999999998</v>
      </c>
      <c r="J29" s="32">
        <v>1.6292198517242173E-2</v>
      </c>
      <c r="L29" s="12" t="s">
        <v>2</v>
      </c>
      <c r="M29" s="105"/>
      <c r="N29" s="105"/>
      <c r="O29" s="105"/>
      <c r="P29" s="105"/>
      <c r="Q29" s="105"/>
      <c r="R29" s="105"/>
      <c r="S29" s="105"/>
      <c r="T29" s="105"/>
      <c r="U29" s="105"/>
    </row>
    <row r="30" spans="2:21" x14ac:dyDescent="0.25">
      <c r="B30" s="40" t="s">
        <v>184</v>
      </c>
      <c r="C30" s="33"/>
      <c r="D30" s="33">
        <v>0.21812899999999999</v>
      </c>
      <c r="E30" s="33">
        <v>0.19659400000000002</v>
      </c>
      <c r="F30" s="33">
        <v>0.21357600000000002</v>
      </c>
      <c r="G30" s="47">
        <v>0.226939</v>
      </c>
      <c r="H30" s="48">
        <v>0.176922</v>
      </c>
      <c r="I30" s="47">
        <v>0.27173599999999998</v>
      </c>
      <c r="J30" s="32">
        <v>0.53590847944291831</v>
      </c>
      <c r="L30" s="13" t="s">
        <v>368</v>
      </c>
      <c r="M30" s="105"/>
      <c r="N30" s="105"/>
      <c r="O30" s="105"/>
      <c r="P30" s="105"/>
      <c r="Q30" s="105"/>
      <c r="R30" s="105"/>
      <c r="S30" s="105"/>
      <c r="T30" s="105"/>
      <c r="U30" s="105"/>
    </row>
    <row r="31" spans="2:21" x14ac:dyDescent="0.25">
      <c r="B31" s="34" t="s">
        <v>185</v>
      </c>
      <c r="C31" s="35"/>
      <c r="D31" s="35">
        <v>0.16031600000000001</v>
      </c>
      <c r="E31" s="35">
        <v>0.320023</v>
      </c>
      <c r="F31" s="35">
        <v>0.28789399999999998</v>
      </c>
      <c r="G31" s="49">
        <v>0.434091</v>
      </c>
      <c r="H31" s="50">
        <v>0.33091399999999999</v>
      </c>
      <c r="I31" s="49">
        <v>0.42500399999999999</v>
      </c>
      <c r="J31" s="39">
        <v>0.28433369395069419</v>
      </c>
      <c r="L31" s="13" t="s">
        <v>369</v>
      </c>
      <c r="M31" s="105"/>
      <c r="N31" s="105"/>
      <c r="O31" s="105"/>
      <c r="P31" s="105"/>
      <c r="Q31" s="105"/>
      <c r="R31" s="105"/>
      <c r="S31" s="105"/>
      <c r="T31" s="105"/>
      <c r="U31" s="105"/>
    </row>
    <row r="32" spans="2:21" x14ac:dyDescent="0.25">
      <c r="B32" s="40" t="s">
        <v>186</v>
      </c>
      <c r="C32" s="8"/>
      <c r="D32" s="43">
        <v>14.297421905288475</v>
      </c>
      <c r="E32" s="43">
        <v>16.895319612016216</v>
      </c>
      <c r="F32" s="43">
        <v>14.511760294579316</v>
      </c>
      <c r="G32" s="52">
        <v>20.750526962434986</v>
      </c>
      <c r="H32" s="61">
        <v>14.624549711441992</v>
      </c>
      <c r="I32" s="52">
        <v>22.555359242595475</v>
      </c>
      <c r="J32" s="32">
        <v>0.54229427145702536</v>
      </c>
      <c r="L32" s="59" t="s">
        <v>370</v>
      </c>
      <c r="M32" s="59"/>
      <c r="N32" s="59"/>
      <c r="O32" s="59"/>
      <c r="P32" s="59"/>
      <c r="Q32" s="59"/>
      <c r="R32" s="59"/>
      <c r="S32" s="59"/>
      <c r="T32" s="59"/>
      <c r="U32" s="59"/>
    </row>
    <row r="33" spans="2:21" x14ac:dyDescent="0.25">
      <c r="B33" s="40" t="s">
        <v>187</v>
      </c>
      <c r="C33" s="8"/>
      <c r="D33" s="43">
        <v>21.468889999999998</v>
      </c>
      <c r="E33" s="43">
        <v>22.230899999999998</v>
      </c>
      <c r="F33" s="43">
        <v>24.41001</v>
      </c>
      <c r="G33" s="52">
        <v>32.684350000000002</v>
      </c>
      <c r="H33" s="61">
        <v>26.44501</v>
      </c>
      <c r="I33" s="52">
        <v>33.75844</v>
      </c>
      <c r="J33" s="32">
        <v>0.27655236280871143</v>
      </c>
      <c r="L33" s="59"/>
      <c r="M33" s="59"/>
      <c r="N33" s="59"/>
      <c r="O33" s="59"/>
      <c r="P33" s="59"/>
      <c r="Q33" s="59"/>
      <c r="R33" s="59"/>
      <c r="S33" s="59"/>
      <c r="T33" s="59"/>
      <c r="U33" s="59"/>
    </row>
    <row r="34" spans="2:21" x14ac:dyDescent="0.25">
      <c r="B34" s="40" t="s">
        <v>188</v>
      </c>
      <c r="C34" s="8"/>
      <c r="D34" s="43">
        <v>15.88186</v>
      </c>
      <c r="E34" s="43">
        <v>17.960059999999999</v>
      </c>
      <c r="F34" s="43">
        <v>21.23254</v>
      </c>
      <c r="G34" s="52">
        <v>29.116530000000001</v>
      </c>
      <c r="H34" s="61">
        <v>23.500350000000001</v>
      </c>
      <c r="I34" s="52">
        <v>30.122530000000001</v>
      </c>
      <c r="J34" s="32">
        <v>0.28179069673430401</v>
      </c>
      <c r="L34" s="59" t="s">
        <v>371</v>
      </c>
      <c r="M34" s="59"/>
      <c r="N34" s="59"/>
      <c r="O34" s="59"/>
      <c r="P34" s="59"/>
      <c r="Q34" s="59"/>
      <c r="R34" s="59"/>
      <c r="S34" s="59"/>
      <c r="T34" s="59"/>
      <c r="U34" s="59"/>
    </row>
    <row r="35" spans="2:21" x14ac:dyDescent="0.25">
      <c r="B35" s="40" t="s">
        <v>189</v>
      </c>
      <c r="C35" s="8"/>
      <c r="D35" s="43">
        <v>1.0399400000000001</v>
      </c>
      <c r="E35" s="43">
        <v>1.10693</v>
      </c>
      <c r="F35" s="43">
        <v>0.77283000000000002</v>
      </c>
      <c r="G35" s="52">
        <v>0.60587000000000002</v>
      </c>
      <c r="H35" s="61">
        <v>0.70421999999999996</v>
      </c>
      <c r="I35" s="52">
        <v>0.63734000000000002</v>
      </c>
      <c r="J35" s="32">
        <v>-9.4970321774445421E-2</v>
      </c>
      <c r="L35" s="59"/>
      <c r="M35" s="59"/>
      <c r="N35" s="59"/>
      <c r="O35" s="59"/>
      <c r="P35" s="59"/>
      <c r="Q35" s="59"/>
      <c r="R35" s="59"/>
      <c r="S35" s="59"/>
      <c r="T35" s="59"/>
      <c r="U35" s="59"/>
    </row>
    <row r="36" spans="2:21" x14ac:dyDescent="0.25">
      <c r="B36" s="40" t="s">
        <v>190</v>
      </c>
      <c r="C36" s="8"/>
      <c r="D36" s="43">
        <v>0.85980999999999996</v>
      </c>
      <c r="E36" s="43">
        <v>0.81732000000000005</v>
      </c>
      <c r="F36" s="43">
        <v>0.60941999999999996</v>
      </c>
      <c r="G36" s="52">
        <v>0.38879000000000002</v>
      </c>
      <c r="H36" s="61">
        <v>0.38627</v>
      </c>
      <c r="I36" s="52">
        <v>0.30034</v>
      </c>
      <c r="J36" s="32">
        <v>-0.22246097289460742</v>
      </c>
      <c r="L36" s="106" t="s">
        <v>372</v>
      </c>
      <c r="M36" s="106"/>
      <c r="N36" s="106"/>
      <c r="O36" s="106"/>
      <c r="P36" s="106"/>
      <c r="Q36" s="106"/>
      <c r="R36" s="106"/>
      <c r="S36" s="106"/>
      <c r="T36" s="106"/>
      <c r="U36" s="106"/>
    </row>
    <row r="37" spans="2:21" x14ac:dyDescent="0.25">
      <c r="B37" s="40" t="s">
        <v>191</v>
      </c>
      <c r="C37" s="8"/>
      <c r="D37" s="43">
        <v>1.40578</v>
      </c>
      <c r="E37" s="43">
        <v>1.37015</v>
      </c>
      <c r="F37" s="43">
        <v>0.88848000000000005</v>
      </c>
      <c r="G37" s="52">
        <v>0.68010999999999999</v>
      </c>
      <c r="H37" s="61">
        <v>0.79246000000000005</v>
      </c>
      <c r="I37" s="52">
        <v>0.71426999999999996</v>
      </c>
      <c r="J37" s="32">
        <v>-9.8667440627918213E-2</v>
      </c>
      <c r="L37" s="106"/>
      <c r="M37" s="106"/>
      <c r="N37" s="106"/>
      <c r="O37" s="106"/>
      <c r="P37" s="106"/>
      <c r="Q37" s="106"/>
      <c r="R37" s="106"/>
      <c r="S37" s="106"/>
      <c r="T37" s="106"/>
      <c r="U37" s="106"/>
    </row>
    <row r="38" spans="2:21" x14ac:dyDescent="0.25">
      <c r="B38" s="34" t="s">
        <v>192</v>
      </c>
      <c r="C38" s="53"/>
      <c r="D38" s="53">
        <v>1.16228</v>
      </c>
      <c r="E38" s="53">
        <v>1.0116700000000001</v>
      </c>
      <c r="F38" s="53">
        <v>0.70062000000000002</v>
      </c>
      <c r="G38" s="54">
        <v>0.43642999999999998</v>
      </c>
      <c r="H38" s="55">
        <v>0.43467</v>
      </c>
      <c r="I38" s="54">
        <v>0.33659</v>
      </c>
      <c r="J38" s="39">
        <v>-0.22564244139232059</v>
      </c>
      <c r="L38" s="106" t="s">
        <v>373</v>
      </c>
      <c r="M38" s="106"/>
      <c r="N38" s="106"/>
      <c r="O38" s="106"/>
      <c r="P38" s="106"/>
      <c r="Q38" s="106"/>
      <c r="R38" s="106"/>
      <c r="S38" s="106"/>
      <c r="T38" s="106"/>
      <c r="U38" s="106"/>
    </row>
    <row r="39" spans="2:21" x14ac:dyDescent="0.25">
      <c r="B39" s="8" t="s">
        <v>193</v>
      </c>
      <c r="C39" s="43"/>
      <c r="D39" s="62">
        <v>76.762420000000006</v>
      </c>
      <c r="E39" s="62">
        <v>76.472250000000003</v>
      </c>
      <c r="F39" s="62">
        <v>61.171039999999998</v>
      </c>
      <c r="G39" s="63">
        <v>53.824730000000002</v>
      </c>
      <c r="H39" s="64">
        <v>58.541260000000001</v>
      </c>
      <c r="I39" s="63">
        <v>49.668469999999999</v>
      </c>
      <c r="J39" s="32">
        <v>-0.15156472546029931</v>
      </c>
      <c r="L39" s="106"/>
      <c r="M39" s="106"/>
      <c r="N39" s="106"/>
      <c r="O39" s="106"/>
      <c r="P39" s="106"/>
      <c r="Q39" s="106"/>
      <c r="R39" s="106"/>
      <c r="S39" s="106"/>
      <c r="T39" s="106"/>
      <c r="U39" s="106"/>
    </row>
    <row r="40" spans="2:21" x14ac:dyDescent="0.25">
      <c r="B40" s="8" t="s">
        <v>194</v>
      </c>
      <c r="C40" s="43"/>
      <c r="D40" s="62">
        <v>142.35694000000001</v>
      </c>
      <c r="E40" s="62">
        <v>148.33491000000001</v>
      </c>
      <c r="F40" s="62">
        <v>149.23577</v>
      </c>
      <c r="G40" s="63">
        <v>160.36312000000001</v>
      </c>
      <c r="H40" s="64">
        <v>93.437079999999995</v>
      </c>
      <c r="I40" s="63">
        <v>66.754490000000004</v>
      </c>
      <c r="J40" s="32">
        <v>-0.28556746422298296</v>
      </c>
      <c r="L40" s="59" t="s">
        <v>371</v>
      </c>
      <c r="M40" s="59"/>
      <c r="N40" s="59"/>
      <c r="O40" s="59"/>
      <c r="P40" s="59"/>
      <c r="Q40" s="59"/>
      <c r="R40" s="59"/>
      <c r="S40" s="59"/>
      <c r="T40" s="59"/>
      <c r="U40" s="59"/>
    </row>
    <row r="41" spans="2:21" x14ac:dyDescent="0.25">
      <c r="B41" s="8" t="s">
        <v>195</v>
      </c>
      <c r="C41" s="43"/>
      <c r="D41" s="62">
        <v>67.257459999999995</v>
      </c>
      <c r="E41" s="62">
        <v>86.089269999999999</v>
      </c>
      <c r="F41" s="62">
        <v>76.21584</v>
      </c>
      <c r="G41" s="63">
        <v>58.547460000000001</v>
      </c>
      <c r="H41" s="64">
        <v>77.047489999999996</v>
      </c>
      <c r="I41" s="63">
        <v>64.605729999999994</v>
      </c>
      <c r="J41" s="32">
        <v>-0.1614817043358584</v>
      </c>
      <c r="L41" s="59"/>
      <c r="M41" s="59"/>
      <c r="N41" s="59"/>
      <c r="O41" s="59"/>
      <c r="P41" s="59"/>
      <c r="Q41" s="59"/>
      <c r="R41" s="59"/>
      <c r="S41" s="59"/>
      <c r="T41" s="59"/>
      <c r="U41" s="59"/>
    </row>
    <row r="42" spans="2:21" x14ac:dyDescent="0.25">
      <c r="B42" s="40" t="s">
        <v>196</v>
      </c>
      <c r="C42" s="43"/>
      <c r="D42" s="43">
        <v>1.25051</v>
      </c>
      <c r="E42" s="43">
        <v>1.3226</v>
      </c>
      <c r="F42" s="43">
        <v>1.0936699999999999</v>
      </c>
      <c r="G42" s="52">
        <v>1.1694899999999999</v>
      </c>
      <c r="H42" s="61">
        <v>1.5468599999999999</v>
      </c>
      <c r="I42" s="52">
        <v>2.24085</v>
      </c>
      <c r="J42" s="32">
        <v>0.44864435049067142</v>
      </c>
      <c r="L42" s="59" t="s">
        <v>374</v>
      </c>
      <c r="M42" s="59"/>
      <c r="N42" s="59"/>
      <c r="O42" s="59"/>
      <c r="P42" s="59"/>
      <c r="Q42" s="59"/>
      <c r="R42" s="59"/>
      <c r="S42" s="59"/>
      <c r="T42" s="59"/>
      <c r="U42" s="59"/>
    </row>
    <row r="43" spans="2:21" x14ac:dyDescent="0.25">
      <c r="B43" s="40" t="s">
        <v>197</v>
      </c>
      <c r="C43" s="43"/>
      <c r="D43" s="43">
        <v>0.94345999999999997</v>
      </c>
      <c r="E43" s="43">
        <v>0.98799000000000003</v>
      </c>
      <c r="F43" s="43">
        <v>0.55810999999999999</v>
      </c>
      <c r="G43" s="52">
        <v>0.96236999999999995</v>
      </c>
      <c r="H43" s="61">
        <v>1.3055399999999999</v>
      </c>
      <c r="I43" s="52">
        <v>1.8552900000000001</v>
      </c>
      <c r="J43" s="32">
        <v>0.42109012362700504</v>
      </c>
      <c r="L43" s="59"/>
      <c r="M43" s="59"/>
      <c r="N43" s="59"/>
      <c r="O43" s="59"/>
      <c r="P43" s="59"/>
      <c r="Q43" s="59"/>
      <c r="R43" s="59"/>
      <c r="S43" s="59"/>
      <c r="T43" s="59"/>
      <c r="U43" s="59"/>
    </row>
    <row r="44" spans="2:21" x14ac:dyDescent="0.25">
      <c r="B44" s="34" t="s">
        <v>198</v>
      </c>
      <c r="C44" s="44"/>
      <c r="D44" s="44">
        <v>1.6629400000000001</v>
      </c>
      <c r="E44" s="44">
        <v>14.226610000000001</v>
      </c>
      <c r="F44" s="44">
        <v>-11.848879999999999</v>
      </c>
      <c r="G44" s="65">
        <v>-47.990929999999999</v>
      </c>
      <c r="H44" s="66">
        <v>42.15166</v>
      </c>
      <c r="I44" s="65">
        <v>47.51972</v>
      </c>
      <c r="J44" s="39">
        <v>0.12735109364613395</v>
      </c>
      <c r="L44" s="106" t="s">
        <v>375</v>
      </c>
      <c r="M44" s="106"/>
      <c r="N44" s="106"/>
      <c r="O44" s="106"/>
      <c r="P44" s="106"/>
      <c r="Q44" s="106"/>
      <c r="R44" s="106"/>
      <c r="S44" s="106"/>
      <c r="T44" s="106"/>
      <c r="U44" s="106"/>
    </row>
    <row r="45" spans="2:21" x14ac:dyDescent="0.25">
      <c r="B45" s="40" t="s">
        <v>70</v>
      </c>
      <c r="C45" s="33"/>
      <c r="D45" s="33">
        <v>0.153639</v>
      </c>
      <c r="E45" s="33">
        <v>0.11823800000000001</v>
      </c>
      <c r="F45" s="33">
        <v>0.13522000000000001</v>
      </c>
      <c r="G45" s="47">
        <v>0.18498100000000001</v>
      </c>
      <c r="H45" s="48">
        <v>0.15588199999999999</v>
      </c>
      <c r="I45" s="47">
        <v>0.19217700000000001</v>
      </c>
      <c r="J45" s="32">
        <v>0.23283637623330478</v>
      </c>
      <c r="L45" s="106"/>
      <c r="M45" s="106"/>
      <c r="N45" s="106"/>
      <c r="O45" s="106"/>
      <c r="P45" s="106"/>
      <c r="Q45" s="106"/>
      <c r="R45" s="106"/>
      <c r="S45" s="106"/>
      <c r="T45" s="106"/>
      <c r="U45" s="106"/>
    </row>
    <row r="46" spans="2:21" x14ac:dyDescent="0.25">
      <c r="B46" s="40" t="s">
        <v>199</v>
      </c>
      <c r="C46" s="33"/>
      <c r="D46" s="33">
        <v>0.19738399999999998</v>
      </c>
      <c r="E46" s="33">
        <v>0.150918</v>
      </c>
      <c r="F46" s="33">
        <v>0.17740700000000001</v>
      </c>
      <c r="G46" s="47">
        <v>0.24673700000000001</v>
      </c>
      <c r="H46" s="48">
        <v>0.193159</v>
      </c>
      <c r="I46" s="47">
        <v>0.239345</v>
      </c>
      <c r="J46" s="32">
        <v>0.2391087135468708</v>
      </c>
      <c r="L46" s="106" t="s">
        <v>376</v>
      </c>
      <c r="M46" s="106"/>
      <c r="N46" s="106"/>
      <c r="O46" s="106"/>
      <c r="P46" s="106"/>
      <c r="Q46" s="106"/>
      <c r="R46" s="106"/>
      <c r="S46" s="106"/>
      <c r="T46" s="106"/>
      <c r="U46" s="106"/>
    </row>
    <row r="47" spans="2:21" x14ac:dyDescent="0.25">
      <c r="B47" s="34" t="s">
        <v>66</v>
      </c>
      <c r="C47" s="35"/>
      <c r="D47" s="35">
        <v>0.32684199999999997</v>
      </c>
      <c r="E47" s="35">
        <v>0.24413799999999999</v>
      </c>
      <c r="F47" s="35">
        <v>0.259044</v>
      </c>
      <c r="G47" s="49">
        <v>0.42065199999999997</v>
      </c>
      <c r="H47" s="50">
        <v>0.28514600000000001</v>
      </c>
      <c r="I47" s="49">
        <v>0.38221899999999998</v>
      </c>
      <c r="J47" s="39">
        <v>0.34043262048213885</v>
      </c>
      <c r="L47" s="106"/>
      <c r="M47" s="106"/>
      <c r="N47" s="106"/>
      <c r="O47" s="106"/>
      <c r="P47" s="106"/>
      <c r="Q47" s="106"/>
      <c r="R47" s="106"/>
      <c r="S47" s="106"/>
      <c r="T47" s="106"/>
      <c r="U47" s="106"/>
    </row>
    <row r="48" spans="2:21" x14ac:dyDescent="0.25">
      <c r="L48" s="13" t="s">
        <v>377</v>
      </c>
      <c r="M48" s="13"/>
      <c r="N48" s="13"/>
      <c r="O48" s="13"/>
      <c r="P48" s="13"/>
      <c r="Q48" s="13"/>
      <c r="R48" s="13"/>
      <c r="S48" s="13"/>
      <c r="T48" s="13"/>
      <c r="U48" s="13"/>
    </row>
    <row r="49" spans="12:21" x14ac:dyDescent="0.25">
      <c r="L49" s="13" t="s">
        <v>378</v>
      </c>
      <c r="M49" s="13"/>
      <c r="N49" s="13"/>
      <c r="O49" s="13"/>
      <c r="P49" s="13"/>
      <c r="Q49" s="13"/>
      <c r="R49" s="13"/>
      <c r="S49" s="13"/>
      <c r="T49" s="13"/>
      <c r="U49" s="13"/>
    </row>
    <row r="50" spans="12:21" x14ac:dyDescent="0.25">
      <c r="L50" s="59" t="s">
        <v>379</v>
      </c>
      <c r="M50" s="59"/>
      <c r="N50" s="59"/>
      <c r="O50" s="59"/>
      <c r="P50" s="59"/>
      <c r="Q50" s="59"/>
      <c r="R50" s="59"/>
      <c r="S50" s="59"/>
      <c r="T50" s="59"/>
      <c r="U50" s="59"/>
    </row>
    <row r="51" spans="12:21" x14ac:dyDescent="0.25">
      <c r="L51" s="59"/>
      <c r="M51" s="59"/>
      <c r="N51" s="59"/>
      <c r="O51" s="59"/>
      <c r="P51" s="59"/>
      <c r="Q51" s="59"/>
      <c r="R51" s="59"/>
      <c r="S51" s="59"/>
      <c r="T51" s="59"/>
      <c r="U51" s="59"/>
    </row>
    <row r="52" spans="12:21" x14ac:dyDescent="0.25">
      <c r="L52" s="59"/>
      <c r="M52" s="59"/>
      <c r="N52" s="59"/>
      <c r="O52" s="59"/>
      <c r="P52" s="59"/>
      <c r="Q52" s="59"/>
      <c r="R52" s="59"/>
      <c r="S52" s="59"/>
      <c r="T52" s="59"/>
      <c r="U52" s="59"/>
    </row>
    <row r="54" spans="12:21" x14ac:dyDescent="0.25">
      <c r="L54" s="12" t="s">
        <v>16</v>
      </c>
    </row>
    <row r="55" spans="12:21" x14ac:dyDescent="0.25">
      <c r="L55" s="13" t="s">
        <v>380</v>
      </c>
    </row>
    <row r="56" spans="12:21" x14ac:dyDescent="0.25">
      <c r="L56" s="13" t="s">
        <v>381</v>
      </c>
    </row>
    <row r="57" spans="12:21" x14ac:dyDescent="0.25">
      <c r="L57" s="13" t="s">
        <v>382</v>
      </c>
    </row>
    <row r="58" spans="12:21" x14ac:dyDescent="0.25">
      <c r="L58" s="13" t="s">
        <v>383</v>
      </c>
    </row>
    <row r="59" spans="12:21" x14ac:dyDescent="0.25">
      <c r="L59" s="13" t="s">
        <v>384</v>
      </c>
    </row>
    <row r="60" spans="12:21" x14ac:dyDescent="0.25">
      <c r="L60" s="14" t="s">
        <v>385</v>
      </c>
      <c r="M60" s="14"/>
      <c r="N60" s="14"/>
      <c r="O60" s="14"/>
      <c r="P60" s="14"/>
      <c r="Q60" s="14"/>
      <c r="R60" s="14"/>
      <c r="S60" s="14"/>
      <c r="T60" s="14"/>
      <c r="U60" s="14"/>
    </row>
    <row r="61" spans="12:21" x14ac:dyDescent="0.25">
      <c r="L61" s="13" t="s">
        <v>386</v>
      </c>
    </row>
    <row r="62" spans="12:21" x14ac:dyDescent="0.25">
      <c r="L62" s="13" t="s">
        <v>387</v>
      </c>
    </row>
    <row r="63" spans="12:21" x14ac:dyDescent="0.25">
      <c r="L63" s="13" t="s">
        <v>388</v>
      </c>
    </row>
    <row r="84" spans="12:21" x14ac:dyDescent="0.25">
      <c r="M84" s="13"/>
      <c r="N84" s="13"/>
      <c r="O84" s="13"/>
      <c r="P84" s="13"/>
      <c r="Q84" s="13"/>
      <c r="R84" s="13"/>
      <c r="S84" s="13"/>
      <c r="T84" s="13"/>
      <c r="U84" s="13"/>
    </row>
    <row r="85" spans="12:21" x14ac:dyDescent="0.25">
      <c r="M85" s="13"/>
      <c r="N85" s="13"/>
      <c r="O85" s="13"/>
      <c r="P85" s="13"/>
      <c r="Q85" s="13"/>
      <c r="R85" s="13"/>
      <c r="S85" s="13"/>
      <c r="T85" s="13"/>
      <c r="U85" s="13"/>
    </row>
    <row r="86" spans="12:21" x14ac:dyDescent="0.25">
      <c r="L86" s="13"/>
      <c r="M86" s="13"/>
      <c r="N86" s="13"/>
      <c r="O86" s="13"/>
      <c r="P86" s="13"/>
      <c r="Q86" s="13"/>
      <c r="R86" s="13"/>
      <c r="S86" s="13"/>
      <c r="T86" s="13"/>
      <c r="U86" s="13"/>
    </row>
    <row r="92" spans="12:21" x14ac:dyDescent="0.25">
      <c r="M92" s="13"/>
      <c r="N92" s="13"/>
      <c r="O92" s="13"/>
      <c r="P92" s="13"/>
      <c r="Q92" s="13"/>
      <c r="R92" s="13"/>
      <c r="S92" s="13"/>
      <c r="T92" s="13"/>
      <c r="U92" s="13"/>
    </row>
    <row r="93" spans="12:21" x14ac:dyDescent="0.25">
      <c r="M93" s="13"/>
      <c r="N93" s="13"/>
      <c r="O93" s="13"/>
      <c r="P93" s="13"/>
      <c r="Q93" s="13"/>
      <c r="R93" s="13"/>
      <c r="S93" s="13"/>
      <c r="T93" s="13"/>
      <c r="U93" s="13"/>
    </row>
    <row r="94" spans="12:21" x14ac:dyDescent="0.25">
      <c r="M94" s="13"/>
      <c r="N94" s="13"/>
      <c r="O94" s="13"/>
      <c r="P94" s="13"/>
      <c r="Q94" s="13"/>
      <c r="R94" s="13"/>
      <c r="S94" s="13"/>
      <c r="T94" s="13"/>
      <c r="U94" s="13"/>
    </row>
  </sheetData>
  <mergeCells count="11">
    <mergeCell ref="L42:U43"/>
    <mergeCell ref="L44:U45"/>
    <mergeCell ref="L46:U47"/>
    <mergeCell ref="L50:U52"/>
    <mergeCell ref="L60:U60"/>
    <mergeCell ref="L6:U28"/>
    <mergeCell ref="L32:U33"/>
    <mergeCell ref="L34:U35"/>
    <mergeCell ref="L36:U37"/>
    <mergeCell ref="L38:U39"/>
    <mergeCell ref="L40:U4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0224-ED0E-4BE0-B219-19849D706285}">
  <dimension ref="B1:U64"/>
  <sheetViews>
    <sheetView workbookViewId="0">
      <selection activeCell="B24" sqref="B24: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9" t="s">
        <v>389</v>
      </c>
      <c r="M6" s="109"/>
      <c r="N6" s="109"/>
      <c r="O6" s="109"/>
      <c r="P6" s="109"/>
      <c r="Q6" s="109"/>
      <c r="R6" s="109"/>
      <c r="S6" s="109"/>
      <c r="T6" s="109"/>
      <c r="U6" s="109"/>
    </row>
    <row r="7" spans="12:21" x14ac:dyDescent="0.25">
      <c r="L7" s="109"/>
      <c r="M7" s="109"/>
      <c r="N7" s="109"/>
      <c r="O7" s="109"/>
      <c r="P7" s="109"/>
      <c r="Q7" s="109"/>
      <c r="R7" s="109"/>
      <c r="S7" s="109"/>
      <c r="T7" s="109"/>
      <c r="U7" s="109"/>
    </row>
    <row r="8" spans="12:21" x14ac:dyDescent="0.25">
      <c r="L8" s="109"/>
      <c r="M8" s="109"/>
      <c r="N8" s="109"/>
      <c r="O8" s="109"/>
      <c r="P8" s="109"/>
      <c r="Q8" s="109"/>
      <c r="R8" s="109"/>
      <c r="S8" s="109"/>
      <c r="T8" s="109"/>
      <c r="U8" s="109"/>
    </row>
    <row r="9" spans="12:21" x14ac:dyDescent="0.25">
      <c r="L9" s="109"/>
      <c r="M9" s="109"/>
      <c r="N9" s="109"/>
      <c r="O9" s="109"/>
      <c r="P9" s="109"/>
      <c r="Q9" s="109"/>
      <c r="R9" s="109"/>
      <c r="S9" s="109"/>
      <c r="T9" s="109"/>
      <c r="U9" s="109"/>
    </row>
    <row r="10" spans="12:21" x14ac:dyDescent="0.25">
      <c r="L10" s="109"/>
      <c r="M10" s="109"/>
      <c r="N10" s="109"/>
      <c r="O10" s="109"/>
      <c r="P10" s="109"/>
      <c r="Q10" s="109"/>
      <c r="R10" s="109"/>
      <c r="S10" s="109"/>
      <c r="T10" s="109"/>
      <c r="U10" s="109"/>
    </row>
    <row r="11" spans="12:21" x14ac:dyDescent="0.25">
      <c r="L11" s="109"/>
      <c r="M11" s="109"/>
      <c r="N11" s="109"/>
      <c r="O11" s="109"/>
      <c r="P11" s="109"/>
      <c r="Q11" s="109"/>
      <c r="R11" s="109"/>
      <c r="S11" s="109"/>
      <c r="T11" s="109"/>
      <c r="U11" s="109"/>
    </row>
    <row r="12" spans="12:21" x14ac:dyDescent="0.25">
      <c r="L12" s="109"/>
      <c r="M12" s="109"/>
      <c r="N12" s="109"/>
      <c r="O12" s="109"/>
      <c r="P12" s="109"/>
      <c r="Q12" s="109"/>
      <c r="R12" s="109"/>
      <c r="S12" s="109"/>
      <c r="T12" s="109"/>
      <c r="U12" s="109"/>
    </row>
    <row r="13" spans="12:21" x14ac:dyDescent="0.25">
      <c r="L13" s="109"/>
      <c r="M13" s="109"/>
      <c r="N13" s="109"/>
      <c r="O13" s="109"/>
      <c r="P13" s="109"/>
      <c r="Q13" s="109"/>
      <c r="R13" s="109"/>
      <c r="S13" s="109"/>
      <c r="T13" s="109"/>
      <c r="U13" s="109"/>
    </row>
    <row r="14" spans="12:21" x14ac:dyDescent="0.25">
      <c r="L14" s="109"/>
      <c r="M14" s="109"/>
      <c r="N14" s="109"/>
      <c r="O14" s="109"/>
      <c r="P14" s="109"/>
      <c r="Q14" s="109"/>
      <c r="R14" s="109"/>
      <c r="S14" s="109"/>
      <c r="T14" s="109"/>
      <c r="U14" s="109"/>
    </row>
    <row r="15" spans="12:21" x14ac:dyDescent="0.25">
      <c r="L15" s="109"/>
      <c r="M15" s="109"/>
      <c r="N15" s="109"/>
      <c r="O15" s="109"/>
      <c r="P15" s="109"/>
      <c r="Q15" s="109"/>
      <c r="R15" s="109"/>
      <c r="S15" s="109"/>
      <c r="T15" s="109"/>
      <c r="U15" s="109"/>
    </row>
    <row r="16" spans="12:21" x14ac:dyDescent="0.25">
      <c r="L16" s="109"/>
      <c r="M16" s="109"/>
      <c r="N16" s="109"/>
      <c r="O16" s="109"/>
      <c r="P16" s="109"/>
      <c r="Q16" s="109"/>
      <c r="R16" s="109"/>
      <c r="S16" s="109"/>
      <c r="T16" s="109"/>
      <c r="U16" s="109"/>
    </row>
    <row r="17" spans="2:21" x14ac:dyDescent="0.25">
      <c r="L17" s="109"/>
      <c r="M17" s="109"/>
      <c r="N17" s="109"/>
      <c r="O17" s="109"/>
      <c r="P17" s="109"/>
      <c r="Q17" s="109"/>
      <c r="R17" s="109"/>
      <c r="S17" s="109"/>
      <c r="T17" s="109"/>
      <c r="U17" s="109"/>
    </row>
    <row r="18" spans="2:21" x14ac:dyDescent="0.25">
      <c r="L18" s="109"/>
      <c r="M18" s="109"/>
      <c r="N18" s="109"/>
      <c r="O18" s="109"/>
      <c r="P18" s="109"/>
      <c r="Q18" s="109"/>
      <c r="R18" s="109"/>
      <c r="S18" s="109"/>
      <c r="T18" s="109"/>
      <c r="U18" s="109"/>
    </row>
    <row r="19" spans="2:21" x14ac:dyDescent="0.25">
      <c r="L19" s="109"/>
      <c r="M19" s="109"/>
      <c r="N19" s="109"/>
      <c r="O19" s="109"/>
      <c r="P19" s="109"/>
      <c r="Q19" s="109"/>
      <c r="R19" s="109"/>
      <c r="S19" s="109"/>
      <c r="T19" s="109"/>
      <c r="U19" s="109"/>
    </row>
    <row r="20" spans="2:21" x14ac:dyDescent="0.25">
      <c r="L20" s="109"/>
      <c r="M20" s="109"/>
      <c r="N20" s="109"/>
      <c r="O20" s="109"/>
      <c r="P20" s="109"/>
      <c r="Q20" s="109"/>
      <c r="R20" s="109"/>
      <c r="S20" s="109"/>
      <c r="T20" s="109"/>
      <c r="U20" s="109"/>
    </row>
    <row r="21" spans="2:21" x14ac:dyDescent="0.25">
      <c r="L21" s="109"/>
      <c r="M21" s="109"/>
      <c r="N21" s="109"/>
      <c r="O21" s="109"/>
      <c r="P21" s="109"/>
      <c r="Q21" s="109"/>
      <c r="R21" s="109"/>
      <c r="S21" s="109"/>
      <c r="T21" s="109"/>
      <c r="U21" s="109"/>
    </row>
    <row r="22" spans="2:21" x14ac:dyDescent="0.25">
      <c r="L22" s="109"/>
      <c r="M22" s="109"/>
      <c r="N22" s="109"/>
      <c r="O22" s="109"/>
      <c r="P22" s="109"/>
      <c r="Q22" s="109"/>
      <c r="R22" s="109"/>
      <c r="S22" s="109"/>
      <c r="T22" s="109"/>
      <c r="U22" s="109"/>
    </row>
    <row r="23" spans="2:21" x14ac:dyDescent="0.25">
      <c r="L23" s="109"/>
      <c r="M23" s="109"/>
      <c r="N23" s="109"/>
      <c r="O23" s="109"/>
      <c r="P23" s="109"/>
      <c r="Q23" s="109"/>
      <c r="R23" s="109"/>
      <c r="S23" s="109"/>
      <c r="T23" s="109"/>
      <c r="U23" s="109"/>
    </row>
    <row r="24" spans="2:21" x14ac:dyDescent="0.25">
      <c r="B24" s="1"/>
      <c r="C24" s="1"/>
      <c r="D24" s="20" t="s">
        <v>36</v>
      </c>
      <c r="E24" s="21"/>
      <c r="F24" s="21"/>
      <c r="G24" s="22"/>
      <c r="H24" s="23" t="s">
        <v>37</v>
      </c>
      <c r="I24" s="21"/>
      <c r="J24" s="21"/>
      <c r="L24" s="12" t="s">
        <v>2</v>
      </c>
      <c r="M24" s="110"/>
      <c r="N24" s="110"/>
      <c r="O24" s="110"/>
      <c r="P24" s="110"/>
      <c r="Q24" s="110"/>
      <c r="R24" s="110"/>
      <c r="S24" s="110"/>
      <c r="T24" s="110"/>
      <c r="U24" s="110"/>
    </row>
    <row r="25" spans="2:21" x14ac:dyDescent="0.25">
      <c r="B25" s="24"/>
      <c r="C25" s="24"/>
      <c r="D25" s="25">
        <v>44926</v>
      </c>
      <c r="E25" s="25">
        <v>45291</v>
      </c>
      <c r="F25" s="25">
        <v>45657</v>
      </c>
      <c r="G25" s="26">
        <v>46022</v>
      </c>
      <c r="H25" s="27">
        <v>45747</v>
      </c>
      <c r="I25" s="26">
        <v>46112</v>
      </c>
      <c r="J25" s="28" t="s">
        <v>38</v>
      </c>
      <c r="L25" s="13" t="s">
        <v>390</v>
      </c>
      <c r="M25" s="110"/>
      <c r="N25" s="110"/>
      <c r="O25" s="110"/>
      <c r="P25" s="110"/>
      <c r="Q25" s="110"/>
      <c r="R25" s="110"/>
      <c r="S25" s="110"/>
      <c r="T25" s="110"/>
      <c r="U25" s="110"/>
    </row>
    <row r="26" spans="2:21" x14ac:dyDescent="0.25">
      <c r="B26" s="8" t="s">
        <v>180</v>
      </c>
      <c r="C26" s="8"/>
      <c r="D26" s="62">
        <v>497.82600000000002</v>
      </c>
      <c r="E26" s="62">
        <v>457.25900000000001</v>
      </c>
      <c r="F26" s="62">
        <v>620.53700000000003</v>
      </c>
      <c r="G26" s="63">
        <v>515.87099999999998</v>
      </c>
      <c r="H26" s="64">
        <v>394.82400000000001</v>
      </c>
      <c r="I26" s="63">
        <v>390.07900000000001</v>
      </c>
      <c r="J26" s="32">
        <v>-1.2018013089376556E-2</v>
      </c>
      <c r="L26" s="13" t="s">
        <v>391</v>
      </c>
      <c r="M26" s="13"/>
      <c r="N26" s="13"/>
      <c r="O26" s="13"/>
      <c r="P26" s="13"/>
      <c r="Q26" s="13"/>
      <c r="R26" s="13"/>
      <c r="S26" s="13"/>
      <c r="T26" s="13"/>
      <c r="U26" s="13"/>
    </row>
    <row r="27" spans="2:21" x14ac:dyDescent="0.25">
      <c r="B27" s="40" t="s">
        <v>181</v>
      </c>
      <c r="C27" s="33"/>
      <c r="D27" s="33">
        <v>0.20716699999999999</v>
      </c>
      <c r="E27" s="33">
        <v>0.11444900000000001</v>
      </c>
      <c r="F27" s="33">
        <v>0.190557</v>
      </c>
      <c r="G27" s="47">
        <v>0.23401</v>
      </c>
      <c r="H27" s="48">
        <v>0.19853100000000001</v>
      </c>
      <c r="I27" s="47">
        <v>0.26007400000000003</v>
      </c>
      <c r="J27" s="32">
        <v>0.309991890435247</v>
      </c>
      <c r="L27" s="13" t="s">
        <v>392</v>
      </c>
      <c r="M27" s="68"/>
      <c r="N27" s="68"/>
      <c r="O27" s="68"/>
      <c r="P27" s="68"/>
      <c r="Q27" s="68"/>
      <c r="R27" s="68"/>
      <c r="S27" s="68"/>
      <c r="T27" s="68"/>
      <c r="U27" s="68"/>
    </row>
    <row r="28" spans="2:21" x14ac:dyDescent="0.25">
      <c r="B28" s="40" t="s">
        <v>182</v>
      </c>
      <c r="C28" s="33"/>
      <c r="D28" s="33">
        <v>0.13242300000000001</v>
      </c>
      <c r="E28" s="33">
        <v>-7.8859999999999989E-3</v>
      </c>
      <c r="F28" s="33">
        <v>9.5538000000000012E-2</v>
      </c>
      <c r="G28" s="47">
        <v>0.13873100000000002</v>
      </c>
      <c r="H28" s="48">
        <v>0.102369</v>
      </c>
      <c r="I28" s="47">
        <v>0.17425000000000002</v>
      </c>
      <c r="J28" s="32">
        <v>0.70217546327501501</v>
      </c>
      <c r="L28" s="59" t="s">
        <v>393</v>
      </c>
      <c r="M28" s="59"/>
      <c r="N28" s="59"/>
      <c r="O28" s="59"/>
      <c r="P28" s="59"/>
      <c r="Q28" s="59"/>
      <c r="R28" s="59"/>
      <c r="S28" s="59"/>
      <c r="T28" s="59"/>
      <c r="U28" s="59"/>
    </row>
    <row r="29" spans="2:21" x14ac:dyDescent="0.25">
      <c r="B29" s="40" t="s">
        <v>183</v>
      </c>
      <c r="C29" s="33"/>
      <c r="D29" s="33">
        <v>0.22871200000000003</v>
      </c>
      <c r="E29" s="33">
        <v>0.11276899999999999</v>
      </c>
      <c r="F29" s="33">
        <v>0.21995799999999999</v>
      </c>
      <c r="G29" s="47">
        <v>0.219969</v>
      </c>
      <c r="H29" s="48">
        <v>0.21959800000000002</v>
      </c>
      <c r="I29" s="47">
        <v>0.25140299999999999</v>
      </c>
      <c r="J29" s="32">
        <v>0.14483283090009924</v>
      </c>
      <c r="L29" s="59"/>
      <c r="M29" s="59"/>
      <c r="N29" s="59"/>
      <c r="O29" s="59"/>
      <c r="P29" s="59"/>
      <c r="Q29" s="59"/>
      <c r="R29" s="59"/>
      <c r="S29" s="59"/>
      <c r="T29" s="59"/>
      <c r="U29" s="59"/>
    </row>
    <row r="30" spans="2:21" x14ac:dyDescent="0.25">
      <c r="B30" s="40" t="s">
        <v>184</v>
      </c>
      <c r="C30" s="33"/>
      <c r="D30" s="33">
        <v>1.6378999999999998E-2</v>
      </c>
      <c r="E30" s="33">
        <v>-0.11346299999999999</v>
      </c>
      <c r="F30" s="33">
        <v>-7.4111999999999997E-2</v>
      </c>
      <c r="G30" s="47">
        <v>4.4177999999999995E-2</v>
      </c>
      <c r="H30" s="48">
        <v>-5.9992999999999998E-2</v>
      </c>
      <c r="I30" s="47">
        <v>6.4378000000000005E-2</v>
      </c>
      <c r="J30" s="32">
        <v>-2.0730918607170841</v>
      </c>
      <c r="L30" s="59"/>
      <c r="M30" s="59"/>
      <c r="N30" s="59"/>
      <c r="O30" s="59"/>
      <c r="P30" s="59"/>
      <c r="Q30" s="59"/>
      <c r="R30" s="59"/>
      <c r="S30" s="59"/>
      <c r="T30" s="59"/>
      <c r="U30" s="59"/>
    </row>
    <row r="31" spans="2:21" x14ac:dyDescent="0.25">
      <c r="B31" s="34" t="s">
        <v>185</v>
      </c>
      <c r="C31" s="35"/>
      <c r="D31" s="35">
        <v>-5.0649999999999992E-3</v>
      </c>
      <c r="E31" s="35">
        <v>2.4920000000000001E-2</v>
      </c>
      <c r="F31" s="35">
        <v>0.113135</v>
      </c>
      <c r="G31" s="49">
        <v>6.0648999999999995E-2</v>
      </c>
      <c r="H31" s="50">
        <v>0.103599</v>
      </c>
      <c r="I31" s="49">
        <v>7.7827999999999994E-2</v>
      </c>
      <c r="J31" s="39">
        <v>-0.24875722738636474</v>
      </c>
      <c r="L31" s="13" t="s">
        <v>394</v>
      </c>
    </row>
    <row r="32" spans="2:21" x14ac:dyDescent="0.25">
      <c r="B32" s="40" t="s">
        <v>186</v>
      </c>
      <c r="C32" s="8"/>
      <c r="D32" s="43">
        <v>1.769015137546458</v>
      </c>
      <c r="E32" s="43">
        <v>1.3705059424774795</v>
      </c>
      <c r="F32" s="43">
        <v>1.8458233631382783</v>
      </c>
      <c r="G32" s="52">
        <v>1.8245307754686064</v>
      </c>
      <c r="H32" s="61">
        <v>1.3040617992322481</v>
      </c>
      <c r="I32" s="52">
        <v>2.4636381232965547</v>
      </c>
      <c r="J32" s="32">
        <v>0.88920350611220611</v>
      </c>
      <c r="L32" s="59" t="s">
        <v>395</v>
      </c>
      <c r="M32" s="59"/>
      <c r="N32" s="59"/>
      <c r="O32" s="59"/>
      <c r="P32" s="59"/>
      <c r="Q32" s="59"/>
      <c r="R32" s="59"/>
      <c r="S32" s="59"/>
      <c r="T32" s="59"/>
      <c r="U32" s="59"/>
    </row>
    <row r="33" spans="2:21" x14ac:dyDescent="0.25">
      <c r="B33" s="40" t="s">
        <v>187</v>
      </c>
      <c r="C33" s="8"/>
      <c r="D33" s="43">
        <v>4.5639700000000003</v>
      </c>
      <c r="E33" s="43">
        <v>1.5523</v>
      </c>
      <c r="F33" s="43">
        <v>3.19651</v>
      </c>
      <c r="G33" s="52">
        <v>3.3013499999999998</v>
      </c>
      <c r="H33" s="61">
        <v>3.19312</v>
      </c>
      <c r="I33" s="52">
        <v>4.0911</v>
      </c>
      <c r="J33" s="32">
        <v>0.28122338026757521</v>
      </c>
      <c r="L33" s="59"/>
      <c r="M33" s="59"/>
      <c r="N33" s="59"/>
      <c r="O33" s="59"/>
      <c r="P33" s="59"/>
      <c r="Q33" s="59"/>
      <c r="R33" s="59"/>
      <c r="S33" s="59"/>
      <c r="T33" s="59"/>
      <c r="U33" s="59"/>
    </row>
    <row r="34" spans="2:21" x14ac:dyDescent="0.25">
      <c r="B34" s="40" t="s">
        <v>188</v>
      </c>
      <c r="C34" s="8"/>
      <c r="D34" s="43">
        <v>2.0484100000000001</v>
      </c>
      <c r="E34" s="43" t="s">
        <v>104</v>
      </c>
      <c r="F34" s="43">
        <v>1.91231</v>
      </c>
      <c r="G34" s="52">
        <v>1.6520699999999999</v>
      </c>
      <c r="H34" s="61">
        <v>2.0511699999999999</v>
      </c>
      <c r="I34" s="52">
        <v>2.3324799999999999</v>
      </c>
      <c r="J34" s="32">
        <v>0.13714611660661968</v>
      </c>
      <c r="L34" s="13" t="s">
        <v>396</v>
      </c>
      <c r="M34" s="16"/>
      <c r="N34" s="16"/>
      <c r="O34" s="16"/>
      <c r="P34" s="16"/>
      <c r="Q34" s="16"/>
      <c r="R34" s="16"/>
      <c r="S34" s="16"/>
      <c r="T34" s="16"/>
      <c r="U34" s="16"/>
    </row>
    <row r="35" spans="2:21" x14ac:dyDescent="0.25">
      <c r="B35" s="40" t="s">
        <v>189</v>
      </c>
      <c r="C35" s="8"/>
      <c r="D35" s="43">
        <v>2.41282</v>
      </c>
      <c r="E35" s="43">
        <v>6.2132399999999999</v>
      </c>
      <c r="F35" s="43">
        <v>2.8827799999999999</v>
      </c>
      <c r="G35" s="52">
        <v>2.5941100000000001</v>
      </c>
      <c r="H35" s="61">
        <v>2.875</v>
      </c>
      <c r="I35" s="52">
        <v>2.1716099999999998</v>
      </c>
      <c r="J35" s="32">
        <v>-0.24465739130434794</v>
      </c>
      <c r="L35" s="59" t="s">
        <v>397</v>
      </c>
      <c r="M35" s="59"/>
      <c r="N35" s="59"/>
      <c r="O35" s="59"/>
      <c r="P35" s="59"/>
      <c r="Q35" s="59"/>
      <c r="R35" s="59"/>
      <c r="S35" s="59"/>
      <c r="T35" s="59"/>
      <c r="U35" s="59"/>
    </row>
    <row r="36" spans="2:21" x14ac:dyDescent="0.25">
      <c r="B36" s="40" t="s">
        <v>190</v>
      </c>
      <c r="C36" s="8"/>
      <c r="D36" s="43">
        <v>1.66937</v>
      </c>
      <c r="E36" s="43">
        <v>4.5993700000000004</v>
      </c>
      <c r="F36" s="43">
        <v>1.8897200000000001</v>
      </c>
      <c r="G36" s="52">
        <v>1.85361</v>
      </c>
      <c r="H36" s="61">
        <v>2.26458</v>
      </c>
      <c r="I36" s="52">
        <v>1.7154499999999999</v>
      </c>
      <c r="J36" s="32">
        <v>-0.24248646548145802</v>
      </c>
      <c r="L36" s="59"/>
      <c r="M36" s="59"/>
      <c r="N36" s="59"/>
      <c r="O36" s="59"/>
      <c r="P36" s="59"/>
      <c r="Q36" s="59"/>
      <c r="R36" s="59"/>
      <c r="S36" s="59"/>
      <c r="T36" s="59"/>
      <c r="U36" s="59"/>
    </row>
    <row r="37" spans="2:21" x14ac:dyDescent="0.25">
      <c r="B37" s="40" t="s">
        <v>191</v>
      </c>
      <c r="C37" s="8"/>
      <c r="D37" s="43">
        <v>5.3758800000000004</v>
      </c>
      <c r="E37" s="43" t="s">
        <v>104</v>
      </c>
      <c r="F37" s="43">
        <v>4.8187100000000003</v>
      </c>
      <c r="G37" s="52">
        <v>5.1838300000000004</v>
      </c>
      <c r="H37" s="61">
        <v>4.4756</v>
      </c>
      <c r="I37" s="52">
        <v>3.8089400000000002</v>
      </c>
      <c r="J37" s="32">
        <v>-0.14895433014567871</v>
      </c>
      <c r="L37" s="59" t="s">
        <v>398</v>
      </c>
      <c r="M37" s="59"/>
      <c r="N37" s="59"/>
      <c r="O37" s="59"/>
      <c r="P37" s="59"/>
      <c r="Q37" s="59"/>
      <c r="R37" s="59"/>
      <c r="S37" s="59"/>
      <c r="T37" s="59"/>
      <c r="U37" s="59"/>
    </row>
    <row r="38" spans="2:21" x14ac:dyDescent="0.25">
      <c r="B38" s="34" t="s">
        <v>192</v>
      </c>
      <c r="C38" s="53"/>
      <c r="D38" s="53">
        <v>3.7194400000000001</v>
      </c>
      <c r="E38" s="53" t="s">
        <v>104</v>
      </c>
      <c r="F38" s="53">
        <v>3.1587499999999999</v>
      </c>
      <c r="G38" s="54">
        <v>3.7040799999999998</v>
      </c>
      <c r="H38" s="55">
        <v>3.5253399999999999</v>
      </c>
      <c r="I38" s="54">
        <v>3.0088599999999999</v>
      </c>
      <c r="J38" s="39">
        <v>-0.14650501795571491</v>
      </c>
      <c r="L38" s="59"/>
      <c r="M38" s="59"/>
      <c r="N38" s="59"/>
      <c r="O38" s="59"/>
      <c r="P38" s="59"/>
      <c r="Q38" s="59"/>
      <c r="R38" s="59"/>
      <c r="S38" s="59"/>
      <c r="T38" s="59"/>
      <c r="U38" s="59"/>
    </row>
    <row r="39" spans="2:21" x14ac:dyDescent="0.25">
      <c r="B39" s="8" t="s">
        <v>193</v>
      </c>
      <c r="C39" s="43"/>
      <c r="D39" s="62">
        <v>27.363689999999998</v>
      </c>
      <c r="E39" s="62">
        <v>25.93252</v>
      </c>
      <c r="F39" s="62">
        <v>18.700399999999998</v>
      </c>
      <c r="G39" s="63">
        <v>22.455169999999999</v>
      </c>
      <c r="H39" s="64">
        <v>21.36637</v>
      </c>
      <c r="I39" s="63">
        <v>22.59496</v>
      </c>
      <c r="J39" s="32">
        <v>5.7501110389832188E-2</v>
      </c>
      <c r="L39" s="13" t="s">
        <v>399</v>
      </c>
    </row>
    <row r="40" spans="2:21" x14ac:dyDescent="0.25">
      <c r="B40" s="8" t="s">
        <v>194</v>
      </c>
      <c r="C40" s="43"/>
      <c r="D40" s="62">
        <v>62.057670000000002</v>
      </c>
      <c r="E40" s="62">
        <v>71.044330000000002</v>
      </c>
      <c r="F40" s="62">
        <v>73.60772</v>
      </c>
      <c r="G40" s="63">
        <v>72.068889999999996</v>
      </c>
      <c r="H40" s="64">
        <v>62.4223</v>
      </c>
      <c r="I40" s="63">
        <v>57.471809999999998</v>
      </c>
      <c r="J40" s="32">
        <v>-7.9306433758448591E-2</v>
      </c>
      <c r="L40" s="13" t="s">
        <v>400</v>
      </c>
      <c r="M40" s="16"/>
      <c r="N40" s="16"/>
      <c r="O40" s="16"/>
      <c r="P40" s="16"/>
      <c r="Q40" s="16"/>
      <c r="R40" s="16"/>
      <c r="S40" s="16"/>
      <c r="T40" s="16"/>
      <c r="U40" s="16"/>
    </row>
    <row r="41" spans="2:21" x14ac:dyDescent="0.25">
      <c r="B41" s="8" t="s">
        <v>195</v>
      </c>
      <c r="C41" s="43"/>
      <c r="D41" s="62">
        <v>58.244880000000002</v>
      </c>
      <c r="E41" s="62">
        <v>58.854430000000001</v>
      </c>
      <c r="F41" s="62">
        <v>54.333799999999997</v>
      </c>
      <c r="G41" s="63">
        <v>58.696379999999998</v>
      </c>
      <c r="H41" s="64">
        <v>57.075780000000002</v>
      </c>
      <c r="I41" s="63">
        <v>59.632240000000003</v>
      </c>
      <c r="J41" s="32">
        <v>4.479062747806517E-2</v>
      </c>
      <c r="L41" s="13" t="s">
        <v>401</v>
      </c>
    </row>
    <row r="42" spans="2:21" x14ac:dyDescent="0.25">
      <c r="B42" s="40" t="s">
        <v>196</v>
      </c>
      <c r="C42" s="43"/>
      <c r="D42" s="43">
        <v>1.35758</v>
      </c>
      <c r="E42" s="43">
        <v>0.96982999999999997</v>
      </c>
      <c r="F42" s="43">
        <v>1.0541100000000001</v>
      </c>
      <c r="G42" s="52">
        <v>0.86702000000000001</v>
      </c>
      <c r="H42" s="61">
        <v>0.98900999999999994</v>
      </c>
      <c r="I42" s="52">
        <v>0.85148000000000001</v>
      </c>
      <c r="J42" s="32">
        <v>-0.13905825016936124</v>
      </c>
      <c r="L42" s="59" t="s">
        <v>402</v>
      </c>
      <c r="M42" s="59"/>
      <c r="N42" s="59"/>
      <c r="O42" s="59"/>
      <c r="P42" s="59"/>
      <c r="Q42" s="59"/>
      <c r="R42" s="59"/>
      <c r="S42" s="59"/>
      <c r="T42" s="59"/>
      <c r="U42" s="59"/>
    </row>
    <row r="43" spans="2:21" x14ac:dyDescent="0.25">
      <c r="B43" s="40" t="s">
        <v>197</v>
      </c>
      <c r="C43" s="43"/>
      <c r="D43" s="43">
        <v>0.82567000000000002</v>
      </c>
      <c r="E43" s="43">
        <v>0.57230999999999999</v>
      </c>
      <c r="F43" s="43">
        <v>0.68855999999999995</v>
      </c>
      <c r="G43" s="52">
        <v>0.51927999999999996</v>
      </c>
      <c r="H43" s="61">
        <v>0.55554000000000003</v>
      </c>
      <c r="I43" s="52">
        <v>0.46440999999999999</v>
      </c>
      <c r="J43" s="32">
        <v>-0.16403859308060631</v>
      </c>
      <c r="L43" s="59"/>
      <c r="M43" s="59"/>
      <c r="N43" s="59"/>
      <c r="O43" s="59"/>
      <c r="P43" s="59"/>
      <c r="Q43" s="59"/>
      <c r="R43" s="59"/>
      <c r="S43" s="59"/>
      <c r="T43" s="59"/>
      <c r="U43" s="59"/>
    </row>
    <row r="44" spans="2:21" x14ac:dyDescent="0.25">
      <c r="B44" s="34" t="s">
        <v>198</v>
      </c>
      <c r="C44" s="44"/>
      <c r="D44" s="44">
        <v>23.550899999999999</v>
      </c>
      <c r="E44" s="44">
        <v>13.742620000000001</v>
      </c>
      <c r="F44" s="44">
        <v>-0.57352000000000003</v>
      </c>
      <c r="G44" s="65">
        <v>9.0826600000000006</v>
      </c>
      <c r="H44" s="66">
        <v>16.019850000000002</v>
      </c>
      <c r="I44" s="65">
        <v>24.755400000000002</v>
      </c>
      <c r="J44" s="39">
        <v>0.54529536793415656</v>
      </c>
    </row>
    <row r="45" spans="2:21" x14ac:dyDescent="0.25">
      <c r="B45" s="40" t="s">
        <v>70</v>
      </c>
      <c r="C45" s="33"/>
      <c r="D45" s="33">
        <v>5.1262999999999996E-2</v>
      </c>
      <c r="E45" s="33">
        <v>-2.5890000000000002E-3</v>
      </c>
      <c r="F45" s="33">
        <v>3.4624999999999996E-2</v>
      </c>
      <c r="G45" s="47">
        <v>5.2519999999999997E-2</v>
      </c>
      <c r="H45" s="48">
        <v>3.8384000000000001E-2</v>
      </c>
      <c r="I45" s="47">
        <v>7.1410000000000001E-2</v>
      </c>
      <c r="J45" s="32">
        <v>0.86041058774489376</v>
      </c>
      <c r="L45" s="12" t="s">
        <v>16</v>
      </c>
      <c r="M45" s="16"/>
      <c r="N45" s="16"/>
      <c r="O45" s="16"/>
      <c r="P45" s="16"/>
      <c r="Q45" s="16"/>
      <c r="R45" s="16"/>
      <c r="S45" s="16"/>
      <c r="T45" s="16"/>
      <c r="U45" s="16"/>
    </row>
    <row r="46" spans="2:21" x14ac:dyDescent="0.25">
      <c r="B46" s="40" t="s">
        <v>199</v>
      </c>
      <c r="C46" s="33"/>
      <c r="D46" s="33">
        <v>7.4425999999999992E-2</v>
      </c>
      <c r="E46" s="33">
        <v>-3.82E-3</v>
      </c>
      <c r="F46" s="33">
        <v>5.3513000000000005E-2</v>
      </c>
      <c r="G46" s="47">
        <v>8.6255999999999999E-2</v>
      </c>
      <c r="H46" s="48">
        <v>5.8319000000000003E-2</v>
      </c>
      <c r="I46" s="47">
        <v>0.112127</v>
      </c>
      <c r="J46" s="32">
        <v>0.92264956532176479</v>
      </c>
      <c r="L46" s="13" t="s">
        <v>403</v>
      </c>
      <c r="M46" s="111"/>
      <c r="N46" s="111"/>
      <c r="O46" s="111"/>
      <c r="P46" s="111"/>
      <c r="Q46" s="111"/>
      <c r="R46" s="111"/>
      <c r="S46" s="111"/>
      <c r="T46" s="111"/>
      <c r="U46" s="111"/>
    </row>
    <row r="47" spans="2:21" x14ac:dyDescent="0.25">
      <c r="B47" s="34" t="s">
        <v>66</v>
      </c>
      <c r="C47" s="35"/>
      <c r="D47" s="35">
        <v>4.5899999999999996E-2</v>
      </c>
      <c r="E47" s="35">
        <v>-0.184556</v>
      </c>
      <c r="F47" s="35">
        <v>-0.14918900000000002</v>
      </c>
      <c r="G47" s="49">
        <v>0.18992100000000001</v>
      </c>
      <c r="H47" s="50">
        <v>-0.11581200000000001</v>
      </c>
      <c r="I47" s="49">
        <v>0.24369800000000003</v>
      </c>
      <c r="J47" s="39">
        <v>-3.1042551721755949</v>
      </c>
      <c r="L47" s="59" t="s">
        <v>404</v>
      </c>
      <c r="M47" s="59"/>
      <c r="N47" s="59"/>
      <c r="O47" s="59"/>
      <c r="P47" s="59"/>
      <c r="Q47" s="59"/>
      <c r="R47" s="59"/>
      <c r="S47" s="59"/>
      <c r="T47" s="59"/>
      <c r="U47" s="59"/>
    </row>
    <row r="48" spans="2:21" x14ac:dyDescent="0.25">
      <c r="L48" s="59"/>
      <c r="M48" s="59"/>
      <c r="N48" s="59"/>
      <c r="O48" s="59"/>
      <c r="P48" s="59"/>
      <c r="Q48" s="59"/>
      <c r="R48" s="59"/>
      <c r="S48" s="59"/>
      <c r="T48" s="59"/>
      <c r="U48" s="59"/>
    </row>
    <row r="49" spans="12:21" x14ac:dyDescent="0.25">
      <c r="L49" s="13" t="s">
        <v>405</v>
      </c>
      <c r="M49" s="16"/>
      <c r="N49" s="16"/>
      <c r="O49" s="16"/>
      <c r="P49" s="16"/>
      <c r="Q49" s="16"/>
      <c r="R49" s="16"/>
      <c r="S49" s="16"/>
      <c r="T49" s="16"/>
      <c r="U49" s="16"/>
    </row>
    <row r="50" spans="12:21" x14ac:dyDescent="0.25">
      <c r="L50" s="59" t="s">
        <v>406</v>
      </c>
      <c r="M50" s="59"/>
      <c r="N50" s="59"/>
      <c r="O50" s="59"/>
      <c r="P50" s="59"/>
      <c r="Q50" s="59"/>
      <c r="R50" s="59"/>
      <c r="S50" s="59"/>
      <c r="T50" s="59"/>
      <c r="U50" s="59"/>
    </row>
    <row r="51" spans="12:21" x14ac:dyDescent="0.25">
      <c r="L51" s="59"/>
      <c r="M51" s="59"/>
      <c r="N51" s="59"/>
      <c r="O51" s="59"/>
      <c r="P51" s="59"/>
      <c r="Q51" s="59"/>
      <c r="R51" s="59"/>
      <c r="S51" s="59"/>
      <c r="T51" s="59"/>
      <c r="U51" s="59"/>
    </row>
    <row r="52" spans="12:21" x14ac:dyDescent="0.25">
      <c r="L52" s="13" t="s">
        <v>407</v>
      </c>
    </row>
    <row r="53" spans="12:21" x14ac:dyDescent="0.25">
      <c r="L53" s="13" t="s">
        <v>408</v>
      </c>
    </row>
    <row r="54" spans="12:21" x14ac:dyDescent="0.25">
      <c r="L54" s="13" t="s">
        <v>409</v>
      </c>
      <c r="M54" s="16"/>
      <c r="N54" s="16"/>
      <c r="O54" s="16"/>
      <c r="P54" s="16"/>
      <c r="Q54" s="16"/>
      <c r="R54" s="16"/>
      <c r="S54" s="16"/>
      <c r="T54" s="16"/>
      <c r="U54" s="16"/>
    </row>
    <row r="55" spans="12:21" x14ac:dyDescent="0.25">
      <c r="L55" s="13" t="s">
        <v>410</v>
      </c>
      <c r="M55" s="16"/>
      <c r="N55" s="16"/>
      <c r="O55" s="16"/>
      <c r="P55" s="16"/>
      <c r="Q55" s="16"/>
      <c r="R55" s="16"/>
      <c r="S55" s="16"/>
      <c r="T55" s="16"/>
      <c r="U55" s="16"/>
    </row>
    <row r="56" spans="12:21" x14ac:dyDescent="0.25">
      <c r="L56" s="59" t="s">
        <v>411</v>
      </c>
      <c r="M56" s="59"/>
      <c r="N56" s="59"/>
      <c r="O56" s="59"/>
      <c r="P56" s="59"/>
      <c r="Q56" s="59"/>
      <c r="R56" s="59"/>
      <c r="S56" s="59"/>
      <c r="T56" s="59"/>
      <c r="U56" s="59"/>
    </row>
    <row r="57" spans="12:21" x14ac:dyDescent="0.25">
      <c r="L57" s="59"/>
      <c r="M57" s="59"/>
      <c r="N57" s="59"/>
      <c r="O57" s="59"/>
      <c r="P57" s="59"/>
      <c r="Q57" s="59"/>
      <c r="R57" s="59"/>
      <c r="S57" s="59"/>
      <c r="T57" s="59"/>
      <c r="U57" s="59"/>
    </row>
    <row r="58" spans="12:21" x14ac:dyDescent="0.25">
      <c r="L58" s="59" t="s">
        <v>412</v>
      </c>
      <c r="M58" s="59"/>
      <c r="N58" s="59"/>
      <c r="O58" s="59"/>
      <c r="P58" s="59"/>
      <c r="Q58" s="59"/>
      <c r="R58" s="59"/>
      <c r="S58" s="59"/>
      <c r="T58" s="59"/>
      <c r="U58" s="59"/>
    </row>
    <row r="59" spans="12:21" x14ac:dyDescent="0.25">
      <c r="L59" s="59"/>
      <c r="M59" s="59"/>
      <c r="N59" s="59"/>
      <c r="O59" s="59"/>
      <c r="P59" s="59"/>
      <c r="Q59" s="59"/>
      <c r="R59" s="59"/>
      <c r="S59" s="59"/>
      <c r="T59" s="59"/>
      <c r="U59" s="59"/>
    </row>
    <row r="60" spans="12:21" x14ac:dyDescent="0.25">
      <c r="L60" s="13" t="s">
        <v>413</v>
      </c>
      <c r="M60" s="16"/>
      <c r="N60" s="16"/>
      <c r="O60" s="16"/>
      <c r="P60" s="16"/>
      <c r="Q60" s="16"/>
      <c r="R60" s="16"/>
      <c r="S60" s="16"/>
      <c r="T60" s="16"/>
      <c r="U60" s="16"/>
    </row>
    <row r="61" spans="12:21" x14ac:dyDescent="0.25">
      <c r="L61" s="13" t="s">
        <v>414</v>
      </c>
      <c r="M61" s="16"/>
      <c r="N61" s="16"/>
      <c r="O61" s="16"/>
      <c r="P61" s="16"/>
      <c r="Q61" s="16"/>
      <c r="R61" s="16"/>
      <c r="S61" s="16"/>
      <c r="T61" s="16"/>
      <c r="U61" s="16"/>
    </row>
    <row r="62" spans="12:21" x14ac:dyDescent="0.25">
      <c r="L62" s="16"/>
      <c r="M62" s="16"/>
      <c r="N62" s="16"/>
      <c r="O62" s="16"/>
      <c r="P62" s="16"/>
      <c r="Q62" s="16"/>
      <c r="R62" s="16"/>
      <c r="S62" s="16"/>
      <c r="T62" s="16"/>
      <c r="U62" s="16"/>
    </row>
    <row r="63" spans="12:21" x14ac:dyDescent="0.25">
      <c r="L63" s="16"/>
      <c r="M63" s="16"/>
      <c r="N63" s="16"/>
      <c r="O63" s="16"/>
      <c r="P63" s="16"/>
      <c r="Q63" s="16"/>
      <c r="R63" s="16"/>
      <c r="S63" s="16"/>
      <c r="T63" s="16"/>
      <c r="U63" s="16"/>
    </row>
    <row r="64" spans="12:21" x14ac:dyDescent="0.25">
      <c r="L64" s="13"/>
    </row>
  </sheetData>
  <mergeCells count="10">
    <mergeCell ref="L47:U48"/>
    <mergeCell ref="L50:U51"/>
    <mergeCell ref="L56:U57"/>
    <mergeCell ref="L58:U59"/>
    <mergeCell ref="L6:U23"/>
    <mergeCell ref="L28:U30"/>
    <mergeCell ref="L32:U33"/>
    <mergeCell ref="L35:U36"/>
    <mergeCell ref="L37:U38"/>
    <mergeCell ref="L42:U4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393CA-BE00-4F7F-B203-0F3BD2A7F3AB}">
  <dimension ref="B1:U83"/>
  <sheetViews>
    <sheetView workbookViewId="0">
      <selection activeCell="B24" sqref="B24: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97" t="s">
        <v>345</v>
      </c>
      <c r="M6" s="97"/>
      <c r="N6" s="97"/>
      <c r="O6" s="97"/>
      <c r="P6" s="97"/>
      <c r="Q6" s="97"/>
      <c r="R6" s="97"/>
      <c r="S6" s="97"/>
      <c r="T6" s="97"/>
      <c r="U6" s="97"/>
    </row>
    <row r="7" spans="12:21" x14ac:dyDescent="0.25">
      <c r="L7" s="97"/>
      <c r="M7" s="97"/>
      <c r="N7" s="97"/>
      <c r="O7" s="97"/>
      <c r="P7" s="97"/>
      <c r="Q7" s="97"/>
      <c r="R7" s="97"/>
      <c r="S7" s="97"/>
      <c r="T7" s="97"/>
      <c r="U7" s="97"/>
    </row>
    <row r="8" spans="12:21" x14ac:dyDescent="0.25">
      <c r="L8" s="97"/>
      <c r="M8" s="97"/>
      <c r="N8" s="97"/>
      <c r="O8" s="97"/>
      <c r="P8" s="97"/>
      <c r="Q8" s="97"/>
      <c r="R8" s="97"/>
      <c r="S8" s="97"/>
      <c r="T8" s="97"/>
      <c r="U8" s="97"/>
    </row>
    <row r="9" spans="12:21" x14ac:dyDescent="0.25">
      <c r="L9" s="97"/>
      <c r="M9" s="97"/>
      <c r="N9" s="97"/>
      <c r="O9" s="97"/>
      <c r="P9" s="97"/>
      <c r="Q9" s="97"/>
      <c r="R9" s="97"/>
      <c r="S9" s="97"/>
      <c r="T9" s="97"/>
      <c r="U9" s="97"/>
    </row>
    <row r="10" spans="12:21" x14ac:dyDescent="0.25">
      <c r="L10" s="97"/>
      <c r="M10" s="97"/>
      <c r="N10" s="97"/>
      <c r="O10" s="97"/>
      <c r="P10" s="97"/>
      <c r="Q10" s="97"/>
      <c r="R10" s="97"/>
      <c r="S10" s="97"/>
      <c r="T10" s="97"/>
      <c r="U10" s="97"/>
    </row>
    <row r="11" spans="12:21" x14ac:dyDescent="0.25">
      <c r="L11" s="97"/>
      <c r="M11" s="97"/>
      <c r="N11" s="97"/>
      <c r="O11" s="97"/>
      <c r="P11" s="97"/>
      <c r="Q11" s="97"/>
      <c r="R11" s="97"/>
      <c r="S11" s="97"/>
      <c r="T11" s="97"/>
      <c r="U11" s="97"/>
    </row>
    <row r="12" spans="12:21" x14ac:dyDescent="0.25">
      <c r="L12" s="97"/>
      <c r="M12" s="97"/>
      <c r="N12" s="97"/>
      <c r="O12" s="97"/>
      <c r="P12" s="97"/>
      <c r="Q12" s="97"/>
      <c r="R12" s="97"/>
      <c r="S12" s="97"/>
      <c r="T12" s="97"/>
      <c r="U12" s="97"/>
    </row>
    <row r="13" spans="12:21" x14ac:dyDescent="0.25">
      <c r="L13" s="97"/>
      <c r="M13" s="97"/>
      <c r="N13" s="97"/>
      <c r="O13" s="97"/>
      <c r="P13" s="97"/>
      <c r="Q13" s="97"/>
      <c r="R13" s="97"/>
      <c r="S13" s="97"/>
      <c r="T13" s="97"/>
      <c r="U13" s="97"/>
    </row>
    <row r="14" spans="12:21" x14ac:dyDescent="0.25">
      <c r="L14" s="97"/>
      <c r="M14" s="97"/>
      <c r="N14" s="97"/>
      <c r="O14" s="97"/>
      <c r="P14" s="97"/>
      <c r="Q14" s="97"/>
      <c r="R14" s="97"/>
      <c r="S14" s="97"/>
      <c r="T14" s="97"/>
      <c r="U14" s="97"/>
    </row>
    <row r="15" spans="12:21" x14ac:dyDescent="0.25">
      <c r="L15" s="97"/>
      <c r="M15" s="97"/>
      <c r="N15" s="97"/>
      <c r="O15" s="97"/>
      <c r="P15" s="97"/>
      <c r="Q15" s="97"/>
      <c r="R15" s="97"/>
      <c r="S15" s="97"/>
      <c r="T15" s="97"/>
      <c r="U15" s="97"/>
    </row>
    <row r="16" spans="12:21" x14ac:dyDescent="0.25">
      <c r="L16" s="97"/>
      <c r="M16" s="97"/>
      <c r="N16" s="97"/>
      <c r="O16" s="97"/>
      <c r="P16" s="97"/>
      <c r="Q16" s="97"/>
      <c r="R16" s="97"/>
      <c r="S16" s="97"/>
      <c r="T16" s="97"/>
      <c r="U16" s="97"/>
    </row>
    <row r="17" spans="2:21" x14ac:dyDescent="0.25">
      <c r="L17" s="97"/>
      <c r="M17" s="97"/>
      <c r="N17" s="97"/>
      <c r="O17" s="97"/>
      <c r="P17" s="97"/>
      <c r="Q17" s="97"/>
      <c r="R17" s="97"/>
      <c r="S17" s="97"/>
      <c r="T17" s="97"/>
      <c r="U17" s="97"/>
    </row>
    <row r="18" spans="2:21" x14ac:dyDescent="0.25">
      <c r="L18" s="97"/>
      <c r="M18" s="97"/>
      <c r="N18" s="97"/>
      <c r="O18" s="97"/>
      <c r="P18" s="97"/>
      <c r="Q18" s="97"/>
      <c r="R18" s="97"/>
      <c r="S18" s="97"/>
      <c r="T18" s="97"/>
      <c r="U18" s="97"/>
    </row>
    <row r="19" spans="2:21" x14ac:dyDescent="0.25">
      <c r="L19" s="97"/>
      <c r="M19" s="97"/>
      <c r="N19" s="97"/>
      <c r="O19" s="97"/>
      <c r="P19" s="97"/>
      <c r="Q19" s="97"/>
      <c r="R19" s="97"/>
      <c r="S19" s="97"/>
      <c r="T19" s="97"/>
      <c r="U19" s="97"/>
    </row>
    <row r="20" spans="2:21" x14ac:dyDescent="0.25">
      <c r="L20" s="97"/>
      <c r="M20" s="97"/>
      <c r="N20" s="97"/>
      <c r="O20" s="97"/>
      <c r="P20" s="97"/>
      <c r="Q20" s="97"/>
      <c r="R20" s="97"/>
      <c r="S20" s="97"/>
      <c r="T20" s="97"/>
      <c r="U20" s="97"/>
    </row>
    <row r="21" spans="2:21" x14ac:dyDescent="0.25">
      <c r="L21" s="97"/>
      <c r="M21" s="97"/>
      <c r="N21" s="97"/>
      <c r="O21" s="97"/>
      <c r="P21" s="97"/>
      <c r="Q21" s="97"/>
      <c r="R21" s="97"/>
      <c r="S21" s="97"/>
      <c r="T21" s="97"/>
      <c r="U21" s="97"/>
    </row>
    <row r="22" spans="2:21" x14ac:dyDescent="0.25">
      <c r="L22" s="97"/>
      <c r="M22" s="97"/>
      <c r="N22" s="97"/>
      <c r="O22" s="97"/>
      <c r="P22" s="97"/>
      <c r="Q22" s="97"/>
      <c r="R22" s="97"/>
      <c r="S22" s="97"/>
      <c r="T22" s="97"/>
      <c r="U22" s="97"/>
    </row>
    <row r="23" spans="2:21" x14ac:dyDescent="0.25">
      <c r="L23" s="97"/>
      <c r="M23" s="97"/>
      <c r="N23" s="97"/>
      <c r="O23" s="97"/>
      <c r="P23" s="97"/>
      <c r="Q23" s="97"/>
      <c r="R23" s="97"/>
      <c r="S23" s="97"/>
      <c r="T23" s="97"/>
      <c r="U23" s="97"/>
    </row>
    <row r="24" spans="2:21" x14ac:dyDescent="0.25">
      <c r="B24" s="1"/>
      <c r="C24" s="1"/>
      <c r="D24" s="20" t="s">
        <v>36</v>
      </c>
      <c r="E24" s="21"/>
      <c r="F24" s="21"/>
      <c r="G24" s="22"/>
      <c r="H24" s="23" t="s">
        <v>37</v>
      </c>
      <c r="I24" s="21"/>
      <c r="J24" s="21"/>
      <c r="L24" s="97"/>
      <c r="M24" s="97"/>
      <c r="N24" s="97"/>
      <c r="O24" s="97"/>
      <c r="P24" s="97"/>
      <c r="Q24" s="97"/>
      <c r="R24" s="97"/>
      <c r="S24" s="97"/>
      <c r="T24" s="97"/>
      <c r="U24" s="97"/>
    </row>
    <row r="25" spans="2:21" x14ac:dyDescent="0.25">
      <c r="B25" s="24"/>
      <c r="C25" s="24"/>
      <c r="D25" s="25">
        <v>44926</v>
      </c>
      <c r="E25" s="25">
        <v>45291</v>
      </c>
      <c r="F25" s="25">
        <v>45657</v>
      </c>
      <c r="G25" s="26">
        <v>46022</v>
      </c>
      <c r="H25" s="27">
        <v>45747</v>
      </c>
      <c r="I25" s="26">
        <v>46112</v>
      </c>
      <c r="J25" s="28" t="s">
        <v>38</v>
      </c>
      <c r="L25" s="97"/>
      <c r="M25" s="97"/>
      <c r="N25" s="97"/>
      <c r="O25" s="97"/>
      <c r="P25" s="97"/>
      <c r="Q25" s="97"/>
      <c r="R25" s="97"/>
      <c r="S25" s="97"/>
      <c r="T25" s="97"/>
      <c r="U25" s="97"/>
    </row>
    <row r="26" spans="2:21" x14ac:dyDescent="0.25">
      <c r="B26" s="8" t="s">
        <v>180</v>
      </c>
      <c r="C26" s="8"/>
      <c r="D26" s="62">
        <v>73.599999999999994</v>
      </c>
      <c r="E26" s="62">
        <v>61.642000000000003</v>
      </c>
      <c r="F26" s="62">
        <v>155.834</v>
      </c>
      <c r="G26" s="63">
        <v>334.67099999999999</v>
      </c>
      <c r="H26" s="64">
        <v>153.74799999999999</v>
      </c>
      <c r="I26" s="63">
        <v>294.45999999999998</v>
      </c>
      <c r="J26" s="102">
        <v>0.91521190519551476</v>
      </c>
      <c r="L26" s="97"/>
      <c r="M26" s="97"/>
      <c r="N26" s="97"/>
      <c r="O26" s="97"/>
      <c r="P26" s="97"/>
      <c r="Q26" s="97"/>
      <c r="R26" s="97"/>
      <c r="S26" s="97"/>
      <c r="T26" s="97"/>
      <c r="U26" s="97"/>
    </row>
    <row r="27" spans="2:21" x14ac:dyDescent="0.25">
      <c r="B27" s="40" t="s">
        <v>181</v>
      </c>
      <c r="C27" s="33"/>
      <c r="D27" s="33">
        <v>0.19720199999999999</v>
      </c>
      <c r="E27" s="33">
        <v>0.178095</v>
      </c>
      <c r="F27" s="33">
        <v>0.27202000000000004</v>
      </c>
      <c r="G27" s="47">
        <v>0.37560899999999997</v>
      </c>
      <c r="H27" s="48">
        <v>0.32483800000000002</v>
      </c>
      <c r="I27" s="47">
        <v>0.40321399999999996</v>
      </c>
      <c r="J27" s="102">
        <v>0.24127719047648344</v>
      </c>
    </row>
    <row r="28" spans="2:21" x14ac:dyDescent="0.25">
      <c r="B28" s="40" t="s">
        <v>182</v>
      </c>
      <c r="C28" s="33"/>
      <c r="D28" s="33">
        <v>-0.106798</v>
      </c>
      <c r="E28" s="33">
        <v>1.2586999999999999E-2</v>
      </c>
      <c r="F28" s="33">
        <v>0.27494299999999999</v>
      </c>
      <c r="G28" s="47">
        <v>0.33438800000000002</v>
      </c>
      <c r="H28" s="48">
        <v>0.31498399999999999</v>
      </c>
      <c r="I28" s="47">
        <v>0.36433500000000002</v>
      </c>
      <c r="J28" s="102">
        <v>0.15667779950727678</v>
      </c>
      <c r="L28" s="98" t="s">
        <v>2</v>
      </c>
      <c r="M28" s="99"/>
      <c r="N28" s="99"/>
      <c r="O28" s="99"/>
      <c r="P28" s="99"/>
      <c r="Q28" s="99"/>
      <c r="R28" s="99"/>
      <c r="S28" s="99"/>
      <c r="T28" s="99"/>
      <c r="U28" s="99"/>
    </row>
    <row r="29" spans="2:21" x14ac:dyDescent="0.25">
      <c r="B29" s="40" t="s">
        <v>183</v>
      </c>
      <c r="C29" s="33"/>
      <c r="D29" s="33">
        <v>0.29992000000000002</v>
      </c>
      <c r="E29" s="33">
        <v>0.29166899999999996</v>
      </c>
      <c r="F29" s="33">
        <v>0.47017000000000003</v>
      </c>
      <c r="G29" s="47">
        <v>0.46579300000000001</v>
      </c>
      <c r="H29" s="48">
        <v>0.50365099999999996</v>
      </c>
      <c r="I29" s="47">
        <v>0.49012500000000003</v>
      </c>
      <c r="J29" s="102">
        <v>-2.6855898231116226E-2</v>
      </c>
      <c r="L29" s="100" t="s">
        <v>346</v>
      </c>
      <c r="M29" s="100"/>
      <c r="N29" s="100"/>
      <c r="O29" s="100"/>
      <c r="P29" s="100"/>
      <c r="Q29" s="100"/>
      <c r="R29" s="100"/>
      <c r="S29" s="100"/>
      <c r="T29" s="100"/>
      <c r="U29" s="100"/>
    </row>
    <row r="30" spans="2:21" x14ac:dyDescent="0.25">
      <c r="B30" s="40" t="s">
        <v>184</v>
      </c>
      <c r="C30" s="33"/>
      <c r="D30" s="33">
        <v>-8.5550999999999988E-2</v>
      </c>
      <c r="E30" s="33">
        <v>-1.1304000000000002E-2</v>
      </c>
      <c r="F30" s="33">
        <v>0.14276900000000001</v>
      </c>
      <c r="G30" s="47">
        <v>0.173984</v>
      </c>
      <c r="H30" s="48">
        <v>0.17976600000000001</v>
      </c>
      <c r="I30" s="47">
        <v>0.19203099999999998</v>
      </c>
      <c r="J30" s="102">
        <v>6.8227584749062542E-2</v>
      </c>
      <c r="L30" s="60" t="s">
        <v>347</v>
      </c>
      <c r="M30" s="60"/>
      <c r="N30" s="60"/>
      <c r="O30" s="60"/>
      <c r="P30" s="60"/>
      <c r="Q30" s="60"/>
      <c r="R30" s="60"/>
      <c r="S30" s="60"/>
      <c r="T30" s="60"/>
      <c r="U30" s="60"/>
    </row>
    <row r="31" spans="2:21" x14ac:dyDescent="0.25">
      <c r="B31" s="34" t="s">
        <v>185</v>
      </c>
      <c r="C31" s="35"/>
      <c r="D31" s="35">
        <v>4.4856E-2</v>
      </c>
      <c r="E31" s="35">
        <v>2.6785999999999997E-2</v>
      </c>
      <c r="F31" s="35">
        <v>0.15635599999999999</v>
      </c>
      <c r="G31" s="49">
        <v>0.25975999999999999</v>
      </c>
      <c r="H31" s="50">
        <v>0.20260700000000001</v>
      </c>
      <c r="I31" s="49">
        <v>0.22905699999999998</v>
      </c>
      <c r="J31" s="103">
        <v>0.13054830287206243</v>
      </c>
      <c r="L31" s="60"/>
      <c r="M31" s="60"/>
      <c r="N31" s="60"/>
      <c r="O31" s="60"/>
      <c r="P31" s="60"/>
      <c r="Q31" s="60"/>
      <c r="R31" s="60"/>
      <c r="S31" s="60"/>
      <c r="T31" s="60"/>
      <c r="U31" s="60"/>
    </row>
    <row r="32" spans="2:21" x14ac:dyDescent="0.25">
      <c r="B32" s="40" t="s">
        <v>186</v>
      </c>
      <c r="C32" s="8"/>
      <c r="D32" s="43">
        <v>7.0979670482012178</v>
      </c>
      <c r="E32" s="43">
        <v>4.3278160893585786</v>
      </c>
      <c r="F32" s="43">
        <v>4.2059359051746092</v>
      </c>
      <c r="G32" s="52">
        <v>5.3360946630639532</v>
      </c>
      <c r="H32" s="61">
        <v>4.9967684914418653</v>
      </c>
      <c r="I32" s="52">
        <v>5.1397631519179585</v>
      </c>
      <c r="J32" s="102">
        <v>2.8617427587650957E-2</v>
      </c>
      <c r="L32" s="60" t="s">
        <v>348</v>
      </c>
      <c r="M32" s="60"/>
      <c r="N32" s="60"/>
      <c r="O32" s="60"/>
      <c r="P32" s="60"/>
      <c r="Q32" s="60"/>
      <c r="R32" s="60"/>
      <c r="S32" s="60"/>
      <c r="T32" s="60"/>
      <c r="U32" s="60"/>
    </row>
    <row r="33" spans="2:21" x14ac:dyDescent="0.25">
      <c r="B33" s="40" t="s">
        <v>187</v>
      </c>
      <c r="C33" s="8"/>
      <c r="D33" s="43">
        <v>6.02928</v>
      </c>
      <c r="E33" s="43">
        <v>4.4877099999999999</v>
      </c>
      <c r="F33" s="43">
        <v>6.3418200000000002</v>
      </c>
      <c r="G33" s="52">
        <v>7.2517699999999996</v>
      </c>
      <c r="H33" s="61">
        <v>8.1408699999999996</v>
      </c>
      <c r="I33" s="52">
        <v>7.1859099999999998</v>
      </c>
      <c r="J33" s="102">
        <v>-0.11730441586710016</v>
      </c>
      <c r="L33" s="60"/>
      <c r="M33" s="60"/>
      <c r="N33" s="60"/>
      <c r="O33" s="60"/>
      <c r="P33" s="60"/>
      <c r="Q33" s="60"/>
      <c r="R33" s="60"/>
      <c r="S33" s="60"/>
      <c r="T33" s="60"/>
      <c r="U33" s="60"/>
    </row>
    <row r="34" spans="2:21" x14ac:dyDescent="0.25">
      <c r="B34" s="40" t="s">
        <v>188</v>
      </c>
      <c r="C34" s="8"/>
      <c r="D34" s="43">
        <v>2.5478700000000001</v>
      </c>
      <c r="E34" s="43">
        <v>3.028</v>
      </c>
      <c r="F34" s="43">
        <v>5.3329599999999999</v>
      </c>
      <c r="G34" s="52">
        <v>5.3247499999999999</v>
      </c>
      <c r="H34" s="61">
        <v>6.96082</v>
      </c>
      <c r="I34" s="52">
        <v>5.3107600000000001</v>
      </c>
      <c r="J34" s="102">
        <v>-0.23704965794259869</v>
      </c>
      <c r="L34" s="101" t="s">
        <v>349</v>
      </c>
    </row>
    <row r="35" spans="2:21" x14ac:dyDescent="0.25">
      <c r="B35" s="40" t="s">
        <v>189</v>
      </c>
      <c r="C35" s="8"/>
      <c r="D35" s="43">
        <v>2.77597</v>
      </c>
      <c r="E35" s="43">
        <v>3.0604300000000002</v>
      </c>
      <c r="F35" s="43">
        <v>1.6332800000000001</v>
      </c>
      <c r="G35" s="52">
        <v>1.58399</v>
      </c>
      <c r="H35" s="61">
        <v>1.35311</v>
      </c>
      <c r="I35" s="52">
        <v>1.3208</v>
      </c>
      <c r="J35" s="102">
        <v>-2.3878324748172752E-2</v>
      </c>
      <c r="L35" s="60" t="s">
        <v>350</v>
      </c>
      <c r="M35" s="60"/>
      <c r="N35" s="60"/>
      <c r="O35" s="60"/>
      <c r="P35" s="60"/>
      <c r="Q35" s="60"/>
      <c r="R35" s="60"/>
      <c r="S35" s="60"/>
      <c r="T35" s="60"/>
      <c r="U35" s="60"/>
    </row>
    <row r="36" spans="2:21" x14ac:dyDescent="0.25">
      <c r="B36" s="40" t="s">
        <v>190</v>
      </c>
      <c r="C36" s="8"/>
      <c r="D36" s="43">
        <v>2.5242499999999999</v>
      </c>
      <c r="E36" s="43">
        <v>2.82606</v>
      </c>
      <c r="F36" s="43">
        <v>1.2938099999999999</v>
      </c>
      <c r="G36" s="52">
        <v>0.98329</v>
      </c>
      <c r="H36" s="61">
        <v>1.06948</v>
      </c>
      <c r="I36" s="52">
        <v>0.85099000000000002</v>
      </c>
      <c r="J36" s="102">
        <v>-0.20429554549874707</v>
      </c>
      <c r="L36" s="60"/>
      <c r="M36" s="60"/>
      <c r="N36" s="60"/>
      <c r="O36" s="60"/>
      <c r="P36" s="60"/>
      <c r="Q36" s="60"/>
      <c r="R36" s="60"/>
      <c r="S36" s="60"/>
      <c r="T36" s="60"/>
      <c r="U36" s="60"/>
    </row>
    <row r="37" spans="2:21" x14ac:dyDescent="0.25">
      <c r="B37" s="40" t="s">
        <v>191</v>
      </c>
      <c r="C37" s="8"/>
      <c r="D37" s="43">
        <v>6.5690600000000003</v>
      </c>
      <c r="E37" s="43">
        <v>4.5357799999999999</v>
      </c>
      <c r="F37" s="43">
        <v>1.9422600000000001</v>
      </c>
      <c r="G37" s="52">
        <v>2.1572300000000002</v>
      </c>
      <c r="H37" s="61">
        <v>1.5825</v>
      </c>
      <c r="I37" s="52">
        <v>1.78715</v>
      </c>
      <c r="J37" s="102">
        <v>0.12932069510268551</v>
      </c>
      <c r="L37" s="60" t="s">
        <v>351</v>
      </c>
      <c r="M37" s="60"/>
      <c r="N37" s="60"/>
      <c r="O37" s="60"/>
      <c r="P37" s="60"/>
      <c r="Q37" s="60"/>
      <c r="R37" s="60"/>
      <c r="S37" s="60"/>
      <c r="T37" s="60"/>
      <c r="U37" s="60"/>
    </row>
    <row r="38" spans="2:21" x14ac:dyDescent="0.25">
      <c r="B38" s="34" t="s">
        <v>192</v>
      </c>
      <c r="C38" s="53"/>
      <c r="D38" s="53">
        <v>5.9733900000000002</v>
      </c>
      <c r="E38" s="53">
        <v>4.1884199999999998</v>
      </c>
      <c r="F38" s="53">
        <v>1.53857</v>
      </c>
      <c r="G38" s="54">
        <v>1.3391500000000001</v>
      </c>
      <c r="H38" s="55">
        <v>1.25078</v>
      </c>
      <c r="I38" s="54">
        <v>1.15147</v>
      </c>
      <c r="J38" s="103">
        <v>-7.9398455363852927E-2</v>
      </c>
      <c r="L38" s="60"/>
      <c r="M38" s="60"/>
      <c r="N38" s="60"/>
      <c r="O38" s="60"/>
      <c r="P38" s="60"/>
      <c r="Q38" s="60"/>
      <c r="R38" s="60"/>
      <c r="S38" s="60"/>
      <c r="T38" s="60"/>
      <c r="U38" s="60"/>
    </row>
    <row r="39" spans="2:21" x14ac:dyDescent="0.25">
      <c r="B39" s="8" t="s">
        <v>193</v>
      </c>
      <c r="C39" s="43"/>
      <c r="D39" s="62">
        <v>13.888249999999999</v>
      </c>
      <c r="E39" s="62">
        <v>10.106120000000001</v>
      </c>
      <c r="F39" s="62">
        <v>10.24837</v>
      </c>
      <c r="G39" s="63">
        <v>9.1527399999999997</v>
      </c>
      <c r="H39" s="64">
        <v>8.1544699999999999</v>
      </c>
      <c r="I39" s="63">
        <v>9.6246899999999993</v>
      </c>
      <c r="J39" s="102">
        <v>0.18029620563936088</v>
      </c>
      <c r="L39" s="60" t="s">
        <v>352</v>
      </c>
      <c r="M39" s="60"/>
      <c r="N39" s="60"/>
      <c r="O39" s="60"/>
      <c r="P39" s="60"/>
      <c r="Q39" s="60"/>
      <c r="R39" s="60"/>
      <c r="S39" s="60"/>
      <c r="T39" s="60"/>
      <c r="U39" s="60"/>
    </row>
    <row r="40" spans="2:21" x14ac:dyDescent="0.25">
      <c r="B40" s="8" t="s">
        <v>194</v>
      </c>
      <c r="C40" s="43"/>
      <c r="D40" s="62">
        <v>117.41101</v>
      </c>
      <c r="E40" s="62">
        <v>127.78942000000001</v>
      </c>
      <c r="F40" s="62">
        <v>114.71904000000001</v>
      </c>
      <c r="G40" s="63">
        <v>106.10988</v>
      </c>
      <c r="H40" s="64">
        <v>104.51483</v>
      </c>
      <c r="I40" s="63">
        <v>94.983590000000007</v>
      </c>
      <c r="J40" s="102">
        <v>-9.1195096427942324E-2</v>
      </c>
      <c r="L40" s="60"/>
      <c r="M40" s="60"/>
      <c r="N40" s="60"/>
      <c r="O40" s="60"/>
      <c r="P40" s="60"/>
      <c r="Q40" s="60"/>
      <c r="R40" s="60"/>
      <c r="S40" s="60"/>
      <c r="T40" s="60"/>
      <c r="U40" s="60"/>
    </row>
    <row r="41" spans="2:21" x14ac:dyDescent="0.25">
      <c r="B41" s="8" t="s">
        <v>195</v>
      </c>
      <c r="C41" s="43"/>
      <c r="D41" s="62">
        <v>27.940390000000001</v>
      </c>
      <c r="E41" s="62">
        <v>26.501190000000001</v>
      </c>
      <c r="F41" s="62">
        <v>22.605260000000001</v>
      </c>
      <c r="G41" s="63">
        <v>21.171099999999999</v>
      </c>
      <c r="H41" s="64">
        <v>24.406459999999999</v>
      </c>
      <c r="I41" s="63">
        <v>23.277509999999999</v>
      </c>
      <c r="J41" s="102">
        <v>-4.6256196105457281E-2</v>
      </c>
      <c r="L41" s="101" t="s">
        <v>353</v>
      </c>
    </row>
    <row r="42" spans="2:21" x14ac:dyDescent="0.25">
      <c r="B42" s="40" t="s">
        <v>196</v>
      </c>
      <c r="C42" s="43"/>
      <c r="D42" s="43">
        <v>0.62234</v>
      </c>
      <c r="E42" s="43">
        <v>0.47252</v>
      </c>
      <c r="F42" s="43">
        <v>0.92329000000000006</v>
      </c>
      <c r="G42" s="52">
        <v>0.84387000000000001</v>
      </c>
      <c r="H42" s="61">
        <v>0.80479000000000001</v>
      </c>
      <c r="I42" s="52">
        <v>0.94906999999999997</v>
      </c>
      <c r="J42" s="102">
        <v>0.1792765814684576</v>
      </c>
      <c r="L42" s="60" t="s">
        <v>354</v>
      </c>
      <c r="M42" s="60"/>
      <c r="N42" s="60"/>
      <c r="O42" s="60"/>
      <c r="P42" s="60"/>
      <c r="Q42" s="60"/>
      <c r="R42" s="60"/>
      <c r="S42" s="60"/>
      <c r="T42" s="60"/>
      <c r="U42" s="60"/>
    </row>
    <row r="43" spans="2:21" x14ac:dyDescent="0.25">
      <c r="B43" s="40" t="s">
        <v>197</v>
      </c>
      <c r="C43" s="43"/>
      <c r="D43" s="43">
        <v>0.46418999999999999</v>
      </c>
      <c r="E43" s="43">
        <v>0.36126999999999998</v>
      </c>
      <c r="F43" s="43">
        <v>0.80149000000000004</v>
      </c>
      <c r="G43" s="52">
        <v>0.76224999999999998</v>
      </c>
      <c r="H43" s="61">
        <v>0.67403999999999997</v>
      </c>
      <c r="I43" s="52">
        <v>0.84553</v>
      </c>
      <c r="J43" s="102">
        <v>0.2544211026051868</v>
      </c>
      <c r="L43" s="60"/>
      <c r="M43" s="60"/>
      <c r="N43" s="60"/>
      <c r="O43" s="60"/>
      <c r="P43" s="60"/>
      <c r="Q43" s="60"/>
      <c r="R43" s="60"/>
      <c r="S43" s="60"/>
      <c r="T43" s="60"/>
      <c r="U43" s="60"/>
    </row>
    <row r="44" spans="2:21" x14ac:dyDescent="0.25">
      <c r="B44" s="34" t="s">
        <v>198</v>
      </c>
      <c r="C44" s="44"/>
      <c r="D44" s="44">
        <v>-75.582380000000001</v>
      </c>
      <c r="E44" s="44">
        <v>-91.182109999999994</v>
      </c>
      <c r="F44" s="44">
        <v>-81.86542</v>
      </c>
      <c r="G44" s="65">
        <v>-75.786050000000003</v>
      </c>
      <c r="H44" s="66">
        <v>-71.953909999999993</v>
      </c>
      <c r="I44" s="65">
        <v>-62.081389999999999</v>
      </c>
      <c r="J44" s="103">
        <v>-0.13720616433491928</v>
      </c>
      <c r="L44" s="101" t="s">
        <v>355</v>
      </c>
    </row>
    <row r="45" spans="2:21" x14ac:dyDescent="0.25">
      <c r="B45" s="40" t="s">
        <v>70</v>
      </c>
      <c r="C45" s="33"/>
      <c r="D45" s="33">
        <v>-3.0663999999999997E-2</v>
      </c>
      <c r="E45" s="33">
        <v>3.6080000000000001E-3</v>
      </c>
      <c r="F45" s="33">
        <v>8.8834999999999997E-2</v>
      </c>
      <c r="G45" s="47">
        <v>0.12212300000000001</v>
      </c>
      <c r="H45" s="48">
        <v>0.11730600000000001</v>
      </c>
      <c r="I45" s="47">
        <v>0.140435</v>
      </c>
      <c r="J45" s="102">
        <v>0.19716809029376159</v>
      </c>
      <c r="L45" s="101" t="s">
        <v>356</v>
      </c>
      <c r="M45" s="101"/>
      <c r="N45" s="101"/>
      <c r="O45" s="101"/>
      <c r="P45" s="101"/>
      <c r="Q45" s="101"/>
      <c r="R45" s="101"/>
      <c r="S45" s="101"/>
      <c r="T45" s="101"/>
      <c r="U45" s="101"/>
    </row>
    <row r="46" spans="2:21" x14ac:dyDescent="0.25">
      <c r="B46" s="40" t="s">
        <v>199</v>
      </c>
      <c r="C46" s="33"/>
      <c r="D46" s="33">
        <v>-4.9195999999999997E-2</v>
      </c>
      <c r="E46" s="33">
        <v>5.8960000000000002E-3</v>
      </c>
      <c r="F46" s="33">
        <v>0.139347</v>
      </c>
      <c r="G46" s="47">
        <v>0.18890799999999999</v>
      </c>
      <c r="H46" s="48">
        <v>0.188222</v>
      </c>
      <c r="I46" s="47">
        <v>0.21432300000000001</v>
      </c>
      <c r="J46" s="102">
        <v>0.13867135616452919</v>
      </c>
    </row>
    <row r="47" spans="2:21" x14ac:dyDescent="0.25">
      <c r="B47" s="34" t="s">
        <v>66</v>
      </c>
      <c r="C47" s="35"/>
      <c r="D47" s="35">
        <v>-0.19562499999999999</v>
      </c>
      <c r="E47" s="35">
        <v>-2.6981999999999999E-2</v>
      </c>
      <c r="F47" s="35">
        <v>0.33681300000000003</v>
      </c>
      <c r="G47" s="49">
        <v>0.41915399999999997</v>
      </c>
      <c r="H47" s="50">
        <v>0.558226</v>
      </c>
      <c r="I47" s="49">
        <v>0.43160999999999999</v>
      </c>
      <c r="J47" s="103">
        <v>-0.22681852869626284</v>
      </c>
      <c r="L47" s="98" t="s">
        <v>16</v>
      </c>
    </row>
    <row r="48" spans="2:21" x14ac:dyDescent="0.25">
      <c r="L48" s="101" t="s">
        <v>357</v>
      </c>
    </row>
    <row r="49" spans="12:21" x14ac:dyDescent="0.25">
      <c r="L49" s="101" t="s">
        <v>358</v>
      </c>
      <c r="M49" s="17"/>
      <c r="N49" s="17"/>
      <c r="O49" s="17"/>
      <c r="P49" s="17"/>
      <c r="Q49" s="17"/>
      <c r="R49" s="17"/>
      <c r="S49" s="17"/>
      <c r="T49" s="17"/>
      <c r="U49" s="17"/>
    </row>
    <row r="50" spans="12:21" x14ac:dyDescent="0.25">
      <c r="L50" s="60" t="s">
        <v>359</v>
      </c>
      <c r="M50" s="60"/>
      <c r="N50" s="60"/>
      <c r="O50" s="60"/>
      <c r="P50" s="60"/>
      <c r="Q50" s="60"/>
      <c r="R50" s="60"/>
      <c r="S50" s="60"/>
      <c r="T50" s="60"/>
      <c r="U50" s="60"/>
    </row>
    <row r="51" spans="12:21" x14ac:dyDescent="0.25">
      <c r="L51" s="60"/>
      <c r="M51" s="60"/>
      <c r="N51" s="60"/>
      <c r="O51" s="60"/>
      <c r="P51" s="60"/>
      <c r="Q51" s="60"/>
      <c r="R51" s="60"/>
      <c r="S51" s="60"/>
      <c r="T51" s="60"/>
      <c r="U51" s="60"/>
    </row>
    <row r="52" spans="12:21" x14ac:dyDescent="0.25">
      <c r="L52" s="101" t="s">
        <v>360</v>
      </c>
      <c r="M52" s="101"/>
      <c r="N52" s="101"/>
      <c r="O52" s="101"/>
      <c r="P52" s="101"/>
      <c r="Q52" s="101"/>
      <c r="R52" s="101"/>
      <c r="S52" s="101"/>
      <c r="T52" s="101"/>
      <c r="U52" s="101"/>
    </row>
    <row r="53" spans="12:21" x14ac:dyDescent="0.25">
      <c r="L53" s="101" t="s">
        <v>361</v>
      </c>
      <c r="M53" s="101"/>
      <c r="N53" s="101"/>
      <c r="O53" s="101"/>
      <c r="P53" s="101"/>
      <c r="Q53" s="101"/>
      <c r="R53" s="101"/>
      <c r="S53" s="101"/>
      <c r="T53" s="101"/>
      <c r="U53" s="101"/>
    </row>
    <row r="54" spans="12:21" x14ac:dyDescent="0.25">
      <c r="L54" s="101" t="s">
        <v>362</v>
      </c>
      <c r="M54" s="17"/>
      <c r="N54" s="17"/>
      <c r="O54" s="17"/>
      <c r="P54" s="17"/>
      <c r="Q54" s="17"/>
      <c r="R54" s="17"/>
      <c r="S54" s="17"/>
      <c r="T54" s="17"/>
      <c r="U54" s="17"/>
    </row>
    <row r="55" spans="12:21" x14ac:dyDescent="0.25">
      <c r="L55" s="101" t="s">
        <v>363</v>
      </c>
    </row>
    <row r="56" spans="12:21" x14ac:dyDescent="0.25">
      <c r="L56" s="101" t="s">
        <v>364</v>
      </c>
    </row>
    <row r="57" spans="12:21" x14ac:dyDescent="0.25">
      <c r="L57" s="60" t="s">
        <v>365</v>
      </c>
      <c r="M57" s="60"/>
      <c r="N57" s="60"/>
      <c r="O57" s="60"/>
      <c r="P57" s="60"/>
      <c r="Q57" s="60"/>
      <c r="R57" s="60"/>
      <c r="S57" s="60"/>
      <c r="T57" s="60"/>
      <c r="U57" s="60"/>
    </row>
    <row r="58" spans="12:21" x14ac:dyDescent="0.25">
      <c r="L58" s="60"/>
      <c r="M58" s="60"/>
      <c r="N58" s="60"/>
      <c r="O58" s="60"/>
      <c r="P58" s="60"/>
      <c r="Q58" s="60"/>
      <c r="R58" s="60"/>
      <c r="S58" s="60"/>
      <c r="T58" s="60"/>
      <c r="U58" s="60"/>
    </row>
    <row r="59" spans="12:21" x14ac:dyDescent="0.25">
      <c r="L59" s="60" t="s">
        <v>366</v>
      </c>
      <c r="M59" s="60"/>
      <c r="N59" s="60"/>
      <c r="O59" s="60"/>
      <c r="P59" s="60"/>
      <c r="Q59" s="60"/>
      <c r="R59" s="60"/>
      <c r="S59" s="60"/>
      <c r="T59" s="60"/>
      <c r="U59" s="60"/>
    </row>
    <row r="60" spans="12:21" x14ac:dyDescent="0.25">
      <c r="L60" s="60"/>
      <c r="M60" s="60"/>
      <c r="N60" s="60"/>
      <c r="O60" s="60"/>
      <c r="P60" s="60"/>
      <c r="Q60" s="60"/>
      <c r="R60" s="60"/>
      <c r="S60" s="60"/>
      <c r="T60" s="60"/>
      <c r="U60" s="60"/>
    </row>
    <row r="83" spans="12:21" x14ac:dyDescent="0.25">
      <c r="L83" s="100"/>
      <c r="M83" s="100"/>
      <c r="N83" s="100"/>
      <c r="O83" s="100"/>
      <c r="P83" s="100"/>
      <c r="Q83" s="100"/>
      <c r="R83" s="100"/>
      <c r="S83" s="100"/>
      <c r="T83" s="100"/>
      <c r="U83" s="100"/>
    </row>
  </sheetData>
  <mergeCells count="12">
    <mergeCell ref="L39:U40"/>
    <mergeCell ref="L42:U43"/>
    <mergeCell ref="L50:U51"/>
    <mergeCell ref="L57:U58"/>
    <mergeCell ref="L59:U60"/>
    <mergeCell ref="L83:U83"/>
    <mergeCell ref="L6:U26"/>
    <mergeCell ref="L29:U29"/>
    <mergeCell ref="L30:U31"/>
    <mergeCell ref="L32:U33"/>
    <mergeCell ref="L35:U36"/>
    <mergeCell ref="L37:U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Cibest</vt:lpstr>
      <vt:lpstr>Grupo Aval</vt:lpstr>
      <vt:lpstr>Davivienda</vt:lpstr>
      <vt:lpstr>BCI</vt:lpstr>
      <vt:lpstr>Ecopetrol</vt:lpstr>
      <vt:lpstr>EPM</vt:lpstr>
      <vt:lpstr>Orazen</vt:lpstr>
      <vt:lpstr>Banorte</vt:lpstr>
      <vt:lpstr>IBK</vt:lpstr>
      <vt:lpstr>BCP</vt:lpstr>
      <vt:lpstr>BBVA Mexico</vt:lpstr>
      <vt:lpstr>Pluz Energia</vt:lpstr>
      <vt:lpstr>LdS</vt:lpstr>
      <vt:lpstr>Orygen</vt:lpstr>
      <vt:lpstr>Engie</vt:lpstr>
      <vt:lpstr>Minsur</vt:lpstr>
      <vt:lpstr>Nexa</vt:lpstr>
      <vt:lpstr>Volcan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 Olivares Untiveros</dc:creator>
  <cp:lastModifiedBy>Franco Olivares Untiveros</cp:lastModifiedBy>
  <dcterms:created xsi:type="dcterms:W3CDTF">2026-09-28T16:06:52Z</dcterms:created>
  <dcterms:modified xsi:type="dcterms:W3CDTF">2026-09-28T16:23:27Z</dcterms:modified>
</cp:coreProperties>
</file>