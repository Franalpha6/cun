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esa de Inversiones\Bottom-Up\5 Estrategia del Portafolio\Screener RF\1. BD Screener\Emisiones Latam\"/>
    </mc:Choice>
  </mc:AlternateContent>
  <xr:revisionPtr revIDLastSave="0" documentId="13_ncr:1_{45561414-3DBF-4B72-A98B-D54828006491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Filtros FI" sheetId="6" r:id="rId1"/>
    <sheet name="Port Bloomberg" sheetId="4" r:id="rId2"/>
    <sheet name="Port Filtrado" sheetId="2" r:id="rId3"/>
    <sheet name="Lista de excepciones" sheetId="3" r:id="rId4"/>
  </sheets>
  <externalReferences>
    <externalReference r:id="rId5"/>
  </externalReferences>
  <definedNames>
    <definedName name="_xlnm._FilterDatabase" localSheetId="3" hidden="1">'Lista de excepciones'!$A$1:$O$1</definedName>
    <definedName name="_xlnm._FilterDatabase" localSheetId="1" hidden="1">'Port Bloomberg'!$A$1:$R$486</definedName>
    <definedName name="_xlnm._FilterDatabase" localSheetId="2" hidden="1">'Port Filtrado'!$A$1:$U$1250</definedName>
    <definedName name="CIQWBGuid" hidden="1">"783d2060-7d8e-44ec-8acc-e9887dd23fca"</definedName>
    <definedName name="CIQWBInfo" hidden="1">"{ ""CIQVersion"":""9.45.614.5792""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"04/28/2025 16:37:55"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50" i="2" l="1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R1250" i="2" l="1"/>
  <c r="Q1250" i="2"/>
  <c r="P1250" i="2"/>
  <c r="O1250" i="2"/>
  <c r="N1250" i="2"/>
  <c r="M1250" i="2"/>
  <c r="L1250" i="2"/>
  <c r="K1250" i="2"/>
  <c r="J1250" i="2"/>
  <c r="I1250" i="2"/>
  <c r="H1250" i="2"/>
  <c r="G1250" i="2"/>
  <c r="F1250" i="2"/>
  <c r="E1250" i="2"/>
  <c r="U1250" i="2" s="1"/>
  <c r="D1250" i="2"/>
  <c r="C1250" i="2"/>
  <c r="B1250" i="2"/>
  <c r="A1250" i="2"/>
  <c r="R1249" i="2"/>
  <c r="Q1249" i="2"/>
  <c r="P1249" i="2"/>
  <c r="O1249" i="2"/>
  <c r="N1249" i="2"/>
  <c r="M1249" i="2"/>
  <c r="L1249" i="2"/>
  <c r="K1249" i="2"/>
  <c r="J1249" i="2"/>
  <c r="I1249" i="2"/>
  <c r="H1249" i="2"/>
  <c r="G1249" i="2"/>
  <c r="F1249" i="2"/>
  <c r="E1249" i="2"/>
  <c r="U1249" i="2" s="1"/>
  <c r="D1249" i="2"/>
  <c r="C1249" i="2"/>
  <c r="B1249" i="2"/>
  <c r="A1249" i="2"/>
  <c r="U1248" i="2"/>
  <c r="R1248" i="2"/>
  <c r="Q1248" i="2"/>
  <c r="P1248" i="2"/>
  <c r="O1248" i="2"/>
  <c r="N1248" i="2"/>
  <c r="M1248" i="2"/>
  <c r="L1248" i="2"/>
  <c r="K1248" i="2"/>
  <c r="J1248" i="2"/>
  <c r="I1248" i="2"/>
  <c r="H1248" i="2"/>
  <c r="G1248" i="2"/>
  <c r="F1248" i="2"/>
  <c r="E1248" i="2"/>
  <c r="T1248" i="2" s="1"/>
  <c r="D1248" i="2"/>
  <c r="C1248" i="2"/>
  <c r="B1248" i="2"/>
  <c r="A1248" i="2"/>
  <c r="R1247" i="2"/>
  <c r="Q1247" i="2"/>
  <c r="P1247" i="2"/>
  <c r="O1247" i="2"/>
  <c r="N1247" i="2"/>
  <c r="M1247" i="2"/>
  <c r="L1247" i="2"/>
  <c r="K1247" i="2"/>
  <c r="J1247" i="2"/>
  <c r="I1247" i="2"/>
  <c r="H1247" i="2"/>
  <c r="G1247" i="2"/>
  <c r="F1247" i="2"/>
  <c r="E1247" i="2"/>
  <c r="D1247" i="2"/>
  <c r="C1247" i="2"/>
  <c r="B1247" i="2"/>
  <c r="A1247" i="2"/>
  <c r="U1246" i="2"/>
  <c r="T1246" i="2"/>
  <c r="R1246" i="2"/>
  <c r="Q1246" i="2"/>
  <c r="P1246" i="2"/>
  <c r="O1246" i="2"/>
  <c r="N1246" i="2"/>
  <c r="M1246" i="2"/>
  <c r="L1246" i="2"/>
  <c r="K1246" i="2"/>
  <c r="J1246" i="2"/>
  <c r="I1246" i="2"/>
  <c r="H1246" i="2"/>
  <c r="G1246" i="2"/>
  <c r="F1246" i="2"/>
  <c r="E1246" i="2"/>
  <c r="D1246" i="2"/>
  <c r="C1246" i="2"/>
  <c r="B1246" i="2"/>
  <c r="A1246" i="2"/>
  <c r="U1245" i="2"/>
  <c r="T1245" i="2"/>
  <c r="R1245" i="2"/>
  <c r="Q1245" i="2"/>
  <c r="P1245" i="2"/>
  <c r="O1245" i="2"/>
  <c r="N1245" i="2"/>
  <c r="M1245" i="2"/>
  <c r="L1245" i="2"/>
  <c r="K1245" i="2"/>
  <c r="J1245" i="2"/>
  <c r="I1245" i="2"/>
  <c r="H1245" i="2"/>
  <c r="G1245" i="2"/>
  <c r="F1245" i="2"/>
  <c r="E1245" i="2"/>
  <c r="D1245" i="2"/>
  <c r="C1245" i="2"/>
  <c r="B1245" i="2"/>
  <c r="A1245" i="2"/>
  <c r="U1244" i="2"/>
  <c r="T1244" i="2"/>
  <c r="R1244" i="2"/>
  <c r="Q1244" i="2"/>
  <c r="P1244" i="2"/>
  <c r="O1244" i="2"/>
  <c r="N1244" i="2"/>
  <c r="M1244" i="2"/>
  <c r="L1244" i="2"/>
  <c r="K1244" i="2"/>
  <c r="J1244" i="2"/>
  <c r="I1244" i="2"/>
  <c r="H1244" i="2"/>
  <c r="G1244" i="2"/>
  <c r="F1244" i="2"/>
  <c r="E1244" i="2"/>
  <c r="D1244" i="2"/>
  <c r="C1244" i="2"/>
  <c r="B1244" i="2"/>
  <c r="A1244" i="2"/>
  <c r="U1243" i="2"/>
  <c r="T1243" i="2"/>
  <c r="R1243" i="2"/>
  <c r="Q1243" i="2"/>
  <c r="P1243" i="2"/>
  <c r="O1243" i="2"/>
  <c r="N1243" i="2"/>
  <c r="M1243" i="2"/>
  <c r="L1243" i="2"/>
  <c r="K1243" i="2"/>
  <c r="J1243" i="2"/>
  <c r="I1243" i="2"/>
  <c r="H1243" i="2"/>
  <c r="G1243" i="2"/>
  <c r="F1243" i="2"/>
  <c r="E1243" i="2"/>
  <c r="D1243" i="2"/>
  <c r="C1243" i="2"/>
  <c r="B1243" i="2"/>
  <c r="A1243" i="2"/>
  <c r="U1242" i="2"/>
  <c r="T1242" i="2"/>
  <c r="R1242" i="2"/>
  <c r="Q1242" i="2"/>
  <c r="P1242" i="2"/>
  <c r="O1242" i="2"/>
  <c r="N1242" i="2"/>
  <c r="M1242" i="2"/>
  <c r="L1242" i="2"/>
  <c r="K1242" i="2"/>
  <c r="J1242" i="2"/>
  <c r="I1242" i="2"/>
  <c r="H1242" i="2"/>
  <c r="G1242" i="2"/>
  <c r="F1242" i="2"/>
  <c r="E1242" i="2"/>
  <c r="D1242" i="2"/>
  <c r="C1242" i="2"/>
  <c r="B1242" i="2"/>
  <c r="A1242" i="2"/>
  <c r="R1241" i="2"/>
  <c r="Q1241" i="2"/>
  <c r="P1241" i="2"/>
  <c r="O1241" i="2"/>
  <c r="N1241" i="2"/>
  <c r="M1241" i="2"/>
  <c r="L1241" i="2"/>
  <c r="K1241" i="2"/>
  <c r="J1241" i="2"/>
  <c r="I1241" i="2"/>
  <c r="H1241" i="2"/>
  <c r="G1241" i="2"/>
  <c r="F1241" i="2"/>
  <c r="E1241" i="2"/>
  <c r="U1241" i="2" s="1"/>
  <c r="D1241" i="2"/>
  <c r="C1241" i="2"/>
  <c r="B1241" i="2"/>
  <c r="A1241" i="2"/>
  <c r="R1240" i="2"/>
  <c r="Q1240" i="2"/>
  <c r="P1240" i="2"/>
  <c r="O1240" i="2"/>
  <c r="N1240" i="2"/>
  <c r="M1240" i="2"/>
  <c r="L1240" i="2"/>
  <c r="K1240" i="2"/>
  <c r="J1240" i="2"/>
  <c r="I1240" i="2"/>
  <c r="H1240" i="2"/>
  <c r="G1240" i="2"/>
  <c r="F1240" i="2"/>
  <c r="E1240" i="2"/>
  <c r="U1240" i="2" s="1"/>
  <c r="D1240" i="2"/>
  <c r="C1240" i="2"/>
  <c r="B1240" i="2"/>
  <c r="A1240" i="2"/>
  <c r="R1239" i="2"/>
  <c r="Q1239" i="2"/>
  <c r="P1239" i="2"/>
  <c r="O1239" i="2"/>
  <c r="N1239" i="2"/>
  <c r="M1239" i="2"/>
  <c r="L1239" i="2"/>
  <c r="K1239" i="2"/>
  <c r="J1239" i="2"/>
  <c r="I1239" i="2"/>
  <c r="H1239" i="2"/>
  <c r="G1239" i="2"/>
  <c r="F1239" i="2"/>
  <c r="E1239" i="2"/>
  <c r="U1239" i="2" s="1"/>
  <c r="D1239" i="2"/>
  <c r="C1239" i="2"/>
  <c r="B1239" i="2"/>
  <c r="A1239" i="2"/>
  <c r="R1238" i="2"/>
  <c r="Q1238" i="2"/>
  <c r="P1238" i="2"/>
  <c r="O1238" i="2"/>
  <c r="N1238" i="2"/>
  <c r="M1238" i="2"/>
  <c r="L1238" i="2"/>
  <c r="K1238" i="2"/>
  <c r="J1238" i="2"/>
  <c r="I1238" i="2"/>
  <c r="H1238" i="2"/>
  <c r="G1238" i="2"/>
  <c r="F1238" i="2"/>
  <c r="E1238" i="2"/>
  <c r="U1238" i="2" s="1"/>
  <c r="D1238" i="2"/>
  <c r="C1238" i="2"/>
  <c r="B1238" i="2"/>
  <c r="A1238" i="2"/>
  <c r="R1237" i="2"/>
  <c r="Q1237" i="2"/>
  <c r="P1237" i="2"/>
  <c r="O1237" i="2"/>
  <c r="N1237" i="2"/>
  <c r="M1237" i="2"/>
  <c r="L1237" i="2"/>
  <c r="K1237" i="2"/>
  <c r="J1237" i="2"/>
  <c r="I1237" i="2"/>
  <c r="H1237" i="2"/>
  <c r="G1237" i="2"/>
  <c r="F1237" i="2"/>
  <c r="E1237" i="2"/>
  <c r="D1237" i="2"/>
  <c r="C1237" i="2"/>
  <c r="B1237" i="2"/>
  <c r="A1237" i="2"/>
  <c r="R1236" i="2"/>
  <c r="Q1236" i="2"/>
  <c r="P1236" i="2"/>
  <c r="O1236" i="2"/>
  <c r="N1236" i="2"/>
  <c r="M1236" i="2"/>
  <c r="L1236" i="2"/>
  <c r="K1236" i="2"/>
  <c r="J1236" i="2"/>
  <c r="I1236" i="2"/>
  <c r="H1236" i="2"/>
  <c r="G1236" i="2"/>
  <c r="F1236" i="2"/>
  <c r="E1236" i="2"/>
  <c r="U1236" i="2" s="1"/>
  <c r="D1236" i="2"/>
  <c r="C1236" i="2"/>
  <c r="B1236" i="2"/>
  <c r="A1236" i="2"/>
  <c r="R1235" i="2"/>
  <c r="Q1235" i="2"/>
  <c r="P1235" i="2"/>
  <c r="O1235" i="2"/>
  <c r="N1235" i="2"/>
  <c r="M1235" i="2"/>
  <c r="L1235" i="2"/>
  <c r="K1235" i="2"/>
  <c r="J1235" i="2"/>
  <c r="I1235" i="2"/>
  <c r="H1235" i="2"/>
  <c r="G1235" i="2"/>
  <c r="F1235" i="2"/>
  <c r="E1235" i="2"/>
  <c r="U1235" i="2" s="1"/>
  <c r="D1235" i="2"/>
  <c r="C1235" i="2"/>
  <c r="B1235" i="2"/>
  <c r="A1235" i="2"/>
  <c r="R1234" i="2"/>
  <c r="Q1234" i="2"/>
  <c r="P1234" i="2"/>
  <c r="O1234" i="2"/>
  <c r="N1234" i="2"/>
  <c r="M1234" i="2"/>
  <c r="L1234" i="2"/>
  <c r="K1234" i="2"/>
  <c r="J1234" i="2"/>
  <c r="I1234" i="2"/>
  <c r="H1234" i="2"/>
  <c r="G1234" i="2"/>
  <c r="F1234" i="2"/>
  <c r="E1234" i="2"/>
  <c r="U1234" i="2" s="1"/>
  <c r="D1234" i="2"/>
  <c r="C1234" i="2"/>
  <c r="B1234" i="2"/>
  <c r="A1234" i="2"/>
  <c r="U1233" i="2"/>
  <c r="T1233" i="2"/>
  <c r="R1233" i="2"/>
  <c r="Q1233" i="2"/>
  <c r="P1233" i="2"/>
  <c r="O1233" i="2"/>
  <c r="N1233" i="2"/>
  <c r="M1233" i="2"/>
  <c r="L1233" i="2"/>
  <c r="K1233" i="2"/>
  <c r="J1233" i="2"/>
  <c r="I1233" i="2"/>
  <c r="H1233" i="2"/>
  <c r="G1233" i="2"/>
  <c r="F1233" i="2"/>
  <c r="E1233" i="2"/>
  <c r="D1233" i="2"/>
  <c r="C1233" i="2"/>
  <c r="B1233" i="2"/>
  <c r="A1233" i="2"/>
  <c r="R1232" i="2"/>
  <c r="Q1232" i="2"/>
  <c r="P1232" i="2"/>
  <c r="O1232" i="2"/>
  <c r="N1232" i="2"/>
  <c r="M1232" i="2"/>
  <c r="L1232" i="2"/>
  <c r="K1232" i="2"/>
  <c r="J1232" i="2"/>
  <c r="I1232" i="2"/>
  <c r="H1232" i="2"/>
  <c r="G1232" i="2"/>
  <c r="F1232" i="2"/>
  <c r="E1232" i="2"/>
  <c r="D1232" i="2"/>
  <c r="C1232" i="2"/>
  <c r="B1232" i="2"/>
  <c r="A1232" i="2"/>
  <c r="U1231" i="2"/>
  <c r="T1231" i="2"/>
  <c r="R1231" i="2"/>
  <c r="Q1231" i="2"/>
  <c r="P1231" i="2"/>
  <c r="O1231" i="2"/>
  <c r="N1231" i="2"/>
  <c r="M1231" i="2"/>
  <c r="L1231" i="2"/>
  <c r="K1231" i="2"/>
  <c r="J1231" i="2"/>
  <c r="I1231" i="2"/>
  <c r="H1231" i="2"/>
  <c r="G1231" i="2"/>
  <c r="F1231" i="2"/>
  <c r="E1231" i="2"/>
  <c r="D1231" i="2"/>
  <c r="C1231" i="2"/>
  <c r="B1231" i="2"/>
  <c r="A1231" i="2"/>
  <c r="R1230" i="2"/>
  <c r="Q1230" i="2"/>
  <c r="P1230" i="2"/>
  <c r="O1230" i="2"/>
  <c r="N1230" i="2"/>
  <c r="M1230" i="2"/>
  <c r="L1230" i="2"/>
  <c r="K1230" i="2"/>
  <c r="J1230" i="2"/>
  <c r="I1230" i="2"/>
  <c r="H1230" i="2"/>
  <c r="G1230" i="2"/>
  <c r="F1230" i="2"/>
  <c r="E1230" i="2"/>
  <c r="U1230" i="2" s="1"/>
  <c r="D1230" i="2"/>
  <c r="C1230" i="2"/>
  <c r="B1230" i="2"/>
  <c r="A1230" i="2"/>
  <c r="R1229" i="2"/>
  <c r="Q1229" i="2"/>
  <c r="P1229" i="2"/>
  <c r="O1229" i="2"/>
  <c r="N1229" i="2"/>
  <c r="M1229" i="2"/>
  <c r="L1229" i="2"/>
  <c r="K1229" i="2"/>
  <c r="J1229" i="2"/>
  <c r="I1229" i="2"/>
  <c r="H1229" i="2"/>
  <c r="G1229" i="2"/>
  <c r="F1229" i="2"/>
  <c r="E1229" i="2"/>
  <c r="U1229" i="2" s="1"/>
  <c r="D1229" i="2"/>
  <c r="C1229" i="2"/>
  <c r="B1229" i="2"/>
  <c r="A1229" i="2"/>
  <c r="R1228" i="2"/>
  <c r="Q1228" i="2"/>
  <c r="P1228" i="2"/>
  <c r="O1228" i="2"/>
  <c r="N1228" i="2"/>
  <c r="M1228" i="2"/>
  <c r="L1228" i="2"/>
  <c r="K1228" i="2"/>
  <c r="J1228" i="2"/>
  <c r="I1228" i="2"/>
  <c r="H1228" i="2"/>
  <c r="G1228" i="2"/>
  <c r="F1228" i="2"/>
  <c r="E1228" i="2"/>
  <c r="T1228" i="2" s="1"/>
  <c r="D1228" i="2"/>
  <c r="C1228" i="2"/>
  <c r="B1228" i="2"/>
  <c r="A1228" i="2"/>
  <c r="R1227" i="2"/>
  <c r="Q1227" i="2"/>
  <c r="P1227" i="2"/>
  <c r="O1227" i="2"/>
  <c r="N1227" i="2"/>
  <c r="M1227" i="2"/>
  <c r="L1227" i="2"/>
  <c r="K1227" i="2"/>
  <c r="J1227" i="2"/>
  <c r="I1227" i="2"/>
  <c r="H1227" i="2"/>
  <c r="G1227" i="2"/>
  <c r="F1227" i="2"/>
  <c r="E1227" i="2"/>
  <c r="D1227" i="2"/>
  <c r="C1227" i="2"/>
  <c r="B1227" i="2"/>
  <c r="A1227" i="2"/>
  <c r="U1226" i="2"/>
  <c r="T1226" i="2"/>
  <c r="R1226" i="2"/>
  <c r="Q1226" i="2"/>
  <c r="P1226" i="2"/>
  <c r="O1226" i="2"/>
  <c r="N1226" i="2"/>
  <c r="M1226" i="2"/>
  <c r="L1226" i="2"/>
  <c r="K1226" i="2"/>
  <c r="J1226" i="2"/>
  <c r="I1226" i="2"/>
  <c r="H1226" i="2"/>
  <c r="G1226" i="2"/>
  <c r="F1226" i="2"/>
  <c r="E1226" i="2"/>
  <c r="D1226" i="2"/>
  <c r="C1226" i="2"/>
  <c r="B1226" i="2"/>
  <c r="A1226" i="2"/>
  <c r="R1225" i="2"/>
  <c r="Q1225" i="2"/>
  <c r="P1225" i="2"/>
  <c r="O1225" i="2"/>
  <c r="N1225" i="2"/>
  <c r="M1225" i="2"/>
  <c r="L1225" i="2"/>
  <c r="K1225" i="2"/>
  <c r="J1225" i="2"/>
  <c r="I1225" i="2"/>
  <c r="H1225" i="2"/>
  <c r="G1225" i="2"/>
  <c r="F1225" i="2"/>
  <c r="E1225" i="2"/>
  <c r="U1225" i="2" s="1"/>
  <c r="D1225" i="2"/>
  <c r="C1225" i="2"/>
  <c r="B1225" i="2"/>
  <c r="A1225" i="2"/>
  <c r="R1224" i="2"/>
  <c r="Q1224" i="2"/>
  <c r="P1224" i="2"/>
  <c r="O1224" i="2"/>
  <c r="N1224" i="2"/>
  <c r="M1224" i="2"/>
  <c r="L1224" i="2"/>
  <c r="K1224" i="2"/>
  <c r="J1224" i="2"/>
  <c r="I1224" i="2"/>
  <c r="H1224" i="2"/>
  <c r="G1224" i="2"/>
  <c r="F1224" i="2"/>
  <c r="E1224" i="2"/>
  <c r="U1224" i="2" s="1"/>
  <c r="D1224" i="2"/>
  <c r="C1224" i="2"/>
  <c r="B1224" i="2"/>
  <c r="A1224" i="2"/>
  <c r="R1223" i="2"/>
  <c r="Q1223" i="2"/>
  <c r="P1223" i="2"/>
  <c r="O1223" i="2"/>
  <c r="N1223" i="2"/>
  <c r="M1223" i="2"/>
  <c r="L1223" i="2"/>
  <c r="K1223" i="2"/>
  <c r="J1223" i="2"/>
  <c r="I1223" i="2"/>
  <c r="H1223" i="2"/>
  <c r="G1223" i="2"/>
  <c r="F1223" i="2"/>
  <c r="E1223" i="2"/>
  <c r="U1223" i="2" s="1"/>
  <c r="D1223" i="2"/>
  <c r="C1223" i="2"/>
  <c r="B1223" i="2"/>
  <c r="A1223" i="2"/>
  <c r="R1222" i="2"/>
  <c r="Q1222" i="2"/>
  <c r="P1222" i="2"/>
  <c r="O1222" i="2"/>
  <c r="N1222" i="2"/>
  <c r="M1222" i="2"/>
  <c r="L1222" i="2"/>
  <c r="K1222" i="2"/>
  <c r="J1222" i="2"/>
  <c r="I1222" i="2"/>
  <c r="H1222" i="2"/>
  <c r="G1222" i="2"/>
  <c r="F1222" i="2"/>
  <c r="E1222" i="2"/>
  <c r="U1222" i="2" s="1"/>
  <c r="D1222" i="2"/>
  <c r="C1222" i="2"/>
  <c r="B1222" i="2"/>
  <c r="A1222" i="2"/>
  <c r="U1221" i="2"/>
  <c r="T1221" i="2"/>
  <c r="R1221" i="2"/>
  <c r="Q1221" i="2"/>
  <c r="P1221" i="2"/>
  <c r="O1221" i="2"/>
  <c r="N1221" i="2"/>
  <c r="M1221" i="2"/>
  <c r="L1221" i="2"/>
  <c r="K1221" i="2"/>
  <c r="J1221" i="2"/>
  <c r="I1221" i="2"/>
  <c r="H1221" i="2"/>
  <c r="G1221" i="2"/>
  <c r="F1221" i="2"/>
  <c r="E1221" i="2"/>
  <c r="D1221" i="2"/>
  <c r="C1221" i="2"/>
  <c r="B1221" i="2"/>
  <c r="A1221" i="2"/>
  <c r="U1220" i="2"/>
  <c r="T1220" i="2"/>
  <c r="R1220" i="2"/>
  <c r="Q1220" i="2"/>
  <c r="P1220" i="2"/>
  <c r="O1220" i="2"/>
  <c r="N1220" i="2"/>
  <c r="M1220" i="2"/>
  <c r="L1220" i="2"/>
  <c r="K1220" i="2"/>
  <c r="J1220" i="2"/>
  <c r="I1220" i="2"/>
  <c r="H1220" i="2"/>
  <c r="G1220" i="2"/>
  <c r="F1220" i="2"/>
  <c r="E1220" i="2"/>
  <c r="D1220" i="2"/>
  <c r="C1220" i="2"/>
  <c r="B1220" i="2"/>
  <c r="A1220" i="2"/>
  <c r="U1219" i="2"/>
  <c r="R1219" i="2"/>
  <c r="Q1219" i="2"/>
  <c r="P1219" i="2"/>
  <c r="O1219" i="2"/>
  <c r="N1219" i="2"/>
  <c r="M1219" i="2"/>
  <c r="L1219" i="2"/>
  <c r="K1219" i="2"/>
  <c r="J1219" i="2"/>
  <c r="I1219" i="2"/>
  <c r="H1219" i="2"/>
  <c r="G1219" i="2"/>
  <c r="F1219" i="2"/>
  <c r="E1219" i="2"/>
  <c r="T1219" i="2" s="1"/>
  <c r="D1219" i="2"/>
  <c r="C1219" i="2"/>
  <c r="B1219" i="2"/>
  <c r="A1219" i="2"/>
  <c r="R1218" i="2"/>
  <c r="Q1218" i="2"/>
  <c r="P1218" i="2"/>
  <c r="O1218" i="2"/>
  <c r="N1218" i="2"/>
  <c r="M1218" i="2"/>
  <c r="L1218" i="2"/>
  <c r="K1218" i="2"/>
  <c r="J1218" i="2"/>
  <c r="I1218" i="2"/>
  <c r="H1218" i="2"/>
  <c r="G1218" i="2"/>
  <c r="F1218" i="2"/>
  <c r="E1218" i="2"/>
  <c r="U1218" i="2" s="1"/>
  <c r="D1218" i="2"/>
  <c r="C1218" i="2"/>
  <c r="B1218" i="2"/>
  <c r="A1218" i="2"/>
  <c r="R1217" i="2"/>
  <c r="Q1217" i="2"/>
  <c r="P1217" i="2"/>
  <c r="O1217" i="2"/>
  <c r="N1217" i="2"/>
  <c r="M1217" i="2"/>
  <c r="L1217" i="2"/>
  <c r="K1217" i="2"/>
  <c r="J1217" i="2"/>
  <c r="I1217" i="2"/>
  <c r="H1217" i="2"/>
  <c r="G1217" i="2"/>
  <c r="F1217" i="2"/>
  <c r="E1217" i="2"/>
  <c r="D1217" i="2"/>
  <c r="C1217" i="2"/>
  <c r="B1217" i="2"/>
  <c r="A1217" i="2"/>
  <c r="U1216" i="2"/>
  <c r="T1216" i="2"/>
  <c r="R1216" i="2"/>
  <c r="Q1216" i="2"/>
  <c r="P1216" i="2"/>
  <c r="O1216" i="2"/>
  <c r="N1216" i="2"/>
  <c r="M1216" i="2"/>
  <c r="L1216" i="2"/>
  <c r="K1216" i="2"/>
  <c r="J1216" i="2"/>
  <c r="I1216" i="2"/>
  <c r="H1216" i="2"/>
  <c r="G1216" i="2"/>
  <c r="F1216" i="2"/>
  <c r="E1216" i="2"/>
  <c r="D1216" i="2"/>
  <c r="C1216" i="2"/>
  <c r="B1216" i="2"/>
  <c r="A1216" i="2"/>
  <c r="U1215" i="2"/>
  <c r="R1215" i="2"/>
  <c r="Q1215" i="2"/>
  <c r="P1215" i="2"/>
  <c r="O1215" i="2"/>
  <c r="N1215" i="2"/>
  <c r="M1215" i="2"/>
  <c r="L1215" i="2"/>
  <c r="K1215" i="2"/>
  <c r="J1215" i="2"/>
  <c r="I1215" i="2"/>
  <c r="H1215" i="2"/>
  <c r="G1215" i="2"/>
  <c r="F1215" i="2"/>
  <c r="E1215" i="2"/>
  <c r="T1215" i="2" s="1"/>
  <c r="D1215" i="2"/>
  <c r="C1215" i="2"/>
  <c r="B1215" i="2"/>
  <c r="A1215" i="2"/>
  <c r="R1214" i="2"/>
  <c r="Q1214" i="2"/>
  <c r="P1214" i="2"/>
  <c r="O1214" i="2"/>
  <c r="N1214" i="2"/>
  <c r="M1214" i="2"/>
  <c r="L1214" i="2"/>
  <c r="K1214" i="2"/>
  <c r="J1214" i="2"/>
  <c r="I1214" i="2"/>
  <c r="H1214" i="2"/>
  <c r="G1214" i="2"/>
  <c r="F1214" i="2"/>
  <c r="E1214" i="2"/>
  <c r="U1214" i="2" s="1"/>
  <c r="D1214" i="2"/>
  <c r="C1214" i="2"/>
  <c r="B1214" i="2"/>
  <c r="A1214" i="2"/>
  <c r="R1213" i="2"/>
  <c r="Q1213" i="2"/>
  <c r="P1213" i="2"/>
  <c r="O1213" i="2"/>
  <c r="N1213" i="2"/>
  <c r="M1213" i="2"/>
  <c r="L1213" i="2"/>
  <c r="K1213" i="2"/>
  <c r="J1213" i="2"/>
  <c r="I1213" i="2"/>
  <c r="H1213" i="2"/>
  <c r="G1213" i="2"/>
  <c r="F1213" i="2"/>
  <c r="E1213" i="2"/>
  <c r="U1213" i="2" s="1"/>
  <c r="D1213" i="2"/>
  <c r="C1213" i="2"/>
  <c r="B1213" i="2"/>
  <c r="A1213" i="2"/>
  <c r="R1212" i="2"/>
  <c r="Q1212" i="2"/>
  <c r="P1212" i="2"/>
  <c r="O1212" i="2"/>
  <c r="N1212" i="2"/>
  <c r="M1212" i="2"/>
  <c r="L1212" i="2"/>
  <c r="K1212" i="2"/>
  <c r="J1212" i="2"/>
  <c r="I1212" i="2"/>
  <c r="H1212" i="2"/>
  <c r="G1212" i="2"/>
  <c r="F1212" i="2"/>
  <c r="E1212" i="2"/>
  <c r="D1212" i="2"/>
  <c r="C1212" i="2"/>
  <c r="B1212" i="2"/>
  <c r="A1212" i="2"/>
  <c r="R1211" i="2"/>
  <c r="Q1211" i="2"/>
  <c r="P1211" i="2"/>
  <c r="O1211" i="2"/>
  <c r="N1211" i="2"/>
  <c r="M1211" i="2"/>
  <c r="L1211" i="2"/>
  <c r="K1211" i="2"/>
  <c r="J1211" i="2"/>
  <c r="I1211" i="2"/>
  <c r="H1211" i="2"/>
  <c r="G1211" i="2"/>
  <c r="F1211" i="2"/>
  <c r="E1211" i="2"/>
  <c r="U1211" i="2" s="1"/>
  <c r="D1211" i="2"/>
  <c r="C1211" i="2"/>
  <c r="B1211" i="2"/>
  <c r="A1211" i="2"/>
  <c r="R1210" i="2"/>
  <c r="Q1210" i="2"/>
  <c r="P1210" i="2"/>
  <c r="O1210" i="2"/>
  <c r="N1210" i="2"/>
  <c r="M1210" i="2"/>
  <c r="L1210" i="2"/>
  <c r="K1210" i="2"/>
  <c r="J1210" i="2"/>
  <c r="I1210" i="2"/>
  <c r="H1210" i="2"/>
  <c r="G1210" i="2"/>
  <c r="F1210" i="2"/>
  <c r="E1210" i="2"/>
  <c r="U1210" i="2" s="1"/>
  <c r="D1210" i="2"/>
  <c r="C1210" i="2"/>
  <c r="B1210" i="2"/>
  <c r="A1210" i="2"/>
  <c r="R1209" i="2"/>
  <c r="Q1209" i="2"/>
  <c r="P1209" i="2"/>
  <c r="O1209" i="2"/>
  <c r="N1209" i="2"/>
  <c r="M1209" i="2"/>
  <c r="L1209" i="2"/>
  <c r="K1209" i="2"/>
  <c r="J1209" i="2"/>
  <c r="I1209" i="2"/>
  <c r="H1209" i="2"/>
  <c r="G1209" i="2"/>
  <c r="F1209" i="2"/>
  <c r="E1209" i="2"/>
  <c r="U1209" i="2" s="1"/>
  <c r="D1209" i="2"/>
  <c r="C1209" i="2"/>
  <c r="B1209" i="2"/>
  <c r="A1209" i="2"/>
  <c r="U1208" i="2"/>
  <c r="R1208" i="2"/>
  <c r="Q1208" i="2"/>
  <c r="P1208" i="2"/>
  <c r="O1208" i="2"/>
  <c r="N1208" i="2"/>
  <c r="M1208" i="2"/>
  <c r="L1208" i="2"/>
  <c r="K1208" i="2"/>
  <c r="J1208" i="2"/>
  <c r="I1208" i="2"/>
  <c r="H1208" i="2"/>
  <c r="G1208" i="2"/>
  <c r="F1208" i="2"/>
  <c r="E1208" i="2"/>
  <c r="T1208" i="2" s="1"/>
  <c r="D1208" i="2"/>
  <c r="C1208" i="2"/>
  <c r="B1208" i="2"/>
  <c r="A1208" i="2"/>
  <c r="R1207" i="2"/>
  <c r="Q1207" i="2"/>
  <c r="P1207" i="2"/>
  <c r="O1207" i="2"/>
  <c r="N1207" i="2"/>
  <c r="M1207" i="2"/>
  <c r="L1207" i="2"/>
  <c r="K1207" i="2"/>
  <c r="J1207" i="2"/>
  <c r="I1207" i="2"/>
  <c r="H1207" i="2"/>
  <c r="G1207" i="2"/>
  <c r="F1207" i="2"/>
  <c r="E1207" i="2"/>
  <c r="D1207" i="2"/>
  <c r="C1207" i="2"/>
  <c r="B1207" i="2"/>
  <c r="A1207" i="2"/>
  <c r="U1206" i="2"/>
  <c r="T1206" i="2"/>
  <c r="R1206" i="2"/>
  <c r="Q1206" i="2"/>
  <c r="P1206" i="2"/>
  <c r="O1206" i="2"/>
  <c r="N1206" i="2"/>
  <c r="M1206" i="2"/>
  <c r="L1206" i="2"/>
  <c r="K1206" i="2"/>
  <c r="J1206" i="2"/>
  <c r="I1206" i="2"/>
  <c r="H1206" i="2"/>
  <c r="G1206" i="2"/>
  <c r="F1206" i="2"/>
  <c r="E1206" i="2"/>
  <c r="D1206" i="2"/>
  <c r="C1206" i="2"/>
  <c r="B1206" i="2"/>
  <c r="A1206" i="2"/>
  <c r="U1205" i="2"/>
  <c r="T1205" i="2"/>
  <c r="R1205" i="2"/>
  <c r="Q1205" i="2"/>
  <c r="P1205" i="2"/>
  <c r="O1205" i="2"/>
  <c r="N1205" i="2"/>
  <c r="M1205" i="2"/>
  <c r="L1205" i="2"/>
  <c r="K1205" i="2"/>
  <c r="J1205" i="2"/>
  <c r="I1205" i="2"/>
  <c r="H1205" i="2"/>
  <c r="G1205" i="2"/>
  <c r="F1205" i="2"/>
  <c r="E1205" i="2"/>
  <c r="D1205" i="2"/>
  <c r="C1205" i="2"/>
  <c r="B1205" i="2"/>
  <c r="A1205" i="2"/>
  <c r="U1204" i="2"/>
  <c r="R1204" i="2"/>
  <c r="Q1204" i="2"/>
  <c r="P1204" i="2"/>
  <c r="O1204" i="2"/>
  <c r="N1204" i="2"/>
  <c r="M1204" i="2"/>
  <c r="L1204" i="2"/>
  <c r="K1204" i="2"/>
  <c r="J1204" i="2"/>
  <c r="I1204" i="2"/>
  <c r="H1204" i="2"/>
  <c r="G1204" i="2"/>
  <c r="F1204" i="2"/>
  <c r="E1204" i="2"/>
  <c r="T1204" i="2" s="1"/>
  <c r="D1204" i="2"/>
  <c r="C1204" i="2"/>
  <c r="B1204" i="2"/>
  <c r="A1204" i="2"/>
  <c r="R1203" i="2"/>
  <c r="Q1203" i="2"/>
  <c r="P1203" i="2"/>
  <c r="O1203" i="2"/>
  <c r="N1203" i="2"/>
  <c r="M1203" i="2"/>
  <c r="L1203" i="2"/>
  <c r="K1203" i="2"/>
  <c r="J1203" i="2"/>
  <c r="I1203" i="2"/>
  <c r="H1203" i="2"/>
  <c r="G1203" i="2"/>
  <c r="F1203" i="2"/>
  <c r="E1203" i="2"/>
  <c r="U1203" i="2" s="1"/>
  <c r="D1203" i="2"/>
  <c r="C1203" i="2"/>
  <c r="B1203" i="2"/>
  <c r="A1203" i="2"/>
  <c r="R1202" i="2"/>
  <c r="Q1202" i="2"/>
  <c r="P1202" i="2"/>
  <c r="O1202" i="2"/>
  <c r="N1202" i="2"/>
  <c r="M1202" i="2"/>
  <c r="L1202" i="2"/>
  <c r="K1202" i="2"/>
  <c r="J1202" i="2"/>
  <c r="I1202" i="2"/>
  <c r="H1202" i="2"/>
  <c r="G1202" i="2"/>
  <c r="F1202" i="2"/>
  <c r="E1202" i="2"/>
  <c r="U1202" i="2" s="1"/>
  <c r="D1202" i="2"/>
  <c r="C1202" i="2"/>
  <c r="B1202" i="2"/>
  <c r="A1202" i="2"/>
  <c r="R1201" i="2"/>
  <c r="Q1201" i="2"/>
  <c r="P1201" i="2"/>
  <c r="O1201" i="2"/>
  <c r="N1201" i="2"/>
  <c r="M1201" i="2"/>
  <c r="L1201" i="2"/>
  <c r="K1201" i="2"/>
  <c r="J1201" i="2"/>
  <c r="I1201" i="2"/>
  <c r="H1201" i="2"/>
  <c r="G1201" i="2"/>
  <c r="F1201" i="2"/>
  <c r="E1201" i="2"/>
  <c r="U1201" i="2" s="1"/>
  <c r="D1201" i="2"/>
  <c r="C1201" i="2"/>
  <c r="B1201" i="2"/>
  <c r="A1201" i="2"/>
  <c r="R1200" i="2"/>
  <c r="Q1200" i="2"/>
  <c r="P1200" i="2"/>
  <c r="O1200" i="2"/>
  <c r="N1200" i="2"/>
  <c r="M1200" i="2"/>
  <c r="L1200" i="2"/>
  <c r="K1200" i="2"/>
  <c r="J1200" i="2"/>
  <c r="I1200" i="2"/>
  <c r="H1200" i="2"/>
  <c r="G1200" i="2"/>
  <c r="F1200" i="2"/>
  <c r="E1200" i="2"/>
  <c r="U1200" i="2" s="1"/>
  <c r="D1200" i="2"/>
  <c r="C1200" i="2"/>
  <c r="B1200" i="2"/>
  <c r="A1200" i="2"/>
  <c r="U1199" i="2"/>
  <c r="T1199" i="2"/>
  <c r="R1199" i="2"/>
  <c r="Q1199" i="2"/>
  <c r="P1199" i="2"/>
  <c r="O1199" i="2"/>
  <c r="N1199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A1199" i="2"/>
  <c r="T1198" i="2"/>
  <c r="R1198" i="2"/>
  <c r="Q1198" i="2"/>
  <c r="P1198" i="2"/>
  <c r="O1198" i="2"/>
  <c r="N1198" i="2"/>
  <c r="M1198" i="2"/>
  <c r="L1198" i="2"/>
  <c r="K1198" i="2"/>
  <c r="J1198" i="2"/>
  <c r="I1198" i="2"/>
  <c r="H1198" i="2"/>
  <c r="G1198" i="2"/>
  <c r="F1198" i="2"/>
  <c r="E1198" i="2"/>
  <c r="U1198" i="2" s="1"/>
  <c r="D1198" i="2"/>
  <c r="C1198" i="2"/>
  <c r="B1198" i="2"/>
  <c r="A1198" i="2"/>
  <c r="R1197" i="2"/>
  <c r="Q1197" i="2"/>
  <c r="P1197" i="2"/>
  <c r="O1197" i="2"/>
  <c r="N1197" i="2"/>
  <c r="M1197" i="2"/>
  <c r="L1197" i="2"/>
  <c r="K1197" i="2"/>
  <c r="J1197" i="2"/>
  <c r="I1197" i="2"/>
  <c r="H1197" i="2"/>
  <c r="G1197" i="2"/>
  <c r="F1197" i="2"/>
  <c r="E1197" i="2"/>
  <c r="D1197" i="2"/>
  <c r="C1197" i="2"/>
  <c r="B1197" i="2"/>
  <c r="A1197" i="2"/>
  <c r="R1196" i="2"/>
  <c r="Q1196" i="2"/>
  <c r="P1196" i="2"/>
  <c r="O1196" i="2"/>
  <c r="N1196" i="2"/>
  <c r="M1196" i="2"/>
  <c r="L1196" i="2"/>
  <c r="K1196" i="2"/>
  <c r="J1196" i="2"/>
  <c r="I1196" i="2"/>
  <c r="H1196" i="2"/>
  <c r="G1196" i="2"/>
  <c r="F1196" i="2"/>
  <c r="E1196" i="2"/>
  <c r="U1196" i="2" s="1"/>
  <c r="D1196" i="2"/>
  <c r="C1196" i="2"/>
  <c r="B1196" i="2"/>
  <c r="A1196" i="2"/>
  <c r="U1195" i="2"/>
  <c r="T1195" i="2"/>
  <c r="R1195" i="2"/>
  <c r="Q1195" i="2"/>
  <c r="P1195" i="2"/>
  <c r="O1195" i="2"/>
  <c r="N1195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A1195" i="2"/>
  <c r="U1194" i="2"/>
  <c r="T1194" i="2"/>
  <c r="R1194" i="2"/>
  <c r="Q1194" i="2"/>
  <c r="P1194" i="2"/>
  <c r="O1194" i="2"/>
  <c r="N1194" i="2"/>
  <c r="M1194" i="2"/>
  <c r="L1194" i="2"/>
  <c r="K1194" i="2"/>
  <c r="J1194" i="2"/>
  <c r="I1194" i="2"/>
  <c r="H1194" i="2"/>
  <c r="G1194" i="2"/>
  <c r="F1194" i="2"/>
  <c r="E1194" i="2"/>
  <c r="D1194" i="2"/>
  <c r="C1194" i="2"/>
  <c r="B1194" i="2"/>
  <c r="A1194" i="2"/>
  <c r="U1193" i="2"/>
  <c r="T1193" i="2"/>
  <c r="R1193" i="2"/>
  <c r="Q1193" i="2"/>
  <c r="P1193" i="2"/>
  <c r="O1193" i="2"/>
  <c r="N1193" i="2"/>
  <c r="M1193" i="2"/>
  <c r="L1193" i="2"/>
  <c r="K1193" i="2"/>
  <c r="J1193" i="2"/>
  <c r="I1193" i="2"/>
  <c r="H1193" i="2"/>
  <c r="G1193" i="2"/>
  <c r="F1193" i="2"/>
  <c r="E1193" i="2"/>
  <c r="D1193" i="2"/>
  <c r="C1193" i="2"/>
  <c r="B1193" i="2"/>
  <c r="A1193" i="2"/>
  <c r="T1192" i="2"/>
  <c r="R1192" i="2"/>
  <c r="Q1192" i="2"/>
  <c r="P1192" i="2"/>
  <c r="O1192" i="2"/>
  <c r="N1192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A1192" i="2"/>
  <c r="U1191" i="2"/>
  <c r="T1191" i="2"/>
  <c r="R1191" i="2"/>
  <c r="Q1191" i="2"/>
  <c r="P1191" i="2"/>
  <c r="O1191" i="2"/>
  <c r="N1191" i="2"/>
  <c r="M1191" i="2"/>
  <c r="L1191" i="2"/>
  <c r="K1191" i="2"/>
  <c r="J1191" i="2"/>
  <c r="I1191" i="2"/>
  <c r="H1191" i="2"/>
  <c r="G1191" i="2"/>
  <c r="F1191" i="2"/>
  <c r="E1191" i="2"/>
  <c r="D1191" i="2"/>
  <c r="C1191" i="2"/>
  <c r="B1191" i="2"/>
  <c r="A1191" i="2"/>
  <c r="R1190" i="2"/>
  <c r="Q1190" i="2"/>
  <c r="P1190" i="2"/>
  <c r="O1190" i="2"/>
  <c r="N1190" i="2"/>
  <c r="M1190" i="2"/>
  <c r="L1190" i="2"/>
  <c r="K1190" i="2"/>
  <c r="J1190" i="2"/>
  <c r="I1190" i="2"/>
  <c r="H1190" i="2"/>
  <c r="G1190" i="2"/>
  <c r="F1190" i="2"/>
  <c r="E1190" i="2"/>
  <c r="U1190" i="2" s="1"/>
  <c r="D1190" i="2"/>
  <c r="C1190" i="2"/>
  <c r="B1190" i="2"/>
  <c r="A1190" i="2"/>
  <c r="R1189" i="2"/>
  <c r="Q1189" i="2"/>
  <c r="P1189" i="2"/>
  <c r="O1189" i="2"/>
  <c r="N1189" i="2"/>
  <c r="M1189" i="2"/>
  <c r="L1189" i="2"/>
  <c r="K1189" i="2"/>
  <c r="J1189" i="2"/>
  <c r="I1189" i="2"/>
  <c r="H1189" i="2"/>
  <c r="G1189" i="2"/>
  <c r="F1189" i="2"/>
  <c r="E1189" i="2"/>
  <c r="U1189" i="2" s="1"/>
  <c r="D1189" i="2"/>
  <c r="C1189" i="2"/>
  <c r="B1189" i="2"/>
  <c r="A1189" i="2"/>
  <c r="R1188" i="2"/>
  <c r="Q1188" i="2"/>
  <c r="P1188" i="2"/>
  <c r="O1188" i="2"/>
  <c r="N1188" i="2"/>
  <c r="M1188" i="2"/>
  <c r="L1188" i="2"/>
  <c r="K1188" i="2"/>
  <c r="J1188" i="2"/>
  <c r="I1188" i="2"/>
  <c r="H1188" i="2"/>
  <c r="G1188" i="2"/>
  <c r="F1188" i="2"/>
  <c r="E1188" i="2"/>
  <c r="T1188" i="2" s="1"/>
  <c r="D1188" i="2"/>
  <c r="C1188" i="2"/>
  <c r="B1188" i="2"/>
  <c r="A1188" i="2"/>
  <c r="R1187" i="2"/>
  <c r="Q1187" i="2"/>
  <c r="P1187" i="2"/>
  <c r="O1187" i="2"/>
  <c r="N1187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A1187" i="2"/>
  <c r="U1186" i="2"/>
  <c r="R1186" i="2"/>
  <c r="Q1186" i="2"/>
  <c r="P1186" i="2"/>
  <c r="O1186" i="2"/>
  <c r="N1186" i="2"/>
  <c r="M1186" i="2"/>
  <c r="L1186" i="2"/>
  <c r="K1186" i="2"/>
  <c r="J1186" i="2"/>
  <c r="I1186" i="2"/>
  <c r="H1186" i="2"/>
  <c r="G1186" i="2"/>
  <c r="F1186" i="2"/>
  <c r="E1186" i="2"/>
  <c r="T1186" i="2" s="1"/>
  <c r="D1186" i="2"/>
  <c r="C1186" i="2"/>
  <c r="B1186" i="2"/>
  <c r="A1186" i="2"/>
  <c r="R1185" i="2"/>
  <c r="Q1185" i="2"/>
  <c r="P1185" i="2"/>
  <c r="O1185" i="2"/>
  <c r="N1185" i="2"/>
  <c r="M1185" i="2"/>
  <c r="L1185" i="2"/>
  <c r="K1185" i="2"/>
  <c r="J1185" i="2"/>
  <c r="I1185" i="2"/>
  <c r="H1185" i="2"/>
  <c r="G1185" i="2"/>
  <c r="F1185" i="2"/>
  <c r="E1185" i="2"/>
  <c r="U1185" i="2" s="1"/>
  <c r="D1185" i="2"/>
  <c r="C1185" i="2"/>
  <c r="B1185" i="2"/>
  <c r="A1185" i="2"/>
  <c r="R1184" i="2"/>
  <c r="Q1184" i="2"/>
  <c r="P1184" i="2"/>
  <c r="O1184" i="2"/>
  <c r="N1184" i="2"/>
  <c r="M1184" i="2"/>
  <c r="L1184" i="2"/>
  <c r="K1184" i="2"/>
  <c r="J1184" i="2"/>
  <c r="I1184" i="2"/>
  <c r="H1184" i="2"/>
  <c r="G1184" i="2"/>
  <c r="F1184" i="2"/>
  <c r="E1184" i="2"/>
  <c r="U1184" i="2" s="1"/>
  <c r="D1184" i="2"/>
  <c r="C1184" i="2"/>
  <c r="B1184" i="2"/>
  <c r="A1184" i="2"/>
  <c r="T1183" i="2"/>
  <c r="R1183" i="2"/>
  <c r="Q1183" i="2"/>
  <c r="P1183" i="2"/>
  <c r="O1183" i="2"/>
  <c r="N1183" i="2"/>
  <c r="M1183" i="2"/>
  <c r="L1183" i="2"/>
  <c r="K1183" i="2"/>
  <c r="J1183" i="2"/>
  <c r="I1183" i="2"/>
  <c r="H1183" i="2"/>
  <c r="G1183" i="2"/>
  <c r="F1183" i="2"/>
  <c r="E1183" i="2"/>
  <c r="U1183" i="2" s="1"/>
  <c r="D1183" i="2"/>
  <c r="C1183" i="2"/>
  <c r="B1183" i="2"/>
  <c r="A1183" i="2"/>
  <c r="R1182" i="2"/>
  <c r="Q1182" i="2"/>
  <c r="P1182" i="2"/>
  <c r="O1182" i="2"/>
  <c r="N1182" i="2"/>
  <c r="M1182" i="2"/>
  <c r="L1182" i="2"/>
  <c r="K1182" i="2"/>
  <c r="J1182" i="2"/>
  <c r="I1182" i="2"/>
  <c r="H1182" i="2"/>
  <c r="G1182" i="2"/>
  <c r="F1182" i="2"/>
  <c r="E1182" i="2"/>
  <c r="U1182" i="2" s="1"/>
  <c r="D1182" i="2"/>
  <c r="C1182" i="2"/>
  <c r="B1182" i="2"/>
  <c r="A1182" i="2"/>
  <c r="R1181" i="2"/>
  <c r="Q1181" i="2"/>
  <c r="P1181" i="2"/>
  <c r="O1181" i="2"/>
  <c r="N1181" i="2"/>
  <c r="M1181" i="2"/>
  <c r="L1181" i="2"/>
  <c r="K1181" i="2"/>
  <c r="J1181" i="2"/>
  <c r="I1181" i="2"/>
  <c r="H1181" i="2"/>
  <c r="G1181" i="2"/>
  <c r="F1181" i="2"/>
  <c r="E1181" i="2"/>
  <c r="U1181" i="2" s="1"/>
  <c r="D1181" i="2"/>
  <c r="C1181" i="2"/>
  <c r="B1181" i="2"/>
  <c r="A1181" i="2"/>
  <c r="U1180" i="2"/>
  <c r="T1180" i="2"/>
  <c r="R1180" i="2"/>
  <c r="Q1180" i="2"/>
  <c r="P1180" i="2"/>
  <c r="O1180" i="2"/>
  <c r="N1180" i="2"/>
  <c r="M1180" i="2"/>
  <c r="L1180" i="2"/>
  <c r="K1180" i="2"/>
  <c r="J1180" i="2"/>
  <c r="I1180" i="2"/>
  <c r="H1180" i="2"/>
  <c r="G1180" i="2"/>
  <c r="F1180" i="2"/>
  <c r="E1180" i="2"/>
  <c r="D1180" i="2"/>
  <c r="C1180" i="2"/>
  <c r="B1180" i="2"/>
  <c r="A1180" i="2"/>
  <c r="U1179" i="2"/>
  <c r="T1179" i="2"/>
  <c r="R1179" i="2"/>
  <c r="Q1179" i="2"/>
  <c r="P1179" i="2"/>
  <c r="O1179" i="2"/>
  <c r="N1179" i="2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A1179" i="2"/>
  <c r="R1178" i="2"/>
  <c r="Q1178" i="2"/>
  <c r="P1178" i="2"/>
  <c r="O1178" i="2"/>
  <c r="N1178" i="2"/>
  <c r="M1178" i="2"/>
  <c r="L1178" i="2"/>
  <c r="K1178" i="2"/>
  <c r="J1178" i="2"/>
  <c r="I1178" i="2"/>
  <c r="H1178" i="2"/>
  <c r="G1178" i="2"/>
  <c r="F1178" i="2"/>
  <c r="E1178" i="2"/>
  <c r="U1178" i="2" s="1"/>
  <c r="D1178" i="2"/>
  <c r="C1178" i="2"/>
  <c r="B1178" i="2"/>
  <c r="A1178" i="2"/>
  <c r="R1177" i="2"/>
  <c r="Q1177" i="2"/>
  <c r="P1177" i="2"/>
  <c r="O1177" i="2"/>
  <c r="N1177" i="2"/>
  <c r="M1177" i="2"/>
  <c r="L1177" i="2"/>
  <c r="K1177" i="2"/>
  <c r="J1177" i="2"/>
  <c r="I1177" i="2"/>
  <c r="H1177" i="2"/>
  <c r="G1177" i="2"/>
  <c r="F1177" i="2"/>
  <c r="E1177" i="2"/>
  <c r="D1177" i="2"/>
  <c r="C1177" i="2"/>
  <c r="B1177" i="2"/>
  <c r="A1177" i="2"/>
  <c r="R1176" i="2"/>
  <c r="Q1176" i="2"/>
  <c r="P1176" i="2"/>
  <c r="O1176" i="2"/>
  <c r="N1176" i="2"/>
  <c r="M1176" i="2"/>
  <c r="L1176" i="2"/>
  <c r="K1176" i="2"/>
  <c r="J1176" i="2"/>
  <c r="I1176" i="2"/>
  <c r="H1176" i="2"/>
  <c r="G1176" i="2"/>
  <c r="F1176" i="2"/>
  <c r="E1176" i="2"/>
  <c r="T1176" i="2" s="1"/>
  <c r="D1176" i="2"/>
  <c r="C1176" i="2"/>
  <c r="B1176" i="2"/>
  <c r="A1176" i="2"/>
  <c r="R1175" i="2"/>
  <c r="Q1175" i="2"/>
  <c r="P1175" i="2"/>
  <c r="O1175" i="2"/>
  <c r="N1175" i="2"/>
  <c r="M1175" i="2"/>
  <c r="L1175" i="2"/>
  <c r="K1175" i="2"/>
  <c r="J1175" i="2"/>
  <c r="I1175" i="2"/>
  <c r="H1175" i="2"/>
  <c r="G1175" i="2"/>
  <c r="F1175" i="2"/>
  <c r="E1175" i="2"/>
  <c r="U1175" i="2" s="1"/>
  <c r="D1175" i="2"/>
  <c r="C1175" i="2"/>
  <c r="B1175" i="2"/>
  <c r="A1175" i="2"/>
  <c r="R1174" i="2"/>
  <c r="Q1174" i="2"/>
  <c r="P1174" i="2"/>
  <c r="O1174" i="2"/>
  <c r="N1174" i="2"/>
  <c r="M1174" i="2"/>
  <c r="L1174" i="2"/>
  <c r="K1174" i="2"/>
  <c r="J1174" i="2"/>
  <c r="I1174" i="2"/>
  <c r="H1174" i="2"/>
  <c r="G1174" i="2"/>
  <c r="F1174" i="2"/>
  <c r="E1174" i="2"/>
  <c r="U1174" i="2" s="1"/>
  <c r="D1174" i="2"/>
  <c r="C1174" i="2"/>
  <c r="B1174" i="2"/>
  <c r="A1174" i="2"/>
  <c r="U1173" i="2"/>
  <c r="T1173" i="2"/>
  <c r="R1173" i="2"/>
  <c r="Q1173" i="2"/>
  <c r="P1173" i="2"/>
  <c r="O1173" i="2"/>
  <c r="N1173" i="2"/>
  <c r="M1173" i="2"/>
  <c r="L1173" i="2"/>
  <c r="K1173" i="2"/>
  <c r="J1173" i="2"/>
  <c r="I1173" i="2"/>
  <c r="H1173" i="2"/>
  <c r="G1173" i="2"/>
  <c r="F1173" i="2"/>
  <c r="E1173" i="2"/>
  <c r="D1173" i="2"/>
  <c r="C1173" i="2"/>
  <c r="B1173" i="2"/>
  <c r="A1173" i="2"/>
  <c r="R1172" i="2"/>
  <c r="Q1172" i="2"/>
  <c r="P1172" i="2"/>
  <c r="O1172" i="2"/>
  <c r="N1172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A1172" i="2"/>
  <c r="U1171" i="2"/>
  <c r="T1171" i="2"/>
  <c r="R1171" i="2"/>
  <c r="Q1171" i="2"/>
  <c r="P1171" i="2"/>
  <c r="O1171" i="2"/>
  <c r="N1171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A1171" i="2"/>
  <c r="R1170" i="2"/>
  <c r="Q1170" i="2"/>
  <c r="P1170" i="2"/>
  <c r="O1170" i="2"/>
  <c r="N1170" i="2"/>
  <c r="M1170" i="2"/>
  <c r="L1170" i="2"/>
  <c r="K1170" i="2"/>
  <c r="J1170" i="2"/>
  <c r="I1170" i="2"/>
  <c r="H1170" i="2"/>
  <c r="G1170" i="2"/>
  <c r="F1170" i="2"/>
  <c r="E1170" i="2"/>
  <c r="U1170" i="2" s="1"/>
  <c r="D1170" i="2"/>
  <c r="C1170" i="2"/>
  <c r="B1170" i="2"/>
  <c r="A1170" i="2"/>
  <c r="R1169" i="2"/>
  <c r="Q1169" i="2"/>
  <c r="P1169" i="2"/>
  <c r="O1169" i="2"/>
  <c r="N1169" i="2"/>
  <c r="M1169" i="2"/>
  <c r="L1169" i="2"/>
  <c r="K1169" i="2"/>
  <c r="J1169" i="2"/>
  <c r="I1169" i="2"/>
  <c r="H1169" i="2"/>
  <c r="G1169" i="2"/>
  <c r="F1169" i="2"/>
  <c r="E1169" i="2"/>
  <c r="U1169" i="2" s="1"/>
  <c r="D1169" i="2"/>
  <c r="C1169" i="2"/>
  <c r="B1169" i="2"/>
  <c r="A1169" i="2"/>
  <c r="R1168" i="2"/>
  <c r="Q1168" i="2"/>
  <c r="P1168" i="2"/>
  <c r="O1168" i="2"/>
  <c r="N1168" i="2"/>
  <c r="M1168" i="2"/>
  <c r="L1168" i="2"/>
  <c r="K1168" i="2"/>
  <c r="J1168" i="2"/>
  <c r="I1168" i="2"/>
  <c r="H1168" i="2"/>
  <c r="G1168" i="2"/>
  <c r="F1168" i="2"/>
  <c r="E1168" i="2"/>
  <c r="T1168" i="2" s="1"/>
  <c r="D1168" i="2"/>
  <c r="C1168" i="2"/>
  <c r="B1168" i="2"/>
  <c r="A1168" i="2"/>
  <c r="R1167" i="2"/>
  <c r="Q1167" i="2"/>
  <c r="P1167" i="2"/>
  <c r="O1167" i="2"/>
  <c r="N1167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A1167" i="2"/>
  <c r="R1166" i="2"/>
  <c r="Q1166" i="2"/>
  <c r="P1166" i="2"/>
  <c r="O1166" i="2"/>
  <c r="N1166" i="2"/>
  <c r="M1166" i="2"/>
  <c r="L1166" i="2"/>
  <c r="K1166" i="2"/>
  <c r="J1166" i="2"/>
  <c r="I1166" i="2"/>
  <c r="H1166" i="2"/>
  <c r="G1166" i="2"/>
  <c r="F1166" i="2"/>
  <c r="E1166" i="2"/>
  <c r="U1166" i="2" s="1"/>
  <c r="D1166" i="2"/>
  <c r="C1166" i="2"/>
  <c r="B1166" i="2"/>
  <c r="A1166" i="2"/>
  <c r="R1165" i="2"/>
  <c r="Q1165" i="2"/>
  <c r="P1165" i="2"/>
  <c r="O1165" i="2"/>
  <c r="N1165" i="2"/>
  <c r="M1165" i="2"/>
  <c r="L1165" i="2"/>
  <c r="K1165" i="2"/>
  <c r="J1165" i="2"/>
  <c r="I1165" i="2"/>
  <c r="H1165" i="2"/>
  <c r="G1165" i="2"/>
  <c r="F1165" i="2"/>
  <c r="E1165" i="2"/>
  <c r="U1165" i="2" s="1"/>
  <c r="D1165" i="2"/>
  <c r="C1165" i="2"/>
  <c r="B1165" i="2"/>
  <c r="A1165" i="2"/>
  <c r="T1164" i="2"/>
  <c r="R1164" i="2"/>
  <c r="Q1164" i="2"/>
  <c r="P1164" i="2"/>
  <c r="O1164" i="2"/>
  <c r="N1164" i="2"/>
  <c r="M1164" i="2"/>
  <c r="L1164" i="2"/>
  <c r="K1164" i="2"/>
  <c r="J1164" i="2"/>
  <c r="I1164" i="2"/>
  <c r="H1164" i="2"/>
  <c r="G1164" i="2"/>
  <c r="F1164" i="2"/>
  <c r="E1164" i="2"/>
  <c r="U1164" i="2" s="1"/>
  <c r="D1164" i="2"/>
  <c r="C1164" i="2"/>
  <c r="B1164" i="2"/>
  <c r="A1164" i="2"/>
  <c r="R1163" i="2"/>
  <c r="Q1163" i="2"/>
  <c r="P1163" i="2"/>
  <c r="O1163" i="2"/>
  <c r="N1163" i="2"/>
  <c r="M1163" i="2"/>
  <c r="L1163" i="2"/>
  <c r="K1163" i="2"/>
  <c r="J1163" i="2"/>
  <c r="I1163" i="2"/>
  <c r="H1163" i="2"/>
  <c r="G1163" i="2"/>
  <c r="F1163" i="2"/>
  <c r="E1163" i="2"/>
  <c r="U1163" i="2" s="1"/>
  <c r="D1163" i="2"/>
  <c r="C1163" i="2"/>
  <c r="B1163" i="2"/>
  <c r="A1163" i="2"/>
  <c r="R1162" i="2"/>
  <c r="Q1162" i="2"/>
  <c r="P1162" i="2"/>
  <c r="O1162" i="2"/>
  <c r="N1162" i="2"/>
  <c r="M1162" i="2"/>
  <c r="L1162" i="2"/>
  <c r="K1162" i="2"/>
  <c r="J1162" i="2"/>
  <c r="I1162" i="2"/>
  <c r="H1162" i="2"/>
  <c r="G1162" i="2"/>
  <c r="F1162" i="2"/>
  <c r="E1162" i="2"/>
  <c r="U1162" i="2" s="1"/>
  <c r="D1162" i="2"/>
  <c r="C1162" i="2"/>
  <c r="B1162" i="2"/>
  <c r="A1162" i="2"/>
  <c r="U1161" i="2"/>
  <c r="T1161" i="2"/>
  <c r="R1161" i="2"/>
  <c r="Q1161" i="2"/>
  <c r="P1161" i="2"/>
  <c r="O1161" i="2"/>
  <c r="N1161" i="2"/>
  <c r="M1161" i="2"/>
  <c r="L1161" i="2"/>
  <c r="K1161" i="2"/>
  <c r="J1161" i="2"/>
  <c r="I1161" i="2"/>
  <c r="H1161" i="2"/>
  <c r="G1161" i="2"/>
  <c r="F1161" i="2"/>
  <c r="E1161" i="2"/>
  <c r="D1161" i="2"/>
  <c r="C1161" i="2"/>
  <c r="B1161" i="2"/>
  <c r="A1161" i="2"/>
  <c r="U1160" i="2"/>
  <c r="T1160" i="2"/>
  <c r="R1160" i="2"/>
  <c r="Q1160" i="2"/>
  <c r="P1160" i="2"/>
  <c r="O1160" i="2"/>
  <c r="N1160" i="2"/>
  <c r="M1160" i="2"/>
  <c r="L1160" i="2"/>
  <c r="K1160" i="2"/>
  <c r="J1160" i="2"/>
  <c r="I1160" i="2"/>
  <c r="H1160" i="2"/>
  <c r="G1160" i="2"/>
  <c r="F1160" i="2"/>
  <c r="E1160" i="2"/>
  <c r="D1160" i="2"/>
  <c r="C1160" i="2"/>
  <c r="B1160" i="2"/>
  <c r="A1160" i="2"/>
  <c r="U1159" i="2"/>
  <c r="T1159" i="2"/>
  <c r="R1159" i="2"/>
  <c r="Q1159" i="2"/>
  <c r="P1159" i="2"/>
  <c r="O1159" i="2"/>
  <c r="N1159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A1159" i="2"/>
  <c r="R1158" i="2"/>
  <c r="Q1158" i="2"/>
  <c r="P1158" i="2"/>
  <c r="O1158" i="2"/>
  <c r="N1158" i="2"/>
  <c r="M1158" i="2"/>
  <c r="L1158" i="2"/>
  <c r="K1158" i="2"/>
  <c r="J1158" i="2"/>
  <c r="I1158" i="2"/>
  <c r="H1158" i="2"/>
  <c r="G1158" i="2"/>
  <c r="F1158" i="2"/>
  <c r="E1158" i="2"/>
  <c r="U1158" i="2" s="1"/>
  <c r="D1158" i="2"/>
  <c r="C1158" i="2"/>
  <c r="B1158" i="2"/>
  <c r="A1158" i="2"/>
  <c r="R1157" i="2"/>
  <c r="Q1157" i="2"/>
  <c r="P1157" i="2"/>
  <c r="O1157" i="2"/>
  <c r="N1157" i="2"/>
  <c r="M1157" i="2"/>
  <c r="L1157" i="2"/>
  <c r="K1157" i="2"/>
  <c r="J1157" i="2"/>
  <c r="I1157" i="2"/>
  <c r="H1157" i="2"/>
  <c r="G1157" i="2"/>
  <c r="F1157" i="2"/>
  <c r="E1157" i="2"/>
  <c r="D1157" i="2"/>
  <c r="C1157" i="2"/>
  <c r="B1157" i="2"/>
  <c r="A1157" i="2"/>
  <c r="R1156" i="2"/>
  <c r="Q1156" i="2"/>
  <c r="P1156" i="2"/>
  <c r="O1156" i="2"/>
  <c r="N1156" i="2"/>
  <c r="M1156" i="2"/>
  <c r="L1156" i="2"/>
  <c r="K1156" i="2"/>
  <c r="J1156" i="2"/>
  <c r="I1156" i="2"/>
  <c r="H1156" i="2"/>
  <c r="G1156" i="2"/>
  <c r="F1156" i="2"/>
  <c r="E1156" i="2"/>
  <c r="T1156" i="2" s="1"/>
  <c r="D1156" i="2"/>
  <c r="C1156" i="2"/>
  <c r="B1156" i="2"/>
  <c r="A1156" i="2"/>
  <c r="R1155" i="2"/>
  <c r="Q1155" i="2"/>
  <c r="P1155" i="2"/>
  <c r="O1155" i="2"/>
  <c r="N1155" i="2"/>
  <c r="M1155" i="2"/>
  <c r="L1155" i="2"/>
  <c r="K1155" i="2"/>
  <c r="J1155" i="2"/>
  <c r="I1155" i="2"/>
  <c r="H1155" i="2"/>
  <c r="G1155" i="2"/>
  <c r="F1155" i="2"/>
  <c r="E1155" i="2"/>
  <c r="U1155" i="2" s="1"/>
  <c r="D1155" i="2"/>
  <c r="C1155" i="2"/>
  <c r="B1155" i="2"/>
  <c r="A1155" i="2"/>
  <c r="U1154" i="2"/>
  <c r="T1154" i="2"/>
  <c r="R1154" i="2"/>
  <c r="Q1154" i="2"/>
  <c r="P1154" i="2"/>
  <c r="O1154" i="2"/>
  <c r="N1154" i="2"/>
  <c r="M1154" i="2"/>
  <c r="L1154" i="2"/>
  <c r="K1154" i="2"/>
  <c r="J1154" i="2"/>
  <c r="I1154" i="2"/>
  <c r="H1154" i="2"/>
  <c r="G1154" i="2"/>
  <c r="F1154" i="2"/>
  <c r="E1154" i="2"/>
  <c r="D1154" i="2"/>
  <c r="C1154" i="2"/>
  <c r="B1154" i="2"/>
  <c r="A1154" i="2"/>
  <c r="U1153" i="2"/>
  <c r="T1153" i="2"/>
  <c r="R1153" i="2"/>
  <c r="Q1153" i="2"/>
  <c r="P1153" i="2"/>
  <c r="O1153" i="2"/>
  <c r="N1153" i="2"/>
  <c r="M1153" i="2"/>
  <c r="L1153" i="2"/>
  <c r="K1153" i="2"/>
  <c r="J1153" i="2"/>
  <c r="I1153" i="2"/>
  <c r="H1153" i="2"/>
  <c r="G1153" i="2"/>
  <c r="F1153" i="2"/>
  <c r="E1153" i="2"/>
  <c r="D1153" i="2"/>
  <c r="C1153" i="2"/>
  <c r="B1153" i="2"/>
  <c r="A1153" i="2"/>
  <c r="T1152" i="2"/>
  <c r="R1152" i="2"/>
  <c r="Q1152" i="2"/>
  <c r="P1152" i="2"/>
  <c r="O1152" i="2"/>
  <c r="N1152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A1152" i="2"/>
  <c r="U1151" i="2"/>
  <c r="T1151" i="2"/>
  <c r="R1151" i="2"/>
  <c r="Q1151" i="2"/>
  <c r="P1151" i="2"/>
  <c r="O1151" i="2"/>
  <c r="N1151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A1151" i="2"/>
  <c r="R1150" i="2"/>
  <c r="Q1150" i="2"/>
  <c r="P1150" i="2"/>
  <c r="O1150" i="2"/>
  <c r="N1150" i="2"/>
  <c r="M1150" i="2"/>
  <c r="L1150" i="2"/>
  <c r="K1150" i="2"/>
  <c r="J1150" i="2"/>
  <c r="I1150" i="2"/>
  <c r="H1150" i="2"/>
  <c r="G1150" i="2"/>
  <c r="F1150" i="2"/>
  <c r="E1150" i="2"/>
  <c r="U1150" i="2" s="1"/>
  <c r="D1150" i="2"/>
  <c r="C1150" i="2"/>
  <c r="B1150" i="2"/>
  <c r="A1150" i="2"/>
  <c r="R1149" i="2"/>
  <c r="Q1149" i="2"/>
  <c r="P1149" i="2"/>
  <c r="O1149" i="2"/>
  <c r="N1149" i="2"/>
  <c r="M1149" i="2"/>
  <c r="L1149" i="2"/>
  <c r="K1149" i="2"/>
  <c r="J1149" i="2"/>
  <c r="I1149" i="2"/>
  <c r="H1149" i="2"/>
  <c r="G1149" i="2"/>
  <c r="F1149" i="2"/>
  <c r="E1149" i="2"/>
  <c r="U1149" i="2" s="1"/>
  <c r="D1149" i="2"/>
  <c r="C1149" i="2"/>
  <c r="B1149" i="2"/>
  <c r="A1149" i="2"/>
  <c r="R1148" i="2"/>
  <c r="Q1148" i="2"/>
  <c r="P1148" i="2"/>
  <c r="O1148" i="2"/>
  <c r="N1148" i="2"/>
  <c r="M1148" i="2"/>
  <c r="L1148" i="2"/>
  <c r="K1148" i="2"/>
  <c r="J1148" i="2"/>
  <c r="I1148" i="2"/>
  <c r="H1148" i="2"/>
  <c r="G1148" i="2"/>
  <c r="F1148" i="2"/>
  <c r="E1148" i="2"/>
  <c r="T1148" i="2" s="1"/>
  <c r="D1148" i="2"/>
  <c r="C1148" i="2"/>
  <c r="B1148" i="2"/>
  <c r="A1148" i="2"/>
  <c r="R1147" i="2"/>
  <c r="Q1147" i="2"/>
  <c r="P1147" i="2"/>
  <c r="O1147" i="2"/>
  <c r="N1147" i="2"/>
  <c r="M1147" i="2"/>
  <c r="L1147" i="2"/>
  <c r="K1147" i="2"/>
  <c r="J1147" i="2"/>
  <c r="I1147" i="2"/>
  <c r="H1147" i="2"/>
  <c r="G1147" i="2"/>
  <c r="F1147" i="2"/>
  <c r="E1147" i="2"/>
  <c r="D1147" i="2"/>
  <c r="C1147" i="2"/>
  <c r="B1147" i="2"/>
  <c r="A1147" i="2"/>
  <c r="R1146" i="2"/>
  <c r="Q1146" i="2"/>
  <c r="P1146" i="2"/>
  <c r="O1146" i="2"/>
  <c r="N1146" i="2"/>
  <c r="M1146" i="2"/>
  <c r="L1146" i="2"/>
  <c r="K1146" i="2"/>
  <c r="J1146" i="2"/>
  <c r="I1146" i="2"/>
  <c r="H1146" i="2"/>
  <c r="G1146" i="2"/>
  <c r="F1146" i="2"/>
  <c r="E1146" i="2"/>
  <c r="U1146" i="2" s="1"/>
  <c r="D1146" i="2"/>
  <c r="C1146" i="2"/>
  <c r="B1146" i="2"/>
  <c r="A1146" i="2"/>
  <c r="R1145" i="2"/>
  <c r="Q1145" i="2"/>
  <c r="P1145" i="2"/>
  <c r="O1145" i="2"/>
  <c r="N1145" i="2"/>
  <c r="M1145" i="2"/>
  <c r="L1145" i="2"/>
  <c r="K1145" i="2"/>
  <c r="J1145" i="2"/>
  <c r="I1145" i="2"/>
  <c r="H1145" i="2"/>
  <c r="G1145" i="2"/>
  <c r="F1145" i="2"/>
  <c r="E1145" i="2"/>
  <c r="U1145" i="2" s="1"/>
  <c r="D1145" i="2"/>
  <c r="C1145" i="2"/>
  <c r="B1145" i="2"/>
  <c r="A1145" i="2"/>
  <c r="T1144" i="2"/>
  <c r="R1144" i="2"/>
  <c r="Q1144" i="2"/>
  <c r="P1144" i="2"/>
  <c r="O1144" i="2"/>
  <c r="N1144" i="2"/>
  <c r="M1144" i="2"/>
  <c r="L1144" i="2"/>
  <c r="K1144" i="2"/>
  <c r="J1144" i="2"/>
  <c r="I1144" i="2"/>
  <c r="H1144" i="2"/>
  <c r="G1144" i="2"/>
  <c r="F1144" i="2"/>
  <c r="E1144" i="2"/>
  <c r="U1144" i="2" s="1"/>
  <c r="D1144" i="2"/>
  <c r="C1144" i="2"/>
  <c r="B1144" i="2"/>
  <c r="A1144" i="2"/>
  <c r="R1143" i="2"/>
  <c r="Q1143" i="2"/>
  <c r="P1143" i="2"/>
  <c r="O1143" i="2"/>
  <c r="N1143" i="2"/>
  <c r="M1143" i="2"/>
  <c r="L1143" i="2"/>
  <c r="K1143" i="2"/>
  <c r="J1143" i="2"/>
  <c r="I1143" i="2"/>
  <c r="H1143" i="2"/>
  <c r="G1143" i="2"/>
  <c r="F1143" i="2"/>
  <c r="E1143" i="2"/>
  <c r="U1143" i="2" s="1"/>
  <c r="D1143" i="2"/>
  <c r="C1143" i="2"/>
  <c r="B1143" i="2"/>
  <c r="A1143" i="2"/>
  <c r="R1142" i="2"/>
  <c r="Q1142" i="2"/>
  <c r="P1142" i="2"/>
  <c r="O1142" i="2"/>
  <c r="N1142" i="2"/>
  <c r="M1142" i="2"/>
  <c r="L1142" i="2"/>
  <c r="K1142" i="2"/>
  <c r="J1142" i="2"/>
  <c r="I1142" i="2"/>
  <c r="H1142" i="2"/>
  <c r="G1142" i="2"/>
  <c r="F1142" i="2"/>
  <c r="E1142" i="2"/>
  <c r="U1142" i="2" s="1"/>
  <c r="D1142" i="2"/>
  <c r="C1142" i="2"/>
  <c r="B1142" i="2"/>
  <c r="A1142" i="2"/>
  <c r="U1141" i="2"/>
  <c r="T1141" i="2"/>
  <c r="R1141" i="2"/>
  <c r="Q1141" i="2"/>
  <c r="P1141" i="2"/>
  <c r="O1141" i="2"/>
  <c r="N1141" i="2"/>
  <c r="M1141" i="2"/>
  <c r="L1141" i="2"/>
  <c r="K1141" i="2"/>
  <c r="J1141" i="2"/>
  <c r="I1141" i="2"/>
  <c r="H1141" i="2"/>
  <c r="G1141" i="2"/>
  <c r="F1141" i="2"/>
  <c r="E1141" i="2"/>
  <c r="D1141" i="2"/>
  <c r="C1141" i="2"/>
  <c r="B1141" i="2"/>
  <c r="A1141" i="2"/>
  <c r="U1140" i="2"/>
  <c r="T1140" i="2"/>
  <c r="R1140" i="2"/>
  <c r="Q1140" i="2"/>
  <c r="P1140" i="2"/>
  <c r="O1140" i="2"/>
  <c r="N1140" i="2"/>
  <c r="M1140" i="2"/>
  <c r="L1140" i="2"/>
  <c r="K1140" i="2"/>
  <c r="J1140" i="2"/>
  <c r="I1140" i="2"/>
  <c r="H1140" i="2"/>
  <c r="G1140" i="2"/>
  <c r="F1140" i="2"/>
  <c r="E1140" i="2"/>
  <c r="D1140" i="2"/>
  <c r="C1140" i="2"/>
  <c r="B1140" i="2"/>
  <c r="A1140" i="2"/>
  <c r="U1139" i="2"/>
  <c r="T1139" i="2"/>
  <c r="R1139" i="2"/>
  <c r="Q1139" i="2"/>
  <c r="P1139" i="2"/>
  <c r="O1139" i="2"/>
  <c r="N1139" i="2"/>
  <c r="M1139" i="2"/>
  <c r="L1139" i="2"/>
  <c r="K1139" i="2"/>
  <c r="J1139" i="2"/>
  <c r="I1139" i="2"/>
  <c r="H1139" i="2"/>
  <c r="G1139" i="2"/>
  <c r="F1139" i="2"/>
  <c r="E1139" i="2"/>
  <c r="D1139" i="2"/>
  <c r="C1139" i="2"/>
  <c r="B1139" i="2"/>
  <c r="A1139" i="2"/>
  <c r="R1138" i="2"/>
  <c r="Q1138" i="2"/>
  <c r="P1138" i="2"/>
  <c r="O1138" i="2"/>
  <c r="N1138" i="2"/>
  <c r="M1138" i="2"/>
  <c r="L1138" i="2"/>
  <c r="K1138" i="2"/>
  <c r="J1138" i="2"/>
  <c r="I1138" i="2"/>
  <c r="H1138" i="2"/>
  <c r="G1138" i="2"/>
  <c r="F1138" i="2"/>
  <c r="E1138" i="2"/>
  <c r="U1138" i="2" s="1"/>
  <c r="D1138" i="2"/>
  <c r="C1138" i="2"/>
  <c r="B1138" i="2"/>
  <c r="A1138" i="2"/>
  <c r="R1137" i="2"/>
  <c r="Q1137" i="2"/>
  <c r="P1137" i="2"/>
  <c r="O1137" i="2"/>
  <c r="N1137" i="2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A1137" i="2"/>
  <c r="R1136" i="2"/>
  <c r="Q1136" i="2"/>
  <c r="P1136" i="2"/>
  <c r="O1136" i="2"/>
  <c r="N1136" i="2"/>
  <c r="M1136" i="2"/>
  <c r="L1136" i="2"/>
  <c r="K1136" i="2"/>
  <c r="J1136" i="2"/>
  <c r="I1136" i="2"/>
  <c r="H1136" i="2"/>
  <c r="G1136" i="2"/>
  <c r="F1136" i="2"/>
  <c r="E1136" i="2"/>
  <c r="T1136" i="2" s="1"/>
  <c r="D1136" i="2"/>
  <c r="C1136" i="2"/>
  <c r="B1136" i="2"/>
  <c r="A1136" i="2"/>
  <c r="R1135" i="2"/>
  <c r="Q1135" i="2"/>
  <c r="P1135" i="2"/>
  <c r="O1135" i="2"/>
  <c r="N1135" i="2"/>
  <c r="M1135" i="2"/>
  <c r="L1135" i="2"/>
  <c r="K1135" i="2"/>
  <c r="J1135" i="2"/>
  <c r="I1135" i="2"/>
  <c r="H1135" i="2"/>
  <c r="G1135" i="2"/>
  <c r="F1135" i="2"/>
  <c r="E1135" i="2"/>
  <c r="U1135" i="2" s="1"/>
  <c r="D1135" i="2"/>
  <c r="C1135" i="2"/>
  <c r="B1135" i="2"/>
  <c r="A1135" i="2"/>
  <c r="U1134" i="2"/>
  <c r="T1134" i="2"/>
  <c r="R1134" i="2"/>
  <c r="Q1134" i="2"/>
  <c r="P1134" i="2"/>
  <c r="O1134" i="2"/>
  <c r="N1134" i="2"/>
  <c r="M1134" i="2"/>
  <c r="L1134" i="2"/>
  <c r="K1134" i="2"/>
  <c r="J1134" i="2"/>
  <c r="I1134" i="2"/>
  <c r="H1134" i="2"/>
  <c r="G1134" i="2"/>
  <c r="F1134" i="2"/>
  <c r="E1134" i="2"/>
  <c r="D1134" i="2"/>
  <c r="C1134" i="2"/>
  <c r="B1134" i="2"/>
  <c r="A1134" i="2"/>
  <c r="U1133" i="2"/>
  <c r="T1133" i="2"/>
  <c r="R1133" i="2"/>
  <c r="Q1133" i="2"/>
  <c r="P1133" i="2"/>
  <c r="O1133" i="2"/>
  <c r="N1133" i="2"/>
  <c r="M1133" i="2"/>
  <c r="L1133" i="2"/>
  <c r="K1133" i="2"/>
  <c r="J1133" i="2"/>
  <c r="I1133" i="2"/>
  <c r="H1133" i="2"/>
  <c r="G1133" i="2"/>
  <c r="F1133" i="2"/>
  <c r="E1133" i="2"/>
  <c r="D1133" i="2"/>
  <c r="C1133" i="2"/>
  <c r="B1133" i="2"/>
  <c r="A1133" i="2"/>
  <c r="T1132" i="2"/>
  <c r="R1132" i="2"/>
  <c r="Q1132" i="2"/>
  <c r="P1132" i="2"/>
  <c r="O1132" i="2"/>
  <c r="N1132" i="2"/>
  <c r="M1132" i="2"/>
  <c r="L1132" i="2"/>
  <c r="K1132" i="2"/>
  <c r="J1132" i="2"/>
  <c r="I1132" i="2"/>
  <c r="H1132" i="2"/>
  <c r="G1132" i="2"/>
  <c r="F1132" i="2"/>
  <c r="E1132" i="2"/>
  <c r="D1132" i="2"/>
  <c r="C1132" i="2"/>
  <c r="B1132" i="2"/>
  <c r="A1132" i="2"/>
  <c r="U1131" i="2"/>
  <c r="T1131" i="2"/>
  <c r="R1131" i="2"/>
  <c r="Q1131" i="2"/>
  <c r="P1131" i="2"/>
  <c r="O1131" i="2"/>
  <c r="N1131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A1131" i="2"/>
  <c r="R1130" i="2"/>
  <c r="Q1130" i="2"/>
  <c r="P1130" i="2"/>
  <c r="O1130" i="2"/>
  <c r="N1130" i="2"/>
  <c r="M1130" i="2"/>
  <c r="L1130" i="2"/>
  <c r="K1130" i="2"/>
  <c r="J1130" i="2"/>
  <c r="I1130" i="2"/>
  <c r="H1130" i="2"/>
  <c r="G1130" i="2"/>
  <c r="F1130" i="2"/>
  <c r="E1130" i="2"/>
  <c r="U1130" i="2" s="1"/>
  <c r="D1130" i="2"/>
  <c r="C1130" i="2"/>
  <c r="B1130" i="2"/>
  <c r="A1130" i="2"/>
  <c r="R1129" i="2"/>
  <c r="Q1129" i="2"/>
  <c r="P1129" i="2"/>
  <c r="O1129" i="2"/>
  <c r="N1129" i="2"/>
  <c r="M1129" i="2"/>
  <c r="L1129" i="2"/>
  <c r="K1129" i="2"/>
  <c r="J1129" i="2"/>
  <c r="I1129" i="2"/>
  <c r="H1129" i="2"/>
  <c r="G1129" i="2"/>
  <c r="F1129" i="2"/>
  <c r="E1129" i="2"/>
  <c r="D1129" i="2"/>
  <c r="C1129" i="2"/>
  <c r="B1129" i="2"/>
  <c r="A1129" i="2"/>
  <c r="R1128" i="2"/>
  <c r="Q1128" i="2"/>
  <c r="P1128" i="2"/>
  <c r="O1128" i="2"/>
  <c r="N1128" i="2"/>
  <c r="M1128" i="2"/>
  <c r="L1128" i="2"/>
  <c r="K1128" i="2"/>
  <c r="J1128" i="2"/>
  <c r="I1128" i="2"/>
  <c r="H1128" i="2"/>
  <c r="G1128" i="2"/>
  <c r="F1128" i="2"/>
  <c r="E1128" i="2"/>
  <c r="T1128" i="2" s="1"/>
  <c r="D1128" i="2"/>
  <c r="C1128" i="2"/>
  <c r="B1128" i="2"/>
  <c r="A1128" i="2"/>
  <c r="R1127" i="2"/>
  <c r="Q1127" i="2"/>
  <c r="P1127" i="2"/>
  <c r="O1127" i="2"/>
  <c r="N1127" i="2"/>
  <c r="M1127" i="2"/>
  <c r="L1127" i="2"/>
  <c r="K1127" i="2"/>
  <c r="J1127" i="2"/>
  <c r="I1127" i="2"/>
  <c r="H1127" i="2"/>
  <c r="G1127" i="2"/>
  <c r="F1127" i="2"/>
  <c r="E1127" i="2"/>
  <c r="D1127" i="2"/>
  <c r="C1127" i="2"/>
  <c r="B1127" i="2"/>
  <c r="A1127" i="2"/>
  <c r="R1126" i="2"/>
  <c r="Q1126" i="2"/>
  <c r="P1126" i="2"/>
  <c r="O1126" i="2"/>
  <c r="N1126" i="2"/>
  <c r="M1126" i="2"/>
  <c r="L1126" i="2"/>
  <c r="K1126" i="2"/>
  <c r="J1126" i="2"/>
  <c r="I1126" i="2"/>
  <c r="H1126" i="2"/>
  <c r="G1126" i="2"/>
  <c r="F1126" i="2"/>
  <c r="E1126" i="2"/>
  <c r="U1126" i="2" s="1"/>
  <c r="D1126" i="2"/>
  <c r="C1126" i="2"/>
  <c r="B1126" i="2"/>
  <c r="A1126" i="2"/>
  <c r="R1125" i="2"/>
  <c r="Q1125" i="2"/>
  <c r="P1125" i="2"/>
  <c r="O1125" i="2"/>
  <c r="N1125" i="2"/>
  <c r="M1125" i="2"/>
  <c r="L1125" i="2"/>
  <c r="K1125" i="2"/>
  <c r="J1125" i="2"/>
  <c r="I1125" i="2"/>
  <c r="H1125" i="2"/>
  <c r="G1125" i="2"/>
  <c r="F1125" i="2"/>
  <c r="E1125" i="2"/>
  <c r="U1125" i="2" s="1"/>
  <c r="D1125" i="2"/>
  <c r="C1125" i="2"/>
  <c r="B1125" i="2"/>
  <c r="A1125" i="2"/>
  <c r="T1124" i="2"/>
  <c r="R1124" i="2"/>
  <c r="Q1124" i="2"/>
  <c r="P1124" i="2"/>
  <c r="O1124" i="2"/>
  <c r="N1124" i="2"/>
  <c r="M1124" i="2"/>
  <c r="L1124" i="2"/>
  <c r="K1124" i="2"/>
  <c r="J1124" i="2"/>
  <c r="I1124" i="2"/>
  <c r="H1124" i="2"/>
  <c r="G1124" i="2"/>
  <c r="F1124" i="2"/>
  <c r="E1124" i="2"/>
  <c r="U1124" i="2" s="1"/>
  <c r="D1124" i="2"/>
  <c r="C1124" i="2"/>
  <c r="B1124" i="2"/>
  <c r="A1124" i="2"/>
  <c r="R1123" i="2"/>
  <c r="Q1123" i="2"/>
  <c r="P1123" i="2"/>
  <c r="O1123" i="2"/>
  <c r="N1123" i="2"/>
  <c r="M1123" i="2"/>
  <c r="L1123" i="2"/>
  <c r="K1123" i="2"/>
  <c r="J1123" i="2"/>
  <c r="I1123" i="2"/>
  <c r="H1123" i="2"/>
  <c r="G1123" i="2"/>
  <c r="F1123" i="2"/>
  <c r="E1123" i="2"/>
  <c r="U1123" i="2" s="1"/>
  <c r="D1123" i="2"/>
  <c r="C1123" i="2"/>
  <c r="B1123" i="2"/>
  <c r="A1123" i="2"/>
  <c r="R1122" i="2"/>
  <c r="Q1122" i="2"/>
  <c r="P1122" i="2"/>
  <c r="O1122" i="2"/>
  <c r="N1122" i="2"/>
  <c r="M1122" i="2"/>
  <c r="L1122" i="2"/>
  <c r="K1122" i="2"/>
  <c r="J1122" i="2"/>
  <c r="I1122" i="2"/>
  <c r="H1122" i="2"/>
  <c r="G1122" i="2"/>
  <c r="F1122" i="2"/>
  <c r="E1122" i="2"/>
  <c r="U1122" i="2" s="1"/>
  <c r="D1122" i="2"/>
  <c r="C1122" i="2"/>
  <c r="B1122" i="2"/>
  <c r="A1122" i="2"/>
  <c r="U1121" i="2"/>
  <c r="T1121" i="2"/>
  <c r="R1121" i="2"/>
  <c r="Q1121" i="2"/>
  <c r="P1121" i="2"/>
  <c r="O1121" i="2"/>
  <c r="N1121" i="2"/>
  <c r="M1121" i="2"/>
  <c r="L1121" i="2"/>
  <c r="K1121" i="2"/>
  <c r="J1121" i="2"/>
  <c r="I1121" i="2"/>
  <c r="H1121" i="2"/>
  <c r="G1121" i="2"/>
  <c r="F1121" i="2"/>
  <c r="E1121" i="2"/>
  <c r="D1121" i="2"/>
  <c r="C1121" i="2"/>
  <c r="B1121" i="2"/>
  <c r="A1121" i="2"/>
  <c r="U1120" i="2"/>
  <c r="T1120" i="2"/>
  <c r="R1120" i="2"/>
  <c r="Q1120" i="2"/>
  <c r="P1120" i="2"/>
  <c r="O1120" i="2"/>
  <c r="N1120" i="2"/>
  <c r="M1120" i="2"/>
  <c r="L1120" i="2"/>
  <c r="K1120" i="2"/>
  <c r="J1120" i="2"/>
  <c r="I1120" i="2"/>
  <c r="H1120" i="2"/>
  <c r="G1120" i="2"/>
  <c r="F1120" i="2"/>
  <c r="E1120" i="2"/>
  <c r="D1120" i="2"/>
  <c r="C1120" i="2"/>
  <c r="B1120" i="2"/>
  <c r="A1120" i="2"/>
  <c r="U1119" i="2"/>
  <c r="T1119" i="2"/>
  <c r="R1119" i="2"/>
  <c r="Q1119" i="2"/>
  <c r="P1119" i="2"/>
  <c r="O1119" i="2"/>
  <c r="N1119" i="2"/>
  <c r="M1119" i="2"/>
  <c r="L1119" i="2"/>
  <c r="K1119" i="2"/>
  <c r="J1119" i="2"/>
  <c r="I1119" i="2"/>
  <c r="H1119" i="2"/>
  <c r="G1119" i="2"/>
  <c r="F1119" i="2"/>
  <c r="E1119" i="2"/>
  <c r="D1119" i="2"/>
  <c r="C1119" i="2"/>
  <c r="B1119" i="2"/>
  <c r="A1119" i="2"/>
  <c r="R1118" i="2"/>
  <c r="Q1118" i="2"/>
  <c r="P1118" i="2"/>
  <c r="O1118" i="2"/>
  <c r="N1118" i="2"/>
  <c r="M1118" i="2"/>
  <c r="L1118" i="2"/>
  <c r="K1118" i="2"/>
  <c r="J1118" i="2"/>
  <c r="I1118" i="2"/>
  <c r="H1118" i="2"/>
  <c r="G1118" i="2"/>
  <c r="F1118" i="2"/>
  <c r="E1118" i="2"/>
  <c r="U1118" i="2" s="1"/>
  <c r="D1118" i="2"/>
  <c r="C1118" i="2"/>
  <c r="B1118" i="2"/>
  <c r="A1118" i="2"/>
  <c r="T1117" i="2"/>
  <c r="R1117" i="2"/>
  <c r="Q1117" i="2"/>
  <c r="P1117" i="2"/>
  <c r="O1117" i="2"/>
  <c r="N1117" i="2"/>
  <c r="M1117" i="2"/>
  <c r="L1117" i="2"/>
  <c r="K1117" i="2"/>
  <c r="J1117" i="2"/>
  <c r="I1117" i="2"/>
  <c r="H1117" i="2"/>
  <c r="G1117" i="2"/>
  <c r="F1117" i="2"/>
  <c r="E1117" i="2"/>
  <c r="D1117" i="2"/>
  <c r="C1117" i="2"/>
  <c r="B1117" i="2"/>
  <c r="A1117" i="2"/>
  <c r="U1116" i="2"/>
  <c r="R1116" i="2"/>
  <c r="Q1116" i="2"/>
  <c r="P1116" i="2"/>
  <c r="O1116" i="2"/>
  <c r="N1116" i="2"/>
  <c r="M1116" i="2"/>
  <c r="L1116" i="2"/>
  <c r="K1116" i="2"/>
  <c r="J1116" i="2"/>
  <c r="I1116" i="2"/>
  <c r="H1116" i="2"/>
  <c r="G1116" i="2"/>
  <c r="F1116" i="2"/>
  <c r="E1116" i="2"/>
  <c r="T1116" i="2" s="1"/>
  <c r="D1116" i="2"/>
  <c r="C1116" i="2"/>
  <c r="B1116" i="2"/>
  <c r="A1116" i="2"/>
  <c r="T1115" i="2"/>
  <c r="R1115" i="2"/>
  <c r="Q1115" i="2"/>
  <c r="P1115" i="2"/>
  <c r="O1115" i="2"/>
  <c r="N1115" i="2"/>
  <c r="M1115" i="2"/>
  <c r="L1115" i="2"/>
  <c r="K1115" i="2"/>
  <c r="J1115" i="2"/>
  <c r="I1115" i="2"/>
  <c r="H1115" i="2"/>
  <c r="G1115" i="2"/>
  <c r="F1115" i="2"/>
  <c r="E1115" i="2"/>
  <c r="U1115" i="2" s="1"/>
  <c r="D1115" i="2"/>
  <c r="C1115" i="2"/>
  <c r="B1115" i="2"/>
  <c r="A1115" i="2"/>
  <c r="U1114" i="2"/>
  <c r="T1114" i="2"/>
  <c r="R1114" i="2"/>
  <c r="Q1114" i="2"/>
  <c r="P1114" i="2"/>
  <c r="O1114" i="2"/>
  <c r="N1114" i="2"/>
  <c r="M1114" i="2"/>
  <c r="L1114" i="2"/>
  <c r="K1114" i="2"/>
  <c r="J1114" i="2"/>
  <c r="I1114" i="2"/>
  <c r="H1114" i="2"/>
  <c r="G1114" i="2"/>
  <c r="F1114" i="2"/>
  <c r="E1114" i="2"/>
  <c r="D1114" i="2"/>
  <c r="C1114" i="2"/>
  <c r="B1114" i="2"/>
  <c r="A1114" i="2"/>
  <c r="U1113" i="2"/>
  <c r="T1113" i="2"/>
  <c r="R1113" i="2"/>
  <c r="Q1113" i="2"/>
  <c r="P1113" i="2"/>
  <c r="O1113" i="2"/>
  <c r="N1113" i="2"/>
  <c r="M1113" i="2"/>
  <c r="L1113" i="2"/>
  <c r="K1113" i="2"/>
  <c r="J1113" i="2"/>
  <c r="I1113" i="2"/>
  <c r="H1113" i="2"/>
  <c r="G1113" i="2"/>
  <c r="F1113" i="2"/>
  <c r="E1113" i="2"/>
  <c r="D1113" i="2"/>
  <c r="C1113" i="2"/>
  <c r="B1113" i="2"/>
  <c r="A1113" i="2"/>
  <c r="R1112" i="2"/>
  <c r="Q1112" i="2"/>
  <c r="P1112" i="2"/>
  <c r="O1112" i="2"/>
  <c r="N1112" i="2"/>
  <c r="M1112" i="2"/>
  <c r="L1112" i="2"/>
  <c r="K1112" i="2"/>
  <c r="J1112" i="2"/>
  <c r="I1112" i="2"/>
  <c r="H1112" i="2"/>
  <c r="G1112" i="2"/>
  <c r="F1112" i="2"/>
  <c r="E1112" i="2"/>
  <c r="D1112" i="2"/>
  <c r="C1112" i="2"/>
  <c r="B1112" i="2"/>
  <c r="A1112" i="2"/>
  <c r="U1111" i="2"/>
  <c r="T1111" i="2"/>
  <c r="R1111" i="2"/>
  <c r="Q1111" i="2"/>
  <c r="P1111" i="2"/>
  <c r="O1111" i="2"/>
  <c r="N1111" i="2"/>
  <c r="M1111" i="2"/>
  <c r="L1111" i="2"/>
  <c r="K1111" i="2"/>
  <c r="J1111" i="2"/>
  <c r="I1111" i="2"/>
  <c r="H1111" i="2"/>
  <c r="G1111" i="2"/>
  <c r="F1111" i="2"/>
  <c r="E1111" i="2"/>
  <c r="D1111" i="2"/>
  <c r="C1111" i="2"/>
  <c r="B1111" i="2"/>
  <c r="A1111" i="2"/>
  <c r="R1110" i="2"/>
  <c r="Q1110" i="2"/>
  <c r="P1110" i="2"/>
  <c r="O1110" i="2"/>
  <c r="N1110" i="2"/>
  <c r="M1110" i="2"/>
  <c r="L1110" i="2"/>
  <c r="K1110" i="2"/>
  <c r="J1110" i="2"/>
  <c r="I1110" i="2"/>
  <c r="H1110" i="2"/>
  <c r="G1110" i="2"/>
  <c r="F1110" i="2"/>
  <c r="E1110" i="2"/>
  <c r="D1110" i="2"/>
  <c r="C1110" i="2"/>
  <c r="B1110" i="2"/>
  <c r="A1110" i="2"/>
  <c r="R1109" i="2"/>
  <c r="Q1109" i="2"/>
  <c r="P1109" i="2"/>
  <c r="O1109" i="2"/>
  <c r="N1109" i="2"/>
  <c r="M1109" i="2"/>
  <c r="L1109" i="2"/>
  <c r="K1109" i="2"/>
  <c r="J1109" i="2"/>
  <c r="I1109" i="2"/>
  <c r="H1109" i="2"/>
  <c r="G1109" i="2"/>
  <c r="F1109" i="2"/>
  <c r="E1109" i="2"/>
  <c r="D1109" i="2"/>
  <c r="C1109" i="2"/>
  <c r="B1109" i="2"/>
  <c r="A1109" i="2"/>
  <c r="R1108" i="2"/>
  <c r="Q1108" i="2"/>
  <c r="P1108" i="2"/>
  <c r="O1108" i="2"/>
  <c r="N1108" i="2"/>
  <c r="M1108" i="2"/>
  <c r="L1108" i="2"/>
  <c r="K1108" i="2"/>
  <c r="J1108" i="2"/>
  <c r="I1108" i="2"/>
  <c r="H1108" i="2"/>
  <c r="G1108" i="2"/>
  <c r="F1108" i="2"/>
  <c r="E1108" i="2"/>
  <c r="T1108" i="2" s="1"/>
  <c r="D1108" i="2"/>
  <c r="C1108" i="2"/>
  <c r="B1108" i="2"/>
  <c r="A1108" i="2"/>
  <c r="R1107" i="2"/>
  <c r="Q1107" i="2"/>
  <c r="P1107" i="2"/>
  <c r="O1107" i="2"/>
  <c r="N1107" i="2"/>
  <c r="M1107" i="2"/>
  <c r="L1107" i="2"/>
  <c r="K1107" i="2"/>
  <c r="J1107" i="2"/>
  <c r="I1107" i="2"/>
  <c r="H1107" i="2"/>
  <c r="G1107" i="2"/>
  <c r="F1107" i="2"/>
  <c r="E1107" i="2"/>
  <c r="D1107" i="2"/>
  <c r="C1107" i="2"/>
  <c r="B1107" i="2"/>
  <c r="A1107" i="2"/>
  <c r="R1106" i="2"/>
  <c r="Q1106" i="2"/>
  <c r="P1106" i="2"/>
  <c r="O1106" i="2"/>
  <c r="N1106" i="2"/>
  <c r="M1106" i="2"/>
  <c r="L1106" i="2"/>
  <c r="K1106" i="2"/>
  <c r="J1106" i="2"/>
  <c r="I1106" i="2"/>
  <c r="H1106" i="2"/>
  <c r="G1106" i="2"/>
  <c r="F1106" i="2"/>
  <c r="E1106" i="2"/>
  <c r="U1106" i="2" s="1"/>
  <c r="D1106" i="2"/>
  <c r="C1106" i="2"/>
  <c r="B1106" i="2"/>
  <c r="A1106" i="2"/>
  <c r="R1105" i="2"/>
  <c r="Q1105" i="2"/>
  <c r="P1105" i="2"/>
  <c r="O1105" i="2"/>
  <c r="N1105" i="2"/>
  <c r="M1105" i="2"/>
  <c r="L1105" i="2"/>
  <c r="K1105" i="2"/>
  <c r="J1105" i="2"/>
  <c r="I1105" i="2"/>
  <c r="H1105" i="2"/>
  <c r="G1105" i="2"/>
  <c r="F1105" i="2"/>
  <c r="E1105" i="2"/>
  <c r="U1105" i="2" s="1"/>
  <c r="D1105" i="2"/>
  <c r="C1105" i="2"/>
  <c r="B1105" i="2"/>
  <c r="A1105" i="2"/>
  <c r="T1104" i="2"/>
  <c r="R1104" i="2"/>
  <c r="Q1104" i="2"/>
  <c r="P1104" i="2"/>
  <c r="O1104" i="2"/>
  <c r="N1104" i="2"/>
  <c r="M1104" i="2"/>
  <c r="L1104" i="2"/>
  <c r="K1104" i="2"/>
  <c r="J1104" i="2"/>
  <c r="I1104" i="2"/>
  <c r="H1104" i="2"/>
  <c r="G1104" i="2"/>
  <c r="F1104" i="2"/>
  <c r="E1104" i="2"/>
  <c r="U1104" i="2" s="1"/>
  <c r="D1104" i="2"/>
  <c r="C1104" i="2"/>
  <c r="B1104" i="2"/>
  <c r="A1104" i="2"/>
  <c r="R1103" i="2"/>
  <c r="Q1103" i="2"/>
  <c r="P1103" i="2"/>
  <c r="O1103" i="2"/>
  <c r="N1103" i="2"/>
  <c r="M1103" i="2"/>
  <c r="L1103" i="2"/>
  <c r="K1103" i="2"/>
  <c r="J1103" i="2"/>
  <c r="I1103" i="2"/>
  <c r="H1103" i="2"/>
  <c r="G1103" i="2"/>
  <c r="F1103" i="2"/>
  <c r="E1103" i="2"/>
  <c r="U1103" i="2" s="1"/>
  <c r="D1103" i="2"/>
  <c r="C1103" i="2"/>
  <c r="B1103" i="2"/>
  <c r="A1103" i="2"/>
  <c r="R1102" i="2"/>
  <c r="Q1102" i="2"/>
  <c r="P1102" i="2"/>
  <c r="O1102" i="2"/>
  <c r="N1102" i="2"/>
  <c r="M1102" i="2"/>
  <c r="L1102" i="2"/>
  <c r="K1102" i="2"/>
  <c r="J1102" i="2"/>
  <c r="I1102" i="2"/>
  <c r="H1102" i="2"/>
  <c r="G1102" i="2"/>
  <c r="F1102" i="2"/>
  <c r="E1102" i="2"/>
  <c r="U1102" i="2" s="1"/>
  <c r="D1102" i="2"/>
  <c r="C1102" i="2"/>
  <c r="B1102" i="2"/>
  <c r="A1102" i="2"/>
  <c r="U1101" i="2"/>
  <c r="T1101" i="2"/>
  <c r="R1101" i="2"/>
  <c r="Q1101" i="2"/>
  <c r="P1101" i="2"/>
  <c r="O1101" i="2"/>
  <c r="N1101" i="2"/>
  <c r="M1101" i="2"/>
  <c r="L1101" i="2"/>
  <c r="K1101" i="2"/>
  <c r="J1101" i="2"/>
  <c r="I1101" i="2"/>
  <c r="H1101" i="2"/>
  <c r="G1101" i="2"/>
  <c r="F1101" i="2"/>
  <c r="E1101" i="2"/>
  <c r="D1101" i="2"/>
  <c r="C1101" i="2"/>
  <c r="B1101" i="2"/>
  <c r="A1101" i="2"/>
  <c r="U1100" i="2"/>
  <c r="T1100" i="2"/>
  <c r="R1100" i="2"/>
  <c r="Q1100" i="2"/>
  <c r="P1100" i="2"/>
  <c r="O1100" i="2"/>
  <c r="N1100" i="2"/>
  <c r="M1100" i="2"/>
  <c r="L1100" i="2"/>
  <c r="K1100" i="2"/>
  <c r="J1100" i="2"/>
  <c r="I1100" i="2"/>
  <c r="H1100" i="2"/>
  <c r="G1100" i="2"/>
  <c r="F1100" i="2"/>
  <c r="E1100" i="2"/>
  <c r="D1100" i="2"/>
  <c r="C1100" i="2"/>
  <c r="B1100" i="2"/>
  <c r="A1100" i="2"/>
  <c r="U1099" i="2"/>
  <c r="T1099" i="2"/>
  <c r="R1099" i="2"/>
  <c r="Q1099" i="2"/>
  <c r="P1099" i="2"/>
  <c r="O1099" i="2"/>
  <c r="N1099" i="2"/>
  <c r="M1099" i="2"/>
  <c r="L1099" i="2"/>
  <c r="K1099" i="2"/>
  <c r="J1099" i="2"/>
  <c r="I1099" i="2"/>
  <c r="H1099" i="2"/>
  <c r="G1099" i="2"/>
  <c r="F1099" i="2"/>
  <c r="E1099" i="2"/>
  <c r="D1099" i="2"/>
  <c r="C1099" i="2"/>
  <c r="B1099" i="2"/>
  <c r="A1099" i="2"/>
  <c r="R1098" i="2"/>
  <c r="Q1098" i="2"/>
  <c r="P1098" i="2"/>
  <c r="O1098" i="2"/>
  <c r="N1098" i="2"/>
  <c r="M1098" i="2"/>
  <c r="L1098" i="2"/>
  <c r="K1098" i="2"/>
  <c r="J1098" i="2"/>
  <c r="I1098" i="2"/>
  <c r="H1098" i="2"/>
  <c r="G1098" i="2"/>
  <c r="F1098" i="2"/>
  <c r="E1098" i="2"/>
  <c r="U1098" i="2" s="1"/>
  <c r="D1098" i="2"/>
  <c r="C1098" i="2"/>
  <c r="B1098" i="2"/>
  <c r="A1098" i="2"/>
  <c r="R1097" i="2"/>
  <c r="Q1097" i="2"/>
  <c r="P1097" i="2"/>
  <c r="O1097" i="2"/>
  <c r="N1097" i="2"/>
  <c r="M1097" i="2"/>
  <c r="L1097" i="2"/>
  <c r="K1097" i="2"/>
  <c r="J1097" i="2"/>
  <c r="I1097" i="2"/>
  <c r="H1097" i="2"/>
  <c r="G1097" i="2"/>
  <c r="F1097" i="2"/>
  <c r="E1097" i="2"/>
  <c r="D1097" i="2"/>
  <c r="C1097" i="2"/>
  <c r="B1097" i="2"/>
  <c r="A1097" i="2"/>
  <c r="R1096" i="2"/>
  <c r="Q1096" i="2"/>
  <c r="P1096" i="2"/>
  <c r="O1096" i="2"/>
  <c r="N1096" i="2"/>
  <c r="M1096" i="2"/>
  <c r="L1096" i="2"/>
  <c r="K1096" i="2"/>
  <c r="J1096" i="2"/>
  <c r="I1096" i="2"/>
  <c r="H1096" i="2"/>
  <c r="G1096" i="2"/>
  <c r="F1096" i="2"/>
  <c r="E1096" i="2"/>
  <c r="T1096" i="2" s="1"/>
  <c r="D1096" i="2"/>
  <c r="C1096" i="2"/>
  <c r="B1096" i="2"/>
  <c r="A1096" i="2"/>
  <c r="R1095" i="2"/>
  <c r="Q1095" i="2"/>
  <c r="P1095" i="2"/>
  <c r="O1095" i="2"/>
  <c r="N1095" i="2"/>
  <c r="M1095" i="2"/>
  <c r="L1095" i="2"/>
  <c r="K1095" i="2"/>
  <c r="J1095" i="2"/>
  <c r="I1095" i="2"/>
  <c r="H1095" i="2"/>
  <c r="G1095" i="2"/>
  <c r="F1095" i="2"/>
  <c r="E1095" i="2"/>
  <c r="U1095" i="2" s="1"/>
  <c r="D1095" i="2"/>
  <c r="C1095" i="2"/>
  <c r="B1095" i="2"/>
  <c r="A1095" i="2"/>
  <c r="U1094" i="2"/>
  <c r="T1094" i="2"/>
  <c r="R1094" i="2"/>
  <c r="Q1094" i="2"/>
  <c r="P1094" i="2"/>
  <c r="O1094" i="2"/>
  <c r="N1094" i="2"/>
  <c r="M1094" i="2"/>
  <c r="L1094" i="2"/>
  <c r="K1094" i="2"/>
  <c r="J1094" i="2"/>
  <c r="I1094" i="2"/>
  <c r="H1094" i="2"/>
  <c r="G1094" i="2"/>
  <c r="F1094" i="2"/>
  <c r="E1094" i="2"/>
  <c r="D1094" i="2"/>
  <c r="C1094" i="2"/>
  <c r="B1094" i="2"/>
  <c r="A1094" i="2"/>
  <c r="U1093" i="2"/>
  <c r="R1093" i="2"/>
  <c r="Q1093" i="2"/>
  <c r="P1093" i="2"/>
  <c r="O1093" i="2"/>
  <c r="N1093" i="2"/>
  <c r="M1093" i="2"/>
  <c r="L1093" i="2"/>
  <c r="K1093" i="2"/>
  <c r="J1093" i="2"/>
  <c r="I1093" i="2"/>
  <c r="H1093" i="2"/>
  <c r="G1093" i="2"/>
  <c r="F1093" i="2"/>
  <c r="E1093" i="2"/>
  <c r="T1093" i="2" s="1"/>
  <c r="D1093" i="2"/>
  <c r="C1093" i="2"/>
  <c r="B1093" i="2"/>
  <c r="A1093" i="2"/>
  <c r="R1092" i="2"/>
  <c r="Q1092" i="2"/>
  <c r="P1092" i="2"/>
  <c r="O1092" i="2"/>
  <c r="N1092" i="2"/>
  <c r="M1092" i="2"/>
  <c r="L1092" i="2"/>
  <c r="K1092" i="2"/>
  <c r="J1092" i="2"/>
  <c r="I1092" i="2"/>
  <c r="H1092" i="2"/>
  <c r="G1092" i="2"/>
  <c r="F1092" i="2"/>
  <c r="E1092" i="2"/>
  <c r="D1092" i="2"/>
  <c r="C1092" i="2"/>
  <c r="B1092" i="2"/>
  <c r="A1092" i="2"/>
  <c r="U1091" i="2"/>
  <c r="R1091" i="2"/>
  <c r="Q1091" i="2"/>
  <c r="P1091" i="2"/>
  <c r="O1091" i="2"/>
  <c r="N1091" i="2"/>
  <c r="M1091" i="2"/>
  <c r="L1091" i="2"/>
  <c r="K1091" i="2"/>
  <c r="J1091" i="2"/>
  <c r="I1091" i="2"/>
  <c r="H1091" i="2"/>
  <c r="G1091" i="2"/>
  <c r="F1091" i="2"/>
  <c r="E1091" i="2"/>
  <c r="T1091" i="2" s="1"/>
  <c r="D1091" i="2"/>
  <c r="C1091" i="2"/>
  <c r="B1091" i="2"/>
  <c r="A1091" i="2"/>
  <c r="R1090" i="2"/>
  <c r="Q1090" i="2"/>
  <c r="P1090" i="2"/>
  <c r="O1090" i="2"/>
  <c r="N1090" i="2"/>
  <c r="M1090" i="2"/>
  <c r="L1090" i="2"/>
  <c r="K1090" i="2"/>
  <c r="J1090" i="2"/>
  <c r="I1090" i="2"/>
  <c r="H1090" i="2"/>
  <c r="G1090" i="2"/>
  <c r="F1090" i="2"/>
  <c r="E1090" i="2"/>
  <c r="D1090" i="2"/>
  <c r="C1090" i="2"/>
  <c r="B1090" i="2"/>
  <c r="A1090" i="2"/>
  <c r="R1089" i="2"/>
  <c r="Q1089" i="2"/>
  <c r="P1089" i="2"/>
  <c r="O1089" i="2"/>
  <c r="N1089" i="2"/>
  <c r="M1089" i="2"/>
  <c r="L1089" i="2"/>
  <c r="K1089" i="2"/>
  <c r="J1089" i="2"/>
  <c r="I1089" i="2"/>
  <c r="H1089" i="2"/>
  <c r="G1089" i="2"/>
  <c r="F1089" i="2"/>
  <c r="E1089" i="2"/>
  <c r="D1089" i="2"/>
  <c r="C1089" i="2"/>
  <c r="B1089" i="2"/>
  <c r="A1089" i="2"/>
  <c r="U1088" i="2"/>
  <c r="R1088" i="2"/>
  <c r="Q1088" i="2"/>
  <c r="P1088" i="2"/>
  <c r="O1088" i="2"/>
  <c r="N1088" i="2"/>
  <c r="M1088" i="2"/>
  <c r="L1088" i="2"/>
  <c r="K1088" i="2"/>
  <c r="J1088" i="2"/>
  <c r="I1088" i="2"/>
  <c r="H1088" i="2"/>
  <c r="G1088" i="2"/>
  <c r="F1088" i="2"/>
  <c r="E1088" i="2"/>
  <c r="T1088" i="2" s="1"/>
  <c r="D1088" i="2"/>
  <c r="C1088" i="2"/>
  <c r="B1088" i="2"/>
  <c r="A1088" i="2"/>
  <c r="R1087" i="2"/>
  <c r="Q1087" i="2"/>
  <c r="P1087" i="2"/>
  <c r="O1087" i="2"/>
  <c r="N1087" i="2"/>
  <c r="M1087" i="2"/>
  <c r="L1087" i="2"/>
  <c r="K1087" i="2"/>
  <c r="J1087" i="2"/>
  <c r="I1087" i="2"/>
  <c r="H1087" i="2"/>
  <c r="G1087" i="2"/>
  <c r="F1087" i="2"/>
  <c r="E1087" i="2"/>
  <c r="D1087" i="2"/>
  <c r="C1087" i="2"/>
  <c r="B1087" i="2"/>
  <c r="A1087" i="2"/>
  <c r="U1086" i="2"/>
  <c r="T1086" i="2"/>
  <c r="R1086" i="2"/>
  <c r="Q1086" i="2"/>
  <c r="P1086" i="2"/>
  <c r="O1086" i="2"/>
  <c r="N1086" i="2"/>
  <c r="M1086" i="2"/>
  <c r="L1086" i="2"/>
  <c r="K1086" i="2"/>
  <c r="J1086" i="2"/>
  <c r="I1086" i="2"/>
  <c r="H1086" i="2"/>
  <c r="G1086" i="2"/>
  <c r="F1086" i="2"/>
  <c r="E1086" i="2"/>
  <c r="D1086" i="2"/>
  <c r="C1086" i="2"/>
  <c r="B1086" i="2"/>
  <c r="A1086" i="2"/>
  <c r="U1085" i="2"/>
  <c r="R1085" i="2"/>
  <c r="Q1085" i="2"/>
  <c r="P1085" i="2"/>
  <c r="O1085" i="2"/>
  <c r="N1085" i="2"/>
  <c r="M1085" i="2"/>
  <c r="L1085" i="2"/>
  <c r="K1085" i="2"/>
  <c r="J1085" i="2"/>
  <c r="I1085" i="2"/>
  <c r="H1085" i="2"/>
  <c r="G1085" i="2"/>
  <c r="F1085" i="2"/>
  <c r="E1085" i="2"/>
  <c r="T1085" i="2" s="1"/>
  <c r="D1085" i="2"/>
  <c r="C1085" i="2"/>
  <c r="B1085" i="2"/>
  <c r="A1085" i="2"/>
  <c r="R1084" i="2"/>
  <c r="Q1084" i="2"/>
  <c r="P1084" i="2"/>
  <c r="O1084" i="2"/>
  <c r="N1084" i="2"/>
  <c r="M1084" i="2"/>
  <c r="L1084" i="2"/>
  <c r="K1084" i="2"/>
  <c r="J1084" i="2"/>
  <c r="I1084" i="2"/>
  <c r="H1084" i="2"/>
  <c r="G1084" i="2"/>
  <c r="F1084" i="2"/>
  <c r="E1084" i="2"/>
  <c r="U1084" i="2" s="1"/>
  <c r="D1084" i="2"/>
  <c r="C1084" i="2"/>
  <c r="B1084" i="2"/>
  <c r="A1084" i="2"/>
  <c r="U1083" i="2"/>
  <c r="R1083" i="2"/>
  <c r="Q1083" i="2"/>
  <c r="P1083" i="2"/>
  <c r="O1083" i="2"/>
  <c r="N1083" i="2"/>
  <c r="M1083" i="2"/>
  <c r="L1083" i="2"/>
  <c r="K1083" i="2"/>
  <c r="J1083" i="2"/>
  <c r="I1083" i="2"/>
  <c r="H1083" i="2"/>
  <c r="G1083" i="2"/>
  <c r="F1083" i="2"/>
  <c r="E1083" i="2"/>
  <c r="T1083" i="2" s="1"/>
  <c r="D1083" i="2"/>
  <c r="C1083" i="2"/>
  <c r="B1083" i="2"/>
  <c r="A1083" i="2"/>
  <c r="R1082" i="2"/>
  <c r="Q1082" i="2"/>
  <c r="P1082" i="2"/>
  <c r="O1082" i="2"/>
  <c r="N1082" i="2"/>
  <c r="M1082" i="2"/>
  <c r="L1082" i="2"/>
  <c r="K1082" i="2"/>
  <c r="J1082" i="2"/>
  <c r="I1082" i="2"/>
  <c r="H1082" i="2"/>
  <c r="G1082" i="2"/>
  <c r="F1082" i="2"/>
  <c r="E1082" i="2"/>
  <c r="U1082" i="2" s="1"/>
  <c r="D1082" i="2"/>
  <c r="C1082" i="2"/>
  <c r="B1082" i="2"/>
  <c r="A1082" i="2"/>
  <c r="R1081" i="2"/>
  <c r="Q1081" i="2"/>
  <c r="P1081" i="2"/>
  <c r="O1081" i="2"/>
  <c r="N1081" i="2"/>
  <c r="M1081" i="2"/>
  <c r="L1081" i="2"/>
  <c r="K1081" i="2"/>
  <c r="J1081" i="2"/>
  <c r="I1081" i="2"/>
  <c r="H1081" i="2"/>
  <c r="G1081" i="2"/>
  <c r="F1081" i="2"/>
  <c r="E1081" i="2"/>
  <c r="U1081" i="2" s="1"/>
  <c r="D1081" i="2"/>
  <c r="C1081" i="2"/>
  <c r="B1081" i="2"/>
  <c r="A1081" i="2"/>
  <c r="T1080" i="2"/>
  <c r="R1080" i="2"/>
  <c r="Q1080" i="2"/>
  <c r="P1080" i="2"/>
  <c r="O1080" i="2"/>
  <c r="N1080" i="2"/>
  <c r="M1080" i="2"/>
  <c r="L1080" i="2"/>
  <c r="K1080" i="2"/>
  <c r="J1080" i="2"/>
  <c r="I1080" i="2"/>
  <c r="H1080" i="2"/>
  <c r="G1080" i="2"/>
  <c r="F1080" i="2"/>
  <c r="E1080" i="2"/>
  <c r="U1080" i="2" s="1"/>
  <c r="D1080" i="2"/>
  <c r="C1080" i="2"/>
  <c r="B1080" i="2"/>
  <c r="A1080" i="2"/>
  <c r="R1079" i="2"/>
  <c r="Q1079" i="2"/>
  <c r="P1079" i="2"/>
  <c r="O1079" i="2"/>
  <c r="N1079" i="2"/>
  <c r="M1079" i="2"/>
  <c r="L1079" i="2"/>
  <c r="K1079" i="2"/>
  <c r="J1079" i="2"/>
  <c r="I1079" i="2"/>
  <c r="H1079" i="2"/>
  <c r="G1079" i="2"/>
  <c r="F1079" i="2"/>
  <c r="E1079" i="2"/>
  <c r="U1079" i="2" s="1"/>
  <c r="D1079" i="2"/>
  <c r="C1079" i="2"/>
  <c r="B1079" i="2"/>
  <c r="A1079" i="2"/>
  <c r="R1078" i="2"/>
  <c r="Q1078" i="2"/>
  <c r="P1078" i="2"/>
  <c r="O1078" i="2"/>
  <c r="N1078" i="2"/>
  <c r="M1078" i="2"/>
  <c r="L1078" i="2"/>
  <c r="K1078" i="2"/>
  <c r="J1078" i="2"/>
  <c r="I1078" i="2"/>
  <c r="H1078" i="2"/>
  <c r="G1078" i="2"/>
  <c r="F1078" i="2"/>
  <c r="E1078" i="2"/>
  <c r="U1078" i="2" s="1"/>
  <c r="D1078" i="2"/>
  <c r="C1078" i="2"/>
  <c r="B1078" i="2"/>
  <c r="A1078" i="2"/>
  <c r="R1077" i="2"/>
  <c r="Q1077" i="2"/>
  <c r="P1077" i="2"/>
  <c r="O1077" i="2"/>
  <c r="N1077" i="2"/>
  <c r="M1077" i="2"/>
  <c r="L1077" i="2"/>
  <c r="K1077" i="2"/>
  <c r="J1077" i="2"/>
  <c r="I1077" i="2"/>
  <c r="H1077" i="2"/>
  <c r="G1077" i="2"/>
  <c r="F1077" i="2"/>
  <c r="E1077" i="2"/>
  <c r="D1077" i="2"/>
  <c r="C1077" i="2"/>
  <c r="B1077" i="2"/>
  <c r="A1077" i="2"/>
  <c r="R1076" i="2"/>
  <c r="Q1076" i="2"/>
  <c r="P1076" i="2"/>
  <c r="O1076" i="2"/>
  <c r="N1076" i="2"/>
  <c r="M1076" i="2"/>
  <c r="L1076" i="2"/>
  <c r="K1076" i="2"/>
  <c r="J1076" i="2"/>
  <c r="I1076" i="2"/>
  <c r="H1076" i="2"/>
  <c r="G1076" i="2"/>
  <c r="F1076" i="2"/>
  <c r="E1076" i="2"/>
  <c r="T1076" i="2" s="1"/>
  <c r="D1076" i="2"/>
  <c r="C1076" i="2"/>
  <c r="B1076" i="2"/>
  <c r="A1076" i="2"/>
  <c r="R1075" i="2"/>
  <c r="Q1075" i="2"/>
  <c r="P1075" i="2"/>
  <c r="O1075" i="2"/>
  <c r="N1075" i="2"/>
  <c r="M1075" i="2"/>
  <c r="L1075" i="2"/>
  <c r="K1075" i="2"/>
  <c r="J1075" i="2"/>
  <c r="I1075" i="2"/>
  <c r="H1075" i="2"/>
  <c r="G1075" i="2"/>
  <c r="F1075" i="2"/>
  <c r="E1075" i="2"/>
  <c r="U1075" i="2" s="1"/>
  <c r="D1075" i="2"/>
  <c r="C1075" i="2"/>
  <c r="B1075" i="2"/>
  <c r="A1075" i="2"/>
  <c r="R1074" i="2"/>
  <c r="Q1074" i="2"/>
  <c r="P1074" i="2"/>
  <c r="O1074" i="2"/>
  <c r="N1074" i="2"/>
  <c r="M1074" i="2"/>
  <c r="L1074" i="2"/>
  <c r="K1074" i="2"/>
  <c r="J1074" i="2"/>
  <c r="I1074" i="2"/>
  <c r="H1074" i="2"/>
  <c r="G1074" i="2"/>
  <c r="F1074" i="2"/>
  <c r="E1074" i="2"/>
  <c r="U1074" i="2" s="1"/>
  <c r="D1074" i="2"/>
  <c r="C1074" i="2"/>
  <c r="B1074" i="2"/>
  <c r="A1074" i="2"/>
  <c r="R1073" i="2"/>
  <c r="Q1073" i="2"/>
  <c r="P1073" i="2"/>
  <c r="O1073" i="2"/>
  <c r="N1073" i="2"/>
  <c r="M1073" i="2"/>
  <c r="L1073" i="2"/>
  <c r="K1073" i="2"/>
  <c r="J1073" i="2"/>
  <c r="I1073" i="2"/>
  <c r="H1073" i="2"/>
  <c r="G1073" i="2"/>
  <c r="F1073" i="2"/>
  <c r="E1073" i="2"/>
  <c r="T1073" i="2" s="1"/>
  <c r="D1073" i="2"/>
  <c r="C1073" i="2"/>
  <c r="B1073" i="2"/>
  <c r="A1073" i="2"/>
  <c r="R1072" i="2"/>
  <c r="Q1072" i="2"/>
  <c r="P1072" i="2"/>
  <c r="O1072" i="2"/>
  <c r="N1072" i="2"/>
  <c r="M1072" i="2"/>
  <c r="L1072" i="2"/>
  <c r="K1072" i="2"/>
  <c r="J1072" i="2"/>
  <c r="I1072" i="2"/>
  <c r="H1072" i="2"/>
  <c r="G1072" i="2"/>
  <c r="F1072" i="2"/>
  <c r="E1072" i="2"/>
  <c r="D1072" i="2"/>
  <c r="C1072" i="2"/>
  <c r="B1072" i="2"/>
  <c r="A1072" i="2"/>
  <c r="R1071" i="2"/>
  <c r="Q1071" i="2"/>
  <c r="P1071" i="2"/>
  <c r="O1071" i="2"/>
  <c r="N1071" i="2"/>
  <c r="M1071" i="2"/>
  <c r="L1071" i="2"/>
  <c r="K1071" i="2"/>
  <c r="J1071" i="2"/>
  <c r="I1071" i="2"/>
  <c r="H1071" i="2"/>
  <c r="G1071" i="2"/>
  <c r="F1071" i="2"/>
  <c r="E1071" i="2"/>
  <c r="T1071" i="2" s="1"/>
  <c r="D1071" i="2"/>
  <c r="C1071" i="2"/>
  <c r="B1071" i="2"/>
  <c r="A1071" i="2"/>
  <c r="R1070" i="2"/>
  <c r="Q1070" i="2"/>
  <c r="P1070" i="2"/>
  <c r="O1070" i="2"/>
  <c r="N1070" i="2"/>
  <c r="M1070" i="2"/>
  <c r="L1070" i="2"/>
  <c r="K1070" i="2"/>
  <c r="J1070" i="2"/>
  <c r="I1070" i="2"/>
  <c r="H1070" i="2"/>
  <c r="G1070" i="2"/>
  <c r="F1070" i="2"/>
  <c r="E1070" i="2"/>
  <c r="D1070" i="2"/>
  <c r="C1070" i="2"/>
  <c r="B1070" i="2"/>
  <c r="A1070" i="2"/>
  <c r="R1069" i="2"/>
  <c r="Q1069" i="2"/>
  <c r="P1069" i="2"/>
  <c r="O1069" i="2"/>
  <c r="N1069" i="2"/>
  <c r="M1069" i="2"/>
  <c r="L1069" i="2"/>
  <c r="K1069" i="2"/>
  <c r="J1069" i="2"/>
  <c r="I1069" i="2"/>
  <c r="H1069" i="2"/>
  <c r="G1069" i="2"/>
  <c r="F1069" i="2"/>
  <c r="E1069" i="2"/>
  <c r="D1069" i="2"/>
  <c r="C1069" i="2"/>
  <c r="B1069" i="2"/>
  <c r="A1069" i="2"/>
  <c r="R1068" i="2"/>
  <c r="Q1068" i="2"/>
  <c r="P1068" i="2"/>
  <c r="O1068" i="2"/>
  <c r="N1068" i="2"/>
  <c r="M1068" i="2"/>
  <c r="L1068" i="2"/>
  <c r="K1068" i="2"/>
  <c r="J1068" i="2"/>
  <c r="I1068" i="2"/>
  <c r="H1068" i="2"/>
  <c r="G1068" i="2"/>
  <c r="F1068" i="2"/>
  <c r="E1068" i="2"/>
  <c r="U1068" i="2" s="1"/>
  <c r="D1068" i="2"/>
  <c r="C1068" i="2"/>
  <c r="B1068" i="2"/>
  <c r="A1068" i="2"/>
  <c r="R1067" i="2"/>
  <c r="Q1067" i="2"/>
  <c r="P1067" i="2"/>
  <c r="O1067" i="2"/>
  <c r="N1067" i="2"/>
  <c r="M1067" i="2"/>
  <c r="L1067" i="2"/>
  <c r="K1067" i="2"/>
  <c r="J1067" i="2"/>
  <c r="I1067" i="2"/>
  <c r="H1067" i="2"/>
  <c r="G1067" i="2"/>
  <c r="F1067" i="2"/>
  <c r="E1067" i="2"/>
  <c r="D1067" i="2"/>
  <c r="C1067" i="2"/>
  <c r="B1067" i="2"/>
  <c r="A1067" i="2"/>
  <c r="R1066" i="2"/>
  <c r="Q1066" i="2"/>
  <c r="P1066" i="2"/>
  <c r="O1066" i="2"/>
  <c r="N1066" i="2"/>
  <c r="M1066" i="2"/>
  <c r="L1066" i="2"/>
  <c r="K1066" i="2"/>
  <c r="J1066" i="2"/>
  <c r="I1066" i="2"/>
  <c r="H1066" i="2"/>
  <c r="G1066" i="2"/>
  <c r="F1066" i="2"/>
  <c r="E1066" i="2"/>
  <c r="U1066" i="2" s="1"/>
  <c r="D1066" i="2"/>
  <c r="C1066" i="2"/>
  <c r="B1066" i="2"/>
  <c r="A1066" i="2"/>
  <c r="R1065" i="2"/>
  <c r="Q1065" i="2"/>
  <c r="P1065" i="2"/>
  <c r="O1065" i="2"/>
  <c r="N1065" i="2"/>
  <c r="M1065" i="2"/>
  <c r="L1065" i="2"/>
  <c r="K1065" i="2"/>
  <c r="J1065" i="2"/>
  <c r="I1065" i="2"/>
  <c r="H1065" i="2"/>
  <c r="G1065" i="2"/>
  <c r="F1065" i="2"/>
  <c r="E1065" i="2"/>
  <c r="U1065" i="2" s="1"/>
  <c r="D1065" i="2"/>
  <c r="C1065" i="2"/>
  <c r="B1065" i="2"/>
  <c r="A1065" i="2"/>
  <c r="R1064" i="2"/>
  <c r="Q1064" i="2"/>
  <c r="P1064" i="2"/>
  <c r="O1064" i="2"/>
  <c r="N1064" i="2"/>
  <c r="M1064" i="2"/>
  <c r="L1064" i="2"/>
  <c r="K1064" i="2"/>
  <c r="J1064" i="2"/>
  <c r="I1064" i="2"/>
  <c r="H1064" i="2"/>
  <c r="G1064" i="2"/>
  <c r="F1064" i="2"/>
  <c r="E1064" i="2"/>
  <c r="U1064" i="2" s="1"/>
  <c r="D1064" i="2"/>
  <c r="C1064" i="2"/>
  <c r="B1064" i="2"/>
  <c r="A1064" i="2"/>
  <c r="R1063" i="2"/>
  <c r="Q1063" i="2"/>
  <c r="P1063" i="2"/>
  <c r="O1063" i="2"/>
  <c r="N1063" i="2"/>
  <c r="M1063" i="2"/>
  <c r="L1063" i="2"/>
  <c r="K1063" i="2"/>
  <c r="J1063" i="2"/>
  <c r="I1063" i="2"/>
  <c r="H1063" i="2"/>
  <c r="G1063" i="2"/>
  <c r="F1063" i="2"/>
  <c r="E1063" i="2"/>
  <c r="U1063" i="2" s="1"/>
  <c r="D1063" i="2"/>
  <c r="C1063" i="2"/>
  <c r="B1063" i="2"/>
  <c r="A1063" i="2"/>
  <c r="U1062" i="2"/>
  <c r="T1062" i="2"/>
  <c r="R1062" i="2"/>
  <c r="Q1062" i="2"/>
  <c r="P1062" i="2"/>
  <c r="O1062" i="2"/>
  <c r="N1062" i="2"/>
  <c r="M1062" i="2"/>
  <c r="L1062" i="2"/>
  <c r="K1062" i="2"/>
  <c r="J1062" i="2"/>
  <c r="I1062" i="2"/>
  <c r="H1062" i="2"/>
  <c r="G1062" i="2"/>
  <c r="F1062" i="2"/>
  <c r="E1062" i="2"/>
  <c r="D1062" i="2"/>
  <c r="C1062" i="2"/>
  <c r="B1062" i="2"/>
  <c r="A1062" i="2"/>
  <c r="U1061" i="2"/>
  <c r="T1061" i="2"/>
  <c r="R1061" i="2"/>
  <c r="Q1061" i="2"/>
  <c r="P1061" i="2"/>
  <c r="O1061" i="2"/>
  <c r="N1061" i="2"/>
  <c r="M1061" i="2"/>
  <c r="L1061" i="2"/>
  <c r="K1061" i="2"/>
  <c r="J1061" i="2"/>
  <c r="I1061" i="2"/>
  <c r="H1061" i="2"/>
  <c r="G1061" i="2"/>
  <c r="F1061" i="2"/>
  <c r="E1061" i="2"/>
  <c r="D1061" i="2"/>
  <c r="C1061" i="2"/>
  <c r="B1061" i="2"/>
  <c r="A1061" i="2"/>
  <c r="U1060" i="2"/>
  <c r="R1060" i="2"/>
  <c r="Q1060" i="2"/>
  <c r="P1060" i="2"/>
  <c r="O1060" i="2"/>
  <c r="N1060" i="2"/>
  <c r="M1060" i="2"/>
  <c r="L1060" i="2"/>
  <c r="K1060" i="2"/>
  <c r="J1060" i="2"/>
  <c r="I1060" i="2"/>
  <c r="H1060" i="2"/>
  <c r="G1060" i="2"/>
  <c r="F1060" i="2"/>
  <c r="E1060" i="2"/>
  <c r="T1060" i="2" s="1"/>
  <c r="D1060" i="2"/>
  <c r="C1060" i="2"/>
  <c r="B1060" i="2"/>
  <c r="A1060" i="2"/>
  <c r="R1059" i="2"/>
  <c r="Q1059" i="2"/>
  <c r="P1059" i="2"/>
  <c r="O1059" i="2"/>
  <c r="N1059" i="2"/>
  <c r="M1059" i="2"/>
  <c r="L1059" i="2"/>
  <c r="K1059" i="2"/>
  <c r="J1059" i="2"/>
  <c r="I1059" i="2"/>
  <c r="H1059" i="2"/>
  <c r="G1059" i="2"/>
  <c r="F1059" i="2"/>
  <c r="E1059" i="2"/>
  <c r="U1059" i="2" s="1"/>
  <c r="D1059" i="2"/>
  <c r="C1059" i="2"/>
  <c r="B1059" i="2"/>
  <c r="A1059" i="2"/>
  <c r="R1058" i="2"/>
  <c r="Q1058" i="2"/>
  <c r="P1058" i="2"/>
  <c r="O1058" i="2"/>
  <c r="N1058" i="2"/>
  <c r="M1058" i="2"/>
  <c r="L1058" i="2"/>
  <c r="K1058" i="2"/>
  <c r="J1058" i="2"/>
  <c r="I1058" i="2"/>
  <c r="H1058" i="2"/>
  <c r="G1058" i="2"/>
  <c r="F1058" i="2"/>
  <c r="E1058" i="2"/>
  <c r="U1058" i="2" s="1"/>
  <c r="D1058" i="2"/>
  <c r="C1058" i="2"/>
  <c r="B1058" i="2"/>
  <c r="A1058" i="2"/>
  <c r="R1057" i="2"/>
  <c r="Q1057" i="2"/>
  <c r="P1057" i="2"/>
  <c r="O1057" i="2"/>
  <c r="N1057" i="2"/>
  <c r="M1057" i="2"/>
  <c r="L1057" i="2"/>
  <c r="K1057" i="2"/>
  <c r="J1057" i="2"/>
  <c r="I1057" i="2"/>
  <c r="H1057" i="2"/>
  <c r="G1057" i="2"/>
  <c r="F1057" i="2"/>
  <c r="E1057" i="2"/>
  <c r="T1057" i="2" s="1"/>
  <c r="D1057" i="2"/>
  <c r="C1057" i="2"/>
  <c r="B1057" i="2"/>
  <c r="A1057" i="2"/>
  <c r="U1056" i="2"/>
  <c r="R1056" i="2"/>
  <c r="Q1056" i="2"/>
  <c r="P1056" i="2"/>
  <c r="O1056" i="2"/>
  <c r="N1056" i="2"/>
  <c r="M1056" i="2"/>
  <c r="L1056" i="2"/>
  <c r="K1056" i="2"/>
  <c r="J1056" i="2"/>
  <c r="I1056" i="2"/>
  <c r="H1056" i="2"/>
  <c r="G1056" i="2"/>
  <c r="F1056" i="2"/>
  <c r="E1056" i="2"/>
  <c r="T1056" i="2" s="1"/>
  <c r="D1056" i="2"/>
  <c r="C1056" i="2"/>
  <c r="B1056" i="2"/>
  <c r="A1056" i="2"/>
  <c r="T1055" i="2"/>
  <c r="R1055" i="2"/>
  <c r="Q1055" i="2"/>
  <c r="P1055" i="2"/>
  <c r="O1055" i="2"/>
  <c r="N1055" i="2"/>
  <c r="M1055" i="2"/>
  <c r="L1055" i="2"/>
  <c r="K1055" i="2"/>
  <c r="J1055" i="2"/>
  <c r="I1055" i="2"/>
  <c r="H1055" i="2"/>
  <c r="G1055" i="2"/>
  <c r="F1055" i="2"/>
  <c r="E1055" i="2"/>
  <c r="U1055" i="2" s="1"/>
  <c r="D1055" i="2"/>
  <c r="C1055" i="2"/>
  <c r="B1055" i="2"/>
  <c r="A1055" i="2"/>
  <c r="U1054" i="2"/>
  <c r="R1054" i="2"/>
  <c r="Q1054" i="2"/>
  <c r="P1054" i="2"/>
  <c r="O1054" i="2"/>
  <c r="N1054" i="2"/>
  <c r="M1054" i="2"/>
  <c r="L1054" i="2"/>
  <c r="K1054" i="2"/>
  <c r="J1054" i="2"/>
  <c r="I1054" i="2"/>
  <c r="H1054" i="2"/>
  <c r="G1054" i="2"/>
  <c r="F1054" i="2"/>
  <c r="E1054" i="2"/>
  <c r="T1054" i="2" s="1"/>
  <c r="D1054" i="2"/>
  <c r="C1054" i="2"/>
  <c r="B1054" i="2"/>
  <c r="A1054" i="2"/>
  <c r="R1053" i="2"/>
  <c r="Q1053" i="2"/>
  <c r="P1053" i="2"/>
  <c r="O1053" i="2"/>
  <c r="N1053" i="2"/>
  <c r="M1053" i="2"/>
  <c r="L1053" i="2"/>
  <c r="K1053" i="2"/>
  <c r="J1053" i="2"/>
  <c r="I1053" i="2"/>
  <c r="H1053" i="2"/>
  <c r="G1053" i="2"/>
  <c r="F1053" i="2"/>
  <c r="E1053" i="2"/>
  <c r="T1053" i="2" s="1"/>
  <c r="D1053" i="2"/>
  <c r="C1053" i="2"/>
  <c r="B1053" i="2"/>
  <c r="A1053" i="2"/>
  <c r="R1052" i="2"/>
  <c r="Q1052" i="2"/>
  <c r="P1052" i="2"/>
  <c r="O1052" i="2"/>
  <c r="N1052" i="2"/>
  <c r="M1052" i="2"/>
  <c r="L1052" i="2"/>
  <c r="K1052" i="2"/>
  <c r="J1052" i="2"/>
  <c r="I1052" i="2"/>
  <c r="H1052" i="2"/>
  <c r="G1052" i="2"/>
  <c r="F1052" i="2"/>
  <c r="E1052" i="2"/>
  <c r="T1052" i="2" s="1"/>
  <c r="D1052" i="2"/>
  <c r="C1052" i="2"/>
  <c r="B1052" i="2"/>
  <c r="A1052" i="2"/>
  <c r="U1051" i="2"/>
  <c r="R1051" i="2"/>
  <c r="Q1051" i="2"/>
  <c r="P1051" i="2"/>
  <c r="O1051" i="2"/>
  <c r="N1051" i="2"/>
  <c r="M1051" i="2"/>
  <c r="L1051" i="2"/>
  <c r="K1051" i="2"/>
  <c r="J1051" i="2"/>
  <c r="I1051" i="2"/>
  <c r="H1051" i="2"/>
  <c r="G1051" i="2"/>
  <c r="F1051" i="2"/>
  <c r="E1051" i="2"/>
  <c r="T1051" i="2" s="1"/>
  <c r="D1051" i="2"/>
  <c r="C1051" i="2"/>
  <c r="B1051" i="2"/>
  <c r="A1051" i="2"/>
  <c r="R1050" i="2"/>
  <c r="Q1050" i="2"/>
  <c r="P1050" i="2"/>
  <c r="O1050" i="2"/>
  <c r="N1050" i="2"/>
  <c r="M1050" i="2"/>
  <c r="L1050" i="2"/>
  <c r="K1050" i="2"/>
  <c r="J1050" i="2"/>
  <c r="I1050" i="2"/>
  <c r="H1050" i="2"/>
  <c r="G1050" i="2"/>
  <c r="F1050" i="2"/>
  <c r="E1050" i="2"/>
  <c r="D1050" i="2"/>
  <c r="C1050" i="2"/>
  <c r="B1050" i="2"/>
  <c r="A1050" i="2"/>
  <c r="R1049" i="2"/>
  <c r="Q1049" i="2"/>
  <c r="P1049" i="2"/>
  <c r="O1049" i="2"/>
  <c r="N1049" i="2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A1049" i="2"/>
  <c r="R1048" i="2"/>
  <c r="Q1048" i="2"/>
  <c r="P1048" i="2"/>
  <c r="O1048" i="2"/>
  <c r="N1048" i="2"/>
  <c r="M1048" i="2"/>
  <c r="L1048" i="2"/>
  <c r="K1048" i="2"/>
  <c r="J1048" i="2"/>
  <c r="I1048" i="2"/>
  <c r="H1048" i="2"/>
  <c r="G1048" i="2"/>
  <c r="F1048" i="2"/>
  <c r="E1048" i="2"/>
  <c r="U1048" i="2" s="1"/>
  <c r="D1048" i="2"/>
  <c r="C1048" i="2"/>
  <c r="B1048" i="2"/>
  <c r="A1048" i="2"/>
  <c r="R1047" i="2"/>
  <c r="Q1047" i="2"/>
  <c r="P1047" i="2"/>
  <c r="O1047" i="2"/>
  <c r="N1047" i="2"/>
  <c r="M1047" i="2"/>
  <c r="L1047" i="2"/>
  <c r="K1047" i="2"/>
  <c r="J1047" i="2"/>
  <c r="I1047" i="2"/>
  <c r="H1047" i="2"/>
  <c r="G1047" i="2"/>
  <c r="F1047" i="2"/>
  <c r="E1047" i="2"/>
  <c r="D1047" i="2"/>
  <c r="C1047" i="2"/>
  <c r="B1047" i="2"/>
  <c r="A1047" i="2"/>
  <c r="U1046" i="2"/>
  <c r="T1046" i="2"/>
  <c r="R1046" i="2"/>
  <c r="Q1046" i="2"/>
  <c r="P1046" i="2"/>
  <c r="O1046" i="2"/>
  <c r="N1046" i="2"/>
  <c r="M1046" i="2"/>
  <c r="L1046" i="2"/>
  <c r="K1046" i="2"/>
  <c r="J1046" i="2"/>
  <c r="I1046" i="2"/>
  <c r="H1046" i="2"/>
  <c r="G1046" i="2"/>
  <c r="F1046" i="2"/>
  <c r="E1046" i="2"/>
  <c r="D1046" i="2"/>
  <c r="C1046" i="2"/>
  <c r="B1046" i="2"/>
  <c r="A1046" i="2"/>
  <c r="U1045" i="2"/>
  <c r="T1045" i="2"/>
  <c r="R1045" i="2"/>
  <c r="Q1045" i="2"/>
  <c r="P1045" i="2"/>
  <c r="O1045" i="2"/>
  <c r="N1045" i="2"/>
  <c r="M1045" i="2"/>
  <c r="L1045" i="2"/>
  <c r="K1045" i="2"/>
  <c r="J1045" i="2"/>
  <c r="I1045" i="2"/>
  <c r="H1045" i="2"/>
  <c r="G1045" i="2"/>
  <c r="F1045" i="2"/>
  <c r="E1045" i="2"/>
  <c r="D1045" i="2"/>
  <c r="C1045" i="2"/>
  <c r="B1045" i="2"/>
  <c r="A1045" i="2"/>
  <c r="R1044" i="2"/>
  <c r="Q1044" i="2"/>
  <c r="P1044" i="2"/>
  <c r="O1044" i="2"/>
  <c r="N1044" i="2"/>
  <c r="M1044" i="2"/>
  <c r="L1044" i="2"/>
  <c r="K1044" i="2"/>
  <c r="J1044" i="2"/>
  <c r="I1044" i="2"/>
  <c r="H1044" i="2"/>
  <c r="G1044" i="2"/>
  <c r="F1044" i="2"/>
  <c r="E1044" i="2"/>
  <c r="U1044" i="2" s="1"/>
  <c r="D1044" i="2"/>
  <c r="C1044" i="2"/>
  <c r="B1044" i="2"/>
  <c r="A1044" i="2"/>
  <c r="R1043" i="2"/>
  <c r="Q1043" i="2"/>
  <c r="P1043" i="2"/>
  <c r="O1043" i="2"/>
  <c r="N1043" i="2"/>
  <c r="M1043" i="2"/>
  <c r="L1043" i="2"/>
  <c r="K1043" i="2"/>
  <c r="J1043" i="2"/>
  <c r="I1043" i="2"/>
  <c r="H1043" i="2"/>
  <c r="G1043" i="2"/>
  <c r="F1043" i="2"/>
  <c r="E1043" i="2"/>
  <c r="U1043" i="2" s="1"/>
  <c r="D1043" i="2"/>
  <c r="C1043" i="2"/>
  <c r="B1043" i="2"/>
  <c r="A1043" i="2"/>
  <c r="R1042" i="2"/>
  <c r="Q1042" i="2"/>
  <c r="P1042" i="2"/>
  <c r="O1042" i="2"/>
  <c r="N1042" i="2"/>
  <c r="M1042" i="2"/>
  <c r="L1042" i="2"/>
  <c r="K1042" i="2"/>
  <c r="J1042" i="2"/>
  <c r="I1042" i="2"/>
  <c r="H1042" i="2"/>
  <c r="G1042" i="2"/>
  <c r="F1042" i="2"/>
  <c r="E1042" i="2"/>
  <c r="U1042" i="2" s="1"/>
  <c r="D1042" i="2"/>
  <c r="C1042" i="2"/>
  <c r="B1042" i="2"/>
  <c r="A1042" i="2"/>
  <c r="R1041" i="2"/>
  <c r="Q1041" i="2"/>
  <c r="P1041" i="2"/>
  <c r="O1041" i="2"/>
  <c r="N1041" i="2"/>
  <c r="M1041" i="2"/>
  <c r="L1041" i="2"/>
  <c r="K1041" i="2"/>
  <c r="J1041" i="2"/>
  <c r="I1041" i="2"/>
  <c r="H1041" i="2"/>
  <c r="G1041" i="2"/>
  <c r="F1041" i="2"/>
  <c r="E1041" i="2"/>
  <c r="U1041" i="2" s="1"/>
  <c r="D1041" i="2"/>
  <c r="C1041" i="2"/>
  <c r="B1041" i="2"/>
  <c r="A1041" i="2"/>
  <c r="U1040" i="2"/>
  <c r="T1040" i="2"/>
  <c r="R1040" i="2"/>
  <c r="Q1040" i="2"/>
  <c r="P1040" i="2"/>
  <c r="O1040" i="2"/>
  <c r="N1040" i="2"/>
  <c r="M1040" i="2"/>
  <c r="L1040" i="2"/>
  <c r="K1040" i="2"/>
  <c r="J1040" i="2"/>
  <c r="I1040" i="2"/>
  <c r="H1040" i="2"/>
  <c r="G1040" i="2"/>
  <c r="F1040" i="2"/>
  <c r="E1040" i="2"/>
  <c r="D1040" i="2"/>
  <c r="C1040" i="2"/>
  <c r="B1040" i="2"/>
  <c r="A1040" i="2"/>
  <c r="U1039" i="2"/>
  <c r="T1039" i="2"/>
  <c r="R1039" i="2"/>
  <c r="Q1039" i="2"/>
  <c r="P1039" i="2"/>
  <c r="O1039" i="2"/>
  <c r="N1039" i="2"/>
  <c r="M1039" i="2"/>
  <c r="L1039" i="2"/>
  <c r="K1039" i="2"/>
  <c r="J1039" i="2"/>
  <c r="I1039" i="2"/>
  <c r="H1039" i="2"/>
  <c r="G1039" i="2"/>
  <c r="F1039" i="2"/>
  <c r="E1039" i="2"/>
  <c r="D1039" i="2"/>
  <c r="C1039" i="2"/>
  <c r="B1039" i="2"/>
  <c r="A1039" i="2"/>
  <c r="R1038" i="2"/>
  <c r="Q1038" i="2"/>
  <c r="P1038" i="2"/>
  <c r="O1038" i="2"/>
  <c r="N1038" i="2"/>
  <c r="M1038" i="2"/>
  <c r="L1038" i="2"/>
  <c r="K1038" i="2"/>
  <c r="J1038" i="2"/>
  <c r="I1038" i="2"/>
  <c r="H1038" i="2"/>
  <c r="G1038" i="2"/>
  <c r="F1038" i="2"/>
  <c r="E1038" i="2"/>
  <c r="U1038" i="2" s="1"/>
  <c r="D1038" i="2"/>
  <c r="C1038" i="2"/>
  <c r="B1038" i="2"/>
  <c r="A1038" i="2"/>
  <c r="R1037" i="2"/>
  <c r="Q1037" i="2"/>
  <c r="P1037" i="2"/>
  <c r="O1037" i="2"/>
  <c r="N1037" i="2"/>
  <c r="M1037" i="2"/>
  <c r="L1037" i="2"/>
  <c r="K1037" i="2"/>
  <c r="J1037" i="2"/>
  <c r="I1037" i="2"/>
  <c r="H1037" i="2"/>
  <c r="G1037" i="2"/>
  <c r="F1037" i="2"/>
  <c r="E1037" i="2"/>
  <c r="T1037" i="2" s="1"/>
  <c r="D1037" i="2"/>
  <c r="C1037" i="2"/>
  <c r="B1037" i="2"/>
  <c r="A1037" i="2"/>
  <c r="R1036" i="2"/>
  <c r="Q1036" i="2"/>
  <c r="P1036" i="2"/>
  <c r="O1036" i="2"/>
  <c r="N1036" i="2"/>
  <c r="M1036" i="2"/>
  <c r="L1036" i="2"/>
  <c r="K1036" i="2"/>
  <c r="J1036" i="2"/>
  <c r="I1036" i="2"/>
  <c r="H1036" i="2"/>
  <c r="G1036" i="2"/>
  <c r="F1036" i="2"/>
  <c r="E1036" i="2"/>
  <c r="T1036" i="2" s="1"/>
  <c r="D1036" i="2"/>
  <c r="C1036" i="2"/>
  <c r="B1036" i="2"/>
  <c r="A1036" i="2"/>
  <c r="R1035" i="2"/>
  <c r="Q1035" i="2"/>
  <c r="P1035" i="2"/>
  <c r="O1035" i="2"/>
  <c r="N1035" i="2"/>
  <c r="M1035" i="2"/>
  <c r="L1035" i="2"/>
  <c r="K1035" i="2"/>
  <c r="J1035" i="2"/>
  <c r="I1035" i="2"/>
  <c r="H1035" i="2"/>
  <c r="G1035" i="2"/>
  <c r="F1035" i="2"/>
  <c r="E1035" i="2"/>
  <c r="U1035" i="2" s="1"/>
  <c r="D1035" i="2"/>
  <c r="C1035" i="2"/>
  <c r="B1035" i="2"/>
  <c r="A1035" i="2"/>
  <c r="U1034" i="2"/>
  <c r="T1034" i="2"/>
  <c r="R1034" i="2"/>
  <c r="Q1034" i="2"/>
  <c r="P1034" i="2"/>
  <c r="O1034" i="2"/>
  <c r="N1034" i="2"/>
  <c r="M1034" i="2"/>
  <c r="L1034" i="2"/>
  <c r="K1034" i="2"/>
  <c r="J1034" i="2"/>
  <c r="I1034" i="2"/>
  <c r="H1034" i="2"/>
  <c r="G1034" i="2"/>
  <c r="F1034" i="2"/>
  <c r="E1034" i="2"/>
  <c r="D1034" i="2"/>
  <c r="C1034" i="2"/>
  <c r="B1034" i="2"/>
  <c r="A1034" i="2"/>
  <c r="U1033" i="2"/>
  <c r="T1033" i="2"/>
  <c r="R1033" i="2"/>
  <c r="Q1033" i="2"/>
  <c r="P1033" i="2"/>
  <c r="O1033" i="2"/>
  <c r="N1033" i="2"/>
  <c r="M1033" i="2"/>
  <c r="L1033" i="2"/>
  <c r="K1033" i="2"/>
  <c r="J1033" i="2"/>
  <c r="I1033" i="2"/>
  <c r="H1033" i="2"/>
  <c r="G1033" i="2"/>
  <c r="F1033" i="2"/>
  <c r="E1033" i="2"/>
  <c r="D1033" i="2"/>
  <c r="C1033" i="2"/>
  <c r="B1033" i="2"/>
  <c r="A1033" i="2"/>
  <c r="T1032" i="2"/>
  <c r="R1032" i="2"/>
  <c r="Q1032" i="2"/>
  <c r="P1032" i="2"/>
  <c r="O1032" i="2"/>
  <c r="N1032" i="2"/>
  <c r="M1032" i="2"/>
  <c r="L1032" i="2"/>
  <c r="K1032" i="2"/>
  <c r="J1032" i="2"/>
  <c r="I1032" i="2"/>
  <c r="H1032" i="2"/>
  <c r="G1032" i="2"/>
  <c r="F1032" i="2"/>
  <c r="E1032" i="2"/>
  <c r="D1032" i="2"/>
  <c r="C1032" i="2"/>
  <c r="B1032" i="2"/>
  <c r="A1032" i="2"/>
  <c r="R1031" i="2"/>
  <c r="Q1031" i="2"/>
  <c r="P1031" i="2"/>
  <c r="O1031" i="2"/>
  <c r="N1031" i="2"/>
  <c r="M1031" i="2"/>
  <c r="L1031" i="2"/>
  <c r="K1031" i="2"/>
  <c r="J1031" i="2"/>
  <c r="I1031" i="2"/>
  <c r="H1031" i="2"/>
  <c r="G1031" i="2"/>
  <c r="F1031" i="2"/>
  <c r="E1031" i="2"/>
  <c r="T1031" i="2" s="1"/>
  <c r="D1031" i="2"/>
  <c r="C1031" i="2"/>
  <c r="B1031" i="2"/>
  <c r="A1031" i="2"/>
  <c r="R1030" i="2"/>
  <c r="Q1030" i="2"/>
  <c r="P1030" i="2"/>
  <c r="O1030" i="2"/>
  <c r="N1030" i="2"/>
  <c r="M1030" i="2"/>
  <c r="L1030" i="2"/>
  <c r="K1030" i="2"/>
  <c r="J1030" i="2"/>
  <c r="I1030" i="2"/>
  <c r="H1030" i="2"/>
  <c r="G1030" i="2"/>
  <c r="F1030" i="2"/>
  <c r="E1030" i="2"/>
  <c r="D1030" i="2"/>
  <c r="C1030" i="2"/>
  <c r="B1030" i="2"/>
  <c r="A1030" i="2"/>
  <c r="R1029" i="2"/>
  <c r="Q1029" i="2"/>
  <c r="P1029" i="2"/>
  <c r="O1029" i="2"/>
  <c r="N1029" i="2"/>
  <c r="M1029" i="2"/>
  <c r="L1029" i="2"/>
  <c r="K1029" i="2"/>
  <c r="J1029" i="2"/>
  <c r="I1029" i="2"/>
  <c r="H1029" i="2"/>
  <c r="G1029" i="2"/>
  <c r="F1029" i="2"/>
  <c r="E1029" i="2"/>
  <c r="D1029" i="2"/>
  <c r="C1029" i="2"/>
  <c r="B1029" i="2"/>
  <c r="A1029" i="2"/>
  <c r="R1028" i="2"/>
  <c r="Q1028" i="2"/>
  <c r="P1028" i="2"/>
  <c r="O1028" i="2"/>
  <c r="N1028" i="2"/>
  <c r="M1028" i="2"/>
  <c r="L1028" i="2"/>
  <c r="K1028" i="2"/>
  <c r="J1028" i="2"/>
  <c r="I1028" i="2"/>
  <c r="H1028" i="2"/>
  <c r="G1028" i="2"/>
  <c r="F1028" i="2"/>
  <c r="E1028" i="2"/>
  <c r="D1028" i="2"/>
  <c r="C1028" i="2"/>
  <c r="B1028" i="2"/>
  <c r="A1028" i="2"/>
  <c r="R1027" i="2"/>
  <c r="Q1027" i="2"/>
  <c r="P1027" i="2"/>
  <c r="O1027" i="2"/>
  <c r="N1027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A1027" i="2"/>
  <c r="U1026" i="2"/>
  <c r="T1026" i="2"/>
  <c r="R1026" i="2"/>
  <c r="Q1026" i="2"/>
  <c r="P1026" i="2"/>
  <c r="O1026" i="2"/>
  <c r="N1026" i="2"/>
  <c r="M1026" i="2"/>
  <c r="L1026" i="2"/>
  <c r="K1026" i="2"/>
  <c r="J1026" i="2"/>
  <c r="I1026" i="2"/>
  <c r="H1026" i="2"/>
  <c r="G1026" i="2"/>
  <c r="F1026" i="2"/>
  <c r="E1026" i="2"/>
  <c r="D1026" i="2"/>
  <c r="C1026" i="2"/>
  <c r="B1026" i="2"/>
  <c r="A1026" i="2"/>
  <c r="U1025" i="2"/>
  <c r="T1025" i="2"/>
  <c r="R1025" i="2"/>
  <c r="Q1025" i="2"/>
  <c r="P1025" i="2"/>
  <c r="O1025" i="2"/>
  <c r="N1025" i="2"/>
  <c r="M1025" i="2"/>
  <c r="L1025" i="2"/>
  <c r="K1025" i="2"/>
  <c r="J1025" i="2"/>
  <c r="I1025" i="2"/>
  <c r="H1025" i="2"/>
  <c r="G1025" i="2"/>
  <c r="F1025" i="2"/>
  <c r="E1025" i="2"/>
  <c r="D1025" i="2"/>
  <c r="C1025" i="2"/>
  <c r="B1025" i="2"/>
  <c r="A1025" i="2"/>
  <c r="U1024" i="2"/>
  <c r="T1024" i="2"/>
  <c r="R1024" i="2"/>
  <c r="Q1024" i="2"/>
  <c r="P1024" i="2"/>
  <c r="O1024" i="2"/>
  <c r="N1024" i="2"/>
  <c r="M1024" i="2"/>
  <c r="L1024" i="2"/>
  <c r="K1024" i="2"/>
  <c r="J1024" i="2"/>
  <c r="I1024" i="2"/>
  <c r="H1024" i="2"/>
  <c r="G1024" i="2"/>
  <c r="F1024" i="2"/>
  <c r="E1024" i="2"/>
  <c r="D1024" i="2"/>
  <c r="C1024" i="2"/>
  <c r="B1024" i="2"/>
  <c r="A1024" i="2"/>
  <c r="R1023" i="2"/>
  <c r="Q1023" i="2"/>
  <c r="P1023" i="2"/>
  <c r="O1023" i="2"/>
  <c r="N1023" i="2"/>
  <c r="M1023" i="2"/>
  <c r="L1023" i="2"/>
  <c r="K1023" i="2"/>
  <c r="J1023" i="2"/>
  <c r="I1023" i="2"/>
  <c r="H1023" i="2"/>
  <c r="G1023" i="2"/>
  <c r="F1023" i="2"/>
  <c r="E1023" i="2"/>
  <c r="U1023" i="2" s="1"/>
  <c r="D1023" i="2"/>
  <c r="C1023" i="2"/>
  <c r="B1023" i="2"/>
  <c r="A1023" i="2"/>
  <c r="R1022" i="2"/>
  <c r="Q1022" i="2"/>
  <c r="P1022" i="2"/>
  <c r="O1022" i="2"/>
  <c r="N1022" i="2"/>
  <c r="M1022" i="2"/>
  <c r="L1022" i="2"/>
  <c r="K1022" i="2"/>
  <c r="J1022" i="2"/>
  <c r="I1022" i="2"/>
  <c r="H1022" i="2"/>
  <c r="G1022" i="2"/>
  <c r="F1022" i="2"/>
  <c r="E1022" i="2"/>
  <c r="U1022" i="2" s="1"/>
  <c r="D1022" i="2"/>
  <c r="C1022" i="2"/>
  <c r="B1022" i="2"/>
  <c r="A1022" i="2"/>
  <c r="R1021" i="2"/>
  <c r="Q1021" i="2"/>
  <c r="P1021" i="2"/>
  <c r="O1021" i="2"/>
  <c r="N1021" i="2"/>
  <c r="M1021" i="2"/>
  <c r="L1021" i="2"/>
  <c r="K1021" i="2"/>
  <c r="J1021" i="2"/>
  <c r="I1021" i="2"/>
  <c r="H1021" i="2"/>
  <c r="G1021" i="2"/>
  <c r="F1021" i="2"/>
  <c r="E1021" i="2"/>
  <c r="U1021" i="2" s="1"/>
  <c r="D1021" i="2"/>
  <c r="C1021" i="2"/>
  <c r="B1021" i="2"/>
  <c r="A1021" i="2"/>
  <c r="R1020" i="2"/>
  <c r="Q1020" i="2"/>
  <c r="P1020" i="2"/>
  <c r="O1020" i="2"/>
  <c r="N1020" i="2"/>
  <c r="M1020" i="2"/>
  <c r="L1020" i="2"/>
  <c r="K1020" i="2"/>
  <c r="J1020" i="2"/>
  <c r="I1020" i="2"/>
  <c r="H1020" i="2"/>
  <c r="G1020" i="2"/>
  <c r="F1020" i="2"/>
  <c r="E1020" i="2"/>
  <c r="U1020" i="2" s="1"/>
  <c r="D1020" i="2"/>
  <c r="C1020" i="2"/>
  <c r="B1020" i="2"/>
  <c r="A1020" i="2"/>
  <c r="U1019" i="2"/>
  <c r="T1019" i="2"/>
  <c r="R1019" i="2"/>
  <c r="Q1019" i="2"/>
  <c r="P1019" i="2"/>
  <c r="O1019" i="2"/>
  <c r="N1019" i="2"/>
  <c r="M1019" i="2"/>
  <c r="L1019" i="2"/>
  <c r="K1019" i="2"/>
  <c r="J1019" i="2"/>
  <c r="I1019" i="2"/>
  <c r="H1019" i="2"/>
  <c r="G1019" i="2"/>
  <c r="F1019" i="2"/>
  <c r="E1019" i="2"/>
  <c r="D1019" i="2"/>
  <c r="C1019" i="2"/>
  <c r="B1019" i="2"/>
  <c r="A1019" i="2"/>
  <c r="T1018" i="2"/>
  <c r="R1018" i="2"/>
  <c r="Q1018" i="2"/>
  <c r="P1018" i="2"/>
  <c r="O1018" i="2"/>
  <c r="N1018" i="2"/>
  <c r="M1018" i="2"/>
  <c r="L1018" i="2"/>
  <c r="K1018" i="2"/>
  <c r="J1018" i="2"/>
  <c r="I1018" i="2"/>
  <c r="H1018" i="2"/>
  <c r="G1018" i="2"/>
  <c r="F1018" i="2"/>
  <c r="E1018" i="2"/>
  <c r="U1018" i="2" s="1"/>
  <c r="D1018" i="2"/>
  <c r="C1018" i="2"/>
  <c r="B1018" i="2"/>
  <c r="A1018" i="2"/>
  <c r="U1017" i="2"/>
  <c r="T1017" i="2"/>
  <c r="R1017" i="2"/>
  <c r="Q1017" i="2"/>
  <c r="P1017" i="2"/>
  <c r="O1017" i="2"/>
  <c r="N1017" i="2"/>
  <c r="M1017" i="2"/>
  <c r="L1017" i="2"/>
  <c r="K1017" i="2"/>
  <c r="J1017" i="2"/>
  <c r="I1017" i="2"/>
  <c r="H1017" i="2"/>
  <c r="G1017" i="2"/>
  <c r="F1017" i="2"/>
  <c r="E1017" i="2"/>
  <c r="D1017" i="2"/>
  <c r="C1017" i="2"/>
  <c r="B1017" i="2"/>
  <c r="A1017" i="2"/>
  <c r="U1016" i="2"/>
  <c r="R1016" i="2"/>
  <c r="Q1016" i="2"/>
  <c r="P1016" i="2"/>
  <c r="O1016" i="2"/>
  <c r="N1016" i="2"/>
  <c r="M1016" i="2"/>
  <c r="L1016" i="2"/>
  <c r="K1016" i="2"/>
  <c r="J1016" i="2"/>
  <c r="I1016" i="2"/>
  <c r="H1016" i="2"/>
  <c r="G1016" i="2"/>
  <c r="F1016" i="2"/>
  <c r="E1016" i="2"/>
  <c r="T1016" i="2" s="1"/>
  <c r="D1016" i="2"/>
  <c r="C1016" i="2"/>
  <c r="B1016" i="2"/>
  <c r="A1016" i="2"/>
  <c r="T1015" i="2"/>
  <c r="R1015" i="2"/>
  <c r="Q1015" i="2"/>
  <c r="P1015" i="2"/>
  <c r="O1015" i="2"/>
  <c r="N1015" i="2"/>
  <c r="M1015" i="2"/>
  <c r="L1015" i="2"/>
  <c r="K1015" i="2"/>
  <c r="J1015" i="2"/>
  <c r="I1015" i="2"/>
  <c r="H1015" i="2"/>
  <c r="G1015" i="2"/>
  <c r="F1015" i="2"/>
  <c r="E1015" i="2"/>
  <c r="U1015" i="2" s="1"/>
  <c r="D1015" i="2"/>
  <c r="C1015" i="2"/>
  <c r="B1015" i="2"/>
  <c r="A1015" i="2"/>
  <c r="U1014" i="2"/>
  <c r="T1014" i="2"/>
  <c r="R1014" i="2"/>
  <c r="Q1014" i="2"/>
  <c r="P1014" i="2"/>
  <c r="O1014" i="2"/>
  <c r="N1014" i="2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A1014" i="2"/>
  <c r="U1013" i="2"/>
  <c r="R1013" i="2"/>
  <c r="Q1013" i="2"/>
  <c r="P1013" i="2"/>
  <c r="O1013" i="2"/>
  <c r="N1013" i="2"/>
  <c r="M1013" i="2"/>
  <c r="L1013" i="2"/>
  <c r="K1013" i="2"/>
  <c r="J1013" i="2"/>
  <c r="I1013" i="2"/>
  <c r="H1013" i="2"/>
  <c r="G1013" i="2"/>
  <c r="F1013" i="2"/>
  <c r="E1013" i="2"/>
  <c r="T1013" i="2" s="1"/>
  <c r="D1013" i="2"/>
  <c r="C1013" i="2"/>
  <c r="B1013" i="2"/>
  <c r="A1013" i="2"/>
  <c r="T1012" i="2"/>
  <c r="R1012" i="2"/>
  <c r="Q1012" i="2"/>
  <c r="P1012" i="2"/>
  <c r="O1012" i="2"/>
  <c r="N1012" i="2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A1012" i="2"/>
  <c r="R1011" i="2"/>
  <c r="Q1011" i="2"/>
  <c r="P1011" i="2"/>
  <c r="O1011" i="2"/>
  <c r="N1011" i="2"/>
  <c r="M1011" i="2"/>
  <c r="L1011" i="2"/>
  <c r="K1011" i="2"/>
  <c r="J1011" i="2"/>
  <c r="I1011" i="2"/>
  <c r="H1011" i="2"/>
  <c r="G1011" i="2"/>
  <c r="F1011" i="2"/>
  <c r="E1011" i="2"/>
  <c r="T1011" i="2" s="1"/>
  <c r="D1011" i="2"/>
  <c r="C1011" i="2"/>
  <c r="B1011" i="2"/>
  <c r="A1011" i="2"/>
  <c r="R1010" i="2"/>
  <c r="Q1010" i="2"/>
  <c r="P1010" i="2"/>
  <c r="O1010" i="2"/>
  <c r="N1010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A1010" i="2"/>
  <c r="R1009" i="2"/>
  <c r="Q1009" i="2"/>
  <c r="P1009" i="2"/>
  <c r="O1009" i="2"/>
  <c r="N1009" i="2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A1009" i="2"/>
  <c r="R1008" i="2"/>
  <c r="Q1008" i="2"/>
  <c r="P1008" i="2"/>
  <c r="O1008" i="2"/>
  <c r="N1008" i="2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A1008" i="2"/>
  <c r="R1007" i="2"/>
  <c r="Q1007" i="2"/>
  <c r="P1007" i="2"/>
  <c r="O1007" i="2"/>
  <c r="N1007" i="2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A1007" i="2"/>
  <c r="U1006" i="2"/>
  <c r="T1006" i="2"/>
  <c r="R1006" i="2"/>
  <c r="Q1006" i="2"/>
  <c r="P1006" i="2"/>
  <c r="O1006" i="2"/>
  <c r="N1006" i="2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A1006" i="2"/>
  <c r="R1005" i="2"/>
  <c r="Q1005" i="2"/>
  <c r="P1005" i="2"/>
  <c r="O1005" i="2"/>
  <c r="N1005" i="2"/>
  <c r="M1005" i="2"/>
  <c r="L1005" i="2"/>
  <c r="K1005" i="2"/>
  <c r="J1005" i="2"/>
  <c r="I1005" i="2"/>
  <c r="H1005" i="2"/>
  <c r="G1005" i="2"/>
  <c r="F1005" i="2"/>
  <c r="E1005" i="2"/>
  <c r="U1005" i="2" s="1"/>
  <c r="D1005" i="2"/>
  <c r="C1005" i="2"/>
  <c r="B1005" i="2"/>
  <c r="A1005" i="2"/>
  <c r="R1004" i="2"/>
  <c r="Q1004" i="2"/>
  <c r="P1004" i="2"/>
  <c r="O1004" i="2"/>
  <c r="N1004" i="2"/>
  <c r="M1004" i="2"/>
  <c r="L1004" i="2"/>
  <c r="K1004" i="2"/>
  <c r="J1004" i="2"/>
  <c r="I1004" i="2"/>
  <c r="H1004" i="2"/>
  <c r="G1004" i="2"/>
  <c r="F1004" i="2"/>
  <c r="E1004" i="2"/>
  <c r="U1004" i="2" s="1"/>
  <c r="D1004" i="2"/>
  <c r="C1004" i="2"/>
  <c r="B1004" i="2"/>
  <c r="A1004" i="2"/>
  <c r="R1003" i="2"/>
  <c r="Q1003" i="2"/>
  <c r="P1003" i="2"/>
  <c r="O1003" i="2"/>
  <c r="N1003" i="2"/>
  <c r="M1003" i="2"/>
  <c r="L1003" i="2"/>
  <c r="K1003" i="2"/>
  <c r="J1003" i="2"/>
  <c r="I1003" i="2"/>
  <c r="H1003" i="2"/>
  <c r="G1003" i="2"/>
  <c r="F1003" i="2"/>
  <c r="E1003" i="2"/>
  <c r="U1003" i="2" s="1"/>
  <c r="D1003" i="2"/>
  <c r="C1003" i="2"/>
  <c r="B1003" i="2"/>
  <c r="A1003" i="2"/>
  <c r="R1002" i="2"/>
  <c r="Q1002" i="2"/>
  <c r="P1002" i="2"/>
  <c r="O1002" i="2"/>
  <c r="N1002" i="2"/>
  <c r="M1002" i="2"/>
  <c r="L1002" i="2"/>
  <c r="K1002" i="2"/>
  <c r="J1002" i="2"/>
  <c r="I1002" i="2"/>
  <c r="H1002" i="2"/>
  <c r="G1002" i="2"/>
  <c r="F1002" i="2"/>
  <c r="E1002" i="2"/>
  <c r="U1002" i="2" s="1"/>
  <c r="D1002" i="2"/>
  <c r="C1002" i="2"/>
  <c r="B1002" i="2"/>
  <c r="A1002" i="2"/>
  <c r="U1001" i="2"/>
  <c r="T1001" i="2"/>
  <c r="R1001" i="2"/>
  <c r="Q1001" i="2"/>
  <c r="P1001" i="2"/>
  <c r="O1001" i="2"/>
  <c r="N1001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A1001" i="2"/>
  <c r="U1000" i="2"/>
  <c r="T1000" i="2"/>
  <c r="R1000" i="2"/>
  <c r="Q1000" i="2"/>
  <c r="P1000" i="2"/>
  <c r="O1000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A1000" i="2"/>
  <c r="U999" i="2"/>
  <c r="R999" i="2"/>
  <c r="Q999" i="2"/>
  <c r="P999" i="2"/>
  <c r="O999" i="2"/>
  <c r="N999" i="2"/>
  <c r="M999" i="2"/>
  <c r="L999" i="2"/>
  <c r="K999" i="2"/>
  <c r="J999" i="2"/>
  <c r="I999" i="2"/>
  <c r="H999" i="2"/>
  <c r="G999" i="2"/>
  <c r="F999" i="2"/>
  <c r="E999" i="2"/>
  <c r="T999" i="2" s="1"/>
  <c r="D999" i="2"/>
  <c r="C999" i="2"/>
  <c r="B999" i="2"/>
  <c r="A999" i="2"/>
  <c r="T998" i="2"/>
  <c r="R998" i="2"/>
  <c r="Q998" i="2"/>
  <c r="P998" i="2"/>
  <c r="O998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A998" i="2"/>
  <c r="R997" i="2"/>
  <c r="Q997" i="2"/>
  <c r="P997" i="2"/>
  <c r="O997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A997" i="2"/>
  <c r="U996" i="2"/>
  <c r="R996" i="2"/>
  <c r="Q996" i="2"/>
  <c r="P996" i="2"/>
  <c r="O996" i="2"/>
  <c r="N996" i="2"/>
  <c r="M996" i="2"/>
  <c r="L996" i="2"/>
  <c r="K996" i="2"/>
  <c r="J996" i="2"/>
  <c r="I996" i="2"/>
  <c r="H996" i="2"/>
  <c r="G996" i="2"/>
  <c r="F996" i="2"/>
  <c r="E996" i="2"/>
  <c r="T996" i="2" s="1"/>
  <c r="D996" i="2"/>
  <c r="C996" i="2"/>
  <c r="B996" i="2"/>
  <c r="A996" i="2"/>
  <c r="R995" i="2"/>
  <c r="Q995" i="2"/>
  <c r="P995" i="2"/>
  <c r="O995" i="2"/>
  <c r="N995" i="2"/>
  <c r="M995" i="2"/>
  <c r="L995" i="2"/>
  <c r="K995" i="2"/>
  <c r="J995" i="2"/>
  <c r="I995" i="2"/>
  <c r="H995" i="2"/>
  <c r="G995" i="2"/>
  <c r="F995" i="2"/>
  <c r="E995" i="2"/>
  <c r="U995" i="2" s="1"/>
  <c r="D995" i="2"/>
  <c r="C995" i="2"/>
  <c r="B995" i="2"/>
  <c r="A995" i="2"/>
  <c r="R994" i="2"/>
  <c r="Q994" i="2"/>
  <c r="P994" i="2"/>
  <c r="O994" i="2"/>
  <c r="N994" i="2"/>
  <c r="M994" i="2"/>
  <c r="L994" i="2"/>
  <c r="K994" i="2"/>
  <c r="J994" i="2"/>
  <c r="I994" i="2"/>
  <c r="H994" i="2"/>
  <c r="G994" i="2"/>
  <c r="F994" i="2"/>
  <c r="E994" i="2"/>
  <c r="T994" i="2" s="1"/>
  <c r="D994" i="2"/>
  <c r="C994" i="2"/>
  <c r="B994" i="2"/>
  <c r="A994" i="2"/>
  <c r="R993" i="2"/>
  <c r="Q993" i="2"/>
  <c r="P993" i="2"/>
  <c r="O993" i="2"/>
  <c r="N993" i="2"/>
  <c r="M993" i="2"/>
  <c r="L993" i="2"/>
  <c r="K993" i="2"/>
  <c r="J993" i="2"/>
  <c r="I993" i="2"/>
  <c r="H993" i="2"/>
  <c r="G993" i="2"/>
  <c r="F993" i="2"/>
  <c r="E993" i="2"/>
  <c r="U993" i="2" s="1"/>
  <c r="D993" i="2"/>
  <c r="C993" i="2"/>
  <c r="B993" i="2"/>
  <c r="A993" i="2"/>
  <c r="R992" i="2"/>
  <c r="Q992" i="2"/>
  <c r="P992" i="2"/>
  <c r="O992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A992" i="2"/>
  <c r="U991" i="2"/>
  <c r="R991" i="2"/>
  <c r="Q991" i="2"/>
  <c r="P991" i="2"/>
  <c r="O991" i="2"/>
  <c r="N991" i="2"/>
  <c r="M991" i="2"/>
  <c r="L991" i="2"/>
  <c r="K991" i="2"/>
  <c r="J991" i="2"/>
  <c r="I991" i="2"/>
  <c r="H991" i="2"/>
  <c r="G991" i="2"/>
  <c r="F991" i="2"/>
  <c r="E991" i="2"/>
  <c r="T991" i="2" s="1"/>
  <c r="D991" i="2"/>
  <c r="C991" i="2"/>
  <c r="B991" i="2"/>
  <c r="A991" i="2"/>
  <c r="R990" i="2"/>
  <c r="Q990" i="2"/>
  <c r="P990" i="2"/>
  <c r="O990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A990" i="2"/>
  <c r="R989" i="2"/>
  <c r="Q989" i="2"/>
  <c r="P989" i="2"/>
  <c r="O989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A989" i="2"/>
  <c r="R988" i="2"/>
  <c r="Q988" i="2"/>
  <c r="P988" i="2"/>
  <c r="O988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A988" i="2"/>
  <c r="R987" i="2"/>
  <c r="Q987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A987" i="2"/>
  <c r="R986" i="2"/>
  <c r="Q986" i="2"/>
  <c r="P986" i="2"/>
  <c r="O986" i="2"/>
  <c r="N986" i="2"/>
  <c r="M986" i="2"/>
  <c r="L986" i="2"/>
  <c r="K986" i="2"/>
  <c r="J986" i="2"/>
  <c r="I986" i="2"/>
  <c r="H986" i="2"/>
  <c r="G986" i="2"/>
  <c r="F986" i="2"/>
  <c r="E986" i="2"/>
  <c r="U986" i="2" s="1"/>
  <c r="D986" i="2"/>
  <c r="C986" i="2"/>
  <c r="B986" i="2"/>
  <c r="A986" i="2"/>
  <c r="T985" i="2"/>
  <c r="R985" i="2"/>
  <c r="Q985" i="2"/>
  <c r="P985" i="2"/>
  <c r="O985" i="2"/>
  <c r="N985" i="2"/>
  <c r="M985" i="2"/>
  <c r="L985" i="2"/>
  <c r="K985" i="2"/>
  <c r="J985" i="2"/>
  <c r="I985" i="2"/>
  <c r="H985" i="2"/>
  <c r="G985" i="2"/>
  <c r="F985" i="2"/>
  <c r="E985" i="2"/>
  <c r="U985" i="2" s="1"/>
  <c r="D985" i="2"/>
  <c r="C985" i="2"/>
  <c r="B985" i="2"/>
  <c r="A985" i="2"/>
  <c r="U984" i="2"/>
  <c r="R984" i="2"/>
  <c r="Q984" i="2"/>
  <c r="P984" i="2"/>
  <c r="O984" i="2"/>
  <c r="N984" i="2"/>
  <c r="M984" i="2"/>
  <c r="L984" i="2"/>
  <c r="K984" i="2"/>
  <c r="J984" i="2"/>
  <c r="I984" i="2"/>
  <c r="H984" i="2"/>
  <c r="G984" i="2"/>
  <c r="F984" i="2"/>
  <c r="E984" i="2"/>
  <c r="T984" i="2" s="1"/>
  <c r="D984" i="2"/>
  <c r="C984" i="2"/>
  <c r="B984" i="2"/>
  <c r="A984" i="2"/>
  <c r="T983" i="2"/>
  <c r="R983" i="2"/>
  <c r="Q983" i="2"/>
  <c r="P983" i="2"/>
  <c r="O983" i="2"/>
  <c r="N983" i="2"/>
  <c r="M983" i="2"/>
  <c r="L983" i="2"/>
  <c r="K983" i="2"/>
  <c r="J983" i="2"/>
  <c r="I983" i="2"/>
  <c r="H983" i="2"/>
  <c r="G983" i="2"/>
  <c r="F983" i="2"/>
  <c r="E983" i="2"/>
  <c r="U983" i="2" s="1"/>
  <c r="D983" i="2"/>
  <c r="C983" i="2"/>
  <c r="B983" i="2"/>
  <c r="A983" i="2"/>
  <c r="U982" i="2"/>
  <c r="T982" i="2"/>
  <c r="R982" i="2"/>
  <c r="Q982" i="2"/>
  <c r="P982" i="2"/>
  <c r="O982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A982" i="2"/>
  <c r="U981" i="2"/>
  <c r="T981" i="2"/>
  <c r="R981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A981" i="2"/>
  <c r="U980" i="2"/>
  <c r="T980" i="2"/>
  <c r="R980" i="2"/>
  <c r="Q980" i="2"/>
  <c r="P980" i="2"/>
  <c r="O980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A980" i="2"/>
  <c r="U979" i="2"/>
  <c r="T979" i="2"/>
  <c r="R979" i="2"/>
  <c r="Q979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979" i="2"/>
  <c r="R978" i="2"/>
  <c r="Q978" i="2"/>
  <c r="P978" i="2"/>
  <c r="O978" i="2"/>
  <c r="N978" i="2"/>
  <c r="M978" i="2"/>
  <c r="L978" i="2"/>
  <c r="K978" i="2"/>
  <c r="J978" i="2"/>
  <c r="I978" i="2"/>
  <c r="H978" i="2"/>
  <c r="G978" i="2"/>
  <c r="F978" i="2"/>
  <c r="E978" i="2"/>
  <c r="U978" i="2" s="1"/>
  <c r="D978" i="2"/>
  <c r="C978" i="2"/>
  <c r="B978" i="2"/>
  <c r="A978" i="2"/>
  <c r="T977" i="2"/>
  <c r="R977" i="2"/>
  <c r="Q977" i="2"/>
  <c r="P977" i="2"/>
  <c r="O977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A977" i="2"/>
  <c r="R976" i="2"/>
  <c r="Q976" i="2"/>
  <c r="P976" i="2"/>
  <c r="O976" i="2"/>
  <c r="N976" i="2"/>
  <c r="M976" i="2"/>
  <c r="L976" i="2"/>
  <c r="K976" i="2"/>
  <c r="J976" i="2"/>
  <c r="I976" i="2"/>
  <c r="H976" i="2"/>
  <c r="G976" i="2"/>
  <c r="F976" i="2"/>
  <c r="E976" i="2"/>
  <c r="T976" i="2" s="1"/>
  <c r="D976" i="2"/>
  <c r="C976" i="2"/>
  <c r="B976" i="2"/>
  <c r="A976" i="2"/>
  <c r="R975" i="2"/>
  <c r="Q975" i="2"/>
  <c r="P975" i="2"/>
  <c r="O975" i="2"/>
  <c r="N975" i="2"/>
  <c r="M975" i="2"/>
  <c r="L975" i="2"/>
  <c r="K975" i="2"/>
  <c r="J975" i="2"/>
  <c r="I975" i="2"/>
  <c r="H975" i="2"/>
  <c r="G975" i="2"/>
  <c r="F975" i="2"/>
  <c r="E975" i="2"/>
  <c r="U975" i="2" s="1"/>
  <c r="D975" i="2"/>
  <c r="C975" i="2"/>
  <c r="B975" i="2"/>
  <c r="A975" i="2"/>
  <c r="R974" i="2"/>
  <c r="Q974" i="2"/>
  <c r="P974" i="2"/>
  <c r="O974" i="2"/>
  <c r="N974" i="2"/>
  <c r="M974" i="2"/>
  <c r="L974" i="2"/>
  <c r="K974" i="2"/>
  <c r="J974" i="2"/>
  <c r="I974" i="2"/>
  <c r="H974" i="2"/>
  <c r="G974" i="2"/>
  <c r="F974" i="2"/>
  <c r="E974" i="2"/>
  <c r="U974" i="2" s="1"/>
  <c r="D974" i="2"/>
  <c r="C974" i="2"/>
  <c r="B974" i="2"/>
  <c r="A974" i="2"/>
  <c r="R973" i="2"/>
  <c r="Q973" i="2"/>
  <c r="P973" i="2"/>
  <c r="O973" i="2"/>
  <c r="N973" i="2"/>
  <c r="M973" i="2"/>
  <c r="L973" i="2"/>
  <c r="K973" i="2"/>
  <c r="J973" i="2"/>
  <c r="I973" i="2"/>
  <c r="H973" i="2"/>
  <c r="G973" i="2"/>
  <c r="F973" i="2"/>
  <c r="E973" i="2"/>
  <c r="U973" i="2" s="1"/>
  <c r="D973" i="2"/>
  <c r="C973" i="2"/>
  <c r="B973" i="2"/>
  <c r="A973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A972" i="2"/>
  <c r="U971" i="2"/>
  <c r="R971" i="2"/>
  <c r="Q971" i="2"/>
  <c r="P971" i="2"/>
  <c r="O971" i="2"/>
  <c r="N971" i="2"/>
  <c r="M971" i="2"/>
  <c r="L971" i="2"/>
  <c r="K971" i="2"/>
  <c r="J971" i="2"/>
  <c r="I971" i="2"/>
  <c r="H971" i="2"/>
  <c r="G971" i="2"/>
  <c r="F971" i="2"/>
  <c r="E971" i="2"/>
  <c r="T971" i="2" s="1"/>
  <c r="D971" i="2"/>
  <c r="C971" i="2"/>
  <c r="B971" i="2"/>
  <c r="A971" i="2"/>
  <c r="R970" i="2"/>
  <c r="Q970" i="2"/>
  <c r="P970" i="2"/>
  <c r="O970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A970" i="2"/>
  <c r="R969" i="2"/>
  <c r="Q969" i="2"/>
  <c r="P969" i="2"/>
  <c r="O969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A969" i="2"/>
  <c r="R968" i="2"/>
  <c r="Q968" i="2"/>
  <c r="P968" i="2"/>
  <c r="O968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A968" i="2"/>
  <c r="R967" i="2"/>
  <c r="Q967" i="2"/>
  <c r="P967" i="2"/>
  <c r="O967" i="2"/>
  <c r="N967" i="2"/>
  <c r="M967" i="2"/>
  <c r="L967" i="2"/>
  <c r="K967" i="2"/>
  <c r="J967" i="2"/>
  <c r="I967" i="2"/>
  <c r="H967" i="2"/>
  <c r="G967" i="2"/>
  <c r="F967" i="2"/>
  <c r="E967" i="2"/>
  <c r="U967" i="2" s="1"/>
  <c r="D967" i="2"/>
  <c r="C967" i="2"/>
  <c r="B967" i="2"/>
  <c r="A967" i="2"/>
  <c r="R966" i="2"/>
  <c r="Q966" i="2"/>
  <c r="P966" i="2"/>
  <c r="O966" i="2"/>
  <c r="N966" i="2"/>
  <c r="M966" i="2"/>
  <c r="L966" i="2"/>
  <c r="K966" i="2"/>
  <c r="J966" i="2"/>
  <c r="I966" i="2"/>
  <c r="H966" i="2"/>
  <c r="G966" i="2"/>
  <c r="F966" i="2"/>
  <c r="E966" i="2"/>
  <c r="U966" i="2" s="1"/>
  <c r="D966" i="2"/>
  <c r="C966" i="2"/>
  <c r="B966" i="2"/>
  <c r="A966" i="2"/>
  <c r="R965" i="2"/>
  <c r="Q965" i="2"/>
  <c r="P965" i="2"/>
  <c r="O965" i="2"/>
  <c r="N965" i="2"/>
  <c r="M965" i="2"/>
  <c r="L965" i="2"/>
  <c r="K965" i="2"/>
  <c r="J965" i="2"/>
  <c r="I965" i="2"/>
  <c r="H965" i="2"/>
  <c r="G965" i="2"/>
  <c r="F965" i="2"/>
  <c r="E965" i="2"/>
  <c r="U965" i="2" s="1"/>
  <c r="D965" i="2"/>
  <c r="C965" i="2"/>
  <c r="B965" i="2"/>
  <c r="A965" i="2"/>
  <c r="U964" i="2"/>
  <c r="T964" i="2"/>
  <c r="R964" i="2"/>
  <c r="Q964" i="2"/>
  <c r="P964" i="2"/>
  <c r="O964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A964" i="2"/>
  <c r="U963" i="2"/>
  <c r="T963" i="2"/>
  <c r="R963" i="2"/>
  <c r="Q963" i="2"/>
  <c r="P963" i="2"/>
  <c r="O963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A963" i="2"/>
  <c r="R962" i="2"/>
  <c r="Q962" i="2"/>
  <c r="P962" i="2"/>
  <c r="O962" i="2"/>
  <c r="N962" i="2"/>
  <c r="M962" i="2"/>
  <c r="L962" i="2"/>
  <c r="K962" i="2"/>
  <c r="J962" i="2"/>
  <c r="I962" i="2"/>
  <c r="H962" i="2"/>
  <c r="G962" i="2"/>
  <c r="F962" i="2"/>
  <c r="E962" i="2"/>
  <c r="U962" i="2" s="1"/>
  <c r="D962" i="2"/>
  <c r="C962" i="2"/>
  <c r="B962" i="2"/>
  <c r="A962" i="2"/>
  <c r="U961" i="2"/>
  <c r="T961" i="2"/>
  <c r="R961" i="2"/>
  <c r="Q961" i="2"/>
  <c r="P961" i="2"/>
  <c r="O961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A961" i="2"/>
  <c r="U960" i="2"/>
  <c r="T960" i="2"/>
  <c r="R960" i="2"/>
  <c r="Q960" i="2"/>
  <c r="P960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A960" i="2"/>
  <c r="U959" i="2"/>
  <c r="R959" i="2"/>
  <c r="Q959" i="2"/>
  <c r="P959" i="2"/>
  <c r="O959" i="2"/>
  <c r="N959" i="2"/>
  <c r="M959" i="2"/>
  <c r="L959" i="2"/>
  <c r="K959" i="2"/>
  <c r="J959" i="2"/>
  <c r="I959" i="2"/>
  <c r="H959" i="2"/>
  <c r="G959" i="2"/>
  <c r="F959" i="2"/>
  <c r="E959" i="2"/>
  <c r="T959" i="2" s="1"/>
  <c r="D959" i="2"/>
  <c r="C959" i="2"/>
  <c r="B959" i="2"/>
  <c r="A959" i="2"/>
  <c r="R958" i="2"/>
  <c r="Q958" i="2"/>
  <c r="P958" i="2"/>
  <c r="O958" i="2"/>
  <c r="N958" i="2"/>
  <c r="M958" i="2"/>
  <c r="L958" i="2"/>
  <c r="K958" i="2"/>
  <c r="J958" i="2"/>
  <c r="I958" i="2"/>
  <c r="H958" i="2"/>
  <c r="G958" i="2"/>
  <c r="F958" i="2"/>
  <c r="E958" i="2"/>
  <c r="U958" i="2" s="1"/>
  <c r="D958" i="2"/>
  <c r="C958" i="2"/>
  <c r="B958" i="2"/>
  <c r="A958" i="2"/>
  <c r="R957" i="2"/>
  <c r="Q957" i="2"/>
  <c r="P957" i="2"/>
  <c r="O957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A957" i="2"/>
  <c r="R956" i="2"/>
  <c r="Q956" i="2"/>
  <c r="P956" i="2"/>
  <c r="O956" i="2"/>
  <c r="N956" i="2"/>
  <c r="M956" i="2"/>
  <c r="L956" i="2"/>
  <c r="K956" i="2"/>
  <c r="J956" i="2"/>
  <c r="I956" i="2"/>
  <c r="H956" i="2"/>
  <c r="G956" i="2"/>
  <c r="F956" i="2"/>
  <c r="E956" i="2"/>
  <c r="T956" i="2" s="1"/>
  <c r="D956" i="2"/>
  <c r="C956" i="2"/>
  <c r="B956" i="2"/>
  <c r="A956" i="2"/>
  <c r="R955" i="2"/>
  <c r="Q955" i="2"/>
  <c r="P955" i="2"/>
  <c r="O955" i="2"/>
  <c r="N955" i="2"/>
  <c r="M955" i="2"/>
  <c r="L955" i="2"/>
  <c r="K955" i="2"/>
  <c r="J955" i="2"/>
  <c r="I955" i="2"/>
  <c r="H955" i="2"/>
  <c r="G955" i="2"/>
  <c r="F955" i="2"/>
  <c r="E955" i="2"/>
  <c r="U955" i="2" s="1"/>
  <c r="D955" i="2"/>
  <c r="C955" i="2"/>
  <c r="B955" i="2"/>
  <c r="A955" i="2"/>
  <c r="R954" i="2"/>
  <c r="Q954" i="2"/>
  <c r="P954" i="2"/>
  <c r="O954" i="2"/>
  <c r="N954" i="2"/>
  <c r="M954" i="2"/>
  <c r="L954" i="2"/>
  <c r="K954" i="2"/>
  <c r="J954" i="2"/>
  <c r="I954" i="2"/>
  <c r="H954" i="2"/>
  <c r="G954" i="2"/>
  <c r="F954" i="2"/>
  <c r="E954" i="2"/>
  <c r="U954" i="2" s="1"/>
  <c r="D954" i="2"/>
  <c r="C954" i="2"/>
  <c r="B954" i="2"/>
  <c r="A954" i="2"/>
  <c r="R953" i="2"/>
  <c r="Q953" i="2"/>
  <c r="P953" i="2"/>
  <c r="O953" i="2"/>
  <c r="N953" i="2"/>
  <c r="M953" i="2"/>
  <c r="L953" i="2"/>
  <c r="K953" i="2"/>
  <c r="J953" i="2"/>
  <c r="I953" i="2"/>
  <c r="H953" i="2"/>
  <c r="G953" i="2"/>
  <c r="F953" i="2"/>
  <c r="E953" i="2"/>
  <c r="U953" i="2" s="1"/>
  <c r="D953" i="2"/>
  <c r="C953" i="2"/>
  <c r="B953" i="2"/>
  <c r="A953" i="2"/>
  <c r="R952" i="2"/>
  <c r="Q952" i="2"/>
  <c r="P952" i="2"/>
  <c r="O952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A952" i="2"/>
  <c r="R951" i="2"/>
  <c r="Q951" i="2"/>
  <c r="P951" i="2"/>
  <c r="O951" i="2"/>
  <c r="N951" i="2"/>
  <c r="M951" i="2"/>
  <c r="L951" i="2"/>
  <c r="K951" i="2"/>
  <c r="J951" i="2"/>
  <c r="I951" i="2"/>
  <c r="H951" i="2"/>
  <c r="G951" i="2"/>
  <c r="F951" i="2"/>
  <c r="E951" i="2"/>
  <c r="T951" i="2" s="1"/>
  <c r="D951" i="2"/>
  <c r="C951" i="2"/>
  <c r="B951" i="2"/>
  <c r="A951" i="2"/>
  <c r="R950" i="2"/>
  <c r="Q950" i="2"/>
  <c r="P950" i="2"/>
  <c r="O950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A950" i="2"/>
  <c r="R949" i="2"/>
  <c r="Q949" i="2"/>
  <c r="P949" i="2"/>
  <c r="O949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A949" i="2"/>
  <c r="R948" i="2"/>
  <c r="Q948" i="2"/>
  <c r="P948" i="2"/>
  <c r="O948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A948" i="2"/>
  <c r="R947" i="2"/>
  <c r="Q947" i="2"/>
  <c r="P947" i="2"/>
  <c r="O947" i="2"/>
  <c r="N947" i="2"/>
  <c r="M947" i="2"/>
  <c r="L947" i="2"/>
  <c r="K947" i="2"/>
  <c r="J947" i="2"/>
  <c r="I947" i="2"/>
  <c r="H947" i="2"/>
  <c r="G947" i="2"/>
  <c r="F947" i="2"/>
  <c r="E947" i="2"/>
  <c r="U947" i="2" s="1"/>
  <c r="D947" i="2"/>
  <c r="C947" i="2"/>
  <c r="B947" i="2"/>
  <c r="A947" i="2"/>
  <c r="R946" i="2"/>
  <c r="Q946" i="2"/>
  <c r="P946" i="2"/>
  <c r="O946" i="2"/>
  <c r="N946" i="2"/>
  <c r="M946" i="2"/>
  <c r="L946" i="2"/>
  <c r="K946" i="2"/>
  <c r="J946" i="2"/>
  <c r="I946" i="2"/>
  <c r="H946" i="2"/>
  <c r="G946" i="2"/>
  <c r="F946" i="2"/>
  <c r="E946" i="2"/>
  <c r="U946" i="2" s="1"/>
  <c r="D946" i="2"/>
  <c r="C946" i="2"/>
  <c r="B946" i="2"/>
  <c r="A946" i="2"/>
  <c r="R945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U945" i="2" s="1"/>
  <c r="D945" i="2"/>
  <c r="C945" i="2"/>
  <c r="B945" i="2"/>
  <c r="A945" i="2"/>
  <c r="R944" i="2"/>
  <c r="Q944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U944" i="2" s="1"/>
  <c r="D944" i="2"/>
  <c r="C944" i="2"/>
  <c r="B944" i="2"/>
  <c r="A944" i="2"/>
  <c r="U943" i="2"/>
  <c r="T943" i="2"/>
  <c r="R943" i="2"/>
  <c r="Q943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A943" i="2"/>
  <c r="U942" i="2"/>
  <c r="T942" i="2"/>
  <c r="R942" i="2"/>
  <c r="Q942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A942" i="2"/>
  <c r="U941" i="2"/>
  <c r="R941" i="2"/>
  <c r="Q941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T941" i="2" s="1"/>
  <c r="D941" i="2"/>
  <c r="C941" i="2"/>
  <c r="B941" i="2"/>
  <c r="A941" i="2"/>
  <c r="R940" i="2"/>
  <c r="Q940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U940" i="2" s="1"/>
  <c r="D940" i="2"/>
  <c r="C940" i="2"/>
  <c r="B940" i="2"/>
  <c r="A940" i="2"/>
  <c r="R939" i="2"/>
  <c r="Q939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U939" i="2" s="1"/>
  <c r="D939" i="2"/>
  <c r="C939" i="2"/>
  <c r="B939" i="2"/>
  <c r="A939" i="2"/>
  <c r="R938" i="2"/>
  <c r="Q938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U938" i="2" s="1"/>
  <c r="D938" i="2"/>
  <c r="C938" i="2"/>
  <c r="B938" i="2"/>
  <c r="A938" i="2"/>
  <c r="R937" i="2"/>
  <c r="Q937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A937" i="2"/>
  <c r="R936" i="2"/>
  <c r="Q936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T936" i="2" s="1"/>
  <c r="D936" i="2"/>
  <c r="C936" i="2"/>
  <c r="B936" i="2"/>
  <c r="A936" i="2"/>
  <c r="R935" i="2"/>
  <c r="Q935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U935" i="2" s="1"/>
  <c r="D935" i="2"/>
  <c r="C935" i="2"/>
  <c r="B935" i="2"/>
  <c r="A935" i="2"/>
  <c r="R934" i="2"/>
  <c r="Q934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T934" i="2" s="1"/>
  <c r="D934" i="2"/>
  <c r="C934" i="2"/>
  <c r="B934" i="2"/>
  <c r="A934" i="2"/>
  <c r="R933" i="2"/>
  <c r="Q933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A933" i="2"/>
  <c r="R932" i="2"/>
  <c r="Q932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A932" i="2"/>
  <c r="U931" i="2"/>
  <c r="R931" i="2"/>
  <c r="Q931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T931" i="2" s="1"/>
  <c r="D931" i="2"/>
  <c r="C931" i="2"/>
  <c r="B931" i="2"/>
  <c r="A931" i="2"/>
  <c r="R930" i="2"/>
  <c r="Q930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A930" i="2"/>
  <c r="R929" i="2"/>
  <c r="Q929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A929" i="2"/>
  <c r="R928" i="2"/>
  <c r="Q928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A928" i="2"/>
  <c r="R927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U927" i="2" s="1"/>
  <c r="D927" i="2"/>
  <c r="C927" i="2"/>
  <c r="B927" i="2"/>
  <c r="A927" i="2"/>
  <c r="R926" i="2"/>
  <c r="Q926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U926" i="2" s="1"/>
  <c r="D926" i="2"/>
  <c r="C926" i="2"/>
  <c r="B926" i="2"/>
  <c r="A926" i="2"/>
  <c r="T925" i="2"/>
  <c r="R925" i="2"/>
  <c r="Q925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U925" i="2" s="1"/>
  <c r="D925" i="2"/>
  <c r="C925" i="2"/>
  <c r="B925" i="2"/>
  <c r="A925" i="2"/>
  <c r="U924" i="2"/>
  <c r="R924" i="2"/>
  <c r="Q924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T924" i="2" s="1"/>
  <c r="D924" i="2"/>
  <c r="C924" i="2"/>
  <c r="B924" i="2"/>
  <c r="A924" i="2"/>
  <c r="T923" i="2"/>
  <c r="R923" i="2"/>
  <c r="Q923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U923" i="2" s="1"/>
  <c r="D923" i="2"/>
  <c r="C923" i="2"/>
  <c r="B923" i="2"/>
  <c r="A923" i="2"/>
  <c r="R922" i="2"/>
  <c r="Q922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T922" i="2" s="1"/>
  <c r="D922" i="2"/>
  <c r="C922" i="2"/>
  <c r="B922" i="2"/>
  <c r="A922" i="2"/>
  <c r="R921" i="2"/>
  <c r="Q921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A921" i="2"/>
  <c r="T920" i="2"/>
  <c r="R920" i="2"/>
  <c r="Q920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U920" i="2" s="1"/>
  <c r="D920" i="2"/>
  <c r="C920" i="2"/>
  <c r="B920" i="2"/>
  <c r="A920" i="2"/>
  <c r="U919" i="2"/>
  <c r="R919" i="2"/>
  <c r="Q919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T919" i="2" s="1"/>
  <c r="D919" i="2"/>
  <c r="C919" i="2"/>
  <c r="B919" i="2"/>
  <c r="A919" i="2"/>
  <c r="R918" i="2"/>
  <c r="Q918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U918" i="2" s="1"/>
  <c r="D918" i="2"/>
  <c r="C918" i="2"/>
  <c r="B918" i="2"/>
  <c r="A918" i="2"/>
  <c r="T917" i="2"/>
  <c r="R917" i="2"/>
  <c r="Q917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U917" i="2" s="1"/>
  <c r="D917" i="2"/>
  <c r="C917" i="2"/>
  <c r="B917" i="2"/>
  <c r="A917" i="2"/>
  <c r="U916" i="2"/>
  <c r="T916" i="2"/>
  <c r="R916" i="2"/>
  <c r="Q916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A916" i="2"/>
  <c r="R915" i="2"/>
  <c r="Q915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T915" i="2" s="1"/>
  <c r="D915" i="2"/>
  <c r="C915" i="2"/>
  <c r="B915" i="2"/>
  <c r="A915" i="2"/>
  <c r="R914" i="2"/>
  <c r="Q914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U914" i="2" s="1"/>
  <c r="D914" i="2"/>
  <c r="C914" i="2"/>
  <c r="B914" i="2"/>
  <c r="A914" i="2"/>
  <c r="R913" i="2"/>
  <c r="Q913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U913" i="2" s="1"/>
  <c r="D913" i="2"/>
  <c r="C913" i="2"/>
  <c r="B913" i="2"/>
  <c r="A913" i="2"/>
  <c r="T912" i="2"/>
  <c r="R912" i="2"/>
  <c r="Q912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A912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A911" i="2"/>
  <c r="R910" i="2"/>
  <c r="Q910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A910" i="2"/>
  <c r="R909" i="2"/>
  <c r="Q909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909" i="2"/>
  <c r="R908" i="2"/>
  <c r="Q908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A908" i="2"/>
  <c r="T907" i="2"/>
  <c r="R907" i="2"/>
  <c r="Q907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U907" i="2" s="1"/>
  <c r="D907" i="2"/>
  <c r="C907" i="2"/>
  <c r="B907" i="2"/>
  <c r="A907" i="2"/>
  <c r="R906" i="2"/>
  <c r="Q906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U906" i="2" s="1"/>
  <c r="D906" i="2"/>
  <c r="C906" i="2"/>
  <c r="B906" i="2"/>
  <c r="A906" i="2"/>
  <c r="R905" i="2"/>
  <c r="Q905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U905" i="2" s="1"/>
  <c r="D905" i="2"/>
  <c r="C905" i="2"/>
  <c r="B905" i="2"/>
  <c r="A905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U904" i="2" s="1"/>
  <c r="D904" i="2"/>
  <c r="C904" i="2"/>
  <c r="B904" i="2"/>
  <c r="A904" i="2"/>
  <c r="R903" i="2"/>
  <c r="Q903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U903" i="2" s="1"/>
  <c r="D903" i="2"/>
  <c r="C903" i="2"/>
  <c r="B903" i="2"/>
  <c r="A903" i="2"/>
  <c r="R902" i="2"/>
  <c r="Q902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U902" i="2" s="1"/>
  <c r="D902" i="2"/>
  <c r="C902" i="2"/>
  <c r="B902" i="2"/>
  <c r="A902" i="2"/>
  <c r="R901" i="2"/>
  <c r="Q901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U901" i="2" s="1"/>
  <c r="D901" i="2"/>
  <c r="C901" i="2"/>
  <c r="B901" i="2"/>
  <c r="A901" i="2"/>
  <c r="R900" i="2"/>
  <c r="Q900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U900" i="2" s="1"/>
  <c r="D900" i="2"/>
  <c r="C900" i="2"/>
  <c r="B900" i="2"/>
  <c r="A900" i="2"/>
  <c r="R899" i="2"/>
  <c r="Q899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U899" i="2" s="1"/>
  <c r="D899" i="2"/>
  <c r="C899" i="2"/>
  <c r="B899" i="2"/>
  <c r="A899" i="2"/>
  <c r="R898" i="2"/>
  <c r="Q898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U898" i="2" s="1"/>
  <c r="D898" i="2"/>
  <c r="C898" i="2"/>
  <c r="B898" i="2"/>
  <c r="A898" i="2"/>
  <c r="U897" i="2"/>
  <c r="T897" i="2"/>
  <c r="R897" i="2"/>
  <c r="Q897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A897" i="2"/>
  <c r="U896" i="2"/>
  <c r="T896" i="2"/>
  <c r="R896" i="2"/>
  <c r="Q896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A896" i="2"/>
  <c r="U895" i="2"/>
  <c r="R895" i="2"/>
  <c r="Q895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T895" i="2" s="1"/>
  <c r="D895" i="2"/>
  <c r="C895" i="2"/>
  <c r="B895" i="2"/>
  <c r="A895" i="2"/>
  <c r="R894" i="2"/>
  <c r="Q894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U894" i="2" s="1"/>
  <c r="D894" i="2"/>
  <c r="C894" i="2"/>
  <c r="B894" i="2"/>
  <c r="A894" i="2"/>
  <c r="R893" i="2"/>
  <c r="Q893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U893" i="2" s="1"/>
  <c r="D893" i="2"/>
  <c r="C893" i="2"/>
  <c r="B893" i="2"/>
  <c r="A893" i="2"/>
  <c r="R892" i="2"/>
  <c r="Q892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A892" i="2"/>
  <c r="R891" i="2"/>
  <c r="Q891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U891" i="2" s="1"/>
  <c r="D891" i="2"/>
  <c r="C891" i="2"/>
  <c r="B891" i="2"/>
  <c r="A891" i="2"/>
  <c r="R890" i="2"/>
  <c r="Q890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A890" i="2"/>
  <c r="R889" i="2"/>
  <c r="Q889" i="2"/>
  <c r="P889" i="2"/>
  <c r="O889" i="2"/>
  <c r="N889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A889" i="2"/>
  <c r="R888" i="2"/>
  <c r="Q888" i="2"/>
  <c r="P888" i="2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A888" i="2"/>
  <c r="R887" i="2"/>
  <c r="Q887" i="2"/>
  <c r="P887" i="2"/>
  <c r="O887" i="2"/>
  <c r="N887" i="2"/>
  <c r="M887" i="2"/>
  <c r="L887" i="2"/>
  <c r="K887" i="2"/>
  <c r="J887" i="2"/>
  <c r="I887" i="2"/>
  <c r="H887" i="2"/>
  <c r="G887" i="2"/>
  <c r="F887" i="2"/>
  <c r="E887" i="2"/>
  <c r="U887" i="2" s="1"/>
  <c r="D887" i="2"/>
  <c r="C887" i="2"/>
  <c r="B887" i="2"/>
  <c r="A887" i="2"/>
  <c r="R886" i="2"/>
  <c r="Q886" i="2"/>
  <c r="P886" i="2"/>
  <c r="O886" i="2"/>
  <c r="N886" i="2"/>
  <c r="M886" i="2"/>
  <c r="L886" i="2"/>
  <c r="K886" i="2"/>
  <c r="J886" i="2"/>
  <c r="I886" i="2"/>
  <c r="H886" i="2"/>
  <c r="G886" i="2"/>
  <c r="F886" i="2"/>
  <c r="E886" i="2"/>
  <c r="U886" i="2" s="1"/>
  <c r="D886" i="2"/>
  <c r="C886" i="2"/>
  <c r="B886" i="2"/>
  <c r="A886" i="2"/>
  <c r="R885" i="2"/>
  <c r="Q885" i="2"/>
  <c r="P885" i="2"/>
  <c r="O885" i="2"/>
  <c r="N885" i="2"/>
  <c r="M885" i="2"/>
  <c r="L885" i="2"/>
  <c r="K885" i="2"/>
  <c r="J885" i="2"/>
  <c r="I885" i="2"/>
  <c r="H885" i="2"/>
  <c r="G885" i="2"/>
  <c r="F885" i="2"/>
  <c r="E885" i="2"/>
  <c r="U885" i="2" s="1"/>
  <c r="D885" i="2"/>
  <c r="C885" i="2"/>
  <c r="B885" i="2"/>
  <c r="A885" i="2"/>
  <c r="R884" i="2"/>
  <c r="Q884" i="2"/>
  <c r="P884" i="2"/>
  <c r="O884" i="2"/>
  <c r="N884" i="2"/>
  <c r="M884" i="2"/>
  <c r="L884" i="2"/>
  <c r="K884" i="2"/>
  <c r="J884" i="2"/>
  <c r="I884" i="2"/>
  <c r="H884" i="2"/>
  <c r="G884" i="2"/>
  <c r="F884" i="2"/>
  <c r="E884" i="2"/>
  <c r="U884" i="2" s="1"/>
  <c r="D884" i="2"/>
  <c r="C884" i="2"/>
  <c r="B884" i="2"/>
  <c r="A884" i="2"/>
  <c r="R883" i="2"/>
  <c r="Q883" i="2"/>
  <c r="P883" i="2"/>
  <c r="O883" i="2"/>
  <c r="N883" i="2"/>
  <c r="M883" i="2"/>
  <c r="L883" i="2"/>
  <c r="K883" i="2"/>
  <c r="J883" i="2"/>
  <c r="I883" i="2"/>
  <c r="H883" i="2"/>
  <c r="G883" i="2"/>
  <c r="F883" i="2"/>
  <c r="E883" i="2"/>
  <c r="U883" i="2" s="1"/>
  <c r="D883" i="2"/>
  <c r="C883" i="2"/>
  <c r="B883" i="2"/>
  <c r="A883" i="2"/>
  <c r="U882" i="2"/>
  <c r="T882" i="2"/>
  <c r="R882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A882" i="2"/>
  <c r="U881" i="2"/>
  <c r="T881" i="2"/>
  <c r="R881" i="2"/>
  <c r="Q881" i="2"/>
  <c r="P881" i="2"/>
  <c r="O881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A881" i="2"/>
  <c r="U880" i="2"/>
  <c r="R880" i="2"/>
  <c r="Q880" i="2"/>
  <c r="P880" i="2"/>
  <c r="O880" i="2"/>
  <c r="N880" i="2"/>
  <c r="M880" i="2"/>
  <c r="L880" i="2"/>
  <c r="K880" i="2"/>
  <c r="J880" i="2"/>
  <c r="I880" i="2"/>
  <c r="H880" i="2"/>
  <c r="G880" i="2"/>
  <c r="F880" i="2"/>
  <c r="E880" i="2"/>
  <c r="T880" i="2" s="1"/>
  <c r="D880" i="2"/>
  <c r="C880" i="2"/>
  <c r="B880" i="2"/>
  <c r="A880" i="2"/>
  <c r="R879" i="2"/>
  <c r="Q879" i="2"/>
  <c r="P879" i="2"/>
  <c r="O879" i="2"/>
  <c r="N879" i="2"/>
  <c r="M879" i="2"/>
  <c r="L879" i="2"/>
  <c r="K879" i="2"/>
  <c r="J879" i="2"/>
  <c r="I879" i="2"/>
  <c r="H879" i="2"/>
  <c r="G879" i="2"/>
  <c r="F879" i="2"/>
  <c r="E879" i="2"/>
  <c r="U879" i="2" s="1"/>
  <c r="D879" i="2"/>
  <c r="C879" i="2"/>
  <c r="B879" i="2"/>
  <c r="A879" i="2"/>
  <c r="U878" i="2"/>
  <c r="R878" i="2"/>
  <c r="Q878" i="2"/>
  <c r="P878" i="2"/>
  <c r="O878" i="2"/>
  <c r="N878" i="2"/>
  <c r="M878" i="2"/>
  <c r="L878" i="2"/>
  <c r="K878" i="2"/>
  <c r="J878" i="2"/>
  <c r="I878" i="2"/>
  <c r="H878" i="2"/>
  <c r="G878" i="2"/>
  <c r="F878" i="2"/>
  <c r="E878" i="2"/>
  <c r="T878" i="2" s="1"/>
  <c r="D878" i="2"/>
  <c r="C878" i="2"/>
  <c r="B878" i="2"/>
  <c r="A878" i="2"/>
  <c r="R877" i="2"/>
  <c r="Q877" i="2"/>
  <c r="P877" i="2"/>
  <c r="O877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877" i="2"/>
  <c r="R876" i="2"/>
  <c r="Q876" i="2"/>
  <c r="P876" i="2"/>
  <c r="O876" i="2"/>
  <c r="N876" i="2"/>
  <c r="M876" i="2"/>
  <c r="L876" i="2"/>
  <c r="K876" i="2"/>
  <c r="J876" i="2"/>
  <c r="I876" i="2"/>
  <c r="H876" i="2"/>
  <c r="G876" i="2"/>
  <c r="F876" i="2"/>
  <c r="E876" i="2"/>
  <c r="U876" i="2" s="1"/>
  <c r="D876" i="2"/>
  <c r="C876" i="2"/>
  <c r="B876" i="2"/>
  <c r="A876" i="2"/>
  <c r="U875" i="2"/>
  <c r="T875" i="2"/>
  <c r="R875" i="2"/>
  <c r="Q875" i="2"/>
  <c r="P875" i="2"/>
  <c r="O875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A875" i="2"/>
  <c r="R874" i="2"/>
  <c r="Q874" i="2"/>
  <c r="P874" i="2"/>
  <c r="O874" i="2"/>
  <c r="N874" i="2"/>
  <c r="M874" i="2"/>
  <c r="L874" i="2"/>
  <c r="K874" i="2"/>
  <c r="J874" i="2"/>
  <c r="I874" i="2"/>
  <c r="H874" i="2"/>
  <c r="G874" i="2"/>
  <c r="F874" i="2"/>
  <c r="E874" i="2"/>
  <c r="U874" i="2" s="1"/>
  <c r="D874" i="2"/>
  <c r="C874" i="2"/>
  <c r="B874" i="2"/>
  <c r="A874" i="2"/>
  <c r="R873" i="2"/>
  <c r="Q873" i="2"/>
  <c r="P873" i="2"/>
  <c r="O873" i="2"/>
  <c r="N873" i="2"/>
  <c r="M873" i="2"/>
  <c r="L873" i="2"/>
  <c r="K873" i="2"/>
  <c r="J873" i="2"/>
  <c r="I873" i="2"/>
  <c r="H873" i="2"/>
  <c r="G873" i="2"/>
  <c r="F873" i="2"/>
  <c r="E873" i="2"/>
  <c r="U873" i="2" s="1"/>
  <c r="D873" i="2"/>
  <c r="C873" i="2"/>
  <c r="B873" i="2"/>
  <c r="A873" i="2"/>
  <c r="R872" i="2"/>
  <c r="Q872" i="2"/>
  <c r="P872" i="2"/>
  <c r="O872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A872" i="2"/>
  <c r="R871" i="2"/>
  <c r="Q871" i="2"/>
  <c r="P871" i="2"/>
  <c r="O871" i="2"/>
  <c r="N871" i="2"/>
  <c r="M871" i="2"/>
  <c r="L871" i="2"/>
  <c r="K871" i="2"/>
  <c r="J871" i="2"/>
  <c r="I871" i="2"/>
  <c r="H871" i="2"/>
  <c r="G871" i="2"/>
  <c r="F871" i="2"/>
  <c r="E871" i="2"/>
  <c r="U871" i="2" s="1"/>
  <c r="D871" i="2"/>
  <c r="C871" i="2"/>
  <c r="B871" i="2"/>
  <c r="A871" i="2"/>
  <c r="R870" i="2"/>
  <c r="Q870" i="2"/>
  <c r="P870" i="2"/>
  <c r="O870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A870" i="2"/>
  <c r="R869" i="2"/>
  <c r="Q869" i="2"/>
  <c r="P869" i="2"/>
  <c r="O869" i="2"/>
  <c r="N869" i="2"/>
  <c r="M869" i="2"/>
  <c r="L869" i="2"/>
  <c r="K869" i="2"/>
  <c r="J869" i="2"/>
  <c r="I869" i="2"/>
  <c r="H869" i="2"/>
  <c r="G869" i="2"/>
  <c r="F869" i="2"/>
  <c r="E869" i="2"/>
  <c r="T869" i="2" s="1"/>
  <c r="D869" i="2"/>
  <c r="C869" i="2"/>
  <c r="B869" i="2"/>
  <c r="A869" i="2"/>
  <c r="R868" i="2"/>
  <c r="Q868" i="2"/>
  <c r="P868" i="2"/>
  <c r="O868" i="2"/>
  <c r="N868" i="2"/>
  <c r="M868" i="2"/>
  <c r="L868" i="2"/>
  <c r="K868" i="2"/>
  <c r="J868" i="2"/>
  <c r="I868" i="2"/>
  <c r="H868" i="2"/>
  <c r="G868" i="2"/>
  <c r="F868" i="2"/>
  <c r="E868" i="2"/>
  <c r="T868" i="2" s="1"/>
  <c r="D868" i="2"/>
  <c r="C868" i="2"/>
  <c r="B868" i="2"/>
  <c r="A868" i="2"/>
  <c r="R867" i="2"/>
  <c r="Q867" i="2"/>
  <c r="P867" i="2"/>
  <c r="O867" i="2"/>
  <c r="N867" i="2"/>
  <c r="M867" i="2"/>
  <c r="L867" i="2"/>
  <c r="K867" i="2"/>
  <c r="J867" i="2"/>
  <c r="I867" i="2"/>
  <c r="H867" i="2"/>
  <c r="G867" i="2"/>
  <c r="F867" i="2"/>
  <c r="E867" i="2"/>
  <c r="U867" i="2" s="1"/>
  <c r="D867" i="2"/>
  <c r="C867" i="2"/>
  <c r="B867" i="2"/>
  <c r="A867" i="2"/>
  <c r="U866" i="2"/>
  <c r="T866" i="2"/>
  <c r="R866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A866" i="2"/>
  <c r="U865" i="2"/>
  <c r="T865" i="2"/>
  <c r="R865" i="2"/>
  <c r="Q865" i="2"/>
  <c r="P865" i="2"/>
  <c r="O865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A865" i="2"/>
  <c r="R864" i="2"/>
  <c r="Q864" i="2"/>
  <c r="P864" i="2"/>
  <c r="O864" i="2"/>
  <c r="N864" i="2"/>
  <c r="M864" i="2"/>
  <c r="L864" i="2"/>
  <c r="K864" i="2"/>
  <c r="J864" i="2"/>
  <c r="I864" i="2"/>
  <c r="H864" i="2"/>
  <c r="G864" i="2"/>
  <c r="F864" i="2"/>
  <c r="E864" i="2"/>
  <c r="U864" i="2" s="1"/>
  <c r="D864" i="2"/>
  <c r="C864" i="2"/>
  <c r="B864" i="2"/>
  <c r="A864" i="2"/>
  <c r="R863" i="2"/>
  <c r="Q863" i="2"/>
  <c r="P863" i="2"/>
  <c r="O863" i="2"/>
  <c r="N863" i="2"/>
  <c r="M863" i="2"/>
  <c r="L863" i="2"/>
  <c r="K863" i="2"/>
  <c r="J863" i="2"/>
  <c r="I863" i="2"/>
  <c r="H863" i="2"/>
  <c r="G863" i="2"/>
  <c r="F863" i="2"/>
  <c r="E863" i="2"/>
  <c r="U863" i="2" s="1"/>
  <c r="D863" i="2"/>
  <c r="C863" i="2"/>
  <c r="B863" i="2"/>
  <c r="A863" i="2"/>
  <c r="R862" i="2"/>
  <c r="Q862" i="2"/>
  <c r="P862" i="2"/>
  <c r="O862" i="2"/>
  <c r="N862" i="2"/>
  <c r="M862" i="2"/>
  <c r="L862" i="2"/>
  <c r="K862" i="2"/>
  <c r="J862" i="2"/>
  <c r="I862" i="2"/>
  <c r="H862" i="2"/>
  <c r="G862" i="2"/>
  <c r="F862" i="2"/>
  <c r="E862" i="2"/>
  <c r="T862" i="2" s="1"/>
  <c r="D862" i="2"/>
  <c r="C862" i="2"/>
  <c r="B862" i="2"/>
  <c r="A862" i="2"/>
  <c r="R861" i="2"/>
  <c r="Q861" i="2"/>
  <c r="P861" i="2"/>
  <c r="O861" i="2"/>
  <c r="N861" i="2"/>
  <c r="M861" i="2"/>
  <c r="L861" i="2"/>
  <c r="K861" i="2"/>
  <c r="J861" i="2"/>
  <c r="I861" i="2"/>
  <c r="H861" i="2"/>
  <c r="G861" i="2"/>
  <c r="F861" i="2"/>
  <c r="E861" i="2"/>
  <c r="U861" i="2" s="1"/>
  <c r="D861" i="2"/>
  <c r="C861" i="2"/>
  <c r="B861" i="2"/>
  <c r="A861" i="2"/>
  <c r="U860" i="2"/>
  <c r="T860" i="2"/>
  <c r="R860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A860" i="2"/>
  <c r="R859" i="2"/>
  <c r="Q859" i="2"/>
  <c r="P859" i="2"/>
  <c r="O859" i="2"/>
  <c r="N859" i="2"/>
  <c r="M859" i="2"/>
  <c r="L859" i="2"/>
  <c r="K859" i="2"/>
  <c r="J859" i="2"/>
  <c r="I859" i="2"/>
  <c r="H859" i="2"/>
  <c r="G859" i="2"/>
  <c r="F859" i="2"/>
  <c r="E859" i="2"/>
  <c r="U859" i="2" s="1"/>
  <c r="D859" i="2"/>
  <c r="C859" i="2"/>
  <c r="B859" i="2"/>
  <c r="A859" i="2"/>
  <c r="R858" i="2"/>
  <c r="Q858" i="2"/>
  <c r="P858" i="2"/>
  <c r="O858" i="2"/>
  <c r="N858" i="2"/>
  <c r="M858" i="2"/>
  <c r="L858" i="2"/>
  <c r="K858" i="2"/>
  <c r="J858" i="2"/>
  <c r="I858" i="2"/>
  <c r="H858" i="2"/>
  <c r="G858" i="2"/>
  <c r="F858" i="2"/>
  <c r="E858" i="2"/>
  <c r="U858" i="2" s="1"/>
  <c r="D858" i="2"/>
  <c r="C858" i="2"/>
  <c r="B858" i="2"/>
  <c r="A858" i="2"/>
  <c r="U857" i="2"/>
  <c r="T857" i="2"/>
  <c r="R857" i="2"/>
  <c r="Q857" i="2"/>
  <c r="P857" i="2"/>
  <c r="O857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A857" i="2"/>
  <c r="R856" i="2"/>
  <c r="Q856" i="2"/>
  <c r="P856" i="2"/>
  <c r="O856" i="2"/>
  <c r="N856" i="2"/>
  <c r="M856" i="2"/>
  <c r="L856" i="2"/>
  <c r="K856" i="2"/>
  <c r="J856" i="2"/>
  <c r="I856" i="2"/>
  <c r="H856" i="2"/>
  <c r="G856" i="2"/>
  <c r="F856" i="2"/>
  <c r="E856" i="2"/>
  <c r="U856" i="2" s="1"/>
  <c r="D856" i="2"/>
  <c r="C856" i="2"/>
  <c r="B856" i="2"/>
  <c r="A856" i="2"/>
  <c r="R855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U855" i="2" s="1"/>
  <c r="D855" i="2"/>
  <c r="C855" i="2"/>
  <c r="B855" i="2"/>
  <c r="A855" i="2"/>
  <c r="R854" i="2"/>
  <c r="Q854" i="2"/>
  <c r="P854" i="2"/>
  <c r="O854" i="2"/>
  <c r="N854" i="2"/>
  <c r="M854" i="2"/>
  <c r="L854" i="2"/>
  <c r="K854" i="2"/>
  <c r="J854" i="2"/>
  <c r="I854" i="2"/>
  <c r="H854" i="2"/>
  <c r="G854" i="2"/>
  <c r="F854" i="2"/>
  <c r="E854" i="2"/>
  <c r="U854" i="2" s="1"/>
  <c r="D854" i="2"/>
  <c r="C854" i="2"/>
  <c r="B854" i="2"/>
  <c r="A854" i="2"/>
  <c r="R853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E853" i="2"/>
  <c r="U853" i="2" s="1"/>
  <c r="D853" i="2"/>
  <c r="C853" i="2"/>
  <c r="B853" i="2"/>
  <c r="A853" i="2"/>
  <c r="R852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852" i="2"/>
  <c r="R851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E851" i="2"/>
  <c r="U851" i="2" s="1"/>
  <c r="D851" i="2"/>
  <c r="C851" i="2"/>
  <c r="B851" i="2"/>
  <c r="A851" i="2"/>
  <c r="R850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A850" i="2"/>
  <c r="R849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T849" i="2" s="1"/>
  <c r="D849" i="2"/>
  <c r="C849" i="2"/>
  <c r="B849" i="2"/>
  <c r="A849" i="2"/>
  <c r="R848" i="2"/>
  <c r="Q848" i="2"/>
  <c r="P848" i="2"/>
  <c r="O848" i="2"/>
  <c r="N848" i="2"/>
  <c r="M848" i="2"/>
  <c r="L848" i="2"/>
  <c r="K848" i="2"/>
  <c r="J848" i="2"/>
  <c r="I848" i="2"/>
  <c r="H848" i="2"/>
  <c r="G848" i="2"/>
  <c r="F848" i="2"/>
  <c r="E848" i="2"/>
  <c r="T848" i="2" s="1"/>
  <c r="D848" i="2"/>
  <c r="C848" i="2"/>
  <c r="B848" i="2"/>
  <c r="A848" i="2"/>
  <c r="R847" i="2"/>
  <c r="Q847" i="2"/>
  <c r="P847" i="2"/>
  <c r="O847" i="2"/>
  <c r="N847" i="2"/>
  <c r="M847" i="2"/>
  <c r="L847" i="2"/>
  <c r="K847" i="2"/>
  <c r="J847" i="2"/>
  <c r="I847" i="2"/>
  <c r="H847" i="2"/>
  <c r="G847" i="2"/>
  <c r="F847" i="2"/>
  <c r="E847" i="2"/>
  <c r="U847" i="2" s="1"/>
  <c r="D847" i="2"/>
  <c r="C847" i="2"/>
  <c r="B847" i="2"/>
  <c r="A847" i="2"/>
  <c r="R846" i="2"/>
  <c r="Q846" i="2"/>
  <c r="P846" i="2"/>
  <c r="O846" i="2"/>
  <c r="N846" i="2"/>
  <c r="M846" i="2"/>
  <c r="L846" i="2"/>
  <c r="K846" i="2"/>
  <c r="J846" i="2"/>
  <c r="I846" i="2"/>
  <c r="H846" i="2"/>
  <c r="G846" i="2"/>
  <c r="F846" i="2"/>
  <c r="E846" i="2"/>
  <c r="U846" i="2" s="1"/>
  <c r="D846" i="2"/>
  <c r="C846" i="2"/>
  <c r="B846" i="2"/>
  <c r="A846" i="2"/>
  <c r="R845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U845" i="2" s="1"/>
  <c r="D845" i="2"/>
  <c r="C845" i="2"/>
  <c r="B845" i="2"/>
  <c r="A845" i="2"/>
  <c r="R844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E844" i="2"/>
  <c r="U844" i="2" s="1"/>
  <c r="D844" i="2"/>
  <c r="C844" i="2"/>
  <c r="B844" i="2"/>
  <c r="A844" i="2"/>
  <c r="U843" i="2"/>
  <c r="T843" i="2"/>
  <c r="R843" i="2"/>
  <c r="Q843" i="2"/>
  <c r="P843" i="2"/>
  <c r="O843" i="2"/>
  <c r="N843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A843" i="2"/>
  <c r="R842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E842" i="2"/>
  <c r="U842" i="2" s="1"/>
  <c r="D842" i="2"/>
  <c r="C842" i="2"/>
  <c r="B842" i="2"/>
  <c r="A842" i="2"/>
  <c r="R841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A841" i="2"/>
  <c r="R840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E840" i="2"/>
  <c r="U840" i="2" s="1"/>
  <c r="D840" i="2"/>
  <c r="C840" i="2"/>
  <c r="B840" i="2"/>
  <c r="A840" i="2"/>
  <c r="R839" i="2"/>
  <c r="Q839" i="2"/>
  <c r="P839" i="2"/>
  <c r="O839" i="2"/>
  <c r="N839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A839" i="2"/>
  <c r="R838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E838" i="2"/>
  <c r="U838" i="2" s="1"/>
  <c r="D838" i="2"/>
  <c r="C838" i="2"/>
  <c r="B838" i="2"/>
  <c r="A838" i="2"/>
  <c r="U837" i="2"/>
  <c r="T837" i="2"/>
  <c r="R837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A837" i="2"/>
  <c r="R836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E836" i="2"/>
  <c r="U836" i="2" s="1"/>
  <c r="D836" i="2"/>
  <c r="C836" i="2"/>
  <c r="B836" i="2"/>
  <c r="A836" i="2"/>
  <c r="U835" i="2"/>
  <c r="T835" i="2"/>
  <c r="R835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835" i="2"/>
  <c r="U834" i="2"/>
  <c r="T834" i="2"/>
  <c r="R834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834" i="2"/>
  <c r="U833" i="2"/>
  <c r="R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T833" i="2" s="1"/>
  <c r="D833" i="2"/>
  <c r="C833" i="2"/>
  <c r="B833" i="2"/>
  <c r="A833" i="2"/>
  <c r="R832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832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831" i="2"/>
  <c r="R830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A830" i="2"/>
  <c r="R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T829" i="2" s="1"/>
  <c r="D829" i="2"/>
  <c r="C829" i="2"/>
  <c r="B829" i="2"/>
  <c r="A829" i="2"/>
  <c r="R828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T828" i="2" s="1"/>
  <c r="D828" i="2"/>
  <c r="C828" i="2"/>
  <c r="B828" i="2"/>
  <c r="A828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E827" i="2"/>
  <c r="U827" i="2" s="1"/>
  <c r="D827" i="2"/>
  <c r="C827" i="2"/>
  <c r="B827" i="2"/>
  <c r="A827" i="2"/>
  <c r="R826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E826" i="2"/>
  <c r="U826" i="2" s="1"/>
  <c r="D826" i="2"/>
  <c r="C826" i="2"/>
  <c r="B826" i="2"/>
  <c r="A826" i="2"/>
  <c r="T825" i="2"/>
  <c r="R825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E825" i="2"/>
  <c r="U825" i="2" s="1"/>
  <c r="D825" i="2"/>
  <c r="C825" i="2"/>
  <c r="B825" i="2"/>
  <c r="A825" i="2"/>
  <c r="R824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E824" i="2"/>
  <c r="U824" i="2" s="1"/>
  <c r="D824" i="2"/>
  <c r="C824" i="2"/>
  <c r="B824" i="2"/>
  <c r="A824" i="2"/>
  <c r="R823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E823" i="2"/>
  <c r="U823" i="2" s="1"/>
  <c r="D823" i="2"/>
  <c r="C823" i="2"/>
  <c r="B823" i="2"/>
  <c r="A823" i="2"/>
  <c r="R822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U822" i="2" s="1"/>
  <c r="D822" i="2"/>
  <c r="C822" i="2"/>
  <c r="B822" i="2"/>
  <c r="A822" i="2"/>
  <c r="R821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E821" i="2"/>
  <c r="U821" i="2" s="1"/>
  <c r="D821" i="2"/>
  <c r="C821" i="2"/>
  <c r="B821" i="2"/>
  <c r="A821" i="2"/>
  <c r="U820" i="2"/>
  <c r="T820" i="2"/>
  <c r="R820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A820" i="2"/>
  <c r="U819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E819" i="2"/>
  <c r="T819" i="2" s="1"/>
  <c r="D819" i="2"/>
  <c r="C819" i="2"/>
  <c r="B819" i="2"/>
  <c r="A819" i="2"/>
  <c r="R818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E818" i="2"/>
  <c r="U818" i="2" s="1"/>
  <c r="D818" i="2"/>
  <c r="C818" i="2"/>
  <c r="B818" i="2"/>
  <c r="A818" i="2"/>
  <c r="R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U817" i="2" s="1"/>
  <c r="D817" i="2"/>
  <c r="C817" i="2"/>
  <c r="B817" i="2"/>
  <c r="A817" i="2"/>
  <c r="R816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E816" i="2"/>
  <c r="U816" i="2" s="1"/>
  <c r="D816" i="2"/>
  <c r="C816" i="2"/>
  <c r="B816" i="2"/>
  <c r="A816" i="2"/>
  <c r="R815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E815" i="2"/>
  <c r="U815" i="2" s="1"/>
  <c r="D815" i="2"/>
  <c r="C815" i="2"/>
  <c r="B815" i="2"/>
  <c r="A815" i="2"/>
  <c r="R814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E814" i="2"/>
  <c r="U814" i="2" s="1"/>
  <c r="D814" i="2"/>
  <c r="C814" i="2"/>
  <c r="B814" i="2"/>
  <c r="A814" i="2"/>
  <c r="R813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A813" i="2"/>
  <c r="R812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A812" i="2"/>
  <c r="R811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E811" i="2"/>
  <c r="U811" i="2" s="1"/>
  <c r="D811" i="2"/>
  <c r="C811" i="2"/>
  <c r="B811" i="2"/>
  <c r="A811" i="2"/>
  <c r="R810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A810" i="2"/>
  <c r="R809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E809" i="2"/>
  <c r="U809" i="2" s="1"/>
  <c r="D809" i="2"/>
  <c r="C809" i="2"/>
  <c r="B809" i="2"/>
  <c r="A809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E808" i="2"/>
  <c r="U808" i="2" s="1"/>
  <c r="D808" i="2"/>
  <c r="C808" i="2"/>
  <c r="B808" i="2"/>
  <c r="A808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A807" i="2"/>
  <c r="U806" i="2"/>
  <c r="T806" i="2"/>
  <c r="R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806" i="2"/>
  <c r="U805" i="2"/>
  <c r="T805" i="2"/>
  <c r="R805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A805" i="2"/>
  <c r="R804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E804" i="2"/>
  <c r="U804" i="2" s="1"/>
  <c r="D804" i="2"/>
  <c r="C804" i="2"/>
  <c r="B804" i="2"/>
  <c r="A804" i="2"/>
  <c r="U803" i="2"/>
  <c r="T803" i="2"/>
  <c r="R803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A803" i="2"/>
  <c r="R802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E802" i="2"/>
  <c r="U802" i="2" s="1"/>
  <c r="D802" i="2"/>
  <c r="C802" i="2"/>
  <c r="B802" i="2"/>
  <c r="A802" i="2"/>
  <c r="U801" i="2"/>
  <c r="T801" i="2"/>
  <c r="R801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A801" i="2"/>
  <c r="U800" i="2"/>
  <c r="T800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A800" i="2"/>
  <c r="U799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E799" i="2"/>
  <c r="T799" i="2" s="1"/>
  <c r="D799" i="2"/>
  <c r="C799" i="2"/>
  <c r="B799" i="2"/>
  <c r="A799" i="2"/>
  <c r="R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U798" i="2" s="1"/>
  <c r="D798" i="2"/>
  <c r="C798" i="2"/>
  <c r="B798" i="2"/>
  <c r="A798" i="2"/>
  <c r="R797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E797" i="2"/>
  <c r="U797" i="2" s="1"/>
  <c r="D797" i="2"/>
  <c r="C797" i="2"/>
  <c r="B797" i="2"/>
  <c r="A797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U796" i="2" s="1"/>
  <c r="D796" i="2"/>
  <c r="C796" i="2"/>
  <c r="B796" i="2"/>
  <c r="A796" i="2"/>
  <c r="R795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E795" i="2"/>
  <c r="U795" i="2" s="1"/>
  <c r="D795" i="2"/>
  <c r="C795" i="2"/>
  <c r="B795" i="2"/>
  <c r="A795" i="2"/>
  <c r="U794" i="2"/>
  <c r="R794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E794" i="2"/>
  <c r="T794" i="2" s="1"/>
  <c r="D794" i="2"/>
  <c r="C794" i="2"/>
  <c r="B794" i="2"/>
  <c r="A794" i="2"/>
  <c r="T793" i="2"/>
  <c r="R793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E793" i="2"/>
  <c r="U793" i="2" s="1"/>
  <c r="D793" i="2"/>
  <c r="C793" i="2"/>
  <c r="B793" i="2"/>
  <c r="A793" i="2"/>
  <c r="U792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A792" i="2"/>
  <c r="R791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E791" i="2"/>
  <c r="U791" i="2" s="1"/>
  <c r="D791" i="2"/>
  <c r="C791" i="2"/>
  <c r="B791" i="2"/>
  <c r="A791" i="2"/>
  <c r="R790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790" i="2"/>
  <c r="R789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E789" i="2"/>
  <c r="U789" i="2" s="1"/>
  <c r="D789" i="2"/>
  <c r="C789" i="2"/>
  <c r="B789" i="2"/>
  <c r="A789" i="2"/>
  <c r="R788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E788" i="2"/>
  <c r="U788" i="2" s="1"/>
  <c r="D788" i="2"/>
  <c r="C788" i="2"/>
  <c r="B788" i="2"/>
  <c r="A788" i="2"/>
  <c r="R787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E787" i="2"/>
  <c r="U787" i="2" s="1"/>
  <c r="D787" i="2"/>
  <c r="C787" i="2"/>
  <c r="B787" i="2"/>
  <c r="A787" i="2"/>
  <c r="T786" i="2"/>
  <c r="R786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E786" i="2"/>
  <c r="U786" i="2" s="1"/>
  <c r="D786" i="2"/>
  <c r="C786" i="2"/>
  <c r="B786" i="2"/>
  <c r="A786" i="2"/>
  <c r="U785" i="2"/>
  <c r="R785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E785" i="2"/>
  <c r="T785" i="2" s="1"/>
  <c r="D785" i="2"/>
  <c r="C785" i="2"/>
  <c r="B785" i="2"/>
  <c r="A785" i="2"/>
  <c r="R784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E784" i="2"/>
  <c r="U784" i="2" s="1"/>
  <c r="D784" i="2"/>
  <c r="C784" i="2"/>
  <c r="B784" i="2"/>
  <c r="A784" i="2"/>
  <c r="U783" i="2"/>
  <c r="T783" i="2"/>
  <c r="R783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A783" i="2"/>
  <c r="R782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E782" i="2"/>
  <c r="U782" i="2" s="1"/>
  <c r="D782" i="2"/>
  <c r="C782" i="2"/>
  <c r="B782" i="2"/>
  <c r="A782" i="2"/>
  <c r="R781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A781" i="2"/>
  <c r="T780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E780" i="2"/>
  <c r="U780" i="2" s="1"/>
  <c r="D780" i="2"/>
  <c r="C780" i="2"/>
  <c r="B780" i="2"/>
  <c r="A780" i="2"/>
  <c r="R779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A779" i="2"/>
  <c r="R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U778" i="2" s="1"/>
  <c r="D778" i="2"/>
  <c r="C778" i="2"/>
  <c r="B778" i="2"/>
  <c r="A778" i="2"/>
  <c r="R777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E777" i="2"/>
  <c r="U777" i="2" s="1"/>
  <c r="D777" i="2"/>
  <c r="C777" i="2"/>
  <c r="B777" i="2"/>
  <c r="A777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U776" i="2" s="1"/>
  <c r="D776" i="2"/>
  <c r="C776" i="2"/>
  <c r="B776" i="2"/>
  <c r="A776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U775" i="2" s="1"/>
  <c r="D775" i="2"/>
  <c r="C775" i="2"/>
  <c r="B775" i="2"/>
  <c r="A775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A774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T773" i="2" s="1"/>
  <c r="D773" i="2"/>
  <c r="C773" i="2"/>
  <c r="B773" i="2"/>
  <c r="A773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A772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A771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A770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U769" i="2" s="1"/>
  <c r="D769" i="2"/>
  <c r="C769" i="2"/>
  <c r="B769" i="2"/>
  <c r="A769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A768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T767" i="2" s="1"/>
  <c r="D767" i="2"/>
  <c r="C767" i="2"/>
  <c r="B767" i="2"/>
  <c r="A767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U766" i="2" s="1"/>
  <c r="D766" i="2"/>
  <c r="C766" i="2"/>
  <c r="B766" i="2"/>
  <c r="A766" i="2"/>
  <c r="R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U765" i="2" s="1"/>
  <c r="D765" i="2"/>
  <c r="C765" i="2"/>
  <c r="B765" i="2"/>
  <c r="A765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U764" i="2" s="1"/>
  <c r="D764" i="2"/>
  <c r="C764" i="2"/>
  <c r="B764" i="2"/>
  <c r="A764" i="2"/>
  <c r="R763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E763" i="2"/>
  <c r="U763" i="2" s="1"/>
  <c r="D763" i="2"/>
  <c r="C763" i="2"/>
  <c r="B763" i="2"/>
  <c r="A763" i="2"/>
  <c r="U762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T762" i="2" s="1"/>
  <c r="D762" i="2"/>
  <c r="C762" i="2"/>
  <c r="B762" i="2"/>
  <c r="A762" i="2"/>
  <c r="R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U761" i="2" s="1"/>
  <c r="D761" i="2"/>
  <c r="C761" i="2"/>
  <c r="B761" i="2"/>
  <c r="A761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U760" i="2" s="1"/>
  <c r="D760" i="2"/>
  <c r="C760" i="2"/>
  <c r="B760" i="2"/>
  <c r="A760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U759" i="2" s="1"/>
  <c r="D759" i="2"/>
  <c r="C759" i="2"/>
  <c r="B759" i="2"/>
  <c r="A759" i="2"/>
  <c r="R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U758" i="2" s="1"/>
  <c r="D758" i="2"/>
  <c r="C758" i="2"/>
  <c r="B758" i="2"/>
  <c r="A758" i="2"/>
  <c r="U757" i="2"/>
  <c r="T757" i="2"/>
  <c r="R757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A757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U756" i="2" s="1"/>
  <c r="D756" i="2"/>
  <c r="C756" i="2"/>
  <c r="B756" i="2"/>
  <c r="A756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755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T754" i="2" s="1"/>
  <c r="D754" i="2"/>
  <c r="C754" i="2"/>
  <c r="B754" i="2"/>
  <c r="A754" i="2"/>
  <c r="R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A753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752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U751" i="2" s="1"/>
  <c r="D751" i="2"/>
  <c r="C751" i="2"/>
  <c r="B751" i="2"/>
  <c r="A751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750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749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T748" i="2" s="1"/>
  <c r="D748" i="2"/>
  <c r="C748" i="2"/>
  <c r="B748" i="2"/>
  <c r="A748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A747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U746" i="2" s="1"/>
  <c r="D746" i="2"/>
  <c r="C746" i="2"/>
  <c r="B746" i="2"/>
  <c r="A746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U745" i="2" s="1"/>
  <c r="D745" i="2"/>
  <c r="C745" i="2"/>
  <c r="B745" i="2"/>
  <c r="A745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U744" i="2" s="1"/>
  <c r="D744" i="2"/>
  <c r="C744" i="2"/>
  <c r="B744" i="2"/>
  <c r="A744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U743" i="2" s="1"/>
  <c r="D743" i="2"/>
  <c r="C743" i="2"/>
  <c r="B743" i="2"/>
  <c r="A743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A742" i="2"/>
  <c r="U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T741" i="2" s="1"/>
  <c r="D741" i="2"/>
  <c r="C741" i="2"/>
  <c r="B741" i="2"/>
  <c r="A741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U740" i="2" s="1"/>
  <c r="D740" i="2"/>
  <c r="C740" i="2"/>
  <c r="B740" i="2"/>
  <c r="A740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U739" i="2" s="1"/>
  <c r="D739" i="2"/>
  <c r="C739" i="2"/>
  <c r="B739" i="2"/>
  <c r="A739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U738" i="2" s="1"/>
  <c r="D738" i="2"/>
  <c r="C738" i="2"/>
  <c r="B738" i="2"/>
  <c r="A738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U737" i="2" s="1"/>
  <c r="D737" i="2"/>
  <c r="C737" i="2"/>
  <c r="B737" i="2"/>
  <c r="A737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T736" i="2" s="1"/>
  <c r="D736" i="2"/>
  <c r="C736" i="2"/>
  <c r="B736" i="2"/>
  <c r="A736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U735" i="2" s="1"/>
  <c r="D735" i="2"/>
  <c r="C735" i="2"/>
  <c r="B735" i="2"/>
  <c r="A735" i="2"/>
  <c r="U734" i="2"/>
  <c r="T734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A734" i="2"/>
  <c r="U733" i="2"/>
  <c r="T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733" i="2"/>
  <c r="U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732" i="2"/>
  <c r="U731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A731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A730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U729" i="2" s="1"/>
  <c r="D729" i="2"/>
  <c r="C729" i="2"/>
  <c r="B729" i="2"/>
  <c r="A729" i="2"/>
  <c r="U728" i="2"/>
  <c r="T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A728" i="2"/>
  <c r="U727" i="2"/>
  <c r="T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A727" i="2"/>
  <c r="U726" i="2"/>
  <c r="R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E726" i="2"/>
  <c r="T726" i="2" s="1"/>
  <c r="D726" i="2"/>
  <c r="C726" i="2"/>
  <c r="B726" i="2"/>
  <c r="A726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U725" i="2" s="1"/>
  <c r="D725" i="2"/>
  <c r="C725" i="2"/>
  <c r="B725" i="2"/>
  <c r="A725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724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A723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T722" i="2" s="1"/>
  <c r="D722" i="2"/>
  <c r="C722" i="2"/>
  <c r="B722" i="2"/>
  <c r="A722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A721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U720" i="2" s="1"/>
  <c r="D720" i="2"/>
  <c r="C720" i="2"/>
  <c r="B720" i="2"/>
  <c r="A720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U719" i="2" s="1"/>
  <c r="D719" i="2"/>
  <c r="C719" i="2"/>
  <c r="B719" i="2"/>
  <c r="A719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U718" i="2" s="1"/>
  <c r="D718" i="2"/>
  <c r="C718" i="2"/>
  <c r="B718" i="2"/>
  <c r="A718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U717" i="2" s="1"/>
  <c r="D717" i="2"/>
  <c r="C717" i="2"/>
  <c r="B717" i="2"/>
  <c r="A717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A716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T715" i="2" s="1"/>
  <c r="D715" i="2"/>
  <c r="C715" i="2"/>
  <c r="B715" i="2"/>
  <c r="A715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U714" i="2" s="1"/>
  <c r="D714" i="2"/>
  <c r="C714" i="2"/>
  <c r="B714" i="2"/>
  <c r="A714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U713" i="2" s="1"/>
  <c r="D713" i="2"/>
  <c r="C713" i="2"/>
  <c r="B713" i="2"/>
  <c r="A713" i="2"/>
  <c r="T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A712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A711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A710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U709" i="2" s="1"/>
  <c r="D709" i="2"/>
  <c r="C709" i="2"/>
  <c r="B709" i="2"/>
  <c r="A709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U708" i="2" s="1"/>
  <c r="D708" i="2"/>
  <c r="C708" i="2"/>
  <c r="B708" i="2"/>
  <c r="A708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U707" i="2" s="1"/>
  <c r="D707" i="2"/>
  <c r="C707" i="2"/>
  <c r="B707" i="2"/>
  <c r="A707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U706" i="2" s="1"/>
  <c r="D706" i="2"/>
  <c r="C706" i="2"/>
  <c r="B706" i="2"/>
  <c r="A706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U705" i="2" s="1"/>
  <c r="D705" i="2"/>
  <c r="C705" i="2"/>
  <c r="B705" i="2"/>
  <c r="A705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T704" i="2" s="1"/>
  <c r="D704" i="2"/>
  <c r="C704" i="2"/>
  <c r="B704" i="2"/>
  <c r="A704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U703" i="2" s="1"/>
  <c r="D703" i="2"/>
  <c r="C703" i="2"/>
  <c r="B703" i="2"/>
  <c r="A703" i="2"/>
  <c r="T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U702" i="2" s="1"/>
  <c r="D702" i="2"/>
  <c r="C702" i="2"/>
  <c r="B702" i="2"/>
  <c r="A702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U701" i="2" s="1"/>
  <c r="D701" i="2"/>
  <c r="C701" i="2"/>
  <c r="B701" i="2"/>
  <c r="A701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U700" i="2" s="1"/>
  <c r="D700" i="2"/>
  <c r="C700" i="2"/>
  <c r="B700" i="2"/>
  <c r="A700" i="2"/>
  <c r="U699" i="2"/>
  <c r="T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A699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A698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697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T696" i="2" s="1"/>
  <c r="D696" i="2"/>
  <c r="C696" i="2"/>
  <c r="B696" i="2"/>
  <c r="A696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A695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U694" i="2" s="1"/>
  <c r="D694" i="2"/>
  <c r="C694" i="2"/>
  <c r="B694" i="2"/>
  <c r="A694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U693" i="2" s="1"/>
  <c r="D693" i="2"/>
  <c r="C693" i="2"/>
  <c r="B693" i="2"/>
  <c r="A693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A692" i="2"/>
  <c r="U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A691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A690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A689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U688" i="2" s="1"/>
  <c r="D688" i="2"/>
  <c r="C688" i="2"/>
  <c r="B688" i="2"/>
  <c r="A688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U687" i="2" s="1"/>
  <c r="D687" i="2"/>
  <c r="C687" i="2"/>
  <c r="B687" i="2"/>
  <c r="A687" i="2"/>
  <c r="R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U686" i="2" s="1"/>
  <c r="D686" i="2"/>
  <c r="C686" i="2"/>
  <c r="B686" i="2"/>
  <c r="A686" i="2"/>
  <c r="U685" i="2"/>
  <c r="T685" i="2"/>
  <c r="R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685" i="2"/>
  <c r="U684" i="2"/>
  <c r="T684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A684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T683" i="2" s="1"/>
  <c r="D683" i="2"/>
  <c r="C683" i="2"/>
  <c r="B683" i="2"/>
  <c r="A683" i="2"/>
  <c r="R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E682" i="2"/>
  <c r="U682" i="2" s="1"/>
  <c r="D682" i="2"/>
  <c r="C682" i="2"/>
  <c r="B682" i="2"/>
  <c r="A682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E681" i="2"/>
  <c r="U681" i="2" s="1"/>
  <c r="D681" i="2"/>
  <c r="C681" i="2"/>
  <c r="B681" i="2"/>
  <c r="A681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U680" i="2" s="1"/>
  <c r="D680" i="2"/>
  <c r="C680" i="2"/>
  <c r="B680" i="2"/>
  <c r="A680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U679" i="2" s="1"/>
  <c r="D679" i="2"/>
  <c r="C679" i="2"/>
  <c r="B679" i="2"/>
  <c r="A679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U678" i="2" s="1"/>
  <c r="D678" i="2"/>
  <c r="C678" i="2"/>
  <c r="B678" i="2"/>
  <c r="A678" i="2"/>
  <c r="U677" i="2"/>
  <c r="T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677" i="2"/>
  <c r="U676" i="2"/>
  <c r="T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676" i="2"/>
  <c r="U675" i="2"/>
  <c r="T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675" i="2"/>
  <c r="U674" i="2"/>
  <c r="T674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674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U673" i="2" s="1"/>
  <c r="D673" i="2"/>
  <c r="C673" i="2"/>
  <c r="B673" i="2"/>
  <c r="A673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A672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U671" i="2" s="1"/>
  <c r="D671" i="2"/>
  <c r="C671" i="2"/>
  <c r="B671" i="2"/>
  <c r="A671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670" i="2"/>
  <c r="T669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U669" i="2" s="1"/>
  <c r="D669" i="2"/>
  <c r="C669" i="2"/>
  <c r="B669" i="2"/>
  <c r="A669" i="2"/>
  <c r="U668" i="2"/>
  <c r="T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668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U667" i="2" s="1"/>
  <c r="D667" i="2"/>
  <c r="C667" i="2"/>
  <c r="B667" i="2"/>
  <c r="A667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E666" i="2"/>
  <c r="U666" i="2" s="1"/>
  <c r="D666" i="2"/>
  <c r="C666" i="2"/>
  <c r="B666" i="2"/>
  <c r="A666" i="2"/>
  <c r="R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665" i="2"/>
  <c r="U664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T664" i="2" s="1"/>
  <c r="D664" i="2"/>
  <c r="C664" i="2"/>
  <c r="B664" i="2"/>
  <c r="A664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A663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U662" i="2" s="1"/>
  <c r="D662" i="2"/>
  <c r="C662" i="2"/>
  <c r="B662" i="2"/>
  <c r="A662" i="2"/>
  <c r="U661" i="2"/>
  <c r="T661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A661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U660" i="2" s="1"/>
  <c r="D660" i="2"/>
  <c r="C660" i="2"/>
  <c r="B660" i="2"/>
  <c r="A660" i="2"/>
  <c r="U659" i="2"/>
  <c r="T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A659" i="2"/>
  <c r="U658" i="2"/>
  <c r="T658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A658" i="2"/>
  <c r="U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T657" i="2" s="1"/>
  <c r="D657" i="2"/>
  <c r="C657" i="2"/>
  <c r="B657" i="2"/>
  <c r="A657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U656" i="2" s="1"/>
  <c r="D656" i="2"/>
  <c r="C656" i="2"/>
  <c r="B656" i="2"/>
  <c r="A656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U655" i="2" s="1"/>
  <c r="D655" i="2"/>
  <c r="C655" i="2"/>
  <c r="B655" i="2"/>
  <c r="A655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E654" i="2"/>
  <c r="U654" i="2" s="1"/>
  <c r="D654" i="2"/>
  <c r="C654" i="2"/>
  <c r="B654" i="2"/>
  <c r="A654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U653" i="2" s="1"/>
  <c r="D653" i="2"/>
  <c r="C653" i="2"/>
  <c r="B653" i="2"/>
  <c r="A653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652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T651" i="2" s="1"/>
  <c r="D651" i="2"/>
  <c r="C651" i="2"/>
  <c r="B651" i="2"/>
  <c r="A651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U650" i="2" s="1"/>
  <c r="D650" i="2"/>
  <c r="C650" i="2"/>
  <c r="B650" i="2"/>
  <c r="A650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U649" i="2" s="1"/>
  <c r="D649" i="2"/>
  <c r="C649" i="2"/>
  <c r="B649" i="2"/>
  <c r="A649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E648" i="2"/>
  <c r="U648" i="2" s="1"/>
  <c r="D648" i="2"/>
  <c r="C648" i="2"/>
  <c r="B648" i="2"/>
  <c r="A648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U647" i="2" s="1"/>
  <c r="D647" i="2"/>
  <c r="C647" i="2"/>
  <c r="B647" i="2"/>
  <c r="A647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U646" i="2" s="1"/>
  <c r="D646" i="2"/>
  <c r="C646" i="2"/>
  <c r="B646" i="2"/>
  <c r="A646" i="2"/>
  <c r="U645" i="2"/>
  <c r="T645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645" i="2"/>
  <c r="U644" i="2"/>
  <c r="T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644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643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642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A641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640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U639" i="2" s="1"/>
  <c r="D639" i="2"/>
  <c r="C639" i="2"/>
  <c r="B639" i="2"/>
  <c r="A639" i="2"/>
  <c r="U638" i="2"/>
  <c r="T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638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637" i="2"/>
  <c r="U636" i="2"/>
  <c r="T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636" i="2"/>
  <c r="U635" i="2"/>
  <c r="T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635" i="2"/>
  <c r="U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T634" i="2" s="1"/>
  <c r="D634" i="2"/>
  <c r="C634" i="2"/>
  <c r="B634" i="2"/>
  <c r="A634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U633" i="2" s="1"/>
  <c r="D633" i="2"/>
  <c r="C633" i="2"/>
  <c r="B633" i="2"/>
  <c r="A633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A632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U631" i="2" s="1"/>
  <c r="D631" i="2"/>
  <c r="C631" i="2"/>
  <c r="B631" i="2"/>
  <c r="A631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U630" i="2" s="1"/>
  <c r="D630" i="2"/>
  <c r="C630" i="2"/>
  <c r="B630" i="2"/>
  <c r="A630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U629" i="2" s="1"/>
  <c r="D629" i="2"/>
  <c r="C629" i="2"/>
  <c r="B629" i="2"/>
  <c r="A629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U628" i="2" s="1"/>
  <c r="D628" i="2"/>
  <c r="C628" i="2"/>
  <c r="B628" i="2"/>
  <c r="A628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U627" i="2" s="1"/>
  <c r="D627" i="2"/>
  <c r="C627" i="2"/>
  <c r="B627" i="2"/>
  <c r="A627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U626" i="2" s="1"/>
  <c r="D626" i="2"/>
  <c r="C626" i="2"/>
  <c r="B626" i="2"/>
  <c r="A626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U625" i="2" s="1"/>
  <c r="D625" i="2"/>
  <c r="C625" i="2"/>
  <c r="B625" i="2"/>
  <c r="A625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U624" i="2" s="1"/>
  <c r="D624" i="2"/>
  <c r="C624" i="2"/>
  <c r="B624" i="2"/>
  <c r="A624" i="2"/>
  <c r="T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U623" i="2" s="1"/>
  <c r="D623" i="2"/>
  <c r="C623" i="2"/>
  <c r="B623" i="2"/>
  <c r="A623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622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T621" i="2" s="1"/>
  <c r="D621" i="2"/>
  <c r="C621" i="2"/>
  <c r="B621" i="2"/>
  <c r="A621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U620" i="2" s="1"/>
  <c r="D620" i="2"/>
  <c r="C620" i="2"/>
  <c r="B620" i="2"/>
  <c r="A620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619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U618" i="2" s="1"/>
  <c r="D618" i="2"/>
  <c r="C618" i="2"/>
  <c r="B618" i="2"/>
  <c r="A618" i="2"/>
  <c r="U617" i="2"/>
  <c r="T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617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616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U615" i="2" s="1"/>
  <c r="D615" i="2"/>
  <c r="C615" i="2"/>
  <c r="B615" i="2"/>
  <c r="A615" i="2"/>
  <c r="U614" i="2"/>
  <c r="T614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A614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T613" i="2" s="1"/>
  <c r="D613" i="2"/>
  <c r="C613" i="2"/>
  <c r="B613" i="2"/>
  <c r="A613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U612" i="2" s="1"/>
  <c r="D612" i="2"/>
  <c r="C612" i="2"/>
  <c r="B612" i="2"/>
  <c r="A612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U611" i="2" s="1"/>
  <c r="D611" i="2"/>
  <c r="C611" i="2"/>
  <c r="B611" i="2"/>
  <c r="A611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U610" i="2" s="1"/>
  <c r="D610" i="2"/>
  <c r="C610" i="2"/>
  <c r="B610" i="2"/>
  <c r="A610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U609" i="2" s="1"/>
  <c r="D609" i="2"/>
  <c r="C609" i="2"/>
  <c r="B609" i="2"/>
  <c r="A609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U608" i="2" s="1"/>
  <c r="D608" i="2"/>
  <c r="C608" i="2"/>
  <c r="B608" i="2"/>
  <c r="A608" i="2"/>
  <c r="U607" i="2"/>
  <c r="T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607" i="2"/>
  <c r="U606" i="2"/>
  <c r="T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A606" i="2"/>
  <c r="U605" i="2"/>
  <c r="T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605" i="2"/>
  <c r="U604" i="2"/>
  <c r="T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604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U603" i="2" s="1"/>
  <c r="D603" i="2"/>
  <c r="C603" i="2"/>
  <c r="B603" i="2"/>
  <c r="A603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602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601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600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599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U598" i="2" s="1"/>
  <c r="D598" i="2"/>
  <c r="C598" i="2"/>
  <c r="B598" i="2"/>
  <c r="A598" i="2"/>
  <c r="T597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U597" i="2" s="1"/>
  <c r="D597" i="2"/>
  <c r="C597" i="2"/>
  <c r="B597" i="2"/>
  <c r="A597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A596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U595" i="2" s="1"/>
  <c r="D595" i="2"/>
  <c r="C595" i="2"/>
  <c r="B595" i="2"/>
  <c r="A595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A594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T593" i="2" s="1"/>
  <c r="D593" i="2"/>
  <c r="C593" i="2"/>
  <c r="B593" i="2"/>
  <c r="A593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U592" i="2" s="1"/>
  <c r="D592" i="2"/>
  <c r="C592" i="2"/>
  <c r="B592" i="2"/>
  <c r="A592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U591" i="2" s="1"/>
  <c r="D591" i="2"/>
  <c r="C591" i="2"/>
  <c r="B591" i="2"/>
  <c r="A591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U590" i="2" s="1"/>
  <c r="D590" i="2"/>
  <c r="C590" i="2"/>
  <c r="B590" i="2"/>
  <c r="A590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U589" i="2" s="1"/>
  <c r="D589" i="2"/>
  <c r="C589" i="2"/>
  <c r="B589" i="2"/>
  <c r="A589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U588" i="2" s="1"/>
  <c r="D588" i="2"/>
  <c r="C588" i="2"/>
  <c r="B588" i="2"/>
  <c r="A588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U587" i="2" s="1"/>
  <c r="D587" i="2"/>
  <c r="C587" i="2"/>
  <c r="B587" i="2"/>
  <c r="A587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U586" i="2" s="1"/>
  <c r="D586" i="2"/>
  <c r="C586" i="2"/>
  <c r="B586" i="2"/>
  <c r="A586" i="2"/>
  <c r="U585" i="2"/>
  <c r="T585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A585" i="2"/>
  <c r="U584" i="2"/>
  <c r="T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A584" i="2"/>
  <c r="U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T583" i="2" s="1"/>
  <c r="D583" i="2"/>
  <c r="C583" i="2"/>
  <c r="B583" i="2"/>
  <c r="A583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A582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T581" i="2" s="1"/>
  <c r="D581" i="2"/>
  <c r="C581" i="2"/>
  <c r="B581" i="2"/>
  <c r="A581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U580" i="2" s="1"/>
  <c r="D580" i="2"/>
  <c r="C580" i="2"/>
  <c r="B580" i="2"/>
  <c r="A580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A579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U578" i="2" s="1"/>
  <c r="D578" i="2"/>
  <c r="C578" i="2"/>
  <c r="B578" i="2"/>
  <c r="A578" i="2"/>
  <c r="U577" i="2"/>
  <c r="T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A577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A576" i="2"/>
  <c r="U575" i="2"/>
  <c r="T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A575" i="2"/>
  <c r="U574" i="2"/>
  <c r="T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A574" i="2"/>
  <c r="U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T573" i="2" s="1"/>
  <c r="D573" i="2"/>
  <c r="C573" i="2"/>
  <c r="B573" i="2"/>
  <c r="A573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U572" i="2" s="1"/>
  <c r="D572" i="2"/>
  <c r="C572" i="2"/>
  <c r="B572" i="2"/>
  <c r="A572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U571" i="2" s="1"/>
  <c r="D571" i="2"/>
  <c r="C571" i="2"/>
  <c r="B571" i="2"/>
  <c r="A571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U570" i="2" s="1"/>
  <c r="D570" i="2"/>
  <c r="C570" i="2"/>
  <c r="B570" i="2"/>
  <c r="A570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569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U568" i="2" s="1"/>
  <c r="D568" i="2"/>
  <c r="C568" i="2"/>
  <c r="B568" i="2"/>
  <c r="A568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U567" i="2" s="1"/>
  <c r="D567" i="2"/>
  <c r="C567" i="2"/>
  <c r="B567" i="2"/>
  <c r="A567" i="2"/>
  <c r="T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U566" i="2" s="1"/>
  <c r="D566" i="2"/>
  <c r="C566" i="2"/>
  <c r="B566" i="2"/>
  <c r="A566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U565" i="2" s="1"/>
  <c r="D565" i="2"/>
  <c r="C565" i="2"/>
  <c r="B565" i="2"/>
  <c r="A565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U564" i="2" s="1"/>
  <c r="D564" i="2"/>
  <c r="C564" i="2"/>
  <c r="B564" i="2"/>
  <c r="A564" i="2"/>
  <c r="U563" i="2"/>
  <c r="T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563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562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561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560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559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U558" i="2" s="1"/>
  <c r="D558" i="2"/>
  <c r="C558" i="2"/>
  <c r="B558" i="2"/>
  <c r="A558" i="2"/>
  <c r="T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U557" i="2" s="1"/>
  <c r="D557" i="2"/>
  <c r="C557" i="2"/>
  <c r="B557" i="2"/>
  <c r="A557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556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U555" i="2" s="1"/>
  <c r="D555" i="2"/>
  <c r="C555" i="2"/>
  <c r="B555" i="2"/>
  <c r="A555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554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T553" i="2" s="1"/>
  <c r="D553" i="2"/>
  <c r="C553" i="2"/>
  <c r="B553" i="2"/>
  <c r="A553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U552" i="2" s="1"/>
  <c r="D552" i="2"/>
  <c r="C552" i="2"/>
  <c r="B552" i="2"/>
  <c r="A552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U551" i="2" s="1"/>
  <c r="D551" i="2"/>
  <c r="C551" i="2"/>
  <c r="B551" i="2"/>
  <c r="A551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U550" i="2" s="1"/>
  <c r="D550" i="2"/>
  <c r="C550" i="2"/>
  <c r="B550" i="2"/>
  <c r="A550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549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U548" i="2" s="1"/>
  <c r="D548" i="2"/>
  <c r="C548" i="2"/>
  <c r="B548" i="2"/>
  <c r="A548" i="2"/>
  <c r="U547" i="2"/>
  <c r="T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547" i="2"/>
  <c r="U546" i="2"/>
  <c r="T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546" i="2"/>
  <c r="U545" i="2"/>
  <c r="T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545" i="2"/>
  <c r="U544" i="2"/>
  <c r="T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544" i="2"/>
  <c r="U543" i="2"/>
  <c r="T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543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542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T541" i="2" s="1"/>
  <c r="D541" i="2"/>
  <c r="C541" i="2"/>
  <c r="B541" i="2"/>
  <c r="A541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U540" i="2" s="1"/>
  <c r="D540" i="2"/>
  <c r="C540" i="2"/>
  <c r="B540" i="2"/>
  <c r="A540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539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U538" i="2" s="1"/>
  <c r="D538" i="2"/>
  <c r="C538" i="2"/>
  <c r="B538" i="2"/>
  <c r="A538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U537" i="2" s="1"/>
  <c r="D537" i="2"/>
  <c r="C537" i="2"/>
  <c r="B537" i="2"/>
  <c r="A537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536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U535" i="2" s="1"/>
  <c r="D535" i="2"/>
  <c r="C535" i="2"/>
  <c r="B535" i="2"/>
  <c r="A535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534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T533" i="2" s="1"/>
  <c r="D533" i="2"/>
  <c r="C533" i="2"/>
  <c r="B533" i="2"/>
  <c r="A533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U532" i="2" s="1"/>
  <c r="D532" i="2"/>
  <c r="C532" i="2"/>
  <c r="B532" i="2"/>
  <c r="A532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U531" i="2" s="1"/>
  <c r="D531" i="2"/>
  <c r="C531" i="2"/>
  <c r="B531" i="2"/>
  <c r="A531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U530" i="2" s="1"/>
  <c r="D530" i="2"/>
  <c r="C530" i="2"/>
  <c r="B530" i="2"/>
  <c r="A530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529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U528" i="2" s="1"/>
  <c r="D528" i="2"/>
  <c r="C528" i="2"/>
  <c r="B528" i="2"/>
  <c r="A528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U527" i="2" s="1"/>
  <c r="D527" i="2"/>
  <c r="C527" i="2"/>
  <c r="B527" i="2"/>
  <c r="A527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U526" i="2" s="1"/>
  <c r="D526" i="2"/>
  <c r="C526" i="2"/>
  <c r="B526" i="2"/>
  <c r="A526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U525" i="2" s="1"/>
  <c r="D525" i="2"/>
  <c r="C525" i="2"/>
  <c r="B525" i="2"/>
  <c r="A525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U524" i="2" s="1"/>
  <c r="D524" i="2"/>
  <c r="C524" i="2"/>
  <c r="B524" i="2"/>
  <c r="A524" i="2"/>
  <c r="U523" i="2"/>
  <c r="T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523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522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T521" i="2" s="1"/>
  <c r="D521" i="2"/>
  <c r="C521" i="2"/>
  <c r="B521" i="2"/>
  <c r="A521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U520" i="2" s="1"/>
  <c r="D520" i="2"/>
  <c r="C520" i="2"/>
  <c r="B520" i="2"/>
  <c r="A520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519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U518" i="2" s="1"/>
  <c r="D518" i="2"/>
  <c r="C518" i="2"/>
  <c r="B518" i="2"/>
  <c r="A518" i="2"/>
  <c r="T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U517" i="2" s="1"/>
  <c r="D517" i="2"/>
  <c r="C517" i="2"/>
  <c r="B517" i="2"/>
  <c r="A517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516" i="2"/>
  <c r="U515" i="2"/>
  <c r="T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515" i="2"/>
  <c r="U514" i="2"/>
  <c r="T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514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T513" i="2" s="1"/>
  <c r="D513" i="2"/>
  <c r="C513" i="2"/>
  <c r="B513" i="2"/>
  <c r="A513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U512" i="2" s="1"/>
  <c r="D512" i="2"/>
  <c r="C512" i="2"/>
  <c r="B512" i="2"/>
  <c r="A512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U511" i="2" s="1"/>
  <c r="D511" i="2"/>
  <c r="C511" i="2"/>
  <c r="B511" i="2"/>
  <c r="A511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U510" i="2" s="1"/>
  <c r="D510" i="2"/>
  <c r="C510" i="2"/>
  <c r="B510" i="2"/>
  <c r="A510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509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U508" i="2" s="1"/>
  <c r="D508" i="2"/>
  <c r="C508" i="2"/>
  <c r="B508" i="2"/>
  <c r="A508" i="2"/>
  <c r="U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T507" i="2" s="1"/>
  <c r="D507" i="2"/>
  <c r="C507" i="2"/>
  <c r="B507" i="2"/>
  <c r="A507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U506" i="2" s="1"/>
  <c r="D506" i="2"/>
  <c r="C506" i="2"/>
  <c r="B506" i="2"/>
  <c r="A506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U505" i="2" s="1"/>
  <c r="D505" i="2"/>
  <c r="C505" i="2"/>
  <c r="B505" i="2"/>
  <c r="A505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U504" i="2" s="1"/>
  <c r="D504" i="2"/>
  <c r="C504" i="2"/>
  <c r="B504" i="2"/>
  <c r="A504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U503" i="2" s="1"/>
  <c r="D503" i="2"/>
  <c r="C503" i="2"/>
  <c r="B503" i="2"/>
  <c r="A503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502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T501" i="2" s="1"/>
  <c r="D501" i="2"/>
  <c r="C501" i="2"/>
  <c r="B501" i="2"/>
  <c r="A501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U500" i="2" s="1"/>
  <c r="D500" i="2"/>
  <c r="C500" i="2"/>
  <c r="B500" i="2"/>
  <c r="A500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499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U498" i="2" s="1"/>
  <c r="D498" i="2"/>
  <c r="C498" i="2"/>
  <c r="B498" i="2"/>
  <c r="A498" i="2"/>
  <c r="U497" i="2"/>
  <c r="T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497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496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U495" i="2" s="1"/>
  <c r="D495" i="2"/>
  <c r="C495" i="2"/>
  <c r="B495" i="2"/>
  <c r="A495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494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T493" i="2" s="1"/>
  <c r="D493" i="2"/>
  <c r="C493" i="2"/>
  <c r="B493" i="2"/>
  <c r="A493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U492" i="2" s="1"/>
  <c r="D492" i="2"/>
  <c r="C492" i="2"/>
  <c r="B492" i="2"/>
  <c r="A492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U491" i="2" s="1"/>
  <c r="D491" i="2"/>
  <c r="C491" i="2"/>
  <c r="B491" i="2"/>
  <c r="A491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490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489" i="2"/>
  <c r="U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T488" i="2" s="1"/>
  <c r="D488" i="2"/>
  <c r="C488" i="2"/>
  <c r="B488" i="2"/>
  <c r="A488" i="2"/>
  <c r="T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U487" i="2" s="1"/>
  <c r="D487" i="2"/>
  <c r="C487" i="2"/>
  <c r="B487" i="2"/>
  <c r="A487" i="2"/>
  <c r="U486" i="2"/>
  <c r="T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486" i="2"/>
  <c r="U485" i="2"/>
  <c r="T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U484" i="2" s="1"/>
  <c r="D484" i="2"/>
  <c r="C484" i="2"/>
  <c r="B484" i="2"/>
  <c r="A484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483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482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T481" i="2" s="1"/>
  <c r="D481" i="2"/>
  <c r="C481" i="2"/>
  <c r="B481" i="2"/>
  <c r="A481" i="2"/>
  <c r="U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480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479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U478" i="2" s="1"/>
  <c r="D478" i="2"/>
  <c r="C478" i="2"/>
  <c r="B478" i="2"/>
  <c r="A478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U477" i="2" s="1"/>
  <c r="D477" i="2"/>
  <c r="C477" i="2"/>
  <c r="B477" i="2"/>
  <c r="A477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476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U475" i="2" s="1"/>
  <c r="D475" i="2"/>
  <c r="C475" i="2"/>
  <c r="B475" i="2"/>
  <c r="A475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474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T473" i="2" s="1"/>
  <c r="D473" i="2"/>
  <c r="C473" i="2"/>
  <c r="B473" i="2"/>
  <c r="A473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U472" i="2" s="1"/>
  <c r="D472" i="2"/>
  <c r="C472" i="2"/>
  <c r="B472" i="2"/>
  <c r="A472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471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470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S469" i="2" s="1"/>
  <c r="D469" i="2"/>
  <c r="C469" i="2"/>
  <c r="B469" i="2"/>
  <c r="A469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468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467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466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465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464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463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462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S461" i="2" s="1"/>
  <c r="D461" i="2"/>
  <c r="C461" i="2"/>
  <c r="B461" i="2"/>
  <c r="A461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460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459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S458" i="2" s="1"/>
  <c r="D458" i="2"/>
  <c r="C458" i="2"/>
  <c r="B458" i="2"/>
  <c r="A458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S457" i="2" s="1"/>
  <c r="D457" i="2"/>
  <c r="C457" i="2"/>
  <c r="B457" i="2"/>
  <c r="A457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S456" i="2" s="1"/>
  <c r="D456" i="2"/>
  <c r="C456" i="2"/>
  <c r="B456" i="2"/>
  <c r="A456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S455" i="2" s="1"/>
  <c r="D455" i="2"/>
  <c r="C455" i="2"/>
  <c r="B455" i="2"/>
  <c r="A455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454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T453" i="2" s="1"/>
  <c r="D453" i="2"/>
  <c r="C453" i="2"/>
  <c r="B453" i="2"/>
  <c r="A453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452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S451" i="2" s="1"/>
  <c r="D451" i="2"/>
  <c r="C451" i="2"/>
  <c r="B451" i="2"/>
  <c r="A451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S450" i="2" s="1"/>
  <c r="D450" i="2"/>
  <c r="C450" i="2"/>
  <c r="B450" i="2"/>
  <c r="A450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449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T448" i="2" s="1"/>
  <c r="D448" i="2"/>
  <c r="C448" i="2"/>
  <c r="B448" i="2"/>
  <c r="A448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T447" i="2" s="1"/>
  <c r="D447" i="2"/>
  <c r="C447" i="2"/>
  <c r="B447" i="2"/>
  <c r="A447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446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445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444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443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442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441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440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S439" i="2" s="1"/>
  <c r="D439" i="2"/>
  <c r="C439" i="2"/>
  <c r="B439" i="2"/>
  <c r="A439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S438" i="2" s="1"/>
  <c r="D438" i="2"/>
  <c r="C438" i="2"/>
  <c r="B438" i="2"/>
  <c r="A438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437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A436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435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434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433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432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431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S430" i="2" s="1"/>
  <c r="D430" i="2"/>
  <c r="C430" i="2"/>
  <c r="B430" i="2"/>
  <c r="A430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S429" i="2" s="1"/>
  <c r="D429" i="2"/>
  <c r="C429" i="2"/>
  <c r="B429" i="2"/>
  <c r="A429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S428" i="2" s="1"/>
  <c r="D428" i="2"/>
  <c r="C428" i="2"/>
  <c r="B428" i="2"/>
  <c r="A428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S427" i="2" s="1"/>
  <c r="D427" i="2"/>
  <c r="C427" i="2"/>
  <c r="B427" i="2"/>
  <c r="A427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426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425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424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T423" i="2" s="1"/>
  <c r="D423" i="2"/>
  <c r="C423" i="2"/>
  <c r="B423" i="2"/>
  <c r="A423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422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421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S420" i="2" s="1"/>
  <c r="D420" i="2"/>
  <c r="C420" i="2"/>
  <c r="B420" i="2"/>
  <c r="A420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S419" i="2" s="1"/>
  <c r="D419" i="2"/>
  <c r="C419" i="2"/>
  <c r="B419" i="2"/>
  <c r="A419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418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S417" i="2" s="1"/>
  <c r="D417" i="2"/>
  <c r="C417" i="2"/>
  <c r="B417" i="2"/>
  <c r="A417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S416" i="2" s="1"/>
  <c r="D416" i="2"/>
  <c r="C416" i="2"/>
  <c r="B416" i="2"/>
  <c r="A416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S415" i="2" s="1"/>
  <c r="D415" i="2"/>
  <c r="C415" i="2"/>
  <c r="B415" i="2"/>
  <c r="A415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S414" i="2" s="1"/>
  <c r="D414" i="2"/>
  <c r="C414" i="2"/>
  <c r="B414" i="2"/>
  <c r="A414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S413" i="2" s="1"/>
  <c r="D413" i="2"/>
  <c r="C413" i="2"/>
  <c r="B413" i="2"/>
  <c r="A413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S412" i="2" s="1"/>
  <c r="D412" i="2"/>
  <c r="C412" i="2"/>
  <c r="B412" i="2"/>
  <c r="A412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S411" i="2" s="1"/>
  <c r="D411" i="2"/>
  <c r="C411" i="2"/>
  <c r="B411" i="2"/>
  <c r="A411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S410" i="2" s="1"/>
  <c r="D410" i="2"/>
  <c r="C410" i="2"/>
  <c r="B410" i="2"/>
  <c r="A410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A409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A408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407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A406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405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S404" i="2" s="1"/>
  <c r="D404" i="2"/>
  <c r="C404" i="2"/>
  <c r="B404" i="2"/>
  <c r="A404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403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S402" i="2" s="1"/>
  <c r="D402" i="2"/>
  <c r="C402" i="2"/>
  <c r="B402" i="2"/>
  <c r="A402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S401" i="2" s="1"/>
  <c r="D401" i="2"/>
  <c r="C401" i="2"/>
  <c r="B401" i="2"/>
  <c r="A401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S400" i="2" s="1"/>
  <c r="D400" i="2"/>
  <c r="C400" i="2"/>
  <c r="B400" i="2"/>
  <c r="A400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S399" i="2" s="1"/>
  <c r="D399" i="2"/>
  <c r="C399" i="2"/>
  <c r="B399" i="2"/>
  <c r="A399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S398" i="2" s="1"/>
  <c r="D398" i="2"/>
  <c r="C398" i="2"/>
  <c r="B398" i="2"/>
  <c r="A398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397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396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395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394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393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392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391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390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S389" i="2" s="1"/>
  <c r="D389" i="2"/>
  <c r="C389" i="2"/>
  <c r="B389" i="2"/>
  <c r="A389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388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387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386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A385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384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383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382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381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380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379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378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377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376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375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374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T373" i="2" s="1"/>
  <c r="D373" i="2"/>
  <c r="C373" i="2"/>
  <c r="B373" i="2"/>
  <c r="A373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372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T371" i="2" s="1"/>
  <c r="D371" i="2"/>
  <c r="C371" i="2"/>
  <c r="B371" i="2"/>
  <c r="A371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370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369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368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S367" i="2" s="1"/>
  <c r="D367" i="2"/>
  <c r="C367" i="2"/>
  <c r="B367" i="2"/>
  <c r="A367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366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365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S364" i="2" s="1"/>
  <c r="D364" i="2"/>
  <c r="C364" i="2"/>
  <c r="B364" i="2"/>
  <c r="A364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363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362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S361" i="2" s="1"/>
  <c r="D361" i="2"/>
  <c r="C361" i="2"/>
  <c r="B361" i="2"/>
  <c r="A361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S360" i="2" s="1"/>
  <c r="D360" i="2"/>
  <c r="C360" i="2"/>
  <c r="B360" i="2"/>
  <c r="A360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S359" i="2" s="1"/>
  <c r="D359" i="2"/>
  <c r="C359" i="2"/>
  <c r="B359" i="2"/>
  <c r="A359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S358" i="2" s="1"/>
  <c r="D358" i="2"/>
  <c r="C358" i="2"/>
  <c r="B358" i="2"/>
  <c r="A358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S357" i="2" s="1"/>
  <c r="D357" i="2"/>
  <c r="C357" i="2"/>
  <c r="B357" i="2"/>
  <c r="A357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S356" i="2" s="1"/>
  <c r="D356" i="2"/>
  <c r="C356" i="2"/>
  <c r="B356" i="2"/>
  <c r="A356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355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S354" i="2" s="1"/>
  <c r="D354" i="2"/>
  <c r="C354" i="2"/>
  <c r="B354" i="2"/>
  <c r="A354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S353" i="2" s="1"/>
  <c r="D353" i="2"/>
  <c r="C353" i="2"/>
  <c r="B353" i="2"/>
  <c r="A353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S352" i="2" s="1"/>
  <c r="D352" i="2"/>
  <c r="C352" i="2"/>
  <c r="B352" i="2"/>
  <c r="A352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S351" i="2" s="1"/>
  <c r="D351" i="2"/>
  <c r="C351" i="2"/>
  <c r="B351" i="2"/>
  <c r="A351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350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S349" i="2" s="1"/>
  <c r="D349" i="2"/>
  <c r="C349" i="2"/>
  <c r="B349" i="2"/>
  <c r="A349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S348" i="2" s="1"/>
  <c r="D348" i="2"/>
  <c r="C348" i="2"/>
  <c r="B348" i="2"/>
  <c r="A348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S347" i="2" s="1"/>
  <c r="D347" i="2"/>
  <c r="C347" i="2"/>
  <c r="B347" i="2"/>
  <c r="A347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S346" i="2" s="1"/>
  <c r="D346" i="2"/>
  <c r="C346" i="2"/>
  <c r="B346" i="2"/>
  <c r="A346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S345" i="2" s="1"/>
  <c r="D345" i="2"/>
  <c r="C345" i="2"/>
  <c r="B345" i="2"/>
  <c r="A345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S344" i="2" s="1"/>
  <c r="D344" i="2"/>
  <c r="C344" i="2"/>
  <c r="B344" i="2"/>
  <c r="A344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343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S342" i="2" s="1"/>
  <c r="D342" i="2"/>
  <c r="C342" i="2"/>
  <c r="B342" i="2"/>
  <c r="A342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S341" i="2" s="1"/>
  <c r="D341" i="2"/>
  <c r="C341" i="2"/>
  <c r="B341" i="2"/>
  <c r="A341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340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S339" i="2" s="1"/>
  <c r="D339" i="2"/>
  <c r="C339" i="2"/>
  <c r="B339" i="2"/>
  <c r="A339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338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337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S336" i="2" s="1"/>
  <c r="D336" i="2"/>
  <c r="C336" i="2"/>
  <c r="B336" i="2"/>
  <c r="A336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S335" i="2" s="1"/>
  <c r="D335" i="2"/>
  <c r="C335" i="2"/>
  <c r="B335" i="2"/>
  <c r="A335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S334" i="2" s="1"/>
  <c r="D334" i="2"/>
  <c r="C334" i="2"/>
  <c r="B334" i="2"/>
  <c r="A334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S333" i="2" s="1"/>
  <c r="D333" i="2"/>
  <c r="C333" i="2"/>
  <c r="B333" i="2"/>
  <c r="A333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S332" i="2" s="1"/>
  <c r="D332" i="2"/>
  <c r="C332" i="2"/>
  <c r="B332" i="2"/>
  <c r="A332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S331" i="2" s="1"/>
  <c r="D331" i="2"/>
  <c r="C331" i="2"/>
  <c r="B331" i="2"/>
  <c r="A331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S330" i="2" s="1"/>
  <c r="D330" i="2"/>
  <c r="C330" i="2"/>
  <c r="B330" i="2"/>
  <c r="A330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S329" i="2" s="1"/>
  <c r="D329" i="2"/>
  <c r="C329" i="2"/>
  <c r="B329" i="2"/>
  <c r="A329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S328" i="2" s="1"/>
  <c r="D328" i="2"/>
  <c r="C328" i="2"/>
  <c r="B328" i="2"/>
  <c r="A328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S327" i="2" s="1"/>
  <c r="D327" i="2"/>
  <c r="C327" i="2"/>
  <c r="B327" i="2"/>
  <c r="A327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S326" i="2" s="1"/>
  <c r="D326" i="2"/>
  <c r="C326" i="2"/>
  <c r="B326" i="2"/>
  <c r="A326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S325" i="2" s="1"/>
  <c r="D325" i="2"/>
  <c r="C325" i="2"/>
  <c r="B325" i="2"/>
  <c r="A325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S324" i="2" s="1"/>
  <c r="D324" i="2"/>
  <c r="C324" i="2"/>
  <c r="B324" i="2"/>
  <c r="A324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S323" i="2" s="1"/>
  <c r="D323" i="2"/>
  <c r="C323" i="2"/>
  <c r="B323" i="2"/>
  <c r="A323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S322" i="2" s="1"/>
  <c r="D322" i="2"/>
  <c r="C322" i="2"/>
  <c r="B322" i="2"/>
  <c r="A322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S321" i="2" s="1"/>
  <c r="D321" i="2"/>
  <c r="C321" i="2"/>
  <c r="B321" i="2"/>
  <c r="A321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S320" i="2" s="1"/>
  <c r="D320" i="2"/>
  <c r="C320" i="2"/>
  <c r="B320" i="2"/>
  <c r="A320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S319" i="2" s="1"/>
  <c r="D319" i="2"/>
  <c r="C319" i="2"/>
  <c r="B319" i="2"/>
  <c r="A319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S318" i="2" s="1"/>
  <c r="D318" i="2"/>
  <c r="C318" i="2"/>
  <c r="B318" i="2"/>
  <c r="A318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S317" i="2" s="1"/>
  <c r="D317" i="2"/>
  <c r="C317" i="2"/>
  <c r="B317" i="2"/>
  <c r="A317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315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S314" i="2" s="1"/>
  <c r="D314" i="2"/>
  <c r="C314" i="2"/>
  <c r="B314" i="2"/>
  <c r="A314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S313" i="2" s="1"/>
  <c r="D313" i="2"/>
  <c r="C313" i="2"/>
  <c r="B313" i="2"/>
  <c r="A313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S312" i="2" s="1"/>
  <c r="D312" i="2"/>
  <c r="C312" i="2"/>
  <c r="B312" i="2"/>
  <c r="A312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S311" i="2" s="1"/>
  <c r="D311" i="2"/>
  <c r="C311" i="2"/>
  <c r="B311" i="2"/>
  <c r="A311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310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309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308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307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A305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S304" i="2" s="1"/>
  <c r="D304" i="2"/>
  <c r="C304" i="2"/>
  <c r="B304" i="2"/>
  <c r="A304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A303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298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A295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A294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S293" i="2" s="1"/>
  <c r="D293" i="2"/>
  <c r="C293" i="2"/>
  <c r="B293" i="2"/>
  <c r="A293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292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A291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S289" i="2" s="1"/>
  <c r="D289" i="2"/>
  <c r="C289" i="2"/>
  <c r="B289" i="2"/>
  <c r="A289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S288" i="2" s="1"/>
  <c r="D288" i="2"/>
  <c r="C288" i="2"/>
  <c r="B288" i="2"/>
  <c r="A288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287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S286" i="2" s="1"/>
  <c r="D286" i="2"/>
  <c r="C286" i="2"/>
  <c r="B286" i="2"/>
  <c r="A286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285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S284" i="2" s="1"/>
  <c r="D284" i="2"/>
  <c r="C284" i="2"/>
  <c r="B284" i="2"/>
  <c r="A284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S283" i="2" s="1"/>
  <c r="D283" i="2"/>
  <c r="C283" i="2"/>
  <c r="B283" i="2"/>
  <c r="A283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S281" i="2" s="1"/>
  <c r="D281" i="2"/>
  <c r="C281" i="2"/>
  <c r="B281" i="2"/>
  <c r="A281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S280" i="2" s="1"/>
  <c r="D280" i="2"/>
  <c r="C280" i="2"/>
  <c r="B280" i="2"/>
  <c r="A280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277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T276" i="2" s="1"/>
  <c r="D276" i="2"/>
  <c r="C276" i="2"/>
  <c r="B276" i="2"/>
  <c r="A276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S275" i="2" s="1"/>
  <c r="D275" i="2"/>
  <c r="C275" i="2"/>
  <c r="B275" i="2"/>
  <c r="A275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S272" i="2" s="1"/>
  <c r="D272" i="2"/>
  <c r="C272" i="2"/>
  <c r="B272" i="2"/>
  <c r="A272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S271" i="2" s="1"/>
  <c r="D271" i="2"/>
  <c r="C271" i="2"/>
  <c r="B271" i="2"/>
  <c r="A271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270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269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S267" i="2" s="1"/>
  <c r="D267" i="2"/>
  <c r="C267" i="2"/>
  <c r="B267" i="2"/>
  <c r="A267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S266" i="2" s="1"/>
  <c r="D266" i="2"/>
  <c r="C266" i="2"/>
  <c r="B266" i="2"/>
  <c r="A266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S265" i="2" s="1"/>
  <c r="D265" i="2"/>
  <c r="C265" i="2"/>
  <c r="B265" i="2"/>
  <c r="A265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S264" i="2" s="1"/>
  <c r="D264" i="2"/>
  <c r="C264" i="2"/>
  <c r="B264" i="2"/>
  <c r="A264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S263" i="2" s="1"/>
  <c r="D263" i="2"/>
  <c r="C263" i="2"/>
  <c r="B263" i="2"/>
  <c r="A263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S262" i="2" s="1"/>
  <c r="D262" i="2"/>
  <c r="C262" i="2"/>
  <c r="B262" i="2"/>
  <c r="A262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S261" i="2" s="1"/>
  <c r="D261" i="2"/>
  <c r="C261" i="2"/>
  <c r="B261" i="2"/>
  <c r="A261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S260" i="2" s="1"/>
  <c r="D260" i="2"/>
  <c r="C260" i="2"/>
  <c r="B260" i="2"/>
  <c r="A260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S259" i="2" s="1"/>
  <c r="D259" i="2"/>
  <c r="C259" i="2"/>
  <c r="B259" i="2"/>
  <c r="A259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S258" i="2" s="1"/>
  <c r="D258" i="2"/>
  <c r="C258" i="2"/>
  <c r="B258" i="2"/>
  <c r="A258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257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256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S255" i="2" s="1"/>
  <c r="D255" i="2"/>
  <c r="C255" i="2"/>
  <c r="B255" i="2"/>
  <c r="A255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S254" i="2" s="1"/>
  <c r="D254" i="2"/>
  <c r="C254" i="2"/>
  <c r="B254" i="2"/>
  <c r="A254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S253" i="2" s="1"/>
  <c r="D253" i="2"/>
  <c r="C253" i="2"/>
  <c r="B253" i="2"/>
  <c r="A253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S252" i="2" s="1"/>
  <c r="D252" i="2"/>
  <c r="C252" i="2"/>
  <c r="B252" i="2"/>
  <c r="A252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251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249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S248" i="2" s="1"/>
  <c r="D248" i="2"/>
  <c r="C248" i="2"/>
  <c r="B248" i="2"/>
  <c r="A248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S247" i="2" s="1"/>
  <c r="D247" i="2"/>
  <c r="C247" i="2"/>
  <c r="B247" i="2"/>
  <c r="A247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S246" i="2" s="1"/>
  <c r="D246" i="2"/>
  <c r="C246" i="2"/>
  <c r="B246" i="2"/>
  <c r="A246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S245" i="2" s="1"/>
  <c r="D245" i="2"/>
  <c r="C245" i="2"/>
  <c r="B245" i="2"/>
  <c r="A245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S244" i="2" s="1"/>
  <c r="D244" i="2"/>
  <c r="C244" i="2"/>
  <c r="B244" i="2"/>
  <c r="A244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243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241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240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S239" i="2" s="1"/>
  <c r="D239" i="2"/>
  <c r="C239" i="2"/>
  <c r="B239" i="2"/>
  <c r="A239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S238" i="2" s="1"/>
  <c r="D238" i="2"/>
  <c r="C238" i="2"/>
  <c r="B238" i="2"/>
  <c r="A238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S237" i="2" s="1"/>
  <c r="D237" i="2"/>
  <c r="C237" i="2"/>
  <c r="B237" i="2"/>
  <c r="A237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S236" i="2" s="1"/>
  <c r="D236" i="2"/>
  <c r="C236" i="2"/>
  <c r="B236" i="2"/>
  <c r="A236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S235" i="2" s="1"/>
  <c r="D235" i="2"/>
  <c r="C235" i="2"/>
  <c r="B235" i="2"/>
  <c r="A235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234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233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A232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231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S230" i="2" s="1"/>
  <c r="D230" i="2"/>
  <c r="C230" i="2"/>
  <c r="B230" i="2"/>
  <c r="A230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229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228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227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224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S221" i="2" s="1"/>
  <c r="D221" i="2"/>
  <c r="C221" i="2"/>
  <c r="B221" i="2"/>
  <c r="A221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220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219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S218" i="2" s="1"/>
  <c r="D218" i="2"/>
  <c r="C218" i="2"/>
  <c r="B218" i="2"/>
  <c r="A218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S217" i="2" s="1"/>
  <c r="D217" i="2"/>
  <c r="C217" i="2"/>
  <c r="B217" i="2"/>
  <c r="A217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S216" i="2" s="1"/>
  <c r="D216" i="2"/>
  <c r="C216" i="2"/>
  <c r="B216" i="2"/>
  <c r="A216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S215" i="2" s="1"/>
  <c r="D215" i="2"/>
  <c r="C215" i="2"/>
  <c r="B215" i="2"/>
  <c r="A215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S214" i="2" s="1"/>
  <c r="D214" i="2"/>
  <c r="C214" i="2"/>
  <c r="B214" i="2"/>
  <c r="A214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213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212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S211" i="2" s="1"/>
  <c r="D211" i="2"/>
  <c r="C211" i="2"/>
  <c r="B211" i="2"/>
  <c r="A211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S210" i="2" s="1"/>
  <c r="D210" i="2"/>
  <c r="C210" i="2"/>
  <c r="B210" i="2"/>
  <c r="A210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S209" i="2" s="1"/>
  <c r="D209" i="2"/>
  <c r="C209" i="2"/>
  <c r="B209" i="2"/>
  <c r="A209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S208" i="2" s="1"/>
  <c r="D208" i="2"/>
  <c r="C208" i="2"/>
  <c r="B208" i="2"/>
  <c r="A208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S207" i="2" s="1"/>
  <c r="D207" i="2"/>
  <c r="C207" i="2"/>
  <c r="B207" i="2"/>
  <c r="A207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S206" i="2" s="1"/>
  <c r="D206" i="2"/>
  <c r="C206" i="2"/>
  <c r="B206" i="2"/>
  <c r="A206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S204" i="2" s="1"/>
  <c r="D204" i="2"/>
  <c r="C204" i="2"/>
  <c r="B204" i="2"/>
  <c r="A204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S203" i="2" s="1"/>
  <c r="D203" i="2"/>
  <c r="C203" i="2"/>
  <c r="B203" i="2"/>
  <c r="A203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S201" i="2" s="1"/>
  <c r="D201" i="2"/>
  <c r="C201" i="2"/>
  <c r="B201" i="2"/>
  <c r="A201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S200" i="2" s="1"/>
  <c r="D200" i="2"/>
  <c r="C200" i="2"/>
  <c r="B200" i="2"/>
  <c r="A200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S197" i="2" s="1"/>
  <c r="D197" i="2"/>
  <c r="C197" i="2"/>
  <c r="B197" i="2"/>
  <c r="A197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S196" i="2" s="1"/>
  <c r="D196" i="2"/>
  <c r="C196" i="2"/>
  <c r="B196" i="2"/>
  <c r="A196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S194" i="2" s="1"/>
  <c r="D194" i="2"/>
  <c r="C194" i="2"/>
  <c r="B194" i="2"/>
  <c r="A194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S193" i="2" s="1"/>
  <c r="D193" i="2"/>
  <c r="C193" i="2"/>
  <c r="B193" i="2"/>
  <c r="A193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S192" i="2" s="1"/>
  <c r="D192" i="2"/>
  <c r="C192" i="2"/>
  <c r="B192" i="2"/>
  <c r="A192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S190" i="2" s="1"/>
  <c r="D190" i="2"/>
  <c r="C190" i="2"/>
  <c r="B190" i="2"/>
  <c r="A190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S189" i="2" s="1"/>
  <c r="D189" i="2"/>
  <c r="C189" i="2"/>
  <c r="B189" i="2"/>
  <c r="A189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S188" i="2" s="1"/>
  <c r="D188" i="2"/>
  <c r="C188" i="2"/>
  <c r="B188" i="2"/>
  <c r="A188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S187" i="2" s="1"/>
  <c r="D187" i="2"/>
  <c r="C187" i="2"/>
  <c r="B187" i="2"/>
  <c r="A187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S186" i="2" s="1"/>
  <c r="D186" i="2"/>
  <c r="C186" i="2"/>
  <c r="B186" i="2"/>
  <c r="A186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S181" i="2" s="1"/>
  <c r="D181" i="2"/>
  <c r="C181" i="2"/>
  <c r="B181" i="2"/>
  <c r="A181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S180" i="2" s="1"/>
  <c r="D180" i="2"/>
  <c r="C180" i="2"/>
  <c r="B180" i="2"/>
  <c r="A180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S176" i="2" s="1"/>
  <c r="D176" i="2"/>
  <c r="C176" i="2"/>
  <c r="B176" i="2"/>
  <c r="A176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S175" i="2" s="1"/>
  <c r="D175" i="2"/>
  <c r="C175" i="2"/>
  <c r="B175" i="2"/>
  <c r="A175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S174" i="2" s="1"/>
  <c r="D174" i="2"/>
  <c r="C174" i="2"/>
  <c r="B174" i="2"/>
  <c r="A174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S173" i="2" s="1"/>
  <c r="D173" i="2"/>
  <c r="C173" i="2"/>
  <c r="B173" i="2"/>
  <c r="A173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S172" i="2" s="1"/>
  <c r="D172" i="2"/>
  <c r="C172" i="2"/>
  <c r="B172" i="2"/>
  <c r="A172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S171" i="2" s="1"/>
  <c r="D171" i="2"/>
  <c r="C171" i="2"/>
  <c r="B171" i="2"/>
  <c r="A171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S170" i="2" s="1"/>
  <c r="D170" i="2"/>
  <c r="C170" i="2"/>
  <c r="B170" i="2"/>
  <c r="A170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S166" i="2" s="1"/>
  <c r="D166" i="2"/>
  <c r="C166" i="2"/>
  <c r="B166" i="2"/>
  <c r="A166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S161" i="2" s="1"/>
  <c r="D161" i="2"/>
  <c r="C161" i="2"/>
  <c r="B161" i="2"/>
  <c r="A161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S160" i="2" s="1"/>
  <c r="D160" i="2"/>
  <c r="C160" i="2"/>
  <c r="B160" i="2"/>
  <c r="A160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S159" i="2" s="1"/>
  <c r="D159" i="2"/>
  <c r="C159" i="2"/>
  <c r="B159" i="2"/>
  <c r="A159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S158" i="2" s="1"/>
  <c r="D158" i="2"/>
  <c r="C158" i="2"/>
  <c r="B158" i="2"/>
  <c r="A158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S156" i="2" s="1"/>
  <c r="D156" i="2"/>
  <c r="C156" i="2"/>
  <c r="B156" i="2"/>
  <c r="A156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S155" i="2" s="1"/>
  <c r="D155" i="2"/>
  <c r="C155" i="2"/>
  <c r="B155" i="2"/>
  <c r="A155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S154" i="2" s="1"/>
  <c r="D154" i="2"/>
  <c r="C154" i="2"/>
  <c r="B154" i="2"/>
  <c r="A154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S153" i="2" s="1"/>
  <c r="D153" i="2"/>
  <c r="C153" i="2"/>
  <c r="B153" i="2"/>
  <c r="A153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S152" i="2" s="1"/>
  <c r="D152" i="2"/>
  <c r="C152" i="2"/>
  <c r="B152" i="2"/>
  <c r="A152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S151" i="2" s="1"/>
  <c r="D151" i="2"/>
  <c r="C151" i="2"/>
  <c r="B151" i="2"/>
  <c r="A151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S150" i="2" s="1"/>
  <c r="D150" i="2"/>
  <c r="C150" i="2"/>
  <c r="B150" i="2"/>
  <c r="A150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S149" i="2" s="1"/>
  <c r="D149" i="2"/>
  <c r="C149" i="2"/>
  <c r="B149" i="2"/>
  <c r="A149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S148" i="2" s="1"/>
  <c r="D148" i="2"/>
  <c r="C148" i="2"/>
  <c r="B148" i="2"/>
  <c r="A148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S147" i="2" s="1"/>
  <c r="D147" i="2"/>
  <c r="C147" i="2"/>
  <c r="B147" i="2"/>
  <c r="A147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S146" i="2" s="1"/>
  <c r="D146" i="2"/>
  <c r="C146" i="2"/>
  <c r="B146" i="2"/>
  <c r="A146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S145" i="2" s="1"/>
  <c r="D145" i="2"/>
  <c r="C145" i="2"/>
  <c r="B145" i="2"/>
  <c r="A145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S141" i="2" s="1"/>
  <c r="D141" i="2"/>
  <c r="C141" i="2"/>
  <c r="B141" i="2"/>
  <c r="A141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S140" i="2" s="1"/>
  <c r="D140" i="2"/>
  <c r="C140" i="2"/>
  <c r="B140" i="2"/>
  <c r="A140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S139" i="2" s="1"/>
  <c r="D139" i="2"/>
  <c r="C139" i="2"/>
  <c r="B139" i="2"/>
  <c r="A139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S138" i="2" s="1"/>
  <c r="D138" i="2"/>
  <c r="C138" i="2"/>
  <c r="B138" i="2"/>
  <c r="A138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S137" i="2" s="1"/>
  <c r="D137" i="2"/>
  <c r="C137" i="2"/>
  <c r="B137" i="2"/>
  <c r="A137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S136" i="2" s="1"/>
  <c r="D136" i="2"/>
  <c r="C136" i="2"/>
  <c r="B136" i="2"/>
  <c r="A136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S135" i="2" s="1"/>
  <c r="D135" i="2"/>
  <c r="C135" i="2"/>
  <c r="B135" i="2"/>
  <c r="A135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S134" i="2" s="1"/>
  <c r="D134" i="2"/>
  <c r="C134" i="2"/>
  <c r="B134" i="2"/>
  <c r="A134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S133" i="2" s="1"/>
  <c r="D133" i="2"/>
  <c r="C133" i="2"/>
  <c r="B133" i="2"/>
  <c r="A133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S132" i="2" s="1"/>
  <c r="D132" i="2"/>
  <c r="C132" i="2"/>
  <c r="B132" i="2"/>
  <c r="A132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S131" i="2" s="1"/>
  <c r="D131" i="2"/>
  <c r="C131" i="2"/>
  <c r="B131" i="2"/>
  <c r="A131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S130" i="2" s="1"/>
  <c r="D130" i="2"/>
  <c r="C130" i="2"/>
  <c r="B130" i="2"/>
  <c r="A130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S129" i="2" s="1"/>
  <c r="D129" i="2"/>
  <c r="C129" i="2"/>
  <c r="B129" i="2"/>
  <c r="A129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S128" i="2" s="1"/>
  <c r="D128" i="2"/>
  <c r="C128" i="2"/>
  <c r="B128" i="2"/>
  <c r="A128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S127" i="2" s="1"/>
  <c r="D127" i="2"/>
  <c r="C127" i="2"/>
  <c r="B127" i="2"/>
  <c r="A127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S125" i="2" s="1"/>
  <c r="D125" i="2"/>
  <c r="C125" i="2"/>
  <c r="B125" i="2"/>
  <c r="A125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S124" i="2" s="1"/>
  <c r="D124" i="2"/>
  <c r="C124" i="2"/>
  <c r="B124" i="2"/>
  <c r="A124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S123" i="2" s="1"/>
  <c r="D123" i="2"/>
  <c r="C123" i="2"/>
  <c r="B123" i="2"/>
  <c r="A123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S120" i="2" s="1"/>
  <c r="D120" i="2"/>
  <c r="C120" i="2"/>
  <c r="B120" i="2"/>
  <c r="A120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S119" i="2" s="1"/>
  <c r="D119" i="2"/>
  <c r="C119" i="2"/>
  <c r="B119" i="2"/>
  <c r="A119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S118" i="2" s="1"/>
  <c r="D118" i="2"/>
  <c r="C118" i="2"/>
  <c r="B118" i="2"/>
  <c r="A118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S117" i="2" s="1"/>
  <c r="D117" i="2"/>
  <c r="C117" i="2"/>
  <c r="B117" i="2"/>
  <c r="A117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S116" i="2" s="1"/>
  <c r="D116" i="2"/>
  <c r="C116" i="2"/>
  <c r="B116" i="2"/>
  <c r="A116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S115" i="2" s="1"/>
  <c r="D115" i="2"/>
  <c r="C115" i="2"/>
  <c r="B115" i="2"/>
  <c r="A115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S114" i="2" s="1"/>
  <c r="D114" i="2"/>
  <c r="C114" i="2"/>
  <c r="B114" i="2"/>
  <c r="A114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S113" i="2" s="1"/>
  <c r="D113" i="2"/>
  <c r="C113" i="2"/>
  <c r="B113" i="2"/>
  <c r="A113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S112" i="2" s="1"/>
  <c r="D112" i="2"/>
  <c r="C112" i="2"/>
  <c r="B112" i="2"/>
  <c r="A112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S111" i="2" s="1"/>
  <c r="D111" i="2"/>
  <c r="C111" i="2"/>
  <c r="B111" i="2"/>
  <c r="A111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S110" i="2" s="1"/>
  <c r="D110" i="2"/>
  <c r="C110" i="2"/>
  <c r="B110" i="2"/>
  <c r="A110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S108" i="2" s="1"/>
  <c r="D108" i="2"/>
  <c r="C108" i="2"/>
  <c r="B108" i="2"/>
  <c r="A108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S107" i="2" s="1"/>
  <c r="D107" i="2"/>
  <c r="C107" i="2"/>
  <c r="B107" i="2"/>
  <c r="A107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S106" i="2" s="1"/>
  <c r="D106" i="2"/>
  <c r="C106" i="2"/>
  <c r="B106" i="2"/>
  <c r="A106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S92" i="2" s="1"/>
  <c r="D92" i="2"/>
  <c r="C92" i="2"/>
  <c r="B92" i="2"/>
  <c r="A92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S88" i="2" s="1"/>
  <c r="D88" i="2"/>
  <c r="C88" i="2"/>
  <c r="B88" i="2"/>
  <c r="A88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S87" i="2" s="1"/>
  <c r="D87" i="2"/>
  <c r="C87" i="2"/>
  <c r="B87" i="2"/>
  <c r="A87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S86" i="2" s="1"/>
  <c r="D86" i="2"/>
  <c r="C86" i="2"/>
  <c r="B86" i="2"/>
  <c r="A86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S83" i="2" s="1"/>
  <c r="D83" i="2"/>
  <c r="C83" i="2"/>
  <c r="B83" i="2"/>
  <c r="A83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S82" i="2" s="1"/>
  <c r="D82" i="2"/>
  <c r="C82" i="2"/>
  <c r="B82" i="2"/>
  <c r="A82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S81" i="2" s="1"/>
  <c r="D81" i="2"/>
  <c r="C81" i="2"/>
  <c r="B81" i="2"/>
  <c r="A81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S80" i="2" s="1"/>
  <c r="D80" i="2"/>
  <c r="C80" i="2"/>
  <c r="B80" i="2"/>
  <c r="A80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S79" i="2" s="1"/>
  <c r="D79" i="2"/>
  <c r="C79" i="2"/>
  <c r="B79" i="2"/>
  <c r="A79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S78" i="2" s="1"/>
  <c r="D78" i="2"/>
  <c r="C78" i="2"/>
  <c r="B78" i="2"/>
  <c r="A78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S77" i="2" s="1"/>
  <c r="D77" i="2"/>
  <c r="C77" i="2"/>
  <c r="B77" i="2"/>
  <c r="A77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S76" i="2" s="1"/>
  <c r="D76" i="2"/>
  <c r="C76" i="2"/>
  <c r="B76" i="2"/>
  <c r="A76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S75" i="2" s="1"/>
  <c r="D75" i="2"/>
  <c r="C75" i="2"/>
  <c r="B75" i="2"/>
  <c r="A75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S74" i="2" s="1"/>
  <c r="D74" i="2"/>
  <c r="C74" i="2"/>
  <c r="B74" i="2"/>
  <c r="A74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S73" i="2" s="1"/>
  <c r="D73" i="2"/>
  <c r="C73" i="2"/>
  <c r="B73" i="2"/>
  <c r="A73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S72" i="2" s="1"/>
  <c r="D72" i="2"/>
  <c r="C72" i="2"/>
  <c r="B72" i="2"/>
  <c r="A72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S71" i="2" s="1"/>
  <c r="D71" i="2"/>
  <c r="C71" i="2"/>
  <c r="B71" i="2"/>
  <c r="A71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S70" i="2" s="1"/>
  <c r="D70" i="2"/>
  <c r="C70" i="2"/>
  <c r="B70" i="2"/>
  <c r="A70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S69" i="2" s="1"/>
  <c r="D69" i="2"/>
  <c r="C69" i="2"/>
  <c r="B69" i="2"/>
  <c r="A69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S67" i="2" s="1"/>
  <c r="D67" i="2"/>
  <c r="C67" i="2"/>
  <c r="B67" i="2"/>
  <c r="A67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S66" i="2" s="1"/>
  <c r="D66" i="2"/>
  <c r="C66" i="2"/>
  <c r="B66" i="2"/>
  <c r="A66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S65" i="2" s="1"/>
  <c r="D65" i="2"/>
  <c r="C65" i="2"/>
  <c r="B65" i="2"/>
  <c r="A65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S64" i="2" s="1"/>
  <c r="D64" i="2"/>
  <c r="C64" i="2"/>
  <c r="B64" i="2"/>
  <c r="A64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S63" i="2" s="1"/>
  <c r="D63" i="2"/>
  <c r="C63" i="2"/>
  <c r="B63" i="2"/>
  <c r="A63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S62" i="2" s="1"/>
  <c r="D62" i="2"/>
  <c r="C62" i="2"/>
  <c r="B62" i="2"/>
  <c r="A62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S61" i="2" s="1"/>
  <c r="D61" i="2"/>
  <c r="C61" i="2"/>
  <c r="B61" i="2"/>
  <c r="A61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S60" i="2" s="1"/>
  <c r="D60" i="2"/>
  <c r="C60" i="2"/>
  <c r="B60" i="2"/>
  <c r="A60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S59" i="2" s="1"/>
  <c r="D59" i="2"/>
  <c r="C59" i="2"/>
  <c r="B59" i="2"/>
  <c r="A59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S58" i="2" s="1"/>
  <c r="D58" i="2"/>
  <c r="C58" i="2"/>
  <c r="B58" i="2"/>
  <c r="A58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S57" i="2" s="1"/>
  <c r="D57" i="2"/>
  <c r="C57" i="2"/>
  <c r="B57" i="2"/>
  <c r="A57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S56" i="2" s="1"/>
  <c r="D56" i="2"/>
  <c r="C56" i="2"/>
  <c r="B56" i="2"/>
  <c r="A56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S55" i="2" s="1"/>
  <c r="D55" i="2"/>
  <c r="C55" i="2"/>
  <c r="B55" i="2"/>
  <c r="A55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S53" i="2" s="1"/>
  <c r="D53" i="2"/>
  <c r="C53" i="2"/>
  <c r="B53" i="2"/>
  <c r="A53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S52" i="2" s="1"/>
  <c r="D52" i="2"/>
  <c r="C52" i="2"/>
  <c r="B52" i="2"/>
  <c r="A52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S51" i="2" s="1"/>
  <c r="D51" i="2"/>
  <c r="C51" i="2"/>
  <c r="B51" i="2"/>
  <c r="A51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S50" i="2" s="1"/>
  <c r="D50" i="2"/>
  <c r="C50" i="2"/>
  <c r="B50" i="2"/>
  <c r="A50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S49" i="2" s="1"/>
  <c r="D49" i="2"/>
  <c r="C49" i="2"/>
  <c r="B49" i="2"/>
  <c r="A49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S48" i="2" s="1"/>
  <c r="D48" i="2"/>
  <c r="C48" i="2"/>
  <c r="B48" i="2"/>
  <c r="A48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S46" i="2" s="1"/>
  <c r="D46" i="2"/>
  <c r="C46" i="2"/>
  <c r="B46" i="2"/>
  <c r="A46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S45" i="2" s="1"/>
  <c r="D45" i="2"/>
  <c r="C45" i="2"/>
  <c r="B45" i="2"/>
  <c r="A45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S44" i="2" s="1"/>
  <c r="D44" i="2"/>
  <c r="C44" i="2"/>
  <c r="B44" i="2"/>
  <c r="A44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S43" i="2" s="1"/>
  <c r="D43" i="2"/>
  <c r="C43" i="2"/>
  <c r="B43" i="2"/>
  <c r="A43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S39" i="2" s="1"/>
  <c r="D39" i="2"/>
  <c r="C39" i="2"/>
  <c r="B39" i="2"/>
  <c r="A39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S36" i="2" s="1"/>
  <c r="D36" i="2"/>
  <c r="C36" i="2"/>
  <c r="B36" i="2"/>
  <c r="A36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S33" i="2" s="1"/>
  <c r="D33" i="2"/>
  <c r="C33" i="2"/>
  <c r="B33" i="2"/>
  <c r="A33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S32" i="2" s="1"/>
  <c r="D32" i="2"/>
  <c r="C32" i="2"/>
  <c r="B32" i="2"/>
  <c r="A32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S31" i="2" s="1"/>
  <c r="D31" i="2"/>
  <c r="C31" i="2"/>
  <c r="B31" i="2"/>
  <c r="A31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S30" i="2" s="1"/>
  <c r="D30" i="2"/>
  <c r="C30" i="2"/>
  <c r="B30" i="2"/>
  <c r="A30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S29" i="2" s="1"/>
  <c r="D29" i="2"/>
  <c r="C29" i="2"/>
  <c r="B29" i="2"/>
  <c r="A29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S28" i="2" s="1"/>
  <c r="D28" i="2"/>
  <c r="C28" i="2"/>
  <c r="B28" i="2"/>
  <c r="A28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S27" i="2" s="1"/>
  <c r="D27" i="2"/>
  <c r="C27" i="2"/>
  <c r="B27" i="2"/>
  <c r="A27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S26" i="2" s="1"/>
  <c r="D26" i="2"/>
  <c r="C26" i="2"/>
  <c r="B26" i="2"/>
  <c r="A26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S25" i="2" s="1"/>
  <c r="D25" i="2"/>
  <c r="C25" i="2"/>
  <c r="B25" i="2"/>
  <c r="A25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S24" i="2" s="1"/>
  <c r="D24" i="2"/>
  <c r="C24" i="2"/>
  <c r="B24" i="2"/>
  <c r="A24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S23" i="2" s="1"/>
  <c r="D23" i="2"/>
  <c r="C23" i="2"/>
  <c r="B23" i="2"/>
  <c r="A23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S22" i="2" s="1"/>
  <c r="D22" i="2"/>
  <c r="C22" i="2"/>
  <c r="B22" i="2"/>
  <c r="A22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S21" i="2" s="1"/>
  <c r="D21" i="2"/>
  <c r="C21" i="2"/>
  <c r="B21" i="2"/>
  <c r="A21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S20" i="2" s="1"/>
  <c r="D20" i="2"/>
  <c r="C20" i="2"/>
  <c r="B20" i="2"/>
  <c r="A20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S19" i="2" s="1"/>
  <c r="D19" i="2"/>
  <c r="C19" i="2"/>
  <c r="B19" i="2"/>
  <c r="A19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S18" i="2" s="1"/>
  <c r="D18" i="2"/>
  <c r="C18" i="2"/>
  <c r="B18" i="2"/>
  <c r="A18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S17" i="2" s="1"/>
  <c r="D17" i="2"/>
  <c r="C17" i="2"/>
  <c r="B17" i="2"/>
  <c r="A17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S16" i="2" s="1"/>
  <c r="D16" i="2"/>
  <c r="C16" i="2"/>
  <c r="B16" i="2"/>
  <c r="A16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S15" i="2" s="1"/>
  <c r="D15" i="2"/>
  <c r="C15" i="2"/>
  <c r="B15" i="2"/>
  <c r="A15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S14" i="2" s="1"/>
  <c r="D14" i="2"/>
  <c r="C14" i="2"/>
  <c r="B14" i="2"/>
  <c r="A14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S13" i="2" s="1"/>
  <c r="D13" i="2"/>
  <c r="C13" i="2"/>
  <c r="B13" i="2"/>
  <c r="A13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S11" i="2" s="1"/>
  <c r="D11" i="2"/>
  <c r="C11" i="2"/>
  <c r="B11" i="2"/>
  <c r="A11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S7" i="2" s="1"/>
  <c r="D7" i="2"/>
  <c r="C7" i="2"/>
  <c r="B7" i="2"/>
  <c r="A7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S6" i="2" s="1"/>
  <c r="D6" i="2"/>
  <c r="C6" i="2"/>
  <c r="B6" i="2"/>
  <c r="A6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S5" i="2" s="1"/>
  <c r="D5" i="2"/>
  <c r="C5" i="2"/>
  <c r="B5" i="2"/>
  <c r="A5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S2" i="2" s="1"/>
  <c r="D2" i="2"/>
  <c r="C2" i="2"/>
  <c r="B2" i="2"/>
  <c r="A2" i="2"/>
  <c r="T468" i="2" l="1"/>
  <c r="S468" i="2"/>
  <c r="T467" i="2"/>
  <c r="S467" i="2"/>
  <c r="T466" i="2"/>
  <c r="S466" i="2"/>
  <c r="T465" i="2"/>
  <c r="T463" i="2"/>
  <c r="S463" i="2"/>
  <c r="T462" i="2"/>
  <c r="S462" i="2"/>
  <c r="T350" i="2"/>
  <c r="S350" i="2"/>
  <c r="T179" i="2"/>
  <c r="T199" i="2"/>
  <c r="T35" i="2"/>
  <c r="S35" i="2"/>
  <c r="T195" i="2"/>
  <c r="S195" i="2"/>
  <c r="T285" i="2"/>
  <c r="T385" i="2"/>
  <c r="T435" i="2"/>
  <c r="S435" i="2"/>
  <c r="T445" i="2"/>
  <c r="S445" i="2"/>
  <c r="T407" i="2"/>
  <c r="S407" i="2"/>
  <c r="T436" i="2"/>
  <c r="T34" i="2"/>
  <c r="S34" i="2"/>
  <c r="T84" i="2"/>
  <c r="S84" i="2"/>
  <c r="T144" i="2"/>
  <c r="S144" i="2"/>
  <c r="T234" i="2"/>
  <c r="S234" i="2"/>
  <c r="T444" i="2"/>
  <c r="S444" i="2"/>
  <c r="T47" i="2"/>
  <c r="S47" i="2"/>
  <c r="T157" i="2"/>
  <c r="S157" i="2"/>
  <c r="T257" i="2"/>
  <c r="S257" i="2"/>
  <c r="T338" i="2"/>
  <c r="S338" i="2"/>
  <c r="T408" i="2"/>
  <c r="T85" i="2"/>
  <c r="S85" i="2"/>
  <c r="T433" i="2"/>
  <c r="S433" i="2"/>
  <c r="T443" i="2"/>
  <c r="S443" i="2"/>
  <c r="T437" i="2"/>
  <c r="T446" i="2"/>
  <c r="S446" i="2"/>
  <c r="T142" i="2"/>
  <c r="S142" i="2"/>
  <c r="T202" i="2"/>
  <c r="S202" i="2"/>
  <c r="T432" i="2"/>
  <c r="S432" i="2"/>
  <c r="T337" i="2"/>
  <c r="S337" i="2"/>
  <c r="T226" i="2"/>
  <c r="S226" i="2"/>
  <c r="T256" i="2"/>
  <c r="S256" i="2"/>
  <c r="T426" i="2"/>
  <c r="T431" i="2"/>
  <c r="T483" i="2"/>
  <c r="U483" i="2"/>
  <c r="T484" i="2"/>
  <c r="T474" i="2"/>
  <c r="U474" i="2"/>
  <c r="T475" i="2"/>
  <c r="U513" i="2"/>
  <c r="T792" i="2"/>
  <c r="T1172" i="2"/>
  <c r="T564" i="2"/>
  <c r="T700" i="2"/>
  <c r="T784" i="2"/>
  <c r="U922" i="2"/>
  <c r="T1095" i="2"/>
  <c r="U1096" i="2"/>
  <c r="T1102" i="2"/>
  <c r="T1122" i="2"/>
  <c r="T1135" i="2"/>
  <c r="U1136" i="2"/>
  <c r="T1142" i="2"/>
  <c r="T1155" i="2"/>
  <c r="U1156" i="2"/>
  <c r="T1162" i="2"/>
  <c r="T1174" i="2"/>
  <c r="T1181" i="2"/>
  <c r="T477" i="2"/>
  <c r="T565" i="2"/>
  <c r="T701" i="2"/>
  <c r="T1079" i="2"/>
  <c r="T1103" i="2"/>
  <c r="T1123" i="2"/>
  <c r="T1143" i="2"/>
  <c r="T1163" i="2"/>
  <c r="T1175" i="2"/>
  <c r="U1176" i="2"/>
  <c r="T1182" i="2"/>
  <c r="U473" i="2"/>
  <c r="T594" i="2"/>
  <c r="U915" i="2"/>
  <c r="U1108" i="2"/>
  <c r="U1128" i="2"/>
  <c r="U1148" i="2"/>
  <c r="T503" i="2"/>
  <c r="T567" i="2"/>
  <c r="U593" i="2"/>
  <c r="U594" i="2"/>
  <c r="T595" i="2"/>
  <c r="T624" i="2"/>
  <c r="U696" i="2"/>
  <c r="T703" i="2"/>
  <c r="T787" i="2"/>
  <c r="T815" i="2"/>
  <c r="T826" i="2"/>
  <c r="T926" i="2"/>
  <c r="T952" i="2"/>
  <c r="T986" i="2"/>
  <c r="U1073" i="2"/>
  <c r="T1074" i="2"/>
  <c r="T1081" i="2"/>
  <c r="T1105" i="2"/>
  <c r="T1125" i="2"/>
  <c r="T1145" i="2"/>
  <c r="T1165" i="2"/>
  <c r="U1168" i="2"/>
  <c r="T1184" i="2"/>
  <c r="T1196" i="2"/>
  <c r="T1200" i="2"/>
  <c r="T504" i="2"/>
  <c r="T534" i="2"/>
  <c r="T537" i="2"/>
  <c r="T625" i="2"/>
  <c r="U704" i="2"/>
  <c r="T705" i="2"/>
  <c r="U748" i="2"/>
  <c r="T774" i="2"/>
  <c r="T777" i="2"/>
  <c r="T788" i="2"/>
  <c r="T816" i="2"/>
  <c r="T827" i="2"/>
  <c r="T892" i="2"/>
  <c r="T927" i="2"/>
  <c r="U951" i="2"/>
  <c r="U952" i="2"/>
  <c r="T953" i="2"/>
  <c r="T1075" i="2"/>
  <c r="U1076" i="2"/>
  <c r="T1082" i="2"/>
  <c r="T1106" i="2"/>
  <c r="T1126" i="2"/>
  <c r="T1146" i="2"/>
  <c r="T1166" i="2"/>
  <c r="T1185" i="2"/>
  <c r="U1188" i="2"/>
  <c r="T1201" i="2"/>
  <c r="T505" i="2"/>
  <c r="U533" i="2"/>
  <c r="U534" i="2"/>
  <c r="T535" i="2"/>
  <c r="T626" i="2"/>
  <c r="T692" i="2"/>
  <c r="T706" i="2"/>
  <c r="T742" i="2"/>
  <c r="T745" i="2"/>
  <c r="U773" i="2"/>
  <c r="U774" i="2"/>
  <c r="T775" i="2"/>
  <c r="T817" i="2"/>
  <c r="U892" i="2"/>
  <c r="T893" i="2"/>
  <c r="T939" i="2"/>
  <c r="T954" i="2"/>
  <c r="T957" i="2"/>
  <c r="U1071" i="2"/>
  <c r="T1202" i="2"/>
  <c r="T1211" i="2"/>
  <c r="T1212" i="2"/>
  <c r="T1213" i="2"/>
  <c r="T506" i="2"/>
  <c r="T627" i="2"/>
  <c r="U692" i="2"/>
  <c r="T693" i="2"/>
  <c r="T725" i="2"/>
  <c r="T740" i="2"/>
  <c r="U742" i="2"/>
  <c r="T743" i="2"/>
  <c r="T746" i="2"/>
  <c r="T818" i="2"/>
  <c r="T879" i="2"/>
  <c r="T894" i="2"/>
  <c r="T940" i="2"/>
  <c r="T955" i="2"/>
  <c r="U956" i="2"/>
  <c r="U957" i="2"/>
  <c r="T958" i="2"/>
  <c r="T1059" i="2"/>
  <c r="T1084" i="2"/>
  <c r="T1203" i="2"/>
  <c r="T1214" i="2"/>
  <c r="T732" i="2"/>
  <c r="U997" i="2"/>
  <c r="U998" i="2"/>
  <c r="U1011" i="2"/>
  <c r="U1012" i="2"/>
  <c r="U1053" i="2"/>
  <c r="T1218" i="2"/>
  <c r="T494" i="2"/>
  <c r="T554" i="2"/>
  <c r="U613" i="2"/>
  <c r="U683" i="2"/>
  <c r="T852" i="2"/>
  <c r="T872" i="2"/>
  <c r="T995" i="2"/>
  <c r="U1031" i="2"/>
  <c r="T1232" i="2"/>
  <c r="U493" i="2"/>
  <c r="U494" i="2"/>
  <c r="T495" i="2"/>
  <c r="T524" i="2"/>
  <c r="U553" i="2"/>
  <c r="U554" i="2"/>
  <c r="T555" i="2"/>
  <c r="T586" i="2"/>
  <c r="T615" i="2"/>
  <c r="T646" i="2"/>
  <c r="T686" i="2"/>
  <c r="U722" i="2"/>
  <c r="T729" i="2"/>
  <c r="T735" i="2"/>
  <c r="T758" i="2"/>
  <c r="T765" i="2"/>
  <c r="T768" i="2"/>
  <c r="T844" i="2"/>
  <c r="U852" i="2"/>
  <c r="T853" i="2"/>
  <c r="U872" i="2"/>
  <c r="T873" i="2"/>
  <c r="T883" i="2"/>
  <c r="T898" i="2"/>
  <c r="T903" i="2"/>
  <c r="T944" i="2"/>
  <c r="T965" i="2"/>
  <c r="U994" i="2"/>
  <c r="T1002" i="2"/>
  <c r="T1020" i="2"/>
  <c r="T1035" i="2"/>
  <c r="U1036" i="2"/>
  <c r="T1041" i="2"/>
  <c r="T1063" i="2"/>
  <c r="T1222" i="2"/>
  <c r="T1234" i="2"/>
  <c r="T525" i="2"/>
  <c r="T587" i="2"/>
  <c r="T647" i="2"/>
  <c r="T687" i="2"/>
  <c r="T716" i="2"/>
  <c r="T719" i="2"/>
  <c r="U736" i="2"/>
  <c r="T759" i="2"/>
  <c r="T766" i="2"/>
  <c r="U767" i="2"/>
  <c r="U768" i="2"/>
  <c r="T769" i="2"/>
  <c r="T845" i="2"/>
  <c r="T854" i="2"/>
  <c r="T884" i="2"/>
  <c r="T899" i="2"/>
  <c r="T904" i="2"/>
  <c r="T945" i="2"/>
  <c r="T966" i="2"/>
  <c r="T1003" i="2"/>
  <c r="T1021" i="2"/>
  <c r="T1042" i="2"/>
  <c r="T1064" i="2"/>
  <c r="T1223" i="2"/>
  <c r="T1235" i="2"/>
  <c r="T1238" i="2"/>
  <c r="T1239" i="2"/>
  <c r="T526" i="2"/>
  <c r="T648" i="2"/>
  <c r="T666" i="2"/>
  <c r="T672" i="2"/>
  <c r="U715" i="2"/>
  <c r="U716" i="2"/>
  <c r="T717" i="2"/>
  <c r="T720" i="2"/>
  <c r="T760" i="2"/>
  <c r="T809" i="2"/>
  <c r="T840" i="2"/>
  <c r="T846" i="2"/>
  <c r="T855" i="2"/>
  <c r="U862" i="2"/>
  <c r="T863" i="2"/>
  <c r="T885" i="2"/>
  <c r="T900" i="2"/>
  <c r="T905" i="2"/>
  <c r="T946" i="2"/>
  <c r="T967" i="2"/>
  <c r="T1004" i="2"/>
  <c r="T1022" i="2"/>
  <c r="T1043" i="2"/>
  <c r="T1065" i="2"/>
  <c r="T1224" i="2"/>
  <c r="U1228" i="2"/>
  <c r="T1236" i="2"/>
  <c r="T1240" i="2"/>
  <c r="T527" i="2"/>
  <c r="T603" i="2"/>
  <c r="T667" i="2"/>
  <c r="U672" i="2"/>
  <c r="T673" i="2"/>
  <c r="U754" i="2"/>
  <c r="T761" i="2"/>
  <c r="T847" i="2"/>
  <c r="U848" i="2"/>
  <c r="T856" i="2"/>
  <c r="T859" i="2"/>
  <c r="T864" i="2"/>
  <c r="T886" i="2"/>
  <c r="T906" i="2"/>
  <c r="U934" i="2"/>
  <c r="T1005" i="2"/>
  <c r="T1023" i="2"/>
  <c r="T1044" i="2"/>
  <c r="T1066" i="2"/>
  <c r="T1225" i="2"/>
  <c r="T1241" i="2"/>
  <c r="T429" i="2"/>
  <c r="U429" i="2" s="1"/>
  <c r="T455" i="2"/>
  <c r="U455" i="2" s="1"/>
  <c r="T427" i="2"/>
  <c r="U427" i="2" s="1"/>
  <c r="T430" i="2"/>
  <c r="U430" i="2" s="1"/>
  <c r="T428" i="2"/>
  <c r="U428" i="2" s="1"/>
  <c r="T454" i="2"/>
  <c r="T165" i="2"/>
  <c r="T13" i="2"/>
  <c r="T113" i="2"/>
  <c r="T153" i="2"/>
  <c r="T173" i="2"/>
  <c r="T273" i="2"/>
  <c r="T12" i="2"/>
  <c r="T32" i="2"/>
  <c r="T162" i="2"/>
  <c r="T192" i="2"/>
  <c r="T222" i="2"/>
  <c r="T262" i="2"/>
  <c r="U262" i="2" s="1"/>
  <c r="T302" i="2"/>
  <c r="T402" i="2"/>
  <c r="T33" i="2"/>
  <c r="T73" i="2"/>
  <c r="T133" i="2"/>
  <c r="T213" i="2"/>
  <c r="T293" i="2"/>
  <c r="T413" i="2"/>
  <c r="T122" i="2"/>
  <c r="T182" i="2"/>
  <c r="T242" i="2"/>
  <c r="T282" i="2"/>
  <c r="T322" i="2"/>
  <c r="U322" i="2" s="1"/>
  <c r="T372" i="2"/>
  <c r="T11" i="2"/>
  <c r="U11" i="2" s="1"/>
  <c r="T59" i="2"/>
  <c r="T109" i="2"/>
  <c r="T309" i="2"/>
  <c r="T29" i="2"/>
  <c r="U29" i="2" s="1"/>
  <c r="T28" i="2"/>
  <c r="T398" i="2"/>
  <c r="T69" i="2"/>
  <c r="T39" i="2"/>
  <c r="T78" i="2"/>
  <c r="T37" i="2"/>
  <c r="T277" i="2"/>
  <c r="T297" i="2"/>
  <c r="T317" i="2"/>
  <c r="T367" i="2"/>
  <c r="T377" i="2"/>
  <c r="T387" i="2"/>
  <c r="T417" i="2"/>
  <c r="T38" i="2"/>
  <c r="T328" i="2"/>
  <c r="T177" i="2"/>
  <c r="T16" i="2"/>
  <c r="T36" i="2"/>
  <c r="T116" i="2"/>
  <c r="T136" i="2"/>
  <c r="T156" i="2"/>
  <c r="T176" i="2"/>
  <c r="T196" i="2"/>
  <c r="T216" i="2"/>
  <c r="T236" i="2"/>
  <c r="T286" i="2"/>
  <c r="T296" i="2"/>
  <c r="T316" i="2"/>
  <c r="T326" i="2"/>
  <c r="T336" i="2"/>
  <c r="T366" i="2"/>
  <c r="T376" i="2"/>
  <c r="T386" i="2"/>
  <c r="T30" i="2"/>
  <c r="T68" i="2"/>
  <c r="T137" i="2"/>
  <c r="U137" i="2" s="1"/>
  <c r="T26" i="2"/>
  <c r="T76" i="2"/>
  <c r="T106" i="2"/>
  <c r="T126" i="2"/>
  <c r="T146" i="2"/>
  <c r="T166" i="2"/>
  <c r="T186" i="2"/>
  <c r="T206" i="2"/>
  <c r="T246" i="2"/>
  <c r="T266" i="2"/>
  <c r="T306" i="2"/>
  <c r="T58" i="2"/>
  <c r="T178" i="2"/>
  <c r="T197" i="2"/>
  <c r="T5" i="2"/>
  <c r="T65" i="2"/>
  <c r="T105" i="2"/>
  <c r="T125" i="2"/>
  <c r="U125" i="2" s="1"/>
  <c r="T145" i="2"/>
  <c r="T175" i="2"/>
  <c r="U175" i="2" s="1"/>
  <c r="T205" i="2"/>
  <c r="T225" i="2"/>
  <c r="T255" i="2"/>
  <c r="T275" i="2"/>
  <c r="T325" i="2"/>
  <c r="T335" i="2"/>
  <c r="T375" i="2"/>
  <c r="T395" i="2"/>
  <c r="T405" i="2"/>
  <c r="T415" i="2"/>
  <c r="T10" i="2"/>
  <c r="T118" i="2"/>
  <c r="T77" i="2"/>
  <c r="T217" i="2"/>
  <c r="T15" i="2"/>
  <c r="T45" i="2"/>
  <c r="T75" i="2"/>
  <c r="T115" i="2"/>
  <c r="T135" i="2"/>
  <c r="T155" i="2"/>
  <c r="T215" i="2"/>
  <c r="T235" i="2"/>
  <c r="U235" i="2" s="1"/>
  <c r="T265" i="2"/>
  <c r="T315" i="2"/>
  <c r="T90" i="2"/>
  <c r="T370" i="2"/>
  <c r="T9" i="2"/>
  <c r="T19" i="2"/>
  <c r="T49" i="2"/>
  <c r="T79" i="2"/>
  <c r="T99" i="2"/>
  <c r="T159" i="2"/>
  <c r="T169" i="2"/>
  <c r="T189" i="2"/>
  <c r="T339" i="2"/>
  <c r="T369" i="2"/>
  <c r="T379" i="2"/>
  <c r="T409" i="2"/>
  <c r="T48" i="2"/>
  <c r="U48" i="2" s="1"/>
  <c r="T98" i="2"/>
  <c r="T158" i="2"/>
  <c r="T198" i="2"/>
  <c r="T348" i="2"/>
  <c r="T388" i="2"/>
  <c r="T17" i="2"/>
  <c r="T117" i="2"/>
  <c r="T237" i="2"/>
  <c r="T4" i="2"/>
  <c r="T14" i="2"/>
  <c r="T44" i="2"/>
  <c r="T104" i="2"/>
  <c r="T114" i="2"/>
  <c r="T134" i="2"/>
  <c r="T154" i="2"/>
  <c r="T164" i="2"/>
  <c r="T204" i="2"/>
  <c r="T214" i="2"/>
  <c r="T244" i="2"/>
  <c r="T254" i="2"/>
  <c r="T264" i="2"/>
  <c r="T274" i="2"/>
  <c r="T284" i="2"/>
  <c r="T294" i="2"/>
  <c r="T314" i="2"/>
  <c r="T344" i="2"/>
  <c r="U344" i="2" s="1"/>
  <c r="T354" i="2"/>
  <c r="T384" i="2"/>
  <c r="T193" i="2"/>
  <c r="U193" i="2" s="1"/>
  <c r="T224" i="2"/>
  <c r="T362" i="2"/>
  <c r="T361" i="2"/>
  <c r="U361" i="2" s="1"/>
  <c r="T360" i="2"/>
  <c r="U360" i="2" s="1"/>
  <c r="T358" i="2"/>
  <c r="U358" i="2" s="1"/>
  <c r="T359" i="2"/>
  <c r="U359" i="2" s="1"/>
  <c r="T304" i="2"/>
  <c r="U304" i="2" s="1"/>
  <c r="T345" i="2"/>
  <c r="U345" i="2" s="1"/>
  <c r="T283" i="2"/>
  <c r="U283" i="2" s="1"/>
  <c r="T414" i="2"/>
  <c r="U414" i="2" s="1"/>
  <c r="T357" i="2"/>
  <c r="U357" i="2" s="1"/>
  <c r="T91" i="2"/>
  <c r="T56" i="2"/>
  <c r="U56" i="2" s="1"/>
  <c r="T55" i="2"/>
  <c r="U55" i="2" s="1"/>
  <c r="T406" i="2"/>
  <c r="T305" i="2"/>
  <c r="T25" i="2"/>
  <c r="U25" i="2" s="1"/>
  <c r="T57" i="2"/>
  <c r="U57" i="2" s="1"/>
  <c r="T229" i="2"/>
  <c r="T143" i="2"/>
  <c r="T228" i="2"/>
  <c r="T249" i="2"/>
  <c r="T96" i="2"/>
  <c r="T95" i="2"/>
  <c r="T94" i="2"/>
  <c r="T168" i="2"/>
  <c r="T203" i="2"/>
  <c r="U203" i="2" s="1"/>
  <c r="T248" i="2"/>
  <c r="U248" i="2" s="1"/>
  <c r="T92" i="2"/>
  <c r="U92" i="2" s="1"/>
  <c r="T347" i="2"/>
  <c r="U347" i="2" s="1"/>
  <c r="T53" i="2"/>
  <c r="U53" i="2" s="1"/>
  <c r="T97" i="2"/>
  <c r="T93" i="2"/>
  <c r="T303" i="2"/>
  <c r="T245" i="2"/>
  <c r="U245" i="2" s="1"/>
  <c r="T89" i="2"/>
  <c r="T149" i="2"/>
  <c r="U149" i="2" s="1"/>
  <c r="T112" i="2"/>
  <c r="U112" i="2" s="1"/>
  <c r="T185" i="2"/>
  <c r="T184" i="2"/>
  <c r="T88" i="2"/>
  <c r="U88" i="2" s="1"/>
  <c r="T8" i="2"/>
  <c r="T188" i="2"/>
  <c r="U188" i="2" s="1"/>
  <c r="T252" i="2"/>
  <c r="U252" i="2" s="1"/>
  <c r="T308" i="2"/>
  <c r="T223" i="2"/>
  <c r="T253" i="2"/>
  <c r="T346" i="2"/>
  <c r="U346" i="2" s="1"/>
  <c r="T383" i="2"/>
  <c r="T24" i="2"/>
  <c r="U24" i="2" s="1"/>
  <c r="T374" i="2"/>
  <c r="T103" i="2"/>
  <c r="T152" i="2"/>
  <c r="U152" i="2" s="1"/>
  <c r="T292" i="2"/>
  <c r="T295" i="2"/>
  <c r="T43" i="2"/>
  <c r="U43" i="2" s="1"/>
  <c r="T232" i="2"/>
  <c r="T233" i="2"/>
  <c r="T312" i="2"/>
  <c r="U312" i="2" s="1"/>
  <c r="T313" i="2"/>
  <c r="U313" i="2" s="1"/>
  <c r="T172" i="2"/>
  <c r="U172" i="2" s="1"/>
  <c r="T194" i="2"/>
  <c r="U194" i="2" s="1"/>
  <c r="T368" i="2"/>
  <c r="T434" i="2"/>
  <c r="T243" i="2"/>
  <c r="T464" i="2"/>
  <c r="T183" i="2"/>
  <c r="T263" i="2"/>
  <c r="U263" i="2" s="1"/>
  <c r="T334" i="2"/>
  <c r="U334" i="2" s="1"/>
  <c r="T353" i="2"/>
  <c r="U353" i="2" s="1"/>
  <c r="T442" i="2"/>
  <c r="T461" i="2"/>
  <c r="U461" i="2" s="1"/>
  <c r="T31" i="2"/>
  <c r="U31" i="2" s="1"/>
  <c r="T27" i="2"/>
  <c r="U27" i="2" s="1"/>
  <c r="T52" i="2"/>
  <c r="U52" i="2" s="1"/>
  <c r="T163" i="2"/>
  <c r="T394" i="2"/>
  <c r="T51" i="2"/>
  <c r="T2" i="2"/>
  <c r="T83" i="2"/>
  <c r="T63" i="2"/>
  <c r="T130" i="2"/>
  <c r="T54" i="2"/>
  <c r="T129" i="2"/>
  <c r="T18" i="2"/>
  <c r="T123" i="2"/>
  <c r="T167" i="2"/>
  <c r="T100" i="2"/>
  <c r="T23" i="2"/>
  <c r="T40" i="2"/>
  <c r="T64" i="2"/>
  <c r="T66" i="2"/>
  <c r="U66" i="2" s="1"/>
  <c r="T140" i="2"/>
  <c r="T108" i="2"/>
  <c r="T62" i="2"/>
  <c r="T171" i="2"/>
  <c r="T220" i="2"/>
  <c r="T46" i="2"/>
  <c r="U46" i="2" s="1"/>
  <c r="T72" i="2"/>
  <c r="U72" i="2" s="1"/>
  <c r="T128" i="2"/>
  <c r="T218" i="2"/>
  <c r="T212" i="2"/>
  <c r="T127" i="2"/>
  <c r="T82" i="2"/>
  <c r="T3" i="2"/>
  <c r="T67" i="2"/>
  <c r="T119" i="2"/>
  <c r="T124" i="2"/>
  <c r="T209" i="2"/>
  <c r="T6" i="2"/>
  <c r="T70" i="2"/>
  <c r="T74" i="2"/>
  <c r="U74" i="2" s="1"/>
  <c r="T7" i="2"/>
  <c r="T71" i="2"/>
  <c r="T111" i="2"/>
  <c r="T120" i="2"/>
  <c r="U120" i="2" s="1"/>
  <c r="T211" i="2"/>
  <c r="T269" i="2"/>
  <c r="T180" i="2"/>
  <c r="T50" i="2"/>
  <c r="T148" i="2"/>
  <c r="U148" i="2" s="1"/>
  <c r="T210" i="2"/>
  <c r="T288" i="2"/>
  <c r="T170" i="2"/>
  <c r="U170" i="2" s="1"/>
  <c r="T208" i="2"/>
  <c r="T238" i="2"/>
  <c r="T324" i="2"/>
  <c r="T150" i="2"/>
  <c r="U150" i="2" s="1"/>
  <c r="T200" i="2"/>
  <c r="U200" i="2" s="1"/>
  <c r="T110" i="2"/>
  <c r="T258" i="2"/>
  <c r="U258" i="2" s="1"/>
  <c r="T107" i="2"/>
  <c r="T174" i="2"/>
  <c r="U174" i="2" s="1"/>
  <c r="T187" i="2"/>
  <c r="T87" i="2"/>
  <c r="T102" i="2"/>
  <c r="T132" i="2"/>
  <c r="T139" i="2"/>
  <c r="T86" i="2"/>
  <c r="T138" i="2"/>
  <c r="T231" i="2"/>
  <c r="T240" i="2"/>
  <c r="T280" i="2"/>
  <c r="T22" i="2"/>
  <c r="T42" i="2"/>
  <c r="T147" i="2"/>
  <c r="T160" i="2"/>
  <c r="U160" i="2" s="1"/>
  <c r="T340" i="2"/>
  <c r="T227" i="2"/>
  <c r="T239" i="2"/>
  <c r="T272" i="2"/>
  <c r="T279" i="2"/>
  <c r="T271" i="2"/>
  <c r="T365" i="2"/>
  <c r="T278" i="2"/>
  <c r="T20" i="2"/>
  <c r="T131" i="2"/>
  <c r="T270" i="2"/>
  <c r="T403" i="2"/>
  <c r="T356" i="2"/>
  <c r="T268" i="2"/>
  <c r="T330" i="2"/>
  <c r="U330" i="2" s="1"/>
  <c r="T267" i="2"/>
  <c r="T329" i="2"/>
  <c r="U329" i="2" s="1"/>
  <c r="T207" i="2"/>
  <c r="T219" i="2"/>
  <c r="U328" i="2"/>
  <c r="T298" i="2"/>
  <c r="T191" i="2"/>
  <c r="T290" i="2"/>
  <c r="T327" i="2"/>
  <c r="T349" i="2"/>
  <c r="T190" i="2"/>
  <c r="U190" i="2" s="1"/>
  <c r="T289" i="2"/>
  <c r="U289" i="2" s="1"/>
  <c r="T250" i="2"/>
  <c r="T323" i="2"/>
  <c r="T410" i="2"/>
  <c r="T60" i="2"/>
  <c r="U60" i="2" s="1"/>
  <c r="T80" i="2"/>
  <c r="U80" i="2" s="1"/>
  <c r="T311" i="2"/>
  <c r="T320" i="2"/>
  <c r="T355" i="2"/>
  <c r="T412" i="2"/>
  <c r="U723" i="2"/>
  <c r="T723" i="2"/>
  <c r="T251" i="2"/>
  <c r="T260" i="2"/>
  <c r="T310" i="2"/>
  <c r="T352" i="2"/>
  <c r="T364" i="2"/>
  <c r="U642" i="2"/>
  <c r="T642" i="2"/>
  <c r="T307" i="2"/>
  <c r="T319" i="2"/>
  <c r="T351" i="2"/>
  <c r="T363" i="2"/>
  <c r="T411" i="2"/>
  <c r="T247" i="2"/>
  <c r="T259" i="2"/>
  <c r="T318" i="2"/>
  <c r="U318" i="2" s="1"/>
  <c r="T397" i="2"/>
  <c r="T396" i="2"/>
  <c r="U602" i="2"/>
  <c r="T602" i="2"/>
  <c r="T424" i="2"/>
  <c r="T459" i="2"/>
  <c r="T151" i="2"/>
  <c r="T291" i="2"/>
  <c r="T300" i="2"/>
  <c r="T393" i="2"/>
  <c r="T422" i="2"/>
  <c r="T230" i="2"/>
  <c r="U230" i="2" s="1"/>
  <c r="T287" i="2"/>
  <c r="T299" i="2"/>
  <c r="T333" i="2"/>
  <c r="T342" i="2"/>
  <c r="T392" i="2"/>
  <c r="T421" i="2"/>
  <c r="T332" i="2"/>
  <c r="T341" i="2"/>
  <c r="T382" i="2"/>
  <c r="T391" i="2"/>
  <c r="T420" i="2"/>
  <c r="T331" i="2"/>
  <c r="T381" i="2"/>
  <c r="T390" i="2"/>
  <c r="T419" i="2"/>
  <c r="U419" i="2" s="1"/>
  <c r="T380" i="2"/>
  <c r="T389" i="2"/>
  <c r="U389" i="2" s="1"/>
  <c r="T418" i="2"/>
  <c r="U417" i="2"/>
  <c r="T378" i="2"/>
  <c r="T416" i="2"/>
  <c r="T400" i="2"/>
  <c r="U509" i="2"/>
  <c r="T509" i="2"/>
  <c r="T469" i="2"/>
  <c r="U469" i="2" s="1"/>
  <c r="U499" i="2"/>
  <c r="T499" i="2"/>
  <c r="U536" i="2"/>
  <c r="T536" i="2"/>
  <c r="U562" i="2"/>
  <c r="T562" i="2"/>
  <c r="U601" i="2"/>
  <c r="T641" i="2"/>
  <c r="U689" i="2"/>
  <c r="T689" i="2"/>
  <c r="T458" i="2"/>
  <c r="U561" i="2"/>
  <c r="T600" i="2"/>
  <c r="T457" i="2"/>
  <c r="U457" i="2" s="1"/>
  <c r="U496" i="2"/>
  <c r="T496" i="2"/>
  <c r="T560" i="2"/>
  <c r="U640" i="2"/>
  <c r="T640" i="2"/>
  <c r="U721" i="2"/>
  <c r="T721" i="2"/>
  <c r="U755" i="2"/>
  <c r="T755" i="2"/>
  <c r="U841" i="2"/>
  <c r="T841" i="2"/>
  <c r="U569" i="2"/>
  <c r="T569" i="2"/>
  <c r="U599" i="2"/>
  <c r="T599" i="2"/>
  <c r="U665" i="2"/>
  <c r="T665" i="2"/>
  <c r="U839" i="2"/>
  <c r="T839" i="2"/>
  <c r="U522" i="2"/>
  <c r="T522" i="2"/>
  <c r="U559" i="2"/>
  <c r="T559" i="2"/>
  <c r="U637" i="2"/>
  <c r="T637" i="2"/>
  <c r="T401" i="2"/>
  <c r="U401" i="2" s="1"/>
  <c r="T440" i="2"/>
  <c r="U521" i="2"/>
  <c r="U753" i="2"/>
  <c r="T753" i="2"/>
  <c r="U807" i="2"/>
  <c r="T807" i="2"/>
  <c r="U933" i="2"/>
  <c r="T933" i="2"/>
  <c r="T451" i="2"/>
  <c r="U482" i="2"/>
  <c r="T482" i="2"/>
  <c r="T520" i="2"/>
  <c r="U596" i="2"/>
  <c r="T596" i="2"/>
  <c r="U663" i="2"/>
  <c r="T663" i="2"/>
  <c r="U398" i="2"/>
  <c r="T439" i="2"/>
  <c r="U481" i="2"/>
  <c r="U490" i="2"/>
  <c r="T490" i="2"/>
  <c r="U529" i="2"/>
  <c r="T529" i="2"/>
  <c r="U752" i="2"/>
  <c r="T752" i="2"/>
  <c r="U932" i="2"/>
  <c r="T932" i="2"/>
  <c r="T21" i="2"/>
  <c r="T41" i="2"/>
  <c r="T61" i="2"/>
  <c r="T81" i="2"/>
  <c r="T101" i="2"/>
  <c r="T121" i="2"/>
  <c r="T141" i="2"/>
  <c r="T161" i="2"/>
  <c r="T181" i="2"/>
  <c r="T201" i="2"/>
  <c r="T221" i="2"/>
  <c r="T241" i="2"/>
  <c r="T261" i="2"/>
  <c r="T281" i="2"/>
  <c r="T301" i="2"/>
  <c r="T321" i="2"/>
  <c r="T343" i="2"/>
  <c r="U367" i="2"/>
  <c r="T404" i="2"/>
  <c r="T438" i="2"/>
  <c r="U438" i="2" s="1"/>
  <c r="T450" i="2"/>
  <c r="T480" i="2"/>
  <c r="U519" i="2"/>
  <c r="T519" i="2"/>
  <c r="U556" i="2"/>
  <c r="T556" i="2"/>
  <c r="U489" i="2"/>
  <c r="T489" i="2"/>
  <c r="T449" i="2"/>
  <c r="U479" i="2"/>
  <c r="T479" i="2"/>
  <c r="U582" i="2"/>
  <c r="T582" i="2"/>
  <c r="U622" i="2"/>
  <c r="T622" i="2"/>
  <c r="U698" i="2"/>
  <c r="T698" i="2"/>
  <c r="U581" i="2"/>
  <c r="U621" i="2"/>
  <c r="U750" i="2"/>
  <c r="T750" i="2"/>
  <c r="U476" i="2"/>
  <c r="T476" i="2"/>
  <c r="U516" i="2"/>
  <c r="T516" i="2"/>
  <c r="U542" i="2"/>
  <c r="T542" i="2"/>
  <c r="T580" i="2"/>
  <c r="T620" i="2"/>
  <c r="U697" i="2"/>
  <c r="T697" i="2"/>
  <c r="U781" i="2"/>
  <c r="T781" i="2"/>
  <c r="U921" i="2"/>
  <c r="T921" i="2"/>
  <c r="T399" i="2"/>
  <c r="U399" i="2" s="1"/>
  <c r="U541" i="2"/>
  <c r="U749" i="2"/>
  <c r="T749" i="2"/>
  <c r="U779" i="2"/>
  <c r="T779" i="2"/>
  <c r="T540" i="2"/>
  <c r="U579" i="2"/>
  <c r="T579" i="2"/>
  <c r="T601" i="2"/>
  <c r="U619" i="2"/>
  <c r="T619" i="2"/>
  <c r="U641" i="2"/>
  <c r="U549" i="2"/>
  <c r="T549" i="2"/>
  <c r="T561" i="2"/>
  <c r="U600" i="2"/>
  <c r="U695" i="2"/>
  <c r="T695" i="2"/>
  <c r="T471" i="2"/>
  <c r="U502" i="2"/>
  <c r="T502" i="2"/>
  <c r="U539" i="2"/>
  <c r="T539" i="2"/>
  <c r="U560" i="2"/>
  <c r="U616" i="2"/>
  <c r="T616" i="2"/>
  <c r="U747" i="2"/>
  <c r="T747" i="2"/>
  <c r="U813" i="2"/>
  <c r="T813" i="2"/>
  <c r="T425" i="2"/>
  <c r="T456" i="2"/>
  <c r="U456" i="2" s="1"/>
  <c r="T460" i="2"/>
  <c r="U501" i="2"/>
  <c r="U576" i="2"/>
  <c r="T576" i="2"/>
  <c r="U724" i="2"/>
  <c r="T724" i="2"/>
  <c r="T441" i="2"/>
  <c r="T470" i="2"/>
  <c r="U470" i="2"/>
  <c r="T500" i="2"/>
  <c r="U643" i="2"/>
  <c r="T643" i="2"/>
  <c r="U690" i="2"/>
  <c r="T690" i="2"/>
  <c r="U812" i="2"/>
  <c r="T812" i="2"/>
  <c r="U877" i="2"/>
  <c r="T877" i="2"/>
  <c r="U790" i="2"/>
  <c r="T790" i="2"/>
  <c r="U888" i="2"/>
  <c r="T888" i="2"/>
  <c r="U949" i="2"/>
  <c r="T949" i="2"/>
  <c r="U948" i="2"/>
  <c r="T948" i="2"/>
  <c r="T660" i="2"/>
  <c r="T718" i="2"/>
  <c r="T744" i="2"/>
  <c r="T776" i="2"/>
  <c r="T802" i="2"/>
  <c r="U828" i="2"/>
  <c r="T836" i="2"/>
  <c r="T874" i="2"/>
  <c r="T918" i="2"/>
  <c r="T711" i="2"/>
  <c r="T911" i="2"/>
  <c r="U970" i="2"/>
  <c r="T970" i="2"/>
  <c r="U1237" i="2"/>
  <c r="T1237" i="2"/>
  <c r="T478" i="2"/>
  <c r="T498" i="2"/>
  <c r="T518" i="2"/>
  <c r="T538" i="2"/>
  <c r="T558" i="2"/>
  <c r="T578" i="2"/>
  <c r="T598" i="2"/>
  <c r="T618" i="2"/>
  <c r="T639" i="2"/>
  <c r="T662" i="2"/>
  <c r="T688" i="2"/>
  <c r="T694" i="2"/>
  <c r="U710" i="2"/>
  <c r="T710" i="2"/>
  <c r="T778" i="2"/>
  <c r="T804" i="2"/>
  <c r="T838" i="2"/>
  <c r="T867" i="2"/>
  <c r="U868" i="2"/>
  <c r="T876" i="2"/>
  <c r="U1092" i="2"/>
  <c r="U1097" i="2"/>
  <c r="U1227" i="2"/>
  <c r="T1227" i="2"/>
  <c r="T771" i="2"/>
  <c r="T831" i="2"/>
  <c r="U910" i="2"/>
  <c r="T910" i="2"/>
  <c r="U969" i="2"/>
  <c r="T969" i="2"/>
  <c r="U1072" i="2"/>
  <c r="U1077" i="2"/>
  <c r="U1112" i="2"/>
  <c r="U770" i="2"/>
  <c r="T770" i="2"/>
  <c r="U830" i="2"/>
  <c r="T830" i="2"/>
  <c r="T937" i="2"/>
  <c r="U968" i="2"/>
  <c r="T968" i="2"/>
  <c r="U990" i="2"/>
  <c r="T990" i="2"/>
  <c r="U1110" i="2"/>
  <c r="T1110" i="2"/>
  <c r="U1117" i="2"/>
  <c r="U829" i="2"/>
  <c r="T871" i="2"/>
  <c r="U909" i="2"/>
  <c r="T909" i="2"/>
  <c r="T935" i="2"/>
  <c r="U936" i="2"/>
  <c r="U937" i="2"/>
  <c r="T938" i="2"/>
  <c r="U1052" i="2"/>
  <c r="U1057" i="2"/>
  <c r="U1090" i="2"/>
  <c r="T1090" i="2"/>
  <c r="T756" i="2"/>
  <c r="T782" i="2"/>
  <c r="T808" i="2"/>
  <c r="T814" i="2"/>
  <c r="T842" i="2"/>
  <c r="U870" i="2"/>
  <c r="T870" i="2"/>
  <c r="U908" i="2"/>
  <c r="T908" i="2"/>
  <c r="U989" i="2"/>
  <c r="T989" i="2"/>
  <c r="U1032" i="2"/>
  <c r="U1070" i="2"/>
  <c r="T1070" i="2"/>
  <c r="U1109" i="2"/>
  <c r="T1109" i="2"/>
  <c r="U1137" i="2"/>
  <c r="T1137" i="2"/>
  <c r="T691" i="2"/>
  <c r="U869" i="2"/>
  <c r="U1010" i="2"/>
  <c r="T1010" i="2"/>
  <c r="U1037" i="2"/>
  <c r="U1089" i="2"/>
  <c r="T1089" i="2"/>
  <c r="U1157" i="2"/>
  <c r="T1157" i="2"/>
  <c r="U1247" i="2"/>
  <c r="T1247" i="2"/>
  <c r="U988" i="2"/>
  <c r="T988" i="2"/>
  <c r="U1050" i="2"/>
  <c r="T1050" i="2"/>
  <c r="U1069" i="2"/>
  <c r="T1069" i="2"/>
  <c r="U1107" i="2"/>
  <c r="T1107" i="2"/>
  <c r="U1129" i="2"/>
  <c r="T1129" i="2"/>
  <c r="U1177" i="2"/>
  <c r="T1177" i="2"/>
  <c r="T751" i="2"/>
  <c r="U987" i="2"/>
  <c r="T987" i="2"/>
  <c r="U1009" i="2"/>
  <c r="T1009" i="2"/>
  <c r="U1030" i="2"/>
  <c r="T1030" i="2"/>
  <c r="U1087" i="2"/>
  <c r="T1087" i="2"/>
  <c r="U1049" i="2"/>
  <c r="T1049" i="2"/>
  <c r="U1127" i="2"/>
  <c r="T1127" i="2"/>
  <c r="T811" i="2"/>
  <c r="U930" i="2"/>
  <c r="T930" i="2"/>
  <c r="U1008" i="2"/>
  <c r="T1008" i="2"/>
  <c r="U1029" i="2"/>
  <c r="T1029" i="2"/>
  <c r="U1067" i="2"/>
  <c r="T1067" i="2"/>
  <c r="U1147" i="2"/>
  <c r="T1147" i="2"/>
  <c r="U1197" i="2"/>
  <c r="T1197" i="2"/>
  <c r="T508" i="2"/>
  <c r="T528" i="2"/>
  <c r="T548" i="2"/>
  <c r="T568" i="2"/>
  <c r="T588" i="2"/>
  <c r="T608" i="2"/>
  <c r="T628" i="2"/>
  <c r="T649" i="2"/>
  <c r="T652" i="2"/>
  <c r="T678" i="2"/>
  <c r="U810" i="2"/>
  <c r="T810" i="2"/>
  <c r="T972" i="2"/>
  <c r="U1007" i="2"/>
  <c r="T1007" i="2"/>
  <c r="U1167" i="2"/>
  <c r="T1167" i="2"/>
  <c r="T589" i="2"/>
  <c r="T609" i="2"/>
  <c r="T629" i="2"/>
  <c r="T650" i="2"/>
  <c r="U651" i="2"/>
  <c r="U652" i="2"/>
  <c r="T653" i="2"/>
  <c r="T671" i="2"/>
  <c r="T679" i="2"/>
  <c r="T737" i="2"/>
  <c r="T763" i="2"/>
  <c r="T789" i="2"/>
  <c r="T795" i="2"/>
  <c r="T821" i="2"/>
  <c r="T858" i="2"/>
  <c r="T887" i="2"/>
  <c r="T891" i="2"/>
  <c r="U929" i="2"/>
  <c r="T929" i="2"/>
  <c r="U972" i="2"/>
  <c r="T973" i="2"/>
  <c r="U1028" i="2"/>
  <c r="T1028" i="2"/>
  <c r="U1047" i="2"/>
  <c r="T1047" i="2"/>
  <c r="U1187" i="2"/>
  <c r="T1187" i="2"/>
  <c r="T510" i="2"/>
  <c r="T530" i="2"/>
  <c r="T550" i="2"/>
  <c r="T570" i="2"/>
  <c r="T590" i="2"/>
  <c r="T610" i="2"/>
  <c r="T630" i="2"/>
  <c r="T654" i="2"/>
  <c r="U670" i="2"/>
  <c r="T670" i="2"/>
  <c r="T680" i="2"/>
  <c r="T738" i="2"/>
  <c r="T764" i="2"/>
  <c r="T796" i="2"/>
  <c r="T822" i="2"/>
  <c r="T851" i="2"/>
  <c r="U928" i="2"/>
  <c r="T928" i="2"/>
  <c r="T947" i="2"/>
  <c r="T962" i="2"/>
  <c r="T974" i="2"/>
  <c r="U1027" i="2"/>
  <c r="T1027" i="2"/>
  <c r="T491" i="2"/>
  <c r="T511" i="2"/>
  <c r="T531" i="2"/>
  <c r="T551" i="2"/>
  <c r="T571" i="2"/>
  <c r="T591" i="2"/>
  <c r="T611" i="2"/>
  <c r="T631" i="2"/>
  <c r="T632" i="2"/>
  <c r="T655" i="2"/>
  <c r="T681" i="2"/>
  <c r="T707" i="2"/>
  <c r="U711" i="2"/>
  <c r="U712" i="2"/>
  <c r="T713" i="2"/>
  <c r="T731" i="2"/>
  <c r="T739" i="2"/>
  <c r="T797" i="2"/>
  <c r="T823" i="2"/>
  <c r="U850" i="2"/>
  <c r="T850" i="2"/>
  <c r="U890" i="2"/>
  <c r="T890" i="2"/>
  <c r="T901" i="2"/>
  <c r="U911" i="2"/>
  <c r="U912" i="2"/>
  <c r="T913" i="2"/>
  <c r="T975" i="2"/>
  <c r="U976" i="2"/>
  <c r="U977" i="2"/>
  <c r="T978" i="2"/>
  <c r="T992" i="2"/>
  <c r="T452" i="2"/>
  <c r="T472" i="2"/>
  <c r="T492" i="2"/>
  <c r="T512" i="2"/>
  <c r="T532" i="2"/>
  <c r="T552" i="2"/>
  <c r="T572" i="2"/>
  <c r="T592" i="2"/>
  <c r="T612" i="2"/>
  <c r="U632" i="2"/>
  <c r="T633" i="2"/>
  <c r="T656" i="2"/>
  <c r="T682" i="2"/>
  <c r="T708" i="2"/>
  <c r="T714" i="2"/>
  <c r="U730" i="2"/>
  <c r="T730" i="2"/>
  <c r="T772" i="2"/>
  <c r="T798" i="2"/>
  <c r="T824" i="2"/>
  <c r="T832" i="2"/>
  <c r="U849" i="2"/>
  <c r="T861" i="2"/>
  <c r="T902" i="2"/>
  <c r="T914" i="2"/>
  <c r="U950" i="2"/>
  <c r="T950" i="2"/>
  <c r="U992" i="2"/>
  <c r="T993" i="2"/>
  <c r="T1092" i="2"/>
  <c r="T1097" i="2"/>
  <c r="U1217" i="2"/>
  <c r="T1217" i="2"/>
  <c r="T709" i="2"/>
  <c r="U771" i="2"/>
  <c r="U772" i="2"/>
  <c r="T791" i="2"/>
  <c r="U831" i="2"/>
  <c r="U832" i="2"/>
  <c r="U889" i="2"/>
  <c r="T889" i="2"/>
  <c r="T997" i="2"/>
  <c r="T1072" i="2"/>
  <c r="T1077" i="2"/>
  <c r="T1112" i="2"/>
  <c r="U1207" i="2"/>
  <c r="T1207" i="2"/>
  <c r="U1132" i="2"/>
  <c r="U1152" i="2"/>
  <c r="U1172" i="2"/>
  <c r="U1192" i="2"/>
  <c r="U1212" i="2"/>
  <c r="U1232" i="2"/>
  <c r="T1038" i="2"/>
  <c r="T1058" i="2"/>
  <c r="T1078" i="2"/>
  <c r="T1098" i="2"/>
  <c r="T1118" i="2"/>
  <c r="T1138" i="2"/>
  <c r="T1158" i="2"/>
  <c r="T1178" i="2"/>
  <c r="T1048" i="2"/>
  <c r="T1068" i="2"/>
  <c r="T1149" i="2"/>
  <c r="T1169" i="2"/>
  <c r="T1189" i="2"/>
  <c r="T1209" i="2"/>
  <c r="T1229" i="2"/>
  <c r="T1249" i="2"/>
  <c r="T1130" i="2"/>
  <c r="T1150" i="2"/>
  <c r="T1170" i="2"/>
  <c r="T1190" i="2"/>
  <c r="T1210" i="2"/>
  <c r="T1230" i="2"/>
  <c r="T1250" i="2"/>
  <c r="U468" i="2" l="1"/>
  <c r="U466" i="2"/>
  <c r="U467" i="2"/>
  <c r="U463" i="2"/>
  <c r="U34" i="2"/>
  <c r="U462" i="2"/>
  <c r="U444" i="2"/>
  <c r="U84" i="2"/>
  <c r="U234" i="2"/>
  <c r="U195" i="2"/>
  <c r="U226" i="2"/>
  <c r="U407" i="2"/>
  <c r="U432" i="2"/>
  <c r="U445" i="2"/>
  <c r="U202" i="2"/>
  <c r="U157" i="2"/>
  <c r="U435" i="2"/>
  <c r="U142" i="2"/>
  <c r="U446" i="2"/>
  <c r="U443" i="2"/>
  <c r="U144" i="2"/>
  <c r="U35" i="2"/>
  <c r="U256" i="2"/>
  <c r="U85" i="2"/>
  <c r="U350" i="2"/>
  <c r="U47" i="2"/>
  <c r="U337" i="2"/>
  <c r="U338" i="2"/>
  <c r="U257" i="2"/>
  <c r="U433" i="2"/>
  <c r="U5" i="2"/>
  <c r="U13" i="2"/>
  <c r="U65" i="2"/>
  <c r="U255" i="2"/>
  <c r="U59" i="2"/>
  <c r="U26" i="2"/>
  <c r="U32" i="2"/>
  <c r="U16" i="2"/>
  <c r="U458" i="2"/>
  <c r="U76" i="2"/>
  <c r="U402" i="2"/>
  <c r="U69" i="2"/>
  <c r="U73" i="2"/>
  <c r="U450" i="2"/>
  <c r="U217" i="2"/>
  <c r="U153" i="2"/>
  <c r="U192" i="2"/>
  <c r="U176" i="2"/>
  <c r="U204" i="2"/>
  <c r="U314" i="2"/>
  <c r="U145" i="2"/>
  <c r="U39" i="2"/>
  <c r="U28" i="2"/>
  <c r="U216" i="2"/>
  <c r="U33" i="2"/>
  <c r="U156" i="2"/>
  <c r="U45" i="2"/>
  <c r="U413" i="2"/>
  <c r="U325" i="2"/>
  <c r="U146" i="2"/>
  <c r="U30" i="2"/>
  <c r="U155" i="2"/>
  <c r="U116" i="2"/>
  <c r="U106" i="2"/>
  <c r="U17" i="2"/>
  <c r="U215" i="2"/>
  <c r="U206" i="2"/>
  <c r="U237" i="2"/>
  <c r="U136" i="2"/>
  <c r="U173" i="2"/>
  <c r="U36" i="2"/>
  <c r="U264" i="2"/>
  <c r="U186" i="2"/>
  <c r="U15" i="2"/>
  <c r="U113" i="2"/>
  <c r="U339" i="2"/>
  <c r="U236" i="2"/>
  <c r="U49" i="2"/>
  <c r="U79" i="2"/>
  <c r="U19" i="2"/>
  <c r="U317" i="2"/>
  <c r="U293" i="2"/>
  <c r="U78" i="2"/>
  <c r="U246" i="2"/>
  <c r="U415" i="2"/>
  <c r="U266" i="2"/>
  <c r="U58" i="2"/>
  <c r="U44" i="2"/>
  <c r="U133" i="2"/>
  <c r="U286" i="2"/>
  <c r="U166" i="2"/>
  <c r="U117" i="2"/>
  <c r="U348" i="2"/>
  <c r="U196" i="2"/>
  <c r="U14" i="2"/>
  <c r="U335" i="2"/>
  <c r="U354" i="2"/>
  <c r="U158" i="2"/>
  <c r="U284" i="2"/>
  <c r="U265" i="2"/>
  <c r="U115" i="2"/>
  <c r="U275" i="2"/>
  <c r="U214" i="2"/>
  <c r="U244" i="2"/>
  <c r="U254" i="2"/>
  <c r="U159" i="2"/>
  <c r="U135" i="2"/>
  <c r="U154" i="2"/>
  <c r="U336" i="2"/>
  <c r="U134" i="2"/>
  <c r="U189" i="2"/>
  <c r="U197" i="2"/>
  <c r="U77" i="2"/>
  <c r="U118" i="2"/>
  <c r="U326" i="2"/>
  <c r="U75" i="2"/>
  <c r="U114" i="2"/>
  <c r="U61" i="2"/>
  <c r="U6" i="2"/>
  <c r="U111" i="2"/>
  <c r="U333" i="2"/>
  <c r="U321" i="2"/>
  <c r="U416" i="2"/>
  <c r="U129" i="2"/>
  <c r="U281" i="2"/>
  <c r="U400" i="2"/>
  <c r="U349" i="2"/>
  <c r="U280" i="2"/>
  <c r="U161" i="2"/>
  <c r="U141" i="2"/>
  <c r="U151" i="2"/>
  <c r="U130" i="2"/>
  <c r="U332" i="2"/>
  <c r="U420" i="2"/>
  <c r="U110" i="2"/>
  <c r="U320" i="2"/>
  <c r="U86" i="2"/>
  <c r="U70" i="2"/>
  <c r="U364" i="2"/>
  <c r="U21" i="2"/>
  <c r="U327" i="2"/>
  <c r="U18" i="2"/>
  <c r="U253" i="2"/>
  <c r="U342" i="2"/>
  <c r="U239" i="2"/>
  <c r="U131" i="2"/>
  <c r="U259" i="2"/>
  <c r="U63" i="2"/>
  <c r="U356" i="2"/>
  <c r="U119" i="2"/>
  <c r="U238" i="2"/>
  <c r="U127" i="2"/>
  <c r="U123" i="2"/>
  <c r="U261" i="2"/>
  <c r="U82" i="2"/>
  <c r="U139" i="2"/>
  <c r="U181" i="2"/>
  <c r="U411" i="2"/>
  <c r="U410" i="2"/>
  <c r="U324" i="2"/>
  <c r="U128" i="2"/>
  <c r="U20" i="2"/>
  <c r="U352" i="2"/>
  <c r="U331" i="2"/>
  <c r="U247" i="2"/>
  <c r="U211" i="2"/>
  <c r="U81" i="2"/>
  <c r="U218" i="2"/>
  <c r="U108" i="2"/>
  <c r="U439" i="2"/>
  <c r="U260" i="2"/>
  <c r="U107" i="2"/>
  <c r="U209" i="2"/>
  <c r="U140" i="2"/>
  <c r="U207" i="2"/>
  <c r="U147" i="2"/>
  <c r="U471" i="2"/>
  <c r="U351" i="2"/>
  <c r="U124" i="2"/>
  <c r="U404" i="2"/>
  <c r="U319" i="2"/>
  <c r="U271" i="2"/>
  <c r="U341" i="2"/>
  <c r="U288" i="2"/>
  <c r="U83" i="2"/>
  <c r="U412" i="2"/>
  <c r="U210" i="2"/>
  <c r="U67" i="2"/>
  <c r="U71" i="2"/>
  <c r="U2" i="2"/>
  <c r="U64" i="2"/>
  <c r="U221" i="2"/>
  <c r="U7" i="2"/>
  <c r="U51" i="2"/>
  <c r="U272" i="2"/>
  <c r="U201" i="2"/>
  <c r="U451" i="2"/>
  <c r="U180" i="2"/>
  <c r="U171" i="2"/>
  <c r="U311" i="2"/>
  <c r="U323" i="2"/>
  <c r="U267" i="2"/>
  <c r="U50" i="2"/>
  <c r="U62" i="2"/>
  <c r="U22" i="2"/>
  <c r="U23" i="2"/>
  <c r="U208" i="2"/>
  <c r="U187" i="2"/>
  <c r="U138" i="2"/>
  <c r="U132" i="2"/>
  <c r="U87" i="2"/>
  <c r="S371" i="2" l="1"/>
  <c r="U371" i="2" s="1"/>
  <c r="S370" i="2"/>
  <c r="U370" i="2" s="1"/>
  <c r="S89" i="2"/>
  <c r="U89" i="2" s="1"/>
  <c r="S162" i="2"/>
  <c r="U162" i="2" s="1"/>
  <c r="S240" i="2"/>
  <c r="U240" i="2" s="1"/>
  <c r="S390" i="2"/>
  <c r="U390" i="2" s="1"/>
  <c r="S290" i="2"/>
  <c r="U290" i="2" s="1"/>
  <c r="S303" i="2"/>
  <c r="U303" i="2" s="1"/>
  <c r="S222" i="2"/>
  <c r="U222" i="2" s="1"/>
  <c r="S198" i="2"/>
  <c r="U198" i="2" s="1"/>
  <c r="S423" i="2"/>
  <c r="U423" i="2" s="1"/>
  <c r="S268" i="2"/>
  <c r="U268" i="2" s="1"/>
  <c r="S363" i="2"/>
  <c r="U363" i="2" s="1"/>
  <c r="S219" i="2"/>
  <c r="U219" i="2" s="1"/>
  <c r="S177" i="2"/>
  <c r="U177" i="2" s="1"/>
  <c r="S447" i="2"/>
  <c r="U447" i="2" s="1"/>
  <c r="S143" i="2"/>
  <c r="U143" i="2" s="1"/>
  <c r="S340" i="2"/>
  <c r="U340" i="2" s="1"/>
  <c r="S121" i="2"/>
  <c r="U121" i="2" s="1"/>
  <c r="S405" i="2"/>
  <c r="U405" i="2" s="1"/>
  <c r="S276" i="2"/>
  <c r="U276" i="2" s="1"/>
  <c r="S104" i="2"/>
  <c r="U104" i="2" s="1"/>
  <c r="S421" i="2"/>
  <c r="U421" i="2" s="1"/>
  <c r="S295" i="2"/>
  <c r="U295" i="2" s="1"/>
  <c r="S440" i="2"/>
  <c r="U440" i="2" s="1"/>
  <c r="S362" i="2"/>
  <c r="U362" i="2" s="1"/>
  <c r="S41" i="2"/>
  <c r="U41" i="2" s="1"/>
  <c r="S38" i="2"/>
  <c r="U38" i="2" s="1"/>
  <c r="S273" i="2"/>
  <c r="U273" i="2" s="1"/>
  <c r="S372" i="2"/>
  <c r="U372" i="2" s="1"/>
  <c r="S212" i="2"/>
  <c r="U212" i="2" s="1"/>
  <c r="S294" i="2"/>
  <c r="U294" i="2" s="1"/>
  <c r="S165" i="2" l="1"/>
  <c r="U165" i="2" s="1"/>
  <c r="S442" i="2"/>
  <c r="U442" i="2" s="1"/>
  <c r="S213" i="2"/>
  <c r="U213" i="2" s="1"/>
  <c r="S105" i="2"/>
  <c r="U105" i="2" s="1"/>
  <c r="S270" i="2"/>
  <c r="U270" i="2" s="1"/>
  <c r="S243" i="2"/>
  <c r="U243" i="2" s="1"/>
  <c r="S179" i="2"/>
  <c r="U179" i="2" s="1"/>
  <c r="S279" i="2"/>
  <c r="U279" i="2" s="1"/>
  <c r="S300" i="2"/>
  <c r="U300" i="2" s="1"/>
  <c r="S343" i="2"/>
  <c r="U343" i="2" s="1"/>
  <c r="S377" i="2"/>
  <c r="U377" i="2" s="1"/>
  <c r="S383" i="2"/>
  <c r="U383" i="2" s="1"/>
  <c r="S299" i="2"/>
  <c r="U299" i="2" s="1"/>
  <c r="S199" i="2"/>
  <c r="U199" i="2" s="1"/>
  <c r="S426" i="2"/>
  <c r="U426" i="2" s="1"/>
  <c r="S291" i="2"/>
  <c r="U291" i="2" s="1"/>
  <c r="S225" i="2"/>
  <c r="U225" i="2" s="1"/>
  <c r="S396" i="2"/>
  <c r="U396" i="2" s="1"/>
  <c r="S12" i="2"/>
  <c r="U12" i="2" s="1"/>
  <c r="S406" i="2"/>
  <c r="U406" i="2" s="1"/>
  <c r="S42" i="2"/>
  <c r="U42" i="2" s="1"/>
  <c r="S122" i="2"/>
  <c r="U122" i="2" s="1"/>
  <c r="S449" i="2"/>
  <c r="U449" i="2" s="1"/>
  <c r="S397" i="2"/>
  <c r="U397" i="2" s="1"/>
  <c r="S292" i="2"/>
  <c r="U292" i="2" s="1"/>
  <c r="S422" i="2"/>
  <c r="U422" i="2" s="1"/>
  <c r="S391" i="2"/>
  <c r="U391" i="2" s="1"/>
  <c r="S454" i="2"/>
  <c r="U454" i="2" s="1"/>
  <c r="S369" i="2"/>
  <c r="U369" i="2" s="1"/>
  <c r="S68" i="2"/>
  <c r="U68" i="2" s="1"/>
  <c r="S274" i="2"/>
  <c r="U274" i="2" s="1"/>
  <c r="S305" i="2"/>
  <c r="U305" i="2" s="1"/>
  <c r="S368" i="2"/>
  <c r="U368" i="2" s="1"/>
  <c r="S91" i="2"/>
  <c r="U91" i="2" s="1"/>
  <c r="S269" i="2"/>
  <c r="U269" i="2" s="1"/>
  <c r="S366" i="2"/>
  <c r="U366" i="2" s="1"/>
  <c r="S297" i="2"/>
  <c r="U297" i="2" s="1"/>
  <c r="S296" i="2"/>
  <c r="U296" i="2" s="1"/>
  <c r="S164" i="2"/>
  <c r="U164" i="2" s="1"/>
  <c r="S90" i="2"/>
  <c r="U90" i="2" s="1"/>
  <c r="S382" i="2"/>
  <c r="U382" i="2" s="1"/>
  <c r="S441" i="2"/>
  <c r="U441" i="2" s="1"/>
  <c r="S381" i="2"/>
  <c r="U381" i="2" s="1"/>
  <c r="S380" i="2"/>
  <c r="U380" i="2" s="1"/>
  <c r="S241" i="2"/>
  <c r="U241" i="2" s="1"/>
  <c r="S425" i="2"/>
  <c r="U425" i="2" s="1"/>
  <c r="S223" i="2"/>
  <c r="U223" i="2" s="1"/>
  <c r="S298" i="2"/>
  <c r="U298" i="2" s="1"/>
  <c r="S365" i="2"/>
  <c r="U365" i="2" s="1"/>
  <c r="S163" i="2"/>
  <c r="U163" i="2" s="1"/>
  <c r="S448" i="2"/>
  <c r="U448" i="2" s="1"/>
  <c r="S373" i="2"/>
  <c r="U373" i="2" s="1"/>
  <c r="S424" i="2"/>
  <c r="U424" i="2" s="1"/>
  <c r="S374" i="2"/>
  <c r="U374" i="2" s="1"/>
  <c r="S242" i="2"/>
  <c r="U242" i="2" s="1"/>
  <c r="S178" i="2"/>
  <c r="U178" i="2" s="1"/>
  <c r="S95" i="2"/>
  <c r="U95" i="2" s="1"/>
  <c r="S224" i="2"/>
  <c r="U224" i="2" s="1"/>
  <c r="S96" i="2"/>
  <c r="U96" i="2" s="1"/>
  <c r="S250" i="2" l="1"/>
  <c r="U250" i="2" s="1"/>
  <c r="S355" i="2"/>
  <c r="U355" i="2" s="1"/>
  <c r="S191" i="2"/>
  <c r="U191" i="2" s="1"/>
  <c r="S310" i="2"/>
  <c r="U310" i="2" s="1"/>
  <c r="S169" i="2"/>
  <c r="U169" i="2" s="1"/>
  <c r="S231" i="2"/>
  <c r="U231" i="2" s="1"/>
  <c r="S460" i="2"/>
  <c r="U460" i="2" s="1"/>
  <c r="S205" i="2"/>
  <c r="U205" i="2" s="1"/>
  <c r="S251" i="2"/>
  <c r="U251" i="2" s="1"/>
  <c r="S385" i="2"/>
  <c r="U385" i="2" s="1"/>
  <c r="S309" i="2"/>
  <c r="U309" i="2" s="1"/>
  <c r="S54" i="2"/>
  <c r="U54" i="2" s="1"/>
  <c r="S301" i="2"/>
  <c r="U301" i="2" s="1"/>
  <c r="S409" i="2"/>
  <c r="U409" i="2" s="1"/>
  <c r="S384" i="2"/>
  <c r="U384" i="2" s="1"/>
  <c r="S459" i="2"/>
  <c r="U459" i="2" s="1"/>
  <c r="S434" i="2"/>
  <c r="U434" i="2" s="1"/>
  <c r="S465" i="2"/>
  <c r="U465" i="2" s="1"/>
  <c r="S229" i="2"/>
  <c r="U229" i="2" s="1"/>
  <c r="S249" i="2"/>
  <c r="U249" i="2" s="1"/>
  <c r="S464" i="2"/>
  <c r="U464" i="2" s="1"/>
  <c r="S228" i="2"/>
  <c r="U228" i="2" s="1"/>
  <c r="S394" i="2"/>
  <c r="U394" i="2" s="1"/>
  <c r="S308" i="2"/>
  <c r="U308" i="2" s="1"/>
  <c r="S103" i="2"/>
  <c r="U103" i="2" s="1"/>
  <c r="S388" i="2"/>
  <c r="U388" i="2" s="1"/>
  <c r="S233" i="2"/>
  <c r="U233" i="2" s="1"/>
  <c r="S100" i="2"/>
  <c r="U100" i="2" s="1"/>
  <c r="S393" i="2"/>
  <c r="U393" i="2" s="1"/>
  <c r="S436" i="2"/>
  <c r="U436" i="2" s="1"/>
  <c r="S408" i="2"/>
  <c r="U408" i="2" s="1"/>
  <c r="S227" i="2"/>
  <c r="U227" i="2" s="1"/>
  <c r="S101" i="2"/>
  <c r="U101" i="2" s="1"/>
  <c r="S287" i="2"/>
  <c r="U287" i="2" s="1"/>
  <c r="S109" i="2"/>
  <c r="U109" i="2" s="1"/>
  <c r="S167" i="2"/>
  <c r="U167" i="2" s="1"/>
  <c r="S168" i="2"/>
  <c r="U168" i="2" s="1"/>
  <c r="S307" i="2"/>
  <c r="U307" i="2" s="1"/>
  <c r="S232" i="2"/>
  <c r="U232" i="2" s="1"/>
  <c r="S387" i="2"/>
  <c r="U387" i="2" s="1"/>
  <c r="S282" i="2"/>
  <c r="U282" i="2" s="1"/>
  <c r="S431" i="2"/>
  <c r="U431" i="2" s="1"/>
  <c r="S316" i="2"/>
  <c r="U316" i="2" s="1"/>
  <c r="S392" i="2"/>
  <c r="U392" i="2" s="1"/>
  <c r="S386" i="2"/>
  <c r="U386" i="2" s="1"/>
  <c r="S183" i="2"/>
  <c r="U183" i="2" s="1"/>
  <c r="S126" i="2"/>
  <c r="U126" i="2" s="1"/>
  <c r="S102" i="2"/>
  <c r="U102" i="2" s="1"/>
  <c r="S437" i="2"/>
  <c r="U437" i="2" s="1"/>
  <c r="S315" i="2"/>
  <c r="U315" i="2" s="1"/>
  <c r="S182" i="2"/>
  <c r="U182" i="2" s="1"/>
  <c r="S285" i="2"/>
  <c r="U285" i="2" s="1"/>
  <c r="S278" i="2"/>
  <c r="U278" i="2" s="1"/>
  <c r="S379" i="2"/>
  <c r="U379" i="2" s="1"/>
  <c r="S395" i="2"/>
  <c r="U395" i="2" s="1"/>
  <c r="S452" i="2"/>
  <c r="U452" i="2" s="1"/>
  <c r="S403" i="2"/>
  <c r="U403" i="2" s="1"/>
  <c r="S93" i="2"/>
  <c r="U93" i="2" s="1"/>
  <c r="S184" i="2"/>
  <c r="U184" i="2" s="1"/>
  <c r="S378" i="2"/>
  <c r="U378" i="2" s="1"/>
  <c r="S40" i="2"/>
  <c r="U40" i="2" s="1"/>
  <c r="S376" i="2"/>
  <c r="U376" i="2" s="1"/>
  <c r="S418" i="2"/>
  <c r="U418" i="2" s="1"/>
  <c r="S8" i="2"/>
  <c r="U8" i="2" s="1"/>
  <c r="S4" i="2"/>
  <c r="U4" i="2" s="1"/>
  <c r="S10" i="2"/>
  <c r="U10" i="2" s="1"/>
  <c r="S220" i="2"/>
  <c r="U220" i="2" s="1"/>
  <c r="S302" i="2"/>
  <c r="U302" i="2" s="1"/>
  <c r="S37" i="2"/>
  <c r="U37" i="2" s="1"/>
  <c r="S3" i="2"/>
  <c r="U3" i="2" s="1"/>
  <c r="S98" i="2"/>
  <c r="U98" i="2" s="1"/>
  <c r="S453" i="2"/>
  <c r="U453" i="2" s="1"/>
  <c r="S99" i="2"/>
  <c r="U99" i="2" s="1"/>
  <c r="S9" i="2"/>
  <c r="U9" i="2" s="1"/>
  <c r="S94" i="2"/>
  <c r="U94" i="2" s="1"/>
  <c r="S185" i="2"/>
  <c r="U185" i="2" s="1"/>
  <c r="S97" i="2"/>
  <c r="U97" i="2" s="1"/>
  <c r="S375" i="2"/>
  <c r="U375" i="2" s="1"/>
  <c r="S306" i="2"/>
  <c r="U306" i="2" s="1"/>
  <c r="S277" i="2"/>
  <c r="U277" i="2" s="1"/>
</calcChain>
</file>

<file path=xl/sharedStrings.xml><?xml version="1.0" encoding="utf-8"?>
<sst xmlns="http://schemas.openxmlformats.org/spreadsheetml/2006/main" count="9317" uniqueCount="2597">
  <si>
    <t>Name</t>
  </si>
  <si>
    <t>Long Name</t>
  </si>
  <si>
    <t>Issuer</t>
  </si>
  <si>
    <t>Short Name</t>
  </si>
  <si>
    <t>ISIN</t>
  </si>
  <si>
    <t>Ticker</t>
  </si>
  <si>
    <t>Eqty Ticker</t>
  </si>
  <si>
    <t>Group</t>
  </si>
  <si>
    <t>Subgroup</t>
  </si>
  <si>
    <t>Sector</t>
  </si>
  <si>
    <t>Cntry</t>
  </si>
  <si>
    <t>Cntry (Risk)</t>
  </si>
  <si>
    <t>Crncy</t>
  </si>
  <si>
    <t>ABENGO 6 ⅞ 04/30/43</t>
  </si>
  <si>
    <t>ATL TRANS SUR</t>
  </si>
  <si>
    <t>USP00173AA51</t>
  </si>
  <si>
    <t>Electric</t>
  </si>
  <si>
    <t>Utilities</t>
  </si>
  <si>
    <t>PE</t>
  </si>
  <si>
    <t>USD</t>
  </si>
  <si>
    <t>ACUPET 7 ½ 01/13/32</t>
  </si>
  <si>
    <t>ACU PETROLEO LUXEMBOURG</t>
  </si>
  <si>
    <t>ACU PETROLEO LUX</t>
  </si>
  <si>
    <t>USL0R80QAA10</t>
  </si>
  <si>
    <t>ACUPET</t>
  </si>
  <si>
    <t>1469040D BZ</t>
  </si>
  <si>
    <t>Pipelines</t>
  </si>
  <si>
    <t>BR</t>
  </si>
  <si>
    <t>AEGEA FINANCE</t>
  </si>
  <si>
    <t>AEGEBZ</t>
  </si>
  <si>
    <t>Electric-Generation</t>
  </si>
  <si>
    <t>CL</t>
  </si>
  <si>
    <t>Agriculture</t>
  </si>
  <si>
    <t>Agricultural Operations</t>
  </si>
  <si>
    <t>Consumer, Non-cyclical</t>
  </si>
  <si>
    <t>AGROSU 4.6 01/20/32</t>
  </si>
  <si>
    <t>AGROSUPER</t>
  </si>
  <si>
    <t>USP01020AK52</t>
  </si>
  <si>
    <t>AICNRA 5 ¾ 06/15/33</t>
  </si>
  <si>
    <t>AI CANDELARIA</t>
  </si>
  <si>
    <t>USE0R75RAB28</t>
  </si>
  <si>
    <t>CO</t>
  </si>
  <si>
    <t>MX</t>
  </si>
  <si>
    <t>USP0156PAC34</t>
  </si>
  <si>
    <t>ALFACL 4.55 09/27/51</t>
  </si>
  <si>
    <t>ALFA DESARROLLO</t>
  </si>
  <si>
    <t>USP0R60QAA15</t>
  </si>
  <si>
    <t>ALPEKA 3 ¼ 02/25/31</t>
  </si>
  <si>
    <t>ALPEK SA DE CV</t>
  </si>
  <si>
    <t>USP01703AD22</t>
  </si>
  <si>
    <t>ALPEKA 4 ¼ 09/18/29</t>
  </si>
  <si>
    <t>USP01703AC49</t>
  </si>
  <si>
    <t>AMAGGI 5 ¼ 01/28/28</t>
  </si>
  <si>
    <t>AMAGGI LUX INTL SARL</t>
  </si>
  <si>
    <t>AMAGGI LUX INT</t>
  </si>
  <si>
    <t>USL0183BAA90</t>
  </si>
  <si>
    <t>AMAGGI</t>
  </si>
  <si>
    <t>USP0R80BAG79</t>
  </si>
  <si>
    <t>ANTOLN 2 ⅜ 10/14/30</t>
  </si>
  <si>
    <t>ANTOFAGASTA</t>
  </si>
  <si>
    <t>USG0398NZ620</t>
  </si>
  <si>
    <t>ANTOLN 5 ⅝ 05/13/32</t>
  </si>
  <si>
    <t>USG0399BAA55</t>
  </si>
  <si>
    <t>ARCOS DORADOS BV</t>
  </si>
  <si>
    <t>ATPTOW</t>
  </si>
  <si>
    <t>Engineering&amp;Construction</t>
  </si>
  <si>
    <t>Building-Heavy Construct</t>
  </si>
  <si>
    <t>Industrial</t>
  </si>
  <si>
    <t>AVALCB 4 ⅜ 02/04/30</t>
  </si>
  <si>
    <t>GRUPO AVAL LTD</t>
  </si>
  <si>
    <t>USG42045AC15</t>
  </si>
  <si>
    <t>Financial</t>
  </si>
  <si>
    <t>BANCO BRASL (CI)</t>
  </si>
  <si>
    <t>BANBRA 4 ⅞ 01/11/29</t>
  </si>
  <si>
    <t>USP3772WAK82</t>
  </si>
  <si>
    <t>BANCO DEL ESTADO</t>
  </si>
  <si>
    <t>BANCO MERC NORTE</t>
  </si>
  <si>
    <t>BANORT 6 ⅝ PERP</t>
  </si>
  <si>
    <t>USP1401KAB72</t>
  </si>
  <si>
    <t>BANORT 7 ½ PERP</t>
  </si>
  <si>
    <t>USP1400MAB48</t>
  </si>
  <si>
    <t>BANORT 8 ⅜ PERP</t>
  </si>
  <si>
    <t>USP1400MAC21</t>
  </si>
  <si>
    <t>BBVASM 5 ⅞ 09/13/34</t>
  </si>
  <si>
    <t>USP16259AN67</t>
  </si>
  <si>
    <t>BCAPS 3.9 04/27/31</t>
  </si>
  <si>
    <t>CAP</t>
  </si>
  <si>
    <t>USP2316YAA12</t>
  </si>
  <si>
    <t>BCICI 2 ⅞ 10/14/31</t>
  </si>
  <si>
    <t>BANC CRED INVERS</t>
  </si>
  <si>
    <t>US05890PAB22</t>
  </si>
  <si>
    <t>BANCO DE CREDITO</t>
  </si>
  <si>
    <t>BEEFBZ 4 ⅜ 03/18/31</t>
  </si>
  <si>
    <t>MINERVA LUX SA</t>
  </si>
  <si>
    <t>USL6401PAJ23</t>
  </si>
  <si>
    <t>FALABELLA SA</t>
  </si>
  <si>
    <t>BFALA 3 ⅜ 01/15/32</t>
  </si>
  <si>
    <t>USP3984LAA81</t>
  </si>
  <si>
    <t>BFFCC 3.068 08/18/50</t>
  </si>
  <si>
    <t>EFE</t>
  </si>
  <si>
    <t>USP3742RAW09</t>
  </si>
  <si>
    <t>Transportation</t>
  </si>
  <si>
    <t>Transport-Rail</t>
  </si>
  <si>
    <t>BFFCC 3.83 09/14/61</t>
  </si>
  <si>
    <t>USP3742RAX81</t>
  </si>
  <si>
    <t>GRUPO BIMBO SAB</t>
  </si>
  <si>
    <t>BIMBOA 4 05/17/51</t>
  </si>
  <si>
    <t>BIMBO BAKERIES</t>
  </si>
  <si>
    <t>USU0901RAA50</t>
  </si>
  <si>
    <t>BIMBOA 4 09/06/49</t>
  </si>
  <si>
    <t>USP4949BAP96</t>
  </si>
  <si>
    <t>BIMBOA 4 ⅞ 06/27/44</t>
  </si>
  <si>
    <t>USP4949BAK00</t>
  </si>
  <si>
    <t>BIMBOA 4.7 11/10/47</t>
  </si>
  <si>
    <t>USP4R52QAC92</t>
  </si>
  <si>
    <t>BANCO INTER PERU</t>
  </si>
  <si>
    <t>BMETR 3.65 05/07/30</t>
  </si>
  <si>
    <t>EMPRESA METRO</t>
  </si>
  <si>
    <t>USP37466AR35</t>
  </si>
  <si>
    <t>BMETR 3.693 09/13/61</t>
  </si>
  <si>
    <t>USP37466AT90</t>
  </si>
  <si>
    <t>BMETR 4.7 05/07/50</t>
  </si>
  <si>
    <t>USP37466AS18</t>
  </si>
  <si>
    <t>BANCO NAC DE COM</t>
  </si>
  <si>
    <t>BNCHIL 2.99 12/09/31</t>
  </si>
  <si>
    <t>BANCO DE CHILE</t>
  </si>
  <si>
    <t>USP09376DD69</t>
  </si>
  <si>
    <t>BANCO BRADES CI</t>
  </si>
  <si>
    <t>BRF SA</t>
  </si>
  <si>
    <t>BRFSBZ 4 ⅞ 01/24/30</t>
  </si>
  <si>
    <t>USP1905CJX94</t>
  </si>
  <si>
    <t>BRFSBZ 5 ¾ 09/21/50</t>
  </si>
  <si>
    <t>USP1905CAJ91</t>
  </si>
  <si>
    <t>BANCO SANTAND</t>
  </si>
  <si>
    <t>BSANCI 3.177 10/26/31</t>
  </si>
  <si>
    <t>US05971WAD56</t>
  </si>
  <si>
    <t>SANTANDER MEXICO</t>
  </si>
  <si>
    <t>BANCO PACTUAL/KY</t>
  </si>
  <si>
    <t>Diversified Finan Serv</t>
  </si>
  <si>
    <t>BTHREE 4 ⅛ 09/20/31</t>
  </si>
  <si>
    <t>B3 SA</t>
  </si>
  <si>
    <t>USP19118AA91</t>
  </si>
  <si>
    <t>CIA DE MINAS BUE</t>
  </si>
  <si>
    <t>CCUCI 3.35 01/19/32</t>
  </si>
  <si>
    <t>CIA CERV UNIDAS</t>
  </si>
  <si>
    <t>USP3067GAG66</t>
  </si>
  <si>
    <t>CDEL 3 09/30/29</t>
  </si>
  <si>
    <t>CODELCO INC</t>
  </si>
  <si>
    <t>USP3143NBE33</t>
  </si>
  <si>
    <t>CDEL 3 ¾ 01/15/31</t>
  </si>
  <si>
    <t>USP3143NBK92</t>
  </si>
  <si>
    <t>CDEL 3.15 01/14/30</t>
  </si>
  <si>
    <t>USP3143NBH63</t>
  </si>
  <si>
    <t>CDEL 3.15 01/15/51</t>
  </si>
  <si>
    <t>USP3143NBM58</t>
  </si>
  <si>
    <t>CDEL 3.7 01/30/50</t>
  </si>
  <si>
    <t>USP3143NBF08</t>
  </si>
  <si>
    <t>CDEL 4 ¼ 07/17/42</t>
  </si>
  <si>
    <t>USP3143NAQ71</t>
  </si>
  <si>
    <t>CDEL 4 ½ 08/01/47</t>
  </si>
  <si>
    <t>USP3143NAZ70</t>
  </si>
  <si>
    <t>CDEL 4 ⅜ 02/05/49</t>
  </si>
  <si>
    <t>USP3143NBB93</t>
  </si>
  <si>
    <t>CDEL 4 ⅞ 11/04/44</t>
  </si>
  <si>
    <t>USP3143NAU83</t>
  </si>
  <si>
    <t>CDEL 5 ⅝ 09/21/35</t>
  </si>
  <si>
    <t>USP3143NAG99</t>
  </si>
  <si>
    <t>CDEL 5 ⅝ 10/18/43</t>
  </si>
  <si>
    <t>USP3143NAS38</t>
  </si>
  <si>
    <t>CDEL 6.15 10/24/36</t>
  </si>
  <si>
    <t>USP3143NAH72</t>
  </si>
  <si>
    <t>CELULOSA ARAUCO</t>
  </si>
  <si>
    <t>CELARA 4 ¼ 04/30/29</t>
  </si>
  <si>
    <t>USP2195VAP06</t>
  </si>
  <si>
    <t>CELARA 4.2 01/29/30</t>
  </si>
  <si>
    <t>USP2195VAR61</t>
  </si>
  <si>
    <t>CELARA 5 ½ 04/30/49</t>
  </si>
  <si>
    <t>USP2195VAQ88</t>
  </si>
  <si>
    <t>CELARA 5 ½ 11/02/47</t>
  </si>
  <si>
    <t>CELARA 5.15 01/29/50</t>
  </si>
  <si>
    <t>USP2195VAS45</t>
  </si>
  <si>
    <t>CELEO 5.2 06/22/47</t>
  </si>
  <si>
    <t>CELEO REDES OPER</t>
  </si>
  <si>
    <t>USP22008AA72</t>
  </si>
  <si>
    <t>CEMEX 3 ⅞ 07/11/31</t>
  </si>
  <si>
    <t>CEMEX SAB</t>
  </si>
  <si>
    <t>USP2253TJR16</t>
  </si>
  <si>
    <t>CEMEX 5.2 09/17/30</t>
  </si>
  <si>
    <t>USP2253TJQ33</t>
  </si>
  <si>
    <t>CENCOSUD SA</t>
  </si>
  <si>
    <t>CFELEC 3 ⅞ 07/26/33</t>
  </si>
  <si>
    <t>COMISION FEDERAL</t>
  </si>
  <si>
    <t>USP30179BK34</t>
  </si>
  <si>
    <t>Electric-Distribution</t>
  </si>
  <si>
    <t>CFELEC 3.348 02/09/31</t>
  </si>
  <si>
    <t>USP29595AD08</t>
  </si>
  <si>
    <t>CFELEC 4.05 03/20/50</t>
  </si>
  <si>
    <t>XS2133064480</t>
  </si>
  <si>
    <t>CFELEC 4.677 02/09/51</t>
  </si>
  <si>
    <t>USP29595AE80</t>
  </si>
  <si>
    <t>CFELEC 4.688 05/15/29</t>
  </si>
  <si>
    <t>USP30179BQ04</t>
  </si>
  <si>
    <t>CFELEC 5 07/30/49</t>
  </si>
  <si>
    <t>XS2030333038</t>
  </si>
  <si>
    <t>CFELEC 5 ¾ 02/14/42</t>
  </si>
  <si>
    <t>COM FED ELECTRIC</t>
  </si>
  <si>
    <t>USP30179AK43</t>
  </si>
  <si>
    <t>CFELEC 6 ⅛ 06/16/45</t>
  </si>
  <si>
    <t>USP30179AR95</t>
  </si>
  <si>
    <t>CFELEC 6.264 02/15/52</t>
  </si>
  <si>
    <t>USP30179BR86</t>
  </si>
  <si>
    <t>CHIPEC 0 01/25/28</t>
  </si>
  <si>
    <t>CHILE ELEC PEC SPA</t>
  </si>
  <si>
    <t>CHILE ELEC PEC</t>
  </si>
  <si>
    <t>USP2550MAA29</t>
  </si>
  <si>
    <t>CHIPEC</t>
  </si>
  <si>
    <t>CMPCCI 3 04/06/31</t>
  </si>
  <si>
    <t>INVERSIONES CMPC</t>
  </si>
  <si>
    <t>USP58072AT92</t>
  </si>
  <si>
    <t>CMPCCI 3.85 01/13/30</t>
  </si>
  <si>
    <t>USP58072AS10</t>
  </si>
  <si>
    <t>Oil&amp;Gas</t>
  </si>
  <si>
    <t>Oil Comp-Explor&amp;Prodtn</t>
  </si>
  <si>
    <t>COLBUN 3.15 01/19/32</t>
  </si>
  <si>
    <t>COLBUN SA</t>
  </si>
  <si>
    <t>USP2867KAL00</t>
  </si>
  <si>
    <t>COLBUN 3.15 03/06/30</t>
  </si>
  <si>
    <t>USP2867KAK27</t>
  </si>
  <si>
    <t>Oil Refining&amp;Marketing</t>
  </si>
  <si>
    <t>CSNABZ 4 ⅝ 06/10/31</t>
  </si>
  <si>
    <t>CSN RESOURCES</t>
  </si>
  <si>
    <t>USL21779AJ97</t>
  </si>
  <si>
    <t>CSNABZ 5 ⅞ 04/08/32</t>
  </si>
  <si>
    <t>USL21779AK60</t>
  </si>
  <si>
    <t>CSNABZ 6 ¾ 01/28/28</t>
  </si>
  <si>
    <t>CSN ISLANDS XI</t>
  </si>
  <si>
    <t>USG2583XAB76</t>
  </si>
  <si>
    <t>ECLCI 3.4 01/28/30</t>
  </si>
  <si>
    <t>ENGIE ENERGIA</t>
  </si>
  <si>
    <t>USP3762TAA99</t>
  </si>
  <si>
    <t>EEPPME 4 ¼ 07/18/29</t>
  </si>
  <si>
    <t>EE. PP. MEDELLIN</t>
  </si>
  <si>
    <t>USP9379RBA43</t>
  </si>
  <si>
    <t>EEPPME 4 ⅜ 02/15/31</t>
  </si>
  <si>
    <t>USP9379RBC09</t>
  </si>
  <si>
    <t>ELEBRA 4 ⅝ 02/04/30</t>
  </si>
  <si>
    <t>USP22835AB13</t>
  </si>
  <si>
    <t>EMBRAER NL FINAN</t>
  </si>
  <si>
    <t>EMPRESA NACIONAL</t>
  </si>
  <si>
    <t>ENAPCL 3.45 09/16/31</t>
  </si>
  <si>
    <t>USP37110AR76</t>
  </si>
  <si>
    <t>ENAPCL 4 ½ 09/14/47</t>
  </si>
  <si>
    <t>USP37110AM89</t>
  </si>
  <si>
    <t>ENAPCL 5 ¼ 11/06/29</t>
  </si>
  <si>
    <t>USP37110AN62</t>
  </si>
  <si>
    <t>ENFRAG 5 ⅜ 12/30/30</t>
  </si>
  <si>
    <t>ENFRAGEN ENERGIA</t>
  </si>
  <si>
    <t>USE4181LAA91</t>
  </si>
  <si>
    <t>ENTEL 3.05 09/14/32</t>
  </si>
  <si>
    <t>ENTEL CHILE SA</t>
  </si>
  <si>
    <t>USP37115AH81</t>
  </si>
  <si>
    <t>FERMCA 6 ⅜ 03/30/38</t>
  </si>
  <si>
    <t>FERMACA ENTERPR</t>
  </si>
  <si>
    <t>USP39198AA76</t>
  </si>
  <si>
    <t>FISOMA 4 ⅜ 07/22/31</t>
  </si>
  <si>
    <t>USP26064AA66</t>
  </si>
  <si>
    <t>FRESLN 4 ¼ 10/02/50</t>
  </si>
  <si>
    <t>FRESNILLO PLC</t>
  </si>
  <si>
    <t>USG371E72B25</t>
  </si>
  <si>
    <t>FSBIOE 10 12/15/25</t>
  </si>
  <si>
    <t>FS LUXEMBOURG SARL</t>
  </si>
  <si>
    <t>FS LUX SARL</t>
  </si>
  <si>
    <t>USL40756AB19</t>
  </si>
  <si>
    <t>FSBIOE</t>
  </si>
  <si>
    <t>Energy-Alternate Sources</t>
  </si>
  <si>
    <t>FUNOTR 4.869 01/15/30</t>
  </si>
  <si>
    <t>TRUST FIBRA1</t>
  </si>
  <si>
    <t>USP9401CAA01</t>
  </si>
  <si>
    <t>TRUST F/1401</t>
  </si>
  <si>
    <t>FUNOTR 6.39 01/15/50</t>
  </si>
  <si>
    <t>USP9401CAB83</t>
  </si>
  <si>
    <t>FUNOTR 6.95 01/30/44</t>
  </si>
  <si>
    <t>USP9406GAB43</t>
  </si>
  <si>
    <t>GEBCB 4 ⅞ 05/15/30</t>
  </si>
  <si>
    <t>GRUPO ENERGIA B</t>
  </si>
  <si>
    <t>USP4R53VAA13</t>
  </si>
  <si>
    <t>GUSAP III LP</t>
  </si>
  <si>
    <t>GERDAU TRADE INC</t>
  </si>
  <si>
    <t>GGBRBZ 7 ¼ 04/16/44</t>
  </si>
  <si>
    <t>USG2440JAG07</t>
  </si>
  <si>
    <t>GLOPAR 4 ⅞ 01/22/30</t>
  </si>
  <si>
    <t>GLOBO COMMUN PAR</t>
  </si>
  <si>
    <t>USP47777AB69</t>
  </si>
  <si>
    <t>GLOPAR</t>
  </si>
  <si>
    <t>1014Z BZ</t>
  </si>
  <si>
    <t>GLOPAR 5 ½ 01/14/32</t>
  </si>
  <si>
    <t>USP47777AC43</t>
  </si>
  <si>
    <t>GMEXIB 5 ½ 12/06/32</t>
  </si>
  <si>
    <t>MEXICO GENERADOR</t>
  </si>
  <si>
    <t>USP66208AA02</t>
  </si>
  <si>
    <t>GNFPSO 5.198 06/15/34</t>
  </si>
  <si>
    <t>GUARA NORTE SARL</t>
  </si>
  <si>
    <t>USL4R02QAA86</t>
  </si>
  <si>
    <t>GNFPSO</t>
  </si>
  <si>
    <t>SBMO NA</t>
  </si>
  <si>
    <t>Oil&amp;Gas Services</t>
  </si>
  <si>
    <t>Oil Field Mach&amp;Equip</t>
  </si>
  <si>
    <t>HIDRVS 4.95 02/08/31</t>
  </si>
  <si>
    <t>HIDROVIAS INT</t>
  </si>
  <si>
    <t>USL48008AB91</t>
  </si>
  <si>
    <t>Transport-Marine</t>
  </si>
  <si>
    <t>HUNT OIL CO</t>
  </si>
  <si>
    <t>IENOVA 3 ¾ 01/14/28</t>
  </si>
  <si>
    <t>INFRAESTRUCTURA</t>
  </si>
  <si>
    <t>USP56145AA66</t>
  </si>
  <si>
    <t>IENOVA 4 ¾ 01/15/51</t>
  </si>
  <si>
    <t>USP56145AC23</t>
  </si>
  <si>
    <t>IENOVA 4 ⅞ 01/14/48</t>
  </si>
  <si>
    <t>USP56145AB40</t>
  </si>
  <si>
    <t>IFHBH 3 ⅞ 08/15/29</t>
  </si>
  <si>
    <t>INTERCORP PERU</t>
  </si>
  <si>
    <t>USP5625XAC85</t>
  </si>
  <si>
    <t>ILCCI 4 ¾ 02/07/32</t>
  </si>
  <si>
    <t>LA CONSTRUCCION</t>
  </si>
  <si>
    <t>USP5817RAG04</t>
  </si>
  <si>
    <t>INRCON 3 ¼ 03/22/28</t>
  </si>
  <si>
    <t>INRETAIL CONSUME</t>
  </si>
  <si>
    <t>USP56236AB16</t>
  </si>
  <si>
    <t>INTERC 4 ½ 06/30/56</t>
  </si>
  <si>
    <t>INTERCHILE</t>
  </si>
  <si>
    <t>USP5R70LAA96</t>
  </si>
  <si>
    <t>IOCMXW 5 05/07/28</t>
  </si>
  <si>
    <t>IOCHPE-MAX/MAX W</t>
  </si>
  <si>
    <t>USA3R74HAA50</t>
  </si>
  <si>
    <t>ISACB 3.825 11/26/33</t>
  </si>
  <si>
    <t>ISA</t>
  </si>
  <si>
    <t>USP5626NAA39</t>
  </si>
  <si>
    <t>JBYCMX 2 ½ 10/14/31</t>
  </si>
  <si>
    <t>BECLE SA DE CV</t>
  </si>
  <si>
    <t>USP0929YAA49</t>
  </si>
  <si>
    <t>KALLPA GENERACIO</t>
  </si>
  <si>
    <t>KCMA 2.431 07/01/31</t>
  </si>
  <si>
    <t>KIMBERLY-CLA MEX</t>
  </si>
  <si>
    <t>USP60694AF68</t>
  </si>
  <si>
    <t>KLAB 3.2 01/12/31</t>
  </si>
  <si>
    <t>KLABIN AUSTRIA</t>
  </si>
  <si>
    <t>USA35155AE99</t>
  </si>
  <si>
    <t>KLAB 5 ¾ 04/03/29</t>
  </si>
  <si>
    <t>USA35155AA77</t>
  </si>
  <si>
    <t>KLAB 7 04/03/49</t>
  </si>
  <si>
    <t>USA35155AB50</t>
  </si>
  <si>
    <t>LIMAMT 4.35 04/05/36</t>
  </si>
  <si>
    <t>LIMA METRO LINE 2 FIN LT</t>
  </si>
  <si>
    <t>LIMA METRO LINE</t>
  </si>
  <si>
    <t>USG54897AB28</t>
  </si>
  <si>
    <t>LIMAMT</t>
  </si>
  <si>
    <t>LIMAMT 5 ⅞ 07/05/34</t>
  </si>
  <si>
    <t>USG54897AA45</t>
  </si>
  <si>
    <t>EL PUERTO LIVERP</t>
  </si>
  <si>
    <t>MABEMX 5.6 10/23/28</t>
  </si>
  <si>
    <t>CONTROLADORA MAB</t>
  </si>
  <si>
    <t>USP3100SAC81</t>
  </si>
  <si>
    <t>MCBRAC 7 ¼ 06/30/31</t>
  </si>
  <si>
    <t>MC BRAZIL DWNSTRM</t>
  </si>
  <si>
    <t>MC BRAZIL</t>
  </si>
  <si>
    <t>USL626A6AA24</t>
  </si>
  <si>
    <t>MCBRAC</t>
  </si>
  <si>
    <t>METLSA 3 ¾ 05/04/31</t>
  </si>
  <si>
    <t>METALSA SA DE CV</t>
  </si>
  <si>
    <t>USP6638MAB74</t>
  </si>
  <si>
    <t>MEXCAT 3 ⅞ 04/30/28</t>
  </si>
  <si>
    <t>MEXICO CITY ARPT</t>
  </si>
  <si>
    <t>USP6629MAC66</t>
  </si>
  <si>
    <t>MEXCAT 5 ½ 07/31/47</t>
  </si>
  <si>
    <t>USP6629MAD40</t>
  </si>
  <si>
    <t>MEXCAT 5 ½ 10/31/46</t>
  </si>
  <si>
    <t>USP6629MAB83</t>
  </si>
  <si>
    <t>MINSUR 4 ½ 10/28/31</t>
  </si>
  <si>
    <t>MINSUR SA</t>
  </si>
  <si>
    <t>USP6811TAB19</t>
  </si>
  <si>
    <t>MOVIBZ 5 ¼ 02/08/31</t>
  </si>
  <si>
    <t>MOVIDA EUROPE SA</t>
  </si>
  <si>
    <t>USL65266AA36</t>
  </si>
  <si>
    <t>MRFGBZ 3.95 01/29/31</t>
  </si>
  <si>
    <t>MARB BONDCO PLC</t>
  </si>
  <si>
    <t>USG5825AAC65</t>
  </si>
  <si>
    <t>MVFPSO 6.748 06/01/34</t>
  </si>
  <si>
    <t>MV24 CAPITAL BV</t>
  </si>
  <si>
    <t>USN53766AA41</t>
  </si>
  <si>
    <t>MVFPSO</t>
  </si>
  <si>
    <t>NATURA 4 ⅛ 05/03/28</t>
  </si>
  <si>
    <t>USP7088CAC03</t>
  </si>
  <si>
    <t>NATURA 6 04/19/29</t>
  </si>
  <si>
    <t>NATURA &amp;CO LUX</t>
  </si>
  <si>
    <t>USL6S52VAA02</t>
  </si>
  <si>
    <t>NEXA RESOURCES</t>
  </si>
  <si>
    <t>ORBIA ADVANCE</t>
  </si>
  <si>
    <t>ORBIA 2 ⅞ 05/11/31</t>
  </si>
  <si>
    <t>USP7S81YAC93</t>
  </si>
  <si>
    <t>MEXICHEM SAB</t>
  </si>
  <si>
    <t>ORBIA 5 ½ 01/15/48</t>
  </si>
  <si>
    <t>USP57908AH15</t>
  </si>
  <si>
    <t>ORBIA 5 ⅞ 09/17/44</t>
  </si>
  <si>
    <t>USP57908AF58</t>
  </si>
  <si>
    <t>ORBIA 6 ¾ 09/19/42</t>
  </si>
  <si>
    <t>USP57908AE83</t>
  </si>
  <si>
    <t>PETROLEOS MEXICA</t>
  </si>
  <si>
    <t>PEMEX 5 ⅝ 01/23/46</t>
  </si>
  <si>
    <t>PEMEX 5.35 02/12/28</t>
  </si>
  <si>
    <t>USP78625DD22</t>
  </si>
  <si>
    <t>PEMEX 5.95 01/28/31</t>
  </si>
  <si>
    <t>PEMEX 6 ½ 01/23/29</t>
  </si>
  <si>
    <t>PEMEX 6 ¾ 09/21/47</t>
  </si>
  <si>
    <t>PEMEX 6 ⅝ 06/15/35</t>
  </si>
  <si>
    <t>PEMEX 6 ⅝ 06/15/38</t>
  </si>
  <si>
    <t>PEMEX MASTER TR</t>
  </si>
  <si>
    <t>PEMEX 6 ⅝ PERP</t>
  </si>
  <si>
    <t>US71656MAF68</t>
  </si>
  <si>
    <t>PEMEX 6.35 02/12/48</t>
  </si>
  <si>
    <t>PEMEX 6.7 02/16/32</t>
  </si>
  <si>
    <t>USP8000UAA71</t>
  </si>
  <si>
    <t>PEMEX 6.84 01/23/30</t>
  </si>
  <si>
    <t>PEMEX 6.95 01/28/60</t>
  </si>
  <si>
    <t>PEMEX 7.69 01/23/50</t>
  </si>
  <si>
    <t>PEMEX 8 ¾ 06/02/29</t>
  </si>
  <si>
    <t>PENOMX 4 ¾ 08/06/50</t>
  </si>
  <si>
    <t>INDUSTRIAS PENOL</t>
  </si>
  <si>
    <t>USP55409AC34</t>
  </si>
  <si>
    <t>PENOMX 4.15 09/12/29</t>
  </si>
  <si>
    <t>USP55409AA77</t>
  </si>
  <si>
    <t>PENOMX 5.65 09/12/49</t>
  </si>
  <si>
    <t>USP55409AB50</t>
  </si>
  <si>
    <t>PETBRA 5.093 01/15/30</t>
  </si>
  <si>
    <t>PETROBRAS GLOB</t>
  </si>
  <si>
    <t>PETBRA 5.999 01/27/28</t>
  </si>
  <si>
    <t>USN6945AAK36</t>
  </si>
  <si>
    <t>PNSTTA 6 ⅝ 06/17/31</t>
  </si>
  <si>
    <t>POINSETTIA FINANCE LTD</t>
  </si>
  <si>
    <t>POINSETTIA FINAN</t>
  </si>
  <si>
    <t>USG7150PAA87</t>
  </si>
  <si>
    <t>PNSTTA</t>
  </si>
  <si>
    <t>1412220D US</t>
  </si>
  <si>
    <t>Oil-Field Services</t>
  </si>
  <si>
    <t>PROMIG 3 ¾ 10/16/29</t>
  </si>
  <si>
    <t>PROMIGAS SA</t>
  </si>
  <si>
    <t>USP7922TAA71</t>
  </si>
  <si>
    <t>RAILBZ 4.2 01/18/32</t>
  </si>
  <si>
    <t>RUMO LUX SARL</t>
  </si>
  <si>
    <t>USL79090AD51</t>
  </si>
  <si>
    <t>RAILBZ 5 ¼ 01/10/28</t>
  </si>
  <si>
    <t>USL79090AC78</t>
  </si>
  <si>
    <t>RAIZEN FUELS</t>
  </si>
  <si>
    <t>RDEDOR 4 ½ 01/22/30</t>
  </si>
  <si>
    <t>REDE D'OR FIN</t>
  </si>
  <si>
    <t>USL7915TAA09</t>
  </si>
  <si>
    <t>RIOOIL 8.2 04/06/28</t>
  </si>
  <si>
    <t>RIO OIL FINANCE TRUST</t>
  </si>
  <si>
    <t>RIO OIL FINANCE</t>
  </si>
  <si>
    <t>USU76673AC39</t>
  </si>
  <si>
    <t>RIOOIL</t>
  </si>
  <si>
    <t>Oil-US Royalty Trusts</t>
  </si>
  <si>
    <t>RIOOIL 9 ¾ 01/06/27</t>
  </si>
  <si>
    <t>USU76673AB55</t>
  </si>
  <si>
    <t>SCCO 7 ½ 07/27/35</t>
  </si>
  <si>
    <t>SOUTHERN COPPER</t>
  </si>
  <si>
    <t>USU84360AB99</t>
  </si>
  <si>
    <t>SCCOMX 4 ½ 01/26/50</t>
  </si>
  <si>
    <t>Minera Mexico SA</t>
  </si>
  <si>
    <t>USP6777MAB83</t>
  </si>
  <si>
    <t>SIERRA 6 06/15/28</t>
  </si>
  <si>
    <t>SIERRACOL ENRGY ANDINA</t>
  </si>
  <si>
    <t>SIERRACOL ENRGY</t>
  </si>
  <si>
    <t>USU8215LAA27</t>
  </si>
  <si>
    <t>SIERRA</t>
  </si>
  <si>
    <t>CG US</t>
  </si>
  <si>
    <t>SIGMA 4 ⅞ 03/27/28</t>
  </si>
  <si>
    <t>SIGMA FIN NL</t>
  </si>
  <si>
    <t>USN8133NAA56</t>
  </si>
  <si>
    <t>SIMHBZ 5.2 01/26/31</t>
  </si>
  <si>
    <t>SIMPAR EUROPE</t>
  </si>
  <si>
    <t>USL8449RAA79</t>
  </si>
  <si>
    <t>SMIPET 3 ½ 08/02/28</t>
  </si>
  <si>
    <t>SAN MIGUEL INDUS</t>
  </si>
  <si>
    <t>USP84527AA17</t>
  </si>
  <si>
    <t>SQM 3 ½ 09/10/51</t>
  </si>
  <si>
    <t>SOCIEDAD QUIMICA</t>
  </si>
  <si>
    <t>USP8718AAN65</t>
  </si>
  <si>
    <t>SQM 4 ¼ 01/22/50</t>
  </si>
  <si>
    <t>USP8718AAM82</t>
  </si>
  <si>
    <t>SQM 4 ¼ 05/07/29</t>
  </si>
  <si>
    <t>USP8718AAL00</t>
  </si>
  <si>
    <t>STASCL 4 01/27/32</t>
  </si>
  <si>
    <t>SOCIEDAD DE TRAN</t>
  </si>
  <si>
    <t>USP87163AA27</t>
  </si>
  <si>
    <t>SUZANO 5 01/15/30</t>
  </si>
  <si>
    <t>SUZANO AUSTRIA</t>
  </si>
  <si>
    <t>SUZANO 6 01/15/29</t>
  </si>
  <si>
    <t>SUZANO 7 03/16/47</t>
  </si>
  <si>
    <t>USA8372TAC20</t>
  </si>
  <si>
    <t>TELEFONICA MOVIL</t>
  </si>
  <si>
    <t>USP90375AV12</t>
  </si>
  <si>
    <t>COLOMBIA TELECOM</t>
  </si>
  <si>
    <t>USP28768AC69</t>
  </si>
  <si>
    <t>TELVIS 6 ⅝ 01/15/40</t>
  </si>
  <si>
    <t>GRUPO TELEVISA</t>
  </si>
  <si>
    <t>USP4987VAS27</t>
  </si>
  <si>
    <t>TELVIS</t>
  </si>
  <si>
    <t>TERMOCANDELARIA</t>
  </si>
  <si>
    <t>TIEMOD 5 ¾ 12/01/40</t>
  </si>
  <si>
    <t>FEL ENERGY VI SARL</t>
  </si>
  <si>
    <t>FEL ENERGY VI</t>
  </si>
  <si>
    <t>USL3500LAA72</t>
  </si>
  <si>
    <t>TIEMOD</t>
  </si>
  <si>
    <t>BX US</t>
  </si>
  <si>
    <t>TNEMAK 3 ⅝ 06/28/31</t>
  </si>
  <si>
    <t>NEMAK SAB DE CV</t>
  </si>
  <si>
    <t>USP71340AD81</t>
  </si>
  <si>
    <t>TRAGSA 5.55 11/01/28</t>
  </si>
  <si>
    <t>TRNSPRTA DE GAS</t>
  </si>
  <si>
    <t>USP93077AC28</t>
  </si>
  <si>
    <t>TRANSM 4.7 04/16/34</t>
  </si>
  <si>
    <t>TRANSMANTARO</t>
  </si>
  <si>
    <t>USP3083SAD73</t>
  </si>
  <si>
    <t>TRANSM 5.2 04/11/38</t>
  </si>
  <si>
    <t>USP3083SAF22</t>
  </si>
  <si>
    <t>TSELEC 3 ⅞ 01/12/29</t>
  </si>
  <si>
    <t>TRANSELEC SA</t>
  </si>
  <si>
    <t>USP9339SAS34</t>
  </si>
  <si>
    <t>TUPY 4 ½ 02/16/31</t>
  </si>
  <si>
    <t>TUPY OVERSEAS SA</t>
  </si>
  <si>
    <t>USL9326VAB29</t>
  </si>
  <si>
    <t>UGPABZ 5 ¼ 06/06/29</t>
  </si>
  <si>
    <t>ULTRAPAR INTL</t>
  </si>
  <si>
    <t>USL9412AAB37</t>
  </si>
  <si>
    <t>VESTA 3 ⅝ 05/13/31</t>
  </si>
  <si>
    <t>CORPORACION INMO</t>
  </si>
  <si>
    <t>USP3146DAA11</t>
  </si>
  <si>
    <t>VOTORA 7 ¼ 04/05/41</t>
  </si>
  <si>
    <t>VOTORANTIM CIM</t>
  </si>
  <si>
    <t>USP98088AA83</t>
  </si>
  <si>
    <t>WOMCHI 4.7 01/22/28</t>
  </si>
  <si>
    <t>KENBOURNE INVEST</t>
  </si>
  <si>
    <t>USL5831KAC01</t>
  </si>
  <si>
    <t>WOMCHI</t>
  </si>
  <si>
    <t>XP INC</t>
  </si>
  <si>
    <t>YARNO 3.148 06/04/30</t>
  </si>
  <si>
    <t>YARA INTL SA</t>
  </si>
  <si>
    <t>USR9900CAS54</t>
  </si>
  <si>
    <t>YARNO 4 ¾ 06/01/28</t>
  </si>
  <si>
    <t>USR9900CAR71</t>
  </si>
  <si>
    <t>YARNO 7.378 11/14/32</t>
  </si>
  <si>
    <t>USR9900CAT38</t>
  </si>
  <si>
    <t>Comentario</t>
  </si>
  <si>
    <t>NO APLICA</t>
  </si>
  <si>
    <t>Company Name</t>
  </si>
  <si>
    <t>Cnty of Dom</t>
  </si>
  <si>
    <t>Amt Iss (P)</t>
  </si>
  <si>
    <t>Cpn Type</t>
  </si>
  <si>
    <t>Cpn (P)</t>
  </si>
  <si>
    <t>Mty</t>
  </si>
  <si>
    <t>BB Comp (P)</t>
  </si>
  <si>
    <t>04/30/2043</t>
  </si>
  <si>
    <t>BBB</t>
  </si>
  <si>
    <t>01/13/2032</t>
  </si>
  <si>
    <t>BB</t>
  </si>
  <si>
    <t>BBB-</t>
  </si>
  <si>
    <t>BB+</t>
  </si>
  <si>
    <t>01/20/2032</t>
  </si>
  <si>
    <t>06/15/2033</t>
  </si>
  <si>
    <t>BB-</t>
  </si>
  <si>
    <t>03/25/2044</t>
  </si>
  <si>
    <t>09/27/2051</t>
  </si>
  <si>
    <t>02/25/2031</t>
  </si>
  <si>
    <t>09/18/2029</t>
  </si>
  <si>
    <t>10/14/2030</t>
  </si>
  <si>
    <t>05/13/2032</t>
  </si>
  <si>
    <t>B+</t>
  </si>
  <si>
    <t>A</t>
  </si>
  <si>
    <t>09/13/2034</t>
  </si>
  <si>
    <t>04/27/2031</t>
  </si>
  <si>
    <t>10/14/2031</t>
  </si>
  <si>
    <t>A-</t>
  </si>
  <si>
    <t>03/18/2031</t>
  </si>
  <si>
    <t>01/15/2032</t>
  </si>
  <si>
    <t>08/18/2050</t>
  </si>
  <si>
    <t>09/14/2061</t>
  </si>
  <si>
    <t>05/17/2051</t>
  </si>
  <si>
    <t>06/27/2044</t>
  </si>
  <si>
    <t>09/13/2061</t>
  </si>
  <si>
    <t>01/31/2030</t>
  </si>
  <si>
    <t>01/24/2030</t>
  </si>
  <si>
    <t>09/21/2050</t>
  </si>
  <si>
    <t>10/26/2031</t>
  </si>
  <si>
    <t>BBB+</t>
  </si>
  <si>
    <t>09/20/2031</t>
  </si>
  <si>
    <t>01/19/2032</t>
  </si>
  <si>
    <t>09/30/2029</t>
  </si>
  <si>
    <t>01/15/2031</t>
  </si>
  <si>
    <t>01/14/2030</t>
  </si>
  <si>
    <t>01/15/2051</t>
  </si>
  <si>
    <t>01/30/2050</t>
  </si>
  <si>
    <t>07/17/2042</t>
  </si>
  <si>
    <t>09/21/2035</t>
  </si>
  <si>
    <t>10/18/2043</t>
  </si>
  <si>
    <t>10/24/2036</t>
  </si>
  <si>
    <t>04/30/2029</t>
  </si>
  <si>
    <t>01/29/2030</t>
  </si>
  <si>
    <t>04/30/2049</t>
  </si>
  <si>
    <t>01/29/2050</t>
  </si>
  <si>
    <t>06/22/2047</t>
  </si>
  <si>
    <t>09/17/2030</t>
  </si>
  <si>
    <t>07/26/2033</t>
  </si>
  <si>
    <t>03/20/2050</t>
  </si>
  <si>
    <t>05/15/2029</t>
  </si>
  <si>
    <t>07/30/2049</t>
  </si>
  <si>
    <t>02/14/2042</t>
  </si>
  <si>
    <t>06/16/2045</t>
  </si>
  <si>
    <t>02/15/2052</t>
  </si>
  <si>
    <t>01/13/2030</t>
  </si>
  <si>
    <t>01/28/2030</t>
  </si>
  <si>
    <t>07/18/2029</t>
  </si>
  <si>
    <t>02/15/2031</t>
  </si>
  <si>
    <t>09/16/2031</t>
  </si>
  <si>
    <t>09/14/2047</t>
  </si>
  <si>
    <t>12/30/2030</t>
  </si>
  <si>
    <t>09/14/2032</t>
  </si>
  <si>
    <t>03/30/2038</t>
  </si>
  <si>
    <t>07/22/2031</t>
  </si>
  <si>
    <t>01/15/2030</t>
  </si>
  <si>
    <t>01/15/2050</t>
  </si>
  <si>
    <t>01/30/2044</t>
  </si>
  <si>
    <t>05/15/2030</t>
  </si>
  <si>
    <t>04/16/2044</t>
  </si>
  <si>
    <t>01/22/2030</t>
  </si>
  <si>
    <t>01/14/2032</t>
  </si>
  <si>
    <t>06/15/2034</t>
  </si>
  <si>
    <t>01/14/2048</t>
  </si>
  <si>
    <t>08/15/2029</t>
  </si>
  <si>
    <t>06/30/2056</t>
  </si>
  <si>
    <t>11/26/2033</t>
  </si>
  <si>
    <t>10/23/2028</t>
  </si>
  <si>
    <t>06/30/2031</t>
  </si>
  <si>
    <t>07/31/2047</t>
  </si>
  <si>
    <t>10/31/2046</t>
  </si>
  <si>
    <t>10/28/2031</t>
  </si>
  <si>
    <t>01/29/2031</t>
  </si>
  <si>
    <t>04/19/2029</t>
  </si>
  <si>
    <t>01/15/2048</t>
  </si>
  <si>
    <t>09/17/2044</t>
  </si>
  <si>
    <t>09/19/2042</t>
  </si>
  <si>
    <t>01/23/2046</t>
  </si>
  <si>
    <t>01/28/2031</t>
  </si>
  <si>
    <t>01/23/2029</t>
  </si>
  <si>
    <t>09/21/2047</t>
  </si>
  <si>
    <t>06/15/2035</t>
  </si>
  <si>
    <t>06/15/2038</t>
  </si>
  <si>
    <t>02/16/2032</t>
  </si>
  <si>
    <t>01/23/2030</t>
  </si>
  <si>
    <t>01/28/2060</t>
  </si>
  <si>
    <t>01/23/2050</t>
  </si>
  <si>
    <t>06/17/2031</t>
  </si>
  <si>
    <t>10/16/2029</t>
  </si>
  <si>
    <t>01/18/2032</t>
  </si>
  <si>
    <t>07/27/2035</t>
  </si>
  <si>
    <t>01/26/2050</t>
  </si>
  <si>
    <t>01/26/2031</t>
  </si>
  <si>
    <t>01/22/2050</t>
  </si>
  <si>
    <t>01/27/2032</t>
  </si>
  <si>
    <t>01/15/2029</t>
  </si>
  <si>
    <t>03/16/2047</t>
  </si>
  <si>
    <t>11/18/2031</t>
  </si>
  <si>
    <t>07/17/2030</t>
  </si>
  <si>
    <t>01/15/2040</t>
  </si>
  <si>
    <t>06/28/2031</t>
  </si>
  <si>
    <t>04/16/2034</t>
  </si>
  <si>
    <t>02/16/2031</t>
  </si>
  <si>
    <t>05/13/2031</t>
  </si>
  <si>
    <t>11/14/2032</t>
  </si>
  <si>
    <t>EN BD_MATLAB</t>
  </si>
  <si>
    <t>EN LISTA</t>
  </si>
  <si>
    <t>AGREGAR</t>
  </si>
  <si>
    <t>Energy</t>
  </si>
  <si>
    <t>SILAMX 5 ⅜ 04/04/32</t>
  </si>
  <si>
    <t>SITIOS</t>
  </si>
  <si>
    <t>CDEL 5 ⅛ 02/02/33</t>
  </si>
  <si>
    <t>USP3143NBP89</t>
  </si>
  <si>
    <t>PEMEX 10 02/07/33</t>
  </si>
  <si>
    <t>USP78625ED13</t>
  </si>
  <si>
    <t>BANBRA 6 ¼ 04/18/30</t>
  </si>
  <si>
    <t>USP2000TAB19</t>
  </si>
  <si>
    <t>04/18/2030</t>
  </si>
  <si>
    <t>TIERRA MOJADA II</t>
  </si>
  <si>
    <t>ENAPCL 6.15 05/10/33</t>
  </si>
  <si>
    <t>USP37110AS59</t>
  </si>
  <si>
    <t>AMXLMM 2 ⅞ 05/07/30</t>
  </si>
  <si>
    <t>AMERICA MOVIL SA</t>
  </si>
  <si>
    <t>US02364WBJ36</t>
  </si>
  <si>
    <t>AMXLMM 3 ⅝ 04/22/29</t>
  </si>
  <si>
    <t>US02364WBH79</t>
  </si>
  <si>
    <t>04/22/2029</t>
  </si>
  <si>
    <t>AMXLMM 4 ⅜ 04/22/49</t>
  </si>
  <si>
    <t>US02364WBG96</t>
  </si>
  <si>
    <t>04/22/2049</t>
  </si>
  <si>
    <t>AMXLMM 4 ⅜ 07/16/42</t>
  </si>
  <si>
    <t>US02364WBE49</t>
  </si>
  <si>
    <t>07/16/2042</t>
  </si>
  <si>
    <t>AMXLMM 4.7 07/21/32</t>
  </si>
  <si>
    <t>US02364WBK09</t>
  </si>
  <si>
    <t>07/21/2032</t>
  </si>
  <si>
    <t>AMXLMM 6 ⅛ 03/30/40</t>
  </si>
  <si>
    <t>US02364WAW55</t>
  </si>
  <si>
    <t>03/30/2040</t>
  </si>
  <si>
    <t>AMXLMM 6 ⅛ 11/15/37</t>
  </si>
  <si>
    <t>US02364WAP05</t>
  </si>
  <si>
    <t>11/15/2037</t>
  </si>
  <si>
    <t>AMXLMM 6 ⅜ 03/01/35</t>
  </si>
  <si>
    <t>US02364WAJ45</t>
  </si>
  <si>
    <t>BANCOLOMBIA</t>
  </si>
  <si>
    <t>US151191BD46</t>
  </si>
  <si>
    <t>ECOPETROL SA</t>
  </si>
  <si>
    <t>ECOPET 4 ⅝ 11/02/31</t>
  </si>
  <si>
    <t>US279158AP43</t>
  </si>
  <si>
    <t>ECOPET 5 ⅞ 05/28/45</t>
  </si>
  <si>
    <t>US279158AJ82</t>
  </si>
  <si>
    <t>05/28/2045</t>
  </si>
  <si>
    <t>ECOPET 5 ⅞ 11/02/51</t>
  </si>
  <si>
    <t>US279158AQ26</t>
  </si>
  <si>
    <t>ECOPET 6 ⅞ 04/29/30</t>
  </si>
  <si>
    <t>US279158AN94</t>
  </si>
  <si>
    <t>04/29/2030</t>
  </si>
  <si>
    <t>ECOPET 7 ⅜ 09/18/43</t>
  </si>
  <si>
    <t>US279158AE95</t>
  </si>
  <si>
    <t>09/18/2043</t>
  </si>
  <si>
    <t>ECOPET 8 ⅞ 01/13/33</t>
  </si>
  <si>
    <t>US279158AS81</t>
  </si>
  <si>
    <t>01/13/2033</t>
  </si>
  <si>
    <t>ENELCH 4 ⅞ 06/12/28</t>
  </si>
  <si>
    <t>ENEL CHILE SA</t>
  </si>
  <si>
    <t>US29278DAA37</t>
  </si>
  <si>
    <t>FEMSA 3 ½ 01/16/50</t>
  </si>
  <si>
    <t>FEMSA</t>
  </si>
  <si>
    <t>US344419AC03</t>
  </si>
  <si>
    <t>01/16/2050</t>
  </si>
  <si>
    <t>FEMSA 4 ⅜ 05/10/43</t>
  </si>
  <si>
    <t>US344419AB20</t>
  </si>
  <si>
    <t>KOF 1.85 09/01/32</t>
  </si>
  <si>
    <t>COCA-COLA FEMSA</t>
  </si>
  <si>
    <t>US191241AJ70</t>
  </si>
  <si>
    <t>KOF 2 ¾ 01/22/30</t>
  </si>
  <si>
    <t>US191241AH15</t>
  </si>
  <si>
    <t>KOF 5 ¼ 11/26/43</t>
  </si>
  <si>
    <t>US191241AF58</t>
  </si>
  <si>
    <t>11/26/2043</t>
  </si>
  <si>
    <t>MERCADOLIBRE INC</t>
  </si>
  <si>
    <t>MELI 3 ⅛ 01/14/31</t>
  </si>
  <si>
    <t>US58733RAF91</t>
  </si>
  <si>
    <t>01/14/2031</t>
  </si>
  <si>
    <t>PEMEX 5 ½ 06/27/44</t>
  </si>
  <si>
    <t>US71654QBE17</t>
  </si>
  <si>
    <t>US71654QBX97</t>
  </si>
  <si>
    <t>US71654QCK67</t>
  </si>
  <si>
    <t>US71654QDE98</t>
  </si>
  <si>
    <t>US71654QCP54</t>
  </si>
  <si>
    <t>PEMEX 6 ½ 06/02/41</t>
  </si>
  <si>
    <t>US71654QAZ54</t>
  </si>
  <si>
    <t>US71654QCC42</t>
  </si>
  <si>
    <t>PEMEX 6 ⅜ 01/23/45</t>
  </si>
  <si>
    <t>US71654QBR20</t>
  </si>
  <si>
    <t>01/23/2045</t>
  </si>
  <si>
    <t>US706451BG56</t>
  </si>
  <si>
    <t>US706451BR12</t>
  </si>
  <si>
    <t>US71654QCL41</t>
  </si>
  <si>
    <t>US71643VAB18</t>
  </si>
  <si>
    <t>US71654QDC33</t>
  </si>
  <si>
    <t>US71654QDF63</t>
  </si>
  <si>
    <t>US71654QDD16</t>
  </si>
  <si>
    <t>US71654QDL32</t>
  </si>
  <si>
    <t>PETBRA 5 ½ 06/10/51</t>
  </si>
  <si>
    <t>US71647NBJ72</t>
  </si>
  <si>
    <t>PETBRA 5 ¾ 02/01/29</t>
  </si>
  <si>
    <t>US71647NAZ24</t>
  </si>
  <si>
    <t>PETBRA 5 ⅝ 05/20/43</t>
  </si>
  <si>
    <t>PETROBRAS</t>
  </si>
  <si>
    <t>US71647NAA72</t>
  </si>
  <si>
    <t>05/20/2043</t>
  </si>
  <si>
    <t>US71647NBE85</t>
  </si>
  <si>
    <t>PETBRA 5.6 01/03/31</t>
  </si>
  <si>
    <t>US71647NBH17</t>
  </si>
  <si>
    <t>US71647NAY58</t>
  </si>
  <si>
    <t>PETBRA 6 ¾ 01/27/41</t>
  </si>
  <si>
    <t>US71645WAS08</t>
  </si>
  <si>
    <t>01/27/2041</t>
  </si>
  <si>
    <t>PETBRA 6 ¾ 06/03/50</t>
  </si>
  <si>
    <t>US71647NBG34</t>
  </si>
  <si>
    <t>PETBRA 6 ⅞ 01/20/40</t>
  </si>
  <si>
    <t>US71645WAQ42</t>
  </si>
  <si>
    <t>01/20/2040</t>
  </si>
  <si>
    <t>PETBRA 6.85 06/05/2115</t>
  </si>
  <si>
    <t>US71647NAN93</t>
  </si>
  <si>
    <t>PETBRA 6.9 03/19/49</t>
  </si>
  <si>
    <t>US71647NBD03</t>
  </si>
  <si>
    <t>03/19/2049</t>
  </si>
  <si>
    <t>PETBRA 7 ¼ 03/17/44</t>
  </si>
  <si>
    <t>US71647NAK54</t>
  </si>
  <si>
    <t>03/17/2044</t>
  </si>
  <si>
    <t>SCCO 5 ¼ 11/08/42</t>
  </si>
  <si>
    <t>US84265VAG05</t>
  </si>
  <si>
    <t>SCCO 5 ⅞ 04/23/45</t>
  </si>
  <si>
    <t>US84265VAJ44</t>
  </si>
  <si>
    <t>04/23/2045</t>
  </si>
  <si>
    <t>SCCO 6 ¾ 04/16/40</t>
  </si>
  <si>
    <t>US84265VAE56</t>
  </si>
  <si>
    <t>04/16/2040</t>
  </si>
  <si>
    <t>US84265VAA35</t>
  </si>
  <si>
    <t>SUZANO 2 ½ 09/15/28</t>
  </si>
  <si>
    <t>US86964WAL63</t>
  </si>
  <si>
    <t>09/15/2028</t>
  </si>
  <si>
    <t>SUZANO 3 ¾ 01/15/31</t>
  </si>
  <si>
    <t>US86964WAJ18</t>
  </si>
  <si>
    <t>SUZANO 3 ⅛ 01/15/32</t>
  </si>
  <si>
    <t>US86964WAK80</t>
  </si>
  <si>
    <t>US86964WAH51</t>
  </si>
  <si>
    <t>US86964WAF95</t>
  </si>
  <si>
    <t>TELVIS 5 05/13/45</t>
  </si>
  <si>
    <t>US40049JBA43</t>
  </si>
  <si>
    <t>05/13/2045</t>
  </si>
  <si>
    <t>TELVIS 5 ¼ 05/24/49</t>
  </si>
  <si>
    <t>US40049JBE64</t>
  </si>
  <si>
    <t>05/24/2049</t>
  </si>
  <si>
    <t>TELVIS 6 ⅛ 01/31/46</t>
  </si>
  <si>
    <t>US40049JBC09</t>
  </si>
  <si>
    <t>01/31/2046</t>
  </si>
  <si>
    <t>US40049JAZ03</t>
  </si>
  <si>
    <t>TELVIS 8 ½ 03/11/32</t>
  </si>
  <si>
    <t>US40049JAT43</t>
  </si>
  <si>
    <t>VALEBZ 3 ¾ 07/08/30</t>
  </si>
  <si>
    <t>VALE OVERSEAS</t>
  </si>
  <si>
    <t>US91911TAQ67</t>
  </si>
  <si>
    <t>VALEBZ 5 ⅝ 09/11/42</t>
  </si>
  <si>
    <t>VALE</t>
  </si>
  <si>
    <t>US91912EAA38</t>
  </si>
  <si>
    <t>VALEBZ 6 ⅞ 11/10/39</t>
  </si>
  <si>
    <t>US91911TAK97</t>
  </si>
  <si>
    <t>VALEBZ 6 ⅞ 11/21/36</t>
  </si>
  <si>
    <t>US91911TAH68</t>
  </si>
  <si>
    <t>11/21/2036</t>
  </si>
  <si>
    <t>VALEBZ 8 ¼ 01/17/34</t>
  </si>
  <si>
    <t>US91911TAE38</t>
  </si>
  <si>
    <t>01/17/2034</t>
  </si>
  <si>
    <t>Aegea Finance Sarl</t>
  </si>
  <si>
    <t>FS Luxembourg Sarl</t>
  </si>
  <si>
    <t>Grupo Televisa SAB</t>
  </si>
  <si>
    <t>VALEBZ 6 ⅛ 06/12/33</t>
  </si>
  <si>
    <t>US91911TAR41</t>
  </si>
  <si>
    <t>BBVASM 8.45 06/29/38</t>
  </si>
  <si>
    <t>USP1S81BAA64</t>
  </si>
  <si>
    <t>06/29/2038</t>
  </si>
  <si>
    <t>CMPCCI 6 ⅛ 06/23/33</t>
  </si>
  <si>
    <t>USP58072AX05</t>
  </si>
  <si>
    <t>06/23/2033</t>
  </si>
  <si>
    <t>ECOPET 8 ⅝ 01/19/29</t>
  </si>
  <si>
    <t>US279158AT64</t>
  </si>
  <si>
    <t>01/19/2029</t>
  </si>
  <si>
    <t>PETBRA 6 ½ 07/03/33</t>
  </si>
  <si>
    <t>US71647NBK46</t>
  </si>
  <si>
    <t>B</t>
  </si>
  <si>
    <t>USP1507SAG23</t>
  </si>
  <si>
    <t>LATAM AIR</t>
  </si>
  <si>
    <t>Kenbourne Invest SA</t>
  </si>
  <si>
    <t>BB Comp</t>
  </si>
  <si>
    <t>NO</t>
  </si>
  <si>
    <t>LU</t>
  </si>
  <si>
    <t>US</t>
  </si>
  <si>
    <t>NL</t>
  </si>
  <si>
    <t>AT</t>
  </si>
  <si>
    <t>GB</t>
  </si>
  <si>
    <t>CHLELC 6.01 01/20/33</t>
  </si>
  <si>
    <t>CHILE ELECTR LUX</t>
  </si>
  <si>
    <t>Chile Electricity Lux MPC Sarl</t>
  </si>
  <si>
    <t>USL15669AA91</t>
  </si>
  <si>
    <t>CHLELC</t>
  </si>
  <si>
    <t>01/20/2033</t>
  </si>
  <si>
    <t>BEEFBZ 8 ⅞ 09/13/33</t>
  </si>
  <si>
    <t>USL6401PAM51</t>
  </si>
  <si>
    <t>09/13/2033</t>
  </si>
  <si>
    <t>CDEL 5.95 01/08/34</t>
  </si>
  <si>
    <t>USP3143NBQ62</t>
  </si>
  <si>
    <t>CDEL 6.3 09/08/53</t>
  </si>
  <si>
    <t>USP3143NBR46</t>
  </si>
  <si>
    <t>HNTOIL 8.55 09/18/33</t>
  </si>
  <si>
    <t>USP5300PAC79</t>
  </si>
  <si>
    <t>09/18/2033</t>
  </si>
  <si>
    <t>BIMBOA 6.05 01/15/29</t>
  </si>
  <si>
    <t>USU0901RAB34</t>
  </si>
  <si>
    <t>BIMBOA 6.4 01/15/34</t>
  </si>
  <si>
    <t>USU0901RAC17</t>
  </si>
  <si>
    <t>01/15/2034</t>
  </si>
  <si>
    <t>BSMXB 7.525 10/01/28</t>
  </si>
  <si>
    <t>SQM 6 ½ 11/07/33</t>
  </si>
  <si>
    <t>USP8718AAP14</t>
  </si>
  <si>
    <t>AEGEBZ 9 01/20/31</t>
  </si>
  <si>
    <t>GEBCB 7.85 11/09/33</t>
  </si>
  <si>
    <t>USP4R53VAB95</t>
  </si>
  <si>
    <t>US71654QDP46</t>
  </si>
  <si>
    <t>CSNABZ 8 ⅞ 12/05/30</t>
  </si>
  <si>
    <t>USL21779AL44</t>
  </si>
  <si>
    <t>Grupo Aeromexico SAB de CV</t>
  </si>
  <si>
    <t>GRUPO AEROMEXICO</t>
  </si>
  <si>
    <t>AEROMX</t>
  </si>
  <si>
    <t>AUNA SA</t>
  </si>
  <si>
    <t>11/15/2029</t>
  </si>
  <si>
    <t>BBVASM 8 ⅛ 01/08/39</t>
  </si>
  <si>
    <t>USP1S81BAB48</t>
  </si>
  <si>
    <t>BIMBOA 5 ⅜ 01/09/36</t>
  </si>
  <si>
    <t>USU0901RAE72</t>
  </si>
  <si>
    <t>COFIDE</t>
  </si>
  <si>
    <t>BANCO DAVIVIENDA</t>
  </si>
  <si>
    <t>FECCN 7 ⅞ 06/21/28</t>
  </si>
  <si>
    <t>FRONTERA ENERGY</t>
  </si>
  <si>
    <t>USC35898AB82</t>
  </si>
  <si>
    <t>BCP 5.85 01/11/29</t>
  </si>
  <si>
    <t>US05971V2E48</t>
  </si>
  <si>
    <t>ECOPET 8 ⅜ 01/19/36</t>
  </si>
  <si>
    <t>US279158AV11</t>
  </si>
  <si>
    <t>01/19/2036</t>
  </si>
  <si>
    <t>AES ANDES SA</t>
  </si>
  <si>
    <t>Communications</t>
  </si>
  <si>
    <t>Healthcare-Services</t>
  </si>
  <si>
    <t>BINTPE 7 ⅝ 01/16/34</t>
  </si>
  <si>
    <t>USP13435AF20</t>
  </si>
  <si>
    <t>01/16/2034</t>
  </si>
  <si>
    <t>CHILE ELECTRICITY LUX</t>
  </si>
  <si>
    <t>GLOBO COMMUNICACOES PART</t>
  </si>
  <si>
    <t>Media</t>
  </si>
  <si>
    <t>Multimedia</t>
  </si>
  <si>
    <t>VALIAE 7 ⅞ 02/15/39</t>
  </si>
  <si>
    <t>Buffalo Energy Mexico Holdings / Buffalo Energy Infrastructure / Buffalo Energy</t>
  </si>
  <si>
    <t>BUFFALO ENERGY</t>
  </si>
  <si>
    <t>BUFFALO ENERGY MX HLDGS</t>
  </si>
  <si>
    <t>USP1915AAA09</t>
  </si>
  <si>
    <t>VALIAE</t>
  </si>
  <si>
    <t>AMBIPAR LUX SARL</t>
  </si>
  <si>
    <t>CDEL 6.44 01/26/36</t>
  </si>
  <si>
    <t>USP3143NBT02</t>
  </si>
  <si>
    <t>01/26/2036</t>
  </si>
  <si>
    <t>FSBIOE 8 ⅞ 02/12/31</t>
  </si>
  <si>
    <t>USL40756AE57</t>
  </si>
  <si>
    <t>1833273D BZ</t>
  </si>
  <si>
    <t>BCICI 8 ¾ PERP</t>
  </si>
  <si>
    <t>US05890PAC05</t>
  </si>
  <si>
    <t>CMPCCI 6 ⅛ 02/26/34</t>
  </si>
  <si>
    <t>USP58072AY87</t>
  </si>
  <si>
    <t>02/26/2034</t>
  </si>
  <si>
    <t>FUNOTR 7 ⅜ 02/13/34</t>
  </si>
  <si>
    <t>USP9401JAA53</t>
  </si>
  <si>
    <t>02/13/2034</t>
  </si>
  <si>
    <t>AES 6.3 03/15/29</t>
  </si>
  <si>
    <t>USP0091LAA46</t>
  </si>
  <si>
    <t>03/15/2029</t>
  </si>
  <si>
    <t>BORRNO 10 11/15/28</t>
  </si>
  <si>
    <t>Borr IHC Ltd / Borr Finance LLC</t>
  </si>
  <si>
    <t>BORR IHC/BORR FI</t>
  </si>
  <si>
    <t>BORR IHC LTD / BORR FIN</t>
  </si>
  <si>
    <t>USG1467FAA15</t>
  </si>
  <si>
    <t>BORRNO</t>
  </si>
  <si>
    <t>BORR NO</t>
  </si>
  <si>
    <t>Oil&amp;Gas Drilling</t>
  </si>
  <si>
    <t>BORRNO 10 ⅜ 11/15/30</t>
  </si>
  <si>
    <t>USG1467FAB97</t>
  </si>
  <si>
    <t>RAIZBZ 6.45 03/05/34</t>
  </si>
  <si>
    <t>USL7909CAC12</t>
  </si>
  <si>
    <t>RAIZBZ 6.95 03/05/54</t>
  </si>
  <si>
    <t>USL7909CAD94</t>
  </si>
  <si>
    <t>BANBRA 6 03/18/31</t>
  </si>
  <si>
    <t>USP2000TAE57</t>
  </si>
  <si>
    <t>BCOCPE 6.2 06/07/34</t>
  </si>
  <si>
    <t>BANCO BBVA PERU</t>
  </si>
  <si>
    <t>USP07760AH74</t>
  </si>
  <si>
    <t>VOTORA 5 ¾ 04/02/34</t>
  </si>
  <si>
    <t>ST MARYS CEMEN</t>
  </si>
  <si>
    <t>USC86068AC47</t>
  </si>
  <si>
    <t>BTGPBZ 6 ¼ 04/08/29</t>
  </si>
  <si>
    <t>US05971BAK52</t>
  </si>
  <si>
    <t>NEXA 6 ¾ 04/09/34</t>
  </si>
  <si>
    <t>USL67359AB21</t>
  </si>
  <si>
    <t>ECLCI 6 ⅜ 04/17/34</t>
  </si>
  <si>
    <t>USP3762TAE12</t>
  </si>
  <si>
    <t>04/17/2034</t>
  </si>
  <si>
    <t>ANTOLN 6 ¼ 05/02/34</t>
  </si>
  <si>
    <t>USG0399BAB39</t>
  </si>
  <si>
    <t>COFIDE 5.95 04/30/29</t>
  </si>
  <si>
    <t>USP3R94GBM01</t>
  </si>
  <si>
    <t>KARAU 10 ½ 05/14/29</t>
  </si>
  <si>
    <t>Karoon USA Finance Inc</t>
  </si>
  <si>
    <t>KAROON USA FIN</t>
  </si>
  <si>
    <t>KAROON USA FINANCE INC</t>
  </si>
  <si>
    <t>USU24463AA68</t>
  </si>
  <si>
    <t>KARAU</t>
  </si>
  <si>
    <t>AU</t>
  </si>
  <si>
    <t>MOVIBZ 7.85 04/11/29</t>
  </si>
  <si>
    <t>USL65266AC91</t>
  </si>
  <si>
    <t>TRIEGY 12 ½ 11/30/29</t>
  </si>
  <si>
    <t>Trident Energy Finance PLC</t>
  </si>
  <si>
    <t>TRIDENT ENGY FIN</t>
  </si>
  <si>
    <t>TRIDENT ENERGY FINANCE</t>
  </si>
  <si>
    <t>XS2818827169</t>
  </si>
  <si>
    <t>TRIEGY</t>
  </si>
  <si>
    <t>BANCO 7.95 PERP</t>
  </si>
  <si>
    <t>USP1027DHQ71</t>
  </si>
  <si>
    <t>AEGEA FINANCE SARL</t>
  </si>
  <si>
    <t>Water</t>
  </si>
  <si>
    <t>GRUPO AEROMEXICO SAB</t>
  </si>
  <si>
    <t>Airlines</t>
  </si>
  <si>
    <t>Consumer, Cyclical</t>
  </si>
  <si>
    <t>Basic Materials</t>
  </si>
  <si>
    <t>Finance-Other Services</t>
  </si>
  <si>
    <t>Forest Products&amp;Paper</t>
  </si>
  <si>
    <t>Paper&amp;Related Products</t>
  </si>
  <si>
    <t>CENSUD 5.95 05/28/31</t>
  </si>
  <si>
    <t>USP2205JAT71</t>
  </si>
  <si>
    <t>05/28/2031</t>
  </si>
  <si>
    <t>Independ Power Producer</t>
  </si>
  <si>
    <t>Real Estate</t>
  </si>
  <si>
    <t>Real Estate Oper/Develop</t>
  </si>
  <si>
    <t>GRUPO TELEVISA SAB</t>
  </si>
  <si>
    <t>Cable/Satellite TV</t>
  </si>
  <si>
    <t>AES 8.15 06/10/55</t>
  </si>
  <si>
    <t>USP0091LAC02</t>
  </si>
  <si>
    <t>USL01343AD19</t>
  </si>
  <si>
    <t>BCOLO 8 ⅝ 12/24/34</t>
  </si>
  <si>
    <t>US05968LAN29</t>
  </si>
  <si>
    <t>12/24/2034</t>
  </si>
  <si>
    <t>PLUSCM 6.24 07/03/36</t>
  </si>
  <si>
    <t>PLUSPETROL</t>
  </si>
  <si>
    <t>USP8000LAA72</t>
  </si>
  <si>
    <t>VALEBZ 6.4 06/28/54</t>
  </si>
  <si>
    <t>US91911TAS24</t>
  </si>
  <si>
    <t>06/28/2054</t>
  </si>
  <si>
    <t>YPANBR 8.947 07/31/42</t>
  </si>
  <si>
    <t>Yinson Boronia Production BV</t>
  </si>
  <si>
    <t>YINSON BORONIA</t>
  </si>
  <si>
    <t>YINSON BORONIA PRODUCTIO</t>
  </si>
  <si>
    <t>USN9733XAA56</t>
  </si>
  <si>
    <t>YPANBR</t>
  </si>
  <si>
    <t>YNS MK</t>
  </si>
  <si>
    <t>07/31/2042</t>
  </si>
  <si>
    <t>XP 6 ¾ 07/02/29</t>
  </si>
  <si>
    <t>USG98239AB55</t>
  </si>
  <si>
    <t>BCAJA 7 07/30/29</t>
  </si>
  <si>
    <t>CAJA LOS ANDES</t>
  </si>
  <si>
    <t>USP1913PAS04</t>
  </si>
  <si>
    <t>07/30/2029</t>
  </si>
  <si>
    <t>ENAPCL 5.95 07/30/34</t>
  </si>
  <si>
    <t>USP37110AT33</t>
  </si>
  <si>
    <t>07/30/2034</t>
  </si>
  <si>
    <t>OHIFLY 13 07/22/29</t>
  </si>
  <si>
    <t>OHI Group SA</t>
  </si>
  <si>
    <t>OHI GROUP SA</t>
  </si>
  <si>
    <t>USL7S61MAB59</t>
  </si>
  <si>
    <t>OHIFLY</t>
  </si>
  <si>
    <t>07/22/2029</t>
  </si>
  <si>
    <t/>
  </si>
  <si>
    <t>BBVASM 5 ¼ 09/10/29</t>
  </si>
  <si>
    <t>USP1S81BAC21</t>
  </si>
  <si>
    <t>PETBRA 6 01/13/35</t>
  </si>
  <si>
    <t>US71647NBL29</t>
  </si>
  <si>
    <t>01/13/2035</t>
  </si>
  <si>
    <t>SQM 5 ½ 09/10/34</t>
  </si>
  <si>
    <t>USP8718AAQ96</t>
  </si>
  <si>
    <t>STNGBZ 3.95 06/16/28</t>
  </si>
  <si>
    <t>STONE PAGAMENTOS</t>
  </si>
  <si>
    <t>USP8T88JAA61</t>
  </si>
  <si>
    <t>BCICI 7 ½ PERP</t>
  </si>
  <si>
    <t>USP32133CH47</t>
  </si>
  <si>
    <t>CFELEC 5.7 01/24/30</t>
  </si>
  <si>
    <t>USP30179CQ94</t>
  </si>
  <si>
    <t>CFELEC 6.45 01/24/35</t>
  </si>
  <si>
    <t>USP30179CR77</t>
  </si>
  <si>
    <t>01/24/2035</t>
  </si>
  <si>
    <t>ELEBRA 6 ½ 01/11/35</t>
  </si>
  <si>
    <t>USP2281VAA81</t>
  </si>
  <si>
    <t>FIEMEX 7 ¼ 01/31/41</t>
  </si>
  <si>
    <t>FIEMEX Energia - Banco Actinver SA Institucion de Banca Multiple</t>
  </si>
  <si>
    <t>FIEMEX ENERGI-BA</t>
  </si>
  <si>
    <t>FIEMEX ENERGIA - BANC AC</t>
  </si>
  <si>
    <t>USP0R12RAA88</t>
  </si>
  <si>
    <t>FIEMEX</t>
  </si>
  <si>
    <t>01/31/2041</t>
  </si>
  <si>
    <t>RAIZBZ 5.7 01/17/35</t>
  </si>
  <si>
    <t>USL7909CAE77</t>
  </si>
  <si>
    <t>01/17/2035</t>
  </si>
  <si>
    <t>TERMOC 7 ¾ 09/17/31</t>
  </si>
  <si>
    <t>USE90508AA52</t>
  </si>
  <si>
    <t>09/17/2031</t>
  </si>
  <si>
    <t>LNZAV 7.95 01/26/32</t>
  </si>
  <si>
    <t>LD Celulose International GmbH</t>
  </si>
  <si>
    <t>LD CELULOSE INTE</t>
  </si>
  <si>
    <t>LD CELULOSE INTERNATIONA</t>
  </si>
  <si>
    <t>USA4S42PAA32</t>
  </si>
  <si>
    <t>LNZAV</t>
  </si>
  <si>
    <t>MRNOMX 11 09/12/30</t>
  </si>
  <si>
    <t>Fideicomiso Irrevocable de Administracion y Fuente de Pago Numero CIB/4323</t>
  </si>
  <si>
    <t>FIDEIC 4323</t>
  </si>
  <si>
    <t>FIDEIC IRR ADMIN 4323</t>
  </si>
  <si>
    <t>USP2R57MAA12</t>
  </si>
  <si>
    <t>MRNOMX</t>
  </si>
  <si>
    <t>NIAENE 5.746 10/03/34</t>
  </si>
  <si>
    <t>NIAGARA ENERGY</t>
  </si>
  <si>
    <t>USP7200AAA18</t>
  </si>
  <si>
    <t>OENCBZ 13 10/02/29</t>
  </si>
  <si>
    <t>Oceanica Lux</t>
  </si>
  <si>
    <t>OCEANICA LUX</t>
  </si>
  <si>
    <t>USL7151AAA45</t>
  </si>
  <si>
    <t>OENCBZ</t>
  </si>
  <si>
    <t>01/26/2032</t>
  </si>
  <si>
    <t>BTGPBZ 5 ¾ 01/22/30</t>
  </si>
  <si>
    <t>US05971BAL36</t>
  </si>
  <si>
    <t>ECOPET 7 ¾ 02/01/32</t>
  </si>
  <si>
    <t>US279158AW93</t>
  </si>
  <si>
    <t>CHLMPC 5.58 10/20/35</t>
  </si>
  <si>
    <t>Chile Electricity Lux Mpc II Sarl</t>
  </si>
  <si>
    <t>CL ELECTRICITY</t>
  </si>
  <si>
    <t>USL1567LAA19</t>
  </si>
  <si>
    <t>CHLMPC</t>
  </si>
  <si>
    <t>10/20/2035</t>
  </si>
  <si>
    <t>ILIQUIDO</t>
  </si>
  <si>
    <t>NO CUADRA SECTOR NI NOMBRE…</t>
  </si>
  <si>
    <t>NO ELEGIBLE (CASO MEXCAT)</t>
  </si>
  <si>
    <t>REPETIDO</t>
  </si>
  <si>
    <t>AEROMX 8 ¼ 11/15/29</t>
  </si>
  <si>
    <t>USP4955JAB46</t>
  </si>
  <si>
    <t>AEROMX 8 ⅝ 11/15/31</t>
  </si>
  <si>
    <t>USP4955JAC29</t>
  </si>
  <si>
    <t>11/15/2031</t>
  </si>
  <si>
    <t>BCP 5.8 03/10/35</t>
  </si>
  <si>
    <t>US05971V2H78</t>
  </si>
  <si>
    <t>EKT 12 ½ 10/15/31</t>
  </si>
  <si>
    <t>Mexico Remittances Funding Fiduciary Estate Management Sarl</t>
  </si>
  <si>
    <t>MX REMIT FUND</t>
  </si>
  <si>
    <t>MX REMIT FUND FIDUC EST</t>
  </si>
  <si>
    <t>USL6364EAB94</t>
  </si>
  <si>
    <t>EKT</t>
  </si>
  <si>
    <t>10/15/2031</t>
  </si>
  <si>
    <t>HICIERON CALL</t>
  </si>
  <si>
    <t>BANORT 8 ¾ PERP</t>
  </si>
  <si>
    <t>USP1400MAE86</t>
  </si>
  <si>
    <t>USP1400MAD04</t>
  </si>
  <si>
    <t>BSMXB 5.621 12/10/29</t>
  </si>
  <si>
    <t>USP1507SAL18</t>
  </si>
  <si>
    <t>COSHSA 9 ⅜ 11/07/29</t>
  </si>
  <si>
    <t>NewCo Holding USD 20 Sarl</t>
  </si>
  <si>
    <t>NEWCOL HLDG SARL</t>
  </si>
  <si>
    <t>NEWCO HOLDING USD SARL</t>
  </si>
  <si>
    <t>USL67356AA09</t>
  </si>
  <si>
    <t>COSHSA</t>
  </si>
  <si>
    <t>GRUMAB 5.39 12/09/34</t>
  </si>
  <si>
    <t>GRUMA SAB DE CV</t>
  </si>
  <si>
    <t>USP4948KAH88</t>
  </si>
  <si>
    <t>GRUMAB 5.761 12/09/54</t>
  </si>
  <si>
    <t>USP4948KAJ45</t>
  </si>
  <si>
    <t>SILAMX 6 11/25/29</t>
  </si>
  <si>
    <t>USP87026AA16</t>
  </si>
  <si>
    <t>11/25/2029</t>
  </si>
  <si>
    <t>BRADES 6 ½ 01/22/30</t>
  </si>
  <si>
    <t>US05947LBB36</t>
  </si>
  <si>
    <t>FUNOTR 7.7 01/23/32</t>
  </si>
  <si>
    <t>USP9401JAB37</t>
  </si>
  <si>
    <t>01/23/2032</t>
  </si>
  <si>
    <t>FUNOTR 8 ¼ 01/23/37</t>
  </si>
  <si>
    <t>USP9401JAC10</t>
  </si>
  <si>
    <t>01/23/2037</t>
  </si>
  <si>
    <t>CDEL 6.33 01/13/35</t>
  </si>
  <si>
    <t>USP3143NBV57</t>
  </si>
  <si>
    <t>CDEL 6.78 01/13/55</t>
  </si>
  <si>
    <t>USP3143NBW31</t>
  </si>
  <si>
    <t>01/13/2055</t>
  </si>
  <si>
    <t>LIVEPL 6.255 01/22/32</t>
  </si>
  <si>
    <t>USP3691NBL30</t>
  </si>
  <si>
    <t>01/22/2032</t>
  </si>
  <si>
    <t>LIVEPL 6.658 01/22/37</t>
  </si>
  <si>
    <t>USP3691NBM13</t>
  </si>
  <si>
    <t>01/22/2037</t>
  </si>
  <si>
    <t>USIMINAS INTL</t>
  </si>
  <si>
    <t>ARCO 6 ⅜ 01/29/32</t>
  </si>
  <si>
    <t>KALLPA 5 ⅞ 01/30/32</t>
  </si>
  <si>
    <t>USP04568AC88</t>
  </si>
  <si>
    <t>USL0415AAA18</t>
  </si>
  <si>
    <t>USP6040KAC10</t>
  </si>
  <si>
    <t>01/29/2032</t>
  </si>
  <si>
    <t>01/30/2032</t>
  </si>
  <si>
    <t>Atlantica Transmision Sur SA</t>
  </si>
  <si>
    <t>ABENGO</t>
  </si>
  <si>
    <t>Electric-Transmission</t>
  </si>
  <si>
    <t>SINGLE</t>
  </si>
  <si>
    <t>Acu Petroleo Luxembourg Sarl</t>
  </si>
  <si>
    <t>IND</t>
  </si>
  <si>
    <t>AES</t>
  </si>
  <si>
    <t>AES Andes SA</t>
  </si>
  <si>
    <t>Agrosuper SA</t>
  </si>
  <si>
    <t>AGROSU</t>
  </si>
  <si>
    <t>Food</t>
  </si>
  <si>
    <t>Food-Meat Products</t>
  </si>
  <si>
    <t>AICNRA</t>
  </si>
  <si>
    <t>ES</t>
  </si>
  <si>
    <t>Holding Companies-Divers</t>
  </si>
  <si>
    <t>Diversified Operations</t>
  </si>
  <si>
    <t>Alfa Desarrollo SpA</t>
  </si>
  <si>
    <t>ALFACL</t>
  </si>
  <si>
    <t>Alpek SAB de CV</t>
  </si>
  <si>
    <t>ALPEKA</t>
  </si>
  <si>
    <t>Chemicals</t>
  </si>
  <si>
    <t>Petrochemicals</t>
  </si>
  <si>
    <t>Ambipar Lux Sarl</t>
  </si>
  <si>
    <t>AMBIBZ</t>
  </si>
  <si>
    <t>Environmental Control</t>
  </si>
  <si>
    <t>Non-hazardous Waste Disp</t>
  </si>
  <si>
    <t>America Movil SAB de CV</t>
  </si>
  <si>
    <t>AMXLMM</t>
  </si>
  <si>
    <t>Telecommunications</t>
  </si>
  <si>
    <t>Cellular Telecom</t>
  </si>
  <si>
    <t>Beverages</t>
  </si>
  <si>
    <t>Beverages-Non-alcoholic</t>
  </si>
  <si>
    <t>Antofagasta PLC</t>
  </si>
  <si>
    <t>ANTOLN</t>
  </si>
  <si>
    <t>Mining</t>
  </si>
  <si>
    <t>Metal-Copper</t>
  </si>
  <si>
    <t>ARCO</t>
  </si>
  <si>
    <t>Retail</t>
  </si>
  <si>
    <t>Retail-Restaurants</t>
  </si>
  <si>
    <t>UY</t>
  </si>
  <si>
    <t>Arcos Dorados BV</t>
  </si>
  <si>
    <t>Gold Mining</t>
  </si>
  <si>
    <t>CA</t>
  </si>
  <si>
    <t>ATPTOW 7 ⅞ 02/03/30</t>
  </si>
  <si>
    <t>ATP Tower Holdings / Andean Telecom Partners Chile SpA / Andean Tower Partners C</t>
  </si>
  <si>
    <t>ATP TOW/ANDEAN</t>
  </si>
  <si>
    <t>ATP TOW/ANDEAN TELECOM</t>
  </si>
  <si>
    <t>USU0489EAA48</t>
  </si>
  <si>
    <t>Auna SA</t>
  </si>
  <si>
    <t>AUNA</t>
  </si>
  <si>
    <t>Medical-Hospitals</t>
  </si>
  <si>
    <t>Grupo Aval Ltd</t>
  </si>
  <si>
    <t>AVALCB</t>
  </si>
  <si>
    <t>Banks</t>
  </si>
  <si>
    <t>Commer Banks Non-US</t>
  </si>
  <si>
    <t>KY</t>
  </si>
  <si>
    <t>Chemicals-Specialty</t>
  </si>
  <si>
    <t>Banco do Brasil SA/Cayman</t>
  </si>
  <si>
    <t>BANBRA</t>
  </si>
  <si>
    <t>Banco del Estado de Chile</t>
  </si>
  <si>
    <t>BANCO</t>
  </si>
  <si>
    <t>Regional Banks-Non US</t>
  </si>
  <si>
    <t>Banco Mercantil del Norte SA/Grand Cayman</t>
  </si>
  <si>
    <t>BANORT</t>
  </si>
  <si>
    <t>BBVASM</t>
  </si>
  <si>
    <t>Money Center Banks</t>
  </si>
  <si>
    <t>Caja de Compensacion de Asignacion Familiar de Los Andes</t>
  </si>
  <si>
    <t>BCAJA</t>
  </si>
  <si>
    <t>CAP SA</t>
  </si>
  <si>
    <t>BCAPS</t>
  </si>
  <si>
    <t>Iron/Steel</t>
  </si>
  <si>
    <t>Steel-Producers</t>
  </si>
  <si>
    <t>Banco de Credito e Inversiones SA</t>
  </si>
  <si>
    <t>BCICI</t>
  </si>
  <si>
    <t>Banco BBVA Peru SA</t>
  </si>
  <si>
    <t>BCOCPE</t>
  </si>
  <si>
    <t>Bancolombia SA</t>
  </si>
  <si>
    <t>BCOLO</t>
  </si>
  <si>
    <t>Banco de Credito del Peru S.A.</t>
  </si>
  <si>
    <t>BCP</t>
  </si>
  <si>
    <t>Minerva Luxembourg SA</t>
  </si>
  <si>
    <t>BEEFBZ</t>
  </si>
  <si>
    <t>Falabella SA</t>
  </si>
  <si>
    <t>BFALA</t>
  </si>
  <si>
    <t>Retail-Major Dept Store</t>
  </si>
  <si>
    <t>Empresa de los Ferrocarriles del Estado</t>
  </si>
  <si>
    <t>BFFCC</t>
  </si>
  <si>
    <t>Bimbo Bakeries USA Inc</t>
  </si>
  <si>
    <t>BIMBOA</t>
  </si>
  <si>
    <t>Food-Baking</t>
  </si>
  <si>
    <t>Grupo Bimbo SAB de CV</t>
  </si>
  <si>
    <t>Banco Internacional del Peru SAA Interbank</t>
  </si>
  <si>
    <t>BINTPE</t>
  </si>
  <si>
    <t>Empresa de Transporte de Pasajeros Metro SA</t>
  </si>
  <si>
    <t>BMETR</t>
  </si>
  <si>
    <t>Banco Nacional de Comercio Exterior SNC/Cayman Islands</t>
  </si>
  <si>
    <t>BNCE</t>
  </si>
  <si>
    <t>Special Purpose Banks</t>
  </si>
  <si>
    <t>Banco de Chile</t>
  </si>
  <si>
    <t>BNCHIL</t>
  </si>
  <si>
    <t>Banco Bradesco SA/Cayman Islands</t>
  </si>
  <si>
    <t>BRADES</t>
  </si>
  <si>
    <t>BRFSBZ</t>
  </si>
  <si>
    <t>Food-Misc/Diversified</t>
  </si>
  <si>
    <t>Banco Santander Chile</t>
  </si>
  <si>
    <t>BSANCI</t>
  </si>
  <si>
    <t>Banco Santander Mexico SA Institucion de Banca Multiple Grupo Financiero Santand</t>
  </si>
  <si>
    <t>BSMXB</t>
  </si>
  <si>
    <t>Banco BTG Pactual SA/Cayman Islands</t>
  </si>
  <si>
    <t>BTGPBZ</t>
  </si>
  <si>
    <t>Finance-Invest Bnkr/Brkr</t>
  </si>
  <si>
    <t>B3 SA - Brasil Bolsa Balcao</t>
  </si>
  <si>
    <t>BTHREE</t>
  </si>
  <si>
    <t>Cia de Minas Buenaventura SAA</t>
  </si>
  <si>
    <t>BUENAV</t>
  </si>
  <si>
    <t>Metal-Diversified</t>
  </si>
  <si>
    <t>BUENAV 6.8 02/04/32</t>
  </si>
  <si>
    <t>USP6680PAB78</t>
  </si>
  <si>
    <t>Cia Cervecerias Unidas SA</t>
  </si>
  <si>
    <t>CCUCI</t>
  </si>
  <si>
    <t>Beverages-Wine/Spirits</t>
  </si>
  <si>
    <t>Corp Nacional del Cobre de Chile</t>
  </si>
  <si>
    <t>CDEL</t>
  </si>
  <si>
    <t>Non-Ferrous Metals</t>
  </si>
  <si>
    <t>Celulosa Arauco y Constitucion SA</t>
  </si>
  <si>
    <t>CELARA</t>
  </si>
  <si>
    <t>Celeo Redes Operacion Chile SA</t>
  </si>
  <si>
    <t>CELEO</t>
  </si>
  <si>
    <t>Cemex SAB de CV</t>
  </si>
  <si>
    <t>CEMEX</t>
  </si>
  <si>
    <t>Building Materials</t>
  </si>
  <si>
    <t>Bldg Prod-Cement/Aggreg</t>
  </si>
  <si>
    <t>Cencosud SA</t>
  </si>
  <si>
    <t>CENSUD</t>
  </si>
  <si>
    <t>Food-Retail</t>
  </si>
  <si>
    <t>Comision Federal de Electricidad</t>
  </si>
  <si>
    <t>CFELEC</t>
  </si>
  <si>
    <t>Inversiones CMPC SA</t>
  </si>
  <si>
    <t>CMPCCI</t>
  </si>
  <si>
    <t>Corp Financiera de Desarrollo SA</t>
  </si>
  <si>
    <t>Colbun SA</t>
  </si>
  <si>
    <t>COLBUN</t>
  </si>
  <si>
    <t>CSN Resources SA</t>
  </si>
  <si>
    <t>CSNABZ</t>
  </si>
  <si>
    <t>CSN Inova Ventures</t>
  </si>
  <si>
    <t>Banco Davivienda SA</t>
  </si>
  <si>
    <t>DAVIVI</t>
  </si>
  <si>
    <t>Engie Energia Chile SA</t>
  </si>
  <si>
    <t>ECLCI</t>
  </si>
  <si>
    <t>Electric-Integrated</t>
  </si>
  <si>
    <t>Ecopetrol SA</t>
  </si>
  <si>
    <t>ECOPET</t>
  </si>
  <si>
    <t>Oil Comp-Integrated</t>
  </si>
  <si>
    <t>Empresas Publicas de Medellin ESP</t>
  </si>
  <si>
    <t>EEPPME</t>
  </si>
  <si>
    <t>ELEBRA</t>
  </si>
  <si>
    <t>Embraer Netherlands Finance BV</t>
  </si>
  <si>
    <t>EMBRBZ</t>
  </si>
  <si>
    <t>Aerospace/Defense</t>
  </si>
  <si>
    <t>EMBRBZ 5.98 02/11/35</t>
  </si>
  <si>
    <t>US29082HAE27</t>
  </si>
  <si>
    <t>Empresa Nacional del Petroleo</t>
  </si>
  <si>
    <t>ENAPCL</t>
  </si>
  <si>
    <t>Enel Chile SA</t>
  </si>
  <si>
    <t>ENELCH</t>
  </si>
  <si>
    <t>EnfraGen Energia Sur SA / EnfraGen Spain SA / Prime Energia SpA</t>
  </si>
  <si>
    <t>ENFRAG</t>
  </si>
  <si>
    <t>Empresa Nacional de Telecomunicaciones SA</t>
  </si>
  <si>
    <t>ENTEL</t>
  </si>
  <si>
    <t>Frontera Energy Corp</t>
  </si>
  <si>
    <t>FECCN</t>
  </si>
  <si>
    <t>Fomento Economico Mexicano SAB de CV</t>
  </si>
  <si>
    <t>Fermaca Enterprises S de RL de CV</t>
  </si>
  <si>
    <t>FERMCA</t>
  </si>
  <si>
    <t>FISOMA</t>
  </si>
  <si>
    <t>REITS</t>
  </si>
  <si>
    <t>REITS-Diversified</t>
  </si>
  <si>
    <t>Fresnillo PLC</t>
  </si>
  <si>
    <t>FRESLN</t>
  </si>
  <si>
    <t>Silver Mining</t>
  </si>
  <si>
    <t>Trust Fibra Uno</t>
  </si>
  <si>
    <t>FUNOTR</t>
  </si>
  <si>
    <t>Grupo Energia Bogota SA ESP</t>
  </si>
  <si>
    <t>GEBCB</t>
  </si>
  <si>
    <t>Gas</t>
  </si>
  <si>
    <t>Gas-Distribution</t>
  </si>
  <si>
    <t>Geopark Ltd</t>
  </si>
  <si>
    <t>GEOPARK</t>
  </si>
  <si>
    <t>GEOPAR</t>
  </si>
  <si>
    <t>GGBRBZ</t>
  </si>
  <si>
    <t>Gerdau Trade Inc</t>
  </si>
  <si>
    <t>VG</t>
  </si>
  <si>
    <t>Mexico Generadora de Energia S de rl</t>
  </si>
  <si>
    <t>GMEXIB</t>
  </si>
  <si>
    <t>Guara Norte Sarl</t>
  </si>
  <si>
    <t>Gruma SAB de CV</t>
  </si>
  <si>
    <t>GRUMAB</t>
  </si>
  <si>
    <t>Hidrovias International Finance SARL</t>
  </si>
  <si>
    <t>HIDRVS</t>
  </si>
  <si>
    <t>Hunt Oil Co of Peru LLC Sucursal Del Peru</t>
  </si>
  <si>
    <t>HNTOIL</t>
  </si>
  <si>
    <t>Infraestructura Energetica Nova SAPI de CV</t>
  </si>
  <si>
    <t>IENOVA</t>
  </si>
  <si>
    <t>Intercorp Peru Ltd</t>
  </si>
  <si>
    <t>IFHBH</t>
  </si>
  <si>
    <t>Inversiones La Construccion SA</t>
  </si>
  <si>
    <t>ILCCI</t>
  </si>
  <si>
    <t>InRetail Consumer</t>
  </si>
  <si>
    <t>INRCON</t>
  </si>
  <si>
    <t>Retail-Misc/Diversified</t>
  </si>
  <si>
    <t>Interchile SA</t>
  </si>
  <si>
    <t>INTERC</t>
  </si>
  <si>
    <t>Iochpe-Maxion Austria GmbH / Maxion Wheels de Mexico S de RL de CV</t>
  </si>
  <si>
    <t>IOCMXW</t>
  </si>
  <si>
    <t>Auto Parts&amp;Equipment</t>
  </si>
  <si>
    <t>Auto/Trk Prts&amp;Equip-Orig</t>
  </si>
  <si>
    <t>Interconexion Electrica SA ESP</t>
  </si>
  <si>
    <t>ISACB</t>
  </si>
  <si>
    <t>Becle SAB de CV</t>
  </si>
  <si>
    <t>JBYCMX</t>
  </si>
  <si>
    <t>Kallpa Generacion SA</t>
  </si>
  <si>
    <t>KALLPA</t>
  </si>
  <si>
    <t>Kimberly-Clark de Mexico SAB de CV</t>
  </si>
  <si>
    <t>KCMA</t>
  </si>
  <si>
    <t>Household Products/Wares</t>
  </si>
  <si>
    <t>Consumer Products-Misc</t>
  </si>
  <si>
    <t>Klabin Austria GmbH</t>
  </si>
  <si>
    <t>KLAB</t>
  </si>
  <si>
    <t>Packaging&amp;Containers</t>
  </si>
  <si>
    <t>Containers-Paper/Plastic</t>
  </si>
  <si>
    <t>Coca-Cola Femsa SAB de CV</t>
  </si>
  <si>
    <t>KOF</t>
  </si>
  <si>
    <t>Lima Metro Line 2 Finance Ltd</t>
  </si>
  <si>
    <t>El Puerto de Liverpool SAB de CV</t>
  </si>
  <si>
    <t>LIVEPL</t>
  </si>
  <si>
    <t>Latam Airlines Group SA</t>
  </si>
  <si>
    <t>LTMCI</t>
  </si>
  <si>
    <t>Controladora Mabe SA de CV</t>
  </si>
  <si>
    <t>MABEMX</t>
  </si>
  <si>
    <t>Home Furnishings</t>
  </si>
  <si>
    <t>Appliances</t>
  </si>
  <si>
    <t>MC Brazil Downstream Trading SARL</t>
  </si>
  <si>
    <t>MercadoLibre Inc</t>
  </si>
  <si>
    <t>MELI</t>
  </si>
  <si>
    <t>Internet</t>
  </si>
  <si>
    <t>E-Commerce/Services</t>
  </si>
  <si>
    <t>Metalsa Sapi De Cv</t>
  </si>
  <si>
    <t>METLSA</t>
  </si>
  <si>
    <t>Mexico City Airport Trust</t>
  </si>
  <si>
    <t>MEXCAT</t>
  </si>
  <si>
    <t>Airport Develop/Maint</t>
  </si>
  <si>
    <t>Minsur SA</t>
  </si>
  <si>
    <t>MINSUR</t>
  </si>
  <si>
    <t>Movida Europe SA</t>
  </si>
  <si>
    <t>MOVIBZ</t>
  </si>
  <si>
    <t>Commercial Services</t>
  </si>
  <si>
    <t>Rental Auto/Equipment</t>
  </si>
  <si>
    <t>MARB BondCo PLC</t>
  </si>
  <si>
    <t>MRFGBZ</t>
  </si>
  <si>
    <t>MV24 Capital BV</t>
  </si>
  <si>
    <t>Natura &amp;Co Luxembourg Holdings Sarl</t>
  </si>
  <si>
    <t>NATURA</t>
  </si>
  <si>
    <t>Cosmetics/Personal Care</t>
  </si>
  <si>
    <t>Cosmetics&amp;Toiletries</t>
  </si>
  <si>
    <t>Nexa Resources SA</t>
  </si>
  <si>
    <t>NEXA</t>
  </si>
  <si>
    <t>Niagara Energy SAC</t>
  </si>
  <si>
    <t>NIAENE</t>
  </si>
  <si>
    <t>Orbia Advance Corp SAB de CV</t>
  </si>
  <si>
    <t>ORBIA</t>
  </si>
  <si>
    <t>Chemicals-Plastics</t>
  </si>
  <si>
    <t>Petroleos Mexicanos</t>
  </si>
  <si>
    <t>PEMEX</t>
  </si>
  <si>
    <t>Industrias Penoles SAB de CV</t>
  </si>
  <si>
    <t>PENOMX</t>
  </si>
  <si>
    <t>Petrobras Global Finance BV</t>
  </si>
  <si>
    <t>PETBRA</t>
  </si>
  <si>
    <t>Pluspetrol Camisea SA / Pluspetrol Lote 56 SA</t>
  </si>
  <si>
    <t>PLUSCM</t>
  </si>
  <si>
    <t>Promigas SA ESP / Gases del Pacifico SAC</t>
  </si>
  <si>
    <t>PROMIG</t>
  </si>
  <si>
    <t>Rumo Luxembourg Sarl</t>
  </si>
  <si>
    <t>RAILBZ</t>
  </si>
  <si>
    <t>Raizen Fuels Finance SA</t>
  </si>
  <si>
    <t>RAIZBZ</t>
  </si>
  <si>
    <t>Rede D'or Finance Sarl</t>
  </si>
  <si>
    <t>RDEDOR</t>
  </si>
  <si>
    <t>SAAVIE 8 ⅞ 02/10/35</t>
  </si>
  <si>
    <t>Saavi Energia Sarl</t>
  </si>
  <si>
    <t>SAAVI ENERGIA</t>
  </si>
  <si>
    <t>SAAVI ENERGIA SARL</t>
  </si>
  <si>
    <t>USL02668AA66</t>
  </si>
  <si>
    <t>SAAVIE</t>
  </si>
  <si>
    <t>Southern Copper Corp</t>
  </si>
  <si>
    <t>SCCO</t>
  </si>
  <si>
    <t>Minera Mexico SA de CV</t>
  </si>
  <si>
    <t>SCCOMX</t>
  </si>
  <si>
    <t>SCCOMX 5 ⅝ 02/12/32</t>
  </si>
  <si>
    <t>USP6777MAA01</t>
  </si>
  <si>
    <t>Sigma Finance Netherlands BV</t>
  </si>
  <si>
    <t>SIGMA</t>
  </si>
  <si>
    <t>Sitios Latinoamerica SAB de CV</t>
  </si>
  <si>
    <t>SILAMX</t>
  </si>
  <si>
    <t>Simpar Europe SA</t>
  </si>
  <si>
    <t>SIMHBZ</t>
  </si>
  <si>
    <t>Transport-Services</t>
  </si>
  <si>
    <t>SAN Miguel Industrias Pet SA / NG PET R&amp;P Latin America SA</t>
  </si>
  <si>
    <t>SMIPET</t>
  </si>
  <si>
    <t>Sociedad Quimica y Minera de Chile SA</t>
  </si>
  <si>
    <t>SQM</t>
  </si>
  <si>
    <t>STASCL</t>
  </si>
  <si>
    <t>Stone Instituicao de Pagamento SA</t>
  </si>
  <si>
    <t>STNGBZ</t>
  </si>
  <si>
    <t>Finance-Credit Card</t>
  </si>
  <si>
    <t>Suzano Austria GmbH</t>
  </si>
  <si>
    <t>SUZANO</t>
  </si>
  <si>
    <t>Telefonica Moviles Chile SA</t>
  </si>
  <si>
    <t>Colombia Telecomunicaciones SA ESP</t>
  </si>
  <si>
    <t>Termocandelaria Power SA</t>
  </si>
  <si>
    <t>TERMOC</t>
  </si>
  <si>
    <t>REITS-Warehouse/Industr</t>
  </si>
  <si>
    <t>Tierra Mojada Luxembourg II Sarl</t>
  </si>
  <si>
    <t>Nemak SAB de CV</t>
  </si>
  <si>
    <t>TNEMAK</t>
  </si>
  <si>
    <t>Transportadora de Gas Internacional SA ESP</t>
  </si>
  <si>
    <t>TRAGSA</t>
  </si>
  <si>
    <t>Consorcio Transmantaro SA</t>
  </si>
  <si>
    <t>TRANSM</t>
  </si>
  <si>
    <t>Transelec SA</t>
  </si>
  <si>
    <t>TSELEC</t>
  </si>
  <si>
    <t>Tupy Overseas SA</t>
  </si>
  <si>
    <t>TUPY</t>
  </si>
  <si>
    <t>Ultrapar International SA</t>
  </si>
  <si>
    <t>UGPABZ</t>
  </si>
  <si>
    <t>Usiminas International Sarl</t>
  </si>
  <si>
    <t>USIM</t>
  </si>
  <si>
    <t>Vale Overseas Ltd</t>
  </si>
  <si>
    <t>VALEBZ</t>
  </si>
  <si>
    <t>Metal-Iron</t>
  </si>
  <si>
    <t>Vale SA</t>
  </si>
  <si>
    <t>Corp Inmobiliaria Vesta SAB de CV</t>
  </si>
  <si>
    <t>VESTA</t>
  </si>
  <si>
    <t>St Marys Cement Inc Canada</t>
  </si>
  <si>
    <t>VOTORA</t>
  </si>
  <si>
    <t>Votorantim Cimentos International SA</t>
  </si>
  <si>
    <t>XP Inc</t>
  </si>
  <si>
    <t>XP</t>
  </si>
  <si>
    <t>Yara International ASA</t>
  </si>
  <si>
    <t>YARNO</t>
  </si>
  <si>
    <t>Agricultural Chemicals</t>
  </si>
  <si>
    <t>BBVA Mexico SA Institucion De Banca Multiple Grupo Financiero BBVA Mexico/TX</t>
  </si>
  <si>
    <t>BBVASM 7 ⅝ 02/11/35</t>
  </si>
  <si>
    <t>USP2000GAA15</t>
  </si>
  <si>
    <t>GEOPAR 8 ¾ 01/31/30</t>
  </si>
  <si>
    <t>USG38327AD78</t>
  </si>
  <si>
    <t>RDEDOR 4.95 01/17/28</t>
  </si>
  <si>
    <t>USL7915RAA43</t>
  </si>
  <si>
    <t>USIM 7 ½ 01/27/32</t>
  </si>
  <si>
    <t>USL95806AB88</t>
  </si>
  <si>
    <t>CENSUD 6 ⅝ 02/12/45</t>
  </si>
  <si>
    <t>USP2205JAL46</t>
  </si>
  <si>
    <t>AI Candelaria -spain- SA</t>
  </si>
  <si>
    <t>BINTPE 6.397 04/30/35</t>
  </si>
  <si>
    <t>USP13435AG03</t>
  </si>
  <si>
    <t>04/30/2035</t>
  </si>
  <si>
    <t>MOVCHI 3.537 11/18/31</t>
  </si>
  <si>
    <t>COLTEL 4.95 07/17/30</t>
  </si>
  <si>
    <t>COLTEL</t>
  </si>
  <si>
    <t>ITAU 6 02/27/30</t>
  </si>
  <si>
    <t>Itau Unibanco Holding SA/Cayman Island</t>
  </si>
  <si>
    <t>ITAU UNIBANCO/KY</t>
  </si>
  <si>
    <t>US46556W2E95</t>
  </si>
  <si>
    <t>ITAU</t>
  </si>
  <si>
    <t>02/27/2030</t>
  </si>
  <si>
    <t>MOVCHI</t>
  </si>
  <si>
    <t>RAIZBZ 6.7 02/25/37</t>
  </si>
  <si>
    <t>USL7909CAG26</t>
  </si>
  <si>
    <t>02/25/2037</t>
  </si>
  <si>
    <t>AES 6 ¼ 03/14/32</t>
  </si>
  <si>
    <t>USP0091LAD84</t>
  </si>
  <si>
    <t>03/14/2032</t>
  </si>
  <si>
    <t>BANVOR 5 ⅞ 04/08/28</t>
  </si>
  <si>
    <t>BANCO VOTORANTIM</t>
  </si>
  <si>
    <t>XS3046422542</t>
  </si>
  <si>
    <t>BANVOR</t>
  </si>
  <si>
    <t>1009Z BZ</t>
  </si>
  <si>
    <t>FIN</t>
  </si>
  <si>
    <t>FOA</t>
  </si>
  <si>
    <t>Banco Votorantim SA/Luxembourg</t>
  </si>
  <si>
    <t>CHLMPC 5.672 10/20/35</t>
  </si>
  <si>
    <t>USL1567LAB91</t>
  </si>
  <si>
    <t>ATL TRANSMISION SUR</t>
  </si>
  <si>
    <t>AGROSUPER SA</t>
  </si>
  <si>
    <t>AI CANDELARIA -SPAIN- SA</t>
  </si>
  <si>
    <t>ALFA DESARROLLO SPA</t>
  </si>
  <si>
    <t>AMERICA MOVIL SAB DE CV</t>
  </si>
  <si>
    <t>ANTOFAGASTA PLC</t>
  </si>
  <si>
    <t>BANCO DO BRASIL (CAYMAN)</t>
  </si>
  <si>
    <t>BANCO DEL ESTADO -CHILE</t>
  </si>
  <si>
    <t>BANCO MERCANTIL DE NORTE</t>
  </si>
  <si>
    <t>CAJA ASIGNACION LOS ANDE</t>
  </si>
  <si>
    <t>BANC CREDITO INVERSIONES</t>
  </si>
  <si>
    <t>BANCO BBVA PERU SA</t>
  </si>
  <si>
    <t>BANCOLOMBIA SA</t>
  </si>
  <si>
    <t>BANCO DE CREDITO DEL PER</t>
  </si>
  <si>
    <t>MINERVA LUXEMBOURG SA</t>
  </si>
  <si>
    <t>EMPRESA DE LOS FERROCARR</t>
  </si>
  <si>
    <t>BIMBO BAKERIES USA INC</t>
  </si>
  <si>
    <t>GRUPO BIMBO SAB DE CV</t>
  </si>
  <si>
    <t>BANCO INTERNAC DEL PERU</t>
  </si>
  <si>
    <t>EMPRESA DE TRANSPORTE ME</t>
  </si>
  <si>
    <t>BANCO NACIONAL COM EXT</t>
  </si>
  <si>
    <t>BANCO BRADESCO (CAYMAN)</t>
  </si>
  <si>
    <t>BANCO SANTANDER CHILE</t>
  </si>
  <si>
    <t>BANCO SANTANDER MEXICO</t>
  </si>
  <si>
    <t>BANCO BTG PACTUAL/CAYMAN</t>
  </si>
  <si>
    <t>B3 SA-BRASIL BOLSA BALCA</t>
  </si>
  <si>
    <t>CIA DE MINAS BUENAVENTUR</t>
  </si>
  <si>
    <t>CIA CERVECERIAS UNIDAS</t>
  </si>
  <si>
    <t>CELULOSA ARAUCO CONSTITU</t>
  </si>
  <si>
    <t>CELEO REDES OPERACION CL</t>
  </si>
  <si>
    <t>CEMEX SAB DE CV</t>
  </si>
  <si>
    <t>COMISION FEDERAL DE ELEC</t>
  </si>
  <si>
    <t>INVERSIONES CMPC SA</t>
  </si>
  <si>
    <t>CORP FINANCIERA DE DESAR</t>
  </si>
  <si>
    <t>COLOMBIA TELECOMUNICACIO</t>
  </si>
  <si>
    <t>CSN RESOURCES SA</t>
  </si>
  <si>
    <t>CSN ISLANDS XI CORP</t>
  </si>
  <si>
    <t>BANCO DAVIVIENDA SA</t>
  </si>
  <si>
    <t>ENGIE ENERGIA CHILE SA</t>
  </si>
  <si>
    <t>EMPRESAS PUBLIC MEDELLIN</t>
  </si>
  <si>
    <t>EMBRAER NETHERLANDS FINA</t>
  </si>
  <si>
    <t>EMPRESA NACIONAL DEL PET</t>
  </si>
  <si>
    <t>ENFRAGEN ENERGIA SUR SA</t>
  </si>
  <si>
    <t>FRONTERA ENERGY CORP</t>
  </si>
  <si>
    <t>FOMENTO ECONOMICO MEX</t>
  </si>
  <si>
    <t>FERMACA ENTERPRISES S RL</t>
  </si>
  <si>
    <t>TRUST FIBRAUNO</t>
  </si>
  <si>
    <t>GRUPO ENERGIA BOGOTA</t>
  </si>
  <si>
    <t>GEOPARK LTD</t>
  </si>
  <si>
    <t>MEXICO GENERADORA DE ENE</t>
  </si>
  <si>
    <t>HIDROVIAS INT FIN SARL</t>
  </si>
  <si>
    <t>HUNT OIL CO OF PERU</t>
  </si>
  <si>
    <t>INFRAESTRUCTURA ENERGETI</t>
  </si>
  <si>
    <t>INTERCORP PERU LTD</t>
  </si>
  <si>
    <t>LA CONSTRUCCION SA</t>
  </si>
  <si>
    <t>INRETAIL CONSUMER</t>
  </si>
  <si>
    <t>INTERCHILE SA</t>
  </si>
  <si>
    <t>IOCHPE-MAX/MAX WHEELS MX</t>
  </si>
  <si>
    <t>INTERCONEXION ELECTRICA</t>
  </si>
  <si>
    <t>ITAU UNIBANCO HLDG SA/KY</t>
  </si>
  <si>
    <t>KALLPA GENERACION SA</t>
  </si>
  <si>
    <t>KIMBERLY-CLARK DE MEXICO</t>
  </si>
  <si>
    <t>KLABIN AUSTRIA GMBH</t>
  </si>
  <si>
    <t>COCA-COLA FEMSA SAB CV</t>
  </si>
  <si>
    <t>EL PUERTO DE LIVERPOOL</t>
  </si>
  <si>
    <t>LATAM AIRLINES GROUP SA</t>
  </si>
  <si>
    <t>CONTROLADORA MABE SA CV</t>
  </si>
  <si>
    <t>MEXICO CITY ARPT TRUST</t>
  </si>
  <si>
    <t>TELEFONICA MOVILES CHILE</t>
  </si>
  <si>
    <t>NATURA &amp;CO LUX HLD SARL</t>
  </si>
  <si>
    <t>NEXA RESOURCES SA</t>
  </si>
  <si>
    <t>NEXA 6.6 04/08/37</t>
  </si>
  <si>
    <t>USL67359AC04</t>
  </si>
  <si>
    <t>NIAGARA ENERGY SAC</t>
  </si>
  <si>
    <t>ORBIA ADVANCE CORP SAB</t>
  </si>
  <si>
    <t>PETROLEOS MEXICANOS</t>
  </si>
  <si>
    <t>INDUSTRIAS PENOLES SAB D</t>
  </si>
  <si>
    <t>PETROBRAS GLOBAL FINANCE</t>
  </si>
  <si>
    <t>PLUSPETROL CAM/PLUS LOTE</t>
  </si>
  <si>
    <t>PROMIGAS/GASES PACIFICO</t>
  </si>
  <si>
    <t>RUMO LUXEMBOURG SARL</t>
  </si>
  <si>
    <t>RAIZEN FUELS FINANCE</t>
  </si>
  <si>
    <t>REDE D'OR FINANCE SARL</t>
  </si>
  <si>
    <t>SOUTHERN COPPER CORP</t>
  </si>
  <si>
    <t>MINERA MEXICO SA DE CV</t>
  </si>
  <si>
    <t>SIGMA FINANCE NL</t>
  </si>
  <si>
    <t>SITIOS LATINOAMERICA</t>
  </si>
  <si>
    <t>SIMPAR EUROPE SA</t>
  </si>
  <si>
    <t>SAN MIGUEL INDUSTRIAS</t>
  </si>
  <si>
    <t>SOCIEDAD QUIMICA Y MINER</t>
  </si>
  <si>
    <t>SOCIEDAD DE TRANSMISION</t>
  </si>
  <si>
    <t>STONE PAGAMENTOS SA</t>
  </si>
  <si>
    <t>SUZANO AUSTRIA GMBH</t>
  </si>
  <si>
    <t>TERMOCANDELARIA POWER</t>
  </si>
  <si>
    <t>TIERRA MOJADA LUX II SRL</t>
  </si>
  <si>
    <t>TRANSPRTDRA DE GAS INTL</t>
  </si>
  <si>
    <t>ULTRAPAR INTERNATIONL SA</t>
  </si>
  <si>
    <t>USIMINAS INTERNATIONAL</t>
  </si>
  <si>
    <t>VALE OVERSEAS LIMITED</t>
  </si>
  <si>
    <t>VALE SA</t>
  </si>
  <si>
    <t>CORPORACION INMOBILIARIA</t>
  </si>
  <si>
    <t>ST MARYS CEMENT INC</t>
  </si>
  <si>
    <t>VOTORANTIM CIMENTOS INTL</t>
  </si>
  <si>
    <t>YARA INTERNATIONAL ASA</t>
  </si>
  <si>
    <t>AMBIBZ 10 ⅞ 02/05/33</t>
  </si>
  <si>
    <t>USL0183EAB13</t>
  </si>
  <si>
    <t>AUNA 10 12/18/29</t>
  </si>
  <si>
    <t>BCP 6.45 07/30/35</t>
  </si>
  <si>
    <t>US05971V2J35</t>
  </si>
  <si>
    <t>07/30/2035</t>
  </si>
  <si>
    <t>CAIXBR 5 ⅝ 05/13/30</t>
  </si>
  <si>
    <t>Caixa Economica Federal</t>
  </si>
  <si>
    <t>CAIXA ECONOMICA</t>
  </si>
  <si>
    <t>CAIXA ECONOMICA FEDERAL</t>
  </si>
  <si>
    <t>US12804DAA28</t>
  </si>
  <si>
    <t>CAIXBR</t>
  </si>
  <si>
    <t>05/13/2030</t>
  </si>
  <si>
    <t>CELARA 6.18 05/05/32</t>
  </si>
  <si>
    <t>USP2195VBA28</t>
  </si>
  <si>
    <t>HNTOIL 7 ¾ 11/05/38</t>
  </si>
  <si>
    <t>HUNT OIL CO OF</t>
  </si>
  <si>
    <t>USP5300PAE36</t>
  </si>
  <si>
    <t>KOF 5.1 05/06/35</t>
  </si>
  <si>
    <t>US191241AK44</t>
  </si>
  <si>
    <t>NUTRES 8 05/12/30</t>
  </si>
  <si>
    <t>Grupo Nutresa SA</t>
  </si>
  <si>
    <t>GRUPO NUTRESA</t>
  </si>
  <si>
    <t>GRUPO NUTRESA SA</t>
  </si>
  <si>
    <t>USP4R21KAA49</t>
  </si>
  <si>
    <t>NUTRES</t>
  </si>
  <si>
    <t>NUTRES 9 05/12/35</t>
  </si>
  <si>
    <t>USP4R21KAB22</t>
  </si>
  <si>
    <t>ORBIA 6.8 05/13/30</t>
  </si>
  <si>
    <t>USP7S81YBJ38</t>
  </si>
  <si>
    <t>ORBIA 7 ½ 05/13/35</t>
  </si>
  <si>
    <t>USP7S81YBK01</t>
  </si>
  <si>
    <t>05/13/2035</t>
  </si>
  <si>
    <t>SUAMSA 6.35 05/13/32</t>
  </si>
  <si>
    <t>SURA Asset Management SA</t>
  </si>
  <si>
    <t>SURA ASSET MGMT</t>
  </si>
  <si>
    <t>SURA ASSET MANAGEMENT</t>
  </si>
  <si>
    <t>USP8803LAB47</t>
  </si>
  <si>
    <t>SUAMSA</t>
  </si>
  <si>
    <t>Invest Mgmnt/Advis Serv</t>
  </si>
  <si>
    <t>COFIDE 5 ½ 05/06/30</t>
  </si>
  <si>
    <t>USP3R94GBP32</t>
  </si>
  <si>
    <t>AY US</t>
  </si>
  <si>
    <t>0596570D BZ</t>
  </si>
  <si>
    <t>AESANDES CI</t>
  </si>
  <si>
    <t>4627222Z CI</t>
  </si>
  <si>
    <t>1666958D SM</t>
  </si>
  <si>
    <t>COLBUN CI</t>
  </si>
  <si>
    <t>ALPEKA MM</t>
  </si>
  <si>
    <t>AMXB MM</t>
  </si>
  <si>
    <t>ANTO LN</t>
  </si>
  <si>
    <t>ARCO US</t>
  </si>
  <si>
    <t>AUNA US</t>
  </si>
  <si>
    <t>AVAL CB</t>
  </si>
  <si>
    <t>BBAS3 BZ</t>
  </si>
  <si>
    <t>167579Z CI</t>
  </si>
  <si>
    <t>BMNA MM</t>
  </si>
  <si>
    <t>1470Z MM</t>
  </si>
  <si>
    <t>8181326Z CI</t>
  </si>
  <si>
    <t>CAP CI</t>
  </si>
  <si>
    <t>BCI CI</t>
  </si>
  <si>
    <t>BBVAC1 PE</t>
  </si>
  <si>
    <t>CREDITC1 PE</t>
  </si>
  <si>
    <t>BEEF3 BZ</t>
  </si>
  <si>
    <t>FALAB CI</t>
  </si>
  <si>
    <t>2940894Z CI</t>
  </si>
  <si>
    <t>BIMBOA MM</t>
  </si>
  <si>
    <t>INTERBC1 PE</t>
  </si>
  <si>
    <t>0531590D CI</t>
  </si>
  <si>
    <t>CHILE CI</t>
  </si>
  <si>
    <t>BBDC4 BZ</t>
  </si>
  <si>
    <t>BRFS3 BZ</t>
  </si>
  <si>
    <t>BSAN CI</t>
  </si>
  <si>
    <t>BSMXB MM</t>
  </si>
  <si>
    <t>BPAC11 BZ</t>
  </si>
  <si>
    <t>B3SA3 BZ</t>
  </si>
  <si>
    <t>BUENAVC1 PE</t>
  </si>
  <si>
    <t>CEFN3 BZ</t>
  </si>
  <si>
    <t>CCU CI</t>
  </si>
  <si>
    <t>1006Z CI</t>
  </si>
  <si>
    <t>1029Z CI</t>
  </si>
  <si>
    <t>1506896D CI</t>
  </si>
  <si>
    <t>CEMEXCPO MM</t>
  </si>
  <si>
    <t>CENCOSUD CI</t>
  </si>
  <si>
    <t>1016Z MM</t>
  </si>
  <si>
    <t>1013Z CI</t>
  </si>
  <si>
    <t>COFIDCC1 PE</t>
  </si>
  <si>
    <t>611992Z CB</t>
  </si>
  <si>
    <t>CSNA3 BZ</t>
  </si>
  <si>
    <t>PFDAVVND CB</t>
  </si>
  <si>
    <t>ECL CI</t>
  </si>
  <si>
    <t>ECOPETL CB</t>
  </si>
  <si>
    <t>1032Z CB</t>
  </si>
  <si>
    <t>1030Z CI</t>
  </si>
  <si>
    <t>ENELCHIL CI</t>
  </si>
  <si>
    <t>ENTEL CI</t>
  </si>
  <si>
    <t>FEC CN</t>
  </si>
  <si>
    <t>FEMSAUBD MM</t>
  </si>
  <si>
    <t>PGHN SW</t>
  </si>
  <si>
    <t>2472986D MM</t>
  </si>
  <si>
    <t>SOMA21 MM</t>
  </si>
  <si>
    <t>FRES LN</t>
  </si>
  <si>
    <t>0943974D MM</t>
  </si>
  <si>
    <t>GEB CB</t>
  </si>
  <si>
    <t>GPRK US</t>
  </si>
  <si>
    <t>GGBR4 BZ</t>
  </si>
  <si>
    <t>GMEXICOB MM</t>
  </si>
  <si>
    <t>GRUMAB MM</t>
  </si>
  <si>
    <t>HBSA3 BZ</t>
  </si>
  <si>
    <t>SRE US</t>
  </si>
  <si>
    <t>INTCOBC1 PE</t>
  </si>
  <si>
    <t>ILC CI</t>
  </si>
  <si>
    <t>INRETC1 PE</t>
  </si>
  <si>
    <t>1385351D CI</t>
  </si>
  <si>
    <t>MYPK3 BZ</t>
  </si>
  <si>
    <t>ISA CB</t>
  </si>
  <si>
    <t>ITUB4 BZ</t>
  </si>
  <si>
    <t>CUERVO* MM</t>
  </si>
  <si>
    <t>KIMBERA MM</t>
  </si>
  <si>
    <t>KLBN3 BZ</t>
  </si>
  <si>
    <t>KOFUBL MM</t>
  </si>
  <si>
    <t>LIVEPOLC MM</t>
  </si>
  <si>
    <t>LNZ AV</t>
  </si>
  <si>
    <t>LTM CI</t>
  </si>
  <si>
    <t>1122Z MM</t>
  </si>
  <si>
    <t>MELI US</t>
  </si>
  <si>
    <t>1441130D MM</t>
  </si>
  <si>
    <t>MINSURI1 PE</t>
  </si>
  <si>
    <t>MOVI3 BZ</t>
  </si>
  <si>
    <t>NTCO3 BZ</t>
  </si>
  <si>
    <t>NEXA US</t>
  </si>
  <si>
    <t>2325235D PE</t>
  </si>
  <si>
    <t>NUTRESA CB</t>
  </si>
  <si>
    <t>ORBIA* MM</t>
  </si>
  <si>
    <t>1232Z MM</t>
  </si>
  <si>
    <t>PE&amp;OLES* MM</t>
  </si>
  <si>
    <t>3617348Z BZ</t>
  </si>
  <si>
    <t>PROMIG CB</t>
  </si>
  <si>
    <t>RAIL3 BZ</t>
  </si>
  <si>
    <t>8180002Z BZ</t>
  </si>
  <si>
    <t>RDOR3 BZ</t>
  </si>
  <si>
    <t>SCCO US</t>
  </si>
  <si>
    <t>SIGMAA MM</t>
  </si>
  <si>
    <t>LASITE* MM</t>
  </si>
  <si>
    <t>SIMH3 BZ</t>
  </si>
  <si>
    <t>SQM/B CI</t>
  </si>
  <si>
    <t>2920979Z CI</t>
  </si>
  <si>
    <t>1398140D BZ</t>
  </si>
  <si>
    <t>0975403D CB</t>
  </si>
  <si>
    <t>SUZB3 BZ</t>
  </si>
  <si>
    <t>TLEVICPO MM</t>
  </si>
  <si>
    <t>NEMAKA MM</t>
  </si>
  <si>
    <t>736895Z PE</t>
  </si>
  <si>
    <t>1049Z CI</t>
  </si>
  <si>
    <t>TUPY3 BZ</t>
  </si>
  <si>
    <t>UGPA3 BZ</t>
  </si>
  <si>
    <t>USIM3 BZ</t>
  </si>
  <si>
    <t>VALE3 BZ</t>
  </si>
  <si>
    <t>VESTA* MM</t>
  </si>
  <si>
    <t>VEBM11 BZ</t>
  </si>
  <si>
    <t>XP US</t>
  </si>
  <si>
    <t>YAR NO</t>
  </si>
  <si>
    <t>USP2195VAJ46</t>
  </si>
  <si>
    <t>CFELEC 5.15 07/13/47</t>
  </si>
  <si>
    <t>XS1638817996</t>
  </si>
  <si>
    <t>07/13/2047</t>
  </si>
  <si>
    <t>1194707D CI</t>
  </si>
  <si>
    <t>US71656MAE93</t>
  </si>
  <si>
    <t>US70645KBM09</t>
  </si>
  <si>
    <t>USP78625DE05</t>
  </si>
  <si>
    <t>US71654QDK58</t>
  </si>
  <si>
    <t>GGBRBZ 5 ¾ 06/09/35</t>
  </si>
  <si>
    <t>US37373WAE03</t>
  </si>
  <si>
    <t>AMXLMM 5 01/20/33</t>
  </si>
  <si>
    <t>US02364WBM64</t>
  </si>
  <si>
    <t>US71656MBE84</t>
  </si>
  <si>
    <t>USP78625EA73</t>
  </si>
  <si>
    <t>USP78625DV20</t>
  </si>
  <si>
    <t>USP78625DY68</t>
  </si>
  <si>
    <t>USN6945AAL19</t>
  </si>
  <si>
    <t>BNCE 5 ⅞ 05/07/30</t>
  </si>
  <si>
    <t>USP14519AA30</t>
  </si>
  <si>
    <t>BNSPE 6.1 10/01/35</t>
  </si>
  <si>
    <t>Scotiabank Peru SAA</t>
  </si>
  <si>
    <t>SCOTIABANK PERU</t>
  </si>
  <si>
    <t>SCOTIABANK PERU SA</t>
  </si>
  <si>
    <t>USP8T35JAP76</t>
  </si>
  <si>
    <t>BNSPE</t>
  </si>
  <si>
    <t>SCOTIAC1 PE</t>
  </si>
  <si>
    <t>FSBIOE 8 ⅝ 06/25/33</t>
  </si>
  <si>
    <t>USL40756AG06</t>
  </si>
  <si>
    <t>06/25/2033</t>
  </si>
  <si>
    <t>LTMCI 7 ⅝ 01/07/31</t>
  </si>
  <si>
    <t>USP62138AC95</t>
  </si>
  <si>
    <t>1927378D SP</t>
  </si>
  <si>
    <t>YPMQBR 8.498 01/31/45</t>
  </si>
  <si>
    <t>Yinson Bergenia Production BV</t>
  </si>
  <si>
    <t>YINSON BERGENIA</t>
  </si>
  <si>
    <t>YINSON BERGENIA PRODUCTI</t>
  </si>
  <si>
    <t>USN97336AA49</t>
  </si>
  <si>
    <t>YPMQBR</t>
  </si>
  <si>
    <t>01/31/2045</t>
  </si>
  <si>
    <t>1145Z AR</t>
  </si>
  <si>
    <t>RAIZBZ 6 ¼ 07/08/32</t>
  </si>
  <si>
    <t>USL7909CAJ64</t>
  </si>
  <si>
    <t>UTL</t>
  </si>
  <si>
    <t>AGRO 7 ½ 07/29/32</t>
  </si>
  <si>
    <t>Adecoagro SA</t>
  </si>
  <si>
    <t>ADECOAGRO SA</t>
  </si>
  <si>
    <t>USL00849AB20</t>
  </si>
  <si>
    <t>AGRO</t>
  </si>
  <si>
    <t>AGRO US</t>
  </si>
  <si>
    <t>AR</t>
  </si>
  <si>
    <t>07/29/2032</t>
  </si>
  <si>
    <t>CEMEX 7.2 PERP</t>
  </si>
  <si>
    <t>USP2253TJW01</t>
  </si>
  <si>
    <t>ENFRAG 8.499 06/30/32</t>
  </si>
  <si>
    <t>EnfraGen Energia Sur SAU/ EnfraGen Chile SpA/ EnfraGen Spain SAU</t>
  </si>
  <si>
    <t>ENFRAGEN ENERGIA SUR SAU</t>
  </si>
  <si>
    <t>USE4181MAA74</t>
  </si>
  <si>
    <t>06/30/2032</t>
  </si>
  <si>
    <t>MEX 5 ½ 08/17/30</t>
  </si>
  <si>
    <t>Eagle Funding Luxco Sarl</t>
  </si>
  <si>
    <t>EAGLE LUXCO</t>
  </si>
  <si>
    <t>EAGLE FUNDING LUXCO SARL</t>
  </si>
  <si>
    <t>USL2660VAA37</t>
  </si>
  <si>
    <t>MEX</t>
  </si>
  <si>
    <t>Sovereign</t>
  </si>
  <si>
    <t>SOV</t>
  </si>
  <si>
    <t>SABESP 5 ⅝ 08/20/30</t>
  </si>
  <si>
    <t>Sabesp Lux Sarl</t>
  </si>
  <si>
    <t>SABESP LUX SARL</t>
  </si>
  <si>
    <t>USL07120AB17</t>
  </si>
  <si>
    <t>SABESP</t>
  </si>
  <si>
    <t>08/20/2030</t>
  </si>
  <si>
    <t>USP7S08VCA70</t>
  </si>
  <si>
    <t>DAVIVI 8 ⅛ 07/02/35</t>
  </si>
  <si>
    <t>USP0R137PD99</t>
  </si>
  <si>
    <t>BORLTD 9 ½ 08/07/32</t>
  </si>
  <si>
    <t>Boroo Investments Pte Ltd</t>
  </si>
  <si>
    <t>BOROO INV PT LTD</t>
  </si>
  <si>
    <t>BOROO INVESTMENTS</t>
  </si>
  <si>
    <t>USY00601AA55</t>
  </si>
  <si>
    <t>BORLTD</t>
  </si>
  <si>
    <t>SG</t>
  </si>
  <si>
    <t>CMPCCI 6.7 12/09/57</t>
  </si>
  <si>
    <t>USP58072BA92</t>
  </si>
  <si>
    <t>COLBUN 5 ⅜ 09/11/35</t>
  </si>
  <si>
    <t>USP2867KAM82</t>
  </si>
  <si>
    <t>PETBRA 5 ⅛ 09/10/30</t>
  </si>
  <si>
    <t>US71647NBM02</t>
  </si>
  <si>
    <t>PETBRA 6 ¼ 01/10/36</t>
  </si>
  <si>
    <t>US71647NBN84</t>
  </si>
  <si>
    <t>SUZANO 5 ½ 01/15/36</t>
  </si>
  <si>
    <t>Suzano Netherlands BV</t>
  </si>
  <si>
    <t>SUZANO NETHERLAN</t>
  </si>
  <si>
    <t>SUZANO NETHERLANDS BV</t>
  </si>
  <si>
    <t>US86960YAA01</t>
  </si>
  <si>
    <t>01/15/2036</t>
  </si>
  <si>
    <t>COMENG 6 ⅜ 04/24/35</t>
  </si>
  <si>
    <t>Cometa Energia SA de CV</t>
  </si>
  <si>
    <t>COMETA ENERGIA</t>
  </si>
  <si>
    <t>COMETA ENERGIA SA</t>
  </si>
  <si>
    <t>USP29853AA99</t>
  </si>
  <si>
    <t>COMENG</t>
  </si>
  <si>
    <t>04/24/2035</t>
  </si>
  <si>
    <t>KALLPA 5 ½ 09/11/35</t>
  </si>
  <si>
    <t>USP6040KAD92</t>
  </si>
  <si>
    <t>ORSAPE 6 ¼ 09/17/32</t>
  </si>
  <si>
    <t>Orazul Energy Peru SA</t>
  </si>
  <si>
    <t>ORAZUL ENERGY</t>
  </si>
  <si>
    <t>ORAZUL ENERGY PERU SA</t>
  </si>
  <si>
    <t>USP73906AA03</t>
  </si>
  <si>
    <t>ORSAPE</t>
  </si>
  <si>
    <t>09/17/2032</t>
  </si>
  <si>
    <t>RDEDOR 6.45 09/09/35</t>
  </si>
  <si>
    <t>USL7915TAC64</t>
  </si>
  <si>
    <t>AEGEBZ 7 ⅝ 01/20/36</t>
  </si>
  <si>
    <t>USL01343AE91</t>
  </si>
  <si>
    <t>01/20/2036</t>
  </si>
  <si>
    <t>ANTOLN 5 ⅝ 09/09/35</t>
  </si>
  <si>
    <t>USG0399BAC12</t>
  </si>
  <si>
    <t>EMBRBZ 5.4 01/09/38</t>
  </si>
  <si>
    <t>US29082HAF91</t>
  </si>
  <si>
    <t>FCFEMM 5 ⅞ 09/23/40</t>
  </si>
  <si>
    <t>CFE Fibra E</t>
  </si>
  <si>
    <t>CFE FIBRA E</t>
  </si>
  <si>
    <t>USP24038AA23</t>
  </si>
  <si>
    <t>FCFEMM</t>
  </si>
  <si>
    <t>09/23/2040</t>
  </si>
  <si>
    <t>FIBRA SOMA 6185</t>
  </si>
  <si>
    <t>FIBRA SOMA TRUST F/6185</t>
  </si>
  <si>
    <t>Globo Comunicacao e Participacoes S/A</t>
  </si>
  <si>
    <t>Poinsettia Finance Ltd Sarl</t>
  </si>
  <si>
    <t>VESTA 5 ½ 01/30/33</t>
  </si>
  <si>
    <t>USP3146DAB93</t>
  </si>
  <si>
    <t>01/30/2033</t>
  </si>
  <si>
    <t>AEGEBZ 6 ¾ 05/20/29</t>
  </si>
  <si>
    <t>USL01343AA79</t>
  </si>
  <si>
    <t>05/20/2029</t>
  </si>
  <si>
    <t>SAMMIN 9 ½ 06/30/31</t>
  </si>
  <si>
    <t>Samarco Mineracao SA</t>
  </si>
  <si>
    <t>SAMARCO MINERACA</t>
  </si>
  <si>
    <t>SAMARCO MINERACAO SA</t>
  </si>
  <si>
    <t>USP8405QAA78</t>
  </si>
  <si>
    <t>SAMMIN</t>
  </si>
  <si>
    <t>1019Z BZ</t>
  </si>
  <si>
    <t>VENCIMIENTO &lt;= 2028</t>
  </si>
  <si>
    <t>SINGLE B</t>
  </si>
  <si>
    <t>INRSHM 5.65 10/16/32</t>
  </si>
  <si>
    <t>InRetail Shopping Malls</t>
  </si>
  <si>
    <t>INRETAIL SHOP MA</t>
  </si>
  <si>
    <t>INRETAIL SHOPPING MALLS</t>
  </si>
  <si>
    <t>USP56243AE14</t>
  </si>
  <si>
    <t>INRSHM</t>
  </si>
  <si>
    <t>10/16/2032</t>
  </si>
  <si>
    <t>PRIOBZ 6 ¾ 10/15/30</t>
  </si>
  <si>
    <t>PRIO Luxembourg Holding Sarl</t>
  </si>
  <si>
    <t>PRIO LUX HLD</t>
  </si>
  <si>
    <t>PRIO LUX HLD SARL</t>
  </si>
  <si>
    <t>USL7S62BAA03</t>
  </si>
  <si>
    <t>PRIOBZ</t>
  </si>
  <si>
    <t>PRIO3 BZ</t>
  </si>
  <si>
    <t>NR</t>
  </si>
  <si>
    <t>10/15/2030</t>
  </si>
  <si>
    <t>NO RATING</t>
  </si>
  <si>
    <t>1285447D NA</t>
  </si>
  <si>
    <t>GEBCB 5 ¾ 10/22/35</t>
  </si>
  <si>
    <t>USP4R53VAC78</t>
  </si>
  <si>
    <t>10/22/2035</t>
  </si>
  <si>
    <t>US71656MBM01</t>
  </si>
  <si>
    <t>02/15/2039</t>
  </si>
  <si>
    <t>BCP 5.65 01/15/37</t>
  </si>
  <si>
    <t>US05971V2K08</t>
  </si>
  <si>
    <t>01/15/2037</t>
  </si>
  <si>
    <t>1493938D LN</t>
  </si>
  <si>
    <t>VAMOBZ 9.2 01/26/31</t>
  </si>
  <si>
    <t>Vamos Europe SA</t>
  </si>
  <si>
    <t>VAMOS EUROPE SA</t>
  </si>
  <si>
    <t>USL96308AA64</t>
  </si>
  <si>
    <t>VAMOBZ</t>
  </si>
  <si>
    <t>VAMO3 BZ</t>
  </si>
  <si>
    <t>Distribution/Wholesale</t>
  </si>
  <si>
    <t>AUNA 8 ¾ 11/06/32</t>
  </si>
  <si>
    <t>USL04168AA59</t>
  </si>
  <si>
    <t>US71656MBT53</t>
  </si>
  <si>
    <t>1859092D LN</t>
  </si>
  <si>
    <t>VOLCAN 8 ½ 10/28/32</t>
  </si>
  <si>
    <t>Volcan Cia Minera SAA</t>
  </si>
  <si>
    <t>VOLCAN CIA MIN-B</t>
  </si>
  <si>
    <t>VOLCAN CIA MINERA SAA-CM</t>
  </si>
  <si>
    <t>USP98047AE63</t>
  </si>
  <si>
    <t>VOLCAN</t>
  </si>
  <si>
    <t>VOLCABC1 PE</t>
  </si>
  <si>
    <t>10/28/2032</t>
  </si>
  <si>
    <t>Retail-Regnl Dept Store</t>
  </si>
  <si>
    <t>AXIA3 BZ</t>
  </si>
  <si>
    <t>BBVA MEX BANC/TX</t>
  </si>
  <si>
    <t>BBVA MEX BANCA GRUPO TX</t>
  </si>
  <si>
    <t>ECELUP 8 ½ 12/01/32</t>
  </si>
  <si>
    <t>Eldorado Intl. Finance GmbH</t>
  </si>
  <si>
    <t>ELDORADO INTL FI</t>
  </si>
  <si>
    <t>ELDORADO INTL FIN GMBH</t>
  </si>
  <si>
    <t>USA18007AC71</t>
  </si>
  <si>
    <t>ECELUP</t>
  </si>
  <si>
    <t>0113756D BZ</t>
  </si>
  <si>
    <t>SIERRA 9 11/14/30</t>
  </si>
  <si>
    <t>SierraCol Energy Andina LLC/SierraCol Energy Arauca/Colombia Energy Development</t>
  </si>
  <si>
    <t>SIERRACOL AN/A/D</t>
  </si>
  <si>
    <t>SIERRACOL EN AND/ARA/DEV</t>
  </si>
  <si>
    <t>USU8215PAA31</t>
  </si>
  <si>
    <t>11/14/2030</t>
  </si>
  <si>
    <t>VALEBZ 6 02/25/56</t>
  </si>
  <si>
    <t>USG9317UAD75</t>
  </si>
  <si>
    <t>02/25/2056</t>
  </si>
  <si>
    <t>NO APLICA - SE REFINANCIÓ</t>
  </si>
  <si>
    <t>Fibra SOMA Trust F/6185</t>
  </si>
  <si>
    <t>USP78625DX85</t>
  </si>
  <si>
    <t>FLA</t>
  </si>
  <si>
    <t>FIBRAP 5 ½ 11/26/35</t>
  </si>
  <si>
    <t>FIBRA Prologis</t>
  </si>
  <si>
    <t>FIBRA PROLOGIS</t>
  </si>
  <si>
    <t>USP40692AA67</t>
  </si>
  <si>
    <t>FIBRAP</t>
  </si>
  <si>
    <t>11/26/2035</t>
  </si>
  <si>
    <t>MELI 4.9 01/15/33</t>
  </si>
  <si>
    <t>US58733RAG74</t>
  </si>
  <si>
    <t>01/15/2033</t>
  </si>
  <si>
    <t>AERO* MM</t>
  </si>
  <si>
    <t>NEXTPR 4.869 01/15/30</t>
  </si>
  <si>
    <t>Trust 2401</t>
  </si>
  <si>
    <t>TRUST 2401</t>
  </si>
  <si>
    <t>USP9402MAA73</t>
  </si>
  <si>
    <t>NEXTPR</t>
  </si>
  <si>
    <t>USP78625EB56</t>
  </si>
  <si>
    <t>Sigma Foods SAB de CV</t>
  </si>
  <si>
    <t>SIGMA FOODS</t>
  </si>
  <si>
    <t>SIGMA FOODS SAB DE CV</t>
  </si>
  <si>
    <t>SIGMAFA MM</t>
  </si>
  <si>
    <t>74283Z MM</t>
  </si>
  <si>
    <t>NEXTPR 6.39 01/15/50</t>
  </si>
  <si>
    <t>USP9402MAE95</t>
  </si>
  <si>
    <t>NEXTPR 6.95 01/30/44</t>
  </si>
  <si>
    <t>USP9402MAD13</t>
  </si>
  <si>
    <t>NEXTPR 7 ⅜ 02/13/34</t>
  </si>
  <si>
    <t>USP9402MAC30</t>
  </si>
  <si>
    <t>NEXTPR 7.7 01/23/32</t>
  </si>
  <si>
    <t>USP9402MAB56</t>
  </si>
  <si>
    <t>VTRCOM 4 ⅜ 04/15/29</t>
  </si>
  <si>
    <t>VTR Comunicaciones SpA</t>
  </si>
  <si>
    <t>VTR COMUNICACI</t>
  </si>
  <si>
    <t>VTR COMUNICACIONES SPA</t>
  </si>
  <si>
    <t>USP9810XAB75</t>
  </si>
  <si>
    <t>VTRCOM</t>
  </si>
  <si>
    <t>0942772D NA</t>
  </si>
  <si>
    <t>CCC+</t>
  </si>
  <si>
    <t>BINTPE 4.8 07/15/31</t>
  </si>
  <si>
    <t>USP13435AH85</t>
  </si>
  <si>
    <t>07/15/2031</t>
  </si>
  <si>
    <t>BSANCI 4.55 11/20/30</t>
  </si>
  <si>
    <t>US05973P2A32</t>
  </si>
  <si>
    <t>11/20/2030</t>
  </si>
  <si>
    <t>BRADES 5 ⅜ 01/20/31</t>
  </si>
  <si>
    <t>US05947LBD91</t>
  </si>
  <si>
    <t>01/20/2031</t>
  </si>
  <si>
    <t>FIBRAP 5 ⅝ 01/14/38</t>
  </si>
  <si>
    <t>USP40692AB41</t>
  </si>
  <si>
    <t>01/14/2038</t>
  </si>
  <si>
    <t>BTGPBZ 5 ½ 01/27/31</t>
  </si>
  <si>
    <t>US05971BAM19</t>
  </si>
  <si>
    <t>01/27/2031</t>
  </si>
  <si>
    <t>CFELEC 6 ½ 01/28/51</t>
  </si>
  <si>
    <t>USP29595AG39</t>
  </si>
  <si>
    <t>01/28/2051</t>
  </si>
  <si>
    <t>CFELEC 6.045 01/28/34</t>
  </si>
  <si>
    <t>USP29595AF55</t>
  </si>
  <si>
    <t>01/28/2034</t>
  </si>
  <si>
    <t>1226069D MM</t>
  </si>
  <si>
    <t>SQM 5 ⅝ 04/22/56</t>
  </si>
  <si>
    <t>USP8718AAR79</t>
  </si>
  <si>
    <t>04/22/2056</t>
  </si>
  <si>
    <t>ABRAGF 14 10/22/29</t>
  </si>
  <si>
    <t>ABRA Global Finance</t>
  </si>
  <si>
    <t>ABRA GLOBAL FIN</t>
  </si>
  <si>
    <t>ABRA GLOBAL FINANCE</t>
  </si>
  <si>
    <t>USG00912AC21</t>
  </si>
  <si>
    <t>ABRAGF</t>
  </si>
  <si>
    <t>PIK</t>
  </si>
  <si>
    <t>10/22/2029</t>
  </si>
  <si>
    <t>ABRAGF 5 03/02/28</t>
  </si>
  <si>
    <t>USG00912AA64</t>
  </si>
  <si>
    <t>AES 4.72 06/30/40</t>
  </si>
  <si>
    <t>Alto Maipo SpA</t>
  </si>
  <si>
    <t>ALTO MAIPO SPA</t>
  </si>
  <si>
    <t>USP0243BAA37</t>
  </si>
  <si>
    <t>STEPUP1</t>
  </si>
  <si>
    <t>06/30/2040</t>
  </si>
  <si>
    <t>ANDINA 3.95 01/21/50</t>
  </si>
  <si>
    <t>Embotelladora Andina SA</t>
  </si>
  <si>
    <t>EMBOT ANDINA SA</t>
  </si>
  <si>
    <t>EMBOTELLADORA ANDINA SA</t>
  </si>
  <si>
    <t>USP3697UAE84</t>
  </si>
  <si>
    <t>ANDINA</t>
  </si>
  <si>
    <t>ANDINAA CI</t>
  </si>
  <si>
    <t>01/21/2050</t>
  </si>
  <si>
    <t>ANDRGI 9 12/28/29</t>
  </si>
  <si>
    <t>Andrade Gutierrez International SA</t>
  </si>
  <si>
    <t>ANDRADE GUT INT</t>
  </si>
  <si>
    <t>ANDRADE GUTIER INT SA</t>
  </si>
  <si>
    <t>USL01795AG50</t>
  </si>
  <si>
    <t>ANDRGI</t>
  </si>
  <si>
    <t>BMETR 5 01/25/47</t>
  </si>
  <si>
    <t>USP37466AP78</t>
  </si>
  <si>
    <t>01/25/2047</t>
  </si>
  <si>
    <t>BRASKM 4 ½ 01/31/30</t>
  </si>
  <si>
    <t>Braskem Netherlands Finance BV</t>
  </si>
  <si>
    <t>BRASKEM NL</t>
  </si>
  <si>
    <t>BRASKEM NETHERLANDS</t>
  </si>
  <si>
    <t>USN15516AD40</t>
  </si>
  <si>
    <t>BRASKM</t>
  </si>
  <si>
    <t>BRKM3 BZ</t>
  </si>
  <si>
    <t>Chemicals-Diversified</t>
  </si>
  <si>
    <t>CC+</t>
  </si>
  <si>
    <t>BRASKM 5 ⅞ 01/31/50</t>
  </si>
  <si>
    <t>USN15516AE23</t>
  </si>
  <si>
    <t>01/31/2050</t>
  </si>
  <si>
    <t>BRASKM 7 ¼ 02/13/33</t>
  </si>
  <si>
    <t>USN15516AG70</t>
  </si>
  <si>
    <t>02/13/2033</t>
  </si>
  <si>
    <t>BRASKM 7 ⅛ 07/22/41</t>
  </si>
  <si>
    <t>Braskem America Finance Co</t>
  </si>
  <si>
    <t>BRASKEM AMERICA</t>
  </si>
  <si>
    <t>BRASKEM AMERICA FINANCE</t>
  </si>
  <si>
    <t>USU1065PAA94</t>
  </si>
  <si>
    <t>07/22/2041</t>
  </si>
  <si>
    <t>BRASKM 8 10/15/34</t>
  </si>
  <si>
    <t>USN15516AJ10</t>
  </si>
  <si>
    <t>10/15/2034</t>
  </si>
  <si>
    <t>BRASKM 8 ½ 01/12/31</t>
  </si>
  <si>
    <t>USN15516AH53</t>
  </si>
  <si>
    <t>CDEL 4.85 05/18/48</t>
  </si>
  <si>
    <t>XS1798294523</t>
  </si>
  <si>
    <t>05/18/2048</t>
  </si>
  <si>
    <t>CFELEC 5 03/12/48</t>
  </si>
  <si>
    <t>XS1773650681</t>
  </si>
  <si>
    <t>CFELEC 5 09/29/36</t>
  </si>
  <si>
    <t>XS1505143393</t>
  </si>
  <si>
    <t>09/29/2036</t>
  </si>
  <si>
    <t>DAVIVI 6.65 PERP</t>
  </si>
  <si>
    <t>USP0R11WAG52</t>
  </si>
  <si>
    <t>B-</t>
  </si>
  <si>
    <t>FIBRAP 4.12 11/23/32</t>
  </si>
  <si>
    <t>MX91FI170009</t>
  </si>
  <si>
    <t>11/23/2032</t>
  </si>
  <si>
    <t>GOLLBZ 9 ½ 12/05/30</t>
  </si>
  <si>
    <t>GOL Equity Finance SA</t>
  </si>
  <si>
    <t>GOL EQUITY FIN</t>
  </si>
  <si>
    <t>GOL EQUITY FINANCE SA</t>
  </si>
  <si>
    <t>US379955AC17</t>
  </si>
  <si>
    <t>GOLLBZ</t>
  </si>
  <si>
    <t>GOLL54 BZ</t>
  </si>
  <si>
    <t>MARSAC 5 ¾ 01/22/36</t>
  </si>
  <si>
    <t>Marcobre SAC</t>
  </si>
  <si>
    <t>MARCOBRE SAC</t>
  </si>
  <si>
    <t>USP6432AAA36</t>
  </si>
  <si>
    <t>MARSAC</t>
  </si>
  <si>
    <t>01/22/2036</t>
  </si>
  <si>
    <t>PETRPE 4 ¾ 06/19/32</t>
  </si>
  <si>
    <t>Petroleos del Peru SA</t>
  </si>
  <si>
    <t>PETROLEOS DEL PE</t>
  </si>
  <si>
    <t>PETROLEOS DEL PERU SA</t>
  </si>
  <si>
    <t>USP7808BAA54</t>
  </si>
  <si>
    <t>PETRPE</t>
  </si>
  <si>
    <t>PETROBC1 PE</t>
  </si>
  <si>
    <t>06/19/2032</t>
  </si>
  <si>
    <t>PETRPE 5 ⅝ 06/19/47</t>
  </si>
  <si>
    <t>USP7808BAB38</t>
  </si>
  <si>
    <t>06/19/2047</t>
  </si>
  <si>
    <t>USP8405QAB51</t>
  </si>
  <si>
    <t>TOTALP 11 ⅛ 12/31/32</t>
  </si>
  <si>
    <t>Total Play Telecomunicaciones SA de CV</t>
  </si>
  <si>
    <t>TOTAL PLAY</t>
  </si>
  <si>
    <t>TOTAL PLAY TELECOM</t>
  </si>
  <si>
    <t>USP9190PAM07</t>
  </si>
  <si>
    <t>TOTALP</t>
  </si>
  <si>
    <t>0919647D MM</t>
  </si>
  <si>
    <t>Telecom Services</t>
  </si>
  <si>
    <t>12/31/2032</t>
  </si>
  <si>
    <t>TOTALP 6 ⅜ 09/20/28</t>
  </si>
  <si>
    <t>USP9190NAC76</t>
  </si>
  <si>
    <t>UNIGEL 11 12/31/28</t>
  </si>
  <si>
    <t>Unigel Luxembourg SA</t>
  </si>
  <si>
    <t>UNIGEL LU SA</t>
  </si>
  <si>
    <t>UNIGEL LUXEMBOURG SA</t>
  </si>
  <si>
    <t>USL9467UAE75</t>
  </si>
  <si>
    <t>UNIGEL</t>
  </si>
  <si>
    <t>1485715D BZ</t>
  </si>
  <si>
    <t>WOMCHH 5 04/01/32</t>
  </si>
  <si>
    <t>WOM Chile Holdco SpA</t>
  </si>
  <si>
    <t>WOM CHILE HOLDCO</t>
  </si>
  <si>
    <t>WOM CHILE HOLDCO SPA</t>
  </si>
  <si>
    <t>USP9883KAA99</t>
  </si>
  <si>
    <t>WOMCHH</t>
  </si>
  <si>
    <t>WOMMOB 11 04/01/31</t>
  </si>
  <si>
    <t>WOM Mobile SA</t>
  </si>
  <si>
    <t>WOM MOBILE SA</t>
  </si>
  <si>
    <t>USP9883LAA72</t>
  </si>
  <si>
    <t>WOMMOB</t>
  </si>
  <si>
    <t>AZUBBZ 9 ⅞ 02/15/31</t>
  </si>
  <si>
    <t>Azul Secured Finance LLP</t>
  </si>
  <si>
    <t>AZUL SECURED FIN</t>
  </si>
  <si>
    <t>AZUL SECURED FINANCE LLP</t>
  </si>
  <si>
    <t>USU0551YAK11</t>
  </si>
  <si>
    <t>AZUBBZ</t>
  </si>
  <si>
    <t>2870534Z BZ</t>
  </si>
  <si>
    <t>CDEL 5.529 01/30/37</t>
  </si>
  <si>
    <t>USP3143NBZ61</t>
  </si>
  <si>
    <t>01/30/2037</t>
  </si>
  <si>
    <t>FSBIOE 8 ⅛ 02/11/36</t>
  </si>
  <si>
    <t>USL40756AH88</t>
  </si>
  <si>
    <t>PRUPAR 7 ½ 12/31/31</t>
  </si>
  <si>
    <t>USP7922DAB03</t>
  </si>
  <si>
    <t>PRUPAR</t>
  </si>
  <si>
    <t>1329535D BZ</t>
  </si>
  <si>
    <t>Whsing&amp;Harbor Trans Serv</t>
  </si>
  <si>
    <t>12/31/2031</t>
  </si>
  <si>
    <t>SBSPAB 5 ¾ 02/03/31</t>
  </si>
  <si>
    <t>Nova Securitisation Sarl</t>
  </si>
  <si>
    <t>NOVA SECURITISAT</t>
  </si>
  <si>
    <t>NOVA SECURITISATION SARL</t>
  </si>
  <si>
    <t>USL70906AA73</t>
  </si>
  <si>
    <t>SBSPAB</t>
  </si>
  <si>
    <t>SBSPAB 6 ½ 02/03/36</t>
  </si>
  <si>
    <t>USL70906AB56</t>
  </si>
  <si>
    <t>SIGMA 6 ⅞ 03/25/44</t>
  </si>
  <si>
    <t>USL01343AB52</t>
  </si>
  <si>
    <t>CSANBZ 8 ¼ PERP</t>
  </si>
  <si>
    <t>Cosan Overseas Ltd</t>
  </si>
  <si>
    <t>COSAN OVERSEAS</t>
  </si>
  <si>
    <t>COSAN OVERSEAS LTD</t>
  </si>
  <si>
    <t>XS0556373347</t>
  </si>
  <si>
    <t>CSANBZ</t>
  </si>
  <si>
    <t>CSAN3 BZ</t>
  </si>
  <si>
    <t>GTE 9 ¾ 04/15/31</t>
  </si>
  <si>
    <t>Gran Tierra Energy Inc</t>
  </si>
  <si>
    <t>GRAN TIERRA</t>
  </si>
  <si>
    <t>GRAN TIERRA ENERGY INC</t>
  </si>
  <si>
    <t>USU37016AF67</t>
  </si>
  <si>
    <t>GTE</t>
  </si>
  <si>
    <t>GTE US</t>
  </si>
  <si>
    <t>04/15/2031</t>
  </si>
  <si>
    <t>LIVEPL 5 ¾ 02/10/38</t>
  </si>
  <si>
    <t>USP3691NBN95</t>
  </si>
  <si>
    <t>CCC</t>
  </si>
  <si>
    <t>Auna SA / Oncosalud SAC</t>
  </si>
  <si>
    <t>AUNA SA/ONCOSALU</t>
  </si>
  <si>
    <t>AUNA SA / ONCOSALUD SAC</t>
  </si>
  <si>
    <t>GOLLBZ 14 ⅜ 06/06/30</t>
  </si>
  <si>
    <t>Gol Finance Inc</t>
  </si>
  <si>
    <t>GOL FINANCE</t>
  </si>
  <si>
    <t>USL4441RAL08</t>
  </si>
  <si>
    <t>ARISCN 8 10/31/29</t>
  </si>
  <si>
    <t>Aris Mining Corp</t>
  </si>
  <si>
    <t>ARIS MINING</t>
  </si>
  <si>
    <t>ARIS MINING CORP</t>
  </si>
  <si>
    <t>USC04492AA97</t>
  </si>
  <si>
    <t>ARISCN</t>
  </si>
  <si>
    <t>ARIS CN</t>
  </si>
  <si>
    <t>10/31/2029</t>
  </si>
  <si>
    <t>BRASKM 12.06 01/23/2081</t>
  </si>
  <si>
    <t>USN15516AF97</t>
  </si>
  <si>
    <t>C</t>
  </si>
  <si>
    <t>DD+</t>
  </si>
  <si>
    <t>MIVIVI 5.4 03/31/31</t>
  </si>
  <si>
    <t>Fondo MIVIVIENDA SA</t>
  </si>
  <si>
    <t>FONDO MIVIVIE SA</t>
  </si>
  <si>
    <t>FONDO MIVIVIENDA SA</t>
  </si>
  <si>
    <t>USP42009AF09</t>
  </si>
  <si>
    <t>MIVIVI</t>
  </si>
  <si>
    <t>109992Z PE</t>
  </si>
  <si>
    <t>03/31/2031</t>
  </si>
  <si>
    <t>AES 6 ¼ 11/14/34</t>
  </si>
  <si>
    <t>11/14/2034</t>
  </si>
  <si>
    <t>NATU3 BZ</t>
  </si>
  <si>
    <t>CENSUD 5 ¾ 04/15/36</t>
  </si>
  <si>
    <t>USP2205JAX83</t>
  </si>
  <si>
    <t>04/15/2036</t>
  </si>
  <si>
    <t>USP0091LAE67</t>
  </si>
  <si>
    <t>BANBRA 5 ⅝ 10/23/31</t>
  </si>
  <si>
    <t>USP3772WAL65</t>
  </si>
  <si>
    <t>10/23/2031</t>
  </si>
  <si>
    <t>BEEFBZ 7 ½ 04/22/36</t>
  </si>
  <si>
    <t>USL6401PAP82</t>
  </si>
  <si>
    <t>04/22/2036</t>
  </si>
  <si>
    <t>Axia Energia SA</t>
  </si>
  <si>
    <t>AXIA ENERGIA SA</t>
  </si>
  <si>
    <t>MUNDOX 7.95 04/20/31</t>
  </si>
  <si>
    <t>DB Terra Chile HoldCo SpA</t>
  </si>
  <si>
    <t>DB TERRA CHILE H</t>
  </si>
  <si>
    <t>DB TERRA CHILE HOLDCO SP</t>
  </si>
  <si>
    <t>USP3R80FAA52</t>
  </si>
  <si>
    <t>MUNDOX</t>
  </si>
  <si>
    <t>04/20/2031</t>
  </si>
  <si>
    <t>NUTRES 7 ⅞ PERP</t>
  </si>
  <si>
    <t>USP5041CAA47</t>
  </si>
  <si>
    <t>SOTMCL 6.385 12/15/55</t>
  </si>
  <si>
    <t>Sociedad Transmisora Metropolitana SpA</t>
  </si>
  <si>
    <t>SOCIEDAD TRANSMI</t>
  </si>
  <si>
    <t>SOCIEDAD TRANSMISORA MET</t>
  </si>
  <si>
    <t>USP8725GAB07</t>
  </si>
  <si>
    <t>SOTMCL</t>
  </si>
  <si>
    <t>2210915D CI</t>
  </si>
  <si>
    <t>12/15/2055</t>
  </si>
  <si>
    <t>Sociedad De Transmision Austral SA</t>
  </si>
  <si>
    <t>RDEDOR 6.55 04/28/36</t>
  </si>
  <si>
    <t>USL7915TAE21</t>
  </si>
  <si>
    <t>04/28/2036</t>
  </si>
  <si>
    <t>BANMEX 6.697 08/07/36</t>
  </si>
  <si>
    <t>Banco Nacional de Mexico SA</t>
  </si>
  <si>
    <t>USP1S8TDFJ81</t>
  </si>
  <si>
    <t>BANMEX</t>
  </si>
  <si>
    <t>BANAMEX MM</t>
  </si>
  <si>
    <t>7354935Z CN</t>
  </si>
  <si>
    <t>BNCE 6 05/14/36</t>
  </si>
  <si>
    <t>USP14519AB13</t>
  </si>
  <si>
    <t>05/14/2036</t>
  </si>
  <si>
    <t>COXMEX 7 ¾ 05/08/36</t>
  </si>
  <si>
    <t>COX Asset Mexico SA de CV</t>
  </si>
  <si>
    <t>COX ASSET MEX CV</t>
  </si>
  <si>
    <t>COX ASSET MEXICO SA CV</t>
  </si>
  <si>
    <t>USP3172AAB28</t>
  </si>
  <si>
    <t>COXMEX</t>
  </si>
  <si>
    <t>COXG SM</t>
  </si>
  <si>
    <t>COXMEX 7 ⅛ 01/08/32</t>
  </si>
  <si>
    <t>USP3172AAA45</t>
  </si>
  <si>
    <t>ESENMX 6 ½ 07/30/38</t>
  </si>
  <si>
    <t>Esentia Energy Development SAB de CV</t>
  </si>
  <si>
    <t>ESENTIA ENERGY</t>
  </si>
  <si>
    <t>ESENTIA ENERGY DEV SAB</t>
  </si>
  <si>
    <t>USP3757EAB76</t>
  </si>
  <si>
    <t>ESENMX</t>
  </si>
  <si>
    <t>ESENTIAI MM</t>
  </si>
  <si>
    <t>07/30/2038</t>
  </si>
  <si>
    <t>ESENMX 6 ⅛ 07/30/33</t>
  </si>
  <si>
    <t>USP3757EAA93</t>
  </si>
  <si>
    <t>07/30/2033</t>
  </si>
  <si>
    <t>MIFEL 9 ¼ PERP</t>
  </si>
  <si>
    <t>Banca Mifel SA</t>
  </si>
  <si>
    <t>BANCA MIFEL SA</t>
  </si>
  <si>
    <t>USP07409AC27</t>
  </si>
  <si>
    <t>MIFEL</t>
  </si>
  <si>
    <t>OENCBZ 11 ¼ 05/08/31</t>
  </si>
  <si>
    <t>USL7151AAC01</t>
  </si>
  <si>
    <t>0199274D BZ</t>
  </si>
  <si>
    <t>PXTCN 8 ½ 05/11/31</t>
  </si>
  <si>
    <t>Parex Resources Inc</t>
  </si>
  <si>
    <t>PAREX RESOURCES</t>
  </si>
  <si>
    <t>PAREX RESOURCES INC</t>
  </si>
  <si>
    <t>USC71952AA08</t>
  </si>
  <si>
    <t>PXTCN</t>
  </si>
  <si>
    <t>PXT CN</t>
  </si>
  <si>
    <t>MOVIBZ 9.7 10/11/33</t>
  </si>
  <si>
    <t>USL65266AD74</t>
  </si>
  <si>
    <t>BBVASM 5.4 06/03/31</t>
  </si>
  <si>
    <t>USP2000GAB97</t>
  </si>
  <si>
    <t>BORRNO 8 ¾ 01/15/32</t>
  </si>
  <si>
    <t>USG1467FAH67</t>
  </si>
  <si>
    <t>BORR US</t>
  </si>
  <si>
    <t>FISOMA 7 ⅛ 05/28/36</t>
  </si>
  <si>
    <t>USP3990QAA96</t>
  </si>
  <si>
    <t>05/28/2036</t>
  </si>
  <si>
    <t>1192Z MM</t>
  </si>
  <si>
    <t>SBSP3 BZ</t>
  </si>
  <si>
    <t>06/10/2055</t>
  </si>
  <si>
    <t>05/07/2030</t>
  </si>
  <si>
    <t>03/01/2035</t>
  </si>
  <si>
    <t>09/09/2035</t>
  </si>
  <si>
    <t>05/02/2034</t>
  </si>
  <si>
    <t>02/03/2030</t>
  </si>
  <si>
    <t>11/06/2032</t>
  </si>
  <si>
    <t>02/04/2030</t>
  </si>
  <si>
    <t>01/11/2029</t>
  </si>
  <si>
    <t>BANCO NAC DE MEX</t>
  </si>
  <si>
    <t>BANCO NAC DE MEXICO SA</t>
  </si>
  <si>
    <t>08/07/2036</t>
  </si>
  <si>
    <t>09/10/2029</t>
  </si>
  <si>
    <t>06/03/2031</t>
  </si>
  <si>
    <t>02/11/2035</t>
  </si>
  <si>
    <t>01/08/2039</t>
  </si>
  <si>
    <t>06/07/2034</t>
  </si>
  <si>
    <t>03/10/2035</t>
  </si>
  <si>
    <t>09/06/2049</t>
  </si>
  <si>
    <t>11/10/2047</t>
  </si>
  <si>
    <t>01/09/2036</t>
  </si>
  <si>
    <t>05/07/2050</t>
  </si>
  <si>
    <t>12/09/2031</t>
  </si>
  <si>
    <t>10/01/2035</t>
  </si>
  <si>
    <t>08/07/2032</t>
  </si>
  <si>
    <t>BORRNO 9 01/15/34</t>
  </si>
  <si>
    <t>USG1467FAJ24</t>
  </si>
  <si>
    <t>01/12/2031</t>
  </si>
  <si>
    <t>12/10/2029</t>
  </si>
  <si>
    <t>04/08/2029</t>
  </si>
  <si>
    <t>02/04/2032</t>
  </si>
  <si>
    <t>08/01/2047</t>
  </si>
  <si>
    <t>02/05/2049</t>
  </si>
  <si>
    <t>11/04/2044</t>
  </si>
  <si>
    <t>02/02/2033</t>
  </si>
  <si>
    <t>01/08/2034</t>
  </si>
  <si>
    <t>09/08/2053</t>
  </si>
  <si>
    <t>11/02/2047</t>
  </si>
  <si>
    <t>05/05/2032</t>
  </si>
  <si>
    <t>07/11/2031</t>
  </si>
  <si>
    <t>CEMEX 5 ¾ 06/05/36</t>
  </si>
  <si>
    <t>US151290CD37</t>
  </si>
  <si>
    <t>06/05/2036</t>
  </si>
  <si>
    <t>02/12/2045</t>
  </si>
  <si>
    <t>02/09/2031</t>
  </si>
  <si>
    <t>02/09/2051</t>
  </si>
  <si>
    <t>03/12/2048</t>
  </si>
  <si>
    <t>04/06/2031</t>
  </si>
  <si>
    <t>12/09/2057</t>
  </si>
  <si>
    <t>05/06/2030</t>
  </si>
  <si>
    <t>03/06/2030</t>
  </si>
  <si>
    <t>09/11/2035</t>
  </si>
  <si>
    <t>05/08/2036</t>
  </si>
  <si>
    <t>01/08/2032</t>
  </si>
  <si>
    <t>06/10/2031</t>
  </si>
  <si>
    <t>04/08/2032</t>
  </si>
  <si>
    <t>12/05/2030</t>
  </si>
  <si>
    <t>07/02/2035</t>
  </si>
  <si>
    <t>12/01/2032</t>
  </si>
  <si>
    <t>11/02/2031</t>
  </si>
  <si>
    <t>11/02/2051</t>
  </si>
  <si>
    <t>02/01/2032</t>
  </si>
  <si>
    <t>01/11/2035</t>
  </si>
  <si>
    <t>01/09/2038</t>
  </si>
  <si>
    <t>11/06/2029</t>
  </si>
  <si>
    <t>05/10/2033</t>
  </si>
  <si>
    <t>05/10/2043</t>
  </si>
  <si>
    <t>10/02/2050</t>
  </si>
  <si>
    <t>02/11/2036</t>
  </si>
  <si>
    <t>11/09/2033</t>
  </si>
  <si>
    <t>06/09/2035</t>
  </si>
  <si>
    <t>12/06/2032</t>
  </si>
  <si>
    <t>06/06/2030</t>
  </si>
  <si>
    <t>12/09/2034</t>
  </si>
  <si>
    <t>12/09/2054</t>
  </si>
  <si>
    <t>02/08/2031</t>
  </si>
  <si>
    <t>11/05/2038</t>
  </si>
  <si>
    <t>02/07/2032</t>
  </si>
  <si>
    <t>07/01/2031</t>
  </si>
  <si>
    <t>04/03/2029</t>
  </si>
  <si>
    <t>04/03/2049</t>
  </si>
  <si>
    <t>09/01/2032</t>
  </si>
  <si>
    <t>05/06/2035</t>
  </si>
  <si>
    <t>04/05/2036</t>
  </si>
  <si>
    <t>07/05/2034</t>
  </si>
  <si>
    <t>02/10/2038</t>
  </si>
  <si>
    <t>01/07/2031</t>
  </si>
  <si>
    <t>05/04/2031</t>
  </si>
  <si>
    <t>04/11/2029</t>
  </si>
  <si>
    <t>10/11/2033</t>
  </si>
  <si>
    <t>06/01/2034</t>
  </si>
  <si>
    <t>04/09/2034</t>
  </si>
  <si>
    <t>04/08/2037</t>
  </si>
  <si>
    <t>10/03/2034</t>
  </si>
  <si>
    <t>05/12/2030</t>
  </si>
  <si>
    <t>05/12/2035</t>
  </si>
  <si>
    <t>05/08/2031</t>
  </si>
  <si>
    <t>05/11/2031</t>
  </si>
  <si>
    <t>02/07/2033</t>
  </si>
  <si>
    <t>06/02/2041</t>
  </si>
  <si>
    <t>02/12/2048</t>
  </si>
  <si>
    <t>06/02/2029</t>
  </si>
  <si>
    <t>08/06/2050</t>
  </si>
  <si>
    <t>09/12/2029</t>
  </si>
  <si>
    <t>09/12/2049</t>
  </si>
  <si>
    <t>06/10/2051</t>
  </si>
  <si>
    <t>02/01/2029</t>
  </si>
  <si>
    <t>09/10/2030</t>
  </si>
  <si>
    <t>01/03/2031</t>
  </si>
  <si>
    <t>01/10/2036</t>
  </si>
  <si>
    <t>07/03/2033</t>
  </si>
  <si>
    <t>06/03/2050</t>
  </si>
  <si>
    <t>06/05/2115</t>
  </si>
  <si>
    <t>07/03/2036</t>
  </si>
  <si>
    <t>07/08/2032</t>
  </si>
  <si>
    <t>03/05/2034</t>
  </si>
  <si>
    <t>03/05/2054</t>
  </si>
  <si>
    <t>02/10/2035</t>
  </si>
  <si>
    <t>02/03/2031</t>
  </si>
  <si>
    <t>02/03/2036</t>
  </si>
  <si>
    <t>11/08/2042</t>
  </si>
  <si>
    <t>02/12/2032</t>
  </si>
  <si>
    <t>04/04/2032</t>
  </si>
  <si>
    <t>09/10/2051</t>
  </si>
  <si>
    <t>05/07/2029</t>
  </si>
  <si>
    <t>09/10/2034</t>
  </si>
  <si>
    <t>11/07/2033</t>
  </si>
  <si>
    <t>03/11/2032</t>
  </si>
  <si>
    <t>12/01/2040</t>
  </si>
  <si>
    <t>04/11/2038</t>
  </si>
  <si>
    <t>01/12/2029</t>
  </si>
  <si>
    <t>06/06/2029</t>
  </si>
  <si>
    <t>07/08/2030</t>
  </si>
  <si>
    <t>09/11/2042</t>
  </si>
  <si>
    <t>06/12/2033</t>
  </si>
  <si>
    <t>11/10/2039</t>
  </si>
  <si>
    <t>04/02/2034</t>
  </si>
  <si>
    <t>04/05/2041</t>
  </si>
  <si>
    <t>04/01/2032</t>
  </si>
  <si>
    <t>04/01/2031</t>
  </si>
  <si>
    <t>07/02/2029</t>
  </si>
  <si>
    <t>06/04/2030</t>
  </si>
  <si>
    <t>BANORT 8 PERP</t>
  </si>
  <si>
    <t>USP1400MAF51</t>
  </si>
  <si>
    <t>BANORT 8.45 PERP</t>
  </si>
  <si>
    <t>USP1400MAG35</t>
  </si>
  <si>
    <t>BCOLO CB</t>
  </si>
  <si>
    <t>02/12/2031</t>
  </si>
  <si>
    <t>SCCO 5.35 06/24/36</t>
  </si>
  <si>
    <t>US84265VAK17</t>
  </si>
  <si>
    <t>06/24/2036</t>
  </si>
  <si>
    <t>2058922D LN</t>
  </si>
  <si>
    <t>BRASKM 12.004 01/23/2081</t>
  </si>
  <si>
    <t>01/23/2081</t>
  </si>
  <si>
    <t>1929519D LN</t>
  </si>
  <si>
    <t>PROMIG 7 ¾ 06/24/56</t>
  </si>
  <si>
    <t>USP7923WAA91</t>
  </si>
  <si>
    <t>06/24/2056</t>
  </si>
  <si>
    <t>Geometrica Par Investimentos SA</t>
  </si>
  <si>
    <t>GEOMETRICA INVT</t>
  </si>
  <si>
    <t>GEOMETRICA PAR INVEST SA</t>
  </si>
  <si>
    <t>IFHBH 5.6 07/16/33</t>
  </si>
  <si>
    <t>USP5625XAD68</t>
  </si>
  <si>
    <t>07/16/2033</t>
  </si>
  <si>
    <t>USA8372TAK46</t>
  </si>
  <si>
    <t>USA8372TAF50</t>
  </si>
  <si>
    <t>BQUILL 7.35 07/23/31</t>
  </si>
  <si>
    <t>Barranquilla Distrito Especial Industrial y Portuario</t>
  </si>
  <si>
    <t>BARRANQUILLA DIS</t>
  </si>
  <si>
    <t>BARRANQUILLA</t>
  </si>
  <si>
    <t>USP3600PAD70</t>
  </si>
  <si>
    <t>BQUILL</t>
  </si>
  <si>
    <t>Municipal</t>
  </si>
  <si>
    <t>Municipal-City</t>
  </si>
  <si>
    <t>07/23/2031</t>
  </si>
  <si>
    <t>2409655D BZ</t>
  </si>
  <si>
    <t>10/02/2029</t>
  </si>
  <si>
    <t>1570014D LX</t>
  </si>
  <si>
    <t>NO APLICA - No Rating, No CIQ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</si>
</sst>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11">
    <xf numFmtId="0" fontId="0" fillId="0" borderId="0" xfId="0"/>
    <xf numFmtId="0" fontId="19" fillId="0" borderId="0" xfId="0" applyFont="1"/>
    <xf numFmtId="0" fontId="17" fillId="34" borderId="0" xfId="0" applyFont="1" applyFill="1"/>
    <xf numFmtId="0" fontId="1" fillId="33" borderId="0" xfId="26"/>
    <xf numFmtId="0" fontId="1" fillId="35" borderId="0" xfId="26" applyFill="1" applyAlignment="1">
      <alignment horizontal="center"/>
    </xf>
    <xf numFmtId="0" fontId="0" fillId="34" borderId="0" xfId="0" applyFill="1" applyAlignment="1">
      <alignment horizontal="center"/>
    </xf>
    <xf numFmtId="0" fontId="17" fillId="34" borderId="0" xfId="0" applyFont="1" applyFill="1" applyAlignment="1">
      <alignment horizontal="center"/>
    </xf>
    <xf numFmtId="0" fontId="20" fillId="0" borderId="0" xfId="0" applyFont="1"/>
    <xf numFmtId="0" fontId="21" fillId="0" borderId="0" xfId="0" applyFont="1"/>
    <xf numFmtId="14" fontId="0" fillId="0" borderId="0" xfId="0" applyNumberFormat="1"/>
    <xf numFmtId="0" fontId="22" fillId="0" borderId="0" xfId="0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338726</xdr:colOff>
      <xdr:row>22</xdr:row>
      <xdr:rowOff>25400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9BDAAE08-6E6E-42CF-C76C-046BBADED2CE}"/>
            </a:ext>
          </a:extLst>
        </xdr:cNvPr>
        <xdr:cNvGrpSpPr/>
      </xdr:nvGrpSpPr>
      <xdr:grpSpPr>
        <a:xfrm>
          <a:off x="0" y="0"/>
          <a:ext cx="13749926" cy="4216400"/>
          <a:chOff x="0" y="0"/>
          <a:chExt cx="8572996" cy="2628900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4E9565DE-F8F2-4745-9536-9E9752FF12B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r="88928"/>
          <a:stretch>
            <a:fillRect/>
          </a:stretch>
        </xdr:blipFill>
        <xdr:spPr>
          <a:xfrm>
            <a:off x="0" y="0"/>
            <a:ext cx="2413000" cy="2628900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A4F891EF-0995-425E-A414-CFCB8B22B4B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71735"/>
          <a:stretch>
            <a:fillRect/>
          </a:stretch>
        </xdr:blipFill>
        <xdr:spPr>
          <a:xfrm>
            <a:off x="2413000" y="0"/>
            <a:ext cx="6159996" cy="26289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ython/BD_RF.xlsm" TargetMode="External"/><Relationship Id="rId2" Type="http://schemas.openxmlformats.org/officeDocument/2006/relationships/externalLinkPath" Target="file:///Z:\Mesa%20de%20Inversiones\Bottom-Up\5%20Estrategia%20del%20Portafolio\Python\BD_RF.xlsm" TargetMode="External"/><Relationship Id="rId1" Type="http://schemas.openxmlformats.org/officeDocument/2006/relationships/externalLinkPath" Target="/Mesa%20de%20Inversiones/Bottom-Up/5%20Estrategia%20del%20Portafolio/Python/BD_RF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CIQHiddenCacheSheet"/>
      <sheetName val="Instrumentos"/>
      <sheetName val="RF"/>
      <sheetName val="RF_HY"/>
      <sheetName val="RF_IG"/>
      <sheetName val="SpreadsRF"/>
      <sheetName val="Gráficos"/>
    </sheetNames>
    <sheetDataSet>
      <sheetData sheetId="0"/>
      <sheetData sheetId="1">
        <row r="2">
          <cell r="D2" t="str">
            <v>ISIN</v>
          </cell>
        </row>
        <row r="3">
          <cell r="D3" t="str">
            <v>USP1400MAB48</v>
          </cell>
        </row>
        <row r="4">
          <cell r="D4" t="str">
            <v>USP5625XAC85</v>
          </cell>
        </row>
        <row r="5">
          <cell r="D5" t="str">
            <v>USP7922DAB03</v>
          </cell>
        </row>
        <row r="6">
          <cell r="D6" t="str">
            <v>USP3742RAW09</v>
          </cell>
        </row>
        <row r="7">
          <cell r="D7" t="str">
            <v>USP55409AA77</v>
          </cell>
        </row>
        <row r="8">
          <cell r="D8" t="str">
            <v>USG0398NZ620</v>
          </cell>
        </row>
        <row r="9">
          <cell r="D9" t="str">
            <v>USP28768AC69</v>
          </cell>
        </row>
        <row r="10">
          <cell r="D10" t="str">
            <v>USP22008AA72</v>
          </cell>
        </row>
        <row r="11">
          <cell r="D11" t="str">
            <v>USP7922TAA71</v>
          </cell>
        </row>
        <row r="12">
          <cell r="D12" t="str">
            <v>USP4R53VAA13</v>
          </cell>
        </row>
        <row r="13">
          <cell r="D13" t="str">
            <v>USP3143NBM58</v>
          </cell>
        </row>
        <row r="14">
          <cell r="D14" t="str">
            <v>USR9900CAS54</v>
          </cell>
        </row>
        <row r="15">
          <cell r="D15" t="str">
            <v>USP0156PAC34</v>
          </cell>
        </row>
        <row r="16">
          <cell r="D16" t="str">
            <v>USP01703AC49</v>
          </cell>
        </row>
        <row r="17">
          <cell r="D17" t="str">
            <v>USP1400MAC21</v>
          </cell>
        </row>
        <row r="18">
          <cell r="D18" t="str">
            <v>USP14008AE91</v>
          </cell>
        </row>
        <row r="19">
          <cell r="D19" t="str">
            <v>USP16259AM84</v>
          </cell>
        </row>
        <row r="20">
          <cell r="D20" t="str">
            <v>USP16259AN67</v>
          </cell>
        </row>
        <row r="21">
          <cell r="D21" t="str">
            <v>USP1905CJX94</v>
          </cell>
        </row>
        <row r="22">
          <cell r="D22" t="str">
            <v>USP1905CAJ91</v>
          </cell>
        </row>
        <row r="23">
          <cell r="D23" t="str">
            <v>USP2195VAP06</v>
          </cell>
        </row>
        <row r="24">
          <cell r="D24" t="str">
            <v>USP2195VAR61</v>
          </cell>
        </row>
        <row r="25">
          <cell r="D25" t="str">
            <v>USP2195VAQ88</v>
          </cell>
        </row>
        <row r="26">
          <cell r="D26" t="str">
            <v>USP2195VAS45</v>
          </cell>
        </row>
        <row r="27">
          <cell r="D27" t="str">
            <v>USP2253TJN02</v>
          </cell>
        </row>
        <row r="28">
          <cell r="D28" t="str">
            <v>USP2253TJQ33</v>
          </cell>
        </row>
        <row r="29">
          <cell r="D29" t="str">
            <v>USP2205JAL46</v>
          </cell>
        </row>
        <row r="30">
          <cell r="D30" t="str">
            <v>USP22835AB13</v>
          </cell>
        </row>
        <row r="31">
          <cell r="D31" t="str">
            <v>USP2867KAK27</v>
          </cell>
        </row>
        <row r="32">
          <cell r="D32" t="str">
            <v>USP30179AK43</v>
          </cell>
        </row>
        <row r="33">
          <cell r="D33" t="str">
            <v>USP30179AR95</v>
          </cell>
        </row>
        <row r="34">
          <cell r="D34" t="str">
            <v>XS1638817996</v>
          </cell>
        </row>
        <row r="35">
          <cell r="D35" t="str">
            <v>XS2030333038</v>
          </cell>
        </row>
        <row r="36">
          <cell r="D36" t="str">
            <v>XS2133064480</v>
          </cell>
        </row>
        <row r="37">
          <cell r="D37" t="str">
            <v>USP3083SAD73</v>
          </cell>
        </row>
        <row r="38">
          <cell r="D38" t="str">
            <v>USP3143NBE33</v>
          </cell>
        </row>
        <row r="39">
          <cell r="D39" t="str">
            <v>USP3143NBH63</v>
          </cell>
        </row>
        <row r="40">
          <cell r="D40" t="str">
            <v>USP3143NBK92</v>
          </cell>
        </row>
        <row r="41">
          <cell r="D41" t="str">
            <v>USP3143NAG99</v>
          </cell>
        </row>
        <row r="42">
          <cell r="D42" t="str">
            <v>USP3143NAH72</v>
          </cell>
        </row>
        <row r="43">
          <cell r="D43" t="str">
            <v>USP3143NAQ71</v>
          </cell>
        </row>
        <row r="44">
          <cell r="D44" t="str">
            <v>USP3143NAS38</v>
          </cell>
        </row>
        <row r="45">
          <cell r="D45" t="str">
            <v>USP3143NAU83</v>
          </cell>
        </row>
        <row r="46">
          <cell r="D46" t="str">
            <v>USP3143NAZ70</v>
          </cell>
        </row>
        <row r="47">
          <cell r="D47" t="str">
            <v>USP3143NBB93</v>
          </cell>
        </row>
        <row r="48">
          <cell r="D48" t="str">
            <v>USP3143NBF08</v>
          </cell>
        </row>
        <row r="49">
          <cell r="D49" t="str">
            <v>USP3697UAE84</v>
          </cell>
        </row>
        <row r="50">
          <cell r="D50" t="str">
            <v>USP37466AR35</v>
          </cell>
        </row>
        <row r="51">
          <cell r="D51" t="str">
            <v>USP37466AP78</v>
          </cell>
        </row>
        <row r="52">
          <cell r="D52" t="str">
            <v>USP37466AS18</v>
          </cell>
        </row>
        <row r="53">
          <cell r="D53" t="str">
            <v>USP37110AN62</v>
          </cell>
        </row>
        <row r="54">
          <cell r="D54" t="str">
            <v>USP37110AM89</v>
          </cell>
        </row>
        <row r="55">
          <cell r="D55" t="str">
            <v>USP9379RBA43</v>
          </cell>
        </row>
        <row r="56">
          <cell r="D56" t="str">
            <v>USP9379RBC09</v>
          </cell>
        </row>
        <row r="57">
          <cell r="D57" t="str">
            <v>USP3762TAA99</v>
          </cell>
        </row>
        <row r="58">
          <cell r="D58" t="str">
            <v>USG371E72B25</v>
          </cell>
        </row>
        <row r="59">
          <cell r="D59" t="str">
            <v>USG42045AC15</v>
          </cell>
        </row>
        <row r="60">
          <cell r="D60" t="str">
            <v>USP4949BAK00</v>
          </cell>
        </row>
        <row r="61">
          <cell r="D61" t="str">
            <v>USP4R52QAC92</v>
          </cell>
        </row>
        <row r="62">
          <cell r="D62" t="str">
            <v>USP4949BAP96</v>
          </cell>
        </row>
        <row r="63">
          <cell r="D63" t="str">
            <v>USP55409AB50</v>
          </cell>
        </row>
        <row r="64">
          <cell r="D64" t="str">
            <v>USP55409AC34</v>
          </cell>
        </row>
        <row r="65">
          <cell r="D65" t="str">
            <v>USP56145AB40</v>
          </cell>
        </row>
        <row r="66">
          <cell r="D66" t="str">
            <v>USP56145AC23</v>
          </cell>
        </row>
        <row r="67">
          <cell r="D67" t="str">
            <v>USP58072AS10</v>
          </cell>
        </row>
        <row r="68">
          <cell r="D68" t="str">
            <v>USP60694AF68</v>
          </cell>
        </row>
        <row r="69">
          <cell r="D69" t="str">
            <v>USA35155AA77</v>
          </cell>
        </row>
        <row r="70">
          <cell r="D70" t="str">
            <v>USA35155AB50</v>
          </cell>
        </row>
        <row r="71">
          <cell r="D71" t="str">
            <v>USP57908AE83</v>
          </cell>
        </row>
        <row r="72">
          <cell r="D72" t="str">
            <v>USP57908AF58</v>
          </cell>
        </row>
        <row r="73">
          <cell r="D73" t="str">
            <v>USP57908AH15</v>
          </cell>
        </row>
        <row r="74">
          <cell r="D74" t="str">
            <v>US71656MAE93</v>
          </cell>
        </row>
        <row r="75">
          <cell r="D75" t="str">
            <v>US71656MAF68</v>
          </cell>
        </row>
        <row r="76">
          <cell r="D76" t="str">
            <v>USL7915TAA09</v>
          </cell>
        </row>
        <row r="77">
          <cell r="D77" t="str">
            <v>USP8718AAL00</v>
          </cell>
        </row>
        <row r="78">
          <cell r="D78" t="str">
            <v>USP8718AAM82</v>
          </cell>
        </row>
        <row r="79">
          <cell r="D79" t="str">
            <v>USA8372TAC20</v>
          </cell>
        </row>
        <row r="80">
          <cell r="D80" t="str">
            <v>USP9339SAS34</v>
          </cell>
        </row>
        <row r="81">
          <cell r="D81" t="str">
            <v>USP9401CAA01</v>
          </cell>
        </row>
        <row r="82">
          <cell r="D82" t="str">
            <v>USP9406GAB43</v>
          </cell>
        </row>
        <row r="83">
          <cell r="D83" t="str">
            <v>USP9401CAB83</v>
          </cell>
        </row>
        <row r="84">
          <cell r="D84" t="str">
            <v>USL9412AAB37</v>
          </cell>
        </row>
        <row r="85">
          <cell r="D85" t="str">
            <v>USP98088AA83</v>
          </cell>
        </row>
        <row r="86">
          <cell r="D86" t="str">
            <v>USA35155AE99</v>
          </cell>
        </row>
        <row r="87">
          <cell r="D87" t="str">
            <v>USP29595AD08</v>
          </cell>
        </row>
        <row r="88">
          <cell r="D88" t="str">
            <v>USP29595AE80</v>
          </cell>
        </row>
        <row r="89">
          <cell r="D89" t="str">
            <v>USL48008AB91</v>
          </cell>
        </row>
        <row r="90">
          <cell r="D90" t="str">
            <v>USL9326VAB29</v>
          </cell>
        </row>
        <row r="91">
          <cell r="D91" t="str">
            <v>USP01703AD22</v>
          </cell>
        </row>
        <row r="92">
          <cell r="D92" t="str">
            <v>USL6401PAJ23</v>
          </cell>
        </row>
        <row r="93">
          <cell r="D93" t="str">
            <v>US05971V2D64</v>
          </cell>
        </row>
        <row r="94">
          <cell r="D94" t="str">
            <v>USP5R70LAA96</v>
          </cell>
        </row>
        <row r="95">
          <cell r="D95" t="str">
            <v>USP1451JAA18</v>
          </cell>
        </row>
        <row r="96">
          <cell r="D96" t="str">
            <v>USL21779AJ97</v>
          </cell>
        </row>
        <row r="97">
          <cell r="D97" t="str">
            <v>USP30179BK34</v>
          </cell>
        </row>
        <row r="98">
          <cell r="D98" t="str">
            <v>USP71340AD81</v>
          </cell>
        </row>
        <row r="99">
          <cell r="D99" t="str">
            <v>US71654QDD16</v>
          </cell>
        </row>
        <row r="100">
          <cell r="D100" t="str">
            <v>USP19118AA91</v>
          </cell>
        </row>
        <row r="101">
          <cell r="D101" t="str">
            <v>US71654QCC42</v>
          </cell>
        </row>
        <row r="102">
          <cell r="D102" t="str">
            <v>US71654QDE98</v>
          </cell>
        </row>
        <row r="103">
          <cell r="D103" t="str">
            <v>USL79090AD51</v>
          </cell>
        </row>
        <row r="104">
          <cell r="D104" t="str">
            <v>USP3742RAX81</v>
          </cell>
        </row>
        <row r="105">
          <cell r="D105" t="str">
            <v>USP37115AH81</v>
          </cell>
        </row>
        <row r="106">
          <cell r="D106" t="str">
            <v>USP37110AR76</v>
          </cell>
        </row>
        <row r="107">
          <cell r="D107" t="str">
            <v>USP8718AAN65</v>
          </cell>
        </row>
        <row r="108">
          <cell r="D108" t="str">
            <v>US71647NBJ72</v>
          </cell>
        </row>
        <row r="109">
          <cell r="D109" t="str">
            <v>US706451BG56</v>
          </cell>
        </row>
        <row r="110">
          <cell r="D110" t="str">
            <v>US71654QDF63</v>
          </cell>
        </row>
        <row r="111">
          <cell r="D111" t="str">
            <v>USP37466AT90</v>
          </cell>
        </row>
        <row r="112">
          <cell r="D112" t="str">
            <v>US71647NBH17</v>
          </cell>
        </row>
        <row r="113">
          <cell r="D113" t="str">
            <v>US279158AJ82</v>
          </cell>
        </row>
        <row r="114">
          <cell r="D114" t="str">
            <v>US71647NAN93</v>
          </cell>
        </row>
        <row r="115">
          <cell r="D115" t="str">
            <v>US86964WAK80</v>
          </cell>
        </row>
        <row r="116">
          <cell r="D116" t="str">
            <v>US71654QCL41</v>
          </cell>
        </row>
        <row r="117">
          <cell r="D117" t="str">
            <v>US71654QDC33</v>
          </cell>
        </row>
        <row r="118">
          <cell r="D118" t="str">
            <v>US71654QAZ54</v>
          </cell>
        </row>
        <row r="119">
          <cell r="D119" t="str">
            <v>US71654QBR20</v>
          </cell>
        </row>
        <row r="120">
          <cell r="D120" t="str">
            <v>US91911TAQ67</v>
          </cell>
        </row>
        <row r="121">
          <cell r="D121" t="str">
            <v>US86964WAJ18</v>
          </cell>
        </row>
        <row r="122">
          <cell r="D122" t="str">
            <v>US71654QBX97</v>
          </cell>
        </row>
        <row r="123">
          <cell r="D123" t="str">
            <v>US279158AN94</v>
          </cell>
        </row>
        <row r="124">
          <cell r="D124" t="str">
            <v>US71654QCP54</v>
          </cell>
        </row>
        <row r="125">
          <cell r="D125" t="str">
            <v>US71647NAK54</v>
          </cell>
        </row>
        <row r="126">
          <cell r="D126" t="str">
            <v>US71647NBE85</v>
          </cell>
        </row>
        <row r="127">
          <cell r="D127" t="str">
            <v>US71654QBE17</v>
          </cell>
        </row>
        <row r="128">
          <cell r="D128" t="str">
            <v>US86964WAF95</v>
          </cell>
        </row>
        <row r="129">
          <cell r="D129" t="str">
            <v>US706451BR12</v>
          </cell>
        </row>
        <row r="130">
          <cell r="D130" t="str">
            <v>US71645WAQ42</v>
          </cell>
        </row>
        <row r="131">
          <cell r="D131" t="str">
            <v>US91911TAH68</v>
          </cell>
        </row>
        <row r="132">
          <cell r="D132" t="str">
            <v>US71645WAS08</v>
          </cell>
        </row>
        <row r="133">
          <cell r="D133" t="str">
            <v>US279158AE95</v>
          </cell>
        </row>
        <row r="134">
          <cell r="D134" t="str">
            <v>US71647NBD03</v>
          </cell>
        </row>
        <row r="135">
          <cell r="D135" t="str">
            <v>US71647NBG34</v>
          </cell>
        </row>
        <row r="136">
          <cell r="D136" t="str">
            <v>US71647NAA72</v>
          </cell>
        </row>
        <row r="137">
          <cell r="D137" t="str">
            <v>US71647NAZ24</v>
          </cell>
        </row>
        <row r="138">
          <cell r="D138" t="str">
            <v>US86964WAH51</v>
          </cell>
        </row>
        <row r="139">
          <cell r="D139" t="str">
            <v>US91911TAE38</v>
          </cell>
        </row>
        <row r="140">
          <cell r="D140" t="str">
            <v>US91912EAA38</v>
          </cell>
        </row>
        <row r="141">
          <cell r="D141" t="str">
            <v>US91911TAK97</v>
          </cell>
        </row>
        <row r="142">
          <cell r="D142" t="str">
            <v>US40049JBA43</v>
          </cell>
        </row>
        <row r="143">
          <cell r="D143" t="str">
            <v>US84265VAJ44</v>
          </cell>
        </row>
        <row r="144">
          <cell r="D144" t="str">
            <v>US02364WBG96</v>
          </cell>
        </row>
        <row r="145">
          <cell r="D145" t="str">
            <v>US191241AH15</v>
          </cell>
        </row>
        <row r="146">
          <cell r="D146" t="str">
            <v>US344419AC03</v>
          </cell>
        </row>
        <row r="147">
          <cell r="D147" t="str">
            <v>US84265VAA35</v>
          </cell>
        </row>
        <row r="148">
          <cell r="D148" t="str">
            <v>US84265VAG05</v>
          </cell>
        </row>
        <row r="149">
          <cell r="D149" t="str">
            <v>US02364WBJ36</v>
          </cell>
        </row>
        <row r="150">
          <cell r="D150" t="str">
            <v>US84265VAE56</v>
          </cell>
        </row>
        <row r="151">
          <cell r="D151" t="str">
            <v>US02364WBH79</v>
          </cell>
        </row>
        <row r="152">
          <cell r="D152" t="str">
            <v>US40049JBE64</v>
          </cell>
        </row>
        <row r="153">
          <cell r="D153" t="str">
            <v>US40049JBC09</v>
          </cell>
        </row>
        <row r="154">
          <cell r="D154" t="str">
            <v>US02364WAW55</v>
          </cell>
        </row>
        <row r="155">
          <cell r="D155" t="str">
            <v>US02364WAJ45</v>
          </cell>
        </row>
        <row r="156">
          <cell r="D156" t="str">
            <v>US453258AP01</v>
          </cell>
        </row>
        <row r="157">
          <cell r="D157" t="str">
            <v>US191241AJ70</v>
          </cell>
        </row>
        <row r="158">
          <cell r="D158" t="str">
            <v>US40049JAZ03</v>
          </cell>
        </row>
        <row r="159">
          <cell r="D159" t="str">
            <v>US151191BD46</v>
          </cell>
        </row>
        <row r="160">
          <cell r="D160" t="str">
            <v>US344419AB20</v>
          </cell>
        </row>
        <row r="161">
          <cell r="D161" t="str">
            <v>US02364WBE49</v>
          </cell>
        </row>
        <row r="162">
          <cell r="D162" t="str">
            <v>US191241AF58</v>
          </cell>
        </row>
        <row r="163">
          <cell r="D163" t="str">
            <v>US02364WAP05</v>
          </cell>
        </row>
        <row r="164">
          <cell r="D164" t="str">
            <v>US40049JAT43</v>
          </cell>
        </row>
        <row r="165">
          <cell r="D165" t="str">
            <v>USL01343AA79</v>
          </cell>
        </row>
        <row r="166">
          <cell r="D166" t="str">
            <v>USL6S52VAA02</v>
          </cell>
        </row>
        <row r="167">
          <cell r="D167" t="str">
            <v>USP04568AB06</v>
          </cell>
        </row>
        <row r="168">
          <cell r="D168" t="str">
            <v>USP3772WAK82</v>
          </cell>
        </row>
        <row r="169">
          <cell r="D169" t="str">
            <v>USL21779AK60</v>
          </cell>
        </row>
        <row r="170">
          <cell r="D170" t="str">
            <v>USP47777AC43</v>
          </cell>
        </row>
        <row r="171">
          <cell r="D171" t="str">
            <v>USP01020AK52</v>
          </cell>
        </row>
        <row r="172">
          <cell r="D172" t="str">
            <v>USP3067GAG66</v>
          </cell>
        </row>
        <row r="173">
          <cell r="D173" t="str">
            <v>USP3984LAA81</v>
          </cell>
        </row>
        <row r="174">
          <cell r="D174" t="str">
            <v>US05890PAB22</v>
          </cell>
        </row>
        <row r="175">
          <cell r="D175" t="str">
            <v>USP09376DD69</v>
          </cell>
        </row>
        <row r="176">
          <cell r="D176" t="str">
            <v>US05971WAD56</v>
          </cell>
        </row>
        <row r="177">
          <cell r="D177" t="str">
            <v>USP5817RAG04</v>
          </cell>
        </row>
        <row r="178">
          <cell r="D178" t="str">
            <v>USG0399BAA55</v>
          </cell>
        </row>
        <row r="179">
          <cell r="D179" t="str">
            <v>USP90375AV12</v>
          </cell>
        </row>
        <row r="180">
          <cell r="D180" t="str">
            <v>USP2867KAL00</v>
          </cell>
        </row>
        <row r="181">
          <cell r="D181" t="str">
            <v>USP5626NAA39</v>
          </cell>
        </row>
        <row r="182">
          <cell r="D182" t="str">
            <v>USP0929YAA49</v>
          </cell>
        </row>
        <row r="183">
          <cell r="D183" t="str">
            <v>USP1401KAA99</v>
          </cell>
        </row>
        <row r="184">
          <cell r="D184" t="str">
            <v>USP1401KAB72</v>
          </cell>
        </row>
        <row r="185">
          <cell r="D185" t="str">
            <v>USP0R80BAG79</v>
          </cell>
        </row>
        <row r="186">
          <cell r="D186" t="str">
            <v>USP30179BQ04</v>
          </cell>
        </row>
        <row r="187">
          <cell r="D187" t="str">
            <v>USP30179BR86</v>
          </cell>
        </row>
        <row r="188">
          <cell r="D188" t="str">
            <v>USP6811TAB19</v>
          </cell>
        </row>
        <row r="189">
          <cell r="D189" t="str">
            <v>USP3083SAF22</v>
          </cell>
        </row>
        <row r="190">
          <cell r="D190" t="str">
            <v>USP7721BAE13</v>
          </cell>
        </row>
        <row r="191">
          <cell r="D191" t="str">
            <v>USE4181LAA91</v>
          </cell>
        </row>
        <row r="192">
          <cell r="D192" t="str">
            <v>USR9900CAT38</v>
          </cell>
        </row>
        <row r="193">
          <cell r="D193" t="str">
            <v>USP6638MAB74</v>
          </cell>
        </row>
        <row r="194">
          <cell r="D194" t="str">
            <v>USP4909LAA81</v>
          </cell>
        </row>
        <row r="195">
          <cell r="D195" t="str">
            <v>USE0R75RAB28</v>
          </cell>
        </row>
        <row r="196">
          <cell r="D196" t="str">
            <v>USP39198AA76</v>
          </cell>
        </row>
        <row r="197">
          <cell r="D197" t="str">
            <v>USL8449RAA79</v>
          </cell>
        </row>
        <row r="198">
          <cell r="D198" t="str">
            <v>USP58072AT92</v>
          </cell>
        </row>
        <row r="199">
          <cell r="D199" t="str">
            <v>USP2253TJR16</v>
          </cell>
        </row>
        <row r="200">
          <cell r="D200" t="str">
            <v>USP7S81YAC93</v>
          </cell>
        </row>
        <row r="201">
          <cell r="D201" t="str">
            <v>USP6777MAB83</v>
          </cell>
        </row>
        <row r="202">
          <cell r="D202" t="str">
            <v>USP3146DAA11</v>
          </cell>
        </row>
        <row r="203">
          <cell r="D203" t="str">
            <v>USP47777AB69</v>
          </cell>
        </row>
        <row r="204">
          <cell r="D204" t="str">
            <v>USP00173AA51</v>
          </cell>
        </row>
        <row r="205">
          <cell r="D205" t="str">
            <v>USU0901RAA50</v>
          </cell>
        </row>
        <row r="206">
          <cell r="D206" t="str">
            <v>USP6629MAD40</v>
          </cell>
        </row>
        <row r="207">
          <cell r="D207" t="str">
            <v>USP6629MAB83</v>
          </cell>
        </row>
        <row r="208">
          <cell r="D208" t="str">
            <v>USG5825AAC65</v>
          </cell>
        </row>
        <row r="209">
          <cell r="D209" t="str">
            <v>USU63768AB83</v>
          </cell>
        </row>
        <row r="210">
          <cell r="D210" t="str">
            <v>USG2440JAG07</v>
          </cell>
        </row>
        <row r="211">
          <cell r="D211" t="str">
            <v>USP87163AA27</v>
          </cell>
        </row>
        <row r="212">
          <cell r="D212" t="str">
            <v>USP29853AA99</v>
          </cell>
        </row>
        <row r="213">
          <cell r="D213" t="str">
            <v>USP3143NBP89</v>
          </cell>
        </row>
        <row r="214">
          <cell r="D214" t="str">
            <v>USP2000TAB19</v>
          </cell>
        </row>
        <row r="215">
          <cell r="D215" t="str">
            <v>USP37110AS59</v>
          </cell>
        </row>
        <row r="216">
          <cell r="D216" t="str">
            <v>US02364WBK09</v>
          </cell>
        </row>
        <row r="217">
          <cell r="D217" t="str">
            <v>US279158AP43</v>
          </cell>
        </row>
        <row r="218">
          <cell r="D218" t="str">
            <v>US279158AQ26</v>
          </cell>
        </row>
        <row r="219">
          <cell r="D219" t="str">
            <v>US279158AS81</v>
          </cell>
        </row>
        <row r="220">
          <cell r="D220" t="str">
            <v>US58733RAF91</v>
          </cell>
        </row>
        <row r="221">
          <cell r="D221" t="str">
            <v>US71643VAB18</v>
          </cell>
        </row>
        <row r="222">
          <cell r="D222" t="str">
            <v>US71654QDL32</v>
          </cell>
        </row>
        <row r="223">
          <cell r="D223" t="str">
            <v>US91911TAR41</v>
          </cell>
        </row>
        <row r="224">
          <cell r="D224" t="str">
            <v>USP1S81BAA64</v>
          </cell>
        </row>
        <row r="225">
          <cell r="D225" t="str">
            <v>USP58072AX05</v>
          </cell>
        </row>
        <row r="226">
          <cell r="D226" t="str">
            <v>US279158AT64</v>
          </cell>
        </row>
        <row r="227">
          <cell r="D227" t="str">
            <v>US71647NBK46</v>
          </cell>
        </row>
        <row r="228">
          <cell r="D228" t="str">
            <v>USP2316YAA12</v>
          </cell>
        </row>
        <row r="229">
          <cell r="D229" t="str">
            <v>USP0R11WAG52</v>
          </cell>
        </row>
        <row r="230">
          <cell r="D230" t="str">
            <v>USC3328LAA73</v>
          </cell>
        </row>
        <row r="231">
          <cell r="D231" t="str">
            <v>USP66208AA02</v>
          </cell>
        </row>
        <row r="232">
          <cell r="D232" t="str">
            <v>USL65266AA36</v>
          </cell>
        </row>
        <row r="233">
          <cell r="D233" t="str">
            <v>USL01343AB52</v>
          </cell>
        </row>
        <row r="234">
          <cell r="D234" t="str">
            <v>USP0091LAA46</v>
          </cell>
        </row>
        <row r="235">
          <cell r="D235" t="str">
            <v>USP2000TAE57</v>
          </cell>
        </row>
        <row r="236">
          <cell r="D236" t="str">
            <v>USP14008AC36</v>
          </cell>
        </row>
        <row r="237">
          <cell r="D237" t="str">
            <v>USP1S81BAB48</v>
          </cell>
        </row>
        <row r="238">
          <cell r="D238" t="str">
            <v>US05890PAC05</v>
          </cell>
        </row>
        <row r="239">
          <cell r="D239" t="str">
            <v>USP07760AH74</v>
          </cell>
        </row>
        <row r="240">
          <cell r="D240" t="str">
            <v>US05971V2E48</v>
          </cell>
        </row>
        <row r="241">
          <cell r="D241" t="str">
            <v>USL6401PAM51</v>
          </cell>
        </row>
        <row r="242">
          <cell r="D242" t="str">
            <v>USU0901RAE72</v>
          </cell>
        </row>
        <row r="243">
          <cell r="D243" t="str">
            <v>USU0901RAB34</v>
          </cell>
        </row>
        <row r="244">
          <cell r="D244" t="str">
            <v>USU0901RAC17</v>
          </cell>
        </row>
        <row r="245">
          <cell r="D245" t="str">
            <v>USP13435AF20</v>
          </cell>
        </row>
        <row r="246">
          <cell r="D246" t="str">
            <v>USP3143NBQ62</v>
          </cell>
        </row>
        <row r="247">
          <cell r="D247" t="str">
            <v>USP3143NBR46</v>
          </cell>
        </row>
        <row r="248">
          <cell r="D248" t="str">
            <v>USP3143NBT02</v>
          </cell>
        </row>
        <row r="249">
          <cell r="D249" t="str">
            <v>USP2195VAJ46</v>
          </cell>
        </row>
        <row r="250">
          <cell r="D250" t="str">
            <v>USP58072AY87</v>
          </cell>
        </row>
        <row r="251">
          <cell r="D251" t="str">
            <v>USL21779AL44</v>
          </cell>
        </row>
        <row r="252">
          <cell r="D252" t="str">
            <v>US279158AV11</v>
          </cell>
        </row>
        <row r="253">
          <cell r="D253" t="str">
            <v>USP9401JAA53</v>
          </cell>
        </row>
        <row r="254">
          <cell r="D254" t="str">
            <v>USP4R53VAB95</v>
          </cell>
        </row>
        <row r="255">
          <cell r="D255" t="str">
            <v>USU37016AC37</v>
          </cell>
        </row>
        <row r="256">
          <cell r="D256" t="str">
            <v>USP5300PAC79</v>
          </cell>
        </row>
        <row r="257">
          <cell r="D257" t="str">
            <v>US71654QDP46</v>
          </cell>
        </row>
        <row r="258">
          <cell r="D258" t="str">
            <v>USP78625ED13</v>
          </cell>
        </row>
        <row r="259">
          <cell r="D259" t="str">
            <v>US71656MBE84</v>
          </cell>
        </row>
        <row r="260">
          <cell r="D260" t="str">
            <v>USP78625EA73</v>
          </cell>
        </row>
        <row r="261">
          <cell r="D261" t="str">
            <v>USP78625DV20</v>
          </cell>
        </row>
        <row r="262">
          <cell r="D262" t="str">
            <v>US71656MBM01</v>
          </cell>
        </row>
        <row r="263">
          <cell r="D263" t="str">
            <v>US70645KBM09</v>
          </cell>
        </row>
        <row r="264">
          <cell r="D264" t="str">
            <v>USP78625DE05</v>
          </cell>
        </row>
        <row r="265">
          <cell r="D265" t="str">
            <v>USP8000UAA71</v>
          </cell>
        </row>
        <row r="266">
          <cell r="D266" t="str">
            <v>USP78625DX85</v>
          </cell>
        </row>
        <row r="267">
          <cell r="D267" t="str">
            <v>USP78625EB56</v>
          </cell>
        </row>
        <row r="268">
          <cell r="D268" t="str">
            <v>USP78625DY68</v>
          </cell>
        </row>
        <row r="269">
          <cell r="D269" t="str">
            <v>USP7S08VCA70</v>
          </cell>
        </row>
        <row r="270">
          <cell r="D270" t="str">
            <v>USN6945AAL19</v>
          </cell>
        </row>
        <row r="271">
          <cell r="D271" t="str">
            <v>USL9R621AA97</v>
          </cell>
        </row>
        <row r="272">
          <cell r="D272" t="str">
            <v>USU84360AB99</v>
          </cell>
        </row>
        <row r="273">
          <cell r="D273" t="str">
            <v>USP8718AAP14</v>
          </cell>
        </row>
        <row r="274">
          <cell r="D274" t="str">
            <v>USA8372TAK46</v>
          </cell>
        </row>
        <row r="275">
          <cell r="D275" t="str">
            <v>USA8372TAF50</v>
          </cell>
        </row>
        <row r="276">
          <cell r="D276" t="str">
            <v>USC86068AC47</v>
          </cell>
        </row>
        <row r="277">
          <cell r="D277" t="str">
            <v>US05971BAK52</v>
          </cell>
        </row>
        <row r="278">
          <cell r="D278" t="str">
            <v>USL67359AB21</v>
          </cell>
        </row>
        <row r="279">
          <cell r="D279" t="str">
            <v>USP3762TAE12</v>
          </cell>
        </row>
        <row r="280">
          <cell r="D280" t="str">
            <v>USG0399BAB39</v>
          </cell>
        </row>
        <row r="281">
          <cell r="D281" t="str">
            <v>USP3R94GBM01</v>
          </cell>
        </row>
        <row r="282">
          <cell r="D282" t="str">
            <v>USL65266AC91</v>
          </cell>
        </row>
        <row r="283">
          <cell r="D283" t="str">
            <v>USP1027DHQ71</v>
          </cell>
        </row>
        <row r="284">
          <cell r="D284" t="str">
            <v>USP2205JAT71</v>
          </cell>
        </row>
        <row r="285">
          <cell r="D285" t="str">
            <v>USP0091LAC02</v>
          </cell>
        </row>
        <row r="286">
          <cell r="D286" t="str">
            <v>US05968LAN29</v>
          </cell>
        </row>
        <row r="287">
          <cell r="D287" t="str">
            <v>USP8000LAA72</v>
          </cell>
        </row>
        <row r="288">
          <cell r="D288" t="str">
            <v>US91911TAS24</v>
          </cell>
        </row>
        <row r="289">
          <cell r="D289" t="str">
            <v>USG98239AB55</v>
          </cell>
        </row>
        <row r="290">
          <cell r="D290" t="str">
            <v>USP1913PAS04</v>
          </cell>
        </row>
        <row r="291">
          <cell r="D291" t="str">
            <v>USP37110AT33</v>
          </cell>
        </row>
        <row r="292">
          <cell r="D292" t="str">
            <v>USP1S81BAC21</v>
          </cell>
        </row>
        <row r="293">
          <cell r="D293" t="str">
            <v>US71647NBL29</v>
          </cell>
        </row>
        <row r="294">
          <cell r="D294" t="str">
            <v>USP8718AAQ96</v>
          </cell>
        </row>
        <row r="295">
          <cell r="D295" t="str">
            <v>USP32133CH47</v>
          </cell>
        </row>
        <row r="296">
          <cell r="D296" t="str">
            <v>USP30179CQ94</v>
          </cell>
        </row>
        <row r="297">
          <cell r="D297" t="str">
            <v>USP30179CR77</v>
          </cell>
        </row>
        <row r="298">
          <cell r="D298" t="str">
            <v>USP2281VAA81</v>
          </cell>
        </row>
        <row r="299">
          <cell r="D299" t="str">
            <v>USE90508AA52</v>
          </cell>
        </row>
        <row r="300">
          <cell r="D300" t="str">
            <v>USP7200AAA18</v>
          </cell>
        </row>
        <row r="301">
          <cell r="D301" t="str">
            <v>US05971BAL36</v>
          </cell>
        </row>
        <row r="302">
          <cell r="D302" t="str">
            <v>US279158AW93</v>
          </cell>
        </row>
        <row r="303">
          <cell r="D303" t="str">
            <v>USC04492AA97</v>
          </cell>
        </row>
        <row r="304">
          <cell r="D304" t="str">
            <v>USP62138AB13</v>
          </cell>
        </row>
        <row r="305">
          <cell r="D305" t="str">
            <v>USP0R60QAA15</v>
          </cell>
        </row>
        <row r="306">
          <cell r="D306" t="str">
            <v>US05971V2H78</v>
          </cell>
        </row>
        <row r="307">
          <cell r="D307" t="str">
            <v>USP1400MAE86</v>
          </cell>
        </row>
        <row r="308">
          <cell r="D308" t="str">
            <v>USP1400MAD04</v>
          </cell>
        </row>
        <row r="309">
          <cell r="D309" t="str">
            <v>USP1507SAL18</v>
          </cell>
        </row>
        <row r="310">
          <cell r="D310" t="str">
            <v>USP4948KAH88</v>
          </cell>
        </row>
        <row r="311">
          <cell r="D311" t="str">
            <v>USP4948KAJ45</v>
          </cell>
        </row>
        <row r="312">
          <cell r="D312" t="str">
            <v>USP87026AA16</v>
          </cell>
        </row>
        <row r="313">
          <cell r="D313" t="str">
            <v>US05947LBB36</v>
          </cell>
        </row>
        <row r="314">
          <cell r="D314" t="str">
            <v>USP9401JAB37</v>
          </cell>
        </row>
        <row r="315">
          <cell r="D315" t="str">
            <v>USP9401JAC10</v>
          </cell>
        </row>
        <row r="316">
          <cell r="D316" t="str">
            <v>USP3143NBV57</v>
          </cell>
        </row>
        <row r="317">
          <cell r="D317" t="str">
            <v>USP3143NBW31</v>
          </cell>
        </row>
        <row r="318">
          <cell r="D318" t="str">
            <v>USP3691NBL30</v>
          </cell>
        </row>
        <row r="319">
          <cell r="D319" t="str">
            <v>USP3691NBM13</v>
          </cell>
        </row>
        <row r="320">
          <cell r="D320" t="str">
            <v>USP04568AC88</v>
          </cell>
        </row>
        <row r="321">
          <cell r="D321" t="str">
            <v>USP6040KAC10</v>
          </cell>
        </row>
        <row r="322">
          <cell r="D322" t="str">
            <v>USP6680PAB78</v>
          </cell>
        </row>
        <row r="323">
          <cell r="D323" t="str">
            <v>US29082HAE27</v>
          </cell>
        </row>
        <row r="324">
          <cell r="D324" t="str">
            <v>USP6777MAA01</v>
          </cell>
        </row>
        <row r="325">
          <cell r="D325" t="str">
            <v>USP2000GAA15</v>
          </cell>
        </row>
        <row r="326">
          <cell r="D326" t="str">
            <v>USG38327AD78</v>
          </cell>
        </row>
        <row r="327">
          <cell r="D327" t="str">
            <v>USL95806AB88</v>
          </cell>
        </row>
        <row r="328">
          <cell r="D328" t="str">
            <v>USP13435AG03</v>
          </cell>
        </row>
        <row r="329">
          <cell r="D329" t="str">
            <v>US46556W2E95</v>
          </cell>
        </row>
        <row r="330">
          <cell r="D330" t="str">
            <v>USP0091LAD84</v>
          </cell>
        </row>
        <row r="331">
          <cell r="D331" t="str">
            <v>USL67359AC04</v>
          </cell>
        </row>
        <row r="332">
          <cell r="D332" t="str">
            <v>US05971V2J35</v>
          </cell>
        </row>
        <row r="333">
          <cell r="D333" t="str">
            <v>US12804DAA28</v>
          </cell>
        </row>
        <row r="334">
          <cell r="D334" t="str">
            <v>USP2195VBA28</v>
          </cell>
        </row>
        <row r="335">
          <cell r="D335" t="str">
            <v>USP5300PAE36</v>
          </cell>
        </row>
        <row r="336">
          <cell r="D336" t="str">
            <v>US191241AK44</v>
          </cell>
        </row>
        <row r="337">
          <cell r="D337" t="str">
            <v>USP4R21KAA49</v>
          </cell>
        </row>
        <row r="338">
          <cell r="D338" t="str">
            <v>USP4R21KAB22</v>
          </cell>
        </row>
        <row r="339">
          <cell r="D339" t="str">
            <v>USP7S81YBJ38</v>
          </cell>
        </row>
        <row r="340">
          <cell r="D340" t="str">
            <v>USP7S81YBK01</v>
          </cell>
        </row>
        <row r="341">
          <cell r="D341" t="str">
            <v>USP8803LAB47</v>
          </cell>
        </row>
        <row r="342">
          <cell r="D342" t="str">
            <v>USP3R94GBP32</v>
          </cell>
        </row>
        <row r="343">
          <cell r="D343" t="str">
            <v>US02364WBM64</v>
          </cell>
        </row>
        <row r="344">
          <cell r="D344" t="str">
            <v>US37373WAE03</v>
          </cell>
        </row>
        <row r="345">
          <cell r="D345" t="str">
            <v>USP14519AA30</v>
          </cell>
        </row>
        <row r="346">
          <cell r="D346" t="str">
            <v>USP8T35JAP76</v>
          </cell>
        </row>
        <row r="347">
          <cell r="D347" t="str">
            <v>USP62138AC95</v>
          </cell>
        </row>
        <row r="348">
          <cell r="D348" t="str">
            <v>USL00849AB20</v>
          </cell>
        </row>
        <row r="349">
          <cell r="D349" t="str">
            <v>USP2253TJW01</v>
          </cell>
        </row>
        <row r="350">
          <cell r="D350" t="str">
            <v>USE4181MAA74</v>
          </cell>
        </row>
        <row r="351">
          <cell r="D351" t="str">
            <v>USP0R137PD99</v>
          </cell>
        </row>
        <row r="352">
          <cell r="D352" t="str">
            <v>USP58072BA92</v>
          </cell>
        </row>
        <row r="353">
          <cell r="D353" t="str">
            <v>USP2867KAM82</v>
          </cell>
        </row>
        <row r="354">
          <cell r="D354" t="str">
            <v>US71647NBM02</v>
          </cell>
        </row>
        <row r="355">
          <cell r="D355" t="str">
            <v>US71647NBN84</v>
          </cell>
        </row>
        <row r="356">
          <cell r="D356" t="str">
            <v>US86960YAA01</v>
          </cell>
        </row>
        <row r="357">
          <cell r="D357" t="str">
            <v>USP6040KAD92</v>
          </cell>
        </row>
        <row r="358">
          <cell r="D358" t="str">
            <v>USP73906AA03</v>
          </cell>
        </row>
        <row r="359">
          <cell r="D359" t="str">
            <v>USL7915TAC64</v>
          </cell>
        </row>
        <row r="360">
          <cell r="D360" t="str">
            <v>USL01343AE91</v>
          </cell>
        </row>
        <row r="361">
          <cell r="D361" t="str">
            <v>USG0399BAC12</v>
          </cell>
        </row>
        <row r="362">
          <cell r="D362" t="str">
            <v>US29082HAF91</v>
          </cell>
        </row>
        <row r="363">
          <cell r="D363" t="str">
            <v>USP3146DAB93</v>
          </cell>
        </row>
        <row r="364">
          <cell r="D364" t="str">
            <v>US71656MBT53</v>
          </cell>
        </row>
        <row r="365">
          <cell r="D365" t="str">
            <v>USP56243AE14</v>
          </cell>
        </row>
        <row r="366">
          <cell r="D366" t="str">
            <v>USP4R53VAC78</v>
          </cell>
        </row>
        <row r="367">
          <cell r="D367" t="str">
            <v>US05971V2K08</v>
          </cell>
        </row>
        <row r="368">
          <cell r="D368" t="str">
            <v>USL04168AA59</v>
          </cell>
        </row>
        <row r="369">
          <cell r="D369" t="str">
            <v>USP98047AE63</v>
          </cell>
        </row>
        <row r="370">
          <cell r="D370" t="str">
            <v>USG9317UAD75</v>
          </cell>
        </row>
        <row r="371">
          <cell r="D371" t="str">
            <v>USP40692AA67</v>
          </cell>
        </row>
        <row r="372">
          <cell r="D372" t="str">
            <v>US58733RAG74</v>
          </cell>
        </row>
        <row r="373">
          <cell r="D373" t="str">
            <v>USP13435AH85</v>
          </cell>
        </row>
        <row r="374">
          <cell r="D374" t="str">
            <v>US05973P2A32</v>
          </cell>
        </row>
        <row r="375">
          <cell r="D375" t="str">
            <v>US05947LBD91</v>
          </cell>
        </row>
        <row r="376">
          <cell r="D376" t="str">
            <v>USP40692AB41</v>
          </cell>
        </row>
        <row r="377">
          <cell r="D377" t="str">
            <v>US05971BAM19</v>
          </cell>
        </row>
        <row r="378">
          <cell r="D378" t="str">
            <v>XS1773650681</v>
          </cell>
        </row>
        <row r="379">
          <cell r="D379" t="str">
            <v>XS1505143393</v>
          </cell>
        </row>
        <row r="380">
          <cell r="D380" t="str">
            <v>USP29595AG39</v>
          </cell>
        </row>
        <row r="381">
          <cell r="D381" t="str">
            <v>USP29595AF55</v>
          </cell>
        </row>
        <row r="382">
          <cell r="D382" t="str">
            <v>MX91FI170009</v>
          </cell>
        </row>
        <row r="383">
          <cell r="D383" t="str">
            <v>USP6432AAA36</v>
          </cell>
        </row>
        <row r="384">
          <cell r="D384" t="str">
            <v>USP8718AAR79</v>
          </cell>
        </row>
        <row r="385">
          <cell r="D385" t="str">
            <v>USP3143NBZ61</v>
          </cell>
        </row>
        <row r="386">
          <cell r="D386" t="str">
            <v>USU37016AF67</v>
          </cell>
        </row>
        <row r="387">
          <cell r="D387" t="str">
            <v>USP3691NBN95</v>
          </cell>
        </row>
        <row r="388">
          <cell r="D388" t="str">
            <v>USP0091LAE67</v>
          </cell>
        </row>
        <row r="389">
          <cell r="D389" t="str">
            <v>USP42009AF09</v>
          </cell>
        </row>
        <row r="390">
          <cell r="D390" t="str">
            <v>USP2205JAX83</v>
          </cell>
        </row>
        <row r="391">
          <cell r="D391" t="str">
            <v>USP3772WAL65</v>
          </cell>
        </row>
        <row r="392">
          <cell r="D392" t="str">
            <v>USL6401PAP82</v>
          </cell>
        </row>
        <row r="393">
          <cell r="D393" t="str">
            <v>USP5041CAA47</v>
          </cell>
        </row>
        <row r="394">
          <cell r="D394" t="str">
            <v>USL7915TAE21</v>
          </cell>
        </row>
        <row r="395">
          <cell r="D395" t="str">
            <v>USP1S8TDFJ81</v>
          </cell>
        </row>
        <row r="396">
          <cell r="D396" t="str">
            <v>USP14519AB13</v>
          </cell>
        </row>
        <row r="397">
          <cell r="D397" t="str">
            <v>USP3757EAB76</v>
          </cell>
        </row>
        <row r="398">
          <cell r="D398" t="str">
            <v>USP3757EAA93</v>
          </cell>
        </row>
        <row r="399">
          <cell r="D399" t="str">
            <v>USP07409AC27</v>
          </cell>
        </row>
        <row r="400">
          <cell r="D400" t="str">
            <v>USC71952AA08</v>
          </cell>
        </row>
        <row r="401">
          <cell r="D401" t="str">
            <v>USL65266AD74</v>
          </cell>
        </row>
        <row r="402">
          <cell r="D402" t="str">
            <v>USP2000GAB97</v>
          </cell>
        </row>
        <row r="403">
          <cell r="D403" t="str">
            <v>US151290CD37</v>
          </cell>
        </row>
        <row r="404">
          <cell r="D404" t="str">
            <v>USP1400MAF51</v>
          </cell>
        </row>
        <row r="405">
          <cell r="D405" t="str">
            <v>USP1400MAG35</v>
          </cell>
        </row>
        <row r="406">
          <cell r="D406" t="str">
            <v>US84265VAK17</v>
          </cell>
        </row>
        <row r="407">
          <cell r="D407" t="str">
            <v>USP7923WAA91</v>
          </cell>
        </row>
        <row r="408">
          <cell r="D408" t="str">
            <v>USP5625XAD68</v>
          </cell>
        </row>
        <row r="412">
          <cell r="D412">
            <v>406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A305-EFE4-49DD-9764-95CA1C799306}">
  <dimension ref="A1"/>
  <sheetViews>
    <sheetView showGridLines="0" zoomScale="75" zoomScaleNormal="75" workbookViewId="0">
      <selection activeCell="P26" sqref="P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487A-2C85-42A6-81DF-760E07558F6F}">
  <sheetPr>
    <tabColor theme="1"/>
  </sheetPr>
  <dimension ref="A1:R485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2" width="23.42578125" bestFit="1" customWidth="1"/>
    <col min="3" max="3" width="20.7109375" bestFit="1" customWidth="1"/>
    <col min="4" max="4" width="29.42578125" bestFit="1" customWidth="1"/>
    <col min="5" max="5" width="16.7109375" bestFit="1" customWidth="1"/>
    <col min="6" max="6" width="9.42578125" bestFit="1" customWidth="1"/>
    <col min="7" max="7" width="14.7109375" bestFit="1" customWidth="1"/>
    <col min="8" max="8" width="25.7109375" bestFit="1" customWidth="1"/>
    <col min="9" max="9" width="20.85546875" bestFit="1" customWidth="1"/>
    <col min="10" max="10" width="24.85546875" bestFit="1" customWidth="1"/>
    <col min="11" max="11" width="11.85546875" bestFit="1" customWidth="1"/>
    <col min="12" max="12" width="11.140625" bestFit="1" customWidth="1"/>
    <col min="13" max="13" width="8.140625" bestFit="1" customWidth="1"/>
    <col min="14" max="14" width="12" bestFit="1" customWidth="1"/>
    <col min="15" max="15" width="13.28515625" bestFit="1" customWidth="1"/>
    <col min="16" max="16" width="12" bestFit="1" customWidth="1"/>
    <col min="17" max="17" width="11.85546875" bestFit="1" customWidth="1"/>
    <col min="18" max="18" width="12" bestFit="1" customWidth="1"/>
  </cols>
  <sheetData>
    <row r="1" spans="1:18" x14ac:dyDescent="0.25">
      <c r="A1" s="3" t="s">
        <v>0</v>
      </c>
      <c r="B1" s="3" t="s">
        <v>554</v>
      </c>
      <c r="C1" s="3" t="s">
        <v>3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  <c r="J1" s="3" t="s">
        <v>8</v>
      </c>
      <c r="K1" s="3" t="s">
        <v>555</v>
      </c>
      <c r="L1" s="3" t="s">
        <v>11</v>
      </c>
      <c r="M1" s="3" t="s">
        <v>12</v>
      </c>
      <c r="N1" s="3" t="s">
        <v>556</v>
      </c>
      <c r="O1" s="3" t="s">
        <v>557</v>
      </c>
      <c r="P1" s="3" t="s">
        <v>558</v>
      </c>
      <c r="Q1" s="3" t="s">
        <v>560</v>
      </c>
      <c r="R1" s="3" t="s">
        <v>559</v>
      </c>
    </row>
    <row r="2" spans="1:18" x14ac:dyDescent="0.25">
      <c r="A2" t="s">
        <v>13</v>
      </c>
      <c r="B2" t="s">
        <v>1190</v>
      </c>
      <c r="C2" t="s">
        <v>14</v>
      </c>
      <c r="D2" t="s">
        <v>1581</v>
      </c>
      <c r="E2" t="s">
        <v>15</v>
      </c>
      <c r="F2" t="s">
        <v>1191</v>
      </c>
      <c r="G2" t="s">
        <v>1727</v>
      </c>
      <c r="H2" t="s">
        <v>16</v>
      </c>
      <c r="I2" t="s">
        <v>1890</v>
      </c>
      <c r="J2" t="s">
        <v>1192</v>
      </c>
      <c r="K2" t="s">
        <v>18</v>
      </c>
      <c r="L2" t="s">
        <v>18</v>
      </c>
      <c r="M2" t="s">
        <v>19</v>
      </c>
      <c r="N2">
        <v>432000</v>
      </c>
      <c r="O2" t="s">
        <v>1193</v>
      </c>
      <c r="P2">
        <v>6.875</v>
      </c>
      <c r="Q2" t="s">
        <v>565</v>
      </c>
      <c r="R2" t="s">
        <v>561</v>
      </c>
    </row>
    <row r="3" spans="1:18" x14ac:dyDescent="0.25">
      <c r="A3" t="s">
        <v>2126</v>
      </c>
      <c r="B3" t="s">
        <v>2127</v>
      </c>
      <c r="C3" t="s">
        <v>2128</v>
      </c>
      <c r="D3" t="s">
        <v>2129</v>
      </c>
      <c r="E3" t="s">
        <v>2130</v>
      </c>
      <c r="F3" t="s">
        <v>2131</v>
      </c>
      <c r="G3" t="s">
        <v>2569</v>
      </c>
      <c r="H3" t="s">
        <v>1012</v>
      </c>
      <c r="I3" t="s">
        <v>1195</v>
      </c>
      <c r="J3" t="s">
        <v>1012</v>
      </c>
      <c r="K3" t="s">
        <v>1245</v>
      </c>
      <c r="L3" t="s">
        <v>41</v>
      </c>
      <c r="M3" t="s">
        <v>19</v>
      </c>
      <c r="N3">
        <v>560672.64367699996</v>
      </c>
      <c r="O3" t="s">
        <v>2132</v>
      </c>
      <c r="P3">
        <v>14</v>
      </c>
      <c r="Q3" t="s">
        <v>2008</v>
      </c>
      <c r="R3" t="s">
        <v>2133</v>
      </c>
    </row>
    <row r="4" spans="1:18" x14ac:dyDescent="0.25">
      <c r="A4" t="s">
        <v>20</v>
      </c>
      <c r="B4" t="s">
        <v>1194</v>
      </c>
      <c r="C4" t="s">
        <v>22</v>
      </c>
      <c r="D4" t="s">
        <v>21</v>
      </c>
      <c r="E4" t="s">
        <v>23</v>
      </c>
      <c r="F4" t="s">
        <v>24</v>
      </c>
      <c r="G4" t="s">
        <v>25</v>
      </c>
      <c r="H4" t="s">
        <v>26</v>
      </c>
      <c r="I4" t="s">
        <v>1195</v>
      </c>
      <c r="J4" t="s">
        <v>26</v>
      </c>
      <c r="K4" t="s">
        <v>871</v>
      </c>
      <c r="L4" t="s">
        <v>27</v>
      </c>
      <c r="M4" t="s">
        <v>19</v>
      </c>
      <c r="N4">
        <v>600000</v>
      </c>
      <c r="O4" t="s">
        <v>1193</v>
      </c>
      <c r="P4">
        <v>7.5</v>
      </c>
      <c r="Q4" t="s">
        <v>566</v>
      </c>
      <c r="R4" t="s">
        <v>563</v>
      </c>
    </row>
    <row r="5" spans="1:18" x14ac:dyDescent="0.25">
      <c r="A5" t="s">
        <v>1982</v>
      </c>
      <c r="B5" t="s">
        <v>849</v>
      </c>
      <c r="C5" t="s">
        <v>28</v>
      </c>
      <c r="D5" t="s">
        <v>1009</v>
      </c>
      <c r="E5" t="s">
        <v>1983</v>
      </c>
      <c r="F5" t="s">
        <v>29</v>
      </c>
      <c r="G5" t="s">
        <v>1728</v>
      </c>
      <c r="H5" t="s">
        <v>1010</v>
      </c>
      <c r="I5" t="s">
        <v>1890</v>
      </c>
      <c r="J5" t="s">
        <v>1010</v>
      </c>
      <c r="K5" t="s">
        <v>871</v>
      </c>
      <c r="L5" t="s">
        <v>27</v>
      </c>
      <c r="M5" t="s">
        <v>19</v>
      </c>
      <c r="N5">
        <v>500000</v>
      </c>
      <c r="O5" t="s">
        <v>1193</v>
      </c>
      <c r="P5">
        <v>6.75</v>
      </c>
      <c r="Q5" t="s">
        <v>865</v>
      </c>
      <c r="R5" t="s">
        <v>1984</v>
      </c>
    </row>
    <row r="6" spans="1:18" x14ac:dyDescent="0.25">
      <c r="A6" t="s">
        <v>1962</v>
      </c>
      <c r="B6" t="s">
        <v>849</v>
      </c>
      <c r="C6" t="s">
        <v>28</v>
      </c>
      <c r="D6" t="s">
        <v>1009</v>
      </c>
      <c r="E6" t="s">
        <v>1963</v>
      </c>
      <c r="F6" t="s">
        <v>29</v>
      </c>
      <c r="G6" t="s">
        <v>1728</v>
      </c>
      <c r="H6" t="s">
        <v>1010</v>
      </c>
      <c r="I6" t="s">
        <v>1890</v>
      </c>
      <c r="J6" t="s">
        <v>1010</v>
      </c>
      <c r="K6" t="s">
        <v>871</v>
      </c>
      <c r="L6" t="s">
        <v>27</v>
      </c>
      <c r="M6" t="s">
        <v>19</v>
      </c>
      <c r="N6">
        <v>750000</v>
      </c>
      <c r="O6" t="s">
        <v>1193</v>
      </c>
      <c r="P6">
        <v>7.625</v>
      </c>
      <c r="Q6" t="s">
        <v>865</v>
      </c>
      <c r="R6" t="s">
        <v>1964</v>
      </c>
    </row>
    <row r="7" spans="1:18" x14ac:dyDescent="0.25">
      <c r="A7" t="s">
        <v>900</v>
      </c>
      <c r="B7" t="s">
        <v>849</v>
      </c>
      <c r="C7" t="s">
        <v>28</v>
      </c>
      <c r="D7" t="s">
        <v>1009</v>
      </c>
      <c r="E7" t="s">
        <v>2280</v>
      </c>
      <c r="F7" t="s">
        <v>29</v>
      </c>
      <c r="G7" t="s">
        <v>1728</v>
      </c>
      <c r="H7" t="s">
        <v>1010</v>
      </c>
      <c r="I7" t="s">
        <v>1890</v>
      </c>
      <c r="J7" t="s">
        <v>1010</v>
      </c>
      <c r="K7" t="s">
        <v>871</v>
      </c>
      <c r="L7" t="s">
        <v>27</v>
      </c>
      <c r="M7" t="s">
        <v>19</v>
      </c>
      <c r="N7">
        <v>800000</v>
      </c>
      <c r="O7" t="s">
        <v>1193</v>
      </c>
      <c r="P7">
        <v>9</v>
      </c>
      <c r="Q7" t="s">
        <v>865</v>
      </c>
      <c r="R7" t="s">
        <v>2109</v>
      </c>
    </row>
    <row r="8" spans="1:18" x14ac:dyDescent="0.25">
      <c r="A8" t="s">
        <v>1129</v>
      </c>
      <c r="B8" t="s">
        <v>906</v>
      </c>
      <c r="C8" t="s">
        <v>907</v>
      </c>
      <c r="D8" t="s">
        <v>1011</v>
      </c>
      <c r="E8" t="s">
        <v>1130</v>
      </c>
      <c r="F8" t="s">
        <v>908</v>
      </c>
      <c r="G8" t="s">
        <v>2073</v>
      </c>
      <c r="H8" t="s">
        <v>1012</v>
      </c>
      <c r="I8" t="s">
        <v>1195</v>
      </c>
      <c r="J8" t="s">
        <v>1012</v>
      </c>
      <c r="K8" t="s">
        <v>42</v>
      </c>
      <c r="L8" t="s">
        <v>42</v>
      </c>
      <c r="M8" t="s">
        <v>19</v>
      </c>
      <c r="N8">
        <v>500000</v>
      </c>
      <c r="O8" t="s">
        <v>1193</v>
      </c>
      <c r="P8">
        <v>8.25</v>
      </c>
      <c r="Q8" t="s">
        <v>569</v>
      </c>
      <c r="R8" t="s">
        <v>910</v>
      </c>
    </row>
    <row r="9" spans="1:18" x14ac:dyDescent="0.25">
      <c r="A9" t="s">
        <v>1131</v>
      </c>
      <c r="B9" t="s">
        <v>906</v>
      </c>
      <c r="C9" t="s">
        <v>907</v>
      </c>
      <c r="D9" t="s">
        <v>1011</v>
      </c>
      <c r="E9" t="s">
        <v>1132</v>
      </c>
      <c r="F9" t="s">
        <v>908</v>
      </c>
      <c r="G9" t="s">
        <v>2073</v>
      </c>
      <c r="H9" t="s">
        <v>1012</v>
      </c>
      <c r="I9" t="s">
        <v>1195</v>
      </c>
      <c r="J9" t="s">
        <v>1012</v>
      </c>
      <c r="K9" t="s">
        <v>42</v>
      </c>
      <c r="L9" t="s">
        <v>42</v>
      </c>
      <c r="M9" t="s">
        <v>19</v>
      </c>
      <c r="N9">
        <v>610000</v>
      </c>
      <c r="O9" t="s">
        <v>1193</v>
      </c>
      <c r="P9">
        <v>8.625</v>
      </c>
      <c r="Q9" t="s">
        <v>569</v>
      </c>
      <c r="R9" t="s">
        <v>1133</v>
      </c>
    </row>
    <row r="10" spans="1:18" x14ac:dyDescent="0.25">
      <c r="A10" t="s">
        <v>2136</v>
      </c>
      <c r="B10" t="s">
        <v>2137</v>
      </c>
      <c r="C10" t="s">
        <v>2138</v>
      </c>
      <c r="D10" t="s">
        <v>2138</v>
      </c>
      <c r="E10" t="s">
        <v>2139</v>
      </c>
      <c r="F10" t="s">
        <v>1196</v>
      </c>
      <c r="G10" t="s">
        <v>1729</v>
      </c>
      <c r="H10" t="s">
        <v>274</v>
      </c>
      <c r="I10" t="s">
        <v>1890</v>
      </c>
      <c r="J10" t="s">
        <v>274</v>
      </c>
      <c r="K10" t="s">
        <v>31</v>
      </c>
      <c r="L10" t="s">
        <v>31</v>
      </c>
      <c r="M10" t="s">
        <v>19</v>
      </c>
      <c r="O10" t="s">
        <v>2140</v>
      </c>
      <c r="P10">
        <v>4</v>
      </c>
      <c r="R10" t="s">
        <v>2141</v>
      </c>
    </row>
    <row r="11" spans="1:18" x14ac:dyDescent="0.25">
      <c r="A11" t="s">
        <v>1568</v>
      </c>
      <c r="B11" t="s">
        <v>1197</v>
      </c>
      <c r="C11" t="s">
        <v>925</v>
      </c>
      <c r="D11" t="s">
        <v>925</v>
      </c>
      <c r="E11" t="s">
        <v>1569</v>
      </c>
      <c r="F11" t="s">
        <v>1196</v>
      </c>
      <c r="G11" t="s">
        <v>1729</v>
      </c>
      <c r="H11" t="s">
        <v>16</v>
      </c>
      <c r="I11" t="s">
        <v>1890</v>
      </c>
      <c r="J11" t="s">
        <v>30</v>
      </c>
      <c r="K11" t="s">
        <v>31</v>
      </c>
      <c r="L11" t="s">
        <v>31</v>
      </c>
      <c r="M11" t="s">
        <v>19</v>
      </c>
      <c r="N11">
        <v>400000</v>
      </c>
      <c r="O11" t="s">
        <v>1193</v>
      </c>
      <c r="P11">
        <v>6.25</v>
      </c>
      <c r="Q11" t="s">
        <v>565</v>
      </c>
      <c r="R11" t="s">
        <v>1570</v>
      </c>
    </row>
    <row r="12" spans="1:18" x14ac:dyDescent="0.25">
      <c r="A12" t="s">
        <v>2326</v>
      </c>
      <c r="B12" t="s">
        <v>1197</v>
      </c>
      <c r="C12" t="s">
        <v>925</v>
      </c>
      <c r="D12" t="s">
        <v>925</v>
      </c>
      <c r="E12" t="s">
        <v>2332</v>
      </c>
      <c r="F12" t="s">
        <v>1196</v>
      </c>
      <c r="G12" t="s">
        <v>1729</v>
      </c>
      <c r="H12" t="s">
        <v>16</v>
      </c>
      <c r="I12" t="s">
        <v>1890</v>
      </c>
      <c r="J12" t="s">
        <v>30</v>
      </c>
      <c r="K12" t="s">
        <v>31</v>
      </c>
      <c r="L12" t="s">
        <v>31</v>
      </c>
      <c r="M12" t="s">
        <v>19</v>
      </c>
      <c r="N12">
        <v>485000</v>
      </c>
      <c r="O12" t="s">
        <v>1193</v>
      </c>
      <c r="P12">
        <v>6.25</v>
      </c>
      <c r="Q12" t="s">
        <v>565</v>
      </c>
      <c r="R12" t="s">
        <v>2327</v>
      </c>
    </row>
    <row r="13" spans="1:18" x14ac:dyDescent="0.25">
      <c r="A13" t="s">
        <v>956</v>
      </c>
      <c r="B13" t="s">
        <v>1197</v>
      </c>
      <c r="C13" t="s">
        <v>925</v>
      </c>
      <c r="D13" t="s">
        <v>925</v>
      </c>
      <c r="E13" t="s">
        <v>957</v>
      </c>
      <c r="F13" t="s">
        <v>1196</v>
      </c>
      <c r="G13" t="s">
        <v>1729</v>
      </c>
      <c r="H13" t="s">
        <v>16</v>
      </c>
      <c r="I13" t="s">
        <v>1890</v>
      </c>
      <c r="J13" t="s">
        <v>30</v>
      </c>
      <c r="K13" t="s">
        <v>31</v>
      </c>
      <c r="L13" t="s">
        <v>31</v>
      </c>
      <c r="M13" t="s">
        <v>19</v>
      </c>
      <c r="N13">
        <v>500000</v>
      </c>
      <c r="O13" t="s">
        <v>1193</v>
      </c>
      <c r="P13">
        <v>6.3</v>
      </c>
      <c r="Q13" t="s">
        <v>565</v>
      </c>
      <c r="R13" t="s">
        <v>958</v>
      </c>
    </row>
    <row r="14" spans="1:18" x14ac:dyDescent="0.25">
      <c r="A14" t="s">
        <v>1026</v>
      </c>
      <c r="B14" t="s">
        <v>1197</v>
      </c>
      <c r="C14" t="s">
        <v>925</v>
      </c>
      <c r="D14" t="s">
        <v>925</v>
      </c>
      <c r="E14" t="s">
        <v>1027</v>
      </c>
      <c r="F14" t="s">
        <v>1196</v>
      </c>
      <c r="G14" t="s">
        <v>1729</v>
      </c>
      <c r="H14" t="s">
        <v>16</v>
      </c>
      <c r="I14" t="s">
        <v>1890</v>
      </c>
      <c r="J14" t="s">
        <v>30</v>
      </c>
      <c r="K14" t="s">
        <v>31</v>
      </c>
      <c r="L14" t="s">
        <v>31</v>
      </c>
      <c r="M14" t="s">
        <v>19</v>
      </c>
      <c r="N14">
        <v>530000</v>
      </c>
      <c r="O14" t="s">
        <v>1193</v>
      </c>
      <c r="P14">
        <v>8.15</v>
      </c>
      <c r="Q14" t="s">
        <v>564</v>
      </c>
      <c r="R14" t="s">
        <v>2418</v>
      </c>
    </row>
    <row r="15" spans="1:18" x14ac:dyDescent="0.25">
      <c r="A15" t="s">
        <v>1891</v>
      </c>
      <c r="B15" t="s">
        <v>1892</v>
      </c>
      <c r="C15" t="s">
        <v>1893</v>
      </c>
      <c r="D15" t="s">
        <v>1893</v>
      </c>
      <c r="E15" t="s">
        <v>1894</v>
      </c>
      <c r="F15" t="s">
        <v>1895</v>
      </c>
      <c r="G15" t="s">
        <v>1896</v>
      </c>
      <c r="H15" t="s">
        <v>32</v>
      </c>
      <c r="I15" t="s">
        <v>1195</v>
      </c>
      <c r="J15" t="s">
        <v>33</v>
      </c>
      <c r="K15" t="s">
        <v>1897</v>
      </c>
      <c r="L15" t="s">
        <v>27</v>
      </c>
      <c r="M15" t="s">
        <v>19</v>
      </c>
      <c r="N15">
        <v>500000</v>
      </c>
      <c r="O15" t="s">
        <v>1193</v>
      </c>
      <c r="P15">
        <v>7.5</v>
      </c>
      <c r="Q15" t="s">
        <v>576</v>
      </c>
      <c r="R15" t="s">
        <v>1898</v>
      </c>
    </row>
    <row r="16" spans="1:18" x14ac:dyDescent="0.25">
      <c r="A16" t="s">
        <v>35</v>
      </c>
      <c r="B16" t="s">
        <v>1198</v>
      </c>
      <c r="C16" t="s">
        <v>36</v>
      </c>
      <c r="D16" t="s">
        <v>1582</v>
      </c>
      <c r="E16" t="s">
        <v>37</v>
      </c>
      <c r="F16" t="s">
        <v>1199</v>
      </c>
      <c r="G16" t="s">
        <v>1730</v>
      </c>
      <c r="H16" t="s">
        <v>1200</v>
      </c>
      <c r="I16" t="s">
        <v>1195</v>
      </c>
      <c r="J16" t="s">
        <v>1201</v>
      </c>
      <c r="K16" t="s">
        <v>31</v>
      </c>
      <c r="L16" t="s">
        <v>31</v>
      </c>
      <c r="M16" t="s">
        <v>19</v>
      </c>
      <c r="N16">
        <v>500000</v>
      </c>
      <c r="O16" t="s">
        <v>1193</v>
      </c>
      <c r="P16">
        <v>4.5999999999999996</v>
      </c>
      <c r="Q16" t="s">
        <v>565</v>
      </c>
      <c r="R16" t="s">
        <v>567</v>
      </c>
    </row>
    <row r="17" spans="1:18" x14ac:dyDescent="0.25">
      <c r="A17" t="s">
        <v>38</v>
      </c>
      <c r="B17" t="s">
        <v>1551</v>
      </c>
      <c r="C17" t="s">
        <v>39</v>
      </c>
      <c r="D17" t="s">
        <v>1583</v>
      </c>
      <c r="E17" t="s">
        <v>40</v>
      </c>
      <c r="F17" t="s">
        <v>1202</v>
      </c>
      <c r="G17" t="s">
        <v>1731</v>
      </c>
      <c r="H17" t="s">
        <v>26</v>
      </c>
      <c r="I17" t="s">
        <v>1195</v>
      </c>
      <c r="J17" t="s">
        <v>26</v>
      </c>
      <c r="K17" t="s">
        <v>1203</v>
      </c>
      <c r="L17" t="s">
        <v>41</v>
      </c>
      <c r="M17" t="s">
        <v>19</v>
      </c>
      <c r="N17">
        <v>600000</v>
      </c>
      <c r="O17" t="s">
        <v>1193</v>
      </c>
      <c r="P17">
        <v>5.75</v>
      </c>
      <c r="Q17" t="s">
        <v>865</v>
      </c>
      <c r="R17" t="s">
        <v>568</v>
      </c>
    </row>
    <row r="18" spans="1:18" x14ac:dyDescent="0.25">
      <c r="A18" t="s">
        <v>44</v>
      </c>
      <c r="B18" t="s">
        <v>1206</v>
      </c>
      <c r="C18" t="s">
        <v>45</v>
      </c>
      <c r="D18" t="s">
        <v>1584</v>
      </c>
      <c r="E18" t="s">
        <v>46</v>
      </c>
      <c r="F18" t="s">
        <v>1207</v>
      </c>
      <c r="G18" t="s">
        <v>1732</v>
      </c>
      <c r="H18" t="s">
        <v>16</v>
      </c>
      <c r="I18" t="s">
        <v>1890</v>
      </c>
      <c r="J18" t="s">
        <v>1192</v>
      </c>
      <c r="K18" t="s">
        <v>31</v>
      </c>
      <c r="L18" t="s">
        <v>31</v>
      </c>
      <c r="M18" t="s">
        <v>19</v>
      </c>
      <c r="N18">
        <v>1098618</v>
      </c>
      <c r="O18" t="s">
        <v>1193</v>
      </c>
      <c r="P18">
        <v>4.55</v>
      </c>
      <c r="Q18" t="s">
        <v>565</v>
      </c>
      <c r="R18" t="s">
        <v>571</v>
      </c>
    </row>
    <row r="19" spans="1:18" x14ac:dyDescent="0.25">
      <c r="A19" t="s">
        <v>47</v>
      </c>
      <c r="B19" t="s">
        <v>1208</v>
      </c>
      <c r="C19" t="s">
        <v>48</v>
      </c>
      <c r="D19" t="s">
        <v>48</v>
      </c>
      <c r="E19" t="s">
        <v>49</v>
      </c>
      <c r="F19" t="s">
        <v>1209</v>
      </c>
      <c r="G19" t="s">
        <v>1733</v>
      </c>
      <c r="H19" t="s">
        <v>1210</v>
      </c>
      <c r="I19" t="s">
        <v>1195</v>
      </c>
      <c r="J19" t="s">
        <v>1211</v>
      </c>
      <c r="K19" t="s">
        <v>42</v>
      </c>
      <c r="L19" t="s">
        <v>42</v>
      </c>
      <c r="M19" t="s">
        <v>19</v>
      </c>
      <c r="N19">
        <v>600000</v>
      </c>
      <c r="O19" t="s">
        <v>1193</v>
      </c>
      <c r="P19">
        <v>3.25</v>
      </c>
      <c r="Q19" t="s">
        <v>566</v>
      </c>
      <c r="R19" t="s">
        <v>572</v>
      </c>
    </row>
    <row r="20" spans="1:18" x14ac:dyDescent="0.25">
      <c r="A20" t="s">
        <v>50</v>
      </c>
      <c r="B20" t="s">
        <v>1208</v>
      </c>
      <c r="C20" t="s">
        <v>48</v>
      </c>
      <c r="D20" t="s">
        <v>48</v>
      </c>
      <c r="E20" t="s">
        <v>51</v>
      </c>
      <c r="F20" t="s">
        <v>1209</v>
      </c>
      <c r="G20" t="s">
        <v>1733</v>
      </c>
      <c r="H20" t="s">
        <v>1210</v>
      </c>
      <c r="I20" t="s">
        <v>1195</v>
      </c>
      <c r="J20" t="s">
        <v>1211</v>
      </c>
      <c r="K20" t="s">
        <v>42</v>
      </c>
      <c r="L20" t="s">
        <v>42</v>
      </c>
      <c r="M20" t="s">
        <v>19</v>
      </c>
      <c r="N20">
        <v>500000</v>
      </c>
      <c r="O20" t="s">
        <v>1193</v>
      </c>
      <c r="P20">
        <v>4.25</v>
      </c>
      <c r="Q20" t="s">
        <v>566</v>
      </c>
      <c r="R20" t="s">
        <v>573</v>
      </c>
    </row>
    <row r="21" spans="1:18" x14ac:dyDescent="0.25">
      <c r="A21" t="s">
        <v>694</v>
      </c>
      <c r="B21" t="s">
        <v>1216</v>
      </c>
      <c r="C21" t="s">
        <v>695</v>
      </c>
      <c r="D21" t="s">
        <v>1585</v>
      </c>
      <c r="E21" t="s">
        <v>696</v>
      </c>
      <c r="F21" t="s">
        <v>1217</v>
      </c>
      <c r="G21" t="s">
        <v>1734</v>
      </c>
      <c r="H21" t="s">
        <v>1218</v>
      </c>
      <c r="I21" t="s">
        <v>1195</v>
      </c>
      <c r="J21" t="s">
        <v>1219</v>
      </c>
      <c r="K21" t="s">
        <v>42</v>
      </c>
      <c r="L21" t="s">
        <v>42</v>
      </c>
      <c r="M21" t="s">
        <v>19</v>
      </c>
      <c r="N21">
        <v>1000000</v>
      </c>
      <c r="O21" t="s">
        <v>1193</v>
      </c>
      <c r="P21">
        <v>2.875</v>
      </c>
      <c r="Q21" t="s">
        <v>593</v>
      </c>
      <c r="R21" t="s">
        <v>2419</v>
      </c>
    </row>
    <row r="22" spans="1:18" x14ac:dyDescent="0.25">
      <c r="A22" t="s">
        <v>697</v>
      </c>
      <c r="B22" t="s">
        <v>1216</v>
      </c>
      <c r="C22" t="s">
        <v>695</v>
      </c>
      <c r="D22" t="s">
        <v>1585</v>
      </c>
      <c r="E22" t="s">
        <v>698</v>
      </c>
      <c r="F22" t="s">
        <v>1217</v>
      </c>
      <c r="G22" t="s">
        <v>1734</v>
      </c>
      <c r="H22" t="s">
        <v>1218</v>
      </c>
      <c r="I22" t="s">
        <v>1195</v>
      </c>
      <c r="J22" t="s">
        <v>1219</v>
      </c>
      <c r="K22" t="s">
        <v>42</v>
      </c>
      <c r="L22" t="s">
        <v>42</v>
      </c>
      <c r="M22" t="s">
        <v>19</v>
      </c>
      <c r="N22">
        <v>1000000</v>
      </c>
      <c r="O22" t="s">
        <v>1193</v>
      </c>
      <c r="P22">
        <v>3.625</v>
      </c>
      <c r="Q22" t="s">
        <v>593</v>
      </c>
      <c r="R22" t="s">
        <v>699</v>
      </c>
    </row>
    <row r="23" spans="1:18" x14ac:dyDescent="0.25">
      <c r="A23" t="s">
        <v>700</v>
      </c>
      <c r="B23" t="s">
        <v>1216</v>
      </c>
      <c r="C23" t="s">
        <v>695</v>
      </c>
      <c r="D23" t="s">
        <v>1585</v>
      </c>
      <c r="E23" t="s">
        <v>701</v>
      </c>
      <c r="F23" t="s">
        <v>1217</v>
      </c>
      <c r="G23" t="s">
        <v>1734</v>
      </c>
      <c r="H23" t="s">
        <v>1218</v>
      </c>
      <c r="I23" t="s">
        <v>1195</v>
      </c>
      <c r="J23" t="s">
        <v>1219</v>
      </c>
      <c r="K23" t="s">
        <v>42</v>
      </c>
      <c r="L23" t="s">
        <v>42</v>
      </c>
      <c r="M23" t="s">
        <v>19</v>
      </c>
      <c r="N23">
        <v>1250000</v>
      </c>
      <c r="O23" t="s">
        <v>1193</v>
      </c>
      <c r="P23">
        <v>4.375</v>
      </c>
      <c r="Q23" t="s">
        <v>593</v>
      </c>
      <c r="R23" t="s">
        <v>702</v>
      </c>
    </row>
    <row r="24" spans="1:18" x14ac:dyDescent="0.25">
      <c r="A24" t="s">
        <v>703</v>
      </c>
      <c r="B24" t="s">
        <v>1216</v>
      </c>
      <c r="C24" t="s">
        <v>695</v>
      </c>
      <c r="D24" t="s">
        <v>1585</v>
      </c>
      <c r="E24" t="s">
        <v>704</v>
      </c>
      <c r="F24" t="s">
        <v>1217</v>
      </c>
      <c r="G24" t="s">
        <v>1734</v>
      </c>
      <c r="H24" t="s">
        <v>1218</v>
      </c>
      <c r="I24" t="s">
        <v>1195</v>
      </c>
      <c r="J24" t="s">
        <v>1219</v>
      </c>
      <c r="K24" t="s">
        <v>42</v>
      </c>
      <c r="L24" t="s">
        <v>42</v>
      </c>
      <c r="M24" t="s">
        <v>19</v>
      </c>
      <c r="N24">
        <v>1150000</v>
      </c>
      <c r="O24" t="s">
        <v>1193</v>
      </c>
      <c r="P24">
        <v>4.375</v>
      </c>
      <c r="Q24" t="s">
        <v>593</v>
      </c>
      <c r="R24" t="s">
        <v>705</v>
      </c>
    </row>
    <row r="25" spans="1:18" x14ac:dyDescent="0.25">
      <c r="A25" t="s">
        <v>706</v>
      </c>
      <c r="B25" t="s">
        <v>1216</v>
      </c>
      <c r="C25" t="s">
        <v>695</v>
      </c>
      <c r="D25" t="s">
        <v>1585</v>
      </c>
      <c r="E25" t="s">
        <v>707</v>
      </c>
      <c r="F25" t="s">
        <v>1217</v>
      </c>
      <c r="G25" t="s">
        <v>1734</v>
      </c>
      <c r="H25" t="s">
        <v>1218</v>
      </c>
      <c r="I25" t="s">
        <v>1195</v>
      </c>
      <c r="J25" t="s">
        <v>1219</v>
      </c>
      <c r="K25" t="s">
        <v>42</v>
      </c>
      <c r="L25" t="s">
        <v>42</v>
      </c>
      <c r="M25" t="s">
        <v>19</v>
      </c>
      <c r="N25">
        <v>750000</v>
      </c>
      <c r="O25" t="s">
        <v>1193</v>
      </c>
      <c r="P25">
        <v>4.7</v>
      </c>
      <c r="Q25" t="s">
        <v>593</v>
      </c>
      <c r="R25" t="s">
        <v>708</v>
      </c>
    </row>
    <row r="26" spans="1:18" x14ac:dyDescent="0.25">
      <c r="A26" t="s">
        <v>1858</v>
      </c>
      <c r="B26" t="s">
        <v>1216</v>
      </c>
      <c r="C26" t="s">
        <v>695</v>
      </c>
      <c r="D26" t="s">
        <v>1585</v>
      </c>
      <c r="E26" t="s">
        <v>1859</v>
      </c>
      <c r="F26" t="s">
        <v>1217</v>
      </c>
      <c r="G26" t="s">
        <v>1734</v>
      </c>
      <c r="H26" t="s">
        <v>1218</v>
      </c>
      <c r="I26" t="s">
        <v>1195</v>
      </c>
      <c r="J26" t="s">
        <v>1219</v>
      </c>
      <c r="K26" t="s">
        <v>42</v>
      </c>
      <c r="L26" t="s">
        <v>42</v>
      </c>
      <c r="M26" t="s">
        <v>19</v>
      </c>
      <c r="N26">
        <v>500000</v>
      </c>
      <c r="O26" t="s">
        <v>1193</v>
      </c>
      <c r="P26">
        <v>5</v>
      </c>
      <c r="Q26" t="s">
        <v>593</v>
      </c>
      <c r="R26" t="s">
        <v>881</v>
      </c>
    </row>
    <row r="27" spans="1:18" x14ac:dyDescent="0.25">
      <c r="A27" t="s">
        <v>709</v>
      </c>
      <c r="B27" t="s">
        <v>1216</v>
      </c>
      <c r="C27" t="s">
        <v>695</v>
      </c>
      <c r="D27" t="s">
        <v>1585</v>
      </c>
      <c r="E27" t="s">
        <v>710</v>
      </c>
      <c r="F27" t="s">
        <v>1217</v>
      </c>
      <c r="G27" t="s">
        <v>1734</v>
      </c>
      <c r="H27" t="s">
        <v>1218</v>
      </c>
      <c r="I27" t="s">
        <v>1195</v>
      </c>
      <c r="J27" t="s">
        <v>1219</v>
      </c>
      <c r="K27" t="s">
        <v>42</v>
      </c>
      <c r="L27" t="s">
        <v>42</v>
      </c>
      <c r="M27" t="s">
        <v>19</v>
      </c>
      <c r="N27">
        <v>2000000</v>
      </c>
      <c r="O27" t="s">
        <v>1193</v>
      </c>
      <c r="P27">
        <v>6.125</v>
      </c>
      <c r="Q27" t="s">
        <v>593</v>
      </c>
      <c r="R27" t="s">
        <v>711</v>
      </c>
    </row>
    <row r="28" spans="1:18" x14ac:dyDescent="0.25">
      <c r="A28" t="s">
        <v>712</v>
      </c>
      <c r="B28" t="s">
        <v>1216</v>
      </c>
      <c r="C28" t="s">
        <v>695</v>
      </c>
      <c r="D28" t="s">
        <v>1585</v>
      </c>
      <c r="E28" t="s">
        <v>713</v>
      </c>
      <c r="F28" t="s">
        <v>1217</v>
      </c>
      <c r="G28" t="s">
        <v>1734</v>
      </c>
      <c r="H28" t="s">
        <v>1218</v>
      </c>
      <c r="I28" t="s">
        <v>1195</v>
      </c>
      <c r="J28" t="s">
        <v>1219</v>
      </c>
      <c r="K28" t="s">
        <v>42</v>
      </c>
      <c r="L28" t="s">
        <v>42</v>
      </c>
      <c r="M28" t="s">
        <v>19</v>
      </c>
      <c r="N28">
        <v>400000</v>
      </c>
      <c r="O28" t="s">
        <v>1193</v>
      </c>
      <c r="P28">
        <v>6.125</v>
      </c>
      <c r="Q28" t="s">
        <v>593</v>
      </c>
      <c r="R28" t="s">
        <v>714</v>
      </c>
    </row>
    <row r="29" spans="1:18" x14ac:dyDescent="0.25">
      <c r="A29" t="s">
        <v>715</v>
      </c>
      <c r="B29" t="s">
        <v>1216</v>
      </c>
      <c r="C29" t="s">
        <v>695</v>
      </c>
      <c r="D29" t="s">
        <v>1585</v>
      </c>
      <c r="E29" t="s">
        <v>716</v>
      </c>
      <c r="F29" t="s">
        <v>1217</v>
      </c>
      <c r="G29" t="s">
        <v>1734</v>
      </c>
      <c r="H29" t="s">
        <v>1218</v>
      </c>
      <c r="I29" t="s">
        <v>1195</v>
      </c>
      <c r="J29" t="s">
        <v>1219</v>
      </c>
      <c r="K29" t="s">
        <v>42</v>
      </c>
      <c r="L29" t="s">
        <v>42</v>
      </c>
      <c r="M29" t="s">
        <v>19</v>
      </c>
      <c r="N29">
        <v>1000000</v>
      </c>
      <c r="O29" t="s">
        <v>1193</v>
      </c>
      <c r="P29">
        <v>6.375</v>
      </c>
      <c r="Q29" t="s">
        <v>593</v>
      </c>
      <c r="R29" t="s">
        <v>2420</v>
      </c>
    </row>
    <row r="30" spans="1:18" x14ac:dyDescent="0.25">
      <c r="A30" t="s">
        <v>2142</v>
      </c>
      <c r="B30" t="s">
        <v>2143</v>
      </c>
      <c r="C30" t="s">
        <v>2144</v>
      </c>
      <c r="D30" t="s">
        <v>2145</v>
      </c>
      <c r="E30" t="s">
        <v>2146</v>
      </c>
      <c r="F30" t="s">
        <v>2147</v>
      </c>
      <c r="G30" t="s">
        <v>2148</v>
      </c>
      <c r="H30" t="s">
        <v>1220</v>
      </c>
      <c r="I30" t="s">
        <v>1195</v>
      </c>
      <c r="J30" t="s">
        <v>1221</v>
      </c>
      <c r="K30" t="s">
        <v>31</v>
      </c>
      <c r="L30" t="s">
        <v>31</v>
      </c>
      <c r="M30" t="s">
        <v>19</v>
      </c>
      <c r="N30">
        <v>300000</v>
      </c>
      <c r="O30" t="s">
        <v>1193</v>
      </c>
      <c r="P30">
        <v>3.95</v>
      </c>
      <c r="Q30" t="s">
        <v>2008</v>
      </c>
      <c r="R30" t="s">
        <v>2149</v>
      </c>
    </row>
    <row r="31" spans="1:18" x14ac:dyDescent="0.25">
      <c r="A31" t="s">
        <v>58</v>
      </c>
      <c r="B31" t="s">
        <v>1222</v>
      </c>
      <c r="C31" t="s">
        <v>59</v>
      </c>
      <c r="D31" t="s">
        <v>1586</v>
      </c>
      <c r="E31" t="s">
        <v>60</v>
      </c>
      <c r="F31" t="s">
        <v>1223</v>
      </c>
      <c r="G31" t="s">
        <v>1735</v>
      </c>
      <c r="H31" t="s">
        <v>1224</v>
      </c>
      <c r="I31" t="s">
        <v>1195</v>
      </c>
      <c r="J31" t="s">
        <v>1225</v>
      </c>
      <c r="K31" t="s">
        <v>31</v>
      </c>
      <c r="L31" t="s">
        <v>31</v>
      </c>
      <c r="M31" t="s">
        <v>19</v>
      </c>
      <c r="N31">
        <v>500000</v>
      </c>
      <c r="O31" t="s">
        <v>1193</v>
      </c>
      <c r="P31">
        <v>2.375</v>
      </c>
      <c r="Q31" t="s">
        <v>562</v>
      </c>
      <c r="R31" t="s">
        <v>574</v>
      </c>
    </row>
    <row r="32" spans="1:18" x14ac:dyDescent="0.25">
      <c r="A32" t="s">
        <v>61</v>
      </c>
      <c r="B32" t="s">
        <v>1222</v>
      </c>
      <c r="C32" t="s">
        <v>59</v>
      </c>
      <c r="D32" t="s">
        <v>1586</v>
      </c>
      <c r="E32" t="s">
        <v>62</v>
      </c>
      <c r="F32" t="s">
        <v>1223</v>
      </c>
      <c r="G32" t="s">
        <v>1735</v>
      </c>
      <c r="H32" t="s">
        <v>1224</v>
      </c>
      <c r="I32" t="s">
        <v>1195</v>
      </c>
      <c r="J32" t="s">
        <v>1225</v>
      </c>
      <c r="K32" t="s">
        <v>31</v>
      </c>
      <c r="L32" t="s">
        <v>31</v>
      </c>
      <c r="M32" t="s">
        <v>19</v>
      </c>
      <c r="N32">
        <v>500000</v>
      </c>
      <c r="O32" t="s">
        <v>1193</v>
      </c>
      <c r="P32">
        <v>5.625</v>
      </c>
      <c r="Q32" t="s">
        <v>562</v>
      </c>
      <c r="R32" t="s">
        <v>575</v>
      </c>
    </row>
    <row r="33" spans="1:18" x14ac:dyDescent="0.25">
      <c r="A33" t="s">
        <v>1965</v>
      </c>
      <c r="B33" t="s">
        <v>1222</v>
      </c>
      <c r="C33" t="s">
        <v>59</v>
      </c>
      <c r="D33" t="s">
        <v>1586</v>
      </c>
      <c r="E33" t="s">
        <v>1966</v>
      </c>
      <c r="F33" t="s">
        <v>1223</v>
      </c>
      <c r="G33" t="s">
        <v>1735</v>
      </c>
      <c r="H33" t="s">
        <v>1224</v>
      </c>
      <c r="I33" t="s">
        <v>1195</v>
      </c>
      <c r="J33" t="s">
        <v>1225</v>
      </c>
      <c r="K33" t="s">
        <v>31</v>
      </c>
      <c r="L33" t="s">
        <v>31</v>
      </c>
      <c r="M33" t="s">
        <v>19</v>
      </c>
      <c r="N33">
        <v>600000</v>
      </c>
      <c r="O33" t="s">
        <v>1193</v>
      </c>
      <c r="P33">
        <v>5.625</v>
      </c>
      <c r="Q33" t="s">
        <v>562</v>
      </c>
      <c r="R33" t="s">
        <v>2421</v>
      </c>
    </row>
    <row r="34" spans="1:18" x14ac:dyDescent="0.25">
      <c r="A34" t="s">
        <v>988</v>
      </c>
      <c r="B34" t="s">
        <v>1222</v>
      </c>
      <c r="C34" t="s">
        <v>59</v>
      </c>
      <c r="D34" t="s">
        <v>1586</v>
      </c>
      <c r="E34" t="s">
        <v>989</v>
      </c>
      <c r="F34" t="s">
        <v>1223</v>
      </c>
      <c r="G34" t="s">
        <v>1735</v>
      </c>
      <c r="H34" t="s">
        <v>1224</v>
      </c>
      <c r="I34" t="s">
        <v>1195</v>
      </c>
      <c r="J34" t="s">
        <v>1225</v>
      </c>
      <c r="K34" t="s">
        <v>31</v>
      </c>
      <c r="L34" t="s">
        <v>31</v>
      </c>
      <c r="M34" t="s">
        <v>19</v>
      </c>
      <c r="N34">
        <v>750000</v>
      </c>
      <c r="O34" t="s">
        <v>1193</v>
      </c>
      <c r="P34">
        <v>6.25</v>
      </c>
      <c r="Q34" t="s">
        <v>562</v>
      </c>
      <c r="R34" t="s">
        <v>2422</v>
      </c>
    </row>
    <row r="35" spans="1:18" x14ac:dyDescent="0.25">
      <c r="A35" t="s">
        <v>1183</v>
      </c>
      <c r="B35" t="s">
        <v>1230</v>
      </c>
      <c r="C35" t="s">
        <v>63</v>
      </c>
      <c r="D35" t="s">
        <v>63</v>
      </c>
      <c r="E35" t="s">
        <v>1185</v>
      </c>
      <c r="F35" t="s">
        <v>1226</v>
      </c>
      <c r="G35" t="s">
        <v>1736</v>
      </c>
      <c r="H35" t="s">
        <v>1227</v>
      </c>
      <c r="I35" t="s">
        <v>1195</v>
      </c>
      <c r="J35" t="s">
        <v>1228</v>
      </c>
      <c r="K35" t="s">
        <v>873</v>
      </c>
      <c r="L35" t="s">
        <v>27</v>
      </c>
      <c r="M35" t="s">
        <v>19</v>
      </c>
      <c r="N35">
        <v>600000</v>
      </c>
      <c r="O35" t="s">
        <v>1193</v>
      </c>
      <c r="P35">
        <v>6.375</v>
      </c>
      <c r="Q35" t="s">
        <v>565</v>
      </c>
      <c r="R35" t="s">
        <v>1188</v>
      </c>
    </row>
    <row r="36" spans="1:18" x14ac:dyDescent="0.25">
      <c r="A36" t="s">
        <v>2306</v>
      </c>
      <c r="B36" t="s">
        <v>2307</v>
      </c>
      <c r="C36" t="s">
        <v>2308</v>
      </c>
      <c r="D36" t="s">
        <v>2309</v>
      </c>
      <c r="E36" t="s">
        <v>2310</v>
      </c>
      <c r="F36" t="s">
        <v>2311</v>
      </c>
      <c r="G36" t="s">
        <v>2312</v>
      </c>
      <c r="H36" t="s">
        <v>1224</v>
      </c>
      <c r="I36" t="s">
        <v>1195</v>
      </c>
      <c r="J36" t="s">
        <v>1231</v>
      </c>
      <c r="K36" t="s">
        <v>1232</v>
      </c>
      <c r="L36" t="s">
        <v>41</v>
      </c>
      <c r="M36" t="s">
        <v>19</v>
      </c>
      <c r="N36">
        <v>450000</v>
      </c>
      <c r="O36" t="s">
        <v>1193</v>
      </c>
      <c r="P36">
        <v>8</v>
      </c>
      <c r="Q36" t="s">
        <v>576</v>
      </c>
      <c r="R36" t="s">
        <v>2313</v>
      </c>
    </row>
    <row r="37" spans="1:18" x14ac:dyDescent="0.25">
      <c r="A37" t="s">
        <v>1233</v>
      </c>
      <c r="B37" t="s">
        <v>1234</v>
      </c>
      <c r="C37" t="s">
        <v>1235</v>
      </c>
      <c r="D37" t="s">
        <v>1236</v>
      </c>
      <c r="E37" t="s">
        <v>1237</v>
      </c>
      <c r="F37" t="s">
        <v>64</v>
      </c>
      <c r="H37" t="s">
        <v>65</v>
      </c>
      <c r="I37" t="s">
        <v>1195</v>
      </c>
      <c r="J37" t="s">
        <v>66</v>
      </c>
      <c r="K37" t="s">
        <v>872</v>
      </c>
      <c r="L37" t="s">
        <v>31</v>
      </c>
      <c r="M37" t="s">
        <v>19</v>
      </c>
      <c r="N37">
        <v>500000</v>
      </c>
      <c r="O37" t="s">
        <v>1193</v>
      </c>
      <c r="P37">
        <v>7.875</v>
      </c>
      <c r="Q37" t="s">
        <v>569</v>
      </c>
      <c r="R37" t="s">
        <v>2423</v>
      </c>
    </row>
    <row r="38" spans="1:18" x14ac:dyDescent="0.25">
      <c r="A38" t="s">
        <v>2028</v>
      </c>
      <c r="B38" t="s">
        <v>2299</v>
      </c>
      <c r="C38" t="s">
        <v>2300</v>
      </c>
      <c r="D38" t="s">
        <v>2301</v>
      </c>
      <c r="E38" t="s">
        <v>2029</v>
      </c>
      <c r="F38" t="s">
        <v>1239</v>
      </c>
      <c r="G38" t="s">
        <v>1737</v>
      </c>
      <c r="H38" t="s">
        <v>927</v>
      </c>
      <c r="I38" t="s">
        <v>1195</v>
      </c>
      <c r="J38" t="s">
        <v>1240</v>
      </c>
      <c r="K38" t="s">
        <v>871</v>
      </c>
      <c r="L38" t="s">
        <v>18</v>
      </c>
      <c r="M38" t="s">
        <v>19</v>
      </c>
      <c r="N38">
        <v>365000</v>
      </c>
      <c r="O38" t="s">
        <v>1193</v>
      </c>
      <c r="P38">
        <v>8.75</v>
      </c>
      <c r="Q38" t="s">
        <v>576</v>
      </c>
      <c r="R38" t="s">
        <v>2424</v>
      </c>
    </row>
    <row r="39" spans="1:18" x14ac:dyDescent="0.25">
      <c r="A39" t="s">
        <v>68</v>
      </c>
      <c r="B39" t="s">
        <v>1241</v>
      </c>
      <c r="C39" t="s">
        <v>69</v>
      </c>
      <c r="D39" t="s">
        <v>69</v>
      </c>
      <c r="E39" t="s">
        <v>70</v>
      </c>
      <c r="F39" t="s">
        <v>1242</v>
      </c>
      <c r="G39" t="s">
        <v>1738</v>
      </c>
      <c r="H39" t="s">
        <v>1243</v>
      </c>
      <c r="I39" t="s">
        <v>1576</v>
      </c>
      <c r="J39" t="s">
        <v>1244</v>
      </c>
      <c r="K39" t="s">
        <v>1245</v>
      </c>
      <c r="L39" t="s">
        <v>41</v>
      </c>
      <c r="M39" t="s">
        <v>19</v>
      </c>
      <c r="N39">
        <v>1000000</v>
      </c>
      <c r="O39" t="s">
        <v>1193</v>
      </c>
      <c r="P39">
        <v>4.375</v>
      </c>
      <c r="Q39" t="s">
        <v>564</v>
      </c>
      <c r="R39" t="s">
        <v>2425</v>
      </c>
    </row>
    <row r="40" spans="1:18" x14ac:dyDescent="0.25">
      <c r="A40" t="s">
        <v>2253</v>
      </c>
      <c r="B40" t="s">
        <v>2254</v>
      </c>
      <c r="C40" t="s">
        <v>2255</v>
      </c>
      <c r="D40" t="s">
        <v>2256</v>
      </c>
      <c r="E40" t="s">
        <v>2257</v>
      </c>
      <c r="F40" t="s">
        <v>2258</v>
      </c>
      <c r="G40" t="s">
        <v>2259</v>
      </c>
      <c r="H40" t="s">
        <v>1012</v>
      </c>
      <c r="I40" t="s">
        <v>1195</v>
      </c>
      <c r="J40" t="s">
        <v>1012</v>
      </c>
      <c r="K40" t="s">
        <v>872</v>
      </c>
      <c r="L40" t="s">
        <v>27</v>
      </c>
      <c r="M40" t="s">
        <v>19</v>
      </c>
      <c r="N40">
        <v>1375000</v>
      </c>
      <c r="O40" t="s">
        <v>1193</v>
      </c>
      <c r="P40">
        <v>9.875</v>
      </c>
      <c r="Q40" t="s">
        <v>2195</v>
      </c>
      <c r="R40" t="s">
        <v>621</v>
      </c>
    </row>
    <row r="41" spans="1:18" x14ac:dyDescent="0.25">
      <c r="A41" t="s">
        <v>73</v>
      </c>
      <c r="B41" t="s">
        <v>1247</v>
      </c>
      <c r="C41" t="s">
        <v>72</v>
      </c>
      <c r="D41" t="s">
        <v>1587</v>
      </c>
      <c r="E41" t="s">
        <v>74</v>
      </c>
      <c r="F41" t="s">
        <v>1248</v>
      </c>
      <c r="G41" t="s">
        <v>1739</v>
      </c>
      <c r="H41" t="s">
        <v>1243</v>
      </c>
      <c r="I41" t="s">
        <v>1577</v>
      </c>
      <c r="J41" t="s">
        <v>1244</v>
      </c>
      <c r="K41" t="s">
        <v>1245</v>
      </c>
      <c r="L41" t="s">
        <v>27</v>
      </c>
      <c r="M41" t="s">
        <v>19</v>
      </c>
      <c r="N41">
        <v>500000</v>
      </c>
      <c r="O41" t="s">
        <v>1193</v>
      </c>
      <c r="P41">
        <v>4.875</v>
      </c>
      <c r="Q41" t="s">
        <v>564</v>
      </c>
      <c r="R41" t="s">
        <v>2426</v>
      </c>
    </row>
    <row r="42" spans="1:18" x14ac:dyDescent="0.25">
      <c r="A42" t="s">
        <v>2333</v>
      </c>
      <c r="B42" t="s">
        <v>1247</v>
      </c>
      <c r="C42" t="s">
        <v>72</v>
      </c>
      <c r="D42" t="s">
        <v>1587</v>
      </c>
      <c r="E42" t="s">
        <v>2334</v>
      </c>
      <c r="F42" t="s">
        <v>1248</v>
      </c>
      <c r="G42" t="s">
        <v>1739</v>
      </c>
      <c r="H42" t="s">
        <v>1243</v>
      </c>
      <c r="I42" t="s">
        <v>1577</v>
      </c>
      <c r="J42" t="s">
        <v>1244</v>
      </c>
      <c r="K42" t="s">
        <v>1245</v>
      </c>
      <c r="L42" t="s">
        <v>27</v>
      </c>
      <c r="M42" t="s">
        <v>19</v>
      </c>
      <c r="N42">
        <v>500000</v>
      </c>
      <c r="O42" t="s">
        <v>1193</v>
      </c>
      <c r="P42">
        <v>5.625</v>
      </c>
      <c r="Q42" t="s">
        <v>564</v>
      </c>
      <c r="R42" t="s">
        <v>2335</v>
      </c>
    </row>
    <row r="43" spans="1:18" x14ac:dyDescent="0.25">
      <c r="A43" t="s">
        <v>973</v>
      </c>
      <c r="B43" t="s">
        <v>1247</v>
      </c>
      <c r="C43" t="s">
        <v>72</v>
      </c>
      <c r="D43" t="s">
        <v>1587</v>
      </c>
      <c r="E43" t="s">
        <v>974</v>
      </c>
      <c r="F43" t="s">
        <v>1248</v>
      </c>
      <c r="G43" t="s">
        <v>1739</v>
      </c>
      <c r="H43" t="s">
        <v>1243</v>
      </c>
      <c r="I43" t="s">
        <v>1577</v>
      </c>
      <c r="J43" t="s">
        <v>1244</v>
      </c>
      <c r="K43" t="s">
        <v>1245</v>
      </c>
      <c r="L43" t="s">
        <v>27</v>
      </c>
      <c r="M43" t="s">
        <v>19</v>
      </c>
      <c r="N43">
        <v>750000</v>
      </c>
      <c r="O43" t="s">
        <v>1193</v>
      </c>
      <c r="P43">
        <v>6</v>
      </c>
      <c r="Q43" t="s">
        <v>564</v>
      </c>
      <c r="R43" t="s">
        <v>582</v>
      </c>
    </row>
    <row r="44" spans="1:18" x14ac:dyDescent="0.25">
      <c r="A44" t="s">
        <v>688</v>
      </c>
      <c r="B44" t="s">
        <v>1247</v>
      </c>
      <c r="C44" t="s">
        <v>72</v>
      </c>
      <c r="D44" t="s">
        <v>1587</v>
      </c>
      <c r="E44" t="s">
        <v>689</v>
      </c>
      <c r="F44" t="s">
        <v>1248</v>
      </c>
      <c r="G44" t="s">
        <v>1739</v>
      </c>
      <c r="H44" t="s">
        <v>1243</v>
      </c>
      <c r="I44" t="s">
        <v>1577</v>
      </c>
      <c r="J44" t="s">
        <v>1244</v>
      </c>
      <c r="K44" t="s">
        <v>1245</v>
      </c>
      <c r="L44" t="s">
        <v>27</v>
      </c>
      <c r="M44" t="s">
        <v>19</v>
      </c>
      <c r="N44">
        <v>750000</v>
      </c>
      <c r="O44" t="s">
        <v>1193</v>
      </c>
      <c r="P44">
        <v>6.25</v>
      </c>
      <c r="Q44" t="s">
        <v>564</v>
      </c>
      <c r="R44" t="s">
        <v>690</v>
      </c>
    </row>
    <row r="45" spans="1:18" x14ac:dyDescent="0.25">
      <c r="A45" t="s">
        <v>1007</v>
      </c>
      <c r="B45" t="s">
        <v>1249</v>
      </c>
      <c r="C45" t="s">
        <v>75</v>
      </c>
      <c r="D45" t="s">
        <v>1588</v>
      </c>
      <c r="E45" t="s">
        <v>1008</v>
      </c>
      <c r="F45" t="s">
        <v>1250</v>
      </c>
      <c r="G45" t="s">
        <v>1740</v>
      </c>
      <c r="H45" t="s">
        <v>1243</v>
      </c>
      <c r="I45" t="s">
        <v>1577</v>
      </c>
      <c r="J45" t="s">
        <v>1251</v>
      </c>
      <c r="K45" t="s">
        <v>31</v>
      </c>
      <c r="L45" t="s">
        <v>31</v>
      </c>
      <c r="M45" t="s">
        <v>19</v>
      </c>
      <c r="N45">
        <v>600000</v>
      </c>
      <c r="O45" t="s">
        <v>1193</v>
      </c>
      <c r="P45">
        <v>7.95</v>
      </c>
      <c r="Q45" t="s">
        <v>565</v>
      </c>
    </row>
    <row r="46" spans="1:18" x14ac:dyDescent="0.25">
      <c r="A46" t="s">
        <v>2362</v>
      </c>
      <c r="B46" t="s">
        <v>2363</v>
      </c>
      <c r="C46" t="s">
        <v>2427</v>
      </c>
      <c r="D46" t="s">
        <v>2428</v>
      </c>
      <c r="E46" t="s">
        <v>2364</v>
      </c>
      <c r="F46" t="s">
        <v>2365</v>
      </c>
      <c r="G46" t="s">
        <v>2366</v>
      </c>
      <c r="H46" t="s">
        <v>1243</v>
      </c>
      <c r="I46" t="s">
        <v>1576</v>
      </c>
      <c r="J46" t="s">
        <v>1244</v>
      </c>
      <c r="K46" t="s">
        <v>42</v>
      </c>
      <c r="L46" t="s">
        <v>42</v>
      </c>
      <c r="M46" t="s">
        <v>19</v>
      </c>
      <c r="N46">
        <v>1300000</v>
      </c>
      <c r="O46" t="s">
        <v>1193</v>
      </c>
      <c r="P46">
        <v>6.6970000000000001</v>
      </c>
      <c r="Q46" t="s">
        <v>566</v>
      </c>
      <c r="R46" t="s">
        <v>2429</v>
      </c>
    </row>
    <row r="47" spans="1:18" x14ac:dyDescent="0.25">
      <c r="A47" t="s">
        <v>77</v>
      </c>
      <c r="B47" t="s">
        <v>1252</v>
      </c>
      <c r="C47" t="s">
        <v>76</v>
      </c>
      <c r="D47" t="s">
        <v>1589</v>
      </c>
      <c r="E47" t="s">
        <v>78</v>
      </c>
      <c r="F47" t="s">
        <v>1253</v>
      </c>
      <c r="G47" t="s">
        <v>1741</v>
      </c>
      <c r="H47" t="s">
        <v>1243</v>
      </c>
      <c r="I47" t="s">
        <v>1576</v>
      </c>
      <c r="J47" t="s">
        <v>1244</v>
      </c>
      <c r="K47" t="s">
        <v>1245</v>
      </c>
      <c r="L47" t="s">
        <v>42</v>
      </c>
      <c r="M47" t="s">
        <v>19</v>
      </c>
      <c r="N47">
        <v>550000</v>
      </c>
      <c r="O47" t="s">
        <v>1193</v>
      </c>
      <c r="P47">
        <v>6.625</v>
      </c>
      <c r="Q47" t="s">
        <v>569</v>
      </c>
    </row>
    <row r="48" spans="1:18" x14ac:dyDescent="0.25">
      <c r="A48" t="s">
        <v>79</v>
      </c>
      <c r="B48" t="s">
        <v>1252</v>
      </c>
      <c r="C48" t="s">
        <v>76</v>
      </c>
      <c r="D48" t="s">
        <v>1589</v>
      </c>
      <c r="E48" t="s">
        <v>80</v>
      </c>
      <c r="F48" t="s">
        <v>1253</v>
      </c>
      <c r="G48" t="s">
        <v>1741</v>
      </c>
      <c r="H48" t="s">
        <v>1243</v>
      </c>
      <c r="I48" t="s">
        <v>1576</v>
      </c>
      <c r="J48" t="s">
        <v>1244</v>
      </c>
      <c r="K48" t="s">
        <v>1245</v>
      </c>
      <c r="L48" t="s">
        <v>42</v>
      </c>
      <c r="M48" t="s">
        <v>19</v>
      </c>
      <c r="N48">
        <v>500000</v>
      </c>
      <c r="O48" t="s">
        <v>1193</v>
      </c>
      <c r="P48">
        <v>7.5</v>
      </c>
      <c r="Q48" t="s">
        <v>569</v>
      </c>
    </row>
    <row r="49" spans="1:18" x14ac:dyDescent="0.25">
      <c r="A49" t="s">
        <v>2560</v>
      </c>
      <c r="B49" t="s">
        <v>1252</v>
      </c>
      <c r="C49" t="s">
        <v>76</v>
      </c>
      <c r="D49" t="s">
        <v>1589</v>
      </c>
      <c r="E49" t="s">
        <v>2561</v>
      </c>
      <c r="F49" t="s">
        <v>1253</v>
      </c>
      <c r="G49" t="s">
        <v>1741</v>
      </c>
      <c r="H49" t="s">
        <v>1243</v>
      </c>
      <c r="I49" t="s">
        <v>1576</v>
      </c>
      <c r="J49" t="s">
        <v>1244</v>
      </c>
      <c r="K49" t="s">
        <v>1245</v>
      </c>
      <c r="L49" t="s">
        <v>42</v>
      </c>
      <c r="M49" t="s">
        <v>19</v>
      </c>
      <c r="N49">
        <v>600000</v>
      </c>
      <c r="O49" t="s">
        <v>1193</v>
      </c>
      <c r="P49">
        <v>8</v>
      </c>
      <c r="Q49" t="s">
        <v>569</v>
      </c>
    </row>
    <row r="50" spans="1:18" x14ac:dyDescent="0.25">
      <c r="A50" t="s">
        <v>1144</v>
      </c>
      <c r="B50" t="s">
        <v>1252</v>
      </c>
      <c r="C50" t="s">
        <v>76</v>
      </c>
      <c r="D50" t="s">
        <v>1589</v>
      </c>
      <c r="E50" t="s">
        <v>1145</v>
      </c>
      <c r="F50" t="s">
        <v>1253</v>
      </c>
      <c r="G50" t="s">
        <v>1741</v>
      </c>
      <c r="H50" t="s">
        <v>1243</v>
      </c>
      <c r="I50" t="s">
        <v>1576</v>
      </c>
      <c r="J50" t="s">
        <v>1244</v>
      </c>
      <c r="K50" t="s">
        <v>1245</v>
      </c>
      <c r="L50" t="s">
        <v>42</v>
      </c>
      <c r="M50" t="s">
        <v>19</v>
      </c>
      <c r="N50">
        <v>750000</v>
      </c>
      <c r="O50" t="s">
        <v>1193</v>
      </c>
      <c r="P50">
        <v>8.75</v>
      </c>
      <c r="Q50" t="s">
        <v>569</v>
      </c>
    </row>
    <row r="51" spans="1:18" x14ac:dyDescent="0.25">
      <c r="A51" t="s">
        <v>81</v>
      </c>
      <c r="B51" t="s">
        <v>1252</v>
      </c>
      <c r="C51" t="s">
        <v>76</v>
      </c>
      <c r="D51" t="s">
        <v>1589</v>
      </c>
      <c r="E51" t="s">
        <v>1146</v>
      </c>
      <c r="F51" t="s">
        <v>1253</v>
      </c>
      <c r="G51" t="s">
        <v>1741</v>
      </c>
      <c r="H51" t="s">
        <v>1243</v>
      </c>
      <c r="I51" t="s">
        <v>1576</v>
      </c>
      <c r="J51" t="s">
        <v>1244</v>
      </c>
      <c r="K51" t="s">
        <v>1245</v>
      </c>
      <c r="L51" t="s">
        <v>42</v>
      </c>
      <c r="M51" t="s">
        <v>19</v>
      </c>
      <c r="N51">
        <v>750000</v>
      </c>
      <c r="O51" t="s">
        <v>1193</v>
      </c>
      <c r="P51">
        <v>8.375</v>
      </c>
      <c r="Q51" t="s">
        <v>569</v>
      </c>
    </row>
    <row r="52" spans="1:18" x14ac:dyDescent="0.25">
      <c r="A52" t="s">
        <v>81</v>
      </c>
      <c r="B52" t="s">
        <v>1252</v>
      </c>
      <c r="C52" t="s">
        <v>76</v>
      </c>
      <c r="D52" t="s">
        <v>1589</v>
      </c>
      <c r="E52" t="s">
        <v>82</v>
      </c>
      <c r="F52" t="s">
        <v>1253</v>
      </c>
      <c r="G52" t="s">
        <v>1741</v>
      </c>
      <c r="H52" t="s">
        <v>1243</v>
      </c>
      <c r="I52" t="s">
        <v>1576</v>
      </c>
      <c r="J52" t="s">
        <v>1244</v>
      </c>
      <c r="K52" t="s">
        <v>1245</v>
      </c>
      <c r="L52" t="s">
        <v>42</v>
      </c>
      <c r="M52" t="s">
        <v>19</v>
      </c>
      <c r="N52">
        <v>500000</v>
      </c>
      <c r="O52" t="s">
        <v>1193</v>
      </c>
      <c r="P52">
        <v>8.375</v>
      </c>
      <c r="Q52" t="s">
        <v>569</v>
      </c>
    </row>
    <row r="53" spans="1:18" x14ac:dyDescent="0.25">
      <c r="A53" t="s">
        <v>2562</v>
      </c>
      <c r="B53" t="s">
        <v>1252</v>
      </c>
      <c r="C53" t="s">
        <v>76</v>
      </c>
      <c r="D53" t="s">
        <v>1589</v>
      </c>
      <c r="E53" t="s">
        <v>2563</v>
      </c>
      <c r="F53" t="s">
        <v>1253</v>
      </c>
      <c r="G53" t="s">
        <v>1741</v>
      </c>
      <c r="H53" t="s">
        <v>1243</v>
      </c>
      <c r="I53" t="s">
        <v>1576</v>
      </c>
      <c r="J53" t="s">
        <v>1244</v>
      </c>
      <c r="K53" t="s">
        <v>1245</v>
      </c>
      <c r="L53" t="s">
        <v>42</v>
      </c>
      <c r="M53" t="s">
        <v>19</v>
      </c>
      <c r="N53">
        <v>750000</v>
      </c>
      <c r="O53" t="s">
        <v>1193</v>
      </c>
      <c r="P53">
        <v>8.4499999999999993</v>
      </c>
      <c r="Q53" t="s">
        <v>569</v>
      </c>
    </row>
    <row r="54" spans="1:18" x14ac:dyDescent="0.25">
      <c r="A54" t="s">
        <v>1062</v>
      </c>
      <c r="B54" t="s">
        <v>1540</v>
      </c>
      <c r="C54" t="s">
        <v>2042</v>
      </c>
      <c r="D54" t="s">
        <v>2043</v>
      </c>
      <c r="E54" t="s">
        <v>1063</v>
      </c>
      <c r="F54" t="s">
        <v>1254</v>
      </c>
      <c r="G54" t="s">
        <v>1742</v>
      </c>
      <c r="H54" t="s">
        <v>1243</v>
      </c>
      <c r="I54" t="s">
        <v>1576</v>
      </c>
      <c r="J54" t="s">
        <v>1255</v>
      </c>
      <c r="K54" t="s">
        <v>872</v>
      </c>
      <c r="L54" t="s">
        <v>42</v>
      </c>
      <c r="M54" t="s">
        <v>19</v>
      </c>
      <c r="N54">
        <v>600000</v>
      </c>
      <c r="O54" t="s">
        <v>1193</v>
      </c>
      <c r="P54">
        <v>5.25</v>
      </c>
      <c r="Q54" t="s">
        <v>593</v>
      </c>
      <c r="R54" t="s">
        <v>2430</v>
      </c>
    </row>
    <row r="55" spans="1:18" x14ac:dyDescent="0.25">
      <c r="A55" t="s">
        <v>83</v>
      </c>
      <c r="B55" t="s">
        <v>1540</v>
      </c>
      <c r="C55" t="s">
        <v>2042</v>
      </c>
      <c r="D55" t="s">
        <v>2043</v>
      </c>
      <c r="E55" t="s">
        <v>84</v>
      </c>
      <c r="F55" t="s">
        <v>1254</v>
      </c>
      <c r="G55" t="s">
        <v>1742</v>
      </c>
      <c r="H55" t="s">
        <v>1243</v>
      </c>
      <c r="I55" t="s">
        <v>1576</v>
      </c>
      <c r="J55" t="s">
        <v>1255</v>
      </c>
      <c r="K55" t="s">
        <v>872</v>
      </c>
      <c r="L55" t="s">
        <v>42</v>
      </c>
      <c r="M55" t="s">
        <v>19</v>
      </c>
      <c r="N55">
        <v>750000</v>
      </c>
      <c r="O55" t="s">
        <v>1193</v>
      </c>
      <c r="P55">
        <v>5.875</v>
      </c>
      <c r="Q55" t="s">
        <v>566</v>
      </c>
      <c r="R55" t="s">
        <v>578</v>
      </c>
    </row>
    <row r="56" spans="1:18" x14ac:dyDescent="0.25">
      <c r="A56" t="s">
        <v>2408</v>
      </c>
      <c r="B56" t="s">
        <v>1540</v>
      </c>
      <c r="C56" t="s">
        <v>2042</v>
      </c>
      <c r="D56" t="s">
        <v>2043</v>
      </c>
      <c r="E56" t="s">
        <v>2409</v>
      </c>
      <c r="F56" t="s">
        <v>1254</v>
      </c>
      <c r="G56" t="s">
        <v>1742</v>
      </c>
      <c r="H56" t="s">
        <v>1243</v>
      </c>
      <c r="I56" t="s">
        <v>1576</v>
      </c>
      <c r="J56" t="s">
        <v>1255</v>
      </c>
      <c r="K56" t="s">
        <v>872</v>
      </c>
      <c r="L56" t="s">
        <v>42</v>
      </c>
      <c r="M56" t="s">
        <v>19</v>
      </c>
      <c r="N56">
        <v>1000000</v>
      </c>
      <c r="O56" t="s">
        <v>1193</v>
      </c>
      <c r="P56">
        <v>5.4</v>
      </c>
      <c r="Q56" t="s">
        <v>593</v>
      </c>
      <c r="R56" t="s">
        <v>2431</v>
      </c>
    </row>
    <row r="57" spans="1:18" x14ac:dyDescent="0.25">
      <c r="A57" t="s">
        <v>1541</v>
      </c>
      <c r="B57" t="s">
        <v>1540</v>
      </c>
      <c r="C57" t="s">
        <v>2042</v>
      </c>
      <c r="D57" t="s">
        <v>2043</v>
      </c>
      <c r="E57" t="s">
        <v>1542</v>
      </c>
      <c r="F57" t="s">
        <v>1254</v>
      </c>
      <c r="G57" t="s">
        <v>1742</v>
      </c>
      <c r="H57" t="s">
        <v>1243</v>
      </c>
      <c r="I57" t="s">
        <v>1576</v>
      </c>
      <c r="J57" t="s">
        <v>1255</v>
      </c>
      <c r="K57" t="s">
        <v>872</v>
      </c>
      <c r="L57" t="s">
        <v>42</v>
      </c>
      <c r="M57" t="s">
        <v>19</v>
      </c>
      <c r="N57">
        <v>1000000</v>
      </c>
      <c r="O57" t="s">
        <v>1193</v>
      </c>
      <c r="P57">
        <v>7.625</v>
      </c>
      <c r="Q57" t="s">
        <v>566</v>
      </c>
      <c r="R57" t="s">
        <v>2432</v>
      </c>
    </row>
    <row r="58" spans="1:18" x14ac:dyDescent="0.25">
      <c r="A58" t="s">
        <v>911</v>
      </c>
      <c r="B58" t="s">
        <v>1540</v>
      </c>
      <c r="C58" t="s">
        <v>2042</v>
      </c>
      <c r="D58" t="s">
        <v>2043</v>
      </c>
      <c r="E58" t="s">
        <v>912</v>
      </c>
      <c r="F58" t="s">
        <v>1254</v>
      </c>
      <c r="G58" t="s">
        <v>1742</v>
      </c>
      <c r="H58" t="s">
        <v>1243</v>
      </c>
      <c r="I58" t="s">
        <v>1576</v>
      </c>
      <c r="J58" t="s">
        <v>1255</v>
      </c>
      <c r="K58" t="s">
        <v>872</v>
      </c>
      <c r="L58" t="s">
        <v>42</v>
      </c>
      <c r="M58" t="s">
        <v>19</v>
      </c>
      <c r="N58">
        <v>900000</v>
      </c>
      <c r="O58" t="s">
        <v>1193</v>
      </c>
      <c r="P58">
        <v>8.125</v>
      </c>
      <c r="Q58" t="s">
        <v>566</v>
      </c>
      <c r="R58" t="s">
        <v>2433</v>
      </c>
    </row>
    <row r="59" spans="1:18" x14ac:dyDescent="0.25">
      <c r="A59" t="s">
        <v>854</v>
      </c>
      <c r="B59" t="s">
        <v>1540</v>
      </c>
      <c r="C59" t="s">
        <v>2042</v>
      </c>
      <c r="D59" t="s">
        <v>2043</v>
      </c>
      <c r="E59" t="s">
        <v>855</v>
      </c>
      <c r="F59" t="s">
        <v>1254</v>
      </c>
      <c r="G59" t="s">
        <v>1742</v>
      </c>
      <c r="H59" t="s">
        <v>1243</v>
      </c>
      <c r="I59" t="s">
        <v>1576</v>
      </c>
      <c r="J59" t="s">
        <v>1255</v>
      </c>
      <c r="K59" t="s">
        <v>872</v>
      </c>
      <c r="L59" t="s">
        <v>42</v>
      </c>
      <c r="M59" t="s">
        <v>19</v>
      </c>
      <c r="N59">
        <v>1000000</v>
      </c>
      <c r="O59" t="s">
        <v>1193</v>
      </c>
      <c r="P59">
        <v>8.4499999999999993</v>
      </c>
      <c r="Q59" t="s">
        <v>566</v>
      </c>
      <c r="R59" t="s">
        <v>856</v>
      </c>
    </row>
    <row r="60" spans="1:18" x14ac:dyDescent="0.25">
      <c r="A60" t="s">
        <v>1048</v>
      </c>
      <c r="B60" t="s">
        <v>1256</v>
      </c>
      <c r="C60" t="s">
        <v>1049</v>
      </c>
      <c r="D60" t="s">
        <v>1590</v>
      </c>
      <c r="E60" t="s">
        <v>1050</v>
      </c>
      <c r="F60" t="s">
        <v>1257</v>
      </c>
      <c r="G60" t="s">
        <v>1743</v>
      </c>
      <c r="H60" t="s">
        <v>138</v>
      </c>
      <c r="I60" t="s">
        <v>1576</v>
      </c>
      <c r="J60" t="s">
        <v>1015</v>
      </c>
      <c r="K60" t="s">
        <v>31</v>
      </c>
      <c r="L60" t="s">
        <v>31</v>
      </c>
      <c r="M60" t="s">
        <v>19</v>
      </c>
      <c r="N60">
        <v>300000</v>
      </c>
      <c r="O60" t="s">
        <v>1193</v>
      </c>
      <c r="P60">
        <v>7</v>
      </c>
      <c r="Q60" t="s">
        <v>565</v>
      </c>
      <c r="R60" t="s">
        <v>1051</v>
      </c>
    </row>
    <row r="61" spans="1:18" x14ac:dyDescent="0.25">
      <c r="A61" t="s">
        <v>85</v>
      </c>
      <c r="B61" t="s">
        <v>1258</v>
      </c>
      <c r="C61" t="s">
        <v>86</v>
      </c>
      <c r="D61" t="s">
        <v>1258</v>
      </c>
      <c r="E61" t="s">
        <v>87</v>
      </c>
      <c r="F61" t="s">
        <v>1259</v>
      </c>
      <c r="G61" t="s">
        <v>1744</v>
      </c>
      <c r="H61" t="s">
        <v>1260</v>
      </c>
      <c r="I61" t="s">
        <v>1195</v>
      </c>
      <c r="J61" t="s">
        <v>1261</v>
      </c>
      <c r="K61" t="s">
        <v>31</v>
      </c>
      <c r="L61" t="s">
        <v>31</v>
      </c>
      <c r="M61" t="s">
        <v>19</v>
      </c>
      <c r="N61">
        <v>300000</v>
      </c>
      <c r="O61" t="s">
        <v>1193</v>
      </c>
      <c r="P61">
        <v>3.9</v>
      </c>
      <c r="Q61" t="s">
        <v>564</v>
      </c>
      <c r="R61" t="s">
        <v>579</v>
      </c>
    </row>
    <row r="62" spans="1:18" x14ac:dyDescent="0.25">
      <c r="A62" t="s">
        <v>88</v>
      </c>
      <c r="B62" t="s">
        <v>1262</v>
      </c>
      <c r="C62" t="s">
        <v>89</v>
      </c>
      <c r="D62" t="s">
        <v>1591</v>
      </c>
      <c r="E62" t="s">
        <v>90</v>
      </c>
      <c r="F62" t="s">
        <v>1263</v>
      </c>
      <c r="G62" t="s">
        <v>1745</v>
      </c>
      <c r="H62" t="s">
        <v>1243</v>
      </c>
      <c r="I62" t="s">
        <v>1576</v>
      </c>
      <c r="J62" t="s">
        <v>1244</v>
      </c>
      <c r="K62" t="s">
        <v>31</v>
      </c>
      <c r="L62" t="s">
        <v>31</v>
      </c>
      <c r="M62" t="s">
        <v>19</v>
      </c>
      <c r="N62">
        <v>500000</v>
      </c>
      <c r="O62" t="s">
        <v>1193</v>
      </c>
      <c r="P62">
        <v>2.875</v>
      </c>
      <c r="Q62" t="s">
        <v>581</v>
      </c>
      <c r="R62" t="s">
        <v>580</v>
      </c>
    </row>
    <row r="63" spans="1:18" x14ac:dyDescent="0.25">
      <c r="A63" t="s">
        <v>1072</v>
      </c>
      <c r="B63" t="s">
        <v>1262</v>
      </c>
      <c r="C63" t="s">
        <v>89</v>
      </c>
      <c r="D63" t="s">
        <v>1591</v>
      </c>
      <c r="E63" t="s">
        <v>1073</v>
      </c>
      <c r="F63" t="s">
        <v>1263</v>
      </c>
      <c r="G63" t="s">
        <v>1745</v>
      </c>
      <c r="H63" t="s">
        <v>1243</v>
      </c>
      <c r="I63" t="s">
        <v>1576</v>
      </c>
      <c r="J63" t="s">
        <v>1244</v>
      </c>
      <c r="K63" t="s">
        <v>31</v>
      </c>
      <c r="L63" t="s">
        <v>31</v>
      </c>
      <c r="M63" t="s">
        <v>19</v>
      </c>
      <c r="N63">
        <v>500000</v>
      </c>
      <c r="O63" t="s">
        <v>1193</v>
      </c>
      <c r="P63">
        <v>7.5</v>
      </c>
      <c r="Q63" t="s">
        <v>566</v>
      </c>
    </row>
    <row r="64" spans="1:18" x14ac:dyDescent="0.25">
      <c r="A64" t="s">
        <v>948</v>
      </c>
      <c r="B64" t="s">
        <v>1262</v>
      </c>
      <c r="C64" t="s">
        <v>89</v>
      </c>
      <c r="D64" t="s">
        <v>1591</v>
      </c>
      <c r="E64" t="s">
        <v>949</v>
      </c>
      <c r="F64" t="s">
        <v>1263</v>
      </c>
      <c r="G64" t="s">
        <v>1745</v>
      </c>
      <c r="H64" t="s">
        <v>1243</v>
      </c>
      <c r="I64" t="s">
        <v>1576</v>
      </c>
      <c r="J64" t="s">
        <v>1244</v>
      </c>
      <c r="K64" t="s">
        <v>31</v>
      </c>
      <c r="L64" t="s">
        <v>31</v>
      </c>
      <c r="M64" t="s">
        <v>19</v>
      </c>
      <c r="N64">
        <v>500000</v>
      </c>
      <c r="O64" t="s">
        <v>1193</v>
      </c>
      <c r="P64">
        <v>8.75</v>
      </c>
      <c r="Q64" t="s">
        <v>566</v>
      </c>
    </row>
    <row r="65" spans="1:18" x14ac:dyDescent="0.25">
      <c r="A65" t="s">
        <v>975</v>
      </c>
      <c r="B65" t="s">
        <v>1264</v>
      </c>
      <c r="C65" t="s">
        <v>976</v>
      </c>
      <c r="D65" t="s">
        <v>1592</v>
      </c>
      <c r="E65" t="s">
        <v>977</v>
      </c>
      <c r="F65" t="s">
        <v>1265</v>
      </c>
      <c r="G65" t="s">
        <v>1746</v>
      </c>
      <c r="H65" t="s">
        <v>1243</v>
      </c>
      <c r="I65" t="s">
        <v>1576</v>
      </c>
      <c r="J65" t="s">
        <v>1244</v>
      </c>
      <c r="K65" t="s">
        <v>18</v>
      </c>
      <c r="L65" t="s">
        <v>18</v>
      </c>
      <c r="M65" t="s">
        <v>19</v>
      </c>
      <c r="N65">
        <v>300000</v>
      </c>
      <c r="O65" t="s">
        <v>1193</v>
      </c>
      <c r="P65">
        <v>6.2</v>
      </c>
      <c r="Q65" t="s">
        <v>565</v>
      </c>
      <c r="R65" t="s">
        <v>2434</v>
      </c>
    </row>
    <row r="66" spans="1:18" x14ac:dyDescent="0.25">
      <c r="A66" t="s">
        <v>1029</v>
      </c>
      <c r="B66" t="s">
        <v>1266</v>
      </c>
      <c r="C66" t="s">
        <v>717</v>
      </c>
      <c r="D66" t="s">
        <v>1593</v>
      </c>
      <c r="E66" t="s">
        <v>1030</v>
      </c>
      <c r="F66" t="s">
        <v>1267</v>
      </c>
      <c r="G66" t="s">
        <v>2564</v>
      </c>
      <c r="H66" t="s">
        <v>1243</v>
      </c>
      <c r="I66" t="s">
        <v>1576</v>
      </c>
      <c r="J66" t="s">
        <v>1244</v>
      </c>
      <c r="K66" t="s">
        <v>41</v>
      </c>
      <c r="L66" t="s">
        <v>41</v>
      </c>
      <c r="M66" t="s">
        <v>19</v>
      </c>
      <c r="N66">
        <v>800000</v>
      </c>
      <c r="O66" t="s">
        <v>1193</v>
      </c>
      <c r="P66">
        <v>8.625</v>
      </c>
      <c r="Q66" t="s">
        <v>569</v>
      </c>
      <c r="R66" t="s">
        <v>1031</v>
      </c>
    </row>
    <row r="67" spans="1:18" x14ac:dyDescent="0.25">
      <c r="A67" t="s">
        <v>2017</v>
      </c>
      <c r="B67" t="s">
        <v>1268</v>
      </c>
      <c r="C67" t="s">
        <v>91</v>
      </c>
      <c r="D67" t="s">
        <v>1594</v>
      </c>
      <c r="E67" t="s">
        <v>2018</v>
      </c>
      <c r="F67" t="s">
        <v>1269</v>
      </c>
      <c r="G67" t="s">
        <v>1747</v>
      </c>
      <c r="H67" t="s">
        <v>1243</v>
      </c>
      <c r="I67" t="s">
        <v>1576</v>
      </c>
      <c r="J67" t="s">
        <v>1244</v>
      </c>
      <c r="K67" t="s">
        <v>18</v>
      </c>
      <c r="L67" t="s">
        <v>18</v>
      </c>
      <c r="M67" t="s">
        <v>19</v>
      </c>
      <c r="N67">
        <v>500000</v>
      </c>
      <c r="O67" t="s">
        <v>1193</v>
      </c>
      <c r="P67">
        <v>5.65</v>
      </c>
      <c r="Q67" t="s">
        <v>565</v>
      </c>
      <c r="R67" t="s">
        <v>2019</v>
      </c>
    </row>
    <row r="68" spans="1:18" x14ac:dyDescent="0.25">
      <c r="A68" t="s">
        <v>1134</v>
      </c>
      <c r="B68" t="s">
        <v>1268</v>
      </c>
      <c r="C68" t="s">
        <v>91</v>
      </c>
      <c r="D68" t="s">
        <v>1594</v>
      </c>
      <c r="E68" t="s">
        <v>1135</v>
      </c>
      <c r="F68" t="s">
        <v>1269</v>
      </c>
      <c r="G68" t="s">
        <v>1747</v>
      </c>
      <c r="H68" t="s">
        <v>1243</v>
      </c>
      <c r="I68" t="s">
        <v>1576</v>
      </c>
      <c r="J68" t="s">
        <v>1244</v>
      </c>
      <c r="K68" t="s">
        <v>18</v>
      </c>
      <c r="L68" t="s">
        <v>18</v>
      </c>
      <c r="M68" t="s">
        <v>19</v>
      </c>
      <c r="N68">
        <v>600000</v>
      </c>
      <c r="O68" t="s">
        <v>1193</v>
      </c>
      <c r="P68">
        <v>5.8</v>
      </c>
      <c r="Q68" t="s">
        <v>565</v>
      </c>
      <c r="R68" t="s">
        <v>2435</v>
      </c>
    </row>
    <row r="69" spans="1:18" x14ac:dyDescent="0.25">
      <c r="A69" t="s">
        <v>920</v>
      </c>
      <c r="B69" t="s">
        <v>1268</v>
      </c>
      <c r="C69" t="s">
        <v>91</v>
      </c>
      <c r="D69" t="s">
        <v>1594</v>
      </c>
      <c r="E69" t="s">
        <v>921</v>
      </c>
      <c r="F69" t="s">
        <v>1269</v>
      </c>
      <c r="G69" t="s">
        <v>1747</v>
      </c>
      <c r="H69" t="s">
        <v>1243</v>
      </c>
      <c r="I69" t="s">
        <v>1576</v>
      </c>
      <c r="J69" t="s">
        <v>1244</v>
      </c>
      <c r="K69" t="s">
        <v>18</v>
      </c>
      <c r="L69" t="s">
        <v>18</v>
      </c>
      <c r="M69" t="s">
        <v>19</v>
      </c>
      <c r="N69">
        <v>500000</v>
      </c>
      <c r="O69" t="s">
        <v>1193</v>
      </c>
      <c r="P69">
        <v>5.85</v>
      </c>
      <c r="Q69" t="s">
        <v>562</v>
      </c>
      <c r="R69" t="s">
        <v>2426</v>
      </c>
    </row>
    <row r="70" spans="1:18" x14ac:dyDescent="0.25">
      <c r="A70" t="s">
        <v>1688</v>
      </c>
      <c r="B70" t="s">
        <v>1268</v>
      </c>
      <c r="C70" t="s">
        <v>91</v>
      </c>
      <c r="D70" t="s">
        <v>1594</v>
      </c>
      <c r="E70" t="s">
        <v>1689</v>
      </c>
      <c r="F70" t="s">
        <v>1269</v>
      </c>
      <c r="G70" t="s">
        <v>1747</v>
      </c>
      <c r="H70" t="s">
        <v>1243</v>
      </c>
      <c r="I70" t="s">
        <v>1576</v>
      </c>
      <c r="J70" t="s">
        <v>1244</v>
      </c>
      <c r="K70" t="s">
        <v>18</v>
      </c>
      <c r="L70" t="s">
        <v>18</v>
      </c>
      <c r="M70" t="s">
        <v>19</v>
      </c>
      <c r="N70">
        <v>750000</v>
      </c>
      <c r="O70" t="s">
        <v>1193</v>
      </c>
      <c r="P70">
        <v>6.45</v>
      </c>
      <c r="Q70" t="s">
        <v>565</v>
      </c>
      <c r="R70" t="s">
        <v>1690</v>
      </c>
    </row>
    <row r="71" spans="1:18" x14ac:dyDescent="0.25">
      <c r="A71" t="s">
        <v>92</v>
      </c>
      <c r="B71" t="s">
        <v>1270</v>
      </c>
      <c r="C71" t="s">
        <v>93</v>
      </c>
      <c r="D71" t="s">
        <v>1595</v>
      </c>
      <c r="E71" t="s">
        <v>94</v>
      </c>
      <c r="F71" t="s">
        <v>1271</v>
      </c>
      <c r="G71" t="s">
        <v>1748</v>
      </c>
      <c r="H71" t="s">
        <v>1200</v>
      </c>
      <c r="I71" t="s">
        <v>1195</v>
      </c>
      <c r="J71" t="s">
        <v>1201</v>
      </c>
      <c r="K71" t="s">
        <v>871</v>
      </c>
      <c r="L71" t="s">
        <v>27</v>
      </c>
      <c r="M71" t="s">
        <v>19</v>
      </c>
      <c r="N71">
        <v>1400000</v>
      </c>
      <c r="O71" t="s">
        <v>1193</v>
      </c>
      <c r="P71">
        <v>4.375</v>
      </c>
      <c r="Q71" t="s">
        <v>564</v>
      </c>
      <c r="R71" t="s">
        <v>582</v>
      </c>
    </row>
    <row r="72" spans="1:18" x14ac:dyDescent="0.25">
      <c r="A72" t="s">
        <v>2336</v>
      </c>
      <c r="B72" t="s">
        <v>1270</v>
      </c>
      <c r="C72" t="s">
        <v>93</v>
      </c>
      <c r="D72" t="s">
        <v>1595</v>
      </c>
      <c r="E72" t="s">
        <v>2337</v>
      </c>
      <c r="F72" t="s">
        <v>1271</v>
      </c>
      <c r="G72" t="s">
        <v>1748</v>
      </c>
      <c r="H72" t="s">
        <v>1200</v>
      </c>
      <c r="I72" t="s">
        <v>1195</v>
      </c>
      <c r="J72" t="s">
        <v>1201</v>
      </c>
      <c r="K72" t="s">
        <v>871</v>
      </c>
      <c r="L72" t="s">
        <v>27</v>
      </c>
      <c r="M72" t="s">
        <v>19</v>
      </c>
      <c r="N72">
        <v>600000</v>
      </c>
      <c r="O72" t="s">
        <v>1193</v>
      </c>
      <c r="P72">
        <v>7.5</v>
      </c>
      <c r="Q72" t="s">
        <v>564</v>
      </c>
      <c r="R72" t="s">
        <v>2338</v>
      </c>
    </row>
    <row r="73" spans="1:18" x14ac:dyDescent="0.25">
      <c r="A73" t="s">
        <v>882</v>
      </c>
      <c r="B73" t="s">
        <v>1270</v>
      </c>
      <c r="C73" t="s">
        <v>93</v>
      </c>
      <c r="D73" t="s">
        <v>1595</v>
      </c>
      <c r="E73" t="s">
        <v>883</v>
      </c>
      <c r="F73" t="s">
        <v>1271</v>
      </c>
      <c r="G73" t="s">
        <v>1748</v>
      </c>
      <c r="H73" t="s">
        <v>1200</v>
      </c>
      <c r="I73" t="s">
        <v>1195</v>
      </c>
      <c r="J73" t="s">
        <v>1201</v>
      </c>
      <c r="K73" t="s">
        <v>871</v>
      </c>
      <c r="L73" t="s">
        <v>27</v>
      </c>
      <c r="M73" t="s">
        <v>19</v>
      </c>
      <c r="N73">
        <v>1000000</v>
      </c>
      <c r="O73" t="s">
        <v>1193</v>
      </c>
      <c r="P73">
        <v>8.875</v>
      </c>
      <c r="Q73" t="s">
        <v>564</v>
      </c>
      <c r="R73" t="s">
        <v>884</v>
      </c>
    </row>
    <row r="74" spans="1:18" x14ac:dyDescent="0.25">
      <c r="A74" t="s">
        <v>96</v>
      </c>
      <c r="B74" t="s">
        <v>1272</v>
      </c>
      <c r="C74" t="s">
        <v>95</v>
      </c>
      <c r="D74" t="s">
        <v>95</v>
      </c>
      <c r="E74" t="s">
        <v>97</v>
      </c>
      <c r="F74" t="s">
        <v>1273</v>
      </c>
      <c r="G74" t="s">
        <v>1749</v>
      </c>
      <c r="H74" t="s">
        <v>1227</v>
      </c>
      <c r="I74" t="s">
        <v>1195</v>
      </c>
      <c r="J74" t="s">
        <v>2040</v>
      </c>
      <c r="K74" t="s">
        <v>31</v>
      </c>
      <c r="L74" t="s">
        <v>31</v>
      </c>
      <c r="M74" t="s">
        <v>19</v>
      </c>
      <c r="N74">
        <v>650000</v>
      </c>
      <c r="O74" t="s">
        <v>1193</v>
      </c>
      <c r="P74">
        <v>3.375</v>
      </c>
      <c r="Q74" t="s">
        <v>565</v>
      </c>
      <c r="R74" t="s">
        <v>583</v>
      </c>
    </row>
    <row r="75" spans="1:18" x14ac:dyDescent="0.25">
      <c r="A75" t="s">
        <v>98</v>
      </c>
      <c r="B75" t="s">
        <v>1275</v>
      </c>
      <c r="C75" t="s">
        <v>99</v>
      </c>
      <c r="D75" t="s">
        <v>1596</v>
      </c>
      <c r="E75" t="s">
        <v>100</v>
      </c>
      <c r="F75" t="s">
        <v>1276</v>
      </c>
      <c r="G75" t="s">
        <v>1750</v>
      </c>
      <c r="H75" t="s">
        <v>101</v>
      </c>
      <c r="I75" t="s">
        <v>1577</v>
      </c>
      <c r="J75" t="s">
        <v>102</v>
      </c>
      <c r="K75" t="s">
        <v>31</v>
      </c>
      <c r="L75" t="s">
        <v>31</v>
      </c>
      <c r="M75" t="s">
        <v>19</v>
      </c>
      <c r="N75">
        <v>500000</v>
      </c>
      <c r="O75" t="s">
        <v>1193</v>
      </c>
      <c r="P75">
        <v>3.0680000000000001</v>
      </c>
      <c r="Q75" t="s">
        <v>581</v>
      </c>
      <c r="R75" t="s">
        <v>584</v>
      </c>
    </row>
    <row r="76" spans="1:18" x14ac:dyDescent="0.25">
      <c r="A76" t="s">
        <v>103</v>
      </c>
      <c r="B76" t="s">
        <v>1275</v>
      </c>
      <c r="C76" t="s">
        <v>99</v>
      </c>
      <c r="D76" t="s">
        <v>1596</v>
      </c>
      <c r="E76" t="s">
        <v>104</v>
      </c>
      <c r="F76" t="s">
        <v>1276</v>
      </c>
      <c r="G76" t="s">
        <v>1750</v>
      </c>
      <c r="H76" t="s">
        <v>101</v>
      </c>
      <c r="I76" t="s">
        <v>1577</v>
      </c>
      <c r="J76" t="s">
        <v>102</v>
      </c>
      <c r="K76" t="s">
        <v>31</v>
      </c>
      <c r="L76" t="s">
        <v>31</v>
      </c>
      <c r="M76" t="s">
        <v>19</v>
      </c>
      <c r="N76">
        <v>500000</v>
      </c>
      <c r="O76" t="s">
        <v>1193</v>
      </c>
      <c r="P76">
        <v>3.83</v>
      </c>
      <c r="Q76" t="s">
        <v>581</v>
      </c>
      <c r="R76" t="s">
        <v>585</v>
      </c>
    </row>
    <row r="77" spans="1:18" x14ac:dyDescent="0.25">
      <c r="A77" t="s">
        <v>106</v>
      </c>
      <c r="B77" t="s">
        <v>1277</v>
      </c>
      <c r="C77" t="s">
        <v>107</v>
      </c>
      <c r="D77" t="s">
        <v>1597</v>
      </c>
      <c r="E77" t="s">
        <v>108</v>
      </c>
      <c r="F77" t="s">
        <v>1278</v>
      </c>
      <c r="G77" t="s">
        <v>1751</v>
      </c>
      <c r="H77" t="s">
        <v>1200</v>
      </c>
      <c r="I77" t="s">
        <v>1195</v>
      </c>
      <c r="J77" t="s">
        <v>1279</v>
      </c>
      <c r="K77" t="s">
        <v>872</v>
      </c>
      <c r="L77" t="s">
        <v>42</v>
      </c>
      <c r="M77" t="s">
        <v>19</v>
      </c>
      <c r="N77">
        <v>600000</v>
      </c>
      <c r="O77" t="s">
        <v>1193</v>
      </c>
      <c r="P77">
        <v>4</v>
      </c>
      <c r="Q77" t="s">
        <v>593</v>
      </c>
      <c r="R77" t="s">
        <v>586</v>
      </c>
    </row>
    <row r="78" spans="1:18" x14ac:dyDescent="0.25">
      <c r="A78" t="s">
        <v>109</v>
      </c>
      <c r="B78" t="s">
        <v>1280</v>
      </c>
      <c r="C78" t="s">
        <v>105</v>
      </c>
      <c r="D78" t="s">
        <v>1598</v>
      </c>
      <c r="E78" t="s">
        <v>110</v>
      </c>
      <c r="F78" t="s">
        <v>1278</v>
      </c>
      <c r="G78" t="s">
        <v>1751</v>
      </c>
      <c r="H78" t="s">
        <v>1200</v>
      </c>
      <c r="I78" t="s">
        <v>1195</v>
      </c>
      <c r="J78" t="s">
        <v>1279</v>
      </c>
      <c r="K78" t="s">
        <v>42</v>
      </c>
      <c r="L78" t="s">
        <v>42</v>
      </c>
      <c r="M78" t="s">
        <v>19</v>
      </c>
      <c r="N78">
        <v>600000</v>
      </c>
      <c r="O78" t="s">
        <v>1193</v>
      </c>
      <c r="P78">
        <v>4</v>
      </c>
      <c r="Q78" t="s">
        <v>593</v>
      </c>
      <c r="R78" t="s">
        <v>2436</v>
      </c>
    </row>
    <row r="79" spans="1:18" x14ac:dyDescent="0.25">
      <c r="A79" t="s">
        <v>111</v>
      </c>
      <c r="B79" t="s">
        <v>1280</v>
      </c>
      <c r="C79" t="s">
        <v>105</v>
      </c>
      <c r="D79" t="s">
        <v>1598</v>
      </c>
      <c r="E79" t="s">
        <v>112</v>
      </c>
      <c r="F79" t="s">
        <v>1278</v>
      </c>
      <c r="G79" t="s">
        <v>1751</v>
      </c>
      <c r="H79" t="s">
        <v>1200</v>
      </c>
      <c r="I79" t="s">
        <v>1195</v>
      </c>
      <c r="J79" t="s">
        <v>1279</v>
      </c>
      <c r="K79" t="s">
        <v>42</v>
      </c>
      <c r="L79" t="s">
        <v>42</v>
      </c>
      <c r="M79" t="s">
        <v>19</v>
      </c>
      <c r="N79">
        <v>500000</v>
      </c>
      <c r="O79" t="s">
        <v>1193</v>
      </c>
      <c r="P79">
        <v>4.875</v>
      </c>
      <c r="Q79" t="s">
        <v>593</v>
      </c>
      <c r="R79" t="s">
        <v>587</v>
      </c>
    </row>
    <row r="80" spans="1:18" x14ac:dyDescent="0.25">
      <c r="A80" t="s">
        <v>113</v>
      </c>
      <c r="B80" t="s">
        <v>1280</v>
      </c>
      <c r="C80" t="s">
        <v>105</v>
      </c>
      <c r="D80" t="s">
        <v>1598</v>
      </c>
      <c r="E80" t="s">
        <v>114</v>
      </c>
      <c r="F80" t="s">
        <v>1278</v>
      </c>
      <c r="G80" t="s">
        <v>1751</v>
      </c>
      <c r="H80" t="s">
        <v>1200</v>
      </c>
      <c r="I80" t="s">
        <v>1195</v>
      </c>
      <c r="J80" t="s">
        <v>1279</v>
      </c>
      <c r="K80" t="s">
        <v>42</v>
      </c>
      <c r="L80" t="s">
        <v>42</v>
      </c>
      <c r="M80" t="s">
        <v>19</v>
      </c>
      <c r="N80">
        <v>650000</v>
      </c>
      <c r="O80" t="s">
        <v>1193</v>
      </c>
      <c r="P80">
        <v>4.7</v>
      </c>
      <c r="Q80" t="s">
        <v>593</v>
      </c>
      <c r="R80" t="s">
        <v>2437</v>
      </c>
    </row>
    <row r="81" spans="1:18" x14ac:dyDescent="0.25">
      <c r="A81" t="s">
        <v>913</v>
      </c>
      <c r="B81" t="s">
        <v>1277</v>
      </c>
      <c r="C81" t="s">
        <v>107</v>
      </c>
      <c r="D81" t="s">
        <v>1597</v>
      </c>
      <c r="E81" t="s">
        <v>914</v>
      </c>
      <c r="F81" t="s">
        <v>1278</v>
      </c>
      <c r="G81" t="s">
        <v>1751</v>
      </c>
      <c r="H81" t="s">
        <v>1200</v>
      </c>
      <c r="I81" t="s">
        <v>1195</v>
      </c>
      <c r="J81" t="s">
        <v>1279</v>
      </c>
      <c r="K81" t="s">
        <v>872</v>
      </c>
      <c r="L81" t="s">
        <v>42</v>
      </c>
      <c r="M81" t="s">
        <v>19</v>
      </c>
      <c r="N81">
        <v>800000</v>
      </c>
      <c r="O81" t="s">
        <v>1193</v>
      </c>
      <c r="P81">
        <v>5.375</v>
      </c>
      <c r="Q81" t="s">
        <v>593</v>
      </c>
      <c r="R81" t="s">
        <v>2438</v>
      </c>
    </row>
    <row r="82" spans="1:18" x14ac:dyDescent="0.25">
      <c r="A82" t="s">
        <v>892</v>
      </c>
      <c r="B82" t="s">
        <v>1277</v>
      </c>
      <c r="C82" t="s">
        <v>107</v>
      </c>
      <c r="D82" t="s">
        <v>1597</v>
      </c>
      <c r="E82" t="s">
        <v>893</v>
      </c>
      <c r="F82" t="s">
        <v>1278</v>
      </c>
      <c r="G82" t="s">
        <v>1751</v>
      </c>
      <c r="H82" t="s">
        <v>1200</v>
      </c>
      <c r="I82" t="s">
        <v>1195</v>
      </c>
      <c r="J82" t="s">
        <v>1279</v>
      </c>
      <c r="K82" t="s">
        <v>872</v>
      </c>
      <c r="L82" t="s">
        <v>42</v>
      </c>
      <c r="M82" t="s">
        <v>19</v>
      </c>
      <c r="N82">
        <v>900000</v>
      </c>
      <c r="O82" t="s">
        <v>1193</v>
      </c>
      <c r="P82">
        <v>6.05</v>
      </c>
      <c r="Q82" t="s">
        <v>593</v>
      </c>
      <c r="R82" t="s">
        <v>668</v>
      </c>
    </row>
    <row r="83" spans="1:18" x14ac:dyDescent="0.25">
      <c r="A83" t="s">
        <v>894</v>
      </c>
      <c r="B83" t="s">
        <v>1277</v>
      </c>
      <c r="C83" t="s">
        <v>107</v>
      </c>
      <c r="D83" t="s">
        <v>1597</v>
      </c>
      <c r="E83" t="s">
        <v>895</v>
      </c>
      <c r="F83" t="s">
        <v>1278</v>
      </c>
      <c r="G83" t="s">
        <v>1751</v>
      </c>
      <c r="H83" t="s">
        <v>1200</v>
      </c>
      <c r="I83" t="s">
        <v>1195</v>
      </c>
      <c r="J83" t="s">
        <v>1279</v>
      </c>
      <c r="K83" t="s">
        <v>872</v>
      </c>
      <c r="L83" t="s">
        <v>42</v>
      </c>
      <c r="M83" t="s">
        <v>19</v>
      </c>
      <c r="N83">
        <v>550000</v>
      </c>
      <c r="O83" t="s">
        <v>1193</v>
      </c>
      <c r="P83">
        <v>6.4</v>
      </c>
      <c r="Q83" t="s">
        <v>593</v>
      </c>
      <c r="R83" t="s">
        <v>896</v>
      </c>
    </row>
    <row r="84" spans="1:18" x14ac:dyDescent="0.25">
      <c r="A84" t="s">
        <v>2101</v>
      </c>
      <c r="B84" t="s">
        <v>1281</v>
      </c>
      <c r="C84" t="s">
        <v>115</v>
      </c>
      <c r="D84" t="s">
        <v>1599</v>
      </c>
      <c r="E84" t="s">
        <v>2102</v>
      </c>
      <c r="F84" t="s">
        <v>1282</v>
      </c>
      <c r="G84" t="s">
        <v>1752</v>
      </c>
      <c r="H84" t="s">
        <v>1243</v>
      </c>
      <c r="I84" t="s">
        <v>1576</v>
      </c>
      <c r="J84" t="s">
        <v>1244</v>
      </c>
      <c r="K84" t="s">
        <v>18</v>
      </c>
      <c r="L84" t="s">
        <v>18</v>
      </c>
      <c r="M84" t="s">
        <v>19</v>
      </c>
      <c r="N84">
        <v>500000</v>
      </c>
      <c r="O84" t="s">
        <v>1193</v>
      </c>
      <c r="P84">
        <v>4.8</v>
      </c>
      <c r="Q84" t="s">
        <v>562</v>
      </c>
      <c r="R84" t="s">
        <v>2103</v>
      </c>
    </row>
    <row r="85" spans="1:18" x14ac:dyDescent="0.25">
      <c r="A85" t="s">
        <v>1552</v>
      </c>
      <c r="B85" t="s">
        <v>1281</v>
      </c>
      <c r="C85" t="s">
        <v>115</v>
      </c>
      <c r="D85" t="s">
        <v>1599</v>
      </c>
      <c r="E85" t="s">
        <v>1553</v>
      </c>
      <c r="F85" t="s">
        <v>1282</v>
      </c>
      <c r="G85" t="s">
        <v>1752</v>
      </c>
      <c r="H85" t="s">
        <v>1243</v>
      </c>
      <c r="I85" t="s">
        <v>1576</v>
      </c>
      <c r="J85" t="s">
        <v>1244</v>
      </c>
      <c r="K85" t="s">
        <v>18</v>
      </c>
      <c r="L85" t="s">
        <v>18</v>
      </c>
      <c r="M85" t="s">
        <v>19</v>
      </c>
      <c r="N85">
        <v>350000</v>
      </c>
      <c r="O85" t="s">
        <v>1193</v>
      </c>
      <c r="P85">
        <v>6.3970000000000002</v>
      </c>
      <c r="Q85" t="s">
        <v>566</v>
      </c>
      <c r="R85" t="s">
        <v>1554</v>
      </c>
    </row>
    <row r="86" spans="1:18" x14ac:dyDescent="0.25">
      <c r="A86" t="s">
        <v>928</v>
      </c>
      <c r="B86" t="s">
        <v>1281</v>
      </c>
      <c r="C86" t="s">
        <v>115</v>
      </c>
      <c r="D86" t="s">
        <v>1599</v>
      </c>
      <c r="E86" t="s">
        <v>929</v>
      </c>
      <c r="F86" t="s">
        <v>1282</v>
      </c>
      <c r="G86" t="s">
        <v>1752</v>
      </c>
      <c r="H86" t="s">
        <v>1243</v>
      </c>
      <c r="I86" t="s">
        <v>1576</v>
      </c>
      <c r="J86" t="s">
        <v>1244</v>
      </c>
      <c r="K86" t="s">
        <v>18</v>
      </c>
      <c r="L86" t="s">
        <v>18</v>
      </c>
      <c r="M86" t="s">
        <v>19</v>
      </c>
      <c r="N86">
        <v>300000</v>
      </c>
      <c r="O86" t="s">
        <v>1193</v>
      </c>
      <c r="P86">
        <v>7.625</v>
      </c>
      <c r="Q86" t="s">
        <v>566</v>
      </c>
      <c r="R86" t="s">
        <v>930</v>
      </c>
    </row>
    <row r="87" spans="1:18" x14ac:dyDescent="0.25">
      <c r="A87" t="s">
        <v>116</v>
      </c>
      <c r="B87" t="s">
        <v>1283</v>
      </c>
      <c r="C87" t="s">
        <v>117</v>
      </c>
      <c r="D87" t="s">
        <v>1600</v>
      </c>
      <c r="E87" t="s">
        <v>118</v>
      </c>
      <c r="F87" t="s">
        <v>1284</v>
      </c>
      <c r="G87" t="s">
        <v>1753</v>
      </c>
      <c r="H87" t="s">
        <v>101</v>
      </c>
      <c r="I87" t="s">
        <v>1577</v>
      </c>
      <c r="J87" t="s">
        <v>102</v>
      </c>
      <c r="K87" t="s">
        <v>31</v>
      </c>
      <c r="L87" t="s">
        <v>31</v>
      </c>
      <c r="M87" t="s">
        <v>19</v>
      </c>
      <c r="N87">
        <v>500000</v>
      </c>
      <c r="O87" t="s">
        <v>1193</v>
      </c>
      <c r="P87">
        <v>3.65</v>
      </c>
      <c r="Q87" t="s">
        <v>581</v>
      </c>
      <c r="R87" t="s">
        <v>2419</v>
      </c>
    </row>
    <row r="88" spans="1:18" x14ac:dyDescent="0.25">
      <c r="A88" t="s">
        <v>119</v>
      </c>
      <c r="B88" t="s">
        <v>1283</v>
      </c>
      <c r="C88" t="s">
        <v>117</v>
      </c>
      <c r="D88" t="s">
        <v>1600</v>
      </c>
      <c r="E88" t="s">
        <v>120</v>
      </c>
      <c r="F88" t="s">
        <v>1284</v>
      </c>
      <c r="G88" t="s">
        <v>1753</v>
      </c>
      <c r="H88" t="s">
        <v>101</v>
      </c>
      <c r="I88" t="s">
        <v>1577</v>
      </c>
      <c r="J88" t="s">
        <v>102</v>
      </c>
      <c r="K88" t="s">
        <v>31</v>
      </c>
      <c r="L88" t="s">
        <v>31</v>
      </c>
      <c r="M88" t="s">
        <v>19</v>
      </c>
      <c r="N88">
        <v>650000</v>
      </c>
      <c r="O88" t="s">
        <v>1193</v>
      </c>
      <c r="P88">
        <v>3.6930000000000001</v>
      </c>
      <c r="Q88" t="s">
        <v>581</v>
      </c>
      <c r="R88" t="s">
        <v>588</v>
      </c>
    </row>
    <row r="89" spans="1:18" x14ac:dyDescent="0.25">
      <c r="A89" t="s">
        <v>121</v>
      </c>
      <c r="B89" t="s">
        <v>1283</v>
      </c>
      <c r="C89" t="s">
        <v>117</v>
      </c>
      <c r="D89" t="s">
        <v>1600</v>
      </c>
      <c r="E89" t="s">
        <v>122</v>
      </c>
      <c r="F89" t="s">
        <v>1284</v>
      </c>
      <c r="G89" t="s">
        <v>1753</v>
      </c>
      <c r="H89" t="s">
        <v>101</v>
      </c>
      <c r="I89" t="s">
        <v>1577</v>
      </c>
      <c r="J89" t="s">
        <v>102</v>
      </c>
      <c r="K89" t="s">
        <v>31</v>
      </c>
      <c r="L89" t="s">
        <v>31</v>
      </c>
      <c r="M89" t="s">
        <v>19</v>
      </c>
      <c r="N89">
        <v>1000000</v>
      </c>
      <c r="O89" t="s">
        <v>1193</v>
      </c>
      <c r="P89">
        <v>4.7</v>
      </c>
      <c r="Q89" t="s">
        <v>581</v>
      </c>
      <c r="R89" t="s">
        <v>2439</v>
      </c>
    </row>
    <row r="90" spans="1:18" x14ac:dyDescent="0.25">
      <c r="A90" t="s">
        <v>2156</v>
      </c>
      <c r="B90" t="s">
        <v>1283</v>
      </c>
      <c r="C90" t="s">
        <v>117</v>
      </c>
      <c r="D90" t="s">
        <v>1600</v>
      </c>
      <c r="E90" t="s">
        <v>2157</v>
      </c>
      <c r="F90" t="s">
        <v>1284</v>
      </c>
      <c r="G90" t="s">
        <v>1753</v>
      </c>
      <c r="H90" t="s">
        <v>101</v>
      </c>
      <c r="I90" t="s">
        <v>1577</v>
      </c>
      <c r="J90" t="s">
        <v>102</v>
      </c>
      <c r="K90" t="s">
        <v>31</v>
      </c>
      <c r="L90" t="s">
        <v>31</v>
      </c>
      <c r="M90" t="s">
        <v>19</v>
      </c>
      <c r="N90">
        <v>500000</v>
      </c>
      <c r="O90" t="s">
        <v>1193</v>
      </c>
      <c r="P90">
        <v>5</v>
      </c>
      <c r="Q90" t="s">
        <v>581</v>
      </c>
      <c r="R90" t="s">
        <v>2158</v>
      </c>
    </row>
    <row r="91" spans="1:18" x14ac:dyDescent="0.25">
      <c r="A91" t="s">
        <v>1865</v>
      </c>
      <c r="B91" t="s">
        <v>1285</v>
      </c>
      <c r="C91" t="s">
        <v>123</v>
      </c>
      <c r="D91" t="s">
        <v>1601</v>
      </c>
      <c r="E91" t="s">
        <v>1866</v>
      </c>
      <c r="F91" t="s">
        <v>1286</v>
      </c>
      <c r="G91" t="s">
        <v>2084</v>
      </c>
      <c r="H91" t="s">
        <v>1243</v>
      </c>
      <c r="I91" t="s">
        <v>1577</v>
      </c>
      <c r="J91" t="s">
        <v>1287</v>
      </c>
      <c r="K91" t="s">
        <v>1245</v>
      </c>
      <c r="L91" t="s">
        <v>42</v>
      </c>
      <c r="M91" t="s">
        <v>19</v>
      </c>
      <c r="N91">
        <v>500000</v>
      </c>
      <c r="O91" t="s">
        <v>1193</v>
      </c>
      <c r="P91">
        <v>5.875</v>
      </c>
      <c r="Q91" t="s">
        <v>565</v>
      </c>
      <c r="R91" t="s">
        <v>2419</v>
      </c>
    </row>
    <row r="92" spans="1:18" x14ac:dyDescent="0.25">
      <c r="A92" t="s">
        <v>2368</v>
      </c>
      <c r="B92" t="s">
        <v>1285</v>
      </c>
      <c r="C92" t="s">
        <v>123</v>
      </c>
      <c r="D92" t="s">
        <v>1601</v>
      </c>
      <c r="E92" t="s">
        <v>2369</v>
      </c>
      <c r="F92" t="s">
        <v>1286</v>
      </c>
      <c r="G92" t="s">
        <v>2084</v>
      </c>
      <c r="H92" t="s">
        <v>1243</v>
      </c>
      <c r="I92" t="s">
        <v>1577</v>
      </c>
      <c r="J92" t="s">
        <v>1287</v>
      </c>
      <c r="K92" t="s">
        <v>1245</v>
      </c>
      <c r="L92" t="s">
        <v>42</v>
      </c>
      <c r="M92" t="s">
        <v>19</v>
      </c>
      <c r="N92">
        <v>500000</v>
      </c>
      <c r="O92" t="s">
        <v>1193</v>
      </c>
      <c r="P92">
        <v>6</v>
      </c>
      <c r="Q92" t="s">
        <v>566</v>
      </c>
      <c r="R92" t="s">
        <v>2370</v>
      </c>
    </row>
    <row r="93" spans="1:18" x14ac:dyDescent="0.25">
      <c r="A93" t="s">
        <v>124</v>
      </c>
      <c r="B93" t="s">
        <v>1288</v>
      </c>
      <c r="C93" t="s">
        <v>125</v>
      </c>
      <c r="D93" t="s">
        <v>125</v>
      </c>
      <c r="E93" t="s">
        <v>126</v>
      </c>
      <c r="F93" t="s">
        <v>1289</v>
      </c>
      <c r="G93" t="s">
        <v>1754</v>
      </c>
      <c r="H93" t="s">
        <v>1243</v>
      </c>
      <c r="I93" t="s">
        <v>1576</v>
      </c>
      <c r="J93" t="s">
        <v>1244</v>
      </c>
      <c r="K93" t="s">
        <v>31</v>
      </c>
      <c r="L93" t="s">
        <v>31</v>
      </c>
      <c r="M93" t="s">
        <v>19</v>
      </c>
      <c r="N93">
        <v>500000</v>
      </c>
      <c r="O93" t="s">
        <v>1193</v>
      </c>
      <c r="P93">
        <v>2.99</v>
      </c>
      <c r="Q93" t="s">
        <v>577</v>
      </c>
      <c r="R93" t="s">
        <v>2440</v>
      </c>
    </row>
    <row r="94" spans="1:18" x14ac:dyDescent="0.25">
      <c r="A94" t="s">
        <v>1867</v>
      </c>
      <c r="B94" t="s">
        <v>1868</v>
      </c>
      <c r="C94" t="s">
        <v>1869</v>
      </c>
      <c r="D94" t="s">
        <v>1870</v>
      </c>
      <c r="E94" t="s">
        <v>1871</v>
      </c>
      <c r="F94" t="s">
        <v>1872</v>
      </c>
      <c r="G94" t="s">
        <v>1873</v>
      </c>
      <c r="H94" t="s">
        <v>1243</v>
      </c>
      <c r="I94" t="s">
        <v>1576</v>
      </c>
      <c r="J94" t="s">
        <v>1244</v>
      </c>
      <c r="K94" t="s">
        <v>18</v>
      </c>
      <c r="L94" t="s">
        <v>18</v>
      </c>
      <c r="M94" t="s">
        <v>19</v>
      </c>
      <c r="N94">
        <v>400000</v>
      </c>
      <c r="O94" t="s">
        <v>1193</v>
      </c>
      <c r="P94">
        <v>6.1</v>
      </c>
      <c r="Q94" t="s">
        <v>562</v>
      </c>
      <c r="R94" t="s">
        <v>2441</v>
      </c>
    </row>
    <row r="95" spans="1:18" x14ac:dyDescent="0.25">
      <c r="A95" t="s">
        <v>1923</v>
      </c>
      <c r="B95" t="s">
        <v>1924</v>
      </c>
      <c r="C95" t="s">
        <v>1925</v>
      </c>
      <c r="D95" t="s">
        <v>1926</v>
      </c>
      <c r="E95" t="s">
        <v>1927</v>
      </c>
      <c r="F95" t="s">
        <v>1928</v>
      </c>
      <c r="H95" t="s">
        <v>1224</v>
      </c>
      <c r="I95" t="s">
        <v>1195</v>
      </c>
      <c r="J95" t="s">
        <v>1231</v>
      </c>
      <c r="K95" t="s">
        <v>1929</v>
      </c>
      <c r="L95" t="s">
        <v>18</v>
      </c>
      <c r="M95" t="s">
        <v>19</v>
      </c>
      <c r="N95">
        <v>300000</v>
      </c>
      <c r="O95" t="s">
        <v>1193</v>
      </c>
      <c r="P95">
        <v>9.5</v>
      </c>
      <c r="Q95" t="s">
        <v>576</v>
      </c>
      <c r="R95" t="s">
        <v>2442</v>
      </c>
    </row>
    <row r="96" spans="1:18" x14ac:dyDescent="0.25">
      <c r="A96" t="s">
        <v>2410</v>
      </c>
      <c r="B96" t="s">
        <v>960</v>
      </c>
      <c r="C96" t="s">
        <v>961</v>
      </c>
      <c r="D96" t="s">
        <v>962</v>
      </c>
      <c r="E96" t="s">
        <v>2411</v>
      </c>
      <c r="F96" t="s">
        <v>964</v>
      </c>
      <c r="G96" t="s">
        <v>2412</v>
      </c>
      <c r="H96" t="s">
        <v>221</v>
      </c>
      <c r="I96" t="s">
        <v>1195</v>
      </c>
      <c r="J96" t="s">
        <v>966</v>
      </c>
      <c r="K96" t="s">
        <v>872</v>
      </c>
      <c r="L96" t="s">
        <v>42</v>
      </c>
      <c r="M96" t="s">
        <v>19</v>
      </c>
      <c r="N96">
        <v>1100000</v>
      </c>
      <c r="O96" t="s">
        <v>1193</v>
      </c>
      <c r="P96">
        <v>8.75</v>
      </c>
      <c r="Q96" t="s">
        <v>2195</v>
      </c>
      <c r="R96" t="s">
        <v>583</v>
      </c>
    </row>
    <row r="97" spans="1:18" x14ac:dyDescent="0.25">
      <c r="A97" t="s">
        <v>2443</v>
      </c>
      <c r="B97" t="s">
        <v>960</v>
      </c>
      <c r="C97" t="s">
        <v>961</v>
      </c>
      <c r="D97" t="s">
        <v>962</v>
      </c>
      <c r="E97" t="s">
        <v>2444</v>
      </c>
      <c r="F97" t="s">
        <v>964</v>
      </c>
      <c r="G97" t="s">
        <v>2412</v>
      </c>
      <c r="H97" t="s">
        <v>221</v>
      </c>
      <c r="I97" t="s">
        <v>1195</v>
      </c>
      <c r="J97" t="s">
        <v>966</v>
      </c>
      <c r="K97" t="s">
        <v>872</v>
      </c>
      <c r="L97" t="s">
        <v>42</v>
      </c>
      <c r="M97" t="s">
        <v>19</v>
      </c>
      <c r="N97">
        <v>935000</v>
      </c>
      <c r="O97" t="s">
        <v>1193</v>
      </c>
      <c r="P97">
        <v>9</v>
      </c>
      <c r="Q97" t="s">
        <v>2195</v>
      </c>
      <c r="R97" t="s">
        <v>896</v>
      </c>
    </row>
    <row r="98" spans="1:18" x14ac:dyDescent="0.25">
      <c r="A98" t="s">
        <v>2584</v>
      </c>
      <c r="B98" t="s">
        <v>2585</v>
      </c>
      <c r="C98" t="s">
        <v>2586</v>
      </c>
      <c r="D98" t="s">
        <v>2587</v>
      </c>
      <c r="E98" t="s">
        <v>2588</v>
      </c>
      <c r="F98" t="s">
        <v>2589</v>
      </c>
      <c r="H98" t="s">
        <v>2590</v>
      </c>
      <c r="I98" t="s">
        <v>2063</v>
      </c>
      <c r="J98" t="s">
        <v>2591</v>
      </c>
      <c r="K98" t="s">
        <v>41</v>
      </c>
      <c r="L98" t="s">
        <v>41</v>
      </c>
      <c r="M98" t="s">
        <v>19</v>
      </c>
      <c r="N98">
        <v>350000</v>
      </c>
      <c r="O98" t="s">
        <v>1193</v>
      </c>
      <c r="P98">
        <v>7.35</v>
      </c>
      <c r="R98" t="s">
        <v>2592</v>
      </c>
    </row>
    <row r="99" spans="1:18" x14ac:dyDescent="0.25">
      <c r="A99" t="s">
        <v>2107</v>
      </c>
      <c r="B99" t="s">
        <v>1290</v>
      </c>
      <c r="C99" t="s">
        <v>127</v>
      </c>
      <c r="D99" t="s">
        <v>1602</v>
      </c>
      <c r="E99" t="s">
        <v>2108</v>
      </c>
      <c r="F99" t="s">
        <v>1291</v>
      </c>
      <c r="G99" t="s">
        <v>1755</v>
      </c>
      <c r="H99" t="s">
        <v>1243</v>
      </c>
      <c r="I99" t="s">
        <v>1576</v>
      </c>
      <c r="J99" t="s">
        <v>1244</v>
      </c>
      <c r="K99" t="s">
        <v>1245</v>
      </c>
      <c r="L99" t="s">
        <v>27</v>
      </c>
      <c r="M99" t="s">
        <v>19</v>
      </c>
      <c r="N99">
        <v>750000</v>
      </c>
      <c r="O99" t="s">
        <v>1193</v>
      </c>
      <c r="P99">
        <v>5.375</v>
      </c>
      <c r="Q99" t="s">
        <v>564</v>
      </c>
      <c r="R99" t="s">
        <v>2109</v>
      </c>
    </row>
    <row r="100" spans="1:18" x14ac:dyDescent="0.25">
      <c r="A100" t="s">
        <v>1163</v>
      </c>
      <c r="B100" t="s">
        <v>1290</v>
      </c>
      <c r="C100" t="s">
        <v>127</v>
      </c>
      <c r="D100" t="s">
        <v>1602</v>
      </c>
      <c r="E100" t="s">
        <v>1164</v>
      </c>
      <c r="F100" t="s">
        <v>1291</v>
      </c>
      <c r="G100" t="s">
        <v>1755</v>
      </c>
      <c r="H100" t="s">
        <v>1243</v>
      </c>
      <c r="I100" t="s">
        <v>1576</v>
      </c>
      <c r="J100" t="s">
        <v>1244</v>
      </c>
      <c r="K100" t="s">
        <v>1245</v>
      </c>
      <c r="L100" t="s">
        <v>27</v>
      </c>
      <c r="M100" t="s">
        <v>19</v>
      </c>
      <c r="N100">
        <v>1000000</v>
      </c>
      <c r="O100" t="s">
        <v>1193</v>
      </c>
      <c r="P100">
        <v>6.5</v>
      </c>
      <c r="Q100" t="s">
        <v>564</v>
      </c>
      <c r="R100" t="s">
        <v>633</v>
      </c>
    </row>
    <row r="101" spans="1:18" x14ac:dyDescent="0.25">
      <c r="A101" t="s">
        <v>2570</v>
      </c>
      <c r="B101" t="s">
        <v>2160</v>
      </c>
      <c r="C101" t="s">
        <v>2161</v>
      </c>
      <c r="D101" t="s">
        <v>2162</v>
      </c>
      <c r="E101" t="s">
        <v>2315</v>
      </c>
      <c r="F101" t="s">
        <v>2164</v>
      </c>
      <c r="G101" t="s">
        <v>2165</v>
      </c>
      <c r="H101" t="s">
        <v>1210</v>
      </c>
      <c r="I101" t="s">
        <v>1195</v>
      </c>
      <c r="J101" t="s">
        <v>2166</v>
      </c>
      <c r="K101" t="s">
        <v>873</v>
      </c>
      <c r="L101" t="s">
        <v>27</v>
      </c>
      <c r="M101" t="s">
        <v>19</v>
      </c>
      <c r="N101">
        <v>600000</v>
      </c>
      <c r="O101" t="s">
        <v>1193</v>
      </c>
      <c r="P101">
        <v>12.004</v>
      </c>
      <c r="Q101" t="s">
        <v>2317</v>
      </c>
      <c r="R101" t="s">
        <v>2571</v>
      </c>
    </row>
    <row r="102" spans="1:18" x14ac:dyDescent="0.25">
      <c r="A102" t="s">
        <v>2159</v>
      </c>
      <c r="B102" t="s">
        <v>2160</v>
      </c>
      <c r="C102" t="s">
        <v>2161</v>
      </c>
      <c r="D102" t="s">
        <v>2162</v>
      </c>
      <c r="E102" t="s">
        <v>2163</v>
      </c>
      <c r="F102" t="s">
        <v>2164</v>
      </c>
      <c r="G102" t="s">
        <v>2165</v>
      </c>
      <c r="H102" t="s">
        <v>1210</v>
      </c>
      <c r="I102" t="s">
        <v>1195</v>
      </c>
      <c r="J102" t="s">
        <v>2166</v>
      </c>
      <c r="K102" t="s">
        <v>873</v>
      </c>
      <c r="L102" t="s">
        <v>27</v>
      </c>
      <c r="M102" t="s">
        <v>19</v>
      </c>
      <c r="N102">
        <v>1500000</v>
      </c>
      <c r="O102" t="s">
        <v>1193</v>
      </c>
      <c r="P102">
        <v>4.5</v>
      </c>
      <c r="Q102" t="s">
        <v>2317</v>
      </c>
      <c r="R102" t="s">
        <v>589</v>
      </c>
    </row>
    <row r="103" spans="1:18" x14ac:dyDescent="0.25">
      <c r="A103" t="s">
        <v>2168</v>
      </c>
      <c r="B103" t="s">
        <v>2160</v>
      </c>
      <c r="C103" t="s">
        <v>2161</v>
      </c>
      <c r="D103" t="s">
        <v>2162</v>
      </c>
      <c r="E103" t="s">
        <v>2169</v>
      </c>
      <c r="F103" t="s">
        <v>2164</v>
      </c>
      <c r="G103" t="s">
        <v>2165</v>
      </c>
      <c r="H103" t="s">
        <v>1210</v>
      </c>
      <c r="I103" t="s">
        <v>1195</v>
      </c>
      <c r="J103" t="s">
        <v>2166</v>
      </c>
      <c r="K103" t="s">
        <v>873</v>
      </c>
      <c r="L103" t="s">
        <v>27</v>
      </c>
      <c r="M103" t="s">
        <v>19</v>
      </c>
      <c r="N103">
        <v>750000</v>
      </c>
      <c r="O103" t="s">
        <v>1193</v>
      </c>
      <c r="P103">
        <v>5.875</v>
      </c>
      <c r="Q103" t="s">
        <v>2317</v>
      </c>
      <c r="R103" t="s">
        <v>2170</v>
      </c>
    </row>
    <row r="104" spans="1:18" x14ac:dyDescent="0.25">
      <c r="A104" t="s">
        <v>2171</v>
      </c>
      <c r="B104" t="s">
        <v>2160</v>
      </c>
      <c r="C104" t="s">
        <v>2161</v>
      </c>
      <c r="D104" t="s">
        <v>2162</v>
      </c>
      <c r="E104" t="s">
        <v>2172</v>
      </c>
      <c r="F104" t="s">
        <v>2164</v>
      </c>
      <c r="G104" t="s">
        <v>2165</v>
      </c>
      <c r="H104" t="s">
        <v>1210</v>
      </c>
      <c r="I104" t="s">
        <v>1195</v>
      </c>
      <c r="J104" t="s">
        <v>2166</v>
      </c>
      <c r="K104" t="s">
        <v>873</v>
      </c>
      <c r="L104" t="s">
        <v>27</v>
      </c>
      <c r="M104" t="s">
        <v>19</v>
      </c>
      <c r="N104">
        <v>1000000</v>
      </c>
      <c r="O104" t="s">
        <v>1193</v>
      </c>
      <c r="P104">
        <v>7.25</v>
      </c>
      <c r="Q104" t="s">
        <v>2317</v>
      </c>
      <c r="R104" t="s">
        <v>2173</v>
      </c>
    </row>
    <row r="105" spans="1:18" x14ac:dyDescent="0.25">
      <c r="A105" t="s">
        <v>2174</v>
      </c>
      <c r="B105" t="s">
        <v>2175</v>
      </c>
      <c r="C105" t="s">
        <v>2176</v>
      </c>
      <c r="D105" t="s">
        <v>2177</v>
      </c>
      <c r="E105" t="s">
        <v>2178</v>
      </c>
      <c r="F105" t="s">
        <v>2164</v>
      </c>
      <c r="G105" t="s">
        <v>2165</v>
      </c>
      <c r="H105" t="s">
        <v>1210</v>
      </c>
      <c r="I105" t="s">
        <v>1195</v>
      </c>
      <c r="J105" t="s">
        <v>1211</v>
      </c>
      <c r="K105" t="s">
        <v>872</v>
      </c>
      <c r="L105" t="s">
        <v>27</v>
      </c>
      <c r="M105" t="s">
        <v>19</v>
      </c>
      <c r="N105">
        <v>750000</v>
      </c>
      <c r="O105" t="s">
        <v>1193</v>
      </c>
      <c r="P105">
        <v>7.125</v>
      </c>
      <c r="Q105" t="s">
        <v>2317</v>
      </c>
      <c r="R105" t="s">
        <v>2179</v>
      </c>
    </row>
    <row r="106" spans="1:18" x14ac:dyDescent="0.25">
      <c r="A106" t="s">
        <v>2180</v>
      </c>
      <c r="B106" t="s">
        <v>2160</v>
      </c>
      <c r="C106" t="s">
        <v>2161</v>
      </c>
      <c r="D106" t="s">
        <v>2162</v>
      </c>
      <c r="E106" t="s">
        <v>2181</v>
      </c>
      <c r="F106" t="s">
        <v>2164</v>
      </c>
      <c r="G106" t="s">
        <v>2165</v>
      </c>
      <c r="H106" t="s">
        <v>1210</v>
      </c>
      <c r="I106" t="s">
        <v>1195</v>
      </c>
      <c r="J106" t="s">
        <v>2166</v>
      </c>
      <c r="K106" t="s">
        <v>873</v>
      </c>
      <c r="L106" t="s">
        <v>27</v>
      </c>
      <c r="M106" t="s">
        <v>19</v>
      </c>
      <c r="N106">
        <v>850000</v>
      </c>
      <c r="O106" t="s">
        <v>1193</v>
      </c>
      <c r="P106">
        <v>8</v>
      </c>
      <c r="Q106" t="s">
        <v>2317</v>
      </c>
      <c r="R106" t="s">
        <v>2182</v>
      </c>
    </row>
    <row r="107" spans="1:18" x14ac:dyDescent="0.25">
      <c r="A107" t="s">
        <v>2183</v>
      </c>
      <c r="B107" t="s">
        <v>2160</v>
      </c>
      <c r="C107" t="s">
        <v>2161</v>
      </c>
      <c r="D107" t="s">
        <v>2162</v>
      </c>
      <c r="E107" t="s">
        <v>2184</v>
      </c>
      <c r="F107" t="s">
        <v>2164</v>
      </c>
      <c r="G107" t="s">
        <v>2165</v>
      </c>
      <c r="H107" t="s">
        <v>1210</v>
      </c>
      <c r="I107" t="s">
        <v>1195</v>
      </c>
      <c r="J107" t="s">
        <v>2166</v>
      </c>
      <c r="K107" t="s">
        <v>873</v>
      </c>
      <c r="L107" t="s">
        <v>27</v>
      </c>
      <c r="M107" t="s">
        <v>19</v>
      </c>
      <c r="N107">
        <v>850000</v>
      </c>
      <c r="O107" t="s">
        <v>1193</v>
      </c>
      <c r="P107">
        <v>8.5</v>
      </c>
      <c r="Q107" t="s">
        <v>2317</v>
      </c>
      <c r="R107" t="s">
        <v>2445</v>
      </c>
    </row>
    <row r="108" spans="1:18" x14ac:dyDescent="0.25">
      <c r="A108" t="s">
        <v>129</v>
      </c>
      <c r="B108" t="s">
        <v>128</v>
      </c>
      <c r="C108" t="s">
        <v>128</v>
      </c>
      <c r="D108" t="s">
        <v>128</v>
      </c>
      <c r="E108" t="s">
        <v>130</v>
      </c>
      <c r="F108" t="s">
        <v>1292</v>
      </c>
      <c r="G108" t="s">
        <v>1756</v>
      </c>
      <c r="H108" t="s">
        <v>1200</v>
      </c>
      <c r="I108" t="s">
        <v>1195</v>
      </c>
      <c r="J108" t="s">
        <v>1201</v>
      </c>
      <c r="K108" t="s">
        <v>27</v>
      </c>
      <c r="L108" t="s">
        <v>27</v>
      </c>
      <c r="M108" t="s">
        <v>19</v>
      </c>
      <c r="N108">
        <v>750000</v>
      </c>
      <c r="O108" t="s">
        <v>1193</v>
      </c>
      <c r="P108">
        <v>4.875</v>
      </c>
      <c r="Q108" t="s">
        <v>564</v>
      </c>
      <c r="R108" t="s">
        <v>590</v>
      </c>
    </row>
    <row r="109" spans="1:18" x14ac:dyDescent="0.25">
      <c r="A109" t="s">
        <v>131</v>
      </c>
      <c r="B109" t="s">
        <v>128</v>
      </c>
      <c r="C109" t="s">
        <v>128</v>
      </c>
      <c r="D109" t="s">
        <v>128</v>
      </c>
      <c r="E109" t="s">
        <v>132</v>
      </c>
      <c r="F109" t="s">
        <v>1292</v>
      </c>
      <c r="G109" t="s">
        <v>1756</v>
      </c>
      <c r="H109" t="s">
        <v>1200</v>
      </c>
      <c r="I109" t="s">
        <v>1195</v>
      </c>
      <c r="J109" t="s">
        <v>1201</v>
      </c>
      <c r="K109" t="s">
        <v>27</v>
      </c>
      <c r="L109" t="s">
        <v>27</v>
      </c>
      <c r="M109" t="s">
        <v>19</v>
      </c>
      <c r="N109">
        <v>800000</v>
      </c>
      <c r="O109" t="s">
        <v>1193</v>
      </c>
      <c r="P109">
        <v>5.75</v>
      </c>
      <c r="Q109" t="s">
        <v>564</v>
      </c>
      <c r="R109" t="s">
        <v>591</v>
      </c>
    </row>
    <row r="110" spans="1:18" x14ac:dyDescent="0.25">
      <c r="A110" t="s">
        <v>134</v>
      </c>
      <c r="B110" t="s">
        <v>1294</v>
      </c>
      <c r="C110" t="s">
        <v>133</v>
      </c>
      <c r="D110" t="s">
        <v>1603</v>
      </c>
      <c r="E110" t="s">
        <v>135</v>
      </c>
      <c r="F110" t="s">
        <v>1295</v>
      </c>
      <c r="G110" t="s">
        <v>1757</v>
      </c>
      <c r="H110" t="s">
        <v>1243</v>
      </c>
      <c r="I110" t="s">
        <v>1576</v>
      </c>
      <c r="J110" t="s">
        <v>1244</v>
      </c>
      <c r="K110" t="s">
        <v>31</v>
      </c>
      <c r="L110" t="s">
        <v>31</v>
      </c>
      <c r="M110" t="s">
        <v>19</v>
      </c>
      <c r="N110">
        <v>500000</v>
      </c>
      <c r="O110" t="s">
        <v>1193</v>
      </c>
      <c r="P110">
        <v>3.177</v>
      </c>
      <c r="Q110" t="s">
        <v>581</v>
      </c>
      <c r="R110" t="s">
        <v>592</v>
      </c>
    </row>
    <row r="111" spans="1:18" x14ac:dyDescent="0.25">
      <c r="A111" t="s">
        <v>2104</v>
      </c>
      <c r="B111" t="s">
        <v>1294</v>
      </c>
      <c r="C111" t="s">
        <v>133</v>
      </c>
      <c r="D111" t="s">
        <v>1603</v>
      </c>
      <c r="E111" t="s">
        <v>2105</v>
      </c>
      <c r="F111" t="s">
        <v>1295</v>
      </c>
      <c r="G111" t="s">
        <v>1757</v>
      </c>
      <c r="H111" t="s">
        <v>1243</v>
      </c>
      <c r="I111" t="s">
        <v>1576</v>
      </c>
      <c r="J111" t="s">
        <v>1244</v>
      </c>
      <c r="K111" t="s">
        <v>31</v>
      </c>
      <c r="L111" t="s">
        <v>31</v>
      </c>
      <c r="M111" t="s">
        <v>19</v>
      </c>
      <c r="N111">
        <v>500000</v>
      </c>
      <c r="O111" t="s">
        <v>1193</v>
      </c>
      <c r="P111">
        <v>4.55</v>
      </c>
      <c r="Q111" t="s">
        <v>581</v>
      </c>
      <c r="R111" t="s">
        <v>2106</v>
      </c>
    </row>
    <row r="112" spans="1:18" x14ac:dyDescent="0.25">
      <c r="A112" t="s">
        <v>1147</v>
      </c>
      <c r="B112" t="s">
        <v>1296</v>
      </c>
      <c r="C112" t="s">
        <v>136</v>
      </c>
      <c r="D112" t="s">
        <v>1604</v>
      </c>
      <c r="E112" t="s">
        <v>1148</v>
      </c>
      <c r="F112" t="s">
        <v>1297</v>
      </c>
      <c r="G112" t="s">
        <v>1758</v>
      </c>
      <c r="H112" t="s">
        <v>1243</v>
      </c>
      <c r="I112" t="s">
        <v>1576</v>
      </c>
      <c r="J112" t="s">
        <v>1244</v>
      </c>
      <c r="K112" t="s">
        <v>42</v>
      </c>
      <c r="L112" t="s">
        <v>42</v>
      </c>
      <c r="M112" t="s">
        <v>19</v>
      </c>
      <c r="N112">
        <v>700000</v>
      </c>
      <c r="O112" t="s">
        <v>1193</v>
      </c>
      <c r="P112">
        <v>5.6210000000000004</v>
      </c>
      <c r="Q112" t="s">
        <v>593</v>
      </c>
      <c r="R112" t="s">
        <v>2446</v>
      </c>
    </row>
    <row r="113" spans="1:18" x14ac:dyDescent="0.25">
      <c r="A113" t="s">
        <v>2113</v>
      </c>
      <c r="B113" t="s">
        <v>1298</v>
      </c>
      <c r="C113" t="s">
        <v>137</v>
      </c>
      <c r="D113" t="s">
        <v>1605</v>
      </c>
      <c r="E113" t="s">
        <v>2114</v>
      </c>
      <c r="F113" t="s">
        <v>1299</v>
      </c>
      <c r="G113" t="s">
        <v>1759</v>
      </c>
      <c r="H113" t="s">
        <v>138</v>
      </c>
      <c r="I113" t="s">
        <v>1576</v>
      </c>
      <c r="J113" t="s">
        <v>1300</v>
      </c>
      <c r="K113" t="s">
        <v>1245</v>
      </c>
      <c r="L113" t="s">
        <v>27</v>
      </c>
      <c r="M113" t="s">
        <v>19</v>
      </c>
      <c r="N113">
        <v>750000</v>
      </c>
      <c r="O113" t="s">
        <v>1193</v>
      </c>
      <c r="P113">
        <v>5.5</v>
      </c>
      <c r="Q113" t="s">
        <v>566</v>
      </c>
      <c r="R113" t="s">
        <v>2115</v>
      </c>
    </row>
    <row r="114" spans="1:18" x14ac:dyDescent="0.25">
      <c r="A114" t="s">
        <v>1115</v>
      </c>
      <c r="B114" t="s">
        <v>1298</v>
      </c>
      <c r="C114" t="s">
        <v>137</v>
      </c>
      <c r="D114" t="s">
        <v>1605</v>
      </c>
      <c r="E114" t="s">
        <v>1116</v>
      </c>
      <c r="F114" t="s">
        <v>1299</v>
      </c>
      <c r="G114" t="s">
        <v>1759</v>
      </c>
      <c r="H114" t="s">
        <v>138</v>
      </c>
      <c r="I114" t="s">
        <v>1576</v>
      </c>
      <c r="J114" t="s">
        <v>1300</v>
      </c>
      <c r="K114" t="s">
        <v>1245</v>
      </c>
      <c r="L114" t="s">
        <v>27</v>
      </c>
      <c r="M114" t="s">
        <v>19</v>
      </c>
      <c r="N114">
        <v>500000</v>
      </c>
      <c r="O114" t="s">
        <v>1193</v>
      </c>
      <c r="P114">
        <v>5.75</v>
      </c>
      <c r="Q114" t="s">
        <v>566</v>
      </c>
      <c r="R114" t="s">
        <v>633</v>
      </c>
    </row>
    <row r="115" spans="1:18" x14ac:dyDescent="0.25">
      <c r="A115" t="s">
        <v>981</v>
      </c>
      <c r="B115" t="s">
        <v>1298</v>
      </c>
      <c r="C115" t="s">
        <v>137</v>
      </c>
      <c r="D115" t="s">
        <v>1605</v>
      </c>
      <c r="E115" t="s">
        <v>982</v>
      </c>
      <c r="F115" t="s">
        <v>1299</v>
      </c>
      <c r="G115" t="s">
        <v>1759</v>
      </c>
      <c r="H115" t="s">
        <v>138</v>
      </c>
      <c r="I115" t="s">
        <v>1576</v>
      </c>
      <c r="J115" t="s">
        <v>1300</v>
      </c>
      <c r="K115" t="s">
        <v>1245</v>
      </c>
      <c r="L115" t="s">
        <v>27</v>
      </c>
      <c r="M115" t="s">
        <v>19</v>
      </c>
      <c r="N115">
        <v>500000</v>
      </c>
      <c r="O115" t="s">
        <v>1193</v>
      </c>
      <c r="P115">
        <v>6.25</v>
      </c>
      <c r="Q115" t="s">
        <v>566</v>
      </c>
      <c r="R115" t="s">
        <v>2447</v>
      </c>
    </row>
    <row r="116" spans="1:18" x14ac:dyDescent="0.25">
      <c r="A116" t="s">
        <v>139</v>
      </c>
      <c r="B116" t="s">
        <v>1301</v>
      </c>
      <c r="C116" t="s">
        <v>140</v>
      </c>
      <c r="D116" t="s">
        <v>1606</v>
      </c>
      <c r="E116" t="s">
        <v>141</v>
      </c>
      <c r="F116" t="s">
        <v>1302</v>
      </c>
      <c r="G116" t="s">
        <v>1760</v>
      </c>
      <c r="H116" t="s">
        <v>138</v>
      </c>
      <c r="I116" t="s">
        <v>1576</v>
      </c>
      <c r="J116" t="s">
        <v>1015</v>
      </c>
      <c r="K116" t="s">
        <v>27</v>
      </c>
      <c r="L116" t="s">
        <v>27</v>
      </c>
      <c r="M116" t="s">
        <v>19</v>
      </c>
      <c r="N116">
        <v>700000</v>
      </c>
      <c r="O116" t="s">
        <v>1193</v>
      </c>
      <c r="P116">
        <v>4.125</v>
      </c>
      <c r="Q116" t="s">
        <v>566</v>
      </c>
      <c r="R116" t="s">
        <v>594</v>
      </c>
    </row>
    <row r="117" spans="1:18" x14ac:dyDescent="0.25">
      <c r="A117" t="s">
        <v>1306</v>
      </c>
      <c r="B117" t="s">
        <v>1303</v>
      </c>
      <c r="C117" t="s">
        <v>142</v>
      </c>
      <c r="D117" t="s">
        <v>1607</v>
      </c>
      <c r="E117" t="s">
        <v>1307</v>
      </c>
      <c r="F117" t="s">
        <v>1304</v>
      </c>
      <c r="G117" t="s">
        <v>1761</v>
      </c>
      <c r="H117" t="s">
        <v>1224</v>
      </c>
      <c r="I117" t="s">
        <v>1195</v>
      </c>
      <c r="J117" t="s">
        <v>1305</v>
      </c>
      <c r="K117" t="s">
        <v>18</v>
      </c>
      <c r="L117" t="s">
        <v>18</v>
      </c>
      <c r="M117" t="s">
        <v>19</v>
      </c>
      <c r="N117">
        <v>650000</v>
      </c>
      <c r="O117" t="s">
        <v>1193</v>
      </c>
      <c r="P117">
        <v>6.8</v>
      </c>
      <c r="Q117" t="s">
        <v>569</v>
      </c>
      <c r="R117" t="s">
        <v>2448</v>
      </c>
    </row>
    <row r="118" spans="1:18" x14ac:dyDescent="0.25">
      <c r="A118" t="s">
        <v>1691</v>
      </c>
      <c r="B118" t="s">
        <v>1692</v>
      </c>
      <c r="C118" t="s">
        <v>1693</v>
      </c>
      <c r="D118" t="s">
        <v>1694</v>
      </c>
      <c r="E118" t="s">
        <v>1695</v>
      </c>
      <c r="F118" t="s">
        <v>1696</v>
      </c>
      <c r="G118" t="s">
        <v>1762</v>
      </c>
      <c r="H118" t="s">
        <v>1243</v>
      </c>
      <c r="I118" t="s">
        <v>1577</v>
      </c>
      <c r="J118" t="s">
        <v>1244</v>
      </c>
      <c r="K118" t="s">
        <v>27</v>
      </c>
      <c r="L118" t="s">
        <v>27</v>
      </c>
      <c r="M118" t="s">
        <v>19</v>
      </c>
      <c r="N118">
        <v>700000</v>
      </c>
      <c r="O118" t="s">
        <v>1193</v>
      </c>
      <c r="P118">
        <v>5.625</v>
      </c>
      <c r="Q118" t="s">
        <v>564</v>
      </c>
      <c r="R118" t="s">
        <v>1697</v>
      </c>
    </row>
    <row r="119" spans="1:18" x14ac:dyDescent="0.25">
      <c r="A119" t="s">
        <v>143</v>
      </c>
      <c r="B119" t="s">
        <v>1308</v>
      </c>
      <c r="C119" t="s">
        <v>144</v>
      </c>
      <c r="D119" t="s">
        <v>1608</v>
      </c>
      <c r="E119" t="s">
        <v>145</v>
      </c>
      <c r="F119" t="s">
        <v>1309</v>
      </c>
      <c r="G119" t="s">
        <v>1763</v>
      </c>
      <c r="H119" t="s">
        <v>1220</v>
      </c>
      <c r="I119" t="s">
        <v>1195</v>
      </c>
      <c r="J119" t="s">
        <v>1310</v>
      </c>
      <c r="K119" t="s">
        <v>31</v>
      </c>
      <c r="L119" t="s">
        <v>31</v>
      </c>
      <c r="M119" t="s">
        <v>19</v>
      </c>
      <c r="N119">
        <v>600000</v>
      </c>
      <c r="O119" t="s">
        <v>1193</v>
      </c>
      <c r="P119">
        <v>3.35</v>
      </c>
      <c r="Q119" t="s">
        <v>562</v>
      </c>
      <c r="R119" t="s">
        <v>595</v>
      </c>
    </row>
    <row r="120" spans="1:18" x14ac:dyDescent="0.25">
      <c r="A120" t="s">
        <v>146</v>
      </c>
      <c r="B120" t="s">
        <v>1311</v>
      </c>
      <c r="C120" t="s">
        <v>147</v>
      </c>
      <c r="D120" t="s">
        <v>147</v>
      </c>
      <c r="E120" t="s">
        <v>148</v>
      </c>
      <c r="F120" t="s">
        <v>1312</v>
      </c>
      <c r="G120" t="s">
        <v>1764</v>
      </c>
      <c r="H120" t="s">
        <v>1224</v>
      </c>
      <c r="I120" t="s">
        <v>1577</v>
      </c>
      <c r="J120" t="s">
        <v>1313</v>
      </c>
      <c r="K120" t="s">
        <v>31</v>
      </c>
      <c r="L120" t="s">
        <v>31</v>
      </c>
      <c r="M120" t="s">
        <v>19</v>
      </c>
      <c r="N120">
        <v>1100000</v>
      </c>
      <c r="O120" t="s">
        <v>1193</v>
      </c>
      <c r="P120">
        <v>3</v>
      </c>
      <c r="Q120" t="s">
        <v>562</v>
      </c>
      <c r="R120" t="s">
        <v>596</v>
      </c>
    </row>
    <row r="121" spans="1:18" x14ac:dyDescent="0.25">
      <c r="A121" t="s">
        <v>149</v>
      </c>
      <c r="B121" t="s">
        <v>1311</v>
      </c>
      <c r="C121" t="s">
        <v>147</v>
      </c>
      <c r="D121" t="s">
        <v>147</v>
      </c>
      <c r="E121" t="s">
        <v>150</v>
      </c>
      <c r="F121" t="s">
        <v>1312</v>
      </c>
      <c r="G121" t="s">
        <v>1764</v>
      </c>
      <c r="H121" t="s">
        <v>1224</v>
      </c>
      <c r="I121" t="s">
        <v>1577</v>
      </c>
      <c r="J121" t="s">
        <v>1313</v>
      </c>
      <c r="K121" t="s">
        <v>31</v>
      </c>
      <c r="L121" t="s">
        <v>31</v>
      </c>
      <c r="M121" t="s">
        <v>19</v>
      </c>
      <c r="N121">
        <v>800000</v>
      </c>
      <c r="O121" t="s">
        <v>1193</v>
      </c>
      <c r="P121">
        <v>3.75</v>
      </c>
      <c r="Q121" t="s">
        <v>562</v>
      </c>
      <c r="R121" t="s">
        <v>597</v>
      </c>
    </row>
    <row r="122" spans="1:18" x14ac:dyDescent="0.25">
      <c r="A122" t="s">
        <v>151</v>
      </c>
      <c r="B122" t="s">
        <v>1311</v>
      </c>
      <c r="C122" t="s">
        <v>147</v>
      </c>
      <c r="D122" t="s">
        <v>147</v>
      </c>
      <c r="E122" t="s">
        <v>152</v>
      </c>
      <c r="F122" t="s">
        <v>1312</v>
      </c>
      <c r="G122" t="s">
        <v>1764</v>
      </c>
      <c r="H122" t="s">
        <v>1224</v>
      </c>
      <c r="I122" t="s">
        <v>1577</v>
      </c>
      <c r="J122" t="s">
        <v>1313</v>
      </c>
      <c r="K122" t="s">
        <v>31</v>
      </c>
      <c r="L122" t="s">
        <v>31</v>
      </c>
      <c r="M122" t="s">
        <v>19</v>
      </c>
      <c r="N122">
        <v>1000000</v>
      </c>
      <c r="O122" t="s">
        <v>1193</v>
      </c>
      <c r="P122">
        <v>3.15</v>
      </c>
      <c r="Q122" t="s">
        <v>562</v>
      </c>
      <c r="R122" t="s">
        <v>598</v>
      </c>
    </row>
    <row r="123" spans="1:18" x14ac:dyDescent="0.25">
      <c r="A123" t="s">
        <v>153</v>
      </c>
      <c r="B123" t="s">
        <v>1311</v>
      </c>
      <c r="C123" t="s">
        <v>147</v>
      </c>
      <c r="D123" t="s">
        <v>147</v>
      </c>
      <c r="E123" t="s">
        <v>154</v>
      </c>
      <c r="F123" t="s">
        <v>1312</v>
      </c>
      <c r="G123" t="s">
        <v>1764</v>
      </c>
      <c r="H123" t="s">
        <v>1224</v>
      </c>
      <c r="I123" t="s">
        <v>1577</v>
      </c>
      <c r="J123" t="s">
        <v>1313</v>
      </c>
      <c r="K123" t="s">
        <v>31</v>
      </c>
      <c r="L123" t="s">
        <v>31</v>
      </c>
      <c r="M123" t="s">
        <v>19</v>
      </c>
      <c r="N123">
        <v>500000</v>
      </c>
      <c r="O123" t="s">
        <v>1193</v>
      </c>
      <c r="P123">
        <v>3.15</v>
      </c>
      <c r="Q123" t="s">
        <v>562</v>
      </c>
      <c r="R123" t="s">
        <v>599</v>
      </c>
    </row>
    <row r="124" spans="1:18" x14ac:dyDescent="0.25">
      <c r="A124" t="s">
        <v>155</v>
      </c>
      <c r="B124" t="s">
        <v>1311</v>
      </c>
      <c r="C124" t="s">
        <v>147</v>
      </c>
      <c r="D124" t="s">
        <v>147</v>
      </c>
      <c r="E124" t="s">
        <v>156</v>
      </c>
      <c r="F124" t="s">
        <v>1312</v>
      </c>
      <c r="G124" t="s">
        <v>1764</v>
      </c>
      <c r="H124" t="s">
        <v>1224</v>
      </c>
      <c r="I124" t="s">
        <v>1577</v>
      </c>
      <c r="J124" t="s">
        <v>1313</v>
      </c>
      <c r="K124" t="s">
        <v>31</v>
      </c>
      <c r="L124" t="s">
        <v>31</v>
      </c>
      <c r="M124" t="s">
        <v>19</v>
      </c>
      <c r="N124">
        <v>2680000</v>
      </c>
      <c r="O124" t="s">
        <v>1193</v>
      </c>
      <c r="P124">
        <v>3.7</v>
      </c>
      <c r="Q124" t="s">
        <v>562</v>
      </c>
      <c r="R124" t="s">
        <v>600</v>
      </c>
    </row>
    <row r="125" spans="1:18" x14ac:dyDescent="0.25">
      <c r="A125" t="s">
        <v>157</v>
      </c>
      <c r="B125" t="s">
        <v>1311</v>
      </c>
      <c r="C125" t="s">
        <v>147</v>
      </c>
      <c r="D125" t="s">
        <v>147</v>
      </c>
      <c r="E125" t="s">
        <v>158</v>
      </c>
      <c r="F125" t="s">
        <v>1312</v>
      </c>
      <c r="G125" t="s">
        <v>1764</v>
      </c>
      <c r="H125" t="s">
        <v>1224</v>
      </c>
      <c r="I125" t="s">
        <v>1577</v>
      </c>
      <c r="J125" t="s">
        <v>1313</v>
      </c>
      <c r="K125" t="s">
        <v>31</v>
      </c>
      <c r="L125" t="s">
        <v>31</v>
      </c>
      <c r="M125" t="s">
        <v>19</v>
      </c>
      <c r="N125">
        <v>750000</v>
      </c>
      <c r="O125" t="s">
        <v>1193</v>
      </c>
      <c r="P125">
        <v>4.25</v>
      </c>
      <c r="Q125" t="s">
        <v>562</v>
      </c>
      <c r="R125" t="s">
        <v>601</v>
      </c>
    </row>
    <row r="126" spans="1:18" x14ac:dyDescent="0.25">
      <c r="A126" t="s">
        <v>159</v>
      </c>
      <c r="B126" t="s">
        <v>1311</v>
      </c>
      <c r="C126" t="s">
        <v>147</v>
      </c>
      <c r="D126" t="s">
        <v>147</v>
      </c>
      <c r="E126" t="s">
        <v>160</v>
      </c>
      <c r="F126" t="s">
        <v>1312</v>
      </c>
      <c r="G126" t="s">
        <v>1764</v>
      </c>
      <c r="H126" t="s">
        <v>1224</v>
      </c>
      <c r="I126" t="s">
        <v>1577</v>
      </c>
      <c r="J126" t="s">
        <v>1313</v>
      </c>
      <c r="K126" t="s">
        <v>31</v>
      </c>
      <c r="L126" t="s">
        <v>31</v>
      </c>
      <c r="M126" t="s">
        <v>19</v>
      </c>
      <c r="N126">
        <v>1250000</v>
      </c>
      <c r="O126" t="s">
        <v>1193</v>
      </c>
      <c r="P126">
        <v>4.5</v>
      </c>
      <c r="Q126" t="s">
        <v>562</v>
      </c>
      <c r="R126" t="s">
        <v>2449</v>
      </c>
    </row>
    <row r="127" spans="1:18" x14ac:dyDescent="0.25">
      <c r="A127" t="s">
        <v>161</v>
      </c>
      <c r="B127" t="s">
        <v>1311</v>
      </c>
      <c r="C127" t="s">
        <v>147</v>
      </c>
      <c r="D127" t="s">
        <v>147</v>
      </c>
      <c r="E127" t="s">
        <v>162</v>
      </c>
      <c r="F127" t="s">
        <v>1312</v>
      </c>
      <c r="G127" t="s">
        <v>1764</v>
      </c>
      <c r="H127" t="s">
        <v>1224</v>
      </c>
      <c r="I127" t="s">
        <v>1577</v>
      </c>
      <c r="J127" t="s">
        <v>1313</v>
      </c>
      <c r="K127" t="s">
        <v>31</v>
      </c>
      <c r="L127" t="s">
        <v>31</v>
      </c>
      <c r="M127" t="s">
        <v>19</v>
      </c>
      <c r="N127">
        <v>1300000</v>
      </c>
      <c r="O127" t="s">
        <v>1193</v>
      </c>
      <c r="P127">
        <v>4.375</v>
      </c>
      <c r="Q127" t="s">
        <v>562</v>
      </c>
      <c r="R127" t="s">
        <v>2450</v>
      </c>
    </row>
    <row r="128" spans="1:18" x14ac:dyDescent="0.25">
      <c r="A128" t="s">
        <v>163</v>
      </c>
      <c r="B128" t="s">
        <v>1311</v>
      </c>
      <c r="C128" t="s">
        <v>147</v>
      </c>
      <c r="D128" t="s">
        <v>147</v>
      </c>
      <c r="E128" t="s">
        <v>164</v>
      </c>
      <c r="F128" t="s">
        <v>1312</v>
      </c>
      <c r="G128" t="s">
        <v>1764</v>
      </c>
      <c r="H128" t="s">
        <v>1224</v>
      </c>
      <c r="I128" t="s">
        <v>1577</v>
      </c>
      <c r="J128" t="s">
        <v>1313</v>
      </c>
      <c r="K128" t="s">
        <v>31</v>
      </c>
      <c r="L128" t="s">
        <v>31</v>
      </c>
      <c r="M128" t="s">
        <v>19</v>
      </c>
      <c r="N128">
        <v>980000</v>
      </c>
      <c r="O128" t="s">
        <v>1193</v>
      </c>
      <c r="P128">
        <v>4.875</v>
      </c>
      <c r="Q128" t="s">
        <v>562</v>
      </c>
      <c r="R128" t="s">
        <v>2451</v>
      </c>
    </row>
    <row r="129" spans="1:18" x14ac:dyDescent="0.25">
      <c r="A129" t="s">
        <v>2185</v>
      </c>
      <c r="B129" t="s">
        <v>1311</v>
      </c>
      <c r="C129" t="s">
        <v>147</v>
      </c>
      <c r="D129" t="s">
        <v>147</v>
      </c>
      <c r="E129" t="s">
        <v>2186</v>
      </c>
      <c r="F129" t="s">
        <v>1312</v>
      </c>
      <c r="G129" t="s">
        <v>1764</v>
      </c>
      <c r="H129" t="s">
        <v>1224</v>
      </c>
      <c r="I129" t="s">
        <v>1577</v>
      </c>
      <c r="J129" t="s">
        <v>1313</v>
      </c>
      <c r="K129" t="s">
        <v>31</v>
      </c>
      <c r="L129" t="s">
        <v>31</v>
      </c>
      <c r="M129" t="s">
        <v>19</v>
      </c>
      <c r="N129">
        <v>600000</v>
      </c>
      <c r="O129" t="s">
        <v>1193</v>
      </c>
      <c r="P129">
        <v>4.8499999999999996</v>
      </c>
      <c r="R129" t="s">
        <v>2187</v>
      </c>
    </row>
    <row r="130" spans="1:18" x14ac:dyDescent="0.25">
      <c r="A130" t="s">
        <v>684</v>
      </c>
      <c r="B130" t="s">
        <v>1311</v>
      </c>
      <c r="C130" t="s">
        <v>147</v>
      </c>
      <c r="D130" t="s">
        <v>147</v>
      </c>
      <c r="E130" t="s">
        <v>685</v>
      </c>
      <c r="F130" t="s">
        <v>1312</v>
      </c>
      <c r="G130" t="s">
        <v>1764</v>
      </c>
      <c r="H130" t="s">
        <v>1224</v>
      </c>
      <c r="I130" t="s">
        <v>1577</v>
      </c>
      <c r="J130" t="s">
        <v>1313</v>
      </c>
      <c r="K130" t="s">
        <v>31</v>
      </c>
      <c r="L130" t="s">
        <v>31</v>
      </c>
      <c r="M130" t="s">
        <v>19</v>
      </c>
      <c r="N130">
        <v>900000</v>
      </c>
      <c r="O130" t="s">
        <v>1193</v>
      </c>
      <c r="P130">
        <v>5.125</v>
      </c>
      <c r="Q130" t="s">
        <v>562</v>
      </c>
      <c r="R130" t="s">
        <v>2452</v>
      </c>
    </row>
    <row r="131" spans="1:18" x14ac:dyDescent="0.25">
      <c r="A131" t="s">
        <v>165</v>
      </c>
      <c r="B131" t="s">
        <v>1311</v>
      </c>
      <c r="C131" t="s">
        <v>147</v>
      </c>
      <c r="D131" t="s">
        <v>147</v>
      </c>
      <c r="E131" t="s">
        <v>166</v>
      </c>
      <c r="F131" t="s">
        <v>1312</v>
      </c>
      <c r="G131" t="s">
        <v>1764</v>
      </c>
      <c r="H131" t="s">
        <v>1224</v>
      </c>
      <c r="I131" t="s">
        <v>1577</v>
      </c>
      <c r="J131" t="s">
        <v>1313</v>
      </c>
      <c r="K131" t="s">
        <v>31</v>
      </c>
      <c r="L131" t="s">
        <v>31</v>
      </c>
      <c r="M131" t="s">
        <v>19</v>
      </c>
      <c r="N131">
        <v>500000</v>
      </c>
      <c r="O131" t="s">
        <v>1193</v>
      </c>
      <c r="P131">
        <v>5.625</v>
      </c>
      <c r="Q131" t="s">
        <v>562</v>
      </c>
      <c r="R131" t="s">
        <v>602</v>
      </c>
    </row>
    <row r="132" spans="1:18" x14ac:dyDescent="0.25">
      <c r="A132" t="s">
        <v>167</v>
      </c>
      <c r="B132" t="s">
        <v>1311</v>
      </c>
      <c r="C132" t="s">
        <v>147</v>
      </c>
      <c r="D132" t="s">
        <v>147</v>
      </c>
      <c r="E132" t="s">
        <v>168</v>
      </c>
      <c r="F132" t="s">
        <v>1312</v>
      </c>
      <c r="G132" t="s">
        <v>1764</v>
      </c>
      <c r="H132" t="s">
        <v>1224</v>
      </c>
      <c r="I132" t="s">
        <v>1577</v>
      </c>
      <c r="J132" t="s">
        <v>1313</v>
      </c>
      <c r="K132" t="s">
        <v>31</v>
      </c>
      <c r="L132" t="s">
        <v>31</v>
      </c>
      <c r="M132" t="s">
        <v>19</v>
      </c>
      <c r="N132">
        <v>950000</v>
      </c>
      <c r="O132" t="s">
        <v>1193</v>
      </c>
      <c r="P132">
        <v>5.625</v>
      </c>
      <c r="Q132" t="s">
        <v>562</v>
      </c>
      <c r="R132" t="s">
        <v>603</v>
      </c>
    </row>
    <row r="133" spans="1:18" x14ac:dyDescent="0.25">
      <c r="A133" t="s">
        <v>2260</v>
      </c>
      <c r="B133" t="s">
        <v>1311</v>
      </c>
      <c r="C133" t="s">
        <v>147</v>
      </c>
      <c r="D133" t="s">
        <v>147</v>
      </c>
      <c r="E133" t="s">
        <v>2261</v>
      </c>
      <c r="F133" t="s">
        <v>1312</v>
      </c>
      <c r="G133" t="s">
        <v>1764</v>
      </c>
      <c r="H133" t="s">
        <v>1224</v>
      </c>
      <c r="I133" t="s">
        <v>1577</v>
      </c>
      <c r="J133" t="s">
        <v>1313</v>
      </c>
      <c r="K133" t="s">
        <v>31</v>
      </c>
      <c r="L133" t="s">
        <v>31</v>
      </c>
      <c r="M133" t="s">
        <v>19</v>
      </c>
      <c r="N133">
        <v>1000000</v>
      </c>
      <c r="O133" t="s">
        <v>1193</v>
      </c>
      <c r="P133">
        <v>5.5289999999999999</v>
      </c>
      <c r="Q133" t="s">
        <v>562</v>
      </c>
      <c r="R133" t="s">
        <v>2262</v>
      </c>
    </row>
    <row r="134" spans="1:18" x14ac:dyDescent="0.25">
      <c r="A134" t="s">
        <v>885</v>
      </c>
      <c r="B134" t="s">
        <v>1311</v>
      </c>
      <c r="C134" t="s">
        <v>147</v>
      </c>
      <c r="D134" t="s">
        <v>147</v>
      </c>
      <c r="E134" t="s">
        <v>886</v>
      </c>
      <c r="F134" t="s">
        <v>1312</v>
      </c>
      <c r="G134" t="s">
        <v>1764</v>
      </c>
      <c r="H134" t="s">
        <v>1224</v>
      </c>
      <c r="I134" t="s">
        <v>1577</v>
      </c>
      <c r="J134" t="s">
        <v>1313</v>
      </c>
      <c r="K134" t="s">
        <v>31</v>
      </c>
      <c r="L134" t="s">
        <v>31</v>
      </c>
      <c r="M134" t="s">
        <v>19</v>
      </c>
      <c r="N134">
        <v>1300000</v>
      </c>
      <c r="O134" t="s">
        <v>1193</v>
      </c>
      <c r="P134">
        <v>5.95</v>
      </c>
      <c r="Q134" t="s">
        <v>562</v>
      </c>
      <c r="R134" t="s">
        <v>2453</v>
      </c>
    </row>
    <row r="135" spans="1:18" x14ac:dyDescent="0.25">
      <c r="A135" t="s">
        <v>169</v>
      </c>
      <c r="B135" t="s">
        <v>1311</v>
      </c>
      <c r="C135" t="s">
        <v>147</v>
      </c>
      <c r="D135" t="s">
        <v>147</v>
      </c>
      <c r="E135" t="s">
        <v>170</v>
      </c>
      <c r="F135" t="s">
        <v>1312</v>
      </c>
      <c r="G135" t="s">
        <v>1764</v>
      </c>
      <c r="H135" t="s">
        <v>1224</v>
      </c>
      <c r="I135" t="s">
        <v>1577</v>
      </c>
      <c r="J135" t="s">
        <v>1313</v>
      </c>
      <c r="K135" t="s">
        <v>31</v>
      </c>
      <c r="L135" t="s">
        <v>31</v>
      </c>
      <c r="M135" t="s">
        <v>19</v>
      </c>
      <c r="N135">
        <v>500000</v>
      </c>
      <c r="O135" t="s">
        <v>1193</v>
      </c>
      <c r="P135">
        <v>6.15</v>
      </c>
      <c r="Q135" t="s">
        <v>562</v>
      </c>
      <c r="R135" t="s">
        <v>604</v>
      </c>
    </row>
    <row r="136" spans="1:18" x14ac:dyDescent="0.25">
      <c r="A136" t="s">
        <v>887</v>
      </c>
      <c r="B136" t="s">
        <v>1311</v>
      </c>
      <c r="C136" t="s">
        <v>147</v>
      </c>
      <c r="D136" t="s">
        <v>147</v>
      </c>
      <c r="E136" t="s">
        <v>888</v>
      </c>
      <c r="F136" t="s">
        <v>1312</v>
      </c>
      <c r="G136" t="s">
        <v>1764</v>
      </c>
      <c r="H136" t="s">
        <v>1224</v>
      </c>
      <c r="I136" t="s">
        <v>1577</v>
      </c>
      <c r="J136" t="s">
        <v>1313</v>
      </c>
      <c r="K136" t="s">
        <v>31</v>
      </c>
      <c r="L136" t="s">
        <v>31</v>
      </c>
      <c r="M136" t="s">
        <v>19</v>
      </c>
      <c r="N136">
        <v>1450000</v>
      </c>
      <c r="O136" t="s">
        <v>1193</v>
      </c>
      <c r="P136">
        <v>6.3</v>
      </c>
      <c r="Q136" t="s">
        <v>562</v>
      </c>
      <c r="R136" t="s">
        <v>2454</v>
      </c>
    </row>
    <row r="137" spans="1:18" x14ac:dyDescent="0.25">
      <c r="A137" t="s">
        <v>1171</v>
      </c>
      <c r="B137" t="s">
        <v>1311</v>
      </c>
      <c r="C137" t="s">
        <v>147</v>
      </c>
      <c r="D137" t="s">
        <v>147</v>
      </c>
      <c r="E137" t="s">
        <v>1172</v>
      </c>
      <c r="F137" t="s">
        <v>1312</v>
      </c>
      <c r="G137" t="s">
        <v>1764</v>
      </c>
      <c r="H137" t="s">
        <v>1224</v>
      </c>
      <c r="I137" t="s">
        <v>1577</v>
      </c>
      <c r="J137" t="s">
        <v>1313</v>
      </c>
      <c r="K137" t="s">
        <v>31</v>
      </c>
      <c r="L137" t="s">
        <v>31</v>
      </c>
      <c r="M137" t="s">
        <v>19</v>
      </c>
      <c r="N137">
        <v>1450000</v>
      </c>
      <c r="O137" t="s">
        <v>1193</v>
      </c>
      <c r="P137">
        <v>6.33</v>
      </c>
      <c r="Q137" t="s">
        <v>562</v>
      </c>
      <c r="R137" t="s">
        <v>1066</v>
      </c>
    </row>
    <row r="138" spans="1:18" x14ac:dyDescent="0.25">
      <c r="A138" t="s">
        <v>942</v>
      </c>
      <c r="B138" t="s">
        <v>1311</v>
      </c>
      <c r="C138" t="s">
        <v>147</v>
      </c>
      <c r="D138" t="s">
        <v>147</v>
      </c>
      <c r="E138" t="s">
        <v>943</v>
      </c>
      <c r="F138" t="s">
        <v>1312</v>
      </c>
      <c r="G138" t="s">
        <v>1764</v>
      </c>
      <c r="H138" t="s">
        <v>1224</v>
      </c>
      <c r="I138" t="s">
        <v>1577</v>
      </c>
      <c r="J138" t="s">
        <v>1313</v>
      </c>
      <c r="K138" t="s">
        <v>31</v>
      </c>
      <c r="L138" t="s">
        <v>31</v>
      </c>
      <c r="M138" t="s">
        <v>19</v>
      </c>
      <c r="N138">
        <v>1500000</v>
      </c>
      <c r="O138" t="s">
        <v>1193</v>
      </c>
      <c r="P138">
        <v>6.44</v>
      </c>
      <c r="Q138" t="s">
        <v>562</v>
      </c>
      <c r="R138" t="s">
        <v>944</v>
      </c>
    </row>
    <row r="139" spans="1:18" x14ac:dyDescent="0.25">
      <c r="A139" t="s">
        <v>1173</v>
      </c>
      <c r="B139" t="s">
        <v>1311</v>
      </c>
      <c r="C139" t="s">
        <v>147</v>
      </c>
      <c r="D139" t="s">
        <v>147</v>
      </c>
      <c r="E139" t="s">
        <v>1174</v>
      </c>
      <c r="F139" t="s">
        <v>1312</v>
      </c>
      <c r="G139" t="s">
        <v>1764</v>
      </c>
      <c r="H139" t="s">
        <v>1224</v>
      </c>
      <c r="I139" t="s">
        <v>1577</v>
      </c>
      <c r="J139" t="s">
        <v>1313</v>
      </c>
      <c r="K139" t="s">
        <v>31</v>
      </c>
      <c r="L139" t="s">
        <v>31</v>
      </c>
      <c r="M139" t="s">
        <v>19</v>
      </c>
      <c r="N139">
        <v>1450000</v>
      </c>
      <c r="O139" t="s">
        <v>1193</v>
      </c>
      <c r="P139">
        <v>6.78</v>
      </c>
      <c r="Q139" t="s">
        <v>562</v>
      </c>
      <c r="R139" t="s">
        <v>1175</v>
      </c>
    </row>
    <row r="140" spans="1:18" x14ac:dyDescent="0.25">
      <c r="A140" t="s">
        <v>172</v>
      </c>
      <c r="B140" t="s">
        <v>1314</v>
      </c>
      <c r="C140" t="s">
        <v>171</v>
      </c>
      <c r="D140" t="s">
        <v>1609</v>
      </c>
      <c r="E140" t="s">
        <v>173</v>
      </c>
      <c r="F140" t="s">
        <v>1315</v>
      </c>
      <c r="G140" t="s">
        <v>1765</v>
      </c>
      <c r="H140" t="s">
        <v>1016</v>
      </c>
      <c r="I140" t="s">
        <v>1195</v>
      </c>
      <c r="J140" t="s">
        <v>1017</v>
      </c>
      <c r="K140" t="s">
        <v>31</v>
      </c>
      <c r="L140" t="s">
        <v>31</v>
      </c>
      <c r="M140" t="s">
        <v>19</v>
      </c>
      <c r="N140">
        <v>500000</v>
      </c>
      <c r="O140" t="s">
        <v>1193</v>
      </c>
      <c r="P140">
        <v>4.25</v>
      </c>
      <c r="Q140" t="s">
        <v>565</v>
      </c>
      <c r="R140" t="s">
        <v>605</v>
      </c>
    </row>
    <row r="141" spans="1:18" x14ac:dyDescent="0.25">
      <c r="A141" t="s">
        <v>174</v>
      </c>
      <c r="B141" t="s">
        <v>1314</v>
      </c>
      <c r="C141" t="s">
        <v>171</v>
      </c>
      <c r="D141" t="s">
        <v>1609</v>
      </c>
      <c r="E141" t="s">
        <v>175</v>
      </c>
      <c r="F141" t="s">
        <v>1315</v>
      </c>
      <c r="G141" t="s">
        <v>1765</v>
      </c>
      <c r="H141" t="s">
        <v>1016</v>
      </c>
      <c r="I141" t="s">
        <v>1195</v>
      </c>
      <c r="J141" t="s">
        <v>1017</v>
      </c>
      <c r="K141" t="s">
        <v>31</v>
      </c>
      <c r="L141" t="s">
        <v>31</v>
      </c>
      <c r="M141" t="s">
        <v>19</v>
      </c>
      <c r="N141">
        <v>500000</v>
      </c>
      <c r="O141" t="s">
        <v>1193</v>
      </c>
      <c r="P141">
        <v>4.2</v>
      </c>
      <c r="Q141" t="s">
        <v>565</v>
      </c>
      <c r="R141" t="s">
        <v>606</v>
      </c>
    </row>
    <row r="142" spans="1:18" x14ac:dyDescent="0.25">
      <c r="A142" t="s">
        <v>176</v>
      </c>
      <c r="B142" t="s">
        <v>1314</v>
      </c>
      <c r="C142" t="s">
        <v>171</v>
      </c>
      <c r="D142" t="s">
        <v>1609</v>
      </c>
      <c r="E142" t="s">
        <v>177</v>
      </c>
      <c r="F142" t="s">
        <v>1315</v>
      </c>
      <c r="G142" t="s">
        <v>1765</v>
      </c>
      <c r="H142" t="s">
        <v>1016</v>
      </c>
      <c r="I142" t="s">
        <v>1195</v>
      </c>
      <c r="J142" t="s">
        <v>1017</v>
      </c>
      <c r="K142" t="s">
        <v>31</v>
      </c>
      <c r="L142" t="s">
        <v>31</v>
      </c>
      <c r="M142" t="s">
        <v>19</v>
      </c>
      <c r="N142">
        <v>500000</v>
      </c>
      <c r="O142" t="s">
        <v>1193</v>
      </c>
      <c r="P142">
        <v>5.5</v>
      </c>
      <c r="Q142" t="s">
        <v>565</v>
      </c>
      <c r="R142" t="s">
        <v>607</v>
      </c>
    </row>
    <row r="143" spans="1:18" x14ac:dyDescent="0.25">
      <c r="A143" t="s">
        <v>178</v>
      </c>
      <c r="B143" t="s">
        <v>1314</v>
      </c>
      <c r="C143" t="s">
        <v>171</v>
      </c>
      <c r="D143" t="s">
        <v>1609</v>
      </c>
      <c r="E143" t="s">
        <v>1847</v>
      </c>
      <c r="F143" t="s">
        <v>1315</v>
      </c>
      <c r="G143" t="s">
        <v>1765</v>
      </c>
      <c r="H143" t="s">
        <v>1016</v>
      </c>
      <c r="I143" t="s">
        <v>1195</v>
      </c>
      <c r="J143" t="s">
        <v>1017</v>
      </c>
      <c r="K143" t="s">
        <v>31</v>
      </c>
      <c r="L143" t="s">
        <v>31</v>
      </c>
      <c r="M143" t="s">
        <v>19</v>
      </c>
      <c r="N143">
        <v>400000</v>
      </c>
      <c r="O143" t="s">
        <v>1193</v>
      </c>
      <c r="P143">
        <v>5.5</v>
      </c>
      <c r="Q143" t="s">
        <v>565</v>
      </c>
      <c r="R143" t="s">
        <v>2455</v>
      </c>
    </row>
    <row r="144" spans="1:18" x14ac:dyDescent="0.25">
      <c r="A144" t="s">
        <v>178</v>
      </c>
      <c r="B144" t="s">
        <v>1314</v>
      </c>
      <c r="C144" t="s">
        <v>171</v>
      </c>
      <c r="D144" t="s">
        <v>1609</v>
      </c>
      <c r="E144" t="s">
        <v>718</v>
      </c>
      <c r="F144" t="s">
        <v>1315</v>
      </c>
      <c r="G144" t="s">
        <v>1765</v>
      </c>
      <c r="H144" t="s">
        <v>1016</v>
      </c>
      <c r="I144" t="s">
        <v>1195</v>
      </c>
      <c r="J144" t="s">
        <v>1017</v>
      </c>
      <c r="K144" t="s">
        <v>31</v>
      </c>
      <c r="L144" t="s">
        <v>31</v>
      </c>
      <c r="M144" t="s">
        <v>19</v>
      </c>
      <c r="N144">
        <v>378325</v>
      </c>
      <c r="O144" t="s">
        <v>1193</v>
      </c>
      <c r="P144">
        <v>5.5</v>
      </c>
      <c r="Q144" t="s">
        <v>565</v>
      </c>
      <c r="R144" t="s">
        <v>2455</v>
      </c>
    </row>
    <row r="145" spans="1:18" x14ac:dyDescent="0.25">
      <c r="A145" t="s">
        <v>179</v>
      </c>
      <c r="B145" t="s">
        <v>1314</v>
      </c>
      <c r="C145" t="s">
        <v>171</v>
      </c>
      <c r="D145" t="s">
        <v>1609</v>
      </c>
      <c r="E145" t="s">
        <v>180</v>
      </c>
      <c r="F145" t="s">
        <v>1315</v>
      </c>
      <c r="G145" t="s">
        <v>1765</v>
      </c>
      <c r="H145" t="s">
        <v>1016</v>
      </c>
      <c r="I145" t="s">
        <v>1195</v>
      </c>
      <c r="J145" t="s">
        <v>1017</v>
      </c>
      <c r="K145" t="s">
        <v>31</v>
      </c>
      <c r="L145" t="s">
        <v>31</v>
      </c>
      <c r="M145" t="s">
        <v>19</v>
      </c>
      <c r="N145">
        <v>500000</v>
      </c>
      <c r="O145" t="s">
        <v>1193</v>
      </c>
      <c r="P145">
        <v>5.15</v>
      </c>
      <c r="Q145" t="s">
        <v>565</v>
      </c>
      <c r="R145" t="s">
        <v>608</v>
      </c>
    </row>
    <row r="146" spans="1:18" x14ac:dyDescent="0.25">
      <c r="A146" t="s">
        <v>1698</v>
      </c>
      <c r="B146" t="s">
        <v>1314</v>
      </c>
      <c r="C146" t="s">
        <v>171</v>
      </c>
      <c r="D146" t="s">
        <v>1609</v>
      </c>
      <c r="E146" t="s">
        <v>1699</v>
      </c>
      <c r="F146" t="s">
        <v>1315</v>
      </c>
      <c r="G146" t="s">
        <v>1765</v>
      </c>
      <c r="H146" t="s">
        <v>1016</v>
      </c>
      <c r="I146" t="s">
        <v>1195</v>
      </c>
      <c r="J146" t="s">
        <v>1017</v>
      </c>
      <c r="K146" t="s">
        <v>31</v>
      </c>
      <c r="L146" t="s">
        <v>31</v>
      </c>
      <c r="M146" t="s">
        <v>19</v>
      </c>
      <c r="N146">
        <v>500000</v>
      </c>
      <c r="O146" t="s">
        <v>1193</v>
      </c>
      <c r="P146">
        <v>6.18</v>
      </c>
      <c r="Q146" t="s">
        <v>565</v>
      </c>
      <c r="R146" t="s">
        <v>2456</v>
      </c>
    </row>
    <row r="147" spans="1:18" x14ac:dyDescent="0.25">
      <c r="A147" t="s">
        <v>181</v>
      </c>
      <c r="B147" t="s">
        <v>1316</v>
      </c>
      <c r="C147" t="s">
        <v>182</v>
      </c>
      <c r="D147" t="s">
        <v>1610</v>
      </c>
      <c r="E147" t="s">
        <v>183</v>
      </c>
      <c r="F147" t="s">
        <v>1317</v>
      </c>
      <c r="G147" t="s">
        <v>1766</v>
      </c>
      <c r="H147" t="s">
        <v>16</v>
      </c>
      <c r="I147" t="s">
        <v>1890</v>
      </c>
      <c r="J147" t="s">
        <v>1192</v>
      </c>
      <c r="K147" t="s">
        <v>31</v>
      </c>
      <c r="L147" t="s">
        <v>31</v>
      </c>
      <c r="M147" t="s">
        <v>19</v>
      </c>
      <c r="N147">
        <v>379000</v>
      </c>
      <c r="O147" t="s">
        <v>1193</v>
      </c>
      <c r="P147">
        <v>5.2</v>
      </c>
      <c r="Q147" t="s">
        <v>562</v>
      </c>
      <c r="R147" t="s">
        <v>609</v>
      </c>
    </row>
    <row r="148" spans="1:18" x14ac:dyDescent="0.25">
      <c r="A148" t="s">
        <v>184</v>
      </c>
      <c r="B148" t="s">
        <v>1318</v>
      </c>
      <c r="C148" t="s">
        <v>185</v>
      </c>
      <c r="D148" t="s">
        <v>1611</v>
      </c>
      <c r="E148" t="s">
        <v>186</v>
      </c>
      <c r="F148" t="s">
        <v>1319</v>
      </c>
      <c r="G148" t="s">
        <v>1767</v>
      </c>
      <c r="H148" t="s">
        <v>1320</v>
      </c>
      <c r="I148" t="s">
        <v>1195</v>
      </c>
      <c r="J148" t="s">
        <v>1321</v>
      </c>
      <c r="K148" t="s">
        <v>42</v>
      </c>
      <c r="L148" t="s">
        <v>42</v>
      </c>
      <c r="M148" t="s">
        <v>19</v>
      </c>
      <c r="N148">
        <v>1750000</v>
      </c>
      <c r="O148" t="s">
        <v>1193</v>
      </c>
      <c r="P148">
        <v>3.875</v>
      </c>
      <c r="Q148" t="s">
        <v>565</v>
      </c>
      <c r="R148" t="s">
        <v>2457</v>
      </c>
    </row>
    <row r="149" spans="1:18" x14ac:dyDescent="0.25">
      <c r="A149" t="s">
        <v>2458</v>
      </c>
      <c r="B149" t="s">
        <v>1318</v>
      </c>
      <c r="C149" t="s">
        <v>185</v>
      </c>
      <c r="D149" t="s">
        <v>1611</v>
      </c>
      <c r="E149" t="s">
        <v>2459</v>
      </c>
      <c r="F149" t="s">
        <v>1319</v>
      </c>
      <c r="G149" t="s">
        <v>1767</v>
      </c>
      <c r="H149" t="s">
        <v>1320</v>
      </c>
      <c r="I149" t="s">
        <v>1195</v>
      </c>
      <c r="J149" t="s">
        <v>1321</v>
      </c>
      <c r="K149" t="s">
        <v>42</v>
      </c>
      <c r="L149" t="s">
        <v>42</v>
      </c>
      <c r="M149" t="s">
        <v>19</v>
      </c>
      <c r="N149">
        <v>1500000</v>
      </c>
      <c r="O149" t="s">
        <v>1193</v>
      </c>
      <c r="P149">
        <v>5.75</v>
      </c>
      <c r="Q149" t="s">
        <v>565</v>
      </c>
      <c r="R149" t="s">
        <v>2460</v>
      </c>
    </row>
    <row r="150" spans="1:18" x14ac:dyDescent="0.25">
      <c r="A150" t="s">
        <v>187</v>
      </c>
      <c r="B150" t="s">
        <v>1318</v>
      </c>
      <c r="C150" t="s">
        <v>185</v>
      </c>
      <c r="D150" t="s">
        <v>1611</v>
      </c>
      <c r="E150" t="s">
        <v>188</v>
      </c>
      <c r="F150" t="s">
        <v>1319</v>
      </c>
      <c r="G150" t="s">
        <v>1767</v>
      </c>
      <c r="H150" t="s">
        <v>1320</v>
      </c>
      <c r="I150" t="s">
        <v>1195</v>
      </c>
      <c r="J150" t="s">
        <v>1321</v>
      </c>
      <c r="K150" t="s">
        <v>42</v>
      </c>
      <c r="L150" t="s">
        <v>42</v>
      </c>
      <c r="M150" t="s">
        <v>19</v>
      </c>
      <c r="N150">
        <v>1000000</v>
      </c>
      <c r="O150" t="s">
        <v>1193</v>
      </c>
      <c r="P150">
        <v>5.2</v>
      </c>
      <c r="Q150" t="s">
        <v>565</v>
      </c>
      <c r="R150" t="s">
        <v>610</v>
      </c>
    </row>
    <row r="151" spans="1:18" x14ac:dyDescent="0.25">
      <c r="A151" t="s">
        <v>1899</v>
      </c>
      <c r="B151" t="s">
        <v>1318</v>
      </c>
      <c r="C151" t="s">
        <v>185</v>
      </c>
      <c r="D151" t="s">
        <v>1611</v>
      </c>
      <c r="E151" t="s">
        <v>1900</v>
      </c>
      <c r="F151" t="s">
        <v>1319</v>
      </c>
      <c r="G151" t="s">
        <v>1767</v>
      </c>
      <c r="H151" t="s">
        <v>1320</v>
      </c>
      <c r="I151" t="s">
        <v>1195</v>
      </c>
      <c r="J151" t="s">
        <v>1321</v>
      </c>
      <c r="K151" t="s">
        <v>42</v>
      </c>
      <c r="L151" t="s">
        <v>42</v>
      </c>
      <c r="M151" t="s">
        <v>19</v>
      </c>
      <c r="N151">
        <v>1000000</v>
      </c>
      <c r="O151" t="s">
        <v>1193</v>
      </c>
      <c r="P151">
        <v>7.2</v>
      </c>
      <c r="Q151" t="s">
        <v>564</v>
      </c>
    </row>
    <row r="152" spans="1:18" x14ac:dyDescent="0.25">
      <c r="A152" t="s">
        <v>2329</v>
      </c>
      <c r="B152" t="s">
        <v>1322</v>
      </c>
      <c r="C152" t="s">
        <v>189</v>
      </c>
      <c r="D152" t="s">
        <v>189</v>
      </c>
      <c r="E152" t="s">
        <v>2330</v>
      </c>
      <c r="F152" t="s">
        <v>1323</v>
      </c>
      <c r="G152" t="s">
        <v>1768</v>
      </c>
      <c r="H152" t="s">
        <v>1200</v>
      </c>
      <c r="I152" t="s">
        <v>1195</v>
      </c>
      <c r="J152" t="s">
        <v>1324</v>
      </c>
      <c r="K152" t="s">
        <v>31</v>
      </c>
      <c r="L152" t="s">
        <v>31</v>
      </c>
      <c r="M152" t="s">
        <v>19</v>
      </c>
      <c r="N152">
        <v>500000</v>
      </c>
      <c r="O152" t="s">
        <v>1193</v>
      </c>
      <c r="P152">
        <v>5.75</v>
      </c>
      <c r="Q152" t="s">
        <v>565</v>
      </c>
      <c r="R152" t="s">
        <v>2331</v>
      </c>
    </row>
    <row r="153" spans="1:18" x14ac:dyDescent="0.25">
      <c r="A153" t="s">
        <v>1018</v>
      </c>
      <c r="B153" t="s">
        <v>1322</v>
      </c>
      <c r="C153" t="s">
        <v>189</v>
      </c>
      <c r="D153" t="s">
        <v>189</v>
      </c>
      <c r="E153" t="s">
        <v>1019</v>
      </c>
      <c r="F153" t="s">
        <v>1323</v>
      </c>
      <c r="G153" t="s">
        <v>1768</v>
      </c>
      <c r="H153" t="s">
        <v>1200</v>
      </c>
      <c r="I153" t="s">
        <v>1195</v>
      </c>
      <c r="J153" t="s">
        <v>1324</v>
      </c>
      <c r="K153" t="s">
        <v>31</v>
      </c>
      <c r="L153" t="s">
        <v>31</v>
      </c>
      <c r="M153" t="s">
        <v>19</v>
      </c>
      <c r="N153">
        <v>650000</v>
      </c>
      <c r="O153" t="s">
        <v>1193</v>
      </c>
      <c r="P153">
        <v>5.95</v>
      </c>
      <c r="Q153" t="s">
        <v>565</v>
      </c>
      <c r="R153" t="s">
        <v>1020</v>
      </c>
    </row>
    <row r="154" spans="1:18" x14ac:dyDescent="0.25">
      <c r="A154" t="s">
        <v>1549</v>
      </c>
      <c r="B154" t="s">
        <v>1322</v>
      </c>
      <c r="C154" t="s">
        <v>189</v>
      </c>
      <c r="D154" t="s">
        <v>189</v>
      </c>
      <c r="E154" t="s">
        <v>1550</v>
      </c>
      <c r="F154" t="s">
        <v>1323</v>
      </c>
      <c r="G154" t="s">
        <v>1768</v>
      </c>
      <c r="H154" t="s">
        <v>1200</v>
      </c>
      <c r="I154" t="s">
        <v>1195</v>
      </c>
      <c r="J154" t="s">
        <v>1324</v>
      </c>
      <c r="K154" t="s">
        <v>31</v>
      </c>
      <c r="L154" t="s">
        <v>31</v>
      </c>
      <c r="M154" t="s">
        <v>19</v>
      </c>
      <c r="N154">
        <v>350000</v>
      </c>
      <c r="O154" t="s">
        <v>1193</v>
      </c>
      <c r="P154">
        <v>6.625</v>
      </c>
      <c r="Q154" t="s">
        <v>565</v>
      </c>
      <c r="R154" t="s">
        <v>2461</v>
      </c>
    </row>
    <row r="155" spans="1:18" x14ac:dyDescent="0.25">
      <c r="A155" t="s">
        <v>190</v>
      </c>
      <c r="B155" t="s">
        <v>1325</v>
      </c>
      <c r="C155" t="s">
        <v>191</v>
      </c>
      <c r="D155" t="s">
        <v>1612</v>
      </c>
      <c r="E155" t="s">
        <v>192</v>
      </c>
      <c r="F155" t="s">
        <v>1326</v>
      </c>
      <c r="G155" t="s">
        <v>1769</v>
      </c>
      <c r="H155" t="s">
        <v>16</v>
      </c>
      <c r="I155" t="s">
        <v>1577</v>
      </c>
      <c r="J155" t="s">
        <v>193</v>
      </c>
      <c r="K155" t="s">
        <v>42</v>
      </c>
      <c r="L155" t="s">
        <v>42</v>
      </c>
      <c r="M155" t="s">
        <v>19</v>
      </c>
      <c r="N155">
        <v>850000</v>
      </c>
      <c r="O155" t="s">
        <v>1193</v>
      </c>
      <c r="P155">
        <v>3.875</v>
      </c>
      <c r="Q155" t="s">
        <v>565</v>
      </c>
      <c r="R155" t="s">
        <v>611</v>
      </c>
    </row>
    <row r="156" spans="1:18" x14ac:dyDescent="0.25">
      <c r="A156" t="s">
        <v>194</v>
      </c>
      <c r="B156" t="s">
        <v>1325</v>
      </c>
      <c r="C156" t="s">
        <v>191</v>
      </c>
      <c r="D156" t="s">
        <v>1612</v>
      </c>
      <c r="E156" t="s">
        <v>195</v>
      </c>
      <c r="F156" t="s">
        <v>1326</v>
      </c>
      <c r="G156" t="s">
        <v>1769</v>
      </c>
      <c r="H156" t="s">
        <v>16</v>
      </c>
      <c r="I156" t="s">
        <v>1577</v>
      </c>
      <c r="J156" t="s">
        <v>193</v>
      </c>
      <c r="K156" t="s">
        <v>42</v>
      </c>
      <c r="L156" t="s">
        <v>42</v>
      </c>
      <c r="M156" t="s">
        <v>19</v>
      </c>
      <c r="N156">
        <v>1200000</v>
      </c>
      <c r="O156" t="s">
        <v>1193</v>
      </c>
      <c r="P156">
        <v>3.3479999999999999</v>
      </c>
      <c r="Q156" t="s">
        <v>565</v>
      </c>
      <c r="R156" t="s">
        <v>2462</v>
      </c>
    </row>
    <row r="157" spans="1:18" x14ac:dyDescent="0.25">
      <c r="A157" t="s">
        <v>196</v>
      </c>
      <c r="B157" t="s">
        <v>1325</v>
      </c>
      <c r="C157" t="s">
        <v>191</v>
      </c>
      <c r="D157" t="s">
        <v>1612</v>
      </c>
      <c r="E157" t="s">
        <v>197</v>
      </c>
      <c r="F157" t="s">
        <v>1326</v>
      </c>
      <c r="G157" t="s">
        <v>1769</v>
      </c>
      <c r="H157" t="s">
        <v>16</v>
      </c>
      <c r="I157" t="s">
        <v>1577</v>
      </c>
      <c r="J157" t="s">
        <v>193</v>
      </c>
      <c r="K157" t="s">
        <v>42</v>
      </c>
      <c r="L157" t="s">
        <v>42</v>
      </c>
      <c r="M157" t="s">
        <v>19</v>
      </c>
      <c r="N157">
        <v>900000</v>
      </c>
      <c r="O157" t="s">
        <v>1193</v>
      </c>
      <c r="P157">
        <v>4.05</v>
      </c>
      <c r="Q157" t="s">
        <v>565</v>
      </c>
      <c r="R157" t="s">
        <v>612</v>
      </c>
    </row>
    <row r="158" spans="1:18" x14ac:dyDescent="0.25">
      <c r="A158" t="s">
        <v>198</v>
      </c>
      <c r="B158" t="s">
        <v>1325</v>
      </c>
      <c r="C158" t="s">
        <v>191</v>
      </c>
      <c r="D158" t="s">
        <v>1612</v>
      </c>
      <c r="E158" t="s">
        <v>199</v>
      </c>
      <c r="F158" t="s">
        <v>1326</v>
      </c>
      <c r="G158" t="s">
        <v>1769</v>
      </c>
      <c r="H158" t="s">
        <v>16</v>
      </c>
      <c r="I158" t="s">
        <v>1577</v>
      </c>
      <c r="J158" t="s">
        <v>193</v>
      </c>
      <c r="K158" t="s">
        <v>42</v>
      </c>
      <c r="L158" t="s">
        <v>42</v>
      </c>
      <c r="M158" t="s">
        <v>19</v>
      </c>
      <c r="N158">
        <v>800000</v>
      </c>
      <c r="O158" t="s">
        <v>1193</v>
      </c>
      <c r="P158">
        <v>4.6769999999999996</v>
      </c>
      <c r="Q158" t="s">
        <v>565</v>
      </c>
      <c r="R158" t="s">
        <v>2463</v>
      </c>
    </row>
    <row r="159" spans="1:18" x14ac:dyDescent="0.25">
      <c r="A159" t="s">
        <v>200</v>
      </c>
      <c r="B159" t="s">
        <v>1325</v>
      </c>
      <c r="C159" t="s">
        <v>191</v>
      </c>
      <c r="D159" t="s">
        <v>1612</v>
      </c>
      <c r="E159" t="s">
        <v>201</v>
      </c>
      <c r="F159" t="s">
        <v>1326</v>
      </c>
      <c r="G159" t="s">
        <v>1769</v>
      </c>
      <c r="H159" t="s">
        <v>16</v>
      </c>
      <c r="I159" t="s">
        <v>1577</v>
      </c>
      <c r="J159" t="s">
        <v>193</v>
      </c>
      <c r="K159" t="s">
        <v>42</v>
      </c>
      <c r="L159" t="s">
        <v>42</v>
      </c>
      <c r="M159" t="s">
        <v>19</v>
      </c>
      <c r="N159">
        <v>1250000</v>
      </c>
      <c r="O159" t="s">
        <v>1193</v>
      </c>
      <c r="P159">
        <v>4.6879999999999997</v>
      </c>
      <c r="Q159" t="s">
        <v>565</v>
      </c>
      <c r="R159" t="s">
        <v>613</v>
      </c>
    </row>
    <row r="160" spans="1:18" x14ac:dyDescent="0.25">
      <c r="A160" t="s">
        <v>2188</v>
      </c>
      <c r="B160" t="s">
        <v>1325</v>
      </c>
      <c r="C160" t="s">
        <v>191</v>
      </c>
      <c r="D160" t="s">
        <v>1612</v>
      </c>
      <c r="E160" t="s">
        <v>2189</v>
      </c>
      <c r="F160" t="s">
        <v>1326</v>
      </c>
      <c r="G160" t="s">
        <v>1769</v>
      </c>
      <c r="H160" t="s">
        <v>16</v>
      </c>
      <c r="I160" t="s">
        <v>1577</v>
      </c>
      <c r="J160" t="s">
        <v>193</v>
      </c>
      <c r="K160" t="s">
        <v>42</v>
      </c>
      <c r="L160" t="s">
        <v>42</v>
      </c>
      <c r="M160" t="s">
        <v>19</v>
      </c>
      <c r="N160">
        <v>727000</v>
      </c>
      <c r="O160" t="s">
        <v>1193</v>
      </c>
      <c r="P160">
        <v>5</v>
      </c>
      <c r="R160" t="s">
        <v>2464</v>
      </c>
    </row>
    <row r="161" spans="1:18" x14ac:dyDescent="0.25">
      <c r="A161" t="s">
        <v>202</v>
      </c>
      <c r="B161" t="s">
        <v>1325</v>
      </c>
      <c r="C161" t="s">
        <v>191</v>
      </c>
      <c r="D161" t="s">
        <v>1612</v>
      </c>
      <c r="E161" t="s">
        <v>203</v>
      </c>
      <c r="F161" t="s">
        <v>1326</v>
      </c>
      <c r="G161" t="s">
        <v>1769</v>
      </c>
      <c r="H161" t="s">
        <v>16</v>
      </c>
      <c r="I161" t="s">
        <v>1577</v>
      </c>
      <c r="J161" t="s">
        <v>193</v>
      </c>
      <c r="K161" t="s">
        <v>42</v>
      </c>
      <c r="L161" t="s">
        <v>42</v>
      </c>
      <c r="M161" t="s">
        <v>19</v>
      </c>
      <c r="N161">
        <v>615000</v>
      </c>
      <c r="O161" t="s">
        <v>1193</v>
      </c>
      <c r="P161">
        <v>5</v>
      </c>
      <c r="Q161" t="s">
        <v>565</v>
      </c>
      <c r="R161" t="s">
        <v>614</v>
      </c>
    </row>
    <row r="162" spans="1:18" x14ac:dyDescent="0.25">
      <c r="A162" t="s">
        <v>2190</v>
      </c>
      <c r="B162" t="s">
        <v>1325</v>
      </c>
      <c r="C162" t="s">
        <v>191</v>
      </c>
      <c r="D162" t="s">
        <v>1612</v>
      </c>
      <c r="E162" t="s">
        <v>2191</v>
      </c>
      <c r="F162" t="s">
        <v>1326</v>
      </c>
      <c r="G162" t="s">
        <v>1769</v>
      </c>
      <c r="H162" t="s">
        <v>16</v>
      </c>
      <c r="I162" t="s">
        <v>1577</v>
      </c>
      <c r="J162" t="s">
        <v>193</v>
      </c>
      <c r="K162" t="s">
        <v>42</v>
      </c>
      <c r="L162" t="s">
        <v>42</v>
      </c>
      <c r="M162" t="s">
        <v>19</v>
      </c>
      <c r="N162">
        <v>375000</v>
      </c>
      <c r="O162" t="s">
        <v>1193</v>
      </c>
      <c r="P162">
        <v>5</v>
      </c>
      <c r="Q162" t="s">
        <v>2008</v>
      </c>
      <c r="R162" t="s">
        <v>2192</v>
      </c>
    </row>
    <row r="163" spans="1:18" x14ac:dyDescent="0.25">
      <c r="A163" t="s">
        <v>204</v>
      </c>
      <c r="B163" t="s">
        <v>1325</v>
      </c>
      <c r="C163" t="s">
        <v>205</v>
      </c>
      <c r="D163" t="s">
        <v>1612</v>
      </c>
      <c r="E163" t="s">
        <v>206</v>
      </c>
      <c r="F163" t="s">
        <v>1326</v>
      </c>
      <c r="G163" t="s">
        <v>1769</v>
      </c>
      <c r="H163" t="s">
        <v>16</v>
      </c>
      <c r="I163" t="s">
        <v>1577</v>
      </c>
      <c r="J163" t="s">
        <v>193</v>
      </c>
      <c r="K163" t="s">
        <v>42</v>
      </c>
      <c r="L163" t="s">
        <v>42</v>
      </c>
      <c r="M163" t="s">
        <v>19</v>
      </c>
      <c r="N163">
        <v>750000</v>
      </c>
      <c r="O163" t="s">
        <v>1193</v>
      </c>
      <c r="P163">
        <v>5.75</v>
      </c>
      <c r="Q163" t="s">
        <v>565</v>
      </c>
      <c r="R163" t="s">
        <v>615</v>
      </c>
    </row>
    <row r="164" spans="1:18" x14ac:dyDescent="0.25">
      <c r="A164" t="s">
        <v>1848</v>
      </c>
      <c r="B164" t="s">
        <v>1325</v>
      </c>
      <c r="C164" t="s">
        <v>191</v>
      </c>
      <c r="D164" t="s">
        <v>1612</v>
      </c>
      <c r="E164" t="s">
        <v>1849</v>
      </c>
      <c r="F164" t="s">
        <v>1326</v>
      </c>
      <c r="G164" t="s">
        <v>1769</v>
      </c>
      <c r="H164" t="s">
        <v>16</v>
      </c>
      <c r="I164" t="s">
        <v>1577</v>
      </c>
      <c r="J164" t="s">
        <v>193</v>
      </c>
      <c r="K164" t="s">
        <v>42</v>
      </c>
      <c r="L164" t="s">
        <v>42</v>
      </c>
      <c r="M164" t="s">
        <v>19</v>
      </c>
      <c r="N164">
        <v>750000</v>
      </c>
      <c r="O164" t="s">
        <v>1193</v>
      </c>
      <c r="P164">
        <v>5.15</v>
      </c>
      <c r="Q164" t="s">
        <v>565</v>
      </c>
      <c r="R164" t="s">
        <v>1850</v>
      </c>
    </row>
    <row r="165" spans="1:18" x14ac:dyDescent="0.25">
      <c r="A165" t="s">
        <v>1074</v>
      </c>
      <c r="B165" t="s">
        <v>1325</v>
      </c>
      <c r="C165" t="s">
        <v>191</v>
      </c>
      <c r="D165" t="s">
        <v>1612</v>
      </c>
      <c r="E165" t="s">
        <v>1075</v>
      </c>
      <c r="F165" t="s">
        <v>1326</v>
      </c>
      <c r="G165" t="s">
        <v>1769</v>
      </c>
      <c r="H165" t="s">
        <v>16</v>
      </c>
      <c r="I165" t="s">
        <v>1577</v>
      </c>
      <c r="J165" t="s">
        <v>193</v>
      </c>
      <c r="K165" t="s">
        <v>42</v>
      </c>
      <c r="L165" t="s">
        <v>42</v>
      </c>
      <c r="M165" t="s">
        <v>19</v>
      </c>
      <c r="N165">
        <v>500000</v>
      </c>
      <c r="O165" t="s">
        <v>1193</v>
      </c>
      <c r="P165">
        <v>5.7</v>
      </c>
      <c r="Q165" t="s">
        <v>565</v>
      </c>
      <c r="R165" t="s">
        <v>590</v>
      </c>
    </row>
    <row r="166" spans="1:18" x14ac:dyDescent="0.25">
      <c r="A166" t="s">
        <v>2116</v>
      </c>
      <c r="B166" t="s">
        <v>1325</v>
      </c>
      <c r="C166" t="s">
        <v>191</v>
      </c>
      <c r="D166" t="s">
        <v>1612</v>
      </c>
      <c r="E166" t="s">
        <v>2117</v>
      </c>
      <c r="F166" t="s">
        <v>1326</v>
      </c>
      <c r="G166" t="s">
        <v>1769</v>
      </c>
      <c r="H166" t="s">
        <v>16</v>
      </c>
      <c r="I166" t="s">
        <v>1577</v>
      </c>
      <c r="J166" t="s">
        <v>193</v>
      </c>
      <c r="K166" t="s">
        <v>42</v>
      </c>
      <c r="L166" t="s">
        <v>42</v>
      </c>
      <c r="M166" t="s">
        <v>19</v>
      </c>
      <c r="N166">
        <v>500000</v>
      </c>
      <c r="O166" t="s">
        <v>1193</v>
      </c>
      <c r="P166">
        <v>6.5</v>
      </c>
      <c r="Q166" t="s">
        <v>565</v>
      </c>
      <c r="R166" t="s">
        <v>2118</v>
      </c>
    </row>
    <row r="167" spans="1:18" x14ac:dyDescent="0.25">
      <c r="A167" t="s">
        <v>207</v>
      </c>
      <c r="B167" t="s">
        <v>1325</v>
      </c>
      <c r="C167" t="s">
        <v>191</v>
      </c>
      <c r="D167" t="s">
        <v>1612</v>
      </c>
      <c r="E167" t="s">
        <v>208</v>
      </c>
      <c r="F167" t="s">
        <v>1326</v>
      </c>
      <c r="G167" t="s">
        <v>1769</v>
      </c>
      <c r="H167" t="s">
        <v>16</v>
      </c>
      <c r="I167" t="s">
        <v>1577</v>
      </c>
      <c r="J167" t="s">
        <v>193</v>
      </c>
      <c r="K167" t="s">
        <v>42</v>
      </c>
      <c r="L167" t="s">
        <v>42</v>
      </c>
      <c r="M167" t="s">
        <v>19</v>
      </c>
      <c r="N167">
        <v>700000</v>
      </c>
      <c r="O167" t="s">
        <v>1193</v>
      </c>
      <c r="P167">
        <v>6.125</v>
      </c>
      <c r="Q167" t="s">
        <v>565</v>
      </c>
      <c r="R167" t="s">
        <v>616</v>
      </c>
    </row>
    <row r="168" spans="1:18" x14ac:dyDescent="0.25">
      <c r="A168" t="s">
        <v>2119</v>
      </c>
      <c r="B168" t="s">
        <v>1325</v>
      </c>
      <c r="C168" t="s">
        <v>191</v>
      </c>
      <c r="D168" t="s">
        <v>1612</v>
      </c>
      <c r="E168" t="s">
        <v>2120</v>
      </c>
      <c r="F168" t="s">
        <v>1326</v>
      </c>
      <c r="G168" t="s">
        <v>1769</v>
      </c>
      <c r="H168" t="s">
        <v>16</v>
      </c>
      <c r="I168" t="s">
        <v>1577</v>
      </c>
      <c r="J168" t="s">
        <v>193</v>
      </c>
      <c r="K168" t="s">
        <v>42</v>
      </c>
      <c r="L168" t="s">
        <v>42</v>
      </c>
      <c r="M168" t="s">
        <v>19</v>
      </c>
      <c r="N168">
        <v>1000000</v>
      </c>
      <c r="O168" t="s">
        <v>1193</v>
      </c>
      <c r="P168">
        <v>6.0449999999999999</v>
      </c>
      <c r="Q168" t="s">
        <v>565</v>
      </c>
      <c r="R168" t="s">
        <v>2121</v>
      </c>
    </row>
    <row r="169" spans="1:18" x14ac:dyDescent="0.25">
      <c r="A169" t="s">
        <v>209</v>
      </c>
      <c r="B169" t="s">
        <v>1325</v>
      </c>
      <c r="C169" t="s">
        <v>191</v>
      </c>
      <c r="D169" t="s">
        <v>1612</v>
      </c>
      <c r="E169" t="s">
        <v>210</v>
      </c>
      <c r="F169" t="s">
        <v>1326</v>
      </c>
      <c r="G169" t="s">
        <v>1769</v>
      </c>
      <c r="H169" t="s">
        <v>16</v>
      </c>
      <c r="I169" t="s">
        <v>1577</v>
      </c>
      <c r="J169" t="s">
        <v>193</v>
      </c>
      <c r="K169" t="s">
        <v>42</v>
      </c>
      <c r="L169" t="s">
        <v>42</v>
      </c>
      <c r="M169" t="s">
        <v>19</v>
      </c>
      <c r="N169">
        <v>500000</v>
      </c>
      <c r="O169" t="s">
        <v>1193</v>
      </c>
      <c r="P169">
        <v>6.2640000000000002</v>
      </c>
      <c r="Q169" t="s">
        <v>565</v>
      </c>
      <c r="R169" t="s">
        <v>617</v>
      </c>
    </row>
    <row r="170" spans="1:18" x14ac:dyDescent="0.25">
      <c r="A170" t="s">
        <v>1076</v>
      </c>
      <c r="B170" t="s">
        <v>1325</v>
      </c>
      <c r="C170" t="s">
        <v>191</v>
      </c>
      <c r="D170" t="s">
        <v>1612</v>
      </c>
      <c r="E170" t="s">
        <v>1077</v>
      </c>
      <c r="F170" t="s">
        <v>1326</v>
      </c>
      <c r="G170" t="s">
        <v>1769</v>
      </c>
      <c r="H170" t="s">
        <v>16</v>
      </c>
      <c r="I170" t="s">
        <v>1577</v>
      </c>
      <c r="J170" t="s">
        <v>193</v>
      </c>
      <c r="K170" t="s">
        <v>42</v>
      </c>
      <c r="L170" t="s">
        <v>42</v>
      </c>
      <c r="M170" t="s">
        <v>19</v>
      </c>
      <c r="N170">
        <v>1000000</v>
      </c>
      <c r="O170" t="s">
        <v>1193</v>
      </c>
      <c r="P170">
        <v>6.45</v>
      </c>
      <c r="Q170" t="s">
        <v>565</v>
      </c>
      <c r="R170" t="s">
        <v>1078</v>
      </c>
    </row>
    <row r="171" spans="1:18" x14ac:dyDescent="0.25">
      <c r="A171" t="s">
        <v>876</v>
      </c>
      <c r="B171" t="s">
        <v>878</v>
      </c>
      <c r="C171" t="s">
        <v>877</v>
      </c>
      <c r="D171" t="s">
        <v>931</v>
      </c>
      <c r="E171" t="s">
        <v>879</v>
      </c>
      <c r="F171" t="s">
        <v>880</v>
      </c>
      <c r="H171" t="s">
        <v>16</v>
      </c>
      <c r="I171" t="s">
        <v>1577</v>
      </c>
      <c r="J171" t="s">
        <v>193</v>
      </c>
      <c r="K171" t="s">
        <v>871</v>
      </c>
      <c r="L171" t="s">
        <v>31</v>
      </c>
      <c r="M171" t="s">
        <v>19</v>
      </c>
      <c r="N171">
        <v>784250</v>
      </c>
      <c r="O171" t="s">
        <v>1193</v>
      </c>
      <c r="P171">
        <v>6.01</v>
      </c>
      <c r="Q171" t="s">
        <v>577</v>
      </c>
      <c r="R171" t="s">
        <v>881</v>
      </c>
    </row>
    <row r="172" spans="1:18" x14ac:dyDescent="0.25">
      <c r="A172" t="s">
        <v>1119</v>
      </c>
      <c r="B172" t="s">
        <v>1120</v>
      </c>
      <c r="C172" t="s">
        <v>1121</v>
      </c>
      <c r="D172" t="s">
        <v>931</v>
      </c>
      <c r="E172" t="s">
        <v>1122</v>
      </c>
      <c r="F172" t="s">
        <v>1123</v>
      </c>
      <c r="H172" t="s">
        <v>16</v>
      </c>
      <c r="I172" t="s">
        <v>1577</v>
      </c>
      <c r="J172" t="s">
        <v>193</v>
      </c>
      <c r="K172" t="s">
        <v>871</v>
      </c>
      <c r="L172" t="s">
        <v>31</v>
      </c>
      <c r="M172" t="s">
        <v>19</v>
      </c>
      <c r="N172">
        <v>1436670</v>
      </c>
      <c r="O172" t="s">
        <v>1193</v>
      </c>
      <c r="P172">
        <v>5.58</v>
      </c>
      <c r="Q172" t="s">
        <v>581</v>
      </c>
      <c r="R172" t="s">
        <v>1124</v>
      </c>
    </row>
    <row r="173" spans="1:18" x14ac:dyDescent="0.25">
      <c r="A173" t="s">
        <v>1579</v>
      </c>
      <c r="B173" t="s">
        <v>1120</v>
      </c>
      <c r="C173" t="s">
        <v>1121</v>
      </c>
      <c r="D173" t="s">
        <v>931</v>
      </c>
      <c r="E173" t="s">
        <v>1580</v>
      </c>
      <c r="F173" t="s">
        <v>1123</v>
      </c>
      <c r="H173" t="s">
        <v>16</v>
      </c>
      <c r="I173" t="s">
        <v>1577</v>
      </c>
      <c r="J173" t="s">
        <v>193</v>
      </c>
      <c r="K173" t="s">
        <v>871</v>
      </c>
      <c r="L173" t="s">
        <v>31</v>
      </c>
      <c r="M173" t="s">
        <v>19</v>
      </c>
      <c r="N173">
        <v>562156</v>
      </c>
      <c r="O173" t="s">
        <v>1193</v>
      </c>
      <c r="P173">
        <v>5.6719999999999997</v>
      </c>
      <c r="Q173" t="s">
        <v>581</v>
      </c>
      <c r="R173" t="s">
        <v>1124</v>
      </c>
    </row>
    <row r="174" spans="1:18" x14ac:dyDescent="0.25">
      <c r="A174" t="s">
        <v>216</v>
      </c>
      <c r="B174" t="s">
        <v>1327</v>
      </c>
      <c r="C174" t="s">
        <v>217</v>
      </c>
      <c r="D174" t="s">
        <v>1613</v>
      </c>
      <c r="E174" t="s">
        <v>218</v>
      </c>
      <c r="F174" t="s">
        <v>1328</v>
      </c>
      <c r="G174" t="s">
        <v>1770</v>
      </c>
      <c r="H174" t="s">
        <v>1016</v>
      </c>
      <c r="I174" t="s">
        <v>1195</v>
      </c>
      <c r="J174" t="s">
        <v>1017</v>
      </c>
      <c r="K174" t="s">
        <v>31</v>
      </c>
      <c r="L174" t="s">
        <v>31</v>
      </c>
      <c r="M174" t="s">
        <v>19</v>
      </c>
      <c r="N174">
        <v>500000</v>
      </c>
      <c r="O174" t="s">
        <v>1193</v>
      </c>
      <c r="P174">
        <v>3</v>
      </c>
      <c r="Q174" t="s">
        <v>565</v>
      </c>
      <c r="R174" t="s">
        <v>2465</v>
      </c>
    </row>
    <row r="175" spans="1:18" x14ac:dyDescent="0.25">
      <c r="A175" t="s">
        <v>219</v>
      </c>
      <c r="B175" t="s">
        <v>1327</v>
      </c>
      <c r="C175" t="s">
        <v>217</v>
      </c>
      <c r="D175" t="s">
        <v>1613</v>
      </c>
      <c r="E175" t="s">
        <v>220</v>
      </c>
      <c r="F175" t="s">
        <v>1328</v>
      </c>
      <c r="G175" t="s">
        <v>1770</v>
      </c>
      <c r="H175" t="s">
        <v>1016</v>
      </c>
      <c r="I175" t="s">
        <v>1195</v>
      </c>
      <c r="J175" t="s">
        <v>1017</v>
      </c>
      <c r="K175" t="s">
        <v>31</v>
      </c>
      <c r="L175" t="s">
        <v>31</v>
      </c>
      <c r="M175" t="s">
        <v>19</v>
      </c>
      <c r="N175">
        <v>500000</v>
      </c>
      <c r="O175" t="s">
        <v>1193</v>
      </c>
      <c r="P175">
        <v>3.85</v>
      </c>
      <c r="Q175" t="s">
        <v>565</v>
      </c>
      <c r="R175" t="s">
        <v>618</v>
      </c>
    </row>
    <row r="176" spans="1:18" x14ac:dyDescent="0.25">
      <c r="A176" t="s">
        <v>950</v>
      </c>
      <c r="B176" t="s">
        <v>1327</v>
      </c>
      <c r="C176" t="s">
        <v>217</v>
      </c>
      <c r="D176" t="s">
        <v>1613</v>
      </c>
      <c r="E176" t="s">
        <v>951</v>
      </c>
      <c r="F176" t="s">
        <v>1328</v>
      </c>
      <c r="G176" t="s">
        <v>1770</v>
      </c>
      <c r="H176" t="s">
        <v>1016</v>
      </c>
      <c r="I176" t="s">
        <v>1195</v>
      </c>
      <c r="J176" t="s">
        <v>1017</v>
      </c>
      <c r="K176" t="s">
        <v>31</v>
      </c>
      <c r="L176" t="s">
        <v>31</v>
      </c>
      <c r="M176" t="s">
        <v>19</v>
      </c>
      <c r="N176">
        <v>500000</v>
      </c>
      <c r="O176" t="s">
        <v>1193</v>
      </c>
      <c r="P176">
        <v>6.125</v>
      </c>
      <c r="Q176" t="s">
        <v>565</v>
      </c>
      <c r="R176" t="s">
        <v>952</v>
      </c>
    </row>
    <row r="177" spans="1:18" x14ac:dyDescent="0.25">
      <c r="A177" t="s">
        <v>857</v>
      </c>
      <c r="B177" t="s">
        <v>1327</v>
      </c>
      <c r="C177" t="s">
        <v>217</v>
      </c>
      <c r="D177" t="s">
        <v>1613</v>
      </c>
      <c r="E177" t="s">
        <v>858</v>
      </c>
      <c r="F177" t="s">
        <v>1328</v>
      </c>
      <c r="G177" t="s">
        <v>1770</v>
      </c>
      <c r="H177" t="s">
        <v>1016</v>
      </c>
      <c r="I177" t="s">
        <v>1195</v>
      </c>
      <c r="J177" t="s">
        <v>1017</v>
      </c>
      <c r="K177" t="s">
        <v>31</v>
      </c>
      <c r="L177" t="s">
        <v>31</v>
      </c>
      <c r="M177" t="s">
        <v>19</v>
      </c>
      <c r="N177">
        <v>500000</v>
      </c>
      <c r="O177" t="s">
        <v>1193</v>
      </c>
      <c r="P177">
        <v>6.125</v>
      </c>
      <c r="Q177" t="s">
        <v>565</v>
      </c>
      <c r="R177" t="s">
        <v>859</v>
      </c>
    </row>
    <row r="178" spans="1:18" x14ac:dyDescent="0.25">
      <c r="A178" t="s">
        <v>1930</v>
      </c>
      <c r="B178" t="s">
        <v>1327</v>
      </c>
      <c r="C178" t="s">
        <v>217</v>
      </c>
      <c r="D178" t="s">
        <v>1613</v>
      </c>
      <c r="E178" t="s">
        <v>1931</v>
      </c>
      <c r="F178" t="s">
        <v>1328</v>
      </c>
      <c r="G178" t="s">
        <v>1770</v>
      </c>
      <c r="H178" t="s">
        <v>1016</v>
      </c>
      <c r="I178" t="s">
        <v>1195</v>
      </c>
      <c r="J178" t="s">
        <v>1017</v>
      </c>
      <c r="K178" t="s">
        <v>31</v>
      </c>
      <c r="L178" t="s">
        <v>31</v>
      </c>
      <c r="M178" t="s">
        <v>19</v>
      </c>
      <c r="N178">
        <v>600000</v>
      </c>
      <c r="O178" t="s">
        <v>1193</v>
      </c>
      <c r="P178">
        <v>6.7</v>
      </c>
      <c r="Q178" t="s">
        <v>564</v>
      </c>
      <c r="R178" t="s">
        <v>2466</v>
      </c>
    </row>
    <row r="179" spans="1:18" x14ac:dyDescent="0.25">
      <c r="A179" t="s">
        <v>1725</v>
      </c>
      <c r="B179" t="s">
        <v>1329</v>
      </c>
      <c r="C179" t="s">
        <v>915</v>
      </c>
      <c r="D179" t="s">
        <v>1614</v>
      </c>
      <c r="E179" t="s">
        <v>1726</v>
      </c>
      <c r="F179" t="s">
        <v>915</v>
      </c>
      <c r="G179" t="s">
        <v>1771</v>
      </c>
      <c r="H179" t="s">
        <v>1243</v>
      </c>
      <c r="I179" t="s">
        <v>1577</v>
      </c>
      <c r="J179" t="s">
        <v>1287</v>
      </c>
      <c r="K179" t="s">
        <v>18</v>
      </c>
      <c r="L179" t="s">
        <v>18</v>
      </c>
      <c r="M179" t="s">
        <v>19</v>
      </c>
      <c r="N179">
        <v>400000</v>
      </c>
      <c r="O179" t="s">
        <v>1193</v>
      </c>
      <c r="P179">
        <v>5.5</v>
      </c>
      <c r="Q179" t="s">
        <v>565</v>
      </c>
      <c r="R179" t="s">
        <v>2467</v>
      </c>
    </row>
    <row r="180" spans="1:18" x14ac:dyDescent="0.25">
      <c r="A180" t="s">
        <v>990</v>
      </c>
      <c r="B180" t="s">
        <v>1329</v>
      </c>
      <c r="C180" t="s">
        <v>915</v>
      </c>
      <c r="D180" t="s">
        <v>1614</v>
      </c>
      <c r="E180" t="s">
        <v>991</v>
      </c>
      <c r="F180" t="s">
        <v>915</v>
      </c>
      <c r="G180" t="s">
        <v>1771</v>
      </c>
      <c r="H180" t="s">
        <v>1243</v>
      </c>
      <c r="I180" t="s">
        <v>1577</v>
      </c>
      <c r="J180" t="s">
        <v>1287</v>
      </c>
      <c r="K180" t="s">
        <v>18</v>
      </c>
      <c r="L180" t="s">
        <v>18</v>
      </c>
      <c r="M180" t="s">
        <v>19</v>
      </c>
      <c r="N180">
        <v>300000</v>
      </c>
      <c r="O180" t="s">
        <v>1193</v>
      </c>
      <c r="P180">
        <v>5.95</v>
      </c>
      <c r="Q180" t="s">
        <v>565</v>
      </c>
      <c r="R180" t="s">
        <v>605</v>
      </c>
    </row>
    <row r="181" spans="1:18" x14ac:dyDescent="0.25">
      <c r="A181" t="s">
        <v>223</v>
      </c>
      <c r="B181" t="s">
        <v>1330</v>
      </c>
      <c r="C181" t="s">
        <v>224</v>
      </c>
      <c r="D181" t="s">
        <v>224</v>
      </c>
      <c r="E181" t="s">
        <v>225</v>
      </c>
      <c r="F181" t="s">
        <v>1331</v>
      </c>
      <c r="G181" t="s">
        <v>1732</v>
      </c>
      <c r="H181" t="s">
        <v>16</v>
      </c>
      <c r="I181" t="s">
        <v>1890</v>
      </c>
      <c r="J181" t="s">
        <v>30</v>
      </c>
      <c r="K181" t="s">
        <v>31</v>
      </c>
      <c r="L181" t="s">
        <v>31</v>
      </c>
      <c r="M181" t="s">
        <v>19</v>
      </c>
      <c r="N181">
        <v>600000</v>
      </c>
      <c r="O181" t="s">
        <v>1193</v>
      </c>
      <c r="P181">
        <v>3.15</v>
      </c>
      <c r="Q181" t="s">
        <v>562</v>
      </c>
      <c r="R181" t="s">
        <v>595</v>
      </c>
    </row>
    <row r="182" spans="1:18" x14ac:dyDescent="0.25">
      <c r="A182" t="s">
        <v>226</v>
      </c>
      <c r="B182" t="s">
        <v>1330</v>
      </c>
      <c r="C182" t="s">
        <v>224</v>
      </c>
      <c r="D182" t="s">
        <v>224</v>
      </c>
      <c r="E182" t="s">
        <v>227</v>
      </c>
      <c r="F182" t="s">
        <v>1331</v>
      </c>
      <c r="G182" t="s">
        <v>1732</v>
      </c>
      <c r="H182" t="s">
        <v>16</v>
      </c>
      <c r="I182" t="s">
        <v>1890</v>
      </c>
      <c r="J182" t="s">
        <v>30</v>
      </c>
      <c r="K182" t="s">
        <v>31</v>
      </c>
      <c r="L182" t="s">
        <v>31</v>
      </c>
      <c r="M182" t="s">
        <v>19</v>
      </c>
      <c r="N182">
        <v>500000</v>
      </c>
      <c r="O182" t="s">
        <v>1193</v>
      </c>
      <c r="P182">
        <v>3.15</v>
      </c>
      <c r="Q182" t="s">
        <v>562</v>
      </c>
      <c r="R182" t="s">
        <v>2468</v>
      </c>
    </row>
    <row r="183" spans="1:18" x14ac:dyDescent="0.25">
      <c r="A183" t="s">
        <v>1932</v>
      </c>
      <c r="B183" t="s">
        <v>1330</v>
      </c>
      <c r="C183" t="s">
        <v>224</v>
      </c>
      <c r="D183" t="s">
        <v>224</v>
      </c>
      <c r="E183" t="s">
        <v>1933</v>
      </c>
      <c r="F183" t="s">
        <v>1331</v>
      </c>
      <c r="G183" t="s">
        <v>1732</v>
      </c>
      <c r="H183" t="s">
        <v>16</v>
      </c>
      <c r="I183" t="s">
        <v>1890</v>
      </c>
      <c r="J183" t="s">
        <v>30</v>
      </c>
      <c r="K183" t="s">
        <v>31</v>
      </c>
      <c r="L183" t="s">
        <v>31</v>
      </c>
      <c r="M183" t="s">
        <v>19</v>
      </c>
      <c r="N183">
        <v>500000</v>
      </c>
      <c r="O183" t="s">
        <v>1193</v>
      </c>
      <c r="P183">
        <v>5.375</v>
      </c>
      <c r="Q183" t="s">
        <v>562</v>
      </c>
      <c r="R183" t="s">
        <v>2469</v>
      </c>
    </row>
    <row r="184" spans="1:18" x14ac:dyDescent="0.25">
      <c r="A184" t="s">
        <v>1556</v>
      </c>
      <c r="B184" t="s">
        <v>1507</v>
      </c>
      <c r="C184" t="s">
        <v>501</v>
      </c>
      <c r="D184" t="s">
        <v>1615</v>
      </c>
      <c r="E184" t="s">
        <v>502</v>
      </c>
      <c r="F184" t="s">
        <v>1557</v>
      </c>
      <c r="G184" t="s">
        <v>1772</v>
      </c>
      <c r="H184" t="s">
        <v>1218</v>
      </c>
      <c r="I184" t="s">
        <v>1195</v>
      </c>
      <c r="J184" t="s">
        <v>1219</v>
      </c>
      <c r="K184" t="s">
        <v>41</v>
      </c>
      <c r="L184" t="s">
        <v>41</v>
      </c>
      <c r="M184" t="s">
        <v>19</v>
      </c>
      <c r="N184">
        <v>500000</v>
      </c>
      <c r="O184" t="s">
        <v>1193</v>
      </c>
      <c r="P184">
        <v>4.95</v>
      </c>
      <c r="Q184" t="s">
        <v>564</v>
      </c>
      <c r="R184" t="s">
        <v>671</v>
      </c>
    </row>
    <row r="185" spans="1:18" x14ac:dyDescent="0.25">
      <c r="A185" t="s">
        <v>1944</v>
      </c>
      <c r="B185" t="s">
        <v>1945</v>
      </c>
      <c r="C185" t="s">
        <v>1946</v>
      </c>
      <c r="D185" t="s">
        <v>1947</v>
      </c>
      <c r="E185" t="s">
        <v>1948</v>
      </c>
      <c r="F185" t="s">
        <v>1949</v>
      </c>
      <c r="H185" t="s">
        <v>16</v>
      </c>
      <c r="I185" t="s">
        <v>1890</v>
      </c>
      <c r="J185" t="s">
        <v>1021</v>
      </c>
      <c r="K185" t="s">
        <v>42</v>
      </c>
      <c r="L185" t="s">
        <v>42</v>
      </c>
      <c r="M185" t="s">
        <v>19</v>
      </c>
      <c r="N185">
        <v>860000</v>
      </c>
      <c r="O185" t="s">
        <v>1193</v>
      </c>
      <c r="P185">
        <v>6.375</v>
      </c>
      <c r="Q185" t="s">
        <v>565</v>
      </c>
      <c r="R185" t="s">
        <v>1950</v>
      </c>
    </row>
    <row r="186" spans="1:18" x14ac:dyDescent="0.25">
      <c r="A186" t="s">
        <v>2371</v>
      </c>
      <c r="B186" t="s">
        <v>2372</v>
      </c>
      <c r="C186" t="s">
        <v>2373</v>
      </c>
      <c r="D186" t="s">
        <v>2374</v>
      </c>
      <c r="E186" t="s">
        <v>2375</v>
      </c>
      <c r="F186" t="s">
        <v>2376</v>
      </c>
      <c r="G186" t="s">
        <v>2377</v>
      </c>
      <c r="H186" t="s">
        <v>16</v>
      </c>
      <c r="I186" t="s">
        <v>1890</v>
      </c>
      <c r="J186" t="s">
        <v>30</v>
      </c>
      <c r="K186" t="s">
        <v>42</v>
      </c>
      <c r="L186" t="s">
        <v>42</v>
      </c>
      <c r="M186" t="s">
        <v>19</v>
      </c>
      <c r="N186">
        <v>1000000</v>
      </c>
      <c r="O186" t="s">
        <v>1193</v>
      </c>
      <c r="P186">
        <v>7.75</v>
      </c>
      <c r="Q186" t="s">
        <v>566</v>
      </c>
      <c r="R186" t="s">
        <v>2470</v>
      </c>
    </row>
    <row r="187" spans="1:18" x14ac:dyDescent="0.25">
      <c r="A187" t="s">
        <v>2378</v>
      </c>
      <c r="B187" t="s">
        <v>2372</v>
      </c>
      <c r="C187" t="s">
        <v>2373</v>
      </c>
      <c r="D187" t="s">
        <v>2374</v>
      </c>
      <c r="E187" t="s">
        <v>2379</v>
      </c>
      <c r="F187" t="s">
        <v>2376</v>
      </c>
      <c r="G187" t="s">
        <v>2377</v>
      </c>
      <c r="H187" t="s">
        <v>16</v>
      </c>
      <c r="I187" t="s">
        <v>1890</v>
      </c>
      <c r="J187" t="s">
        <v>30</v>
      </c>
      <c r="K187" t="s">
        <v>42</v>
      </c>
      <c r="L187" t="s">
        <v>42</v>
      </c>
      <c r="M187" t="s">
        <v>19</v>
      </c>
      <c r="N187">
        <v>1000000</v>
      </c>
      <c r="O187" t="s">
        <v>1193</v>
      </c>
      <c r="P187">
        <v>7.125</v>
      </c>
      <c r="Q187" t="s">
        <v>566</v>
      </c>
      <c r="R187" t="s">
        <v>2471</v>
      </c>
    </row>
    <row r="188" spans="1:18" x14ac:dyDescent="0.25">
      <c r="A188" t="s">
        <v>2281</v>
      </c>
      <c r="B188" t="s">
        <v>2282</v>
      </c>
      <c r="C188" t="s">
        <v>2283</v>
      </c>
      <c r="D188" t="s">
        <v>2284</v>
      </c>
      <c r="E188" t="s">
        <v>2285</v>
      </c>
      <c r="F188" t="s">
        <v>2286</v>
      </c>
      <c r="G188" t="s">
        <v>2287</v>
      </c>
      <c r="H188" t="s">
        <v>221</v>
      </c>
      <c r="I188" t="s">
        <v>1195</v>
      </c>
      <c r="J188" t="s">
        <v>228</v>
      </c>
      <c r="K188" t="s">
        <v>1245</v>
      </c>
      <c r="L188" t="s">
        <v>27</v>
      </c>
      <c r="M188" t="s">
        <v>19</v>
      </c>
      <c r="N188">
        <v>500000</v>
      </c>
      <c r="O188" t="s">
        <v>1193</v>
      </c>
      <c r="P188">
        <v>8.25</v>
      </c>
      <c r="Q188" t="s">
        <v>576</v>
      </c>
    </row>
    <row r="189" spans="1:18" x14ac:dyDescent="0.25">
      <c r="A189" t="s">
        <v>229</v>
      </c>
      <c r="B189" t="s">
        <v>1332</v>
      </c>
      <c r="C189" t="s">
        <v>230</v>
      </c>
      <c r="D189" t="s">
        <v>1616</v>
      </c>
      <c r="E189" t="s">
        <v>231</v>
      </c>
      <c r="F189" t="s">
        <v>1333</v>
      </c>
      <c r="G189" t="s">
        <v>1773</v>
      </c>
      <c r="H189" t="s">
        <v>1260</v>
      </c>
      <c r="I189" t="s">
        <v>1195</v>
      </c>
      <c r="J189" t="s">
        <v>1261</v>
      </c>
      <c r="K189" t="s">
        <v>871</v>
      </c>
      <c r="L189" t="s">
        <v>27</v>
      </c>
      <c r="M189" t="s">
        <v>19</v>
      </c>
      <c r="N189">
        <v>850000</v>
      </c>
      <c r="O189" t="s">
        <v>1193</v>
      </c>
      <c r="P189">
        <v>4.625</v>
      </c>
      <c r="Q189" t="s">
        <v>2195</v>
      </c>
      <c r="R189" t="s">
        <v>2472</v>
      </c>
    </row>
    <row r="190" spans="1:18" x14ac:dyDescent="0.25">
      <c r="A190" t="s">
        <v>232</v>
      </c>
      <c r="B190" t="s">
        <v>1332</v>
      </c>
      <c r="C190" t="s">
        <v>230</v>
      </c>
      <c r="D190" t="s">
        <v>1616</v>
      </c>
      <c r="E190" t="s">
        <v>233</v>
      </c>
      <c r="F190" t="s">
        <v>1333</v>
      </c>
      <c r="G190" t="s">
        <v>1773</v>
      </c>
      <c r="H190" t="s">
        <v>1260</v>
      </c>
      <c r="I190" t="s">
        <v>1195</v>
      </c>
      <c r="J190" t="s">
        <v>1261</v>
      </c>
      <c r="K190" t="s">
        <v>871</v>
      </c>
      <c r="L190" t="s">
        <v>27</v>
      </c>
      <c r="M190" t="s">
        <v>19</v>
      </c>
      <c r="N190">
        <v>500000</v>
      </c>
      <c r="O190" t="s">
        <v>1193</v>
      </c>
      <c r="P190">
        <v>5.875</v>
      </c>
      <c r="Q190" t="s">
        <v>2195</v>
      </c>
      <c r="R190" t="s">
        <v>2473</v>
      </c>
    </row>
    <row r="191" spans="1:18" x14ac:dyDescent="0.25">
      <c r="A191" t="s">
        <v>904</v>
      </c>
      <c r="B191" t="s">
        <v>1332</v>
      </c>
      <c r="C191" t="s">
        <v>230</v>
      </c>
      <c r="D191" t="s">
        <v>1616</v>
      </c>
      <c r="E191" t="s">
        <v>905</v>
      </c>
      <c r="F191" t="s">
        <v>1333</v>
      </c>
      <c r="G191" t="s">
        <v>1773</v>
      </c>
      <c r="H191" t="s">
        <v>1260</v>
      </c>
      <c r="I191" t="s">
        <v>1195</v>
      </c>
      <c r="J191" t="s">
        <v>1261</v>
      </c>
      <c r="K191" t="s">
        <v>871</v>
      </c>
      <c r="L191" t="s">
        <v>27</v>
      </c>
      <c r="M191" t="s">
        <v>19</v>
      </c>
      <c r="N191">
        <v>700000</v>
      </c>
      <c r="O191" t="s">
        <v>1193</v>
      </c>
      <c r="P191">
        <v>8.875</v>
      </c>
      <c r="Q191" t="s">
        <v>2195</v>
      </c>
      <c r="R191" t="s">
        <v>2474</v>
      </c>
    </row>
    <row r="192" spans="1:18" x14ac:dyDescent="0.25">
      <c r="A192" t="s">
        <v>2193</v>
      </c>
      <c r="B192" t="s">
        <v>1335</v>
      </c>
      <c r="C192" t="s">
        <v>916</v>
      </c>
      <c r="D192" t="s">
        <v>1618</v>
      </c>
      <c r="E192" t="s">
        <v>2194</v>
      </c>
      <c r="F192" t="s">
        <v>1336</v>
      </c>
      <c r="G192" t="s">
        <v>1774</v>
      </c>
      <c r="H192" t="s">
        <v>1243</v>
      </c>
      <c r="I192" t="s">
        <v>1576</v>
      </c>
      <c r="J192" t="s">
        <v>1244</v>
      </c>
      <c r="K192" t="s">
        <v>41</v>
      </c>
      <c r="L192" t="s">
        <v>41</v>
      </c>
      <c r="M192" t="s">
        <v>19</v>
      </c>
      <c r="N192">
        <v>500000</v>
      </c>
      <c r="O192" t="s">
        <v>1193</v>
      </c>
      <c r="P192">
        <v>6.65</v>
      </c>
      <c r="Q192" t="s">
        <v>2195</v>
      </c>
    </row>
    <row r="193" spans="1:18" x14ac:dyDescent="0.25">
      <c r="A193" t="s">
        <v>1921</v>
      </c>
      <c r="B193" t="s">
        <v>1335</v>
      </c>
      <c r="C193" t="s">
        <v>916</v>
      </c>
      <c r="D193" t="s">
        <v>1618</v>
      </c>
      <c r="E193" t="s">
        <v>1922</v>
      </c>
      <c r="F193" t="s">
        <v>1336</v>
      </c>
      <c r="G193" t="s">
        <v>1774</v>
      </c>
      <c r="H193" t="s">
        <v>1243</v>
      </c>
      <c r="I193" t="s">
        <v>1576</v>
      </c>
      <c r="J193" t="s">
        <v>1244</v>
      </c>
      <c r="K193" t="s">
        <v>41</v>
      </c>
      <c r="L193" t="s">
        <v>41</v>
      </c>
      <c r="M193" t="s">
        <v>19</v>
      </c>
      <c r="N193">
        <v>500000</v>
      </c>
      <c r="O193" t="s">
        <v>1193</v>
      </c>
      <c r="P193">
        <v>8.125</v>
      </c>
      <c r="Q193" t="s">
        <v>576</v>
      </c>
      <c r="R193" t="s">
        <v>2475</v>
      </c>
    </row>
    <row r="194" spans="1:18" x14ac:dyDescent="0.25">
      <c r="A194" t="s">
        <v>2044</v>
      </c>
      <c r="B194" t="s">
        <v>2045</v>
      </c>
      <c r="C194" t="s">
        <v>2046</v>
      </c>
      <c r="D194" t="s">
        <v>2047</v>
      </c>
      <c r="E194" t="s">
        <v>2048</v>
      </c>
      <c r="F194" t="s">
        <v>2049</v>
      </c>
      <c r="G194" t="s">
        <v>2050</v>
      </c>
      <c r="H194" t="s">
        <v>1016</v>
      </c>
      <c r="I194" t="s">
        <v>1195</v>
      </c>
      <c r="J194" t="s">
        <v>1017</v>
      </c>
      <c r="K194" t="s">
        <v>874</v>
      </c>
      <c r="L194" t="s">
        <v>27</v>
      </c>
      <c r="M194" t="s">
        <v>19</v>
      </c>
      <c r="N194">
        <v>500000</v>
      </c>
      <c r="O194" t="s">
        <v>1193</v>
      </c>
      <c r="P194">
        <v>8.5</v>
      </c>
      <c r="Q194" t="s">
        <v>569</v>
      </c>
      <c r="R194" t="s">
        <v>2476</v>
      </c>
    </row>
    <row r="195" spans="1:18" x14ac:dyDescent="0.25">
      <c r="A195" t="s">
        <v>237</v>
      </c>
      <c r="B195" t="s">
        <v>1337</v>
      </c>
      <c r="C195" t="s">
        <v>238</v>
      </c>
      <c r="D195" t="s">
        <v>1619</v>
      </c>
      <c r="E195" t="s">
        <v>239</v>
      </c>
      <c r="F195" t="s">
        <v>1338</v>
      </c>
      <c r="G195" t="s">
        <v>1775</v>
      </c>
      <c r="H195" t="s">
        <v>16</v>
      </c>
      <c r="I195" t="s">
        <v>1890</v>
      </c>
      <c r="J195" t="s">
        <v>1339</v>
      </c>
      <c r="K195" t="s">
        <v>31</v>
      </c>
      <c r="L195" t="s">
        <v>31</v>
      </c>
      <c r="M195" t="s">
        <v>19</v>
      </c>
      <c r="N195">
        <v>500000</v>
      </c>
      <c r="O195" t="s">
        <v>1193</v>
      </c>
      <c r="P195">
        <v>3.4</v>
      </c>
      <c r="Q195" t="s">
        <v>562</v>
      </c>
      <c r="R195" t="s">
        <v>619</v>
      </c>
    </row>
    <row r="196" spans="1:18" x14ac:dyDescent="0.25">
      <c r="A196" t="s">
        <v>985</v>
      </c>
      <c r="B196" t="s">
        <v>1337</v>
      </c>
      <c r="C196" t="s">
        <v>238</v>
      </c>
      <c r="D196" t="s">
        <v>1619</v>
      </c>
      <c r="E196" t="s">
        <v>986</v>
      </c>
      <c r="F196" t="s">
        <v>1338</v>
      </c>
      <c r="G196" t="s">
        <v>1775</v>
      </c>
      <c r="H196" t="s">
        <v>16</v>
      </c>
      <c r="I196" t="s">
        <v>1890</v>
      </c>
      <c r="J196" t="s">
        <v>1339</v>
      </c>
      <c r="K196" t="s">
        <v>31</v>
      </c>
      <c r="L196" t="s">
        <v>31</v>
      </c>
      <c r="M196" t="s">
        <v>19</v>
      </c>
      <c r="N196">
        <v>500000</v>
      </c>
      <c r="O196" t="s">
        <v>1193</v>
      </c>
      <c r="P196">
        <v>6.375</v>
      </c>
      <c r="Q196" t="s">
        <v>562</v>
      </c>
      <c r="R196" t="s">
        <v>987</v>
      </c>
    </row>
    <row r="197" spans="1:18" x14ac:dyDescent="0.25">
      <c r="A197" t="s">
        <v>720</v>
      </c>
      <c r="B197" t="s">
        <v>1340</v>
      </c>
      <c r="C197" t="s">
        <v>719</v>
      </c>
      <c r="D197" t="s">
        <v>719</v>
      </c>
      <c r="E197" t="s">
        <v>721</v>
      </c>
      <c r="F197" t="s">
        <v>1341</v>
      </c>
      <c r="G197" t="s">
        <v>1776</v>
      </c>
      <c r="H197" t="s">
        <v>221</v>
      </c>
      <c r="I197" t="s">
        <v>1577</v>
      </c>
      <c r="J197" t="s">
        <v>1342</v>
      </c>
      <c r="K197" t="s">
        <v>41</v>
      </c>
      <c r="L197" t="s">
        <v>41</v>
      </c>
      <c r="M197" t="s">
        <v>19</v>
      </c>
      <c r="N197">
        <v>1250000</v>
      </c>
      <c r="O197" t="s">
        <v>1193</v>
      </c>
      <c r="P197">
        <v>4.625</v>
      </c>
      <c r="Q197" t="s">
        <v>569</v>
      </c>
      <c r="R197" t="s">
        <v>2477</v>
      </c>
    </row>
    <row r="198" spans="1:18" x14ac:dyDescent="0.25">
      <c r="A198" t="s">
        <v>722</v>
      </c>
      <c r="B198" t="s">
        <v>1340</v>
      </c>
      <c r="C198" t="s">
        <v>719</v>
      </c>
      <c r="D198" t="s">
        <v>719</v>
      </c>
      <c r="E198" t="s">
        <v>723</v>
      </c>
      <c r="F198" t="s">
        <v>1341</v>
      </c>
      <c r="G198" t="s">
        <v>1776</v>
      </c>
      <c r="H198" t="s">
        <v>221</v>
      </c>
      <c r="I198" t="s">
        <v>1577</v>
      </c>
      <c r="J198" t="s">
        <v>1342</v>
      </c>
      <c r="K198" t="s">
        <v>41</v>
      </c>
      <c r="L198" t="s">
        <v>41</v>
      </c>
      <c r="M198" t="s">
        <v>19</v>
      </c>
      <c r="N198">
        <v>2000000</v>
      </c>
      <c r="O198" t="s">
        <v>1193</v>
      </c>
      <c r="P198">
        <v>5.875</v>
      </c>
      <c r="Q198" t="s">
        <v>569</v>
      </c>
      <c r="R198" t="s">
        <v>724</v>
      </c>
    </row>
    <row r="199" spans="1:18" x14ac:dyDescent="0.25">
      <c r="A199" t="s">
        <v>725</v>
      </c>
      <c r="B199" t="s">
        <v>1340</v>
      </c>
      <c r="C199" t="s">
        <v>719</v>
      </c>
      <c r="D199" t="s">
        <v>719</v>
      </c>
      <c r="E199" t="s">
        <v>726</v>
      </c>
      <c r="F199" t="s">
        <v>1341</v>
      </c>
      <c r="G199" t="s">
        <v>1776</v>
      </c>
      <c r="H199" t="s">
        <v>221</v>
      </c>
      <c r="I199" t="s">
        <v>1577</v>
      </c>
      <c r="J199" t="s">
        <v>1342</v>
      </c>
      <c r="K199" t="s">
        <v>41</v>
      </c>
      <c r="L199" t="s">
        <v>41</v>
      </c>
      <c r="M199" t="s">
        <v>19</v>
      </c>
      <c r="N199">
        <v>750000</v>
      </c>
      <c r="O199" t="s">
        <v>1193</v>
      </c>
      <c r="P199">
        <v>5.875</v>
      </c>
      <c r="Q199" t="s">
        <v>569</v>
      </c>
      <c r="R199" t="s">
        <v>2478</v>
      </c>
    </row>
    <row r="200" spans="1:18" x14ac:dyDescent="0.25">
      <c r="A200" t="s">
        <v>727</v>
      </c>
      <c r="B200" t="s">
        <v>1340</v>
      </c>
      <c r="C200" t="s">
        <v>719</v>
      </c>
      <c r="D200" t="s">
        <v>719</v>
      </c>
      <c r="E200" t="s">
        <v>728</v>
      </c>
      <c r="F200" t="s">
        <v>1341</v>
      </c>
      <c r="G200" t="s">
        <v>1776</v>
      </c>
      <c r="H200" t="s">
        <v>221</v>
      </c>
      <c r="I200" t="s">
        <v>1577</v>
      </c>
      <c r="J200" t="s">
        <v>1342</v>
      </c>
      <c r="K200" t="s">
        <v>41</v>
      </c>
      <c r="L200" t="s">
        <v>41</v>
      </c>
      <c r="M200" t="s">
        <v>19</v>
      </c>
      <c r="N200">
        <v>2000000</v>
      </c>
      <c r="O200" t="s">
        <v>1193</v>
      </c>
      <c r="P200">
        <v>6.875</v>
      </c>
      <c r="Q200" t="s">
        <v>569</v>
      </c>
      <c r="R200" t="s">
        <v>729</v>
      </c>
    </row>
    <row r="201" spans="1:18" x14ac:dyDescent="0.25">
      <c r="A201" t="s">
        <v>1117</v>
      </c>
      <c r="B201" t="s">
        <v>1340</v>
      </c>
      <c r="C201" t="s">
        <v>719</v>
      </c>
      <c r="D201" t="s">
        <v>719</v>
      </c>
      <c r="E201" t="s">
        <v>1118</v>
      </c>
      <c r="F201" t="s">
        <v>1341</v>
      </c>
      <c r="G201" t="s">
        <v>1776</v>
      </c>
      <c r="H201" t="s">
        <v>221</v>
      </c>
      <c r="I201" t="s">
        <v>1577</v>
      </c>
      <c r="J201" t="s">
        <v>1342</v>
      </c>
      <c r="K201" t="s">
        <v>41</v>
      </c>
      <c r="L201" t="s">
        <v>41</v>
      </c>
      <c r="M201" t="s">
        <v>19</v>
      </c>
      <c r="N201">
        <v>1750000</v>
      </c>
      <c r="O201" t="s">
        <v>1193</v>
      </c>
      <c r="P201">
        <v>7.75</v>
      </c>
      <c r="Q201" t="s">
        <v>569</v>
      </c>
      <c r="R201" t="s">
        <v>2479</v>
      </c>
    </row>
    <row r="202" spans="1:18" x14ac:dyDescent="0.25">
      <c r="A202" t="s">
        <v>730</v>
      </c>
      <c r="B202" t="s">
        <v>1340</v>
      </c>
      <c r="C202" t="s">
        <v>719</v>
      </c>
      <c r="D202" t="s">
        <v>719</v>
      </c>
      <c r="E202" t="s">
        <v>731</v>
      </c>
      <c r="F202" t="s">
        <v>1341</v>
      </c>
      <c r="G202" t="s">
        <v>1776</v>
      </c>
      <c r="H202" t="s">
        <v>221</v>
      </c>
      <c r="I202" t="s">
        <v>1577</v>
      </c>
      <c r="J202" t="s">
        <v>1342</v>
      </c>
      <c r="K202" t="s">
        <v>41</v>
      </c>
      <c r="L202" t="s">
        <v>41</v>
      </c>
      <c r="M202" t="s">
        <v>19</v>
      </c>
      <c r="N202">
        <v>850000</v>
      </c>
      <c r="O202" t="s">
        <v>1193</v>
      </c>
      <c r="P202">
        <v>7.375</v>
      </c>
      <c r="Q202" t="s">
        <v>569</v>
      </c>
      <c r="R202" t="s">
        <v>732</v>
      </c>
    </row>
    <row r="203" spans="1:18" x14ac:dyDescent="0.25">
      <c r="A203" t="s">
        <v>922</v>
      </c>
      <c r="B203" t="s">
        <v>1340</v>
      </c>
      <c r="C203" t="s">
        <v>719</v>
      </c>
      <c r="D203" t="s">
        <v>719</v>
      </c>
      <c r="E203" t="s">
        <v>923</v>
      </c>
      <c r="F203" t="s">
        <v>1341</v>
      </c>
      <c r="G203" t="s">
        <v>1776</v>
      </c>
      <c r="H203" t="s">
        <v>221</v>
      </c>
      <c r="I203" t="s">
        <v>1577</v>
      </c>
      <c r="J203" t="s">
        <v>1342</v>
      </c>
      <c r="K203" t="s">
        <v>41</v>
      </c>
      <c r="L203" t="s">
        <v>41</v>
      </c>
      <c r="M203" t="s">
        <v>19</v>
      </c>
      <c r="N203">
        <v>1850000</v>
      </c>
      <c r="O203" t="s">
        <v>1193</v>
      </c>
      <c r="P203">
        <v>8.375</v>
      </c>
      <c r="Q203" t="s">
        <v>569</v>
      </c>
      <c r="R203" t="s">
        <v>924</v>
      </c>
    </row>
    <row r="204" spans="1:18" x14ac:dyDescent="0.25">
      <c r="A204" t="s">
        <v>860</v>
      </c>
      <c r="B204" t="s">
        <v>1340</v>
      </c>
      <c r="C204" t="s">
        <v>719</v>
      </c>
      <c r="D204" t="s">
        <v>719</v>
      </c>
      <c r="E204" t="s">
        <v>861</v>
      </c>
      <c r="F204" t="s">
        <v>1341</v>
      </c>
      <c r="G204" t="s">
        <v>1776</v>
      </c>
      <c r="H204" t="s">
        <v>221</v>
      </c>
      <c r="I204" t="s">
        <v>1577</v>
      </c>
      <c r="J204" t="s">
        <v>1342</v>
      </c>
      <c r="K204" t="s">
        <v>41</v>
      </c>
      <c r="L204" t="s">
        <v>41</v>
      </c>
      <c r="M204" t="s">
        <v>19</v>
      </c>
      <c r="N204">
        <v>1200000</v>
      </c>
      <c r="O204" t="s">
        <v>1193</v>
      </c>
      <c r="P204">
        <v>8.625</v>
      </c>
      <c r="Q204" t="s">
        <v>569</v>
      </c>
      <c r="R204" t="s">
        <v>862</v>
      </c>
    </row>
    <row r="205" spans="1:18" x14ac:dyDescent="0.25">
      <c r="A205" t="s">
        <v>733</v>
      </c>
      <c r="B205" t="s">
        <v>1340</v>
      </c>
      <c r="C205" t="s">
        <v>719</v>
      </c>
      <c r="D205" t="s">
        <v>719</v>
      </c>
      <c r="E205" t="s">
        <v>734</v>
      </c>
      <c r="F205" t="s">
        <v>1341</v>
      </c>
      <c r="G205" t="s">
        <v>1776</v>
      </c>
      <c r="H205" t="s">
        <v>221</v>
      </c>
      <c r="I205" t="s">
        <v>1577</v>
      </c>
      <c r="J205" t="s">
        <v>1342</v>
      </c>
      <c r="K205" t="s">
        <v>41</v>
      </c>
      <c r="L205" t="s">
        <v>41</v>
      </c>
      <c r="M205" t="s">
        <v>19</v>
      </c>
      <c r="N205">
        <v>2300000</v>
      </c>
      <c r="O205" t="s">
        <v>1193</v>
      </c>
      <c r="P205">
        <v>8.875</v>
      </c>
      <c r="Q205" t="s">
        <v>569</v>
      </c>
      <c r="R205" t="s">
        <v>735</v>
      </c>
    </row>
    <row r="206" spans="1:18" x14ac:dyDescent="0.25">
      <c r="A206" t="s">
        <v>240</v>
      </c>
      <c r="B206" t="s">
        <v>1343</v>
      </c>
      <c r="C206" t="s">
        <v>241</v>
      </c>
      <c r="D206" t="s">
        <v>1620</v>
      </c>
      <c r="E206" t="s">
        <v>242</v>
      </c>
      <c r="F206" t="s">
        <v>1344</v>
      </c>
      <c r="G206" t="s">
        <v>1777</v>
      </c>
      <c r="H206" t="s">
        <v>16</v>
      </c>
      <c r="I206" t="s">
        <v>2063</v>
      </c>
      <c r="J206" t="s">
        <v>1339</v>
      </c>
      <c r="K206" t="s">
        <v>41</v>
      </c>
      <c r="L206" t="s">
        <v>41</v>
      </c>
      <c r="M206" t="s">
        <v>19</v>
      </c>
      <c r="N206">
        <v>1000000</v>
      </c>
      <c r="O206" t="s">
        <v>1193</v>
      </c>
      <c r="P206">
        <v>4.25</v>
      </c>
      <c r="Q206" t="s">
        <v>566</v>
      </c>
      <c r="R206" t="s">
        <v>620</v>
      </c>
    </row>
    <row r="207" spans="1:18" x14ac:dyDescent="0.25">
      <c r="A207" t="s">
        <v>243</v>
      </c>
      <c r="B207" t="s">
        <v>1343</v>
      </c>
      <c r="C207" t="s">
        <v>241</v>
      </c>
      <c r="D207" t="s">
        <v>1620</v>
      </c>
      <c r="E207" t="s">
        <v>244</v>
      </c>
      <c r="F207" t="s">
        <v>1344</v>
      </c>
      <c r="G207" t="s">
        <v>1777</v>
      </c>
      <c r="H207" t="s">
        <v>16</v>
      </c>
      <c r="I207" t="s">
        <v>2063</v>
      </c>
      <c r="J207" t="s">
        <v>1339</v>
      </c>
      <c r="K207" t="s">
        <v>41</v>
      </c>
      <c r="L207" t="s">
        <v>41</v>
      </c>
      <c r="M207" t="s">
        <v>19</v>
      </c>
      <c r="N207">
        <v>575000</v>
      </c>
      <c r="O207" t="s">
        <v>1193</v>
      </c>
      <c r="P207">
        <v>4.375</v>
      </c>
      <c r="Q207" t="s">
        <v>566</v>
      </c>
      <c r="R207" t="s">
        <v>621</v>
      </c>
    </row>
    <row r="208" spans="1:18" x14ac:dyDescent="0.25">
      <c r="A208" t="s">
        <v>1136</v>
      </c>
      <c r="B208" t="s">
        <v>1137</v>
      </c>
      <c r="C208" t="s">
        <v>1138</v>
      </c>
      <c r="D208" t="s">
        <v>1139</v>
      </c>
      <c r="E208" t="s">
        <v>1140</v>
      </c>
      <c r="F208" t="s">
        <v>1141</v>
      </c>
      <c r="H208" t="s">
        <v>138</v>
      </c>
      <c r="I208" t="s">
        <v>1576</v>
      </c>
      <c r="J208" t="s">
        <v>1015</v>
      </c>
      <c r="K208" t="s">
        <v>871</v>
      </c>
      <c r="L208" t="s">
        <v>42</v>
      </c>
      <c r="M208" t="s">
        <v>19</v>
      </c>
      <c r="N208">
        <v>350000</v>
      </c>
      <c r="O208" t="s">
        <v>1193</v>
      </c>
      <c r="P208">
        <v>12.5</v>
      </c>
      <c r="Q208" t="s">
        <v>576</v>
      </c>
      <c r="R208" t="s">
        <v>1142</v>
      </c>
    </row>
    <row r="209" spans="1:18" x14ac:dyDescent="0.25">
      <c r="A209" t="s">
        <v>245</v>
      </c>
      <c r="B209" t="s">
        <v>2339</v>
      </c>
      <c r="C209" t="s">
        <v>2340</v>
      </c>
      <c r="D209" t="s">
        <v>2340</v>
      </c>
      <c r="E209" t="s">
        <v>246</v>
      </c>
      <c r="F209" t="s">
        <v>1345</v>
      </c>
      <c r="G209" t="s">
        <v>2041</v>
      </c>
      <c r="H209" t="s">
        <v>16</v>
      </c>
      <c r="I209" t="s">
        <v>1890</v>
      </c>
      <c r="J209" t="s">
        <v>30</v>
      </c>
      <c r="K209" t="s">
        <v>27</v>
      </c>
      <c r="L209" t="s">
        <v>27</v>
      </c>
      <c r="M209" t="s">
        <v>19</v>
      </c>
      <c r="N209">
        <v>750000</v>
      </c>
      <c r="O209" t="s">
        <v>1193</v>
      </c>
      <c r="P209">
        <v>4.625</v>
      </c>
      <c r="Q209" t="s">
        <v>569</v>
      </c>
      <c r="R209" t="s">
        <v>2425</v>
      </c>
    </row>
    <row r="210" spans="1:18" x14ac:dyDescent="0.25">
      <c r="A210" t="s">
        <v>1079</v>
      </c>
      <c r="B210" t="s">
        <v>2339</v>
      </c>
      <c r="C210" t="s">
        <v>2340</v>
      </c>
      <c r="D210" t="s">
        <v>2340</v>
      </c>
      <c r="E210" t="s">
        <v>1080</v>
      </c>
      <c r="F210" t="s">
        <v>1345</v>
      </c>
      <c r="G210" t="s">
        <v>2041</v>
      </c>
      <c r="H210" t="s">
        <v>16</v>
      </c>
      <c r="I210" t="s">
        <v>1890</v>
      </c>
      <c r="J210" t="s">
        <v>30</v>
      </c>
      <c r="K210" t="s">
        <v>27</v>
      </c>
      <c r="L210" t="s">
        <v>27</v>
      </c>
      <c r="M210" t="s">
        <v>19</v>
      </c>
      <c r="N210">
        <v>750000</v>
      </c>
      <c r="O210" t="s">
        <v>1193</v>
      </c>
      <c r="P210">
        <v>6.5</v>
      </c>
      <c r="Q210" t="s">
        <v>564</v>
      </c>
      <c r="R210" t="s">
        <v>2480</v>
      </c>
    </row>
    <row r="211" spans="1:18" x14ac:dyDescent="0.25">
      <c r="A211" t="s">
        <v>1967</v>
      </c>
      <c r="B211" t="s">
        <v>1346</v>
      </c>
      <c r="C211" t="s">
        <v>247</v>
      </c>
      <c r="D211" t="s">
        <v>1621</v>
      </c>
      <c r="E211" t="s">
        <v>1968</v>
      </c>
      <c r="F211" t="s">
        <v>1347</v>
      </c>
      <c r="G211" t="s">
        <v>2011</v>
      </c>
      <c r="H211" t="s">
        <v>1348</v>
      </c>
      <c r="I211" t="s">
        <v>1195</v>
      </c>
      <c r="J211" t="s">
        <v>1348</v>
      </c>
      <c r="K211" t="s">
        <v>873</v>
      </c>
      <c r="L211" t="s">
        <v>27</v>
      </c>
      <c r="M211" t="s">
        <v>19</v>
      </c>
      <c r="N211">
        <v>1000000</v>
      </c>
      <c r="O211" t="s">
        <v>1193</v>
      </c>
      <c r="P211">
        <v>5.4</v>
      </c>
      <c r="Q211" t="s">
        <v>565</v>
      </c>
      <c r="R211" t="s">
        <v>2481</v>
      </c>
    </row>
    <row r="212" spans="1:18" x14ac:dyDescent="0.25">
      <c r="A212" t="s">
        <v>1349</v>
      </c>
      <c r="B212" t="s">
        <v>1346</v>
      </c>
      <c r="C212" t="s">
        <v>247</v>
      </c>
      <c r="D212" t="s">
        <v>1621</v>
      </c>
      <c r="E212" t="s">
        <v>1350</v>
      </c>
      <c r="F212" t="s">
        <v>1347</v>
      </c>
      <c r="G212" t="s">
        <v>2011</v>
      </c>
      <c r="H212" t="s">
        <v>1348</v>
      </c>
      <c r="I212" t="s">
        <v>1195</v>
      </c>
      <c r="J212" t="s">
        <v>1348</v>
      </c>
      <c r="K212" t="s">
        <v>873</v>
      </c>
      <c r="L212" t="s">
        <v>27</v>
      </c>
      <c r="M212" t="s">
        <v>19</v>
      </c>
      <c r="N212">
        <v>650000</v>
      </c>
      <c r="O212" t="s">
        <v>1193</v>
      </c>
      <c r="P212">
        <v>5.98</v>
      </c>
      <c r="Q212" t="s">
        <v>565</v>
      </c>
      <c r="R212" t="s">
        <v>2432</v>
      </c>
    </row>
    <row r="213" spans="1:18" x14ac:dyDescent="0.25">
      <c r="A213" t="s">
        <v>249</v>
      </c>
      <c r="B213" t="s">
        <v>1351</v>
      </c>
      <c r="C213" t="s">
        <v>248</v>
      </c>
      <c r="D213" t="s">
        <v>1622</v>
      </c>
      <c r="E213" t="s">
        <v>250</v>
      </c>
      <c r="F213" t="s">
        <v>1352</v>
      </c>
      <c r="G213" t="s">
        <v>1778</v>
      </c>
      <c r="H213" t="s">
        <v>221</v>
      </c>
      <c r="I213" t="s">
        <v>1577</v>
      </c>
      <c r="J213" t="s">
        <v>228</v>
      </c>
      <c r="K213" t="s">
        <v>31</v>
      </c>
      <c r="L213" t="s">
        <v>31</v>
      </c>
      <c r="M213" t="s">
        <v>19</v>
      </c>
      <c r="N213">
        <v>560000</v>
      </c>
      <c r="O213" t="s">
        <v>1193</v>
      </c>
      <c r="P213">
        <v>3.45</v>
      </c>
      <c r="Q213" t="s">
        <v>562</v>
      </c>
      <c r="R213" t="s">
        <v>622</v>
      </c>
    </row>
    <row r="214" spans="1:18" x14ac:dyDescent="0.25">
      <c r="A214" t="s">
        <v>251</v>
      </c>
      <c r="B214" t="s">
        <v>1351</v>
      </c>
      <c r="C214" t="s">
        <v>248</v>
      </c>
      <c r="D214" t="s">
        <v>1622</v>
      </c>
      <c r="E214" t="s">
        <v>252</v>
      </c>
      <c r="F214" t="s">
        <v>1352</v>
      </c>
      <c r="G214" t="s">
        <v>1778</v>
      </c>
      <c r="H214" t="s">
        <v>221</v>
      </c>
      <c r="I214" t="s">
        <v>1577</v>
      </c>
      <c r="J214" t="s">
        <v>228</v>
      </c>
      <c r="K214" t="s">
        <v>31</v>
      </c>
      <c r="L214" t="s">
        <v>31</v>
      </c>
      <c r="M214" t="s">
        <v>19</v>
      </c>
      <c r="N214">
        <v>600000</v>
      </c>
      <c r="O214" t="s">
        <v>1193</v>
      </c>
      <c r="P214">
        <v>4.5</v>
      </c>
      <c r="Q214" t="s">
        <v>562</v>
      </c>
      <c r="R214" t="s">
        <v>623</v>
      </c>
    </row>
    <row r="215" spans="1:18" x14ac:dyDescent="0.25">
      <c r="A215" t="s">
        <v>253</v>
      </c>
      <c r="B215" t="s">
        <v>1351</v>
      </c>
      <c r="C215" t="s">
        <v>248</v>
      </c>
      <c r="D215" t="s">
        <v>1622</v>
      </c>
      <c r="E215" t="s">
        <v>254</v>
      </c>
      <c r="F215" t="s">
        <v>1352</v>
      </c>
      <c r="G215" t="s">
        <v>1778</v>
      </c>
      <c r="H215" t="s">
        <v>221</v>
      </c>
      <c r="I215" t="s">
        <v>1577</v>
      </c>
      <c r="J215" t="s">
        <v>228</v>
      </c>
      <c r="K215" t="s">
        <v>31</v>
      </c>
      <c r="L215" t="s">
        <v>31</v>
      </c>
      <c r="M215" t="s">
        <v>19</v>
      </c>
      <c r="N215">
        <v>680000</v>
      </c>
      <c r="O215" t="s">
        <v>1193</v>
      </c>
      <c r="P215">
        <v>5.25</v>
      </c>
      <c r="Q215" t="s">
        <v>562</v>
      </c>
      <c r="R215" t="s">
        <v>2482</v>
      </c>
    </row>
    <row r="216" spans="1:18" x14ac:dyDescent="0.25">
      <c r="A216" t="s">
        <v>1052</v>
      </c>
      <c r="B216" t="s">
        <v>1351</v>
      </c>
      <c r="C216" t="s">
        <v>248</v>
      </c>
      <c r="D216" t="s">
        <v>1622</v>
      </c>
      <c r="E216" t="s">
        <v>1053</v>
      </c>
      <c r="F216" t="s">
        <v>1352</v>
      </c>
      <c r="G216" t="s">
        <v>1778</v>
      </c>
      <c r="H216" t="s">
        <v>221</v>
      </c>
      <c r="I216" t="s">
        <v>1577</v>
      </c>
      <c r="J216" t="s">
        <v>228</v>
      </c>
      <c r="K216" t="s">
        <v>31</v>
      </c>
      <c r="L216" t="s">
        <v>31</v>
      </c>
      <c r="M216" t="s">
        <v>19</v>
      </c>
      <c r="N216">
        <v>600000</v>
      </c>
      <c r="O216" t="s">
        <v>1193</v>
      </c>
      <c r="P216">
        <v>5.95</v>
      </c>
      <c r="Q216" t="s">
        <v>562</v>
      </c>
      <c r="R216" t="s">
        <v>1054</v>
      </c>
    </row>
    <row r="217" spans="1:18" x14ac:dyDescent="0.25">
      <c r="A217" t="s">
        <v>692</v>
      </c>
      <c r="B217" t="s">
        <v>1351</v>
      </c>
      <c r="C217" t="s">
        <v>248</v>
      </c>
      <c r="D217" t="s">
        <v>1622</v>
      </c>
      <c r="E217" t="s">
        <v>693</v>
      </c>
      <c r="F217" t="s">
        <v>1352</v>
      </c>
      <c r="G217" t="s">
        <v>1778</v>
      </c>
      <c r="H217" t="s">
        <v>221</v>
      </c>
      <c r="I217" t="s">
        <v>1577</v>
      </c>
      <c r="J217" t="s">
        <v>228</v>
      </c>
      <c r="K217" t="s">
        <v>31</v>
      </c>
      <c r="L217" t="s">
        <v>31</v>
      </c>
      <c r="M217" t="s">
        <v>19</v>
      </c>
      <c r="N217">
        <v>500000</v>
      </c>
      <c r="O217" t="s">
        <v>1193</v>
      </c>
      <c r="P217">
        <v>6.15</v>
      </c>
      <c r="Q217" t="s">
        <v>562</v>
      </c>
      <c r="R217" t="s">
        <v>2483</v>
      </c>
    </row>
    <row r="218" spans="1:18" x14ac:dyDescent="0.25">
      <c r="A218" t="s">
        <v>255</v>
      </c>
      <c r="B218" t="s">
        <v>1355</v>
      </c>
      <c r="C218" t="s">
        <v>256</v>
      </c>
      <c r="D218" t="s">
        <v>1623</v>
      </c>
      <c r="E218" t="s">
        <v>257</v>
      </c>
      <c r="F218" t="s">
        <v>1356</v>
      </c>
      <c r="H218" t="s">
        <v>16</v>
      </c>
      <c r="I218" t="s">
        <v>1890</v>
      </c>
      <c r="J218" t="s">
        <v>30</v>
      </c>
      <c r="K218" t="s">
        <v>1203</v>
      </c>
      <c r="L218" t="s">
        <v>41</v>
      </c>
      <c r="M218" t="s">
        <v>19</v>
      </c>
      <c r="N218">
        <v>710000</v>
      </c>
      <c r="O218" t="s">
        <v>1193</v>
      </c>
      <c r="P218">
        <v>5.375</v>
      </c>
      <c r="Q218" t="s">
        <v>564</v>
      </c>
      <c r="R218" t="s">
        <v>624</v>
      </c>
    </row>
    <row r="219" spans="1:18" x14ac:dyDescent="0.25">
      <c r="A219" t="s">
        <v>1901</v>
      </c>
      <c r="B219" t="s">
        <v>1902</v>
      </c>
      <c r="C219" t="s">
        <v>256</v>
      </c>
      <c r="D219" t="s">
        <v>1903</v>
      </c>
      <c r="E219" t="s">
        <v>1904</v>
      </c>
      <c r="F219" t="s">
        <v>1356</v>
      </c>
      <c r="H219" t="s">
        <v>16</v>
      </c>
      <c r="I219" t="s">
        <v>1890</v>
      </c>
      <c r="J219" t="s">
        <v>30</v>
      </c>
      <c r="K219" t="s">
        <v>1203</v>
      </c>
      <c r="L219" t="s">
        <v>41</v>
      </c>
      <c r="M219" t="s">
        <v>19</v>
      </c>
      <c r="N219">
        <v>400000</v>
      </c>
      <c r="O219" t="s">
        <v>1193</v>
      </c>
      <c r="P219">
        <v>8.4990000000000006</v>
      </c>
      <c r="Q219" t="s">
        <v>564</v>
      </c>
      <c r="R219" t="s">
        <v>1905</v>
      </c>
    </row>
    <row r="220" spans="1:18" x14ac:dyDescent="0.25">
      <c r="A220" t="s">
        <v>258</v>
      </c>
      <c r="B220" t="s">
        <v>1357</v>
      </c>
      <c r="C220" t="s">
        <v>259</v>
      </c>
      <c r="D220" t="s">
        <v>259</v>
      </c>
      <c r="E220" t="s">
        <v>260</v>
      </c>
      <c r="F220" t="s">
        <v>1358</v>
      </c>
      <c r="G220" t="s">
        <v>1780</v>
      </c>
      <c r="H220" t="s">
        <v>1218</v>
      </c>
      <c r="I220" t="s">
        <v>1195</v>
      </c>
      <c r="J220" t="s">
        <v>1219</v>
      </c>
      <c r="K220" t="s">
        <v>31</v>
      </c>
      <c r="L220" t="s">
        <v>31</v>
      </c>
      <c r="M220" t="s">
        <v>19</v>
      </c>
      <c r="N220">
        <v>800000</v>
      </c>
      <c r="O220" t="s">
        <v>1193</v>
      </c>
      <c r="P220">
        <v>3.05</v>
      </c>
      <c r="Q220" t="s">
        <v>565</v>
      </c>
      <c r="R220" t="s">
        <v>625</v>
      </c>
    </row>
    <row r="221" spans="1:18" x14ac:dyDescent="0.25">
      <c r="A221" t="s">
        <v>2380</v>
      </c>
      <c r="B221" t="s">
        <v>2381</v>
      </c>
      <c r="C221" t="s">
        <v>2382</v>
      </c>
      <c r="D221" t="s">
        <v>2383</v>
      </c>
      <c r="E221" t="s">
        <v>2384</v>
      </c>
      <c r="F221" t="s">
        <v>2385</v>
      </c>
      <c r="G221" t="s">
        <v>2386</v>
      </c>
      <c r="H221" t="s">
        <v>26</v>
      </c>
      <c r="I221" t="s">
        <v>1195</v>
      </c>
      <c r="J221" t="s">
        <v>26</v>
      </c>
      <c r="K221" t="s">
        <v>42</v>
      </c>
      <c r="L221" t="s">
        <v>42</v>
      </c>
      <c r="M221" t="s">
        <v>19</v>
      </c>
      <c r="N221">
        <v>1000000</v>
      </c>
      <c r="O221" t="s">
        <v>1193</v>
      </c>
      <c r="P221">
        <v>6.5</v>
      </c>
      <c r="Q221" t="s">
        <v>565</v>
      </c>
      <c r="R221" t="s">
        <v>2387</v>
      </c>
    </row>
    <row r="222" spans="1:18" x14ac:dyDescent="0.25">
      <c r="A222" t="s">
        <v>2388</v>
      </c>
      <c r="B222" t="s">
        <v>2381</v>
      </c>
      <c r="C222" t="s">
        <v>2382</v>
      </c>
      <c r="D222" t="s">
        <v>2383</v>
      </c>
      <c r="E222" t="s">
        <v>2389</v>
      </c>
      <c r="F222" t="s">
        <v>2385</v>
      </c>
      <c r="G222" t="s">
        <v>2386</v>
      </c>
      <c r="H222" t="s">
        <v>26</v>
      </c>
      <c r="I222" t="s">
        <v>1195</v>
      </c>
      <c r="J222" t="s">
        <v>26</v>
      </c>
      <c r="K222" t="s">
        <v>42</v>
      </c>
      <c r="L222" t="s">
        <v>42</v>
      </c>
      <c r="M222" t="s">
        <v>19</v>
      </c>
      <c r="N222">
        <v>1000000</v>
      </c>
      <c r="O222" t="s">
        <v>1193</v>
      </c>
      <c r="P222">
        <v>6.125</v>
      </c>
      <c r="Q222" t="s">
        <v>565</v>
      </c>
      <c r="R222" t="s">
        <v>2390</v>
      </c>
    </row>
    <row r="223" spans="1:18" x14ac:dyDescent="0.25">
      <c r="A223" t="s">
        <v>1969</v>
      </c>
      <c r="B223" t="s">
        <v>1970</v>
      </c>
      <c r="C223" t="s">
        <v>1971</v>
      </c>
      <c r="D223" t="s">
        <v>1971</v>
      </c>
      <c r="E223" t="s">
        <v>1972</v>
      </c>
      <c r="F223" t="s">
        <v>1973</v>
      </c>
      <c r="H223" t="s">
        <v>1365</v>
      </c>
      <c r="I223" t="s">
        <v>1890</v>
      </c>
      <c r="J223" t="s">
        <v>1366</v>
      </c>
      <c r="K223" t="s">
        <v>42</v>
      </c>
      <c r="L223" t="s">
        <v>42</v>
      </c>
      <c r="M223" t="s">
        <v>19</v>
      </c>
      <c r="N223">
        <v>725000</v>
      </c>
      <c r="O223" t="s">
        <v>1193</v>
      </c>
      <c r="P223">
        <v>5.875</v>
      </c>
      <c r="Q223" t="s">
        <v>565</v>
      </c>
      <c r="R223" t="s">
        <v>1974</v>
      </c>
    </row>
    <row r="224" spans="1:18" x14ac:dyDescent="0.25">
      <c r="A224" t="s">
        <v>739</v>
      </c>
      <c r="B224" t="s">
        <v>1361</v>
      </c>
      <c r="C224" t="s">
        <v>740</v>
      </c>
      <c r="D224" t="s">
        <v>1625</v>
      </c>
      <c r="E224" t="s">
        <v>741</v>
      </c>
      <c r="F224" t="s">
        <v>740</v>
      </c>
      <c r="G224" t="s">
        <v>1782</v>
      </c>
      <c r="H224" t="s">
        <v>1220</v>
      </c>
      <c r="I224" t="s">
        <v>1195</v>
      </c>
      <c r="J224" t="s">
        <v>1221</v>
      </c>
      <c r="K224" t="s">
        <v>42</v>
      </c>
      <c r="L224" t="s">
        <v>42</v>
      </c>
      <c r="M224" t="s">
        <v>19</v>
      </c>
      <c r="N224">
        <v>2500000</v>
      </c>
      <c r="O224" t="s">
        <v>1193</v>
      </c>
      <c r="P224">
        <v>3.5</v>
      </c>
      <c r="Q224" t="s">
        <v>581</v>
      </c>
      <c r="R224" t="s">
        <v>742</v>
      </c>
    </row>
    <row r="225" spans="1:18" x14ac:dyDescent="0.25">
      <c r="A225" t="s">
        <v>743</v>
      </c>
      <c r="B225" t="s">
        <v>1361</v>
      </c>
      <c r="C225" t="s">
        <v>740</v>
      </c>
      <c r="D225" t="s">
        <v>1625</v>
      </c>
      <c r="E225" t="s">
        <v>744</v>
      </c>
      <c r="F225" t="s">
        <v>740</v>
      </c>
      <c r="G225" t="s">
        <v>1782</v>
      </c>
      <c r="H225" t="s">
        <v>1220</v>
      </c>
      <c r="I225" t="s">
        <v>1195</v>
      </c>
      <c r="J225" t="s">
        <v>1221</v>
      </c>
      <c r="K225" t="s">
        <v>42</v>
      </c>
      <c r="L225" t="s">
        <v>42</v>
      </c>
      <c r="M225" t="s">
        <v>19</v>
      </c>
      <c r="N225">
        <v>700000</v>
      </c>
      <c r="O225" t="s">
        <v>1193</v>
      </c>
      <c r="P225">
        <v>4.375</v>
      </c>
      <c r="Q225" t="s">
        <v>581</v>
      </c>
      <c r="R225" t="s">
        <v>2484</v>
      </c>
    </row>
    <row r="226" spans="1:18" x14ac:dyDescent="0.25">
      <c r="A226" t="s">
        <v>261</v>
      </c>
      <c r="B226" t="s">
        <v>1362</v>
      </c>
      <c r="C226" t="s">
        <v>262</v>
      </c>
      <c r="D226" t="s">
        <v>1626</v>
      </c>
      <c r="E226" t="s">
        <v>263</v>
      </c>
      <c r="F226" t="s">
        <v>1363</v>
      </c>
      <c r="G226" t="s">
        <v>1783</v>
      </c>
      <c r="H226" t="s">
        <v>26</v>
      </c>
      <c r="I226" t="s">
        <v>1195</v>
      </c>
      <c r="J226" t="s">
        <v>26</v>
      </c>
      <c r="K226" t="s">
        <v>42</v>
      </c>
      <c r="L226" t="s">
        <v>42</v>
      </c>
      <c r="M226" t="s">
        <v>19</v>
      </c>
      <c r="N226">
        <v>550000</v>
      </c>
      <c r="O226" t="s">
        <v>1193</v>
      </c>
      <c r="P226">
        <v>6.375</v>
      </c>
      <c r="Q226" t="s">
        <v>2008</v>
      </c>
      <c r="R226" t="s">
        <v>626</v>
      </c>
    </row>
    <row r="227" spans="1:18" x14ac:dyDescent="0.25">
      <c r="A227" t="s">
        <v>2196</v>
      </c>
      <c r="B227" t="s">
        <v>2065</v>
      </c>
      <c r="C227" t="s">
        <v>2066</v>
      </c>
      <c r="D227" t="s">
        <v>2066</v>
      </c>
      <c r="E227" t="s">
        <v>2197</v>
      </c>
      <c r="F227" t="s">
        <v>2068</v>
      </c>
      <c r="G227" t="s">
        <v>2122</v>
      </c>
      <c r="H227" t="s">
        <v>1365</v>
      </c>
      <c r="I227" t="s">
        <v>1576</v>
      </c>
      <c r="J227" t="s">
        <v>1510</v>
      </c>
      <c r="K227" t="s">
        <v>42</v>
      </c>
      <c r="L227" t="s">
        <v>42</v>
      </c>
      <c r="M227" t="s">
        <v>19</v>
      </c>
      <c r="N227">
        <v>375000</v>
      </c>
      <c r="O227" t="s">
        <v>1193</v>
      </c>
      <c r="P227">
        <v>4.12</v>
      </c>
      <c r="Q227" t="s">
        <v>2008</v>
      </c>
      <c r="R227" t="s">
        <v>2198</v>
      </c>
    </row>
    <row r="228" spans="1:18" x14ac:dyDescent="0.25">
      <c r="A228" t="s">
        <v>2064</v>
      </c>
      <c r="B228" t="s">
        <v>2065</v>
      </c>
      <c r="C228" t="s">
        <v>2066</v>
      </c>
      <c r="D228" t="s">
        <v>2066</v>
      </c>
      <c r="E228" t="s">
        <v>2067</v>
      </c>
      <c r="F228" t="s">
        <v>2068</v>
      </c>
      <c r="G228" t="s">
        <v>2122</v>
      </c>
      <c r="H228" t="s">
        <v>1365</v>
      </c>
      <c r="I228" t="s">
        <v>1576</v>
      </c>
      <c r="J228" t="s">
        <v>1510</v>
      </c>
      <c r="K228" t="s">
        <v>42</v>
      </c>
      <c r="L228" t="s">
        <v>42</v>
      </c>
      <c r="M228" t="s">
        <v>19</v>
      </c>
      <c r="N228">
        <v>500000</v>
      </c>
      <c r="O228" t="s">
        <v>1193</v>
      </c>
      <c r="P228">
        <v>5.5</v>
      </c>
      <c r="Q228" t="s">
        <v>562</v>
      </c>
      <c r="R228" t="s">
        <v>2069</v>
      </c>
    </row>
    <row r="229" spans="1:18" x14ac:dyDescent="0.25">
      <c r="A229" t="s">
        <v>2110</v>
      </c>
      <c r="B229" t="s">
        <v>2065</v>
      </c>
      <c r="C229" t="s">
        <v>2066</v>
      </c>
      <c r="D229" t="s">
        <v>2066</v>
      </c>
      <c r="E229" t="s">
        <v>2111</v>
      </c>
      <c r="F229" t="s">
        <v>2068</v>
      </c>
      <c r="G229" t="s">
        <v>2122</v>
      </c>
      <c r="H229" t="s">
        <v>1365</v>
      </c>
      <c r="I229" t="s">
        <v>1576</v>
      </c>
      <c r="J229" t="s">
        <v>1510</v>
      </c>
      <c r="K229" t="s">
        <v>42</v>
      </c>
      <c r="L229" t="s">
        <v>42</v>
      </c>
      <c r="M229" t="s">
        <v>19</v>
      </c>
      <c r="N229">
        <v>500000</v>
      </c>
      <c r="O229" t="s">
        <v>1193</v>
      </c>
      <c r="P229">
        <v>5.625</v>
      </c>
      <c r="Q229" t="s">
        <v>562</v>
      </c>
      <c r="R229" t="s">
        <v>2112</v>
      </c>
    </row>
    <row r="230" spans="1:18" x14ac:dyDescent="0.25">
      <c r="A230" t="s">
        <v>1081</v>
      </c>
      <c r="B230" t="s">
        <v>1082</v>
      </c>
      <c r="C230" t="s">
        <v>1083</v>
      </c>
      <c r="D230" t="s">
        <v>1084</v>
      </c>
      <c r="E230" t="s">
        <v>1085</v>
      </c>
      <c r="F230" t="s">
        <v>1086</v>
      </c>
      <c r="G230" t="s">
        <v>1784</v>
      </c>
      <c r="H230" t="s">
        <v>16</v>
      </c>
      <c r="I230" t="s">
        <v>1577</v>
      </c>
      <c r="J230" t="s">
        <v>1021</v>
      </c>
      <c r="K230" t="s">
        <v>42</v>
      </c>
      <c r="L230" t="s">
        <v>42</v>
      </c>
      <c r="M230" t="s">
        <v>19</v>
      </c>
      <c r="N230">
        <v>1490000</v>
      </c>
      <c r="O230" t="s">
        <v>1193</v>
      </c>
      <c r="P230">
        <v>7.25</v>
      </c>
      <c r="Q230" t="s">
        <v>565</v>
      </c>
      <c r="R230" t="s">
        <v>1087</v>
      </c>
    </row>
    <row r="231" spans="1:18" x14ac:dyDescent="0.25">
      <c r="A231" t="s">
        <v>264</v>
      </c>
      <c r="B231" t="s">
        <v>2061</v>
      </c>
      <c r="C231" t="s">
        <v>1975</v>
      </c>
      <c r="D231" t="s">
        <v>1976</v>
      </c>
      <c r="E231" t="s">
        <v>265</v>
      </c>
      <c r="F231" t="s">
        <v>1364</v>
      </c>
      <c r="G231" t="s">
        <v>1785</v>
      </c>
      <c r="H231" t="s">
        <v>1365</v>
      </c>
      <c r="I231" t="s">
        <v>1576</v>
      </c>
      <c r="J231" t="s">
        <v>1366</v>
      </c>
      <c r="K231" t="s">
        <v>42</v>
      </c>
      <c r="L231" t="s">
        <v>42</v>
      </c>
      <c r="M231" t="s">
        <v>19</v>
      </c>
      <c r="N231">
        <v>600000</v>
      </c>
      <c r="O231" t="s">
        <v>1193</v>
      </c>
      <c r="P231">
        <v>4.375</v>
      </c>
      <c r="Q231" t="s">
        <v>566</v>
      </c>
      <c r="R231" t="s">
        <v>627</v>
      </c>
    </row>
    <row r="232" spans="1:18" x14ac:dyDescent="0.25">
      <c r="A232" t="s">
        <v>2413</v>
      </c>
      <c r="B232" t="s">
        <v>2061</v>
      </c>
      <c r="C232" t="s">
        <v>1975</v>
      </c>
      <c r="D232" t="s">
        <v>1976</v>
      </c>
      <c r="E232" t="s">
        <v>2414</v>
      </c>
      <c r="F232" t="s">
        <v>1364</v>
      </c>
      <c r="G232" t="s">
        <v>1785</v>
      </c>
      <c r="H232" t="s">
        <v>1365</v>
      </c>
      <c r="I232" t="s">
        <v>1576</v>
      </c>
      <c r="J232" t="s">
        <v>1366</v>
      </c>
      <c r="K232" t="s">
        <v>42</v>
      </c>
      <c r="L232" t="s">
        <v>42</v>
      </c>
      <c r="M232" t="s">
        <v>19</v>
      </c>
      <c r="N232">
        <v>800000</v>
      </c>
      <c r="O232" t="s">
        <v>1193</v>
      </c>
      <c r="P232">
        <v>7.125</v>
      </c>
      <c r="Q232" t="s">
        <v>566</v>
      </c>
      <c r="R232" t="s">
        <v>2415</v>
      </c>
    </row>
    <row r="233" spans="1:18" x14ac:dyDescent="0.25">
      <c r="A233" t="s">
        <v>266</v>
      </c>
      <c r="B233" t="s">
        <v>1367</v>
      </c>
      <c r="C233" t="s">
        <v>267</v>
      </c>
      <c r="D233" t="s">
        <v>267</v>
      </c>
      <c r="E233" t="s">
        <v>268</v>
      </c>
      <c r="F233" t="s">
        <v>1368</v>
      </c>
      <c r="G233" t="s">
        <v>1786</v>
      </c>
      <c r="H233" t="s">
        <v>1224</v>
      </c>
      <c r="I233" t="s">
        <v>1195</v>
      </c>
      <c r="J233" t="s">
        <v>1369</v>
      </c>
      <c r="K233" t="s">
        <v>42</v>
      </c>
      <c r="L233" t="s">
        <v>42</v>
      </c>
      <c r="M233" t="s">
        <v>19</v>
      </c>
      <c r="N233">
        <v>850000</v>
      </c>
      <c r="O233" t="s">
        <v>1193</v>
      </c>
      <c r="P233">
        <v>4.25</v>
      </c>
      <c r="Q233" t="s">
        <v>562</v>
      </c>
      <c r="R233" t="s">
        <v>2485</v>
      </c>
    </row>
    <row r="234" spans="1:18" x14ac:dyDescent="0.25">
      <c r="A234" t="s">
        <v>2263</v>
      </c>
      <c r="B234" t="s">
        <v>850</v>
      </c>
      <c r="C234" t="s">
        <v>271</v>
      </c>
      <c r="D234" t="s">
        <v>270</v>
      </c>
      <c r="E234" t="s">
        <v>2264</v>
      </c>
      <c r="F234" t="s">
        <v>273</v>
      </c>
      <c r="G234" t="s">
        <v>947</v>
      </c>
      <c r="H234" t="s">
        <v>274</v>
      </c>
      <c r="I234" t="s">
        <v>1195</v>
      </c>
      <c r="J234" t="s">
        <v>274</v>
      </c>
      <c r="K234" t="s">
        <v>871</v>
      </c>
      <c r="L234" t="s">
        <v>27</v>
      </c>
      <c r="M234" t="s">
        <v>19</v>
      </c>
      <c r="N234">
        <v>500000</v>
      </c>
      <c r="O234" t="s">
        <v>1193</v>
      </c>
      <c r="P234">
        <v>8.125</v>
      </c>
      <c r="Q234" t="s">
        <v>576</v>
      </c>
      <c r="R234" t="s">
        <v>2486</v>
      </c>
    </row>
    <row r="235" spans="1:18" x14ac:dyDescent="0.25">
      <c r="A235" t="s">
        <v>1874</v>
      </c>
      <c r="B235" t="s">
        <v>850</v>
      </c>
      <c r="C235" t="s">
        <v>271</v>
      </c>
      <c r="D235" t="s">
        <v>270</v>
      </c>
      <c r="E235" t="s">
        <v>1875</v>
      </c>
      <c r="F235" t="s">
        <v>273</v>
      </c>
      <c r="G235" t="s">
        <v>947</v>
      </c>
      <c r="H235" t="s">
        <v>274</v>
      </c>
      <c r="I235" t="s">
        <v>1195</v>
      </c>
      <c r="J235" t="s">
        <v>274</v>
      </c>
      <c r="K235" t="s">
        <v>871</v>
      </c>
      <c r="L235" t="s">
        <v>27</v>
      </c>
      <c r="M235" t="s">
        <v>19</v>
      </c>
      <c r="N235">
        <v>500000</v>
      </c>
      <c r="O235" t="s">
        <v>1193</v>
      </c>
      <c r="P235">
        <v>8.625</v>
      </c>
      <c r="Q235" t="s">
        <v>576</v>
      </c>
      <c r="R235" t="s">
        <v>1876</v>
      </c>
    </row>
    <row r="236" spans="1:18" x14ac:dyDescent="0.25">
      <c r="A236" t="s">
        <v>945</v>
      </c>
      <c r="B236" t="s">
        <v>850</v>
      </c>
      <c r="C236" t="s">
        <v>271</v>
      </c>
      <c r="D236" t="s">
        <v>270</v>
      </c>
      <c r="E236" t="s">
        <v>946</v>
      </c>
      <c r="F236" t="s">
        <v>273</v>
      </c>
      <c r="G236" t="s">
        <v>947</v>
      </c>
      <c r="H236" t="s">
        <v>274</v>
      </c>
      <c r="I236" t="s">
        <v>1195</v>
      </c>
      <c r="J236" t="s">
        <v>274</v>
      </c>
      <c r="K236" t="s">
        <v>871</v>
      </c>
      <c r="L236" t="s">
        <v>27</v>
      </c>
      <c r="M236" t="s">
        <v>19</v>
      </c>
      <c r="N236">
        <v>600000</v>
      </c>
      <c r="O236" t="s">
        <v>1193</v>
      </c>
      <c r="P236">
        <v>8.875</v>
      </c>
      <c r="Q236" t="s">
        <v>576</v>
      </c>
      <c r="R236" t="s">
        <v>2565</v>
      </c>
    </row>
    <row r="237" spans="1:18" x14ac:dyDescent="0.25">
      <c r="A237" t="s">
        <v>275</v>
      </c>
      <c r="B237" t="s">
        <v>1370</v>
      </c>
      <c r="C237" t="s">
        <v>276</v>
      </c>
      <c r="D237" t="s">
        <v>1627</v>
      </c>
      <c r="E237" t="s">
        <v>277</v>
      </c>
      <c r="F237" t="s">
        <v>1371</v>
      </c>
      <c r="G237" t="s">
        <v>1787</v>
      </c>
      <c r="H237" t="s">
        <v>1365</v>
      </c>
      <c r="I237" t="s">
        <v>1576</v>
      </c>
      <c r="J237" t="s">
        <v>1366</v>
      </c>
      <c r="K237" t="s">
        <v>42</v>
      </c>
      <c r="L237" t="s">
        <v>42</v>
      </c>
      <c r="M237" t="s">
        <v>19</v>
      </c>
      <c r="N237">
        <v>775000</v>
      </c>
      <c r="O237" t="s">
        <v>1193</v>
      </c>
      <c r="P237">
        <v>4.8689999999999998</v>
      </c>
      <c r="Q237" t="s">
        <v>565</v>
      </c>
      <c r="R237" t="s">
        <v>628</v>
      </c>
    </row>
    <row r="238" spans="1:18" x14ac:dyDescent="0.25">
      <c r="A238" t="s">
        <v>279</v>
      </c>
      <c r="B238" t="s">
        <v>1370</v>
      </c>
      <c r="C238" t="s">
        <v>276</v>
      </c>
      <c r="D238" t="s">
        <v>1627</v>
      </c>
      <c r="E238" t="s">
        <v>280</v>
      </c>
      <c r="F238" t="s">
        <v>1371</v>
      </c>
      <c r="G238" t="s">
        <v>1787</v>
      </c>
      <c r="H238" t="s">
        <v>1365</v>
      </c>
      <c r="I238" t="s">
        <v>1576</v>
      </c>
      <c r="J238" t="s">
        <v>1366</v>
      </c>
      <c r="K238" t="s">
        <v>42</v>
      </c>
      <c r="L238" t="s">
        <v>42</v>
      </c>
      <c r="M238" t="s">
        <v>19</v>
      </c>
      <c r="N238">
        <v>875000</v>
      </c>
      <c r="O238" t="s">
        <v>1193</v>
      </c>
      <c r="P238">
        <v>6.39</v>
      </c>
      <c r="Q238" t="s">
        <v>565</v>
      </c>
      <c r="R238" t="s">
        <v>629</v>
      </c>
    </row>
    <row r="239" spans="1:18" x14ac:dyDescent="0.25">
      <c r="A239" t="s">
        <v>281</v>
      </c>
      <c r="B239" t="s">
        <v>1370</v>
      </c>
      <c r="C239" t="s">
        <v>278</v>
      </c>
      <c r="D239" t="s">
        <v>1627</v>
      </c>
      <c r="E239" t="s">
        <v>282</v>
      </c>
      <c r="F239" t="s">
        <v>1371</v>
      </c>
      <c r="G239" t="s">
        <v>1787</v>
      </c>
      <c r="H239" t="s">
        <v>1365</v>
      </c>
      <c r="I239" t="s">
        <v>1576</v>
      </c>
      <c r="J239" t="s">
        <v>1366</v>
      </c>
      <c r="K239" t="s">
        <v>42</v>
      </c>
      <c r="L239" t="s">
        <v>42</v>
      </c>
      <c r="M239" t="s">
        <v>19</v>
      </c>
      <c r="N239">
        <v>700000</v>
      </c>
      <c r="O239" t="s">
        <v>1193</v>
      </c>
      <c r="P239">
        <v>6.95</v>
      </c>
      <c r="Q239" t="s">
        <v>565</v>
      </c>
      <c r="R239" t="s">
        <v>630</v>
      </c>
    </row>
    <row r="240" spans="1:18" x14ac:dyDescent="0.25">
      <c r="A240" t="s">
        <v>953</v>
      </c>
      <c r="B240" t="s">
        <v>1370</v>
      </c>
      <c r="C240" t="s">
        <v>276</v>
      </c>
      <c r="D240" t="s">
        <v>1627</v>
      </c>
      <c r="E240" t="s">
        <v>954</v>
      </c>
      <c r="F240" t="s">
        <v>1371</v>
      </c>
      <c r="G240" t="s">
        <v>1787</v>
      </c>
      <c r="H240" t="s">
        <v>1365</v>
      </c>
      <c r="I240" t="s">
        <v>1576</v>
      </c>
      <c r="J240" t="s">
        <v>1366</v>
      </c>
      <c r="K240" t="s">
        <v>42</v>
      </c>
      <c r="L240" t="s">
        <v>42</v>
      </c>
      <c r="M240" t="s">
        <v>19</v>
      </c>
      <c r="N240">
        <v>600000</v>
      </c>
      <c r="O240" t="s">
        <v>1193</v>
      </c>
      <c r="P240">
        <v>7.375</v>
      </c>
      <c r="Q240" t="s">
        <v>565</v>
      </c>
      <c r="R240" t="s">
        <v>955</v>
      </c>
    </row>
    <row r="241" spans="1:18" x14ac:dyDescent="0.25">
      <c r="A241" t="s">
        <v>1165</v>
      </c>
      <c r="B241" t="s">
        <v>1370</v>
      </c>
      <c r="C241" t="s">
        <v>276</v>
      </c>
      <c r="D241" t="s">
        <v>1627</v>
      </c>
      <c r="E241" t="s">
        <v>1166</v>
      </c>
      <c r="F241" t="s">
        <v>1371</v>
      </c>
      <c r="G241" t="s">
        <v>1787</v>
      </c>
      <c r="H241" t="s">
        <v>1365</v>
      </c>
      <c r="I241" t="s">
        <v>1576</v>
      </c>
      <c r="J241" t="s">
        <v>1366</v>
      </c>
      <c r="K241" t="s">
        <v>42</v>
      </c>
      <c r="L241" t="s">
        <v>42</v>
      </c>
      <c r="M241" t="s">
        <v>19</v>
      </c>
      <c r="N241">
        <v>500000</v>
      </c>
      <c r="O241" t="s">
        <v>1193</v>
      </c>
      <c r="P241">
        <v>7.7</v>
      </c>
      <c r="Q241" t="s">
        <v>565</v>
      </c>
      <c r="R241" t="s">
        <v>1167</v>
      </c>
    </row>
    <row r="242" spans="1:18" x14ac:dyDescent="0.25">
      <c r="A242" t="s">
        <v>1168</v>
      </c>
      <c r="B242" t="s">
        <v>1370</v>
      </c>
      <c r="C242" t="s">
        <v>276</v>
      </c>
      <c r="D242" t="s">
        <v>1627</v>
      </c>
      <c r="E242" t="s">
        <v>1169</v>
      </c>
      <c r="F242" t="s">
        <v>1371</v>
      </c>
      <c r="G242" t="s">
        <v>1787</v>
      </c>
      <c r="H242" t="s">
        <v>1365</v>
      </c>
      <c r="I242" t="s">
        <v>1576</v>
      </c>
      <c r="J242" t="s">
        <v>1366</v>
      </c>
      <c r="K242" t="s">
        <v>42</v>
      </c>
      <c r="L242" t="s">
        <v>42</v>
      </c>
      <c r="M242" t="s">
        <v>19</v>
      </c>
      <c r="N242">
        <v>300000</v>
      </c>
      <c r="O242" t="s">
        <v>1193</v>
      </c>
      <c r="P242">
        <v>8.25</v>
      </c>
      <c r="Q242" t="s">
        <v>565</v>
      </c>
      <c r="R242" t="s">
        <v>1170</v>
      </c>
    </row>
    <row r="243" spans="1:18" x14ac:dyDescent="0.25">
      <c r="A243" t="s">
        <v>283</v>
      </c>
      <c r="B243" t="s">
        <v>1372</v>
      </c>
      <c r="C243" t="s">
        <v>284</v>
      </c>
      <c r="D243" t="s">
        <v>1628</v>
      </c>
      <c r="E243" t="s">
        <v>285</v>
      </c>
      <c r="F243" t="s">
        <v>1373</v>
      </c>
      <c r="G243" t="s">
        <v>1788</v>
      </c>
      <c r="H243" t="s">
        <v>1374</v>
      </c>
      <c r="I243" t="s">
        <v>2063</v>
      </c>
      <c r="J243" t="s">
        <v>1375</v>
      </c>
      <c r="K243" t="s">
        <v>41</v>
      </c>
      <c r="L243" t="s">
        <v>41</v>
      </c>
      <c r="M243" t="s">
        <v>19</v>
      </c>
      <c r="N243">
        <v>400000</v>
      </c>
      <c r="O243" t="s">
        <v>1193</v>
      </c>
      <c r="P243">
        <v>4.875</v>
      </c>
      <c r="Q243" t="s">
        <v>565</v>
      </c>
      <c r="R243" t="s">
        <v>631</v>
      </c>
    </row>
    <row r="244" spans="1:18" x14ac:dyDescent="0.25">
      <c r="A244" t="s">
        <v>2012</v>
      </c>
      <c r="B244" t="s">
        <v>1372</v>
      </c>
      <c r="C244" t="s">
        <v>284</v>
      </c>
      <c r="D244" t="s">
        <v>1628</v>
      </c>
      <c r="E244" t="s">
        <v>2013</v>
      </c>
      <c r="F244" t="s">
        <v>1373</v>
      </c>
      <c r="G244" t="s">
        <v>1788</v>
      </c>
      <c r="H244" t="s">
        <v>1374</v>
      </c>
      <c r="I244" t="s">
        <v>2063</v>
      </c>
      <c r="J244" t="s">
        <v>1375</v>
      </c>
      <c r="K244" t="s">
        <v>41</v>
      </c>
      <c r="L244" t="s">
        <v>41</v>
      </c>
      <c r="M244" t="s">
        <v>19</v>
      </c>
      <c r="N244">
        <v>500000</v>
      </c>
      <c r="O244" t="s">
        <v>1193</v>
      </c>
      <c r="P244">
        <v>5.75</v>
      </c>
      <c r="Q244" t="s">
        <v>565</v>
      </c>
      <c r="R244" t="s">
        <v>2014</v>
      </c>
    </row>
    <row r="245" spans="1:18" x14ac:dyDescent="0.25">
      <c r="A245" t="s">
        <v>901</v>
      </c>
      <c r="B245" t="s">
        <v>1372</v>
      </c>
      <c r="C245" t="s">
        <v>284</v>
      </c>
      <c r="D245" t="s">
        <v>1628</v>
      </c>
      <c r="E245" t="s">
        <v>902</v>
      </c>
      <c r="F245" t="s">
        <v>1373</v>
      </c>
      <c r="G245" t="s">
        <v>1788</v>
      </c>
      <c r="H245" t="s">
        <v>1374</v>
      </c>
      <c r="I245" t="s">
        <v>2063</v>
      </c>
      <c r="J245" t="s">
        <v>1375</v>
      </c>
      <c r="K245" t="s">
        <v>41</v>
      </c>
      <c r="L245" t="s">
        <v>41</v>
      </c>
      <c r="M245" t="s">
        <v>19</v>
      </c>
      <c r="N245">
        <v>400000</v>
      </c>
      <c r="O245" t="s">
        <v>1193</v>
      </c>
      <c r="P245">
        <v>7.85</v>
      </c>
      <c r="Q245" t="s">
        <v>565</v>
      </c>
      <c r="R245" t="s">
        <v>2487</v>
      </c>
    </row>
    <row r="246" spans="1:18" x14ac:dyDescent="0.25">
      <c r="A246" t="s">
        <v>1543</v>
      </c>
      <c r="B246" t="s">
        <v>1376</v>
      </c>
      <c r="C246" t="s">
        <v>1377</v>
      </c>
      <c r="D246" t="s">
        <v>1629</v>
      </c>
      <c r="E246" t="s">
        <v>1544</v>
      </c>
      <c r="F246" t="s">
        <v>1378</v>
      </c>
      <c r="G246" t="s">
        <v>1789</v>
      </c>
      <c r="H246" t="s">
        <v>221</v>
      </c>
      <c r="I246" t="s">
        <v>1195</v>
      </c>
      <c r="J246" t="s">
        <v>222</v>
      </c>
      <c r="K246" t="s">
        <v>41</v>
      </c>
      <c r="L246" t="s">
        <v>41</v>
      </c>
      <c r="M246" t="s">
        <v>19</v>
      </c>
      <c r="N246">
        <v>550000</v>
      </c>
      <c r="O246" t="s">
        <v>1193</v>
      </c>
      <c r="P246">
        <v>8.75</v>
      </c>
      <c r="Q246" t="s">
        <v>576</v>
      </c>
      <c r="R246" t="s">
        <v>589</v>
      </c>
    </row>
    <row r="247" spans="1:18" x14ac:dyDescent="0.25">
      <c r="A247" t="s">
        <v>1856</v>
      </c>
      <c r="B247" t="s">
        <v>1380</v>
      </c>
      <c r="C247" t="s">
        <v>287</v>
      </c>
      <c r="D247" t="s">
        <v>287</v>
      </c>
      <c r="E247" t="s">
        <v>1857</v>
      </c>
      <c r="F247" t="s">
        <v>1379</v>
      </c>
      <c r="G247" t="s">
        <v>1790</v>
      </c>
      <c r="H247" t="s">
        <v>1260</v>
      </c>
      <c r="I247" t="s">
        <v>1195</v>
      </c>
      <c r="J247" t="s">
        <v>1261</v>
      </c>
      <c r="K247" t="s">
        <v>1381</v>
      </c>
      <c r="L247" t="s">
        <v>27</v>
      </c>
      <c r="M247" t="s">
        <v>19</v>
      </c>
      <c r="N247">
        <v>650000</v>
      </c>
      <c r="O247" t="s">
        <v>1193</v>
      </c>
      <c r="P247">
        <v>5.75</v>
      </c>
      <c r="Q247" t="s">
        <v>562</v>
      </c>
      <c r="R247" t="s">
        <v>2488</v>
      </c>
    </row>
    <row r="248" spans="1:18" x14ac:dyDescent="0.25">
      <c r="A248" t="s">
        <v>288</v>
      </c>
      <c r="B248" t="s">
        <v>286</v>
      </c>
      <c r="C248" t="s">
        <v>286</v>
      </c>
      <c r="D248" t="s">
        <v>286</v>
      </c>
      <c r="E248" t="s">
        <v>289</v>
      </c>
      <c r="F248" t="s">
        <v>1379</v>
      </c>
      <c r="G248" t="s">
        <v>1790</v>
      </c>
      <c r="H248" t="s">
        <v>1260</v>
      </c>
      <c r="I248" t="s">
        <v>1195</v>
      </c>
      <c r="J248" t="s">
        <v>1261</v>
      </c>
      <c r="K248" t="s">
        <v>872</v>
      </c>
      <c r="L248" t="s">
        <v>27</v>
      </c>
      <c r="M248" t="s">
        <v>19</v>
      </c>
      <c r="N248">
        <v>500000</v>
      </c>
      <c r="O248" t="s">
        <v>1193</v>
      </c>
      <c r="P248">
        <v>7.25</v>
      </c>
      <c r="Q248" t="s">
        <v>562</v>
      </c>
      <c r="R248" t="s">
        <v>632</v>
      </c>
    </row>
    <row r="249" spans="1:18" x14ac:dyDescent="0.25">
      <c r="A249" t="s">
        <v>290</v>
      </c>
      <c r="B249" t="s">
        <v>1977</v>
      </c>
      <c r="C249" t="s">
        <v>291</v>
      </c>
      <c r="D249" t="s">
        <v>932</v>
      </c>
      <c r="E249" t="s">
        <v>292</v>
      </c>
      <c r="F249" t="s">
        <v>293</v>
      </c>
      <c r="G249" t="s">
        <v>294</v>
      </c>
      <c r="H249" t="s">
        <v>933</v>
      </c>
      <c r="I249" t="s">
        <v>1195</v>
      </c>
      <c r="J249" t="s">
        <v>934</v>
      </c>
      <c r="K249" t="s">
        <v>27</v>
      </c>
      <c r="L249" t="s">
        <v>27</v>
      </c>
      <c r="M249" t="s">
        <v>19</v>
      </c>
      <c r="N249">
        <v>500000</v>
      </c>
      <c r="O249" t="s">
        <v>1193</v>
      </c>
      <c r="P249">
        <v>4.875</v>
      </c>
      <c r="Q249" t="s">
        <v>564</v>
      </c>
      <c r="R249" t="s">
        <v>633</v>
      </c>
    </row>
    <row r="250" spans="1:18" x14ac:dyDescent="0.25">
      <c r="A250" t="s">
        <v>295</v>
      </c>
      <c r="B250" t="s">
        <v>1977</v>
      </c>
      <c r="C250" t="s">
        <v>291</v>
      </c>
      <c r="D250" t="s">
        <v>932</v>
      </c>
      <c r="E250" t="s">
        <v>296</v>
      </c>
      <c r="F250" t="s">
        <v>293</v>
      </c>
      <c r="G250" t="s">
        <v>294</v>
      </c>
      <c r="H250" t="s">
        <v>933</v>
      </c>
      <c r="I250" t="s">
        <v>1195</v>
      </c>
      <c r="J250" t="s">
        <v>934</v>
      </c>
      <c r="K250" t="s">
        <v>27</v>
      </c>
      <c r="L250" t="s">
        <v>27</v>
      </c>
      <c r="M250" t="s">
        <v>19</v>
      </c>
      <c r="N250">
        <v>400000</v>
      </c>
      <c r="O250" t="s">
        <v>1193</v>
      </c>
      <c r="P250">
        <v>5.5</v>
      </c>
      <c r="Q250" t="s">
        <v>566</v>
      </c>
      <c r="R250" t="s">
        <v>634</v>
      </c>
    </row>
    <row r="251" spans="1:18" x14ac:dyDescent="0.25">
      <c r="A251" t="s">
        <v>297</v>
      </c>
      <c r="B251" t="s">
        <v>1382</v>
      </c>
      <c r="C251" t="s">
        <v>298</v>
      </c>
      <c r="D251" t="s">
        <v>1630</v>
      </c>
      <c r="E251" t="s">
        <v>299</v>
      </c>
      <c r="F251" t="s">
        <v>1383</v>
      </c>
      <c r="G251" t="s">
        <v>1791</v>
      </c>
      <c r="H251" t="s">
        <v>16</v>
      </c>
      <c r="I251" t="s">
        <v>1890</v>
      </c>
      <c r="J251" t="s">
        <v>30</v>
      </c>
      <c r="K251" t="s">
        <v>42</v>
      </c>
      <c r="L251" t="s">
        <v>42</v>
      </c>
      <c r="M251" t="s">
        <v>19</v>
      </c>
      <c r="N251">
        <v>575000</v>
      </c>
      <c r="O251" t="s">
        <v>1193</v>
      </c>
      <c r="P251">
        <v>5.5</v>
      </c>
      <c r="Q251" t="s">
        <v>562</v>
      </c>
      <c r="R251" t="s">
        <v>2489</v>
      </c>
    </row>
    <row r="252" spans="1:18" x14ac:dyDescent="0.25">
      <c r="A252" t="s">
        <v>300</v>
      </c>
      <c r="B252" t="s">
        <v>1384</v>
      </c>
      <c r="C252" t="s">
        <v>301</v>
      </c>
      <c r="D252" t="s">
        <v>301</v>
      </c>
      <c r="E252" t="s">
        <v>302</v>
      </c>
      <c r="F252" t="s">
        <v>303</v>
      </c>
      <c r="G252" t="s">
        <v>304</v>
      </c>
      <c r="H252" t="s">
        <v>305</v>
      </c>
      <c r="I252" t="s">
        <v>1195</v>
      </c>
      <c r="J252" t="s">
        <v>442</v>
      </c>
      <c r="K252" t="s">
        <v>27</v>
      </c>
      <c r="L252" t="s">
        <v>27</v>
      </c>
      <c r="M252" t="s">
        <v>19</v>
      </c>
      <c r="N252">
        <v>850000</v>
      </c>
      <c r="O252" t="s">
        <v>1193</v>
      </c>
      <c r="P252">
        <v>5.1980000000000004</v>
      </c>
      <c r="Q252" t="s">
        <v>565</v>
      </c>
      <c r="R252" t="s">
        <v>635</v>
      </c>
    </row>
    <row r="253" spans="1:18" x14ac:dyDescent="0.25">
      <c r="A253" t="s">
        <v>2302</v>
      </c>
      <c r="B253" t="s">
        <v>2303</v>
      </c>
      <c r="C253" t="s">
        <v>2304</v>
      </c>
      <c r="D253" t="s">
        <v>2304</v>
      </c>
      <c r="E253" t="s">
        <v>2305</v>
      </c>
      <c r="F253" t="s">
        <v>2204</v>
      </c>
      <c r="G253" t="s">
        <v>2205</v>
      </c>
      <c r="H253" t="s">
        <v>1012</v>
      </c>
      <c r="I253" t="s">
        <v>1195</v>
      </c>
      <c r="J253" t="s">
        <v>1012</v>
      </c>
      <c r="K253" t="s">
        <v>27</v>
      </c>
      <c r="L253" t="s">
        <v>27</v>
      </c>
      <c r="M253" t="s">
        <v>19</v>
      </c>
      <c r="N253">
        <v>2107060</v>
      </c>
      <c r="O253" t="s">
        <v>1193</v>
      </c>
      <c r="P253">
        <v>14.375</v>
      </c>
      <c r="Q253" t="s">
        <v>2100</v>
      </c>
      <c r="R253" t="s">
        <v>2490</v>
      </c>
    </row>
    <row r="254" spans="1:18" x14ac:dyDescent="0.25">
      <c r="A254" t="s">
        <v>2199</v>
      </c>
      <c r="B254" t="s">
        <v>2200</v>
      </c>
      <c r="C254" t="s">
        <v>2201</v>
      </c>
      <c r="D254" t="s">
        <v>2202</v>
      </c>
      <c r="E254" t="s">
        <v>2203</v>
      </c>
      <c r="F254" t="s">
        <v>2204</v>
      </c>
      <c r="G254" t="s">
        <v>2205</v>
      </c>
      <c r="H254" t="s">
        <v>1012</v>
      </c>
      <c r="I254" t="s">
        <v>1195</v>
      </c>
      <c r="J254" t="s">
        <v>1012</v>
      </c>
      <c r="K254" t="s">
        <v>871</v>
      </c>
      <c r="L254" t="s">
        <v>27</v>
      </c>
      <c r="M254" t="s">
        <v>19</v>
      </c>
      <c r="N254">
        <v>659025.86100000003</v>
      </c>
      <c r="O254" t="s">
        <v>2132</v>
      </c>
      <c r="P254">
        <v>9.5</v>
      </c>
      <c r="R254" t="s">
        <v>2474</v>
      </c>
    </row>
    <row r="255" spans="1:18" x14ac:dyDescent="0.25">
      <c r="A255" t="s">
        <v>1155</v>
      </c>
      <c r="B255" t="s">
        <v>1385</v>
      </c>
      <c r="C255" t="s">
        <v>1156</v>
      </c>
      <c r="D255" t="s">
        <v>1156</v>
      </c>
      <c r="E255" t="s">
        <v>1157</v>
      </c>
      <c r="F255" t="s">
        <v>1386</v>
      </c>
      <c r="G255" t="s">
        <v>1792</v>
      </c>
      <c r="H255" t="s">
        <v>1200</v>
      </c>
      <c r="I255" t="s">
        <v>1195</v>
      </c>
      <c r="J255" t="s">
        <v>1293</v>
      </c>
      <c r="K255" t="s">
        <v>42</v>
      </c>
      <c r="L255" t="s">
        <v>42</v>
      </c>
      <c r="M255" t="s">
        <v>19</v>
      </c>
      <c r="N255">
        <v>500000</v>
      </c>
      <c r="O255" t="s">
        <v>1193</v>
      </c>
      <c r="P255">
        <v>5.39</v>
      </c>
      <c r="Q255" t="s">
        <v>593</v>
      </c>
      <c r="R255" t="s">
        <v>2491</v>
      </c>
    </row>
    <row r="256" spans="1:18" x14ac:dyDescent="0.25">
      <c r="A256" t="s">
        <v>1158</v>
      </c>
      <c r="B256" t="s">
        <v>1385</v>
      </c>
      <c r="C256" t="s">
        <v>1156</v>
      </c>
      <c r="D256" t="s">
        <v>1156</v>
      </c>
      <c r="E256" t="s">
        <v>1159</v>
      </c>
      <c r="F256" t="s">
        <v>1386</v>
      </c>
      <c r="G256" t="s">
        <v>1792</v>
      </c>
      <c r="H256" t="s">
        <v>1200</v>
      </c>
      <c r="I256" t="s">
        <v>1195</v>
      </c>
      <c r="J256" t="s">
        <v>1293</v>
      </c>
      <c r="K256" t="s">
        <v>42</v>
      </c>
      <c r="L256" t="s">
        <v>42</v>
      </c>
      <c r="M256" t="s">
        <v>19</v>
      </c>
      <c r="N256">
        <v>300000</v>
      </c>
      <c r="O256" t="s">
        <v>1193</v>
      </c>
      <c r="P256">
        <v>5.7610000000000001</v>
      </c>
      <c r="Q256" t="s">
        <v>593</v>
      </c>
      <c r="R256" t="s">
        <v>2492</v>
      </c>
    </row>
    <row r="257" spans="1:18" x14ac:dyDescent="0.25">
      <c r="A257" t="s">
        <v>2288</v>
      </c>
      <c r="B257" t="s">
        <v>2289</v>
      </c>
      <c r="C257" t="s">
        <v>2290</v>
      </c>
      <c r="D257" t="s">
        <v>2291</v>
      </c>
      <c r="E257" t="s">
        <v>2292</v>
      </c>
      <c r="F257" t="s">
        <v>2293</v>
      </c>
      <c r="G257" t="s">
        <v>2294</v>
      </c>
      <c r="H257" t="s">
        <v>221</v>
      </c>
      <c r="I257" t="s">
        <v>1195</v>
      </c>
      <c r="J257" t="s">
        <v>222</v>
      </c>
      <c r="K257" t="s">
        <v>1232</v>
      </c>
      <c r="L257" t="s">
        <v>41</v>
      </c>
      <c r="M257" t="s">
        <v>19</v>
      </c>
      <c r="N257">
        <v>503570</v>
      </c>
      <c r="O257" t="s">
        <v>1193</v>
      </c>
      <c r="P257">
        <v>9.75</v>
      </c>
      <c r="Q257" t="s">
        <v>2008</v>
      </c>
      <c r="R257" t="s">
        <v>2295</v>
      </c>
    </row>
    <row r="258" spans="1:18" x14ac:dyDescent="0.25">
      <c r="A258" t="s">
        <v>307</v>
      </c>
      <c r="B258" t="s">
        <v>1387</v>
      </c>
      <c r="C258" t="s">
        <v>308</v>
      </c>
      <c r="D258" t="s">
        <v>1631</v>
      </c>
      <c r="E258" t="s">
        <v>309</v>
      </c>
      <c r="F258" t="s">
        <v>1388</v>
      </c>
      <c r="G258" t="s">
        <v>1793</v>
      </c>
      <c r="H258" t="s">
        <v>101</v>
      </c>
      <c r="I258" t="s">
        <v>1195</v>
      </c>
      <c r="J258" t="s">
        <v>310</v>
      </c>
      <c r="K258" t="s">
        <v>871</v>
      </c>
      <c r="L258" t="s">
        <v>27</v>
      </c>
      <c r="M258" t="s">
        <v>19</v>
      </c>
      <c r="N258">
        <v>500000</v>
      </c>
      <c r="O258" t="s">
        <v>1193</v>
      </c>
      <c r="P258">
        <v>4.95</v>
      </c>
      <c r="Q258" t="s">
        <v>564</v>
      </c>
      <c r="R258" t="s">
        <v>2493</v>
      </c>
    </row>
    <row r="259" spans="1:18" x14ac:dyDescent="0.25">
      <c r="A259" t="s">
        <v>1700</v>
      </c>
      <c r="B259" t="s">
        <v>1389</v>
      </c>
      <c r="C259" t="s">
        <v>1701</v>
      </c>
      <c r="D259" t="s">
        <v>1632</v>
      </c>
      <c r="E259" t="s">
        <v>1702</v>
      </c>
      <c r="F259" t="s">
        <v>1390</v>
      </c>
      <c r="H259" t="s">
        <v>221</v>
      </c>
      <c r="I259" t="s">
        <v>1195</v>
      </c>
      <c r="J259" t="s">
        <v>222</v>
      </c>
      <c r="K259" t="s">
        <v>18</v>
      </c>
      <c r="L259" t="s">
        <v>18</v>
      </c>
      <c r="M259" t="s">
        <v>19</v>
      </c>
      <c r="N259">
        <v>630000</v>
      </c>
      <c r="O259" t="s">
        <v>1193</v>
      </c>
      <c r="P259">
        <v>7.75</v>
      </c>
      <c r="Q259" t="s">
        <v>565</v>
      </c>
      <c r="R259" t="s">
        <v>2494</v>
      </c>
    </row>
    <row r="260" spans="1:18" x14ac:dyDescent="0.25">
      <c r="A260" t="s">
        <v>889</v>
      </c>
      <c r="B260" t="s">
        <v>1389</v>
      </c>
      <c r="C260" t="s">
        <v>311</v>
      </c>
      <c r="D260" t="s">
        <v>1632</v>
      </c>
      <c r="E260" t="s">
        <v>890</v>
      </c>
      <c r="F260" t="s">
        <v>1390</v>
      </c>
      <c r="H260" t="s">
        <v>221</v>
      </c>
      <c r="I260" t="s">
        <v>1195</v>
      </c>
      <c r="J260" t="s">
        <v>222</v>
      </c>
      <c r="K260" t="s">
        <v>18</v>
      </c>
      <c r="L260" t="s">
        <v>18</v>
      </c>
      <c r="M260" t="s">
        <v>19</v>
      </c>
      <c r="N260">
        <v>500000</v>
      </c>
      <c r="O260" t="s">
        <v>1193</v>
      </c>
      <c r="P260">
        <v>8.5500000000000007</v>
      </c>
      <c r="Q260" t="s">
        <v>565</v>
      </c>
      <c r="R260" t="s">
        <v>891</v>
      </c>
    </row>
    <row r="261" spans="1:18" x14ac:dyDescent="0.25">
      <c r="A261" t="s">
        <v>315</v>
      </c>
      <c r="B261" t="s">
        <v>1391</v>
      </c>
      <c r="C261" t="s">
        <v>313</v>
      </c>
      <c r="D261" t="s">
        <v>1633</v>
      </c>
      <c r="E261" t="s">
        <v>316</v>
      </c>
      <c r="F261" t="s">
        <v>1392</v>
      </c>
      <c r="G261" t="s">
        <v>1794</v>
      </c>
      <c r="H261" t="s">
        <v>16</v>
      </c>
      <c r="I261" t="s">
        <v>1890</v>
      </c>
      <c r="J261" t="s">
        <v>193</v>
      </c>
      <c r="K261" t="s">
        <v>42</v>
      </c>
      <c r="L261" t="s">
        <v>42</v>
      </c>
      <c r="M261" t="s">
        <v>19</v>
      </c>
      <c r="N261">
        <v>800000</v>
      </c>
      <c r="O261" t="s">
        <v>1193</v>
      </c>
      <c r="P261">
        <v>4.75</v>
      </c>
      <c r="Q261" t="s">
        <v>565</v>
      </c>
      <c r="R261" t="s">
        <v>599</v>
      </c>
    </row>
    <row r="262" spans="1:18" x14ac:dyDescent="0.25">
      <c r="A262" t="s">
        <v>317</v>
      </c>
      <c r="B262" t="s">
        <v>1391</v>
      </c>
      <c r="C262" t="s">
        <v>313</v>
      </c>
      <c r="D262" t="s">
        <v>1633</v>
      </c>
      <c r="E262" t="s">
        <v>318</v>
      </c>
      <c r="F262" t="s">
        <v>1392</v>
      </c>
      <c r="G262" t="s">
        <v>1794</v>
      </c>
      <c r="H262" t="s">
        <v>16</v>
      </c>
      <c r="I262" t="s">
        <v>1890</v>
      </c>
      <c r="J262" t="s">
        <v>193</v>
      </c>
      <c r="K262" t="s">
        <v>42</v>
      </c>
      <c r="L262" t="s">
        <v>42</v>
      </c>
      <c r="M262" t="s">
        <v>19</v>
      </c>
      <c r="N262">
        <v>540000</v>
      </c>
      <c r="O262" t="s">
        <v>1193</v>
      </c>
      <c r="P262">
        <v>4.875</v>
      </c>
      <c r="Q262" t="s">
        <v>565</v>
      </c>
      <c r="R262" t="s">
        <v>636</v>
      </c>
    </row>
    <row r="263" spans="1:18" x14ac:dyDescent="0.25">
      <c r="A263" t="s">
        <v>319</v>
      </c>
      <c r="B263" t="s">
        <v>1393</v>
      </c>
      <c r="C263" t="s">
        <v>320</v>
      </c>
      <c r="D263" t="s">
        <v>1634</v>
      </c>
      <c r="E263" t="s">
        <v>321</v>
      </c>
      <c r="F263" t="s">
        <v>1394</v>
      </c>
      <c r="G263" t="s">
        <v>1795</v>
      </c>
      <c r="H263" t="s">
        <v>1243</v>
      </c>
      <c r="I263" t="s">
        <v>1576</v>
      </c>
      <c r="J263" t="s">
        <v>1244</v>
      </c>
      <c r="K263" t="s">
        <v>18</v>
      </c>
      <c r="L263" t="s">
        <v>18</v>
      </c>
      <c r="M263" t="s">
        <v>19</v>
      </c>
      <c r="N263">
        <v>325000</v>
      </c>
      <c r="O263" t="s">
        <v>1193</v>
      </c>
      <c r="P263">
        <v>3.875</v>
      </c>
      <c r="Q263" t="s">
        <v>565</v>
      </c>
      <c r="R263" t="s">
        <v>637</v>
      </c>
    </row>
    <row r="264" spans="1:18" x14ac:dyDescent="0.25">
      <c r="A264" t="s">
        <v>2579</v>
      </c>
      <c r="B264" t="s">
        <v>1393</v>
      </c>
      <c r="C264" t="s">
        <v>320</v>
      </c>
      <c r="D264" t="s">
        <v>1634</v>
      </c>
      <c r="E264" t="s">
        <v>2580</v>
      </c>
      <c r="F264" t="s">
        <v>1394</v>
      </c>
      <c r="G264" t="s">
        <v>1795</v>
      </c>
      <c r="H264" t="s">
        <v>1243</v>
      </c>
      <c r="I264" t="s">
        <v>1576</v>
      </c>
      <c r="J264" t="s">
        <v>1244</v>
      </c>
      <c r="K264" t="s">
        <v>18</v>
      </c>
      <c r="L264" t="s">
        <v>18</v>
      </c>
      <c r="M264" t="s">
        <v>19</v>
      </c>
      <c r="N264">
        <v>300000</v>
      </c>
      <c r="O264" t="s">
        <v>1193</v>
      </c>
      <c r="P264">
        <v>5.6</v>
      </c>
      <c r="Q264" t="s">
        <v>565</v>
      </c>
      <c r="R264" t="s">
        <v>2581</v>
      </c>
    </row>
    <row r="265" spans="1:18" x14ac:dyDescent="0.25">
      <c r="A265" t="s">
        <v>322</v>
      </c>
      <c r="B265" t="s">
        <v>1395</v>
      </c>
      <c r="C265" t="s">
        <v>323</v>
      </c>
      <c r="D265" t="s">
        <v>1635</v>
      </c>
      <c r="E265" t="s">
        <v>324</v>
      </c>
      <c r="F265" t="s">
        <v>1396</v>
      </c>
      <c r="G265" t="s">
        <v>1796</v>
      </c>
      <c r="H265" t="s">
        <v>1204</v>
      </c>
      <c r="I265" t="s">
        <v>1576</v>
      </c>
      <c r="J265" t="s">
        <v>1205</v>
      </c>
      <c r="K265" t="s">
        <v>31</v>
      </c>
      <c r="L265" t="s">
        <v>31</v>
      </c>
      <c r="M265" t="s">
        <v>19</v>
      </c>
      <c r="N265">
        <v>300000</v>
      </c>
      <c r="O265" t="s">
        <v>1193</v>
      </c>
      <c r="P265">
        <v>4.75</v>
      </c>
      <c r="Q265" t="s">
        <v>593</v>
      </c>
      <c r="R265" t="s">
        <v>2495</v>
      </c>
    </row>
    <row r="266" spans="1:18" x14ac:dyDescent="0.25">
      <c r="A266" t="s">
        <v>1994</v>
      </c>
      <c r="B266" t="s">
        <v>1995</v>
      </c>
      <c r="C266" t="s">
        <v>1996</v>
      </c>
      <c r="D266" t="s">
        <v>1997</v>
      </c>
      <c r="E266" t="s">
        <v>1998</v>
      </c>
      <c r="F266" t="s">
        <v>1999</v>
      </c>
      <c r="G266" t="s">
        <v>1797</v>
      </c>
      <c r="H266" t="s">
        <v>1022</v>
      </c>
      <c r="I266" t="s">
        <v>1576</v>
      </c>
      <c r="J266" t="s">
        <v>1023</v>
      </c>
      <c r="K266" t="s">
        <v>18</v>
      </c>
      <c r="L266" t="s">
        <v>18</v>
      </c>
      <c r="M266" t="s">
        <v>19</v>
      </c>
      <c r="N266">
        <v>375000</v>
      </c>
      <c r="O266" t="s">
        <v>1193</v>
      </c>
      <c r="P266">
        <v>5.65</v>
      </c>
      <c r="Q266" t="s">
        <v>566</v>
      </c>
      <c r="R266" t="s">
        <v>2000</v>
      </c>
    </row>
    <row r="267" spans="1:18" x14ac:dyDescent="0.25">
      <c r="A267" t="s">
        <v>328</v>
      </c>
      <c r="B267" t="s">
        <v>1400</v>
      </c>
      <c r="C267" t="s">
        <v>329</v>
      </c>
      <c r="D267" t="s">
        <v>1637</v>
      </c>
      <c r="E267" t="s">
        <v>330</v>
      </c>
      <c r="F267" t="s">
        <v>1401</v>
      </c>
      <c r="G267" t="s">
        <v>1798</v>
      </c>
      <c r="H267" t="s">
        <v>16</v>
      </c>
      <c r="I267" t="s">
        <v>1577</v>
      </c>
      <c r="J267" t="s">
        <v>1192</v>
      </c>
      <c r="K267" t="s">
        <v>31</v>
      </c>
      <c r="L267" t="s">
        <v>31</v>
      </c>
      <c r="M267" t="s">
        <v>19</v>
      </c>
      <c r="N267">
        <v>1200000</v>
      </c>
      <c r="O267" t="s">
        <v>1193</v>
      </c>
      <c r="P267">
        <v>4.5</v>
      </c>
      <c r="Q267" t="s">
        <v>593</v>
      </c>
      <c r="R267" t="s">
        <v>638</v>
      </c>
    </row>
    <row r="268" spans="1:18" x14ac:dyDescent="0.25">
      <c r="A268" t="s">
        <v>334</v>
      </c>
      <c r="B268" t="s">
        <v>1406</v>
      </c>
      <c r="C268" t="s">
        <v>335</v>
      </c>
      <c r="D268" t="s">
        <v>1639</v>
      </c>
      <c r="E268" t="s">
        <v>336</v>
      </c>
      <c r="F268" t="s">
        <v>1407</v>
      </c>
      <c r="G268" t="s">
        <v>1800</v>
      </c>
      <c r="H268" t="s">
        <v>16</v>
      </c>
      <c r="I268" t="s">
        <v>1577</v>
      </c>
      <c r="J268" t="s">
        <v>1192</v>
      </c>
      <c r="K268" t="s">
        <v>41</v>
      </c>
      <c r="L268" t="s">
        <v>41</v>
      </c>
      <c r="M268" t="s">
        <v>19</v>
      </c>
      <c r="N268">
        <v>330000</v>
      </c>
      <c r="O268" t="s">
        <v>1193</v>
      </c>
      <c r="P268">
        <v>3.8250000000000002</v>
      </c>
      <c r="Q268" t="s">
        <v>565</v>
      </c>
      <c r="R268" t="s">
        <v>639</v>
      </c>
    </row>
    <row r="269" spans="1:18" x14ac:dyDescent="0.25">
      <c r="A269" t="s">
        <v>1558</v>
      </c>
      <c r="B269" t="s">
        <v>1559</v>
      </c>
      <c r="C269" t="s">
        <v>1560</v>
      </c>
      <c r="D269" t="s">
        <v>1640</v>
      </c>
      <c r="E269" t="s">
        <v>1561</v>
      </c>
      <c r="F269" t="s">
        <v>1562</v>
      </c>
      <c r="G269" t="s">
        <v>1801</v>
      </c>
      <c r="H269" t="s">
        <v>1243</v>
      </c>
      <c r="I269" t="s">
        <v>1576</v>
      </c>
      <c r="J269" t="s">
        <v>1244</v>
      </c>
      <c r="K269" t="s">
        <v>1245</v>
      </c>
      <c r="L269" t="s">
        <v>27</v>
      </c>
      <c r="M269" t="s">
        <v>19</v>
      </c>
      <c r="N269">
        <v>1000000</v>
      </c>
      <c r="O269" t="s">
        <v>1193</v>
      </c>
      <c r="P269">
        <v>6</v>
      </c>
      <c r="Q269" t="s">
        <v>564</v>
      </c>
      <c r="R269" t="s">
        <v>1563</v>
      </c>
    </row>
    <row r="270" spans="1:18" x14ac:dyDescent="0.25">
      <c r="A270" t="s">
        <v>337</v>
      </c>
      <c r="B270" t="s">
        <v>1408</v>
      </c>
      <c r="C270" t="s">
        <v>338</v>
      </c>
      <c r="D270" t="s">
        <v>338</v>
      </c>
      <c r="E270" t="s">
        <v>339</v>
      </c>
      <c r="F270" t="s">
        <v>1409</v>
      </c>
      <c r="G270" t="s">
        <v>1802</v>
      </c>
      <c r="H270" t="s">
        <v>1220</v>
      </c>
      <c r="I270" t="s">
        <v>1195</v>
      </c>
      <c r="J270" t="s">
        <v>1310</v>
      </c>
      <c r="K270" t="s">
        <v>42</v>
      </c>
      <c r="L270" t="s">
        <v>42</v>
      </c>
      <c r="M270" t="s">
        <v>19</v>
      </c>
      <c r="N270">
        <v>800000</v>
      </c>
      <c r="O270" t="s">
        <v>1193</v>
      </c>
      <c r="P270">
        <v>2.5</v>
      </c>
      <c r="Q270" t="s">
        <v>565</v>
      </c>
      <c r="R270" t="s">
        <v>580</v>
      </c>
    </row>
    <row r="271" spans="1:18" x14ac:dyDescent="0.25">
      <c r="A271" t="s">
        <v>1951</v>
      </c>
      <c r="B271" t="s">
        <v>1410</v>
      </c>
      <c r="C271" t="s">
        <v>340</v>
      </c>
      <c r="D271" t="s">
        <v>1641</v>
      </c>
      <c r="E271" t="s">
        <v>1952</v>
      </c>
      <c r="F271" t="s">
        <v>1411</v>
      </c>
      <c r="H271" t="s">
        <v>16</v>
      </c>
      <c r="I271" t="s">
        <v>1890</v>
      </c>
      <c r="J271" t="s">
        <v>30</v>
      </c>
      <c r="K271" t="s">
        <v>18</v>
      </c>
      <c r="L271" t="s">
        <v>18</v>
      </c>
      <c r="M271" t="s">
        <v>19</v>
      </c>
      <c r="N271">
        <v>700000</v>
      </c>
      <c r="O271" t="s">
        <v>1193</v>
      </c>
      <c r="P271">
        <v>5.5</v>
      </c>
      <c r="Q271" t="s">
        <v>565</v>
      </c>
      <c r="R271" t="s">
        <v>2469</v>
      </c>
    </row>
    <row r="272" spans="1:18" x14ac:dyDescent="0.25">
      <c r="A272" t="s">
        <v>1184</v>
      </c>
      <c r="B272" t="s">
        <v>1410</v>
      </c>
      <c r="C272" t="s">
        <v>340</v>
      </c>
      <c r="D272" t="s">
        <v>1641</v>
      </c>
      <c r="E272" t="s">
        <v>1187</v>
      </c>
      <c r="F272" t="s">
        <v>1411</v>
      </c>
      <c r="H272" t="s">
        <v>16</v>
      </c>
      <c r="I272" t="s">
        <v>1890</v>
      </c>
      <c r="J272" t="s">
        <v>30</v>
      </c>
      <c r="K272" t="s">
        <v>18</v>
      </c>
      <c r="L272" t="s">
        <v>18</v>
      </c>
      <c r="M272" t="s">
        <v>19</v>
      </c>
      <c r="N272">
        <v>500000</v>
      </c>
      <c r="O272" t="s">
        <v>1193</v>
      </c>
      <c r="P272">
        <v>5.875</v>
      </c>
      <c r="Q272" t="s">
        <v>565</v>
      </c>
      <c r="R272" t="s">
        <v>1189</v>
      </c>
    </row>
    <row r="273" spans="1:18" x14ac:dyDescent="0.25">
      <c r="A273" t="s">
        <v>341</v>
      </c>
      <c r="B273" t="s">
        <v>1412</v>
      </c>
      <c r="C273" t="s">
        <v>342</v>
      </c>
      <c r="D273" t="s">
        <v>1642</v>
      </c>
      <c r="E273" t="s">
        <v>343</v>
      </c>
      <c r="F273" t="s">
        <v>1413</v>
      </c>
      <c r="G273" t="s">
        <v>1803</v>
      </c>
      <c r="H273" t="s">
        <v>1414</v>
      </c>
      <c r="I273" t="s">
        <v>1195</v>
      </c>
      <c r="J273" t="s">
        <v>1415</v>
      </c>
      <c r="K273" t="s">
        <v>42</v>
      </c>
      <c r="L273" t="s">
        <v>42</v>
      </c>
      <c r="M273" t="s">
        <v>19</v>
      </c>
      <c r="N273">
        <v>500000</v>
      </c>
      <c r="O273" t="s">
        <v>1193</v>
      </c>
      <c r="P273">
        <v>2.431</v>
      </c>
      <c r="Q273" t="s">
        <v>581</v>
      </c>
      <c r="R273" t="s">
        <v>2496</v>
      </c>
    </row>
    <row r="274" spans="1:18" x14ac:dyDescent="0.25">
      <c r="A274" t="s">
        <v>344</v>
      </c>
      <c r="B274" t="s">
        <v>1416</v>
      </c>
      <c r="C274" t="s">
        <v>345</v>
      </c>
      <c r="D274" t="s">
        <v>1643</v>
      </c>
      <c r="E274" t="s">
        <v>346</v>
      </c>
      <c r="F274" t="s">
        <v>1417</v>
      </c>
      <c r="G274" t="s">
        <v>1804</v>
      </c>
      <c r="H274" t="s">
        <v>1418</v>
      </c>
      <c r="I274" t="s">
        <v>1195</v>
      </c>
      <c r="J274" t="s">
        <v>1419</v>
      </c>
      <c r="K274" t="s">
        <v>874</v>
      </c>
      <c r="L274" t="s">
        <v>27</v>
      </c>
      <c r="M274" t="s">
        <v>19</v>
      </c>
      <c r="N274">
        <v>500000</v>
      </c>
      <c r="O274" t="s">
        <v>1193</v>
      </c>
      <c r="P274">
        <v>3.2</v>
      </c>
      <c r="Q274" t="s">
        <v>566</v>
      </c>
      <c r="R274" t="s">
        <v>2445</v>
      </c>
    </row>
    <row r="275" spans="1:18" x14ac:dyDescent="0.25">
      <c r="A275" t="s">
        <v>347</v>
      </c>
      <c r="B275" t="s">
        <v>1416</v>
      </c>
      <c r="C275" t="s">
        <v>345</v>
      </c>
      <c r="D275" t="s">
        <v>1643</v>
      </c>
      <c r="E275" t="s">
        <v>348</v>
      </c>
      <c r="F275" t="s">
        <v>1417</v>
      </c>
      <c r="G275" t="s">
        <v>1804</v>
      </c>
      <c r="H275" t="s">
        <v>1418</v>
      </c>
      <c r="I275" t="s">
        <v>1195</v>
      </c>
      <c r="J275" t="s">
        <v>1419</v>
      </c>
      <c r="K275" t="s">
        <v>874</v>
      </c>
      <c r="L275" t="s">
        <v>27</v>
      </c>
      <c r="M275" t="s">
        <v>19</v>
      </c>
      <c r="N275">
        <v>750000</v>
      </c>
      <c r="O275" t="s">
        <v>1193</v>
      </c>
      <c r="P275">
        <v>5.75</v>
      </c>
      <c r="Q275" t="s">
        <v>566</v>
      </c>
      <c r="R275" t="s">
        <v>2497</v>
      </c>
    </row>
    <row r="276" spans="1:18" x14ac:dyDescent="0.25">
      <c r="A276" t="s">
        <v>349</v>
      </c>
      <c r="B276" t="s">
        <v>1416</v>
      </c>
      <c r="C276" t="s">
        <v>345</v>
      </c>
      <c r="D276" t="s">
        <v>1643</v>
      </c>
      <c r="E276" t="s">
        <v>350</v>
      </c>
      <c r="F276" t="s">
        <v>1417</v>
      </c>
      <c r="G276" t="s">
        <v>1804</v>
      </c>
      <c r="H276" t="s">
        <v>1418</v>
      </c>
      <c r="I276" t="s">
        <v>1195</v>
      </c>
      <c r="J276" t="s">
        <v>1419</v>
      </c>
      <c r="K276" t="s">
        <v>874</v>
      </c>
      <c r="L276" t="s">
        <v>27</v>
      </c>
      <c r="M276" t="s">
        <v>19</v>
      </c>
      <c r="N276">
        <v>700000</v>
      </c>
      <c r="O276" t="s">
        <v>1193</v>
      </c>
      <c r="P276">
        <v>7</v>
      </c>
      <c r="Q276" t="s">
        <v>566</v>
      </c>
      <c r="R276" t="s">
        <v>2498</v>
      </c>
    </row>
    <row r="277" spans="1:18" x14ac:dyDescent="0.25">
      <c r="A277" t="s">
        <v>745</v>
      </c>
      <c r="B277" t="s">
        <v>1420</v>
      </c>
      <c r="C277" t="s">
        <v>746</v>
      </c>
      <c r="D277" t="s">
        <v>1644</v>
      </c>
      <c r="E277" t="s">
        <v>747</v>
      </c>
      <c r="F277" t="s">
        <v>1421</v>
      </c>
      <c r="G277" t="s">
        <v>1805</v>
      </c>
      <c r="H277" t="s">
        <v>1220</v>
      </c>
      <c r="I277" t="s">
        <v>1195</v>
      </c>
      <c r="J277" t="s">
        <v>1221</v>
      </c>
      <c r="K277" t="s">
        <v>42</v>
      </c>
      <c r="L277" t="s">
        <v>42</v>
      </c>
      <c r="M277" t="s">
        <v>19</v>
      </c>
      <c r="N277">
        <v>705000</v>
      </c>
      <c r="O277" t="s">
        <v>1193</v>
      </c>
      <c r="P277">
        <v>1.85</v>
      </c>
      <c r="Q277" t="s">
        <v>581</v>
      </c>
      <c r="R277" t="s">
        <v>2499</v>
      </c>
    </row>
    <row r="278" spans="1:18" x14ac:dyDescent="0.25">
      <c r="A278" t="s">
        <v>748</v>
      </c>
      <c r="B278" t="s">
        <v>1420</v>
      </c>
      <c r="C278" t="s">
        <v>746</v>
      </c>
      <c r="D278" t="s">
        <v>1644</v>
      </c>
      <c r="E278" t="s">
        <v>749</v>
      </c>
      <c r="F278" t="s">
        <v>1421</v>
      </c>
      <c r="G278" t="s">
        <v>1805</v>
      </c>
      <c r="H278" t="s">
        <v>1220</v>
      </c>
      <c r="I278" t="s">
        <v>1195</v>
      </c>
      <c r="J278" t="s">
        <v>1221</v>
      </c>
      <c r="K278" t="s">
        <v>42</v>
      </c>
      <c r="L278" t="s">
        <v>42</v>
      </c>
      <c r="M278" t="s">
        <v>19</v>
      </c>
      <c r="N278">
        <v>1250000</v>
      </c>
      <c r="O278" t="s">
        <v>1193</v>
      </c>
      <c r="P278">
        <v>2.75</v>
      </c>
      <c r="Q278" t="s">
        <v>581</v>
      </c>
      <c r="R278" t="s">
        <v>633</v>
      </c>
    </row>
    <row r="279" spans="1:18" x14ac:dyDescent="0.25">
      <c r="A279" t="s">
        <v>750</v>
      </c>
      <c r="B279" t="s">
        <v>1420</v>
      </c>
      <c r="C279" t="s">
        <v>746</v>
      </c>
      <c r="D279" t="s">
        <v>1644</v>
      </c>
      <c r="E279" t="s">
        <v>751</v>
      </c>
      <c r="F279" t="s">
        <v>1421</v>
      </c>
      <c r="G279" t="s">
        <v>1805</v>
      </c>
      <c r="H279" t="s">
        <v>1220</v>
      </c>
      <c r="I279" t="s">
        <v>1195</v>
      </c>
      <c r="J279" t="s">
        <v>1221</v>
      </c>
      <c r="K279" t="s">
        <v>42</v>
      </c>
      <c r="L279" t="s">
        <v>42</v>
      </c>
      <c r="M279" t="s">
        <v>19</v>
      </c>
      <c r="N279">
        <v>600000</v>
      </c>
      <c r="O279" t="s">
        <v>1193</v>
      </c>
      <c r="P279">
        <v>5.25</v>
      </c>
      <c r="Q279" t="s">
        <v>581</v>
      </c>
      <c r="R279" t="s">
        <v>752</v>
      </c>
    </row>
    <row r="280" spans="1:18" x14ac:dyDescent="0.25">
      <c r="A280" t="s">
        <v>1703</v>
      </c>
      <c r="B280" t="s">
        <v>1420</v>
      </c>
      <c r="C280" t="s">
        <v>746</v>
      </c>
      <c r="D280" t="s">
        <v>1644</v>
      </c>
      <c r="E280" t="s">
        <v>1704</v>
      </c>
      <c r="F280" t="s">
        <v>1421</v>
      </c>
      <c r="G280" t="s">
        <v>1805</v>
      </c>
      <c r="H280" t="s">
        <v>1220</v>
      </c>
      <c r="I280" t="s">
        <v>1195</v>
      </c>
      <c r="J280" t="s">
        <v>1221</v>
      </c>
      <c r="K280" t="s">
        <v>42</v>
      </c>
      <c r="L280" t="s">
        <v>42</v>
      </c>
      <c r="M280" t="s">
        <v>19</v>
      </c>
      <c r="N280">
        <v>500000</v>
      </c>
      <c r="O280" t="s">
        <v>1193</v>
      </c>
      <c r="P280">
        <v>5.0999999999999996</v>
      </c>
      <c r="Q280" t="s">
        <v>581</v>
      </c>
      <c r="R280" t="s">
        <v>2500</v>
      </c>
    </row>
    <row r="281" spans="1:18" x14ac:dyDescent="0.25">
      <c r="A281" t="s">
        <v>351</v>
      </c>
      <c r="B281" t="s">
        <v>1422</v>
      </c>
      <c r="C281" t="s">
        <v>353</v>
      </c>
      <c r="D281" t="s">
        <v>352</v>
      </c>
      <c r="E281" t="s">
        <v>354</v>
      </c>
      <c r="F281" t="s">
        <v>355</v>
      </c>
      <c r="H281" t="s">
        <v>101</v>
      </c>
      <c r="I281" t="s">
        <v>1195</v>
      </c>
      <c r="J281" t="s">
        <v>102</v>
      </c>
      <c r="K281" t="s">
        <v>1245</v>
      </c>
      <c r="L281" t="s">
        <v>18</v>
      </c>
      <c r="M281" t="s">
        <v>19</v>
      </c>
      <c r="N281">
        <v>563175</v>
      </c>
      <c r="O281" t="s">
        <v>1193</v>
      </c>
      <c r="P281">
        <v>4.3499999999999996</v>
      </c>
      <c r="Q281" t="s">
        <v>565</v>
      </c>
      <c r="R281" t="s">
        <v>2501</v>
      </c>
    </row>
    <row r="282" spans="1:18" x14ac:dyDescent="0.25">
      <c r="A282" t="s">
        <v>356</v>
      </c>
      <c r="B282" t="s">
        <v>1422</v>
      </c>
      <c r="C282" t="s">
        <v>353</v>
      </c>
      <c r="D282" t="s">
        <v>352</v>
      </c>
      <c r="E282" t="s">
        <v>357</v>
      </c>
      <c r="F282" t="s">
        <v>355</v>
      </c>
      <c r="H282" t="s">
        <v>101</v>
      </c>
      <c r="I282" t="s">
        <v>1195</v>
      </c>
      <c r="J282" t="s">
        <v>102</v>
      </c>
      <c r="K282" t="s">
        <v>1245</v>
      </c>
      <c r="L282" t="s">
        <v>18</v>
      </c>
      <c r="M282" t="s">
        <v>19</v>
      </c>
      <c r="N282">
        <v>1154923</v>
      </c>
      <c r="O282" t="s">
        <v>1193</v>
      </c>
      <c r="P282">
        <v>5.875</v>
      </c>
      <c r="Q282" t="s">
        <v>565</v>
      </c>
      <c r="R282" t="s">
        <v>2502</v>
      </c>
    </row>
    <row r="283" spans="1:18" x14ac:dyDescent="0.25">
      <c r="A283" t="s">
        <v>2296</v>
      </c>
      <c r="B283" t="s">
        <v>1423</v>
      </c>
      <c r="C283" t="s">
        <v>358</v>
      </c>
      <c r="D283" t="s">
        <v>1645</v>
      </c>
      <c r="E283" t="s">
        <v>2297</v>
      </c>
      <c r="F283" t="s">
        <v>1424</v>
      </c>
      <c r="G283" t="s">
        <v>1806</v>
      </c>
      <c r="H283" t="s">
        <v>1227</v>
      </c>
      <c r="I283" t="s">
        <v>1195</v>
      </c>
      <c r="J283" t="s">
        <v>1274</v>
      </c>
      <c r="K283" t="s">
        <v>42</v>
      </c>
      <c r="L283" t="s">
        <v>42</v>
      </c>
      <c r="M283" t="s">
        <v>19</v>
      </c>
      <c r="N283">
        <v>500000</v>
      </c>
      <c r="O283" t="s">
        <v>1193</v>
      </c>
      <c r="P283">
        <v>5.75</v>
      </c>
      <c r="Q283" t="s">
        <v>562</v>
      </c>
      <c r="R283" t="s">
        <v>2503</v>
      </c>
    </row>
    <row r="284" spans="1:18" x14ac:dyDescent="0.25">
      <c r="A284" t="s">
        <v>1176</v>
      </c>
      <c r="B284" t="s">
        <v>1423</v>
      </c>
      <c r="C284" t="s">
        <v>358</v>
      </c>
      <c r="D284" t="s">
        <v>1645</v>
      </c>
      <c r="E284" t="s">
        <v>1177</v>
      </c>
      <c r="F284" t="s">
        <v>1424</v>
      </c>
      <c r="G284" t="s">
        <v>1806</v>
      </c>
      <c r="H284" t="s">
        <v>1227</v>
      </c>
      <c r="I284" t="s">
        <v>1195</v>
      </c>
      <c r="J284" t="s">
        <v>1274</v>
      </c>
      <c r="K284" t="s">
        <v>42</v>
      </c>
      <c r="L284" t="s">
        <v>42</v>
      </c>
      <c r="M284" t="s">
        <v>19</v>
      </c>
      <c r="N284">
        <v>500000</v>
      </c>
      <c r="O284" t="s">
        <v>1193</v>
      </c>
      <c r="P284">
        <v>6.2549999999999999</v>
      </c>
      <c r="Q284" t="s">
        <v>562</v>
      </c>
      <c r="R284" t="s">
        <v>1178</v>
      </c>
    </row>
    <row r="285" spans="1:18" x14ac:dyDescent="0.25">
      <c r="A285" t="s">
        <v>1179</v>
      </c>
      <c r="B285" t="s">
        <v>1423</v>
      </c>
      <c r="C285" t="s">
        <v>358</v>
      </c>
      <c r="D285" t="s">
        <v>1645</v>
      </c>
      <c r="E285" t="s">
        <v>1180</v>
      </c>
      <c r="F285" t="s">
        <v>1424</v>
      </c>
      <c r="G285" t="s">
        <v>1806</v>
      </c>
      <c r="H285" t="s">
        <v>1227</v>
      </c>
      <c r="I285" t="s">
        <v>1195</v>
      </c>
      <c r="J285" t="s">
        <v>1274</v>
      </c>
      <c r="K285" t="s">
        <v>42</v>
      </c>
      <c r="L285" t="s">
        <v>42</v>
      </c>
      <c r="M285" t="s">
        <v>19</v>
      </c>
      <c r="N285">
        <v>500000</v>
      </c>
      <c r="O285" t="s">
        <v>1193</v>
      </c>
      <c r="P285">
        <v>6.6580000000000004</v>
      </c>
      <c r="Q285" t="s">
        <v>562</v>
      </c>
      <c r="R285" t="s">
        <v>1181</v>
      </c>
    </row>
    <row r="286" spans="1:18" x14ac:dyDescent="0.25">
      <c r="A286" t="s">
        <v>1094</v>
      </c>
      <c r="B286" t="s">
        <v>1095</v>
      </c>
      <c r="C286" t="s">
        <v>1096</v>
      </c>
      <c r="D286" t="s">
        <v>1097</v>
      </c>
      <c r="E286" t="s">
        <v>1098</v>
      </c>
      <c r="F286" t="s">
        <v>1099</v>
      </c>
      <c r="G286" t="s">
        <v>1807</v>
      </c>
      <c r="H286" t="s">
        <v>1016</v>
      </c>
      <c r="I286" t="s">
        <v>1195</v>
      </c>
      <c r="J286" t="s">
        <v>1017</v>
      </c>
      <c r="K286" t="s">
        <v>874</v>
      </c>
      <c r="L286" t="s">
        <v>27</v>
      </c>
      <c r="M286" t="s">
        <v>19</v>
      </c>
      <c r="N286">
        <v>650000</v>
      </c>
      <c r="O286" t="s">
        <v>1193</v>
      </c>
      <c r="P286">
        <v>7.95</v>
      </c>
      <c r="Q286" t="s">
        <v>569</v>
      </c>
      <c r="R286" t="s">
        <v>1114</v>
      </c>
    </row>
    <row r="287" spans="1:18" x14ac:dyDescent="0.25">
      <c r="A287" t="s">
        <v>1877</v>
      </c>
      <c r="B287" t="s">
        <v>1425</v>
      </c>
      <c r="C287" t="s">
        <v>867</v>
      </c>
      <c r="D287" t="s">
        <v>1646</v>
      </c>
      <c r="E287" t="s">
        <v>1878</v>
      </c>
      <c r="F287" t="s">
        <v>1426</v>
      </c>
      <c r="G287" t="s">
        <v>1808</v>
      </c>
      <c r="H287" t="s">
        <v>1012</v>
      </c>
      <c r="I287" t="s">
        <v>1195</v>
      </c>
      <c r="J287" t="s">
        <v>1012</v>
      </c>
      <c r="K287" t="s">
        <v>31</v>
      </c>
      <c r="L287" t="s">
        <v>31</v>
      </c>
      <c r="M287" t="s">
        <v>19</v>
      </c>
      <c r="N287">
        <v>800000</v>
      </c>
      <c r="O287" t="s">
        <v>1193</v>
      </c>
      <c r="P287">
        <v>7.625</v>
      </c>
      <c r="Q287" t="s">
        <v>566</v>
      </c>
      <c r="R287" t="s">
        <v>2504</v>
      </c>
    </row>
    <row r="288" spans="1:18" x14ac:dyDescent="0.25">
      <c r="A288" t="s">
        <v>359</v>
      </c>
      <c r="B288" t="s">
        <v>1427</v>
      </c>
      <c r="C288" t="s">
        <v>360</v>
      </c>
      <c r="D288" t="s">
        <v>1647</v>
      </c>
      <c r="E288" t="s">
        <v>361</v>
      </c>
      <c r="F288" t="s">
        <v>1428</v>
      </c>
      <c r="G288" t="s">
        <v>1809</v>
      </c>
      <c r="H288" t="s">
        <v>1429</v>
      </c>
      <c r="I288" t="s">
        <v>1195</v>
      </c>
      <c r="J288" t="s">
        <v>1430</v>
      </c>
      <c r="K288" t="s">
        <v>42</v>
      </c>
      <c r="L288" t="s">
        <v>42</v>
      </c>
      <c r="M288" t="s">
        <v>19</v>
      </c>
      <c r="N288">
        <v>370000</v>
      </c>
      <c r="O288" t="s">
        <v>1193</v>
      </c>
      <c r="P288">
        <v>5.6</v>
      </c>
      <c r="Q288" t="s">
        <v>562</v>
      </c>
      <c r="R288" t="s">
        <v>640</v>
      </c>
    </row>
    <row r="289" spans="1:18" x14ac:dyDescent="0.25">
      <c r="A289" t="s">
        <v>2206</v>
      </c>
      <c r="B289" t="s">
        <v>2207</v>
      </c>
      <c r="C289" t="s">
        <v>2208</v>
      </c>
      <c r="D289" t="s">
        <v>2208</v>
      </c>
      <c r="E289" t="s">
        <v>2209</v>
      </c>
      <c r="F289" t="s">
        <v>2210</v>
      </c>
      <c r="G289" t="s">
        <v>1812</v>
      </c>
      <c r="H289" t="s">
        <v>1224</v>
      </c>
      <c r="I289" t="s">
        <v>1195</v>
      </c>
      <c r="J289" t="s">
        <v>1225</v>
      </c>
      <c r="K289" t="s">
        <v>18</v>
      </c>
      <c r="L289" t="s">
        <v>18</v>
      </c>
      <c r="M289" t="s">
        <v>19</v>
      </c>
      <c r="N289">
        <v>400000</v>
      </c>
      <c r="O289" t="s">
        <v>1193</v>
      </c>
      <c r="P289">
        <v>5.75</v>
      </c>
      <c r="Q289" t="s">
        <v>566</v>
      </c>
      <c r="R289" t="s">
        <v>2211</v>
      </c>
    </row>
    <row r="290" spans="1:18" x14ac:dyDescent="0.25">
      <c r="A290" t="s">
        <v>362</v>
      </c>
      <c r="B290" t="s">
        <v>1431</v>
      </c>
      <c r="C290" t="s">
        <v>364</v>
      </c>
      <c r="D290" t="s">
        <v>363</v>
      </c>
      <c r="E290" t="s">
        <v>365</v>
      </c>
      <c r="F290" t="s">
        <v>366</v>
      </c>
      <c r="G290" t="s">
        <v>2593</v>
      </c>
      <c r="H290" t="s">
        <v>221</v>
      </c>
      <c r="I290" t="s">
        <v>1195</v>
      </c>
      <c r="J290" t="s">
        <v>228</v>
      </c>
      <c r="K290" t="s">
        <v>871</v>
      </c>
      <c r="L290" t="s">
        <v>27</v>
      </c>
      <c r="M290" t="s">
        <v>19</v>
      </c>
      <c r="N290">
        <v>1800000</v>
      </c>
      <c r="O290" t="s">
        <v>1193</v>
      </c>
      <c r="P290">
        <v>7.25</v>
      </c>
      <c r="Q290" t="s">
        <v>576</v>
      </c>
      <c r="R290" t="s">
        <v>641</v>
      </c>
    </row>
    <row r="291" spans="1:18" x14ac:dyDescent="0.25">
      <c r="A291" t="s">
        <v>754</v>
      </c>
      <c r="B291" t="s">
        <v>1432</v>
      </c>
      <c r="C291" t="s">
        <v>753</v>
      </c>
      <c r="D291" t="s">
        <v>753</v>
      </c>
      <c r="E291" t="s">
        <v>755</v>
      </c>
      <c r="F291" t="s">
        <v>1433</v>
      </c>
      <c r="G291" t="s">
        <v>1810</v>
      </c>
      <c r="H291" t="s">
        <v>1434</v>
      </c>
      <c r="I291" t="s">
        <v>1195</v>
      </c>
      <c r="J291" t="s">
        <v>1435</v>
      </c>
      <c r="K291" t="s">
        <v>1229</v>
      </c>
      <c r="L291" t="s">
        <v>27</v>
      </c>
      <c r="M291" t="s">
        <v>19</v>
      </c>
      <c r="N291">
        <v>700000</v>
      </c>
      <c r="O291" t="s">
        <v>1193</v>
      </c>
      <c r="P291">
        <v>3.125</v>
      </c>
      <c r="Q291" t="s">
        <v>565</v>
      </c>
      <c r="R291" t="s">
        <v>756</v>
      </c>
    </row>
    <row r="292" spans="1:18" x14ac:dyDescent="0.25">
      <c r="A292" t="s">
        <v>2070</v>
      </c>
      <c r="B292" t="s">
        <v>1432</v>
      </c>
      <c r="C292" t="s">
        <v>753</v>
      </c>
      <c r="D292" t="s">
        <v>753</v>
      </c>
      <c r="E292" t="s">
        <v>2071</v>
      </c>
      <c r="F292" t="s">
        <v>1433</v>
      </c>
      <c r="G292" t="s">
        <v>1810</v>
      </c>
      <c r="H292" t="s">
        <v>1434</v>
      </c>
      <c r="I292" t="s">
        <v>1195</v>
      </c>
      <c r="J292" t="s">
        <v>1435</v>
      </c>
      <c r="K292" t="s">
        <v>1229</v>
      </c>
      <c r="L292" t="s">
        <v>27</v>
      </c>
      <c r="M292" t="s">
        <v>19</v>
      </c>
      <c r="N292">
        <v>750000</v>
      </c>
      <c r="O292" t="s">
        <v>1193</v>
      </c>
      <c r="P292">
        <v>4.9000000000000004</v>
      </c>
      <c r="Q292" t="s">
        <v>565</v>
      </c>
      <c r="R292" t="s">
        <v>2072</v>
      </c>
    </row>
    <row r="293" spans="1:18" x14ac:dyDescent="0.25">
      <c r="A293" t="s">
        <v>367</v>
      </c>
      <c r="B293" t="s">
        <v>1436</v>
      </c>
      <c r="C293" t="s">
        <v>368</v>
      </c>
      <c r="D293" t="s">
        <v>368</v>
      </c>
      <c r="E293" t="s">
        <v>369</v>
      </c>
      <c r="F293" t="s">
        <v>1437</v>
      </c>
      <c r="H293" t="s">
        <v>1404</v>
      </c>
      <c r="I293" t="s">
        <v>1195</v>
      </c>
      <c r="J293" t="s">
        <v>1405</v>
      </c>
      <c r="K293" t="s">
        <v>42</v>
      </c>
      <c r="L293" t="s">
        <v>42</v>
      </c>
      <c r="M293" t="s">
        <v>19</v>
      </c>
      <c r="N293">
        <v>300000</v>
      </c>
      <c r="O293" t="s">
        <v>1193</v>
      </c>
      <c r="P293">
        <v>3.75</v>
      </c>
      <c r="Q293" t="s">
        <v>566</v>
      </c>
      <c r="R293" t="s">
        <v>2505</v>
      </c>
    </row>
    <row r="294" spans="1:18" x14ac:dyDescent="0.25">
      <c r="A294" t="s">
        <v>373</v>
      </c>
      <c r="B294" t="s">
        <v>1438</v>
      </c>
      <c r="C294" t="s">
        <v>371</v>
      </c>
      <c r="D294" t="s">
        <v>1648</v>
      </c>
      <c r="E294" t="s">
        <v>374</v>
      </c>
      <c r="F294" t="s">
        <v>1439</v>
      </c>
      <c r="G294" t="s">
        <v>1811</v>
      </c>
      <c r="H294" t="s">
        <v>65</v>
      </c>
      <c r="I294" t="s">
        <v>1577</v>
      </c>
      <c r="J294" t="s">
        <v>1440</v>
      </c>
      <c r="K294" t="s">
        <v>42</v>
      </c>
      <c r="L294" t="s">
        <v>42</v>
      </c>
      <c r="M294" t="s">
        <v>19</v>
      </c>
      <c r="N294">
        <v>3000000</v>
      </c>
      <c r="O294" t="s">
        <v>1193</v>
      </c>
      <c r="P294">
        <v>5.5</v>
      </c>
      <c r="Q294" t="s">
        <v>565</v>
      </c>
      <c r="R294" t="s">
        <v>642</v>
      </c>
    </row>
    <row r="295" spans="1:18" x14ac:dyDescent="0.25">
      <c r="A295" t="s">
        <v>375</v>
      </c>
      <c r="B295" t="s">
        <v>1438</v>
      </c>
      <c r="C295" t="s">
        <v>371</v>
      </c>
      <c r="D295" t="s">
        <v>1648</v>
      </c>
      <c r="E295" t="s">
        <v>376</v>
      </c>
      <c r="F295" t="s">
        <v>1439</v>
      </c>
      <c r="G295" t="s">
        <v>1811</v>
      </c>
      <c r="H295" t="s">
        <v>65</v>
      </c>
      <c r="I295" t="s">
        <v>1577</v>
      </c>
      <c r="J295" t="s">
        <v>1440</v>
      </c>
      <c r="K295" t="s">
        <v>42</v>
      </c>
      <c r="L295" t="s">
        <v>42</v>
      </c>
      <c r="M295" t="s">
        <v>19</v>
      </c>
      <c r="N295">
        <v>1000000</v>
      </c>
      <c r="O295" t="s">
        <v>1193</v>
      </c>
      <c r="P295">
        <v>5.5</v>
      </c>
      <c r="Q295" t="s">
        <v>565</v>
      </c>
      <c r="R295" t="s">
        <v>643</v>
      </c>
    </row>
    <row r="296" spans="1:18" x14ac:dyDescent="0.25">
      <c r="A296" t="s">
        <v>2391</v>
      </c>
      <c r="B296" t="s">
        <v>2392</v>
      </c>
      <c r="C296" t="s">
        <v>2393</v>
      </c>
      <c r="D296" t="s">
        <v>2393</v>
      </c>
      <c r="E296" t="s">
        <v>2394</v>
      </c>
      <c r="F296" t="s">
        <v>2395</v>
      </c>
      <c r="G296" t="s">
        <v>2416</v>
      </c>
      <c r="H296" t="s">
        <v>1243</v>
      </c>
      <c r="I296" t="s">
        <v>1576</v>
      </c>
      <c r="J296" t="s">
        <v>1244</v>
      </c>
      <c r="K296" t="s">
        <v>42</v>
      </c>
      <c r="L296" t="s">
        <v>42</v>
      </c>
      <c r="M296" t="s">
        <v>19</v>
      </c>
      <c r="N296">
        <v>300000</v>
      </c>
      <c r="O296" t="s">
        <v>1193</v>
      </c>
      <c r="P296">
        <v>9.25</v>
      </c>
      <c r="Q296" t="s">
        <v>2195</v>
      </c>
    </row>
    <row r="297" spans="1:18" x14ac:dyDescent="0.25">
      <c r="A297" t="s">
        <v>377</v>
      </c>
      <c r="B297" t="s">
        <v>1441</v>
      </c>
      <c r="C297" t="s">
        <v>378</v>
      </c>
      <c r="D297" t="s">
        <v>378</v>
      </c>
      <c r="E297" t="s">
        <v>379</v>
      </c>
      <c r="F297" t="s">
        <v>1442</v>
      </c>
      <c r="G297" t="s">
        <v>1812</v>
      </c>
      <c r="H297" t="s">
        <v>1224</v>
      </c>
      <c r="I297" t="s">
        <v>1195</v>
      </c>
      <c r="J297" t="s">
        <v>1313</v>
      </c>
      <c r="K297" t="s">
        <v>18</v>
      </c>
      <c r="L297" t="s">
        <v>18</v>
      </c>
      <c r="M297" t="s">
        <v>19</v>
      </c>
      <c r="N297">
        <v>500000</v>
      </c>
      <c r="O297" t="s">
        <v>1193</v>
      </c>
      <c r="P297">
        <v>4.5</v>
      </c>
      <c r="Q297" t="s">
        <v>566</v>
      </c>
      <c r="R297" t="s">
        <v>644</v>
      </c>
    </row>
    <row r="298" spans="1:18" x14ac:dyDescent="0.25">
      <c r="A298" t="s">
        <v>2318</v>
      </c>
      <c r="B298" t="s">
        <v>2319</v>
      </c>
      <c r="C298" t="s">
        <v>2320</v>
      </c>
      <c r="D298" t="s">
        <v>2321</v>
      </c>
      <c r="E298" t="s">
        <v>2322</v>
      </c>
      <c r="F298" t="s">
        <v>2323</v>
      </c>
      <c r="G298" t="s">
        <v>2324</v>
      </c>
      <c r="H298" t="s">
        <v>138</v>
      </c>
      <c r="I298" t="s">
        <v>1577</v>
      </c>
      <c r="J298" t="s">
        <v>1015</v>
      </c>
      <c r="K298" t="s">
        <v>18</v>
      </c>
      <c r="L298" t="s">
        <v>18</v>
      </c>
      <c r="M298" t="s">
        <v>19</v>
      </c>
      <c r="N298">
        <v>400000</v>
      </c>
      <c r="O298" t="s">
        <v>1193</v>
      </c>
      <c r="P298">
        <v>5.4</v>
      </c>
      <c r="Q298" t="s">
        <v>562</v>
      </c>
      <c r="R298" t="s">
        <v>2325</v>
      </c>
    </row>
    <row r="299" spans="1:18" x14ac:dyDescent="0.25">
      <c r="A299" t="s">
        <v>1555</v>
      </c>
      <c r="B299" t="s">
        <v>1506</v>
      </c>
      <c r="C299" t="s">
        <v>499</v>
      </c>
      <c r="D299" t="s">
        <v>1649</v>
      </c>
      <c r="E299" t="s">
        <v>500</v>
      </c>
      <c r="F299" t="s">
        <v>1564</v>
      </c>
      <c r="G299" t="s">
        <v>1851</v>
      </c>
      <c r="H299" t="s">
        <v>1218</v>
      </c>
      <c r="I299" t="s">
        <v>1195</v>
      </c>
      <c r="J299" t="s">
        <v>1219</v>
      </c>
      <c r="K299" t="s">
        <v>31</v>
      </c>
      <c r="L299" t="s">
        <v>31</v>
      </c>
      <c r="M299" t="s">
        <v>19</v>
      </c>
      <c r="N299">
        <v>500000</v>
      </c>
      <c r="O299" t="s">
        <v>1193</v>
      </c>
      <c r="P299">
        <v>3.5369999999999999</v>
      </c>
      <c r="Q299" t="s">
        <v>569</v>
      </c>
      <c r="R299" t="s">
        <v>670</v>
      </c>
    </row>
    <row r="300" spans="1:18" x14ac:dyDescent="0.25">
      <c r="A300" t="s">
        <v>380</v>
      </c>
      <c r="B300" t="s">
        <v>1443</v>
      </c>
      <c r="C300" t="s">
        <v>381</v>
      </c>
      <c r="D300" t="s">
        <v>381</v>
      </c>
      <c r="E300" t="s">
        <v>382</v>
      </c>
      <c r="F300" t="s">
        <v>1444</v>
      </c>
      <c r="G300" t="s">
        <v>1813</v>
      </c>
      <c r="H300" t="s">
        <v>1445</v>
      </c>
      <c r="I300" t="s">
        <v>1195</v>
      </c>
      <c r="J300" t="s">
        <v>1446</v>
      </c>
      <c r="K300" t="s">
        <v>871</v>
      </c>
      <c r="L300" t="s">
        <v>27</v>
      </c>
      <c r="M300" t="s">
        <v>19</v>
      </c>
      <c r="N300">
        <v>800000</v>
      </c>
      <c r="O300" t="s">
        <v>1193</v>
      </c>
      <c r="P300">
        <v>5.25</v>
      </c>
      <c r="Q300" t="s">
        <v>569</v>
      </c>
      <c r="R300" t="s">
        <v>2493</v>
      </c>
    </row>
    <row r="301" spans="1:18" x14ac:dyDescent="0.25">
      <c r="A301" t="s">
        <v>999</v>
      </c>
      <c r="B301" t="s">
        <v>1443</v>
      </c>
      <c r="C301" t="s">
        <v>381</v>
      </c>
      <c r="D301" t="s">
        <v>381</v>
      </c>
      <c r="E301" t="s">
        <v>1000</v>
      </c>
      <c r="F301" t="s">
        <v>1444</v>
      </c>
      <c r="G301" t="s">
        <v>1813</v>
      </c>
      <c r="H301" t="s">
        <v>1445</v>
      </c>
      <c r="I301" t="s">
        <v>1195</v>
      </c>
      <c r="J301" t="s">
        <v>1446</v>
      </c>
      <c r="K301" t="s">
        <v>871</v>
      </c>
      <c r="L301" t="s">
        <v>27</v>
      </c>
      <c r="M301" t="s">
        <v>19</v>
      </c>
      <c r="N301">
        <v>500000</v>
      </c>
      <c r="O301" t="s">
        <v>1193</v>
      </c>
      <c r="P301">
        <v>7.85</v>
      </c>
      <c r="Q301" t="s">
        <v>569</v>
      </c>
      <c r="R301" t="s">
        <v>2506</v>
      </c>
    </row>
    <row r="302" spans="1:18" x14ac:dyDescent="0.25">
      <c r="A302" t="s">
        <v>2406</v>
      </c>
      <c r="B302" t="s">
        <v>1443</v>
      </c>
      <c r="C302" t="s">
        <v>381</v>
      </c>
      <c r="D302" t="s">
        <v>381</v>
      </c>
      <c r="E302" t="s">
        <v>2407</v>
      </c>
      <c r="F302" t="s">
        <v>1444</v>
      </c>
      <c r="G302" t="s">
        <v>1813</v>
      </c>
      <c r="H302" t="s">
        <v>1445</v>
      </c>
      <c r="I302" t="s">
        <v>1195</v>
      </c>
      <c r="J302" t="s">
        <v>1446</v>
      </c>
      <c r="K302" t="s">
        <v>871</v>
      </c>
      <c r="L302" t="s">
        <v>27</v>
      </c>
      <c r="M302" t="s">
        <v>19</v>
      </c>
      <c r="N302">
        <v>350000</v>
      </c>
      <c r="O302" t="s">
        <v>1193</v>
      </c>
      <c r="P302">
        <v>9.6999999999999993</v>
      </c>
      <c r="Q302" t="s">
        <v>569</v>
      </c>
      <c r="R302" t="s">
        <v>2507</v>
      </c>
    </row>
    <row r="303" spans="1:18" x14ac:dyDescent="0.25">
      <c r="A303" t="s">
        <v>383</v>
      </c>
      <c r="B303" t="s">
        <v>1447</v>
      </c>
      <c r="C303" t="s">
        <v>384</v>
      </c>
      <c r="D303" t="s">
        <v>384</v>
      </c>
      <c r="E303" t="s">
        <v>385</v>
      </c>
      <c r="F303" t="s">
        <v>1448</v>
      </c>
      <c r="G303" t="s">
        <v>2020</v>
      </c>
      <c r="H303" t="s">
        <v>1200</v>
      </c>
      <c r="I303" t="s">
        <v>1195</v>
      </c>
      <c r="J303" t="s">
        <v>1201</v>
      </c>
      <c r="K303" t="s">
        <v>875</v>
      </c>
      <c r="L303" t="s">
        <v>27</v>
      </c>
      <c r="M303" t="s">
        <v>19</v>
      </c>
      <c r="N303">
        <v>1500000</v>
      </c>
      <c r="O303" t="s">
        <v>1193</v>
      </c>
      <c r="P303">
        <v>3.95</v>
      </c>
      <c r="Q303" t="s">
        <v>566</v>
      </c>
      <c r="R303" t="s">
        <v>645</v>
      </c>
    </row>
    <row r="304" spans="1:18" x14ac:dyDescent="0.25">
      <c r="A304" t="s">
        <v>2341</v>
      </c>
      <c r="B304" t="s">
        <v>2342</v>
      </c>
      <c r="C304" t="s">
        <v>2343</v>
      </c>
      <c r="D304" t="s">
        <v>2344</v>
      </c>
      <c r="E304" t="s">
        <v>2345</v>
      </c>
      <c r="F304" t="s">
        <v>2346</v>
      </c>
      <c r="H304" t="s">
        <v>1218</v>
      </c>
      <c r="I304" t="s">
        <v>1195</v>
      </c>
      <c r="J304" t="s">
        <v>2231</v>
      </c>
      <c r="K304" t="s">
        <v>31</v>
      </c>
      <c r="L304" t="s">
        <v>31</v>
      </c>
      <c r="M304" t="s">
        <v>19</v>
      </c>
      <c r="N304">
        <v>435000</v>
      </c>
      <c r="O304" t="s">
        <v>1193</v>
      </c>
      <c r="P304">
        <v>7.95</v>
      </c>
      <c r="Q304" t="s">
        <v>569</v>
      </c>
      <c r="R304" t="s">
        <v>2347</v>
      </c>
    </row>
    <row r="305" spans="1:18" x14ac:dyDescent="0.25">
      <c r="A305" t="s">
        <v>386</v>
      </c>
      <c r="B305" t="s">
        <v>1449</v>
      </c>
      <c r="C305" t="s">
        <v>387</v>
      </c>
      <c r="D305" t="s">
        <v>387</v>
      </c>
      <c r="E305" t="s">
        <v>388</v>
      </c>
      <c r="F305" t="s">
        <v>389</v>
      </c>
      <c r="H305" t="s">
        <v>101</v>
      </c>
      <c r="I305" t="s">
        <v>1195</v>
      </c>
      <c r="J305" t="s">
        <v>310</v>
      </c>
      <c r="K305" t="s">
        <v>873</v>
      </c>
      <c r="L305" t="s">
        <v>27</v>
      </c>
      <c r="M305" t="s">
        <v>19</v>
      </c>
      <c r="N305">
        <v>1100000</v>
      </c>
      <c r="O305" t="s">
        <v>1193</v>
      </c>
      <c r="P305">
        <v>6.7480000000000002</v>
      </c>
      <c r="Q305" t="s">
        <v>565</v>
      </c>
      <c r="R305" t="s">
        <v>2508</v>
      </c>
    </row>
    <row r="306" spans="1:18" x14ac:dyDescent="0.25">
      <c r="A306" t="s">
        <v>392</v>
      </c>
      <c r="B306" t="s">
        <v>1450</v>
      </c>
      <c r="C306" t="s">
        <v>393</v>
      </c>
      <c r="D306" t="s">
        <v>1650</v>
      </c>
      <c r="E306" t="s">
        <v>394</v>
      </c>
      <c r="F306" t="s">
        <v>1451</v>
      </c>
      <c r="G306" t="s">
        <v>2328</v>
      </c>
      <c r="H306" t="s">
        <v>1452</v>
      </c>
      <c r="I306" t="s">
        <v>1195</v>
      </c>
      <c r="J306" t="s">
        <v>1453</v>
      </c>
      <c r="K306" t="s">
        <v>871</v>
      </c>
      <c r="L306" t="s">
        <v>27</v>
      </c>
      <c r="M306" t="s">
        <v>19</v>
      </c>
      <c r="N306">
        <v>600000</v>
      </c>
      <c r="O306" t="s">
        <v>1193</v>
      </c>
      <c r="P306">
        <v>6</v>
      </c>
      <c r="Q306" t="s">
        <v>564</v>
      </c>
      <c r="R306" t="s">
        <v>646</v>
      </c>
    </row>
    <row r="307" spans="1:18" x14ac:dyDescent="0.25">
      <c r="A307" t="s">
        <v>983</v>
      </c>
      <c r="B307" t="s">
        <v>1454</v>
      </c>
      <c r="C307" t="s">
        <v>395</v>
      </c>
      <c r="D307" t="s">
        <v>1651</v>
      </c>
      <c r="E307" t="s">
        <v>984</v>
      </c>
      <c r="F307" t="s">
        <v>1455</v>
      </c>
      <c r="G307" t="s">
        <v>1815</v>
      </c>
      <c r="H307" t="s">
        <v>1224</v>
      </c>
      <c r="I307" t="s">
        <v>1195</v>
      </c>
      <c r="J307" t="s">
        <v>1313</v>
      </c>
      <c r="K307" t="s">
        <v>27</v>
      </c>
      <c r="L307" t="s">
        <v>27</v>
      </c>
      <c r="M307" t="s">
        <v>19</v>
      </c>
      <c r="N307">
        <v>600000</v>
      </c>
      <c r="O307" t="s">
        <v>1193</v>
      </c>
      <c r="P307">
        <v>6.75</v>
      </c>
      <c r="Q307" t="s">
        <v>565</v>
      </c>
      <c r="R307" t="s">
        <v>2509</v>
      </c>
    </row>
    <row r="308" spans="1:18" x14ac:dyDescent="0.25">
      <c r="A308" t="s">
        <v>1652</v>
      </c>
      <c r="B308" t="s">
        <v>1454</v>
      </c>
      <c r="C308" t="s">
        <v>395</v>
      </c>
      <c r="D308" t="s">
        <v>1651</v>
      </c>
      <c r="E308" t="s">
        <v>1653</v>
      </c>
      <c r="F308" t="s">
        <v>1455</v>
      </c>
      <c r="G308" t="s">
        <v>1815</v>
      </c>
      <c r="H308" t="s">
        <v>1224</v>
      </c>
      <c r="I308" t="s">
        <v>1195</v>
      </c>
      <c r="J308" t="s">
        <v>1313</v>
      </c>
      <c r="K308" t="s">
        <v>27</v>
      </c>
      <c r="L308" t="s">
        <v>27</v>
      </c>
      <c r="M308" t="s">
        <v>19</v>
      </c>
      <c r="N308">
        <v>500000</v>
      </c>
      <c r="O308" t="s">
        <v>1193</v>
      </c>
      <c r="P308">
        <v>6.6</v>
      </c>
      <c r="Q308" t="s">
        <v>565</v>
      </c>
      <c r="R308" t="s">
        <v>2510</v>
      </c>
    </row>
    <row r="309" spans="1:18" x14ac:dyDescent="0.25">
      <c r="A309" t="s">
        <v>2074</v>
      </c>
      <c r="B309" t="s">
        <v>2075</v>
      </c>
      <c r="C309" t="s">
        <v>2076</v>
      </c>
      <c r="D309" t="s">
        <v>2076</v>
      </c>
      <c r="E309" t="s">
        <v>2077</v>
      </c>
      <c r="F309" t="s">
        <v>2078</v>
      </c>
      <c r="H309" t="s">
        <v>1365</v>
      </c>
      <c r="I309" t="s">
        <v>1576</v>
      </c>
      <c r="J309" t="s">
        <v>1510</v>
      </c>
      <c r="K309" t="s">
        <v>42</v>
      </c>
      <c r="L309" t="s">
        <v>42</v>
      </c>
      <c r="M309" t="s">
        <v>19</v>
      </c>
      <c r="N309">
        <v>387497</v>
      </c>
      <c r="O309" t="s">
        <v>1193</v>
      </c>
      <c r="P309">
        <v>4.8689999999999998</v>
      </c>
      <c r="Q309" t="s">
        <v>565</v>
      </c>
      <c r="R309" t="s">
        <v>628</v>
      </c>
    </row>
    <row r="310" spans="1:18" x14ac:dyDescent="0.25">
      <c r="A310" t="s">
        <v>2085</v>
      </c>
      <c r="B310" t="s">
        <v>2075</v>
      </c>
      <c r="C310" t="s">
        <v>2076</v>
      </c>
      <c r="D310" t="s">
        <v>2076</v>
      </c>
      <c r="E310" t="s">
        <v>2086</v>
      </c>
      <c r="F310" t="s">
        <v>2078</v>
      </c>
      <c r="H310" t="s">
        <v>1365</v>
      </c>
      <c r="I310" t="s">
        <v>1576</v>
      </c>
      <c r="J310" t="s">
        <v>1510</v>
      </c>
      <c r="K310" t="s">
        <v>42</v>
      </c>
      <c r="L310" t="s">
        <v>42</v>
      </c>
      <c r="M310" t="s">
        <v>19</v>
      </c>
      <c r="N310">
        <v>437500</v>
      </c>
      <c r="O310" t="s">
        <v>1193</v>
      </c>
      <c r="P310">
        <v>6.39</v>
      </c>
      <c r="Q310" t="s">
        <v>565</v>
      </c>
      <c r="R310" t="s">
        <v>629</v>
      </c>
    </row>
    <row r="311" spans="1:18" x14ac:dyDescent="0.25">
      <c r="A311" t="s">
        <v>2087</v>
      </c>
      <c r="B311" t="s">
        <v>2075</v>
      </c>
      <c r="C311" t="s">
        <v>2076</v>
      </c>
      <c r="D311" t="s">
        <v>2076</v>
      </c>
      <c r="E311" t="s">
        <v>2088</v>
      </c>
      <c r="F311" t="s">
        <v>2078</v>
      </c>
      <c r="H311" t="s">
        <v>1365</v>
      </c>
      <c r="I311" t="s">
        <v>1576</v>
      </c>
      <c r="J311" t="s">
        <v>1510</v>
      </c>
      <c r="K311" t="s">
        <v>42</v>
      </c>
      <c r="L311" t="s">
        <v>42</v>
      </c>
      <c r="M311" t="s">
        <v>19</v>
      </c>
      <c r="N311">
        <v>350000</v>
      </c>
      <c r="O311" t="s">
        <v>1193</v>
      </c>
      <c r="P311">
        <v>6.95</v>
      </c>
      <c r="Q311" t="s">
        <v>565</v>
      </c>
      <c r="R311" t="s">
        <v>630</v>
      </c>
    </row>
    <row r="312" spans="1:18" x14ac:dyDescent="0.25">
      <c r="A312" t="s">
        <v>2089</v>
      </c>
      <c r="B312" t="s">
        <v>2075</v>
      </c>
      <c r="C312" t="s">
        <v>2076</v>
      </c>
      <c r="D312" t="s">
        <v>2076</v>
      </c>
      <c r="E312" t="s">
        <v>2090</v>
      </c>
      <c r="F312" t="s">
        <v>2078</v>
      </c>
      <c r="H312" t="s">
        <v>1365</v>
      </c>
      <c r="I312" t="s">
        <v>1576</v>
      </c>
      <c r="J312" t="s">
        <v>1510</v>
      </c>
      <c r="K312" t="s">
        <v>42</v>
      </c>
      <c r="L312" t="s">
        <v>42</v>
      </c>
      <c r="M312" t="s">
        <v>19</v>
      </c>
      <c r="N312">
        <v>300000</v>
      </c>
      <c r="O312" t="s">
        <v>1193</v>
      </c>
      <c r="P312">
        <v>7.375</v>
      </c>
      <c r="Q312" t="s">
        <v>565</v>
      </c>
      <c r="R312" t="s">
        <v>955</v>
      </c>
    </row>
    <row r="313" spans="1:18" x14ac:dyDescent="0.25">
      <c r="A313" t="s">
        <v>2091</v>
      </c>
      <c r="B313" t="s">
        <v>2075</v>
      </c>
      <c r="C313" t="s">
        <v>2076</v>
      </c>
      <c r="D313" t="s">
        <v>2076</v>
      </c>
      <c r="E313" t="s">
        <v>2092</v>
      </c>
      <c r="F313" t="s">
        <v>2078</v>
      </c>
      <c r="H313" t="s">
        <v>1365</v>
      </c>
      <c r="I313" t="s">
        <v>1576</v>
      </c>
      <c r="J313" t="s">
        <v>1510</v>
      </c>
      <c r="K313" t="s">
        <v>42</v>
      </c>
      <c r="L313" t="s">
        <v>42</v>
      </c>
      <c r="M313" t="s">
        <v>19</v>
      </c>
      <c r="N313">
        <v>409781</v>
      </c>
      <c r="O313" t="s">
        <v>1193</v>
      </c>
      <c r="P313">
        <v>7.7</v>
      </c>
      <c r="Q313" t="s">
        <v>565</v>
      </c>
      <c r="R313" t="s">
        <v>1167</v>
      </c>
    </row>
    <row r="314" spans="1:18" x14ac:dyDescent="0.25">
      <c r="A314" t="s">
        <v>1106</v>
      </c>
      <c r="B314" t="s">
        <v>1456</v>
      </c>
      <c r="C314" t="s">
        <v>1107</v>
      </c>
      <c r="D314" t="s">
        <v>1654</v>
      </c>
      <c r="E314" t="s">
        <v>1108</v>
      </c>
      <c r="F314" t="s">
        <v>1457</v>
      </c>
      <c r="G314" t="s">
        <v>1816</v>
      </c>
      <c r="H314" t="s">
        <v>16</v>
      </c>
      <c r="I314" t="s">
        <v>1890</v>
      </c>
      <c r="J314" t="s">
        <v>30</v>
      </c>
      <c r="K314" t="s">
        <v>18</v>
      </c>
      <c r="L314" t="s">
        <v>18</v>
      </c>
      <c r="M314" t="s">
        <v>19</v>
      </c>
      <c r="N314">
        <v>1200000</v>
      </c>
      <c r="O314" t="s">
        <v>1193</v>
      </c>
      <c r="P314">
        <v>5.7460000000000004</v>
      </c>
      <c r="Q314" t="s">
        <v>565</v>
      </c>
      <c r="R314" t="s">
        <v>2511</v>
      </c>
    </row>
    <row r="315" spans="1:18" x14ac:dyDescent="0.25">
      <c r="A315" t="s">
        <v>2348</v>
      </c>
      <c r="B315" t="s">
        <v>1706</v>
      </c>
      <c r="C315" t="s">
        <v>1707</v>
      </c>
      <c r="D315" t="s">
        <v>1708</v>
      </c>
      <c r="E315" t="s">
        <v>2349</v>
      </c>
      <c r="F315" t="s">
        <v>1710</v>
      </c>
      <c r="G315" t="s">
        <v>1817</v>
      </c>
      <c r="H315" t="s">
        <v>1200</v>
      </c>
      <c r="I315" t="s">
        <v>1195</v>
      </c>
      <c r="J315" t="s">
        <v>1293</v>
      </c>
      <c r="K315" t="s">
        <v>41</v>
      </c>
      <c r="L315" t="s">
        <v>41</v>
      </c>
      <c r="M315" t="s">
        <v>19</v>
      </c>
      <c r="N315">
        <v>1250000</v>
      </c>
      <c r="O315" t="s">
        <v>1193</v>
      </c>
      <c r="P315">
        <v>7.875</v>
      </c>
      <c r="Q315" t="s">
        <v>564</v>
      </c>
    </row>
    <row r="316" spans="1:18" x14ac:dyDescent="0.25">
      <c r="A316" t="s">
        <v>1705</v>
      </c>
      <c r="B316" t="s">
        <v>1706</v>
      </c>
      <c r="C316" t="s">
        <v>1707</v>
      </c>
      <c r="D316" t="s">
        <v>1708</v>
      </c>
      <c r="E316" t="s">
        <v>1709</v>
      </c>
      <c r="F316" t="s">
        <v>1710</v>
      </c>
      <c r="G316" t="s">
        <v>1817</v>
      </c>
      <c r="H316" t="s">
        <v>1200</v>
      </c>
      <c r="I316" t="s">
        <v>1195</v>
      </c>
      <c r="J316" t="s">
        <v>1293</v>
      </c>
      <c r="K316" t="s">
        <v>41</v>
      </c>
      <c r="L316" t="s">
        <v>41</v>
      </c>
      <c r="M316" t="s">
        <v>19</v>
      </c>
      <c r="N316">
        <v>1500000</v>
      </c>
      <c r="O316" t="s">
        <v>1193</v>
      </c>
      <c r="P316">
        <v>8</v>
      </c>
      <c r="Q316" t="s">
        <v>566</v>
      </c>
      <c r="R316" t="s">
        <v>2512</v>
      </c>
    </row>
    <row r="317" spans="1:18" x14ac:dyDescent="0.25">
      <c r="A317" t="s">
        <v>1711</v>
      </c>
      <c r="B317" t="s">
        <v>1706</v>
      </c>
      <c r="C317" t="s">
        <v>1707</v>
      </c>
      <c r="D317" t="s">
        <v>1708</v>
      </c>
      <c r="E317" t="s">
        <v>1712</v>
      </c>
      <c r="F317" t="s">
        <v>1710</v>
      </c>
      <c r="G317" t="s">
        <v>1817</v>
      </c>
      <c r="H317" t="s">
        <v>1200</v>
      </c>
      <c r="I317" t="s">
        <v>1195</v>
      </c>
      <c r="J317" t="s">
        <v>1293</v>
      </c>
      <c r="K317" t="s">
        <v>41</v>
      </c>
      <c r="L317" t="s">
        <v>41</v>
      </c>
      <c r="M317" t="s">
        <v>19</v>
      </c>
      <c r="N317">
        <v>1500000</v>
      </c>
      <c r="O317" t="s">
        <v>1193</v>
      </c>
      <c r="P317">
        <v>9</v>
      </c>
      <c r="Q317" t="s">
        <v>566</v>
      </c>
      <c r="R317" t="s">
        <v>2513</v>
      </c>
    </row>
    <row r="318" spans="1:18" x14ac:dyDescent="0.25">
      <c r="A318" t="s">
        <v>2396</v>
      </c>
      <c r="B318" t="s">
        <v>1110</v>
      </c>
      <c r="C318" t="s">
        <v>1111</v>
      </c>
      <c r="D318" t="s">
        <v>1111</v>
      </c>
      <c r="E318" t="s">
        <v>2397</v>
      </c>
      <c r="F318" t="s">
        <v>1113</v>
      </c>
      <c r="G318" t="s">
        <v>2398</v>
      </c>
      <c r="H318" t="s">
        <v>305</v>
      </c>
      <c r="I318" t="s">
        <v>1195</v>
      </c>
      <c r="J318" t="s">
        <v>442</v>
      </c>
      <c r="K318" t="s">
        <v>871</v>
      </c>
      <c r="L318" t="s">
        <v>27</v>
      </c>
      <c r="M318" t="s">
        <v>19</v>
      </c>
      <c r="N318">
        <v>650000</v>
      </c>
      <c r="O318" t="s">
        <v>1193</v>
      </c>
      <c r="P318">
        <v>11.25</v>
      </c>
      <c r="Q318" t="s">
        <v>2195</v>
      </c>
      <c r="R318" t="s">
        <v>2514</v>
      </c>
    </row>
    <row r="319" spans="1:18" x14ac:dyDescent="0.25">
      <c r="A319" t="s">
        <v>1109</v>
      </c>
      <c r="B319" t="s">
        <v>1110</v>
      </c>
      <c r="C319" t="s">
        <v>1111</v>
      </c>
      <c r="D319" t="s">
        <v>1111</v>
      </c>
      <c r="E319" t="s">
        <v>1112</v>
      </c>
      <c r="F319" t="s">
        <v>1113</v>
      </c>
      <c r="G319" t="s">
        <v>2398</v>
      </c>
      <c r="H319" t="s">
        <v>305</v>
      </c>
      <c r="I319" t="s">
        <v>1195</v>
      </c>
      <c r="J319" t="s">
        <v>442</v>
      </c>
      <c r="K319" t="s">
        <v>871</v>
      </c>
      <c r="L319" t="s">
        <v>27</v>
      </c>
      <c r="M319" t="s">
        <v>19</v>
      </c>
      <c r="N319">
        <v>525000</v>
      </c>
      <c r="O319" t="s">
        <v>1193</v>
      </c>
      <c r="P319">
        <v>13</v>
      </c>
      <c r="Q319" t="s">
        <v>2195</v>
      </c>
      <c r="R319" t="s">
        <v>2594</v>
      </c>
    </row>
    <row r="320" spans="1:18" x14ac:dyDescent="0.25">
      <c r="A320" t="s">
        <v>1055</v>
      </c>
      <c r="B320" t="s">
        <v>1056</v>
      </c>
      <c r="C320" t="s">
        <v>1057</v>
      </c>
      <c r="D320" t="s">
        <v>1057</v>
      </c>
      <c r="E320" t="s">
        <v>1058</v>
      </c>
      <c r="F320" t="s">
        <v>1059</v>
      </c>
      <c r="H320" t="s">
        <v>65</v>
      </c>
      <c r="I320" t="s">
        <v>1195</v>
      </c>
      <c r="J320" t="s">
        <v>1440</v>
      </c>
      <c r="K320" t="s">
        <v>871</v>
      </c>
      <c r="L320" t="s">
        <v>27</v>
      </c>
      <c r="M320" t="s">
        <v>19</v>
      </c>
      <c r="N320">
        <v>400000</v>
      </c>
      <c r="O320" t="s">
        <v>1193</v>
      </c>
      <c r="P320">
        <v>13</v>
      </c>
      <c r="Q320" t="s">
        <v>2195</v>
      </c>
      <c r="R320" t="s">
        <v>1060</v>
      </c>
    </row>
    <row r="321" spans="1:18" x14ac:dyDescent="0.25">
      <c r="A321" t="s">
        <v>397</v>
      </c>
      <c r="B321" t="s">
        <v>1458</v>
      </c>
      <c r="C321" t="s">
        <v>396</v>
      </c>
      <c r="D321" t="s">
        <v>1655</v>
      </c>
      <c r="E321" t="s">
        <v>398</v>
      </c>
      <c r="F321" t="s">
        <v>1459</v>
      </c>
      <c r="G321" t="s">
        <v>1818</v>
      </c>
      <c r="H321" t="s">
        <v>1210</v>
      </c>
      <c r="I321" t="s">
        <v>1195</v>
      </c>
      <c r="J321" t="s">
        <v>1460</v>
      </c>
      <c r="K321" t="s">
        <v>42</v>
      </c>
      <c r="L321" t="s">
        <v>42</v>
      </c>
      <c r="M321" t="s">
        <v>19</v>
      </c>
      <c r="N321">
        <v>500000</v>
      </c>
      <c r="O321" t="s">
        <v>1193</v>
      </c>
      <c r="P321">
        <v>2.875</v>
      </c>
      <c r="Q321" t="s">
        <v>566</v>
      </c>
      <c r="R321" t="s">
        <v>2515</v>
      </c>
    </row>
    <row r="322" spans="1:18" x14ac:dyDescent="0.25">
      <c r="A322" t="s">
        <v>400</v>
      </c>
      <c r="B322" t="s">
        <v>1458</v>
      </c>
      <c r="C322" t="s">
        <v>399</v>
      </c>
      <c r="D322" t="s">
        <v>1655</v>
      </c>
      <c r="E322" t="s">
        <v>401</v>
      </c>
      <c r="F322" t="s">
        <v>1459</v>
      </c>
      <c r="G322" t="s">
        <v>1818</v>
      </c>
      <c r="H322" t="s">
        <v>1210</v>
      </c>
      <c r="I322" t="s">
        <v>1195</v>
      </c>
      <c r="J322" t="s">
        <v>1460</v>
      </c>
      <c r="K322" t="s">
        <v>42</v>
      </c>
      <c r="L322" t="s">
        <v>42</v>
      </c>
      <c r="M322" t="s">
        <v>19</v>
      </c>
      <c r="N322">
        <v>500000</v>
      </c>
      <c r="O322" t="s">
        <v>1193</v>
      </c>
      <c r="P322">
        <v>5.5</v>
      </c>
      <c r="Q322" t="s">
        <v>566</v>
      </c>
      <c r="R322" t="s">
        <v>647</v>
      </c>
    </row>
    <row r="323" spans="1:18" x14ac:dyDescent="0.25">
      <c r="A323" t="s">
        <v>402</v>
      </c>
      <c r="B323" t="s">
        <v>1458</v>
      </c>
      <c r="C323" t="s">
        <v>399</v>
      </c>
      <c r="D323" t="s">
        <v>1655</v>
      </c>
      <c r="E323" t="s">
        <v>403</v>
      </c>
      <c r="F323" t="s">
        <v>1459</v>
      </c>
      <c r="G323" t="s">
        <v>1818</v>
      </c>
      <c r="H323" t="s">
        <v>1210</v>
      </c>
      <c r="I323" t="s">
        <v>1195</v>
      </c>
      <c r="J323" t="s">
        <v>1460</v>
      </c>
      <c r="K323" t="s">
        <v>42</v>
      </c>
      <c r="L323" t="s">
        <v>42</v>
      </c>
      <c r="M323" t="s">
        <v>19</v>
      </c>
      <c r="N323">
        <v>750000</v>
      </c>
      <c r="O323" t="s">
        <v>1193</v>
      </c>
      <c r="P323">
        <v>5.875</v>
      </c>
      <c r="Q323" t="s">
        <v>566</v>
      </c>
      <c r="R323" t="s">
        <v>648</v>
      </c>
    </row>
    <row r="324" spans="1:18" x14ac:dyDescent="0.25">
      <c r="A324" t="s">
        <v>404</v>
      </c>
      <c r="B324" t="s">
        <v>1458</v>
      </c>
      <c r="C324" t="s">
        <v>399</v>
      </c>
      <c r="D324" t="s">
        <v>1655</v>
      </c>
      <c r="E324" t="s">
        <v>405</v>
      </c>
      <c r="F324" t="s">
        <v>1459</v>
      </c>
      <c r="G324" t="s">
        <v>1818</v>
      </c>
      <c r="H324" t="s">
        <v>1210</v>
      </c>
      <c r="I324" t="s">
        <v>1195</v>
      </c>
      <c r="J324" t="s">
        <v>1460</v>
      </c>
      <c r="K324" t="s">
        <v>42</v>
      </c>
      <c r="L324" t="s">
        <v>42</v>
      </c>
      <c r="M324" t="s">
        <v>19</v>
      </c>
      <c r="N324">
        <v>400000</v>
      </c>
      <c r="O324" t="s">
        <v>1193</v>
      </c>
      <c r="P324">
        <v>6.75</v>
      </c>
      <c r="Q324" t="s">
        <v>566</v>
      </c>
      <c r="R324" t="s">
        <v>649</v>
      </c>
    </row>
    <row r="325" spans="1:18" x14ac:dyDescent="0.25">
      <c r="A325" t="s">
        <v>1713</v>
      </c>
      <c r="B325" t="s">
        <v>1458</v>
      </c>
      <c r="C325" t="s">
        <v>396</v>
      </c>
      <c r="D325" t="s">
        <v>1655</v>
      </c>
      <c r="E325" t="s">
        <v>1714</v>
      </c>
      <c r="F325" t="s">
        <v>1459</v>
      </c>
      <c r="G325" t="s">
        <v>1818</v>
      </c>
      <c r="H325" t="s">
        <v>1210</v>
      </c>
      <c r="I325" t="s">
        <v>1195</v>
      </c>
      <c r="J325" t="s">
        <v>1460</v>
      </c>
      <c r="K325" t="s">
        <v>42</v>
      </c>
      <c r="L325" t="s">
        <v>42</v>
      </c>
      <c r="M325" t="s">
        <v>19</v>
      </c>
      <c r="N325">
        <v>650000</v>
      </c>
      <c r="O325" t="s">
        <v>1193</v>
      </c>
      <c r="P325">
        <v>6.8</v>
      </c>
      <c r="Q325" t="s">
        <v>566</v>
      </c>
      <c r="R325" t="s">
        <v>1697</v>
      </c>
    </row>
    <row r="326" spans="1:18" x14ac:dyDescent="0.25">
      <c r="A326" t="s">
        <v>1715</v>
      </c>
      <c r="B326" t="s">
        <v>1458</v>
      </c>
      <c r="C326" t="s">
        <v>396</v>
      </c>
      <c r="D326" t="s">
        <v>1655</v>
      </c>
      <c r="E326" t="s">
        <v>1716</v>
      </c>
      <c r="F326" t="s">
        <v>1459</v>
      </c>
      <c r="G326" t="s">
        <v>1818</v>
      </c>
      <c r="H326" t="s">
        <v>1210</v>
      </c>
      <c r="I326" t="s">
        <v>1195</v>
      </c>
      <c r="J326" t="s">
        <v>1460</v>
      </c>
      <c r="K326" t="s">
        <v>42</v>
      </c>
      <c r="L326" t="s">
        <v>42</v>
      </c>
      <c r="M326" t="s">
        <v>19</v>
      </c>
      <c r="N326">
        <v>450000</v>
      </c>
      <c r="O326" t="s">
        <v>1193</v>
      </c>
      <c r="P326">
        <v>7.5</v>
      </c>
      <c r="Q326" t="s">
        <v>566</v>
      </c>
      <c r="R326" t="s">
        <v>1717</v>
      </c>
    </row>
    <row r="327" spans="1:18" x14ac:dyDescent="0.25">
      <c r="A327" t="s">
        <v>1953</v>
      </c>
      <c r="B327" t="s">
        <v>1954</v>
      </c>
      <c r="C327" t="s">
        <v>1955</v>
      </c>
      <c r="D327" t="s">
        <v>1956</v>
      </c>
      <c r="E327" t="s">
        <v>1957</v>
      </c>
      <c r="F327" t="s">
        <v>1958</v>
      </c>
      <c r="G327" t="s">
        <v>2572</v>
      </c>
      <c r="H327" t="s">
        <v>16</v>
      </c>
      <c r="I327" t="s">
        <v>1890</v>
      </c>
      <c r="J327" t="s">
        <v>30</v>
      </c>
      <c r="K327" t="s">
        <v>18</v>
      </c>
      <c r="L327" t="s">
        <v>18</v>
      </c>
      <c r="M327" t="s">
        <v>19</v>
      </c>
      <c r="N327">
        <v>380000</v>
      </c>
      <c r="O327" t="s">
        <v>1193</v>
      </c>
      <c r="P327">
        <v>6.25</v>
      </c>
      <c r="Q327" t="s">
        <v>564</v>
      </c>
      <c r="R327" t="s">
        <v>1959</v>
      </c>
    </row>
    <row r="328" spans="1:18" x14ac:dyDescent="0.25">
      <c r="A328" t="s">
        <v>686</v>
      </c>
      <c r="B328" t="s">
        <v>1461</v>
      </c>
      <c r="C328" t="s">
        <v>406</v>
      </c>
      <c r="D328" t="s">
        <v>1656</v>
      </c>
      <c r="E328" t="s">
        <v>903</v>
      </c>
      <c r="F328" t="s">
        <v>1462</v>
      </c>
      <c r="G328" t="s">
        <v>1819</v>
      </c>
      <c r="H328" t="s">
        <v>221</v>
      </c>
      <c r="I328" t="s">
        <v>1577</v>
      </c>
      <c r="J328" t="s">
        <v>1342</v>
      </c>
      <c r="K328" t="s">
        <v>42</v>
      </c>
      <c r="L328" t="s">
        <v>42</v>
      </c>
      <c r="M328" t="s">
        <v>19</v>
      </c>
      <c r="N328">
        <v>1972663</v>
      </c>
      <c r="O328" t="s">
        <v>1193</v>
      </c>
      <c r="P328">
        <v>10</v>
      </c>
      <c r="Q328" t="s">
        <v>564</v>
      </c>
      <c r="R328" t="s">
        <v>2516</v>
      </c>
    </row>
    <row r="329" spans="1:18" x14ac:dyDescent="0.25">
      <c r="A329" t="s">
        <v>686</v>
      </c>
      <c r="B329" t="s">
        <v>1461</v>
      </c>
      <c r="C329" t="s">
        <v>406</v>
      </c>
      <c r="D329" t="s">
        <v>1656</v>
      </c>
      <c r="E329" t="s">
        <v>687</v>
      </c>
      <c r="F329" t="s">
        <v>1462</v>
      </c>
      <c r="G329" t="s">
        <v>1819</v>
      </c>
      <c r="H329" t="s">
        <v>221</v>
      </c>
      <c r="I329" t="s">
        <v>1577</v>
      </c>
      <c r="J329" t="s">
        <v>1342</v>
      </c>
      <c r="K329" t="s">
        <v>42</v>
      </c>
      <c r="L329" t="s">
        <v>42</v>
      </c>
      <c r="M329" t="s">
        <v>19</v>
      </c>
      <c r="N329">
        <v>2000000</v>
      </c>
      <c r="O329" t="s">
        <v>1193</v>
      </c>
      <c r="P329">
        <v>10</v>
      </c>
      <c r="Q329" t="s">
        <v>564</v>
      </c>
      <c r="R329" t="s">
        <v>2516</v>
      </c>
    </row>
    <row r="330" spans="1:18" x14ac:dyDescent="0.25">
      <c r="A330" t="s">
        <v>757</v>
      </c>
      <c r="B330" t="s">
        <v>1461</v>
      </c>
      <c r="C330" t="s">
        <v>406</v>
      </c>
      <c r="D330" t="s">
        <v>1656</v>
      </c>
      <c r="E330" t="s">
        <v>758</v>
      </c>
      <c r="F330" t="s">
        <v>1462</v>
      </c>
      <c r="G330" t="s">
        <v>1819</v>
      </c>
      <c r="H330" t="s">
        <v>221</v>
      </c>
      <c r="I330" t="s">
        <v>1577</v>
      </c>
      <c r="J330" t="s">
        <v>1342</v>
      </c>
      <c r="K330" t="s">
        <v>42</v>
      </c>
      <c r="L330" t="s">
        <v>42</v>
      </c>
      <c r="M330" t="s">
        <v>19</v>
      </c>
      <c r="N330">
        <v>4244855</v>
      </c>
      <c r="O330" t="s">
        <v>1193</v>
      </c>
      <c r="P330">
        <v>5.5</v>
      </c>
      <c r="Q330" t="s">
        <v>564</v>
      </c>
      <c r="R330" t="s">
        <v>587</v>
      </c>
    </row>
    <row r="331" spans="1:18" x14ac:dyDescent="0.25">
      <c r="A331" t="s">
        <v>407</v>
      </c>
      <c r="B331" t="s">
        <v>1461</v>
      </c>
      <c r="C331" t="s">
        <v>406</v>
      </c>
      <c r="D331" t="s">
        <v>1656</v>
      </c>
      <c r="E331" t="s">
        <v>759</v>
      </c>
      <c r="F331" t="s">
        <v>1462</v>
      </c>
      <c r="G331" t="s">
        <v>1819</v>
      </c>
      <c r="H331" t="s">
        <v>221</v>
      </c>
      <c r="I331" t="s">
        <v>1577</v>
      </c>
      <c r="J331" t="s">
        <v>1342</v>
      </c>
      <c r="K331" t="s">
        <v>42</v>
      </c>
      <c r="L331" t="s">
        <v>42</v>
      </c>
      <c r="M331" t="s">
        <v>19</v>
      </c>
      <c r="N331">
        <v>2992861</v>
      </c>
      <c r="O331" t="s">
        <v>1193</v>
      </c>
      <c r="P331">
        <v>5.625</v>
      </c>
      <c r="Q331" t="s">
        <v>564</v>
      </c>
      <c r="R331" t="s">
        <v>650</v>
      </c>
    </row>
    <row r="332" spans="1:18" x14ac:dyDescent="0.25">
      <c r="A332" t="s">
        <v>407</v>
      </c>
      <c r="B332" t="s">
        <v>1461</v>
      </c>
      <c r="C332" t="s">
        <v>406</v>
      </c>
      <c r="D332" t="s">
        <v>1656</v>
      </c>
      <c r="E332" t="s">
        <v>1860</v>
      </c>
      <c r="F332" t="s">
        <v>1462</v>
      </c>
      <c r="G332" t="s">
        <v>1819</v>
      </c>
      <c r="H332" t="s">
        <v>221</v>
      </c>
      <c r="I332" t="s">
        <v>1577</v>
      </c>
      <c r="J332" t="s">
        <v>1342</v>
      </c>
      <c r="K332" t="s">
        <v>42</v>
      </c>
      <c r="L332" t="s">
        <v>42</v>
      </c>
      <c r="M332" t="s">
        <v>19</v>
      </c>
      <c r="N332">
        <v>3000000</v>
      </c>
      <c r="O332" t="s">
        <v>1193</v>
      </c>
      <c r="P332">
        <v>5.625</v>
      </c>
      <c r="Q332" t="s">
        <v>564</v>
      </c>
      <c r="R332" t="s">
        <v>650</v>
      </c>
    </row>
    <row r="333" spans="1:18" x14ac:dyDescent="0.25">
      <c r="A333" t="s">
        <v>410</v>
      </c>
      <c r="B333" t="s">
        <v>1461</v>
      </c>
      <c r="C333" t="s">
        <v>406</v>
      </c>
      <c r="D333" t="s">
        <v>1656</v>
      </c>
      <c r="E333" t="s">
        <v>761</v>
      </c>
      <c r="F333" t="s">
        <v>1462</v>
      </c>
      <c r="G333" t="s">
        <v>1819</v>
      </c>
      <c r="H333" t="s">
        <v>221</v>
      </c>
      <c r="I333" t="s">
        <v>1577</v>
      </c>
      <c r="J333" t="s">
        <v>1342</v>
      </c>
      <c r="K333" t="s">
        <v>42</v>
      </c>
      <c r="L333" t="s">
        <v>42</v>
      </c>
      <c r="M333" t="s">
        <v>19</v>
      </c>
      <c r="N333">
        <v>3777381</v>
      </c>
      <c r="O333" t="s">
        <v>1193</v>
      </c>
      <c r="P333">
        <v>5.95</v>
      </c>
      <c r="Q333" t="s">
        <v>564</v>
      </c>
      <c r="R333" t="s">
        <v>651</v>
      </c>
    </row>
    <row r="334" spans="1:18" x14ac:dyDescent="0.25">
      <c r="A334" t="s">
        <v>410</v>
      </c>
      <c r="B334" t="s">
        <v>1461</v>
      </c>
      <c r="C334" t="s">
        <v>406</v>
      </c>
      <c r="D334" t="s">
        <v>1656</v>
      </c>
      <c r="E334" t="s">
        <v>1861</v>
      </c>
      <c r="F334" t="s">
        <v>1462</v>
      </c>
      <c r="G334" t="s">
        <v>1819</v>
      </c>
      <c r="H334" t="s">
        <v>221</v>
      </c>
      <c r="I334" t="s">
        <v>1577</v>
      </c>
      <c r="J334" t="s">
        <v>1342</v>
      </c>
      <c r="K334" t="s">
        <v>42</v>
      </c>
      <c r="L334" t="s">
        <v>42</v>
      </c>
      <c r="M334" t="s">
        <v>19</v>
      </c>
      <c r="N334">
        <v>3800000</v>
      </c>
      <c r="O334" t="s">
        <v>1193</v>
      </c>
      <c r="P334">
        <v>5.95</v>
      </c>
      <c r="Q334" t="s">
        <v>564</v>
      </c>
      <c r="R334" t="s">
        <v>651</v>
      </c>
    </row>
    <row r="335" spans="1:18" x14ac:dyDescent="0.25">
      <c r="A335" t="s">
        <v>411</v>
      </c>
      <c r="B335" t="s">
        <v>1461</v>
      </c>
      <c r="C335" t="s">
        <v>406</v>
      </c>
      <c r="D335" t="s">
        <v>1656</v>
      </c>
      <c r="E335" t="s">
        <v>762</v>
      </c>
      <c r="F335" t="s">
        <v>1462</v>
      </c>
      <c r="G335" t="s">
        <v>1819</v>
      </c>
      <c r="H335" t="s">
        <v>221</v>
      </c>
      <c r="I335" t="s">
        <v>1577</v>
      </c>
      <c r="J335" t="s">
        <v>1342</v>
      </c>
      <c r="K335" t="s">
        <v>42</v>
      </c>
      <c r="L335" t="s">
        <v>42</v>
      </c>
      <c r="M335" t="s">
        <v>19</v>
      </c>
      <c r="N335">
        <v>1986963</v>
      </c>
      <c r="O335" t="s">
        <v>1193</v>
      </c>
      <c r="P335">
        <v>6.5</v>
      </c>
      <c r="Q335" t="s">
        <v>564</v>
      </c>
      <c r="R335" t="s">
        <v>652</v>
      </c>
    </row>
    <row r="336" spans="1:18" x14ac:dyDescent="0.25">
      <c r="A336" t="s">
        <v>411</v>
      </c>
      <c r="B336" t="s">
        <v>1461</v>
      </c>
      <c r="C336" t="s">
        <v>406</v>
      </c>
      <c r="D336" t="s">
        <v>1656</v>
      </c>
      <c r="E336" t="s">
        <v>1862</v>
      </c>
      <c r="F336" t="s">
        <v>1462</v>
      </c>
      <c r="G336" t="s">
        <v>1819</v>
      </c>
      <c r="H336" t="s">
        <v>221</v>
      </c>
      <c r="I336" t="s">
        <v>1577</v>
      </c>
      <c r="J336" t="s">
        <v>1342</v>
      </c>
      <c r="K336" t="s">
        <v>42</v>
      </c>
      <c r="L336" t="s">
        <v>42</v>
      </c>
      <c r="M336" t="s">
        <v>19</v>
      </c>
      <c r="N336">
        <v>2000000</v>
      </c>
      <c r="O336" t="s">
        <v>1193</v>
      </c>
      <c r="P336">
        <v>6.5</v>
      </c>
      <c r="Q336" t="s">
        <v>564</v>
      </c>
      <c r="R336" t="s">
        <v>652</v>
      </c>
    </row>
    <row r="337" spans="1:18" x14ac:dyDescent="0.25">
      <c r="A337" t="s">
        <v>763</v>
      </c>
      <c r="B337" t="s">
        <v>1461</v>
      </c>
      <c r="C337" t="s">
        <v>406</v>
      </c>
      <c r="D337" t="s">
        <v>1656</v>
      </c>
      <c r="E337" t="s">
        <v>764</v>
      </c>
      <c r="F337" t="s">
        <v>1462</v>
      </c>
      <c r="G337" t="s">
        <v>1819</v>
      </c>
      <c r="H337" t="s">
        <v>221</v>
      </c>
      <c r="I337" t="s">
        <v>1577</v>
      </c>
      <c r="J337" t="s">
        <v>1342</v>
      </c>
      <c r="K337" t="s">
        <v>42</v>
      </c>
      <c r="L337" t="s">
        <v>42</v>
      </c>
      <c r="M337" t="s">
        <v>19</v>
      </c>
      <c r="N337">
        <v>3000000</v>
      </c>
      <c r="O337" t="s">
        <v>1193</v>
      </c>
      <c r="P337">
        <v>6.5</v>
      </c>
      <c r="Q337" t="s">
        <v>564</v>
      </c>
      <c r="R337" t="s">
        <v>2517</v>
      </c>
    </row>
    <row r="338" spans="1:18" x14ac:dyDescent="0.25">
      <c r="A338" t="s">
        <v>412</v>
      </c>
      <c r="B338" t="s">
        <v>1461</v>
      </c>
      <c r="C338" t="s">
        <v>406</v>
      </c>
      <c r="D338" t="s">
        <v>1656</v>
      </c>
      <c r="E338" t="s">
        <v>2015</v>
      </c>
      <c r="F338" t="s">
        <v>1462</v>
      </c>
      <c r="G338" t="s">
        <v>1819</v>
      </c>
      <c r="H338" t="s">
        <v>221</v>
      </c>
      <c r="I338" t="s">
        <v>1577</v>
      </c>
      <c r="J338" t="s">
        <v>1342</v>
      </c>
      <c r="K338" t="s">
        <v>42</v>
      </c>
      <c r="L338" t="s">
        <v>42</v>
      </c>
      <c r="M338" t="s">
        <v>19</v>
      </c>
      <c r="N338">
        <v>3500000</v>
      </c>
      <c r="O338" t="s">
        <v>1193</v>
      </c>
      <c r="P338">
        <v>6.75</v>
      </c>
      <c r="Q338" t="s">
        <v>564</v>
      </c>
      <c r="R338" t="s">
        <v>653</v>
      </c>
    </row>
    <row r="339" spans="1:18" x14ac:dyDescent="0.25">
      <c r="A339" t="s">
        <v>412</v>
      </c>
      <c r="B339" t="s">
        <v>1461</v>
      </c>
      <c r="C339" t="s">
        <v>406</v>
      </c>
      <c r="D339" t="s">
        <v>1656</v>
      </c>
      <c r="E339" t="s">
        <v>765</v>
      </c>
      <c r="F339" t="s">
        <v>1462</v>
      </c>
      <c r="G339" t="s">
        <v>1819</v>
      </c>
      <c r="H339" t="s">
        <v>221</v>
      </c>
      <c r="I339" t="s">
        <v>1577</v>
      </c>
      <c r="J339" t="s">
        <v>1342</v>
      </c>
      <c r="K339" t="s">
        <v>42</v>
      </c>
      <c r="L339" t="s">
        <v>42</v>
      </c>
      <c r="M339" t="s">
        <v>19</v>
      </c>
      <c r="N339">
        <v>5998233</v>
      </c>
      <c r="O339" t="s">
        <v>1193</v>
      </c>
      <c r="P339">
        <v>6.75</v>
      </c>
      <c r="Q339" t="s">
        <v>564</v>
      </c>
      <c r="R339" t="s">
        <v>653</v>
      </c>
    </row>
    <row r="340" spans="1:18" x14ac:dyDescent="0.25">
      <c r="A340" t="s">
        <v>412</v>
      </c>
      <c r="B340" t="s">
        <v>1461</v>
      </c>
      <c r="C340" t="s">
        <v>406</v>
      </c>
      <c r="D340" t="s">
        <v>1656</v>
      </c>
      <c r="E340" t="s">
        <v>2030</v>
      </c>
      <c r="F340" t="s">
        <v>1462</v>
      </c>
      <c r="G340" t="s">
        <v>1819</v>
      </c>
      <c r="H340" t="s">
        <v>221</v>
      </c>
      <c r="I340" t="s">
        <v>1577</v>
      </c>
      <c r="J340" t="s">
        <v>1342</v>
      </c>
      <c r="K340" t="s">
        <v>42</v>
      </c>
      <c r="L340" t="s">
        <v>42</v>
      </c>
      <c r="M340" t="s">
        <v>19</v>
      </c>
      <c r="N340">
        <v>2500000</v>
      </c>
      <c r="O340" t="s">
        <v>1193</v>
      </c>
      <c r="P340">
        <v>6.75</v>
      </c>
      <c r="Q340" t="s">
        <v>565</v>
      </c>
      <c r="R340" t="s">
        <v>653</v>
      </c>
    </row>
    <row r="341" spans="1:18" x14ac:dyDescent="0.25">
      <c r="A341" t="s">
        <v>766</v>
      </c>
      <c r="B341" t="s">
        <v>1461</v>
      </c>
      <c r="C341" t="s">
        <v>406</v>
      </c>
      <c r="D341" t="s">
        <v>1656</v>
      </c>
      <c r="E341" t="s">
        <v>767</v>
      </c>
      <c r="F341" t="s">
        <v>1462</v>
      </c>
      <c r="G341" t="s">
        <v>1819</v>
      </c>
      <c r="H341" t="s">
        <v>221</v>
      </c>
      <c r="I341" t="s">
        <v>1577</v>
      </c>
      <c r="J341" t="s">
        <v>1342</v>
      </c>
      <c r="K341" t="s">
        <v>42</v>
      </c>
      <c r="L341" t="s">
        <v>42</v>
      </c>
      <c r="M341" t="s">
        <v>19</v>
      </c>
      <c r="N341">
        <v>3000000</v>
      </c>
      <c r="O341" t="s">
        <v>1193</v>
      </c>
      <c r="P341">
        <v>6.375</v>
      </c>
      <c r="Q341" t="s">
        <v>564</v>
      </c>
      <c r="R341" t="s">
        <v>768</v>
      </c>
    </row>
    <row r="342" spans="1:18" x14ac:dyDescent="0.25">
      <c r="A342" t="s">
        <v>413</v>
      </c>
      <c r="B342" t="s">
        <v>1461</v>
      </c>
      <c r="C342" t="s">
        <v>406</v>
      </c>
      <c r="D342" t="s">
        <v>1656</v>
      </c>
      <c r="E342" t="s">
        <v>769</v>
      </c>
      <c r="F342" t="s">
        <v>1462</v>
      </c>
      <c r="G342" t="s">
        <v>1819</v>
      </c>
      <c r="H342" t="s">
        <v>221</v>
      </c>
      <c r="I342" t="s">
        <v>1577</v>
      </c>
      <c r="J342" t="s">
        <v>1342</v>
      </c>
      <c r="K342" t="s">
        <v>42</v>
      </c>
      <c r="L342" t="s">
        <v>42</v>
      </c>
      <c r="M342" t="s">
        <v>19</v>
      </c>
      <c r="N342">
        <v>2748500</v>
      </c>
      <c r="O342" t="s">
        <v>1193</v>
      </c>
      <c r="P342">
        <v>6.625</v>
      </c>
      <c r="Q342" t="s">
        <v>564</v>
      </c>
      <c r="R342" t="s">
        <v>654</v>
      </c>
    </row>
    <row r="343" spans="1:18" x14ac:dyDescent="0.25">
      <c r="A343" t="s">
        <v>413</v>
      </c>
      <c r="B343" t="s">
        <v>1461</v>
      </c>
      <c r="C343" t="s">
        <v>406</v>
      </c>
      <c r="D343" t="s">
        <v>1656</v>
      </c>
      <c r="E343" t="s">
        <v>1852</v>
      </c>
      <c r="F343" t="s">
        <v>1462</v>
      </c>
      <c r="G343" t="s">
        <v>1819</v>
      </c>
      <c r="H343" t="s">
        <v>221</v>
      </c>
      <c r="I343" t="s">
        <v>1577</v>
      </c>
      <c r="J343" t="s">
        <v>1342</v>
      </c>
      <c r="K343" t="s">
        <v>42</v>
      </c>
      <c r="L343" t="s">
        <v>42</v>
      </c>
      <c r="M343" t="s">
        <v>19</v>
      </c>
      <c r="N343">
        <v>1000000</v>
      </c>
      <c r="O343" t="s">
        <v>1193</v>
      </c>
      <c r="P343">
        <v>6.625</v>
      </c>
      <c r="Q343" t="s">
        <v>564</v>
      </c>
      <c r="R343" t="s">
        <v>654</v>
      </c>
    </row>
    <row r="344" spans="1:18" x14ac:dyDescent="0.25">
      <c r="A344" t="s">
        <v>414</v>
      </c>
      <c r="B344" t="s">
        <v>1461</v>
      </c>
      <c r="C344" t="s">
        <v>415</v>
      </c>
      <c r="D344" t="s">
        <v>1656</v>
      </c>
      <c r="E344" t="s">
        <v>770</v>
      </c>
      <c r="F344" t="s">
        <v>1462</v>
      </c>
      <c r="G344" t="s">
        <v>1819</v>
      </c>
      <c r="H344" t="s">
        <v>221</v>
      </c>
      <c r="I344" t="s">
        <v>1577</v>
      </c>
      <c r="J344" t="s">
        <v>1342</v>
      </c>
      <c r="K344" t="s">
        <v>42</v>
      </c>
      <c r="L344" t="s">
        <v>42</v>
      </c>
      <c r="M344" t="s">
        <v>19</v>
      </c>
      <c r="N344">
        <v>491175</v>
      </c>
      <c r="O344" t="s">
        <v>1193</v>
      </c>
      <c r="P344">
        <v>6.625</v>
      </c>
      <c r="Q344" t="s">
        <v>564</v>
      </c>
      <c r="R344" t="s">
        <v>655</v>
      </c>
    </row>
    <row r="345" spans="1:18" x14ac:dyDescent="0.25">
      <c r="A345" t="s">
        <v>414</v>
      </c>
      <c r="B345" t="s">
        <v>1461</v>
      </c>
      <c r="C345" t="s">
        <v>415</v>
      </c>
      <c r="D345" t="s">
        <v>1656</v>
      </c>
      <c r="E345" t="s">
        <v>1853</v>
      </c>
      <c r="F345" t="s">
        <v>1462</v>
      </c>
      <c r="G345" t="s">
        <v>1819</v>
      </c>
      <c r="H345" t="s">
        <v>221</v>
      </c>
      <c r="I345" t="s">
        <v>1577</v>
      </c>
      <c r="J345" t="s">
        <v>1342</v>
      </c>
      <c r="K345" t="s">
        <v>42</v>
      </c>
      <c r="L345" t="s">
        <v>42</v>
      </c>
      <c r="M345" t="s">
        <v>19</v>
      </c>
      <c r="N345">
        <v>500000</v>
      </c>
      <c r="O345" t="s">
        <v>1193</v>
      </c>
      <c r="P345">
        <v>6.625</v>
      </c>
      <c r="Q345" t="s">
        <v>564</v>
      </c>
      <c r="R345" t="s">
        <v>655</v>
      </c>
    </row>
    <row r="346" spans="1:18" x14ac:dyDescent="0.25">
      <c r="A346" t="s">
        <v>416</v>
      </c>
      <c r="B346" t="s">
        <v>1461</v>
      </c>
      <c r="C346" t="s">
        <v>406</v>
      </c>
      <c r="D346" t="s">
        <v>1656</v>
      </c>
      <c r="E346" t="s">
        <v>417</v>
      </c>
      <c r="F346" t="s">
        <v>1462</v>
      </c>
      <c r="G346" t="s">
        <v>1819</v>
      </c>
      <c r="H346" t="s">
        <v>221</v>
      </c>
      <c r="I346" t="s">
        <v>1577</v>
      </c>
      <c r="J346" t="s">
        <v>1342</v>
      </c>
      <c r="K346" t="s">
        <v>42</v>
      </c>
      <c r="L346" t="s">
        <v>42</v>
      </c>
      <c r="M346" t="s">
        <v>19</v>
      </c>
      <c r="N346">
        <v>1000000</v>
      </c>
      <c r="O346" t="s">
        <v>1193</v>
      </c>
      <c r="P346">
        <v>6.625</v>
      </c>
      <c r="Q346" t="s">
        <v>564</v>
      </c>
    </row>
    <row r="347" spans="1:18" x14ac:dyDescent="0.25">
      <c r="A347" t="s">
        <v>418</v>
      </c>
      <c r="B347" t="s">
        <v>1461</v>
      </c>
      <c r="C347" t="s">
        <v>406</v>
      </c>
      <c r="D347" t="s">
        <v>1656</v>
      </c>
      <c r="E347" t="s">
        <v>771</v>
      </c>
      <c r="F347" t="s">
        <v>1462</v>
      </c>
      <c r="G347" t="s">
        <v>1819</v>
      </c>
      <c r="H347" t="s">
        <v>221</v>
      </c>
      <c r="I347" t="s">
        <v>1577</v>
      </c>
      <c r="J347" t="s">
        <v>1342</v>
      </c>
      <c r="K347" t="s">
        <v>42</v>
      </c>
      <c r="L347" t="s">
        <v>42</v>
      </c>
      <c r="M347" t="s">
        <v>19</v>
      </c>
      <c r="N347">
        <v>3323470</v>
      </c>
      <c r="O347" t="s">
        <v>1193</v>
      </c>
      <c r="P347">
        <v>6.35</v>
      </c>
      <c r="Q347" t="s">
        <v>564</v>
      </c>
      <c r="R347" t="s">
        <v>2518</v>
      </c>
    </row>
    <row r="348" spans="1:18" x14ac:dyDescent="0.25">
      <c r="A348" t="s">
        <v>418</v>
      </c>
      <c r="B348" t="s">
        <v>1461</v>
      </c>
      <c r="C348" t="s">
        <v>406</v>
      </c>
      <c r="D348" t="s">
        <v>1656</v>
      </c>
      <c r="E348" t="s">
        <v>1854</v>
      </c>
      <c r="F348" t="s">
        <v>1462</v>
      </c>
      <c r="G348" t="s">
        <v>1819</v>
      </c>
      <c r="H348" t="s">
        <v>221</v>
      </c>
      <c r="I348" t="s">
        <v>1577</v>
      </c>
      <c r="J348" t="s">
        <v>1342</v>
      </c>
      <c r="K348" t="s">
        <v>42</v>
      </c>
      <c r="L348" t="s">
        <v>42</v>
      </c>
      <c r="M348" t="s">
        <v>19</v>
      </c>
      <c r="N348">
        <v>3328663</v>
      </c>
      <c r="O348" t="s">
        <v>1193</v>
      </c>
      <c r="P348">
        <v>6.35</v>
      </c>
      <c r="Q348" t="s">
        <v>564</v>
      </c>
      <c r="R348" t="s">
        <v>2518</v>
      </c>
    </row>
    <row r="349" spans="1:18" x14ac:dyDescent="0.25">
      <c r="A349" t="s">
        <v>419</v>
      </c>
      <c r="B349" t="s">
        <v>1461</v>
      </c>
      <c r="C349" t="s">
        <v>406</v>
      </c>
      <c r="D349" t="s">
        <v>1656</v>
      </c>
      <c r="E349" t="s">
        <v>772</v>
      </c>
      <c r="F349" t="s">
        <v>1462</v>
      </c>
      <c r="G349" t="s">
        <v>1819</v>
      </c>
      <c r="H349" t="s">
        <v>221</v>
      </c>
      <c r="I349" t="s">
        <v>1577</v>
      </c>
      <c r="J349" t="s">
        <v>1342</v>
      </c>
      <c r="K349" t="s">
        <v>42</v>
      </c>
      <c r="L349" t="s">
        <v>42</v>
      </c>
      <c r="M349" t="s">
        <v>19</v>
      </c>
      <c r="N349">
        <v>6779842</v>
      </c>
      <c r="O349" t="s">
        <v>1193</v>
      </c>
      <c r="P349">
        <v>6.7</v>
      </c>
      <c r="Q349" t="s">
        <v>564</v>
      </c>
      <c r="R349" t="s">
        <v>656</v>
      </c>
    </row>
    <row r="350" spans="1:18" x14ac:dyDescent="0.25">
      <c r="A350" t="s">
        <v>419</v>
      </c>
      <c r="B350" t="s">
        <v>1461</v>
      </c>
      <c r="C350" t="s">
        <v>406</v>
      </c>
      <c r="D350" t="s">
        <v>1656</v>
      </c>
      <c r="E350" t="s">
        <v>420</v>
      </c>
      <c r="F350" t="s">
        <v>1462</v>
      </c>
      <c r="G350" t="s">
        <v>1819</v>
      </c>
      <c r="H350" t="s">
        <v>221</v>
      </c>
      <c r="I350" t="s">
        <v>1577</v>
      </c>
      <c r="J350" t="s">
        <v>1342</v>
      </c>
      <c r="K350" t="s">
        <v>42</v>
      </c>
      <c r="L350" t="s">
        <v>42</v>
      </c>
      <c r="M350" t="s">
        <v>19</v>
      </c>
      <c r="N350">
        <v>6813567</v>
      </c>
      <c r="O350" t="s">
        <v>1193</v>
      </c>
      <c r="P350">
        <v>6.7</v>
      </c>
      <c r="Q350" t="s">
        <v>564</v>
      </c>
      <c r="R350" t="s">
        <v>656</v>
      </c>
    </row>
    <row r="351" spans="1:18" x14ac:dyDescent="0.25">
      <c r="A351" t="s">
        <v>421</v>
      </c>
      <c r="B351" t="s">
        <v>1461</v>
      </c>
      <c r="C351" t="s">
        <v>406</v>
      </c>
      <c r="D351" t="s">
        <v>1656</v>
      </c>
      <c r="E351" t="s">
        <v>773</v>
      </c>
      <c r="F351" t="s">
        <v>1462</v>
      </c>
      <c r="G351" t="s">
        <v>1819</v>
      </c>
      <c r="H351" t="s">
        <v>221</v>
      </c>
      <c r="I351" t="s">
        <v>1577</v>
      </c>
      <c r="J351" t="s">
        <v>1342</v>
      </c>
      <c r="K351" t="s">
        <v>42</v>
      </c>
      <c r="L351" t="s">
        <v>42</v>
      </c>
      <c r="M351" t="s">
        <v>19</v>
      </c>
      <c r="N351">
        <v>4387135</v>
      </c>
      <c r="O351" t="s">
        <v>1193</v>
      </c>
      <c r="P351">
        <v>6.84</v>
      </c>
      <c r="Q351" t="s">
        <v>564</v>
      </c>
      <c r="R351" t="s">
        <v>657</v>
      </c>
    </row>
    <row r="352" spans="1:18" x14ac:dyDescent="0.25">
      <c r="A352" t="s">
        <v>421</v>
      </c>
      <c r="B352" t="s">
        <v>1461</v>
      </c>
      <c r="C352" t="s">
        <v>406</v>
      </c>
      <c r="D352" t="s">
        <v>1656</v>
      </c>
      <c r="E352" t="s">
        <v>2062</v>
      </c>
      <c r="F352" t="s">
        <v>1462</v>
      </c>
      <c r="G352" t="s">
        <v>1819</v>
      </c>
      <c r="H352" t="s">
        <v>221</v>
      </c>
      <c r="I352" t="s">
        <v>1577</v>
      </c>
      <c r="J352" t="s">
        <v>1342</v>
      </c>
      <c r="K352" t="s">
        <v>42</v>
      </c>
      <c r="L352" t="s">
        <v>42</v>
      </c>
      <c r="M352" t="s">
        <v>19</v>
      </c>
      <c r="N352">
        <v>4420831</v>
      </c>
      <c r="O352" t="s">
        <v>1193</v>
      </c>
      <c r="P352">
        <v>6.84</v>
      </c>
      <c r="Q352" t="s">
        <v>564</v>
      </c>
      <c r="R352" t="s">
        <v>657</v>
      </c>
    </row>
    <row r="353" spans="1:18" x14ac:dyDescent="0.25">
      <c r="A353" t="s">
        <v>422</v>
      </c>
      <c r="B353" t="s">
        <v>1461</v>
      </c>
      <c r="C353" t="s">
        <v>406</v>
      </c>
      <c r="D353" t="s">
        <v>1656</v>
      </c>
      <c r="E353" t="s">
        <v>2079</v>
      </c>
      <c r="F353" t="s">
        <v>1462</v>
      </c>
      <c r="G353" t="s">
        <v>1819</v>
      </c>
      <c r="H353" t="s">
        <v>221</v>
      </c>
      <c r="I353" t="s">
        <v>1577</v>
      </c>
      <c r="J353" t="s">
        <v>1342</v>
      </c>
      <c r="K353" t="s">
        <v>42</v>
      </c>
      <c r="L353" t="s">
        <v>42</v>
      </c>
      <c r="M353" t="s">
        <v>19</v>
      </c>
      <c r="N353">
        <v>3800000</v>
      </c>
      <c r="O353" t="s">
        <v>1193</v>
      </c>
      <c r="P353">
        <v>6.95</v>
      </c>
      <c r="Q353" t="s">
        <v>564</v>
      </c>
      <c r="R353" t="s">
        <v>658</v>
      </c>
    </row>
    <row r="354" spans="1:18" x14ac:dyDescent="0.25">
      <c r="A354" t="s">
        <v>422</v>
      </c>
      <c r="B354" t="s">
        <v>1461</v>
      </c>
      <c r="C354" t="s">
        <v>406</v>
      </c>
      <c r="D354" t="s">
        <v>1656</v>
      </c>
      <c r="E354" t="s">
        <v>774</v>
      </c>
      <c r="F354" t="s">
        <v>1462</v>
      </c>
      <c r="G354" t="s">
        <v>1819</v>
      </c>
      <c r="H354" t="s">
        <v>221</v>
      </c>
      <c r="I354" t="s">
        <v>1577</v>
      </c>
      <c r="J354" t="s">
        <v>1342</v>
      </c>
      <c r="K354" t="s">
        <v>42</v>
      </c>
      <c r="L354" t="s">
        <v>42</v>
      </c>
      <c r="M354" t="s">
        <v>19</v>
      </c>
      <c r="N354">
        <v>3796812</v>
      </c>
      <c r="O354" t="s">
        <v>1193</v>
      </c>
      <c r="P354">
        <v>6.95</v>
      </c>
      <c r="Q354" t="s">
        <v>564</v>
      </c>
      <c r="R354" t="s">
        <v>658</v>
      </c>
    </row>
    <row r="355" spans="1:18" x14ac:dyDescent="0.25">
      <c r="A355" t="s">
        <v>423</v>
      </c>
      <c r="B355" t="s">
        <v>1461</v>
      </c>
      <c r="C355" t="s">
        <v>406</v>
      </c>
      <c r="D355" t="s">
        <v>1656</v>
      </c>
      <c r="E355" t="s">
        <v>775</v>
      </c>
      <c r="F355" t="s">
        <v>1462</v>
      </c>
      <c r="G355" t="s">
        <v>1819</v>
      </c>
      <c r="H355" t="s">
        <v>221</v>
      </c>
      <c r="I355" t="s">
        <v>1577</v>
      </c>
      <c r="J355" t="s">
        <v>1342</v>
      </c>
      <c r="K355" t="s">
        <v>42</v>
      </c>
      <c r="L355" t="s">
        <v>42</v>
      </c>
      <c r="M355" t="s">
        <v>19</v>
      </c>
      <c r="N355">
        <v>8047831</v>
      </c>
      <c r="O355" t="s">
        <v>1193</v>
      </c>
      <c r="P355">
        <v>7.69</v>
      </c>
      <c r="Q355" t="s">
        <v>564</v>
      </c>
      <c r="R355" t="s">
        <v>659</v>
      </c>
    </row>
    <row r="356" spans="1:18" x14ac:dyDescent="0.25">
      <c r="A356" t="s">
        <v>423</v>
      </c>
      <c r="B356" t="s">
        <v>1461</v>
      </c>
      <c r="C356" t="s">
        <v>406</v>
      </c>
      <c r="D356" t="s">
        <v>1656</v>
      </c>
      <c r="E356" t="s">
        <v>1863</v>
      </c>
      <c r="F356" t="s">
        <v>1462</v>
      </c>
      <c r="G356" t="s">
        <v>1819</v>
      </c>
      <c r="H356" t="s">
        <v>221</v>
      </c>
      <c r="I356" t="s">
        <v>1577</v>
      </c>
      <c r="J356" t="s">
        <v>1342</v>
      </c>
      <c r="K356" t="s">
        <v>42</v>
      </c>
      <c r="L356" t="s">
        <v>42</v>
      </c>
      <c r="M356" t="s">
        <v>19</v>
      </c>
      <c r="N356">
        <v>8066405</v>
      </c>
      <c r="O356" t="s">
        <v>1193</v>
      </c>
      <c r="P356">
        <v>7.69</v>
      </c>
      <c r="Q356" t="s">
        <v>564</v>
      </c>
      <c r="R356" t="s">
        <v>659</v>
      </c>
    </row>
    <row r="357" spans="1:18" x14ac:dyDescent="0.25">
      <c r="A357" t="s">
        <v>424</v>
      </c>
      <c r="B357" t="s">
        <v>1461</v>
      </c>
      <c r="C357" t="s">
        <v>406</v>
      </c>
      <c r="D357" t="s">
        <v>1656</v>
      </c>
      <c r="E357" t="s">
        <v>1855</v>
      </c>
      <c r="F357" t="s">
        <v>1462</v>
      </c>
      <c r="G357" t="s">
        <v>1819</v>
      </c>
      <c r="H357" t="s">
        <v>221</v>
      </c>
      <c r="I357" t="s">
        <v>1577</v>
      </c>
      <c r="J357" t="s">
        <v>1342</v>
      </c>
      <c r="K357" t="s">
        <v>42</v>
      </c>
      <c r="L357" t="s">
        <v>42</v>
      </c>
      <c r="M357" t="s">
        <v>19</v>
      </c>
      <c r="N357">
        <v>1984688.669</v>
      </c>
      <c r="O357" t="s">
        <v>1193</v>
      </c>
      <c r="P357">
        <v>8.75</v>
      </c>
      <c r="Q357" t="s">
        <v>564</v>
      </c>
      <c r="R357" t="s">
        <v>2519</v>
      </c>
    </row>
    <row r="358" spans="1:18" x14ac:dyDescent="0.25">
      <c r="A358" t="s">
        <v>424</v>
      </c>
      <c r="B358" t="s">
        <v>1461</v>
      </c>
      <c r="C358" t="s">
        <v>406</v>
      </c>
      <c r="D358" t="s">
        <v>1656</v>
      </c>
      <c r="E358" t="s">
        <v>776</v>
      </c>
      <c r="F358" t="s">
        <v>1462</v>
      </c>
      <c r="G358" t="s">
        <v>1819</v>
      </c>
      <c r="H358" t="s">
        <v>221</v>
      </c>
      <c r="I358" t="s">
        <v>1577</v>
      </c>
      <c r="J358" t="s">
        <v>1342</v>
      </c>
      <c r="K358" t="s">
        <v>42</v>
      </c>
      <c r="L358" t="s">
        <v>42</v>
      </c>
      <c r="M358" t="s">
        <v>19</v>
      </c>
      <c r="N358">
        <v>1908684.7050000001</v>
      </c>
      <c r="O358" t="s">
        <v>1193</v>
      </c>
      <c r="P358">
        <v>8.75</v>
      </c>
      <c r="Q358" t="s">
        <v>564</v>
      </c>
      <c r="R358" t="s">
        <v>2519</v>
      </c>
    </row>
    <row r="359" spans="1:18" x14ac:dyDescent="0.25">
      <c r="A359" t="s">
        <v>424</v>
      </c>
      <c r="B359" t="s">
        <v>1461</v>
      </c>
      <c r="C359" t="s">
        <v>406</v>
      </c>
      <c r="D359" t="s">
        <v>1656</v>
      </c>
      <c r="E359" t="s">
        <v>1920</v>
      </c>
      <c r="F359" t="s">
        <v>1462</v>
      </c>
      <c r="G359" t="s">
        <v>1819</v>
      </c>
      <c r="H359" t="s">
        <v>221</v>
      </c>
      <c r="I359" t="s">
        <v>1577</v>
      </c>
      <c r="J359" t="s">
        <v>1342</v>
      </c>
      <c r="K359" t="s">
        <v>42</v>
      </c>
      <c r="L359" t="s">
        <v>42</v>
      </c>
      <c r="M359" t="s">
        <v>19</v>
      </c>
      <c r="N359">
        <v>1984688.669</v>
      </c>
      <c r="O359" t="s">
        <v>1193</v>
      </c>
      <c r="P359">
        <v>8.75</v>
      </c>
      <c r="Q359" t="s">
        <v>564</v>
      </c>
      <c r="R359" t="s">
        <v>2519</v>
      </c>
    </row>
    <row r="360" spans="1:18" x14ac:dyDescent="0.25">
      <c r="A360" t="s">
        <v>425</v>
      </c>
      <c r="B360" t="s">
        <v>1463</v>
      </c>
      <c r="C360" t="s">
        <v>426</v>
      </c>
      <c r="D360" t="s">
        <v>1657</v>
      </c>
      <c r="E360" t="s">
        <v>427</v>
      </c>
      <c r="F360" t="s">
        <v>1464</v>
      </c>
      <c r="G360" t="s">
        <v>1820</v>
      </c>
      <c r="H360" t="s">
        <v>1224</v>
      </c>
      <c r="I360" t="s">
        <v>1195</v>
      </c>
      <c r="J360" t="s">
        <v>1313</v>
      </c>
      <c r="K360" t="s">
        <v>42</v>
      </c>
      <c r="L360" t="s">
        <v>42</v>
      </c>
      <c r="M360" t="s">
        <v>19</v>
      </c>
      <c r="N360">
        <v>500000</v>
      </c>
      <c r="O360" t="s">
        <v>1193</v>
      </c>
      <c r="P360">
        <v>4.75</v>
      </c>
      <c r="Q360" t="s">
        <v>562</v>
      </c>
      <c r="R360" t="s">
        <v>2520</v>
      </c>
    </row>
    <row r="361" spans="1:18" x14ac:dyDescent="0.25">
      <c r="A361" t="s">
        <v>428</v>
      </c>
      <c r="B361" t="s">
        <v>1463</v>
      </c>
      <c r="C361" t="s">
        <v>426</v>
      </c>
      <c r="D361" t="s">
        <v>1657</v>
      </c>
      <c r="E361" t="s">
        <v>429</v>
      </c>
      <c r="F361" t="s">
        <v>1464</v>
      </c>
      <c r="G361" t="s">
        <v>1820</v>
      </c>
      <c r="H361" t="s">
        <v>1224</v>
      </c>
      <c r="I361" t="s">
        <v>1195</v>
      </c>
      <c r="J361" t="s">
        <v>1313</v>
      </c>
      <c r="K361" t="s">
        <v>42</v>
      </c>
      <c r="L361" t="s">
        <v>42</v>
      </c>
      <c r="M361" t="s">
        <v>19</v>
      </c>
      <c r="N361">
        <v>650000</v>
      </c>
      <c r="O361" t="s">
        <v>1193</v>
      </c>
      <c r="P361">
        <v>4.1500000000000004</v>
      </c>
      <c r="Q361" t="s">
        <v>562</v>
      </c>
      <c r="R361" t="s">
        <v>2521</v>
      </c>
    </row>
    <row r="362" spans="1:18" x14ac:dyDescent="0.25">
      <c r="A362" t="s">
        <v>430</v>
      </c>
      <c r="B362" t="s">
        <v>1463</v>
      </c>
      <c r="C362" t="s">
        <v>426</v>
      </c>
      <c r="D362" t="s">
        <v>1657</v>
      </c>
      <c r="E362" t="s">
        <v>431</v>
      </c>
      <c r="F362" t="s">
        <v>1464</v>
      </c>
      <c r="G362" t="s">
        <v>1820</v>
      </c>
      <c r="H362" t="s">
        <v>1224</v>
      </c>
      <c r="I362" t="s">
        <v>1195</v>
      </c>
      <c r="J362" t="s">
        <v>1313</v>
      </c>
      <c r="K362" t="s">
        <v>42</v>
      </c>
      <c r="L362" t="s">
        <v>42</v>
      </c>
      <c r="M362" t="s">
        <v>19</v>
      </c>
      <c r="N362">
        <v>550000</v>
      </c>
      <c r="O362" t="s">
        <v>1193</v>
      </c>
      <c r="P362">
        <v>5.65</v>
      </c>
      <c r="Q362" t="s">
        <v>562</v>
      </c>
      <c r="R362" t="s">
        <v>2522</v>
      </c>
    </row>
    <row r="363" spans="1:18" x14ac:dyDescent="0.25">
      <c r="A363" t="s">
        <v>777</v>
      </c>
      <c r="B363" t="s">
        <v>1465</v>
      </c>
      <c r="C363" t="s">
        <v>433</v>
      </c>
      <c r="D363" t="s">
        <v>1658</v>
      </c>
      <c r="E363" t="s">
        <v>778</v>
      </c>
      <c r="F363" t="s">
        <v>1466</v>
      </c>
      <c r="G363" t="s">
        <v>1821</v>
      </c>
      <c r="H363" t="s">
        <v>221</v>
      </c>
      <c r="I363" t="s">
        <v>1577</v>
      </c>
      <c r="J363" t="s">
        <v>1342</v>
      </c>
      <c r="K363" t="s">
        <v>873</v>
      </c>
      <c r="L363" t="s">
        <v>27</v>
      </c>
      <c r="M363" t="s">
        <v>19</v>
      </c>
      <c r="N363">
        <v>1500000</v>
      </c>
      <c r="O363" t="s">
        <v>1193</v>
      </c>
      <c r="P363">
        <v>5.5</v>
      </c>
      <c r="Q363" t="s">
        <v>564</v>
      </c>
      <c r="R363" t="s">
        <v>2523</v>
      </c>
    </row>
    <row r="364" spans="1:18" x14ac:dyDescent="0.25">
      <c r="A364" t="s">
        <v>779</v>
      </c>
      <c r="B364" t="s">
        <v>1465</v>
      </c>
      <c r="C364" t="s">
        <v>433</v>
      </c>
      <c r="D364" t="s">
        <v>1658</v>
      </c>
      <c r="E364" t="s">
        <v>780</v>
      </c>
      <c r="F364" t="s">
        <v>1466</v>
      </c>
      <c r="G364" t="s">
        <v>1821</v>
      </c>
      <c r="H364" t="s">
        <v>221</v>
      </c>
      <c r="I364" t="s">
        <v>1577</v>
      </c>
      <c r="J364" t="s">
        <v>1342</v>
      </c>
      <c r="K364" t="s">
        <v>873</v>
      </c>
      <c r="L364" t="s">
        <v>27</v>
      </c>
      <c r="M364" t="s">
        <v>19</v>
      </c>
      <c r="N364">
        <v>2750000</v>
      </c>
      <c r="O364" t="s">
        <v>1193</v>
      </c>
      <c r="P364">
        <v>5.75</v>
      </c>
      <c r="Q364" t="s">
        <v>564</v>
      </c>
      <c r="R364" t="s">
        <v>2524</v>
      </c>
    </row>
    <row r="365" spans="1:18" x14ac:dyDescent="0.25">
      <c r="A365" t="s">
        <v>1934</v>
      </c>
      <c r="B365" t="s">
        <v>1465</v>
      </c>
      <c r="C365" t="s">
        <v>433</v>
      </c>
      <c r="D365" t="s">
        <v>1658</v>
      </c>
      <c r="E365" t="s">
        <v>1935</v>
      </c>
      <c r="F365" t="s">
        <v>1466</v>
      </c>
      <c r="G365" t="s">
        <v>1821</v>
      </c>
      <c r="H365" t="s">
        <v>221</v>
      </c>
      <c r="I365" t="s">
        <v>1577</v>
      </c>
      <c r="J365" t="s">
        <v>1342</v>
      </c>
      <c r="K365" t="s">
        <v>873</v>
      </c>
      <c r="L365" t="s">
        <v>27</v>
      </c>
      <c r="M365" t="s">
        <v>19</v>
      </c>
      <c r="N365">
        <v>1000000</v>
      </c>
      <c r="O365" t="s">
        <v>1193</v>
      </c>
      <c r="P365">
        <v>5.125</v>
      </c>
      <c r="Q365" t="s">
        <v>564</v>
      </c>
      <c r="R365" t="s">
        <v>2525</v>
      </c>
    </row>
    <row r="366" spans="1:18" x14ac:dyDescent="0.25">
      <c r="A366" t="s">
        <v>781</v>
      </c>
      <c r="B366" t="s">
        <v>1465</v>
      </c>
      <c r="C366" t="s">
        <v>782</v>
      </c>
      <c r="D366" t="s">
        <v>1658</v>
      </c>
      <c r="E366" t="s">
        <v>783</v>
      </c>
      <c r="F366" t="s">
        <v>1466</v>
      </c>
      <c r="G366" t="s">
        <v>1821</v>
      </c>
      <c r="H366" t="s">
        <v>221</v>
      </c>
      <c r="I366" t="s">
        <v>1577</v>
      </c>
      <c r="J366" t="s">
        <v>1342</v>
      </c>
      <c r="K366" t="s">
        <v>873</v>
      </c>
      <c r="L366" t="s">
        <v>27</v>
      </c>
      <c r="M366" t="s">
        <v>19</v>
      </c>
      <c r="N366">
        <v>1750000</v>
      </c>
      <c r="O366" t="s">
        <v>1193</v>
      </c>
      <c r="P366">
        <v>5.625</v>
      </c>
      <c r="Q366" t="s">
        <v>564</v>
      </c>
      <c r="R366" t="s">
        <v>784</v>
      </c>
    </row>
    <row r="367" spans="1:18" x14ac:dyDescent="0.25">
      <c r="A367" t="s">
        <v>432</v>
      </c>
      <c r="B367" t="s">
        <v>1465</v>
      </c>
      <c r="C367" t="s">
        <v>433</v>
      </c>
      <c r="D367" t="s">
        <v>1658</v>
      </c>
      <c r="E367" t="s">
        <v>785</v>
      </c>
      <c r="F367" t="s">
        <v>1466</v>
      </c>
      <c r="G367" t="s">
        <v>1821</v>
      </c>
      <c r="H367" t="s">
        <v>221</v>
      </c>
      <c r="I367" t="s">
        <v>1577</v>
      </c>
      <c r="J367" t="s">
        <v>1342</v>
      </c>
      <c r="K367" t="s">
        <v>873</v>
      </c>
      <c r="L367" t="s">
        <v>27</v>
      </c>
      <c r="M367" t="s">
        <v>19</v>
      </c>
      <c r="N367">
        <v>4037681</v>
      </c>
      <c r="O367" t="s">
        <v>1193</v>
      </c>
      <c r="P367">
        <v>5.093</v>
      </c>
      <c r="Q367" t="s">
        <v>564</v>
      </c>
      <c r="R367" t="s">
        <v>628</v>
      </c>
    </row>
    <row r="368" spans="1:18" x14ac:dyDescent="0.25">
      <c r="A368" t="s">
        <v>432</v>
      </c>
      <c r="B368" t="s">
        <v>1465</v>
      </c>
      <c r="C368" t="s">
        <v>433</v>
      </c>
      <c r="D368" t="s">
        <v>1658</v>
      </c>
      <c r="E368" t="s">
        <v>1864</v>
      </c>
      <c r="F368" t="s">
        <v>1466</v>
      </c>
      <c r="G368" t="s">
        <v>1821</v>
      </c>
      <c r="H368" t="s">
        <v>221</v>
      </c>
      <c r="I368" t="s">
        <v>1577</v>
      </c>
      <c r="J368" t="s">
        <v>1342</v>
      </c>
      <c r="K368" t="s">
        <v>873</v>
      </c>
      <c r="L368" t="s">
        <v>27</v>
      </c>
      <c r="M368" t="s">
        <v>19</v>
      </c>
      <c r="N368">
        <v>4115281</v>
      </c>
      <c r="O368" t="s">
        <v>1193</v>
      </c>
      <c r="P368">
        <v>5.093</v>
      </c>
      <c r="Q368" t="s">
        <v>564</v>
      </c>
      <c r="R368" t="s">
        <v>628</v>
      </c>
    </row>
    <row r="369" spans="1:18" x14ac:dyDescent="0.25">
      <c r="A369" t="s">
        <v>786</v>
      </c>
      <c r="B369" t="s">
        <v>1465</v>
      </c>
      <c r="C369" t="s">
        <v>433</v>
      </c>
      <c r="D369" t="s">
        <v>1658</v>
      </c>
      <c r="E369" t="s">
        <v>787</v>
      </c>
      <c r="F369" t="s">
        <v>1466</v>
      </c>
      <c r="G369" t="s">
        <v>1821</v>
      </c>
      <c r="H369" t="s">
        <v>221</v>
      </c>
      <c r="I369" t="s">
        <v>1577</v>
      </c>
      <c r="J369" t="s">
        <v>1342</v>
      </c>
      <c r="K369" t="s">
        <v>873</v>
      </c>
      <c r="L369" t="s">
        <v>27</v>
      </c>
      <c r="M369" t="s">
        <v>19</v>
      </c>
      <c r="N369">
        <v>2500000</v>
      </c>
      <c r="O369" t="s">
        <v>1193</v>
      </c>
      <c r="P369">
        <v>5.6</v>
      </c>
      <c r="Q369" t="s">
        <v>564</v>
      </c>
      <c r="R369" t="s">
        <v>2526</v>
      </c>
    </row>
    <row r="370" spans="1:18" x14ac:dyDescent="0.25">
      <c r="A370" t="s">
        <v>1064</v>
      </c>
      <c r="B370" t="s">
        <v>1465</v>
      </c>
      <c r="C370" t="s">
        <v>433</v>
      </c>
      <c r="D370" t="s">
        <v>1658</v>
      </c>
      <c r="E370" t="s">
        <v>1065</v>
      </c>
      <c r="F370" t="s">
        <v>1466</v>
      </c>
      <c r="G370" t="s">
        <v>1821</v>
      </c>
      <c r="H370" t="s">
        <v>221</v>
      </c>
      <c r="I370" t="s">
        <v>1577</v>
      </c>
      <c r="J370" t="s">
        <v>1342</v>
      </c>
      <c r="K370" t="s">
        <v>873</v>
      </c>
      <c r="L370" t="s">
        <v>27</v>
      </c>
      <c r="M370" t="s">
        <v>19</v>
      </c>
      <c r="N370">
        <v>1000000</v>
      </c>
      <c r="O370" t="s">
        <v>1193</v>
      </c>
      <c r="P370">
        <v>6</v>
      </c>
      <c r="Q370" t="s">
        <v>564</v>
      </c>
      <c r="R370" t="s">
        <v>1066</v>
      </c>
    </row>
    <row r="371" spans="1:18" x14ac:dyDescent="0.25">
      <c r="A371" t="s">
        <v>1936</v>
      </c>
      <c r="B371" t="s">
        <v>1465</v>
      </c>
      <c r="C371" t="s">
        <v>433</v>
      </c>
      <c r="D371" t="s">
        <v>1658</v>
      </c>
      <c r="E371" t="s">
        <v>1937</v>
      </c>
      <c r="F371" t="s">
        <v>1466</v>
      </c>
      <c r="G371" t="s">
        <v>1821</v>
      </c>
      <c r="H371" t="s">
        <v>221</v>
      </c>
      <c r="I371" t="s">
        <v>1577</v>
      </c>
      <c r="J371" t="s">
        <v>1342</v>
      </c>
      <c r="K371" t="s">
        <v>873</v>
      </c>
      <c r="L371" t="s">
        <v>27</v>
      </c>
      <c r="M371" t="s">
        <v>19</v>
      </c>
      <c r="N371">
        <v>1000000</v>
      </c>
      <c r="O371" t="s">
        <v>1193</v>
      </c>
      <c r="P371">
        <v>6.25</v>
      </c>
      <c r="Q371" t="s">
        <v>564</v>
      </c>
      <c r="R371" t="s">
        <v>2527</v>
      </c>
    </row>
    <row r="372" spans="1:18" x14ac:dyDescent="0.25">
      <c r="A372" t="s">
        <v>863</v>
      </c>
      <c r="B372" t="s">
        <v>1465</v>
      </c>
      <c r="C372" t="s">
        <v>433</v>
      </c>
      <c r="D372" t="s">
        <v>1658</v>
      </c>
      <c r="E372" t="s">
        <v>864</v>
      </c>
      <c r="F372" t="s">
        <v>1466</v>
      </c>
      <c r="G372" t="s">
        <v>1821</v>
      </c>
      <c r="H372" t="s">
        <v>221</v>
      </c>
      <c r="I372" t="s">
        <v>1577</v>
      </c>
      <c r="J372" t="s">
        <v>1342</v>
      </c>
      <c r="K372" t="s">
        <v>873</v>
      </c>
      <c r="L372" t="s">
        <v>27</v>
      </c>
      <c r="M372" t="s">
        <v>19</v>
      </c>
      <c r="N372">
        <v>1250000</v>
      </c>
      <c r="O372" t="s">
        <v>1193</v>
      </c>
      <c r="P372">
        <v>6.5</v>
      </c>
      <c r="Q372" t="s">
        <v>564</v>
      </c>
      <c r="R372" t="s">
        <v>2528</v>
      </c>
    </row>
    <row r="373" spans="1:18" x14ac:dyDescent="0.25">
      <c r="A373" t="s">
        <v>789</v>
      </c>
      <c r="B373" t="s">
        <v>1465</v>
      </c>
      <c r="C373" t="s">
        <v>433</v>
      </c>
      <c r="D373" t="s">
        <v>1658</v>
      </c>
      <c r="E373" t="s">
        <v>790</v>
      </c>
      <c r="F373" t="s">
        <v>1466</v>
      </c>
      <c r="G373" t="s">
        <v>1821</v>
      </c>
      <c r="H373" t="s">
        <v>221</v>
      </c>
      <c r="I373" t="s">
        <v>1577</v>
      </c>
      <c r="J373" t="s">
        <v>1342</v>
      </c>
      <c r="K373" t="s">
        <v>873</v>
      </c>
      <c r="L373" t="s">
        <v>27</v>
      </c>
      <c r="M373" t="s">
        <v>19</v>
      </c>
      <c r="N373">
        <v>2250000</v>
      </c>
      <c r="O373" t="s">
        <v>1193</v>
      </c>
      <c r="P373">
        <v>6.75</v>
      </c>
      <c r="Q373" t="s">
        <v>564</v>
      </c>
      <c r="R373" t="s">
        <v>791</v>
      </c>
    </row>
    <row r="374" spans="1:18" x14ac:dyDescent="0.25">
      <c r="A374" t="s">
        <v>792</v>
      </c>
      <c r="B374" t="s">
        <v>1465</v>
      </c>
      <c r="C374" t="s">
        <v>433</v>
      </c>
      <c r="D374" t="s">
        <v>1658</v>
      </c>
      <c r="E374" t="s">
        <v>793</v>
      </c>
      <c r="F374" t="s">
        <v>1466</v>
      </c>
      <c r="G374" t="s">
        <v>1821</v>
      </c>
      <c r="H374" t="s">
        <v>221</v>
      </c>
      <c r="I374" t="s">
        <v>1577</v>
      </c>
      <c r="J374" t="s">
        <v>1342</v>
      </c>
      <c r="K374" t="s">
        <v>873</v>
      </c>
      <c r="L374" t="s">
        <v>27</v>
      </c>
      <c r="M374" t="s">
        <v>19</v>
      </c>
      <c r="N374">
        <v>1750000</v>
      </c>
      <c r="O374" t="s">
        <v>1193</v>
      </c>
      <c r="P374">
        <v>6.75</v>
      </c>
      <c r="Q374" t="s">
        <v>564</v>
      </c>
      <c r="R374" t="s">
        <v>2529</v>
      </c>
    </row>
    <row r="375" spans="1:18" x14ac:dyDescent="0.25">
      <c r="A375" t="s">
        <v>794</v>
      </c>
      <c r="B375" t="s">
        <v>1465</v>
      </c>
      <c r="C375" t="s">
        <v>433</v>
      </c>
      <c r="D375" t="s">
        <v>1658</v>
      </c>
      <c r="E375" t="s">
        <v>795</v>
      </c>
      <c r="F375" t="s">
        <v>1466</v>
      </c>
      <c r="G375" t="s">
        <v>1821</v>
      </c>
      <c r="H375" t="s">
        <v>221</v>
      </c>
      <c r="I375" t="s">
        <v>1577</v>
      </c>
      <c r="J375" t="s">
        <v>1342</v>
      </c>
      <c r="K375" t="s">
        <v>873</v>
      </c>
      <c r="L375" t="s">
        <v>27</v>
      </c>
      <c r="M375" t="s">
        <v>19</v>
      </c>
      <c r="N375">
        <v>1500000</v>
      </c>
      <c r="O375" t="s">
        <v>1193</v>
      </c>
      <c r="P375">
        <v>6.875</v>
      </c>
      <c r="Q375" t="s">
        <v>564</v>
      </c>
      <c r="R375" t="s">
        <v>796</v>
      </c>
    </row>
    <row r="376" spans="1:18" x14ac:dyDescent="0.25">
      <c r="A376" t="s">
        <v>797</v>
      </c>
      <c r="B376" t="s">
        <v>1465</v>
      </c>
      <c r="C376" t="s">
        <v>433</v>
      </c>
      <c r="D376" t="s">
        <v>1658</v>
      </c>
      <c r="E376" t="s">
        <v>798</v>
      </c>
      <c r="F376" t="s">
        <v>1466</v>
      </c>
      <c r="G376" t="s">
        <v>1821</v>
      </c>
      <c r="H376" t="s">
        <v>221</v>
      </c>
      <c r="I376" t="s">
        <v>1577</v>
      </c>
      <c r="J376" t="s">
        <v>1342</v>
      </c>
      <c r="K376" t="s">
        <v>873</v>
      </c>
      <c r="L376" t="s">
        <v>27</v>
      </c>
      <c r="M376" t="s">
        <v>19</v>
      </c>
      <c r="N376">
        <v>2500000</v>
      </c>
      <c r="O376" t="s">
        <v>1193</v>
      </c>
      <c r="P376">
        <v>6.85</v>
      </c>
      <c r="Q376" t="s">
        <v>564</v>
      </c>
      <c r="R376" t="s">
        <v>2530</v>
      </c>
    </row>
    <row r="377" spans="1:18" x14ac:dyDescent="0.25">
      <c r="A377" t="s">
        <v>799</v>
      </c>
      <c r="B377" t="s">
        <v>1465</v>
      </c>
      <c r="C377" t="s">
        <v>433</v>
      </c>
      <c r="D377" t="s">
        <v>1658</v>
      </c>
      <c r="E377" t="s">
        <v>800</v>
      </c>
      <c r="F377" t="s">
        <v>1466</v>
      </c>
      <c r="G377" t="s">
        <v>1821</v>
      </c>
      <c r="H377" t="s">
        <v>221</v>
      </c>
      <c r="I377" t="s">
        <v>1577</v>
      </c>
      <c r="J377" t="s">
        <v>1342</v>
      </c>
      <c r="K377" t="s">
        <v>873</v>
      </c>
      <c r="L377" t="s">
        <v>27</v>
      </c>
      <c r="M377" t="s">
        <v>19</v>
      </c>
      <c r="N377">
        <v>2250000</v>
      </c>
      <c r="O377" t="s">
        <v>1193</v>
      </c>
      <c r="P377">
        <v>6.9</v>
      </c>
      <c r="Q377" t="s">
        <v>564</v>
      </c>
      <c r="R377" t="s">
        <v>801</v>
      </c>
    </row>
    <row r="378" spans="1:18" x14ac:dyDescent="0.25">
      <c r="A378" t="s">
        <v>802</v>
      </c>
      <c r="B378" t="s">
        <v>1465</v>
      </c>
      <c r="C378" t="s">
        <v>782</v>
      </c>
      <c r="D378" t="s">
        <v>1658</v>
      </c>
      <c r="E378" t="s">
        <v>803</v>
      </c>
      <c r="F378" t="s">
        <v>1466</v>
      </c>
      <c r="G378" t="s">
        <v>1821</v>
      </c>
      <c r="H378" t="s">
        <v>221</v>
      </c>
      <c r="I378" t="s">
        <v>1577</v>
      </c>
      <c r="J378" t="s">
        <v>1342</v>
      </c>
      <c r="K378" t="s">
        <v>873</v>
      </c>
      <c r="L378" t="s">
        <v>27</v>
      </c>
      <c r="M378" t="s">
        <v>19</v>
      </c>
      <c r="N378">
        <v>2000000</v>
      </c>
      <c r="O378" t="s">
        <v>1193</v>
      </c>
      <c r="P378">
        <v>7.25</v>
      </c>
      <c r="Q378" t="s">
        <v>564</v>
      </c>
      <c r="R378" t="s">
        <v>804</v>
      </c>
    </row>
    <row r="379" spans="1:18" x14ac:dyDescent="0.25">
      <c r="A379" t="s">
        <v>2212</v>
      </c>
      <c r="B379" t="s">
        <v>2213</v>
      </c>
      <c r="C379" t="s">
        <v>2214</v>
      </c>
      <c r="D379" t="s">
        <v>2215</v>
      </c>
      <c r="E379" t="s">
        <v>2216</v>
      </c>
      <c r="F379" t="s">
        <v>2217</v>
      </c>
      <c r="G379" t="s">
        <v>2218</v>
      </c>
      <c r="H379" t="s">
        <v>221</v>
      </c>
      <c r="I379" t="s">
        <v>1577</v>
      </c>
      <c r="J379" t="s">
        <v>1342</v>
      </c>
      <c r="K379" t="s">
        <v>18</v>
      </c>
      <c r="L379" t="s">
        <v>18</v>
      </c>
      <c r="M379" t="s">
        <v>19</v>
      </c>
      <c r="N379">
        <v>1000000</v>
      </c>
      <c r="O379" t="s">
        <v>1193</v>
      </c>
      <c r="P379">
        <v>4.75</v>
      </c>
      <c r="Q379" t="s">
        <v>2100</v>
      </c>
      <c r="R379" t="s">
        <v>2219</v>
      </c>
    </row>
    <row r="380" spans="1:18" x14ac:dyDescent="0.25">
      <c r="A380" t="s">
        <v>2220</v>
      </c>
      <c r="B380" t="s">
        <v>2213</v>
      </c>
      <c r="C380" t="s">
        <v>2214</v>
      </c>
      <c r="D380" t="s">
        <v>2215</v>
      </c>
      <c r="E380" t="s">
        <v>2221</v>
      </c>
      <c r="F380" t="s">
        <v>2217</v>
      </c>
      <c r="G380" t="s">
        <v>2218</v>
      </c>
      <c r="H380" t="s">
        <v>221</v>
      </c>
      <c r="I380" t="s">
        <v>1577</v>
      </c>
      <c r="J380" t="s">
        <v>1342</v>
      </c>
      <c r="K380" t="s">
        <v>18</v>
      </c>
      <c r="L380" t="s">
        <v>18</v>
      </c>
      <c r="M380" t="s">
        <v>19</v>
      </c>
      <c r="N380">
        <v>2000000</v>
      </c>
      <c r="O380" t="s">
        <v>1193</v>
      </c>
      <c r="P380">
        <v>5.625</v>
      </c>
      <c r="Q380" t="s">
        <v>2100</v>
      </c>
      <c r="R380" t="s">
        <v>2222</v>
      </c>
    </row>
    <row r="381" spans="1:18" x14ac:dyDescent="0.25">
      <c r="A381" t="s">
        <v>1032</v>
      </c>
      <c r="B381" t="s">
        <v>1467</v>
      </c>
      <c r="C381" t="s">
        <v>1033</v>
      </c>
      <c r="D381" t="s">
        <v>1659</v>
      </c>
      <c r="E381" t="s">
        <v>1034</v>
      </c>
      <c r="F381" t="s">
        <v>1468</v>
      </c>
      <c r="G381" t="s">
        <v>1887</v>
      </c>
      <c r="H381" t="s">
        <v>221</v>
      </c>
      <c r="I381" t="s">
        <v>1195</v>
      </c>
      <c r="J381" t="s">
        <v>222</v>
      </c>
      <c r="K381" t="s">
        <v>18</v>
      </c>
      <c r="L381" t="s">
        <v>18</v>
      </c>
      <c r="M381" t="s">
        <v>19</v>
      </c>
      <c r="N381">
        <v>500000</v>
      </c>
      <c r="O381" t="s">
        <v>1193</v>
      </c>
      <c r="P381">
        <v>6.24</v>
      </c>
      <c r="Q381" t="s">
        <v>562</v>
      </c>
      <c r="R381" t="s">
        <v>2531</v>
      </c>
    </row>
    <row r="382" spans="1:18" x14ac:dyDescent="0.25">
      <c r="A382" t="s">
        <v>436</v>
      </c>
      <c r="B382" t="s">
        <v>1978</v>
      </c>
      <c r="C382" t="s">
        <v>438</v>
      </c>
      <c r="D382" t="s">
        <v>437</v>
      </c>
      <c r="E382" t="s">
        <v>439</v>
      </c>
      <c r="F382" t="s">
        <v>440</v>
      </c>
      <c r="G382" t="s">
        <v>441</v>
      </c>
      <c r="H382" t="s">
        <v>305</v>
      </c>
      <c r="I382" t="s">
        <v>1577</v>
      </c>
      <c r="J382" t="s">
        <v>442</v>
      </c>
      <c r="K382" t="s">
        <v>872</v>
      </c>
      <c r="L382" t="s">
        <v>42</v>
      </c>
      <c r="M382" t="s">
        <v>19</v>
      </c>
      <c r="N382">
        <v>530800</v>
      </c>
      <c r="O382" t="s">
        <v>1193</v>
      </c>
      <c r="P382">
        <v>6.625</v>
      </c>
      <c r="Q382" t="s">
        <v>564</v>
      </c>
      <c r="R382" t="s">
        <v>660</v>
      </c>
    </row>
    <row r="383" spans="1:18" x14ac:dyDescent="0.25">
      <c r="A383" t="s">
        <v>2001</v>
      </c>
      <c r="B383" t="s">
        <v>2002</v>
      </c>
      <c r="C383" t="s">
        <v>2003</v>
      </c>
      <c r="D383" t="s">
        <v>2004</v>
      </c>
      <c r="E383" t="s">
        <v>2005</v>
      </c>
      <c r="F383" t="s">
        <v>2006</v>
      </c>
      <c r="G383" t="s">
        <v>2007</v>
      </c>
      <c r="H383" t="s">
        <v>221</v>
      </c>
      <c r="I383" t="s">
        <v>1195</v>
      </c>
      <c r="J383" t="s">
        <v>222</v>
      </c>
      <c r="K383" t="s">
        <v>871</v>
      </c>
      <c r="L383" t="s">
        <v>27</v>
      </c>
      <c r="M383" t="s">
        <v>19</v>
      </c>
      <c r="N383">
        <v>700000</v>
      </c>
      <c r="O383" t="s">
        <v>1193</v>
      </c>
      <c r="P383">
        <v>6.75</v>
      </c>
      <c r="Q383" t="s">
        <v>564</v>
      </c>
      <c r="R383" t="s">
        <v>2009</v>
      </c>
    </row>
    <row r="384" spans="1:18" x14ac:dyDescent="0.25">
      <c r="A384" t="s">
        <v>443</v>
      </c>
      <c r="B384" t="s">
        <v>1469</v>
      </c>
      <c r="C384" t="s">
        <v>444</v>
      </c>
      <c r="D384" t="s">
        <v>1660</v>
      </c>
      <c r="E384" t="s">
        <v>445</v>
      </c>
      <c r="F384" t="s">
        <v>1470</v>
      </c>
      <c r="G384" t="s">
        <v>1822</v>
      </c>
      <c r="H384" t="s">
        <v>1374</v>
      </c>
      <c r="I384" t="s">
        <v>1890</v>
      </c>
      <c r="J384" t="s">
        <v>1375</v>
      </c>
      <c r="K384" t="s">
        <v>41</v>
      </c>
      <c r="L384" t="s">
        <v>41</v>
      </c>
      <c r="M384" t="s">
        <v>19</v>
      </c>
      <c r="N384">
        <v>520000</v>
      </c>
      <c r="O384" t="s">
        <v>1193</v>
      </c>
      <c r="P384">
        <v>3.75</v>
      </c>
      <c r="Q384" t="s">
        <v>565</v>
      </c>
      <c r="R384" t="s">
        <v>661</v>
      </c>
    </row>
    <row r="385" spans="1:18" x14ac:dyDescent="0.25">
      <c r="A385" t="s">
        <v>2573</v>
      </c>
      <c r="B385" t="s">
        <v>1469</v>
      </c>
      <c r="C385" t="s">
        <v>444</v>
      </c>
      <c r="D385" t="s">
        <v>1660</v>
      </c>
      <c r="E385" t="s">
        <v>2574</v>
      </c>
      <c r="F385" t="s">
        <v>1470</v>
      </c>
      <c r="G385" t="s">
        <v>1822</v>
      </c>
      <c r="H385" t="s">
        <v>1374</v>
      </c>
      <c r="I385" t="s">
        <v>1890</v>
      </c>
      <c r="J385" t="s">
        <v>1375</v>
      </c>
      <c r="K385" t="s">
        <v>41</v>
      </c>
      <c r="L385" t="s">
        <v>41</v>
      </c>
      <c r="M385" t="s">
        <v>19</v>
      </c>
      <c r="N385">
        <v>920000</v>
      </c>
      <c r="O385" t="s">
        <v>1193</v>
      </c>
      <c r="P385">
        <v>7.75</v>
      </c>
      <c r="Q385" t="s">
        <v>564</v>
      </c>
      <c r="R385" t="s">
        <v>2575</v>
      </c>
    </row>
    <row r="386" spans="1:18" x14ac:dyDescent="0.25">
      <c r="A386" t="s">
        <v>2265</v>
      </c>
      <c r="B386" t="s">
        <v>2576</v>
      </c>
      <c r="C386" t="s">
        <v>2577</v>
      </c>
      <c r="D386" t="s">
        <v>2578</v>
      </c>
      <c r="E386" t="s">
        <v>2266</v>
      </c>
      <c r="F386" t="s">
        <v>2267</v>
      </c>
      <c r="G386" t="s">
        <v>2268</v>
      </c>
      <c r="H386" t="s">
        <v>1445</v>
      </c>
      <c r="I386" t="s">
        <v>1195</v>
      </c>
      <c r="J386" t="s">
        <v>2269</v>
      </c>
      <c r="K386" t="s">
        <v>27</v>
      </c>
      <c r="L386" t="s">
        <v>27</v>
      </c>
      <c r="M386" t="s">
        <v>19</v>
      </c>
      <c r="N386">
        <v>350000</v>
      </c>
      <c r="O386" t="s">
        <v>1193</v>
      </c>
      <c r="P386">
        <v>7.5</v>
      </c>
      <c r="Q386" t="s">
        <v>564</v>
      </c>
      <c r="R386" t="s">
        <v>2270</v>
      </c>
    </row>
    <row r="387" spans="1:18" x14ac:dyDescent="0.25">
      <c r="A387" t="s">
        <v>2399</v>
      </c>
      <c r="B387" t="s">
        <v>2400</v>
      </c>
      <c r="C387" t="s">
        <v>2401</v>
      </c>
      <c r="D387" t="s">
        <v>2402</v>
      </c>
      <c r="E387" t="s">
        <v>2403</v>
      </c>
      <c r="F387" t="s">
        <v>2404</v>
      </c>
      <c r="G387" t="s">
        <v>2405</v>
      </c>
      <c r="H387" t="s">
        <v>221</v>
      </c>
      <c r="I387" t="s">
        <v>1195</v>
      </c>
      <c r="J387" t="s">
        <v>222</v>
      </c>
      <c r="K387" t="s">
        <v>1232</v>
      </c>
      <c r="L387" t="s">
        <v>41</v>
      </c>
      <c r="M387" t="s">
        <v>19</v>
      </c>
      <c r="N387">
        <v>500000</v>
      </c>
      <c r="O387" t="s">
        <v>1193</v>
      </c>
      <c r="P387">
        <v>8.5</v>
      </c>
      <c r="Q387" t="s">
        <v>576</v>
      </c>
      <c r="R387" t="s">
        <v>2515</v>
      </c>
    </row>
    <row r="388" spans="1:18" x14ac:dyDescent="0.25">
      <c r="A388" t="s">
        <v>446</v>
      </c>
      <c r="B388" t="s">
        <v>1471</v>
      </c>
      <c r="C388" t="s">
        <v>447</v>
      </c>
      <c r="D388" t="s">
        <v>1661</v>
      </c>
      <c r="E388" t="s">
        <v>448</v>
      </c>
      <c r="F388" t="s">
        <v>1472</v>
      </c>
      <c r="G388" t="s">
        <v>1823</v>
      </c>
      <c r="H388" t="s">
        <v>101</v>
      </c>
      <c r="I388" t="s">
        <v>1195</v>
      </c>
      <c r="J388" t="s">
        <v>102</v>
      </c>
      <c r="K388" t="s">
        <v>871</v>
      </c>
      <c r="L388" t="s">
        <v>27</v>
      </c>
      <c r="M388" t="s">
        <v>19</v>
      </c>
      <c r="N388">
        <v>500000</v>
      </c>
      <c r="O388" t="s">
        <v>1193</v>
      </c>
      <c r="P388">
        <v>4.2</v>
      </c>
      <c r="Q388" t="s">
        <v>564</v>
      </c>
      <c r="R388" t="s">
        <v>662</v>
      </c>
    </row>
    <row r="389" spans="1:18" x14ac:dyDescent="0.25">
      <c r="A389" t="s">
        <v>1088</v>
      </c>
      <c r="B389" t="s">
        <v>1473</v>
      </c>
      <c r="C389" t="s">
        <v>451</v>
      </c>
      <c r="D389" t="s">
        <v>1662</v>
      </c>
      <c r="E389" t="s">
        <v>1089</v>
      </c>
      <c r="F389" t="s">
        <v>1474</v>
      </c>
      <c r="G389" t="s">
        <v>1824</v>
      </c>
      <c r="H389" t="s">
        <v>221</v>
      </c>
      <c r="I389" t="s">
        <v>1195</v>
      </c>
      <c r="J389" t="s">
        <v>228</v>
      </c>
      <c r="K389" t="s">
        <v>871</v>
      </c>
      <c r="L389" t="s">
        <v>27</v>
      </c>
      <c r="M389" t="s">
        <v>19</v>
      </c>
      <c r="N389">
        <v>1000000</v>
      </c>
      <c r="O389" t="s">
        <v>1193</v>
      </c>
      <c r="P389">
        <v>5.7</v>
      </c>
      <c r="Q389" t="s">
        <v>2317</v>
      </c>
      <c r="R389" t="s">
        <v>1090</v>
      </c>
    </row>
    <row r="390" spans="1:18" x14ac:dyDescent="0.25">
      <c r="A390" t="s">
        <v>1888</v>
      </c>
      <c r="B390" t="s">
        <v>1473</v>
      </c>
      <c r="C390" t="s">
        <v>451</v>
      </c>
      <c r="D390" t="s">
        <v>1662</v>
      </c>
      <c r="E390" t="s">
        <v>1889</v>
      </c>
      <c r="F390" t="s">
        <v>1474</v>
      </c>
      <c r="G390" t="s">
        <v>1824</v>
      </c>
      <c r="H390" t="s">
        <v>221</v>
      </c>
      <c r="I390" t="s">
        <v>1195</v>
      </c>
      <c r="J390" t="s">
        <v>228</v>
      </c>
      <c r="K390" t="s">
        <v>871</v>
      </c>
      <c r="L390" t="s">
        <v>27</v>
      </c>
      <c r="M390" t="s">
        <v>19</v>
      </c>
      <c r="N390">
        <v>750000</v>
      </c>
      <c r="O390" t="s">
        <v>1193</v>
      </c>
      <c r="P390">
        <v>6.25</v>
      </c>
      <c r="Q390" t="s">
        <v>2317</v>
      </c>
      <c r="R390" t="s">
        <v>2532</v>
      </c>
    </row>
    <row r="391" spans="1:18" x14ac:dyDescent="0.25">
      <c r="A391" t="s">
        <v>969</v>
      </c>
      <c r="B391" t="s">
        <v>1473</v>
      </c>
      <c r="C391" t="s">
        <v>451</v>
      </c>
      <c r="D391" t="s">
        <v>1662</v>
      </c>
      <c r="E391" t="s">
        <v>970</v>
      </c>
      <c r="F391" t="s">
        <v>1474</v>
      </c>
      <c r="G391" t="s">
        <v>1824</v>
      </c>
      <c r="H391" t="s">
        <v>221</v>
      </c>
      <c r="I391" t="s">
        <v>1195</v>
      </c>
      <c r="J391" t="s">
        <v>228</v>
      </c>
      <c r="K391" t="s">
        <v>871</v>
      </c>
      <c r="L391" t="s">
        <v>27</v>
      </c>
      <c r="M391" t="s">
        <v>19</v>
      </c>
      <c r="N391">
        <v>1000000</v>
      </c>
      <c r="O391" t="s">
        <v>1193</v>
      </c>
      <c r="P391">
        <v>6.45</v>
      </c>
      <c r="Q391" t="s">
        <v>2317</v>
      </c>
      <c r="R391" t="s">
        <v>2533</v>
      </c>
    </row>
    <row r="392" spans="1:18" x14ac:dyDescent="0.25">
      <c r="A392" t="s">
        <v>1565</v>
      </c>
      <c r="B392" t="s">
        <v>1473</v>
      </c>
      <c r="C392" t="s">
        <v>451</v>
      </c>
      <c r="D392" t="s">
        <v>1662</v>
      </c>
      <c r="E392" t="s">
        <v>1566</v>
      </c>
      <c r="F392" t="s">
        <v>1474</v>
      </c>
      <c r="G392" t="s">
        <v>1824</v>
      </c>
      <c r="H392" t="s">
        <v>221</v>
      </c>
      <c r="I392" t="s">
        <v>1195</v>
      </c>
      <c r="J392" t="s">
        <v>228</v>
      </c>
      <c r="K392" t="s">
        <v>871</v>
      </c>
      <c r="L392" t="s">
        <v>27</v>
      </c>
      <c r="M392" t="s">
        <v>19</v>
      </c>
      <c r="N392">
        <v>1000000</v>
      </c>
      <c r="O392" t="s">
        <v>1193</v>
      </c>
      <c r="P392">
        <v>6.7</v>
      </c>
      <c r="Q392" t="s">
        <v>2317</v>
      </c>
      <c r="R392" t="s">
        <v>1567</v>
      </c>
    </row>
    <row r="393" spans="1:18" x14ac:dyDescent="0.25">
      <c r="A393" t="s">
        <v>971</v>
      </c>
      <c r="B393" t="s">
        <v>1473</v>
      </c>
      <c r="C393" t="s">
        <v>451</v>
      </c>
      <c r="D393" t="s">
        <v>1662</v>
      </c>
      <c r="E393" t="s">
        <v>972</v>
      </c>
      <c r="F393" t="s">
        <v>1474</v>
      </c>
      <c r="G393" t="s">
        <v>1824</v>
      </c>
      <c r="H393" t="s">
        <v>221</v>
      </c>
      <c r="I393" t="s">
        <v>1195</v>
      </c>
      <c r="J393" t="s">
        <v>228</v>
      </c>
      <c r="K393" t="s">
        <v>871</v>
      </c>
      <c r="L393" t="s">
        <v>27</v>
      </c>
      <c r="M393" t="s">
        <v>19</v>
      </c>
      <c r="N393">
        <v>1250000</v>
      </c>
      <c r="O393" t="s">
        <v>1193</v>
      </c>
      <c r="P393">
        <v>6.95</v>
      </c>
      <c r="Q393" t="s">
        <v>2317</v>
      </c>
      <c r="R393" t="s">
        <v>2534</v>
      </c>
    </row>
    <row r="394" spans="1:18" x14ac:dyDescent="0.25">
      <c r="A394" t="s">
        <v>452</v>
      </c>
      <c r="B394" t="s">
        <v>1475</v>
      </c>
      <c r="C394" t="s">
        <v>453</v>
      </c>
      <c r="D394" t="s">
        <v>1663</v>
      </c>
      <c r="E394" t="s">
        <v>454</v>
      </c>
      <c r="F394" t="s">
        <v>1476</v>
      </c>
      <c r="G394" t="s">
        <v>2595</v>
      </c>
      <c r="H394" t="s">
        <v>927</v>
      </c>
      <c r="I394" t="s">
        <v>1195</v>
      </c>
      <c r="J394" t="s">
        <v>1240</v>
      </c>
      <c r="K394" t="s">
        <v>871</v>
      </c>
      <c r="L394" t="s">
        <v>27</v>
      </c>
      <c r="M394" t="s">
        <v>19</v>
      </c>
      <c r="N394">
        <v>1200000</v>
      </c>
      <c r="O394" t="s">
        <v>1193</v>
      </c>
      <c r="P394">
        <v>4.5</v>
      </c>
      <c r="Q394" t="s">
        <v>566</v>
      </c>
      <c r="R394" t="s">
        <v>633</v>
      </c>
    </row>
    <row r="395" spans="1:18" x14ac:dyDescent="0.25">
      <c r="A395" t="s">
        <v>1960</v>
      </c>
      <c r="B395" t="s">
        <v>1475</v>
      </c>
      <c r="C395" t="s">
        <v>453</v>
      </c>
      <c r="D395" t="s">
        <v>1663</v>
      </c>
      <c r="E395" t="s">
        <v>1961</v>
      </c>
      <c r="F395" t="s">
        <v>1476</v>
      </c>
      <c r="G395" t="s">
        <v>2595</v>
      </c>
      <c r="H395" t="s">
        <v>927</v>
      </c>
      <c r="I395" t="s">
        <v>1195</v>
      </c>
      <c r="J395" t="s">
        <v>1240</v>
      </c>
      <c r="K395" t="s">
        <v>871</v>
      </c>
      <c r="L395" t="s">
        <v>27</v>
      </c>
      <c r="M395" t="s">
        <v>19</v>
      </c>
      <c r="N395">
        <v>500000</v>
      </c>
      <c r="O395" t="s">
        <v>1193</v>
      </c>
      <c r="P395">
        <v>6.45</v>
      </c>
      <c r="Q395" t="s">
        <v>566</v>
      </c>
      <c r="R395" t="s">
        <v>2421</v>
      </c>
    </row>
    <row r="396" spans="1:18" x14ac:dyDescent="0.25">
      <c r="A396" t="s">
        <v>2359</v>
      </c>
      <c r="B396" t="s">
        <v>1475</v>
      </c>
      <c r="C396" t="s">
        <v>453</v>
      </c>
      <c r="D396" t="s">
        <v>1663</v>
      </c>
      <c r="E396" t="s">
        <v>2360</v>
      </c>
      <c r="F396" t="s">
        <v>1476</v>
      </c>
      <c r="G396" t="s">
        <v>2595</v>
      </c>
      <c r="H396" t="s">
        <v>927</v>
      </c>
      <c r="I396" t="s">
        <v>1195</v>
      </c>
      <c r="J396" t="s">
        <v>1240</v>
      </c>
      <c r="K396" t="s">
        <v>871</v>
      </c>
      <c r="L396" t="s">
        <v>27</v>
      </c>
      <c r="M396" t="s">
        <v>19</v>
      </c>
      <c r="N396">
        <v>500000</v>
      </c>
      <c r="O396" t="s">
        <v>1193</v>
      </c>
      <c r="P396">
        <v>6.55</v>
      </c>
      <c r="Q396" t="s">
        <v>2008</v>
      </c>
      <c r="R396" t="s">
        <v>2361</v>
      </c>
    </row>
    <row r="397" spans="1:18" x14ac:dyDescent="0.25">
      <c r="A397" t="s">
        <v>1477</v>
      </c>
      <c r="B397" t="s">
        <v>1478</v>
      </c>
      <c r="C397" t="s">
        <v>1479</v>
      </c>
      <c r="D397" t="s">
        <v>1480</v>
      </c>
      <c r="E397" t="s">
        <v>1481</v>
      </c>
      <c r="F397" t="s">
        <v>1482</v>
      </c>
      <c r="H397" t="s">
        <v>16</v>
      </c>
      <c r="I397" t="s">
        <v>1890</v>
      </c>
      <c r="J397" t="s">
        <v>1021</v>
      </c>
      <c r="K397" t="s">
        <v>871</v>
      </c>
      <c r="L397" t="s">
        <v>42</v>
      </c>
      <c r="M397" t="s">
        <v>19</v>
      </c>
      <c r="N397">
        <v>1100000</v>
      </c>
      <c r="O397" t="s">
        <v>1193</v>
      </c>
      <c r="P397">
        <v>8.875</v>
      </c>
      <c r="Q397" t="s">
        <v>569</v>
      </c>
      <c r="R397" t="s">
        <v>2535</v>
      </c>
    </row>
    <row r="398" spans="1:18" x14ac:dyDescent="0.25">
      <c r="A398" t="s">
        <v>1914</v>
      </c>
      <c r="B398" t="s">
        <v>1915</v>
      </c>
      <c r="C398" t="s">
        <v>1916</v>
      </c>
      <c r="D398" t="s">
        <v>1916</v>
      </c>
      <c r="E398" t="s">
        <v>1917</v>
      </c>
      <c r="F398" t="s">
        <v>1918</v>
      </c>
      <c r="G398" t="s">
        <v>2417</v>
      </c>
      <c r="H398" t="s">
        <v>1010</v>
      </c>
      <c r="I398" t="s">
        <v>1890</v>
      </c>
      <c r="J398" t="s">
        <v>1010</v>
      </c>
      <c r="K398" t="s">
        <v>871</v>
      </c>
      <c r="L398" t="s">
        <v>27</v>
      </c>
      <c r="M398" t="s">
        <v>19</v>
      </c>
      <c r="N398">
        <v>500000</v>
      </c>
      <c r="O398" t="s">
        <v>1193</v>
      </c>
      <c r="P398">
        <v>5.625</v>
      </c>
      <c r="Q398" t="s">
        <v>564</v>
      </c>
      <c r="R398" t="s">
        <v>1919</v>
      </c>
    </row>
    <row r="399" spans="1:18" x14ac:dyDescent="0.25">
      <c r="A399" t="s">
        <v>2271</v>
      </c>
      <c r="B399" t="s">
        <v>2272</v>
      </c>
      <c r="C399" t="s">
        <v>2273</v>
      </c>
      <c r="D399" t="s">
        <v>2274</v>
      </c>
      <c r="E399" t="s">
        <v>2275</v>
      </c>
      <c r="F399" t="s">
        <v>2276</v>
      </c>
      <c r="H399" t="s">
        <v>1010</v>
      </c>
      <c r="I399" t="s">
        <v>1890</v>
      </c>
      <c r="J399" t="s">
        <v>1010</v>
      </c>
      <c r="K399" t="s">
        <v>871</v>
      </c>
      <c r="L399" t="s">
        <v>27</v>
      </c>
      <c r="M399" t="s">
        <v>19</v>
      </c>
      <c r="N399">
        <v>850000</v>
      </c>
      <c r="O399" t="s">
        <v>1193</v>
      </c>
      <c r="P399">
        <v>5.75</v>
      </c>
      <c r="Q399" t="s">
        <v>564</v>
      </c>
      <c r="R399" t="s">
        <v>2536</v>
      </c>
    </row>
    <row r="400" spans="1:18" x14ac:dyDescent="0.25">
      <c r="A400" t="s">
        <v>2277</v>
      </c>
      <c r="B400" t="s">
        <v>2272</v>
      </c>
      <c r="C400" t="s">
        <v>2273</v>
      </c>
      <c r="D400" t="s">
        <v>2274</v>
      </c>
      <c r="E400" t="s">
        <v>2278</v>
      </c>
      <c r="F400" t="s">
        <v>2276</v>
      </c>
      <c r="H400" t="s">
        <v>1010</v>
      </c>
      <c r="I400" t="s">
        <v>1890</v>
      </c>
      <c r="J400" t="s">
        <v>1010</v>
      </c>
      <c r="K400" t="s">
        <v>871</v>
      </c>
      <c r="L400" t="s">
        <v>27</v>
      </c>
      <c r="M400" t="s">
        <v>19</v>
      </c>
      <c r="N400">
        <v>500000</v>
      </c>
      <c r="O400" t="s">
        <v>1193</v>
      </c>
      <c r="P400">
        <v>6.5</v>
      </c>
      <c r="Q400" t="s">
        <v>564</v>
      </c>
      <c r="R400" t="s">
        <v>2537</v>
      </c>
    </row>
    <row r="401" spans="1:18" x14ac:dyDescent="0.25">
      <c r="A401" t="s">
        <v>805</v>
      </c>
      <c r="B401" t="s">
        <v>1483</v>
      </c>
      <c r="C401" t="s">
        <v>464</v>
      </c>
      <c r="D401" t="s">
        <v>1664</v>
      </c>
      <c r="E401" t="s">
        <v>806</v>
      </c>
      <c r="F401" t="s">
        <v>1484</v>
      </c>
      <c r="G401" t="s">
        <v>1826</v>
      </c>
      <c r="H401" t="s">
        <v>1224</v>
      </c>
      <c r="I401" t="s">
        <v>1195</v>
      </c>
      <c r="J401" t="s">
        <v>1225</v>
      </c>
      <c r="K401" t="s">
        <v>872</v>
      </c>
      <c r="L401" t="s">
        <v>42</v>
      </c>
      <c r="M401" t="s">
        <v>19</v>
      </c>
      <c r="N401">
        <v>1200000</v>
      </c>
      <c r="O401" t="s">
        <v>1193</v>
      </c>
      <c r="P401">
        <v>5.25</v>
      </c>
      <c r="Q401" t="s">
        <v>593</v>
      </c>
      <c r="R401" t="s">
        <v>2538</v>
      </c>
    </row>
    <row r="402" spans="1:18" x14ac:dyDescent="0.25">
      <c r="A402" t="s">
        <v>807</v>
      </c>
      <c r="B402" t="s">
        <v>1483</v>
      </c>
      <c r="C402" t="s">
        <v>464</v>
      </c>
      <c r="D402" t="s">
        <v>1664</v>
      </c>
      <c r="E402" t="s">
        <v>808</v>
      </c>
      <c r="F402" t="s">
        <v>1484</v>
      </c>
      <c r="G402" t="s">
        <v>1826</v>
      </c>
      <c r="H402" t="s">
        <v>1224</v>
      </c>
      <c r="I402" t="s">
        <v>1195</v>
      </c>
      <c r="J402" t="s">
        <v>1225</v>
      </c>
      <c r="K402" t="s">
        <v>872</v>
      </c>
      <c r="L402" t="s">
        <v>42</v>
      </c>
      <c r="M402" t="s">
        <v>19</v>
      </c>
      <c r="N402">
        <v>1500000</v>
      </c>
      <c r="O402" t="s">
        <v>1193</v>
      </c>
      <c r="P402">
        <v>5.875</v>
      </c>
      <c r="Q402" t="s">
        <v>593</v>
      </c>
      <c r="R402" t="s">
        <v>809</v>
      </c>
    </row>
    <row r="403" spans="1:18" x14ac:dyDescent="0.25">
      <c r="A403" t="s">
        <v>2566</v>
      </c>
      <c r="B403" t="s">
        <v>1483</v>
      </c>
      <c r="C403" t="s">
        <v>464</v>
      </c>
      <c r="D403" t="s">
        <v>1664</v>
      </c>
      <c r="E403" t="s">
        <v>2567</v>
      </c>
      <c r="F403" t="s">
        <v>1484</v>
      </c>
      <c r="G403" t="s">
        <v>1826</v>
      </c>
      <c r="H403" t="s">
        <v>1224</v>
      </c>
      <c r="I403" t="s">
        <v>1195</v>
      </c>
      <c r="J403" t="s">
        <v>1225</v>
      </c>
      <c r="K403" t="s">
        <v>872</v>
      </c>
      <c r="L403" t="s">
        <v>42</v>
      </c>
      <c r="M403" t="s">
        <v>19</v>
      </c>
      <c r="N403">
        <v>1250000</v>
      </c>
      <c r="O403" t="s">
        <v>1193</v>
      </c>
      <c r="P403">
        <v>5.35</v>
      </c>
      <c r="Q403" t="s">
        <v>593</v>
      </c>
      <c r="R403" t="s">
        <v>2568</v>
      </c>
    </row>
    <row r="404" spans="1:18" x14ac:dyDescent="0.25">
      <c r="A404" t="s">
        <v>810</v>
      </c>
      <c r="B404" t="s">
        <v>1483</v>
      </c>
      <c r="C404" t="s">
        <v>464</v>
      </c>
      <c r="D404" t="s">
        <v>1664</v>
      </c>
      <c r="E404" t="s">
        <v>811</v>
      </c>
      <c r="F404" t="s">
        <v>1484</v>
      </c>
      <c r="G404" t="s">
        <v>1826</v>
      </c>
      <c r="H404" t="s">
        <v>1224</v>
      </c>
      <c r="I404" t="s">
        <v>1195</v>
      </c>
      <c r="J404" t="s">
        <v>1225</v>
      </c>
      <c r="K404" t="s">
        <v>872</v>
      </c>
      <c r="L404" t="s">
        <v>42</v>
      </c>
      <c r="M404" t="s">
        <v>19</v>
      </c>
      <c r="N404">
        <v>1100000</v>
      </c>
      <c r="O404" t="s">
        <v>1193</v>
      </c>
      <c r="P404">
        <v>6.75</v>
      </c>
      <c r="Q404" t="s">
        <v>593</v>
      </c>
      <c r="R404" t="s">
        <v>812</v>
      </c>
    </row>
    <row r="405" spans="1:18" x14ac:dyDescent="0.25">
      <c r="A405" t="s">
        <v>463</v>
      </c>
      <c r="B405" t="s">
        <v>1483</v>
      </c>
      <c r="C405" t="s">
        <v>464</v>
      </c>
      <c r="D405" t="s">
        <v>1664</v>
      </c>
      <c r="E405" t="s">
        <v>813</v>
      </c>
      <c r="F405" t="s">
        <v>1484</v>
      </c>
      <c r="G405" t="s">
        <v>1826</v>
      </c>
      <c r="H405" t="s">
        <v>1224</v>
      </c>
      <c r="I405" t="s">
        <v>1195</v>
      </c>
      <c r="J405" t="s">
        <v>1225</v>
      </c>
      <c r="K405" t="s">
        <v>872</v>
      </c>
      <c r="L405" t="s">
        <v>42</v>
      </c>
      <c r="M405" t="s">
        <v>19</v>
      </c>
      <c r="N405">
        <v>999900</v>
      </c>
      <c r="O405" t="s">
        <v>1193</v>
      </c>
      <c r="P405">
        <v>7.5</v>
      </c>
      <c r="Q405" t="s">
        <v>593</v>
      </c>
      <c r="R405" t="s">
        <v>663</v>
      </c>
    </row>
    <row r="406" spans="1:18" x14ac:dyDescent="0.25">
      <c r="A406" t="s">
        <v>463</v>
      </c>
      <c r="B406" t="s">
        <v>1483</v>
      </c>
      <c r="C406" t="s">
        <v>464</v>
      </c>
      <c r="D406" t="s">
        <v>1664</v>
      </c>
      <c r="E406" t="s">
        <v>465</v>
      </c>
      <c r="F406" t="s">
        <v>1484</v>
      </c>
      <c r="G406" t="s">
        <v>1826</v>
      </c>
      <c r="H406" t="s">
        <v>1224</v>
      </c>
      <c r="I406" t="s">
        <v>1195</v>
      </c>
      <c r="J406" t="s">
        <v>1225</v>
      </c>
      <c r="K406" t="s">
        <v>872</v>
      </c>
      <c r="L406" t="s">
        <v>42</v>
      </c>
      <c r="M406" t="s">
        <v>19</v>
      </c>
      <c r="N406">
        <v>600000</v>
      </c>
      <c r="O406" t="s">
        <v>1193</v>
      </c>
      <c r="P406">
        <v>7.5</v>
      </c>
      <c r="Q406" t="s">
        <v>593</v>
      </c>
      <c r="R406" t="s">
        <v>663</v>
      </c>
    </row>
    <row r="407" spans="1:18" x14ac:dyDescent="0.25">
      <c r="A407" t="s">
        <v>466</v>
      </c>
      <c r="B407" t="s">
        <v>1485</v>
      </c>
      <c r="C407" t="s">
        <v>467</v>
      </c>
      <c r="D407" t="s">
        <v>1665</v>
      </c>
      <c r="E407" t="s">
        <v>468</v>
      </c>
      <c r="F407" t="s">
        <v>1486</v>
      </c>
      <c r="G407" t="s">
        <v>1826</v>
      </c>
      <c r="H407" t="s">
        <v>1224</v>
      </c>
      <c r="I407" t="s">
        <v>1195</v>
      </c>
      <c r="J407" t="s">
        <v>1225</v>
      </c>
      <c r="K407" t="s">
        <v>42</v>
      </c>
      <c r="L407" t="s">
        <v>42</v>
      </c>
      <c r="M407" t="s">
        <v>19</v>
      </c>
      <c r="N407">
        <v>1000000</v>
      </c>
      <c r="O407" t="s">
        <v>1193</v>
      </c>
      <c r="P407">
        <v>4.5</v>
      </c>
      <c r="Q407" t="s">
        <v>593</v>
      </c>
      <c r="R407" t="s">
        <v>664</v>
      </c>
    </row>
    <row r="408" spans="1:18" x14ac:dyDescent="0.25">
      <c r="A408" t="s">
        <v>1487</v>
      </c>
      <c r="B408" t="s">
        <v>1485</v>
      </c>
      <c r="C408" t="s">
        <v>467</v>
      </c>
      <c r="D408" t="s">
        <v>1665</v>
      </c>
      <c r="E408" t="s">
        <v>1488</v>
      </c>
      <c r="F408" t="s">
        <v>1486</v>
      </c>
      <c r="G408" t="s">
        <v>1826</v>
      </c>
      <c r="H408" t="s">
        <v>1224</v>
      </c>
      <c r="I408" t="s">
        <v>1195</v>
      </c>
      <c r="J408" t="s">
        <v>1225</v>
      </c>
      <c r="K408" t="s">
        <v>42</v>
      </c>
      <c r="L408" t="s">
        <v>42</v>
      </c>
      <c r="M408" t="s">
        <v>19</v>
      </c>
      <c r="N408">
        <v>1000000</v>
      </c>
      <c r="O408" t="s">
        <v>1193</v>
      </c>
      <c r="P408">
        <v>5.625</v>
      </c>
      <c r="Q408" t="s">
        <v>593</v>
      </c>
      <c r="R408" t="s">
        <v>2539</v>
      </c>
    </row>
    <row r="409" spans="1:18" x14ac:dyDescent="0.25">
      <c r="A409" t="s">
        <v>2051</v>
      </c>
      <c r="B409" t="s">
        <v>2052</v>
      </c>
      <c r="C409" t="s">
        <v>2053</v>
      </c>
      <c r="D409" t="s">
        <v>2054</v>
      </c>
      <c r="E409" t="s">
        <v>2055</v>
      </c>
      <c r="F409" t="s">
        <v>473</v>
      </c>
      <c r="G409" t="s">
        <v>2031</v>
      </c>
      <c r="H409" t="s">
        <v>221</v>
      </c>
      <c r="I409" t="s">
        <v>1195</v>
      </c>
      <c r="J409" t="s">
        <v>222</v>
      </c>
      <c r="K409" t="s">
        <v>872</v>
      </c>
      <c r="L409" t="s">
        <v>41</v>
      </c>
      <c r="M409" t="s">
        <v>19</v>
      </c>
      <c r="N409">
        <v>650000</v>
      </c>
      <c r="O409" t="s">
        <v>1193</v>
      </c>
      <c r="P409">
        <v>9</v>
      </c>
      <c r="Q409" t="s">
        <v>576</v>
      </c>
      <c r="R409" t="s">
        <v>2056</v>
      </c>
    </row>
    <row r="410" spans="1:18" x14ac:dyDescent="0.25">
      <c r="A410" t="s">
        <v>2279</v>
      </c>
      <c r="B410" t="s">
        <v>2080</v>
      </c>
      <c r="C410" t="s">
        <v>2081</v>
      </c>
      <c r="D410" t="s">
        <v>2082</v>
      </c>
      <c r="E410" t="s">
        <v>43</v>
      </c>
      <c r="F410" t="s">
        <v>1490</v>
      </c>
      <c r="G410" t="s">
        <v>2083</v>
      </c>
      <c r="H410" t="s">
        <v>1200</v>
      </c>
      <c r="I410" t="s">
        <v>1195</v>
      </c>
      <c r="J410" t="s">
        <v>1293</v>
      </c>
      <c r="K410" t="s">
        <v>42</v>
      </c>
      <c r="L410" t="s">
        <v>42</v>
      </c>
      <c r="M410" t="s">
        <v>19</v>
      </c>
      <c r="N410">
        <v>500000</v>
      </c>
      <c r="O410" t="s">
        <v>1193</v>
      </c>
      <c r="P410">
        <v>6.875</v>
      </c>
      <c r="Q410" t="s">
        <v>565</v>
      </c>
      <c r="R410" t="s">
        <v>570</v>
      </c>
    </row>
    <row r="411" spans="1:18" x14ac:dyDescent="0.25">
      <c r="A411" t="s">
        <v>682</v>
      </c>
      <c r="B411" t="s">
        <v>1491</v>
      </c>
      <c r="C411" t="s">
        <v>683</v>
      </c>
      <c r="D411" t="s">
        <v>1667</v>
      </c>
      <c r="E411" t="s">
        <v>57</v>
      </c>
      <c r="F411" t="s">
        <v>1492</v>
      </c>
      <c r="G411" t="s">
        <v>1828</v>
      </c>
      <c r="H411" t="s">
        <v>65</v>
      </c>
      <c r="I411" t="s">
        <v>1195</v>
      </c>
      <c r="J411" t="s">
        <v>66</v>
      </c>
      <c r="K411" t="s">
        <v>42</v>
      </c>
      <c r="L411" t="s">
        <v>27</v>
      </c>
      <c r="M411" t="s">
        <v>19</v>
      </c>
      <c r="N411">
        <v>1000000</v>
      </c>
      <c r="O411" t="s">
        <v>1193</v>
      </c>
      <c r="P411">
        <v>5.375</v>
      </c>
      <c r="Q411" t="s">
        <v>565</v>
      </c>
      <c r="R411" t="s">
        <v>2540</v>
      </c>
    </row>
    <row r="412" spans="1:18" x14ac:dyDescent="0.25">
      <c r="A412" t="s">
        <v>1160</v>
      </c>
      <c r="B412" t="s">
        <v>1491</v>
      </c>
      <c r="C412" t="s">
        <v>683</v>
      </c>
      <c r="D412" t="s">
        <v>1667</v>
      </c>
      <c r="E412" t="s">
        <v>1161</v>
      </c>
      <c r="F412" t="s">
        <v>1492</v>
      </c>
      <c r="G412" t="s">
        <v>1828</v>
      </c>
      <c r="H412" t="s">
        <v>65</v>
      </c>
      <c r="I412" t="s">
        <v>1195</v>
      </c>
      <c r="J412" t="s">
        <v>66</v>
      </c>
      <c r="K412" t="s">
        <v>42</v>
      </c>
      <c r="L412" t="s">
        <v>27</v>
      </c>
      <c r="M412" t="s">
        <v>19</v>
      </c>
      <c r="N412">
        <v>650000</v>
      </c>
      <c r="O412" t="s">
        <v>1193</v>
      </c>
      <c r="P412">
        <v>6</v>
      </c>
      <c r="Q412" t="s">
        <v>565</v>
      </c>
      <c r="R412" t="s">
        <v>1162</v>
      </c>
    </row>
    <row r="413" spans="1:18" x14ac:dyDescent="0.25">
      <c r="A413" t="s">
        <v>478</v>
      </c>
      <c r="B413" t="s">
        <v>1493</v>
      </c>
      <c r="C413" t="s">
        <v>479</v>
      </c>
      <c r="D413" t="s">
        <v>1668</v>
      </c>
      <c r="E413" t="s">
        <v>480</v>
      </c>
      <c r="F413" t="s">
        <v>1494</v>
      </c>
      <c r="G413" t="s">
        <v>1829</v>
      </c>
      <c r="H413" t="s">
        <v>101</v>
      </c>
      <c r="I413" t="s">
        <v>1195</v>
      </c>
      <c r="J413" t="s">
        <v>1495</v>
      </c>
      <c r="K413" t="s">
        <v>871</v>
      </c>
      <c r="L413" t="s">
        <v>27</v>
      </c>
      <c r="M413" t="s">
        <v>19</v>
      </c>
      <c r="N413">
        <v>625000</v>
      </c>
      <c r="O413" t="s">
        <v>1193</v>
      </c>
      <c r="P413">
        <v>5.2</v>
      </c>
      <c r="Q413" t="s">
        <v>569</v>
      </c>
      <c r="R413" t="s">
        <v>665</v>
      </c>
    </row>
    <row r="414" spans="1:18" x14ac:dyDescent="0.25">
      <c r="A414" t="s">
        <v>2350</v>
      </c>
      <c r="B414" t="s">
        <v>2351</v>
      </c>
      <c r="C414" t="s">
        <v>2352</v>
      </c>
      <c r="D414" t="s">
        <v>2353</v>
      </c>
      <c r="E414" t="s">
        <v>2354</v>
      </c>
      <c r="F414" t="s">
        <v>2355</v>
      </c>
      <c r="G414" t="s">
        <v>2356</v>
      </c>
      <c r="H414" t="s">
        <v>16</v>
      </c>
      <c r="I414" t="s">
        <v>1890</v>
      </c>
      <c r="J414" t="s">
        <v>1339</v>
      </c>
      <c r="K414" t="s">
        <v>31</v>
      </c>
      <c r="L414" t="s">
        <v>31</v>
      </c>
      <c r="M414" t="s">
        <v>19</v>
      </c>
      <c r="N414">
        <v>630000</v>
      </c>
      <c r="O414" t="s">
        <v>1193</v>
      </c>
      <c r="P414">
        <v>6.3849999999999998</v>
      </c>
      <c r="Q414" t="s">
        <v>562</v>
      </c>
      <c r="R414" t="s">
        <v>2357</v>
      </c>
    </row>
    <row r="415" spans="1:18" x14ac:dyDescent="0.25">
      <c r="A415" t="s">
        <v>484</v>
      </c>
      <c r="B415" t="s">
        <v>1498</v>
      </c>
      <c r="C415" t="s">
        <v>485</v>
      </c>
      <c r="D415" t="s">
        <v>1670</v>
      </c>
      <c r="E415" t="s">
        <v>486</v>
      </c>
      <c r="F415" t="s">
        <v>1499</v>
      </c>
      <c r="G415" t="s">
        <v>1830</v>
      </c>
      <c r="H415" t="s">
        <v>1210</v>
      </c>
      <c r="I415" t="s">
        <v>1195</v>
      </c>
      <c r="J415" t="s">
        <v>1246</v>
      </c>
      <c r="K415" t="s">
        <v>31</v>
      </c>
      <c r="L415" t="s">
        <v>31</v>
      </c>
      <c r="M415" t="s">
        <v>19</v>
      </c>
      <c r="N415">
        <v>700000</v>
      </c>
      <c r="O415" t="s">
        <v>1193</v>
      </c>
      <c r="P415">
        <v>3.5</v>
      </c>
      <c r="Q415" t="s">
        <v>593</v>
      </c>
      <c r="R415" t="s">
        <v>2541</v>
      </c>
    </row>
    <row r="416" spans="1:18" x14ac:dyDescent="0.25">
      <c r="A416" t="s">
        <v>487</v>
      </c>
      <c r="B416" t="s">
        <v>1498</v>
      </c>
      <c r="C416" t="s">
        <v>485</v>
      </c>
      <c r="D416" t="s">
        <v>1670</v>
      </c>
      <c r="E416" t="s">
        <v>488</v>
      </c>
      <c r="F416" t="s">
        <v>1499</v>
      </c>
      <c r="G416" t="s">
        <v>1830</v>
      </c>
      <c r="H416" t="s">
        <v>1210</v>
      </c>
      <c r="I416" t="s">
        <v>1195</v>
      </c>
      <c r="J416" t="s">
        <v>1246</v>
      </c>
      <c r="K416" t="s">
        <v>31</v>
      </c>
      <c r="L416" t="s">
        <v>31</v>
      </c>
      <c r="M416" t="s">
        <v>19</v>
      </c>
      <c r="N416">
        <v>400000</v>
      </c>
      <c r="O416" t="s">
        <v>1193</v>
      </c>
      <c r="P416">
        <v>4.25</v>
      </c>
      <c r="Q416" t="s">
        <v>593</v>
      </c>
      <c r="R416" t="s">
        <v>666</v>
      </c>
    </row>
    <row r="417" spans="1:18" x14ac:dyDescent="0.25">
      <c r="A417" t="s">
        <v>489</v>
      </c>
      <c r="B417" t="s">
        <v>1498</v>
      </c>
      <c r="C417" t="s">
        <v>485</v>
      </c>
      <c r="D417" t="s">
        <v>1670</v>
      </c>
      <c r="E417" t="s">
        <v>490</v>
      </c>
      <c r="F417" t="s">
        <v>1499</v>
      </c>
      <c r="G417" t="s">
        <v>1830</v>
      </c>
      <c r="H417" t="s">
        <v>1210</v>
      </c>
      <c r="I417" t="s">
        <v>1195</v>
      </c>
      <c r="J417" t="s">
        <v>1246</v>
      </c>
      <c r="K417" t="s">
        <v>31</v>
      </c>
      <c r="L417" t="s">
        <v>31</v>
      </c>
      <c r="M417" t="s">
        <v>19</v>
      </c>
      <c r="N417">
        <v>450000</v>
      </c>
      <c r="O417" t="s">
        <v>1193</v>
      </c>
      <c r="P417">
        <v>4.25</v>
      </c>
      <c r="Q417" t="s">
        <v>593</v>
      </c>
      <c r="R417" t="s">
        <v>2542</v>
      </c>
    </row>
    <row r="418" spans="1:18" x14ac:dyDescent="0.25">
      <c r="A418" t="s">
        <v>1067</v>
      </c>
      <c r="B418" t="s">
        <v>1498</v>
      </c>
      <c r="C418" t="s">
        <v>485</v>
      </c>
      <c r="D418" t="s">
        <v>1670</v>
      </c>
      <c r="E418" t="s">
        <v>1068</v>
      </c>
      <c r="F418" t="s">
        <v>1499</v>
      </c>
      <c r="G418" t="s">
        <v>1830</v>
      </c>
      <c r="H418" t="s">
        <v>1210</v>
      </c>
      <c r="I418" t="s">
        <v>1195</v>
      </c>
      <c r="J418" t="s">
        <v>1246</v>
      </c>
      <c r="K418" t="s">
        <v>31</v>
      </c>
      <c r="L418" t="s">
        <v>31</v>
      </c>
      <c r="M418" t="s">
        <v>19</v>
      </c>
      <c r="N418">
        <v>850000</v>
      </c>
      <c r="O418" t="s">
        <v>1193</v>
      </c>
      <c r="P418">
        <v>5.5</v>
      </c>
      <c r="Q418" t="s">
        <v>593</v>
      </c>
      <c r="R418" t="s">
        <v>2543</v>
      </c>
    </row>
    <row r="419" spans="1:18" x14ac:dyDescent="0.25">
      <c r="A419" t="s">
        <v>2123</v>
      </c>
      <c r="B419" t="s">
        <v>1498</v>
      </c>
      <c r="C419" t="s">
        <v>485</v>
      </c>
      <c r="D419" t="s">
        <v>1670</v>
      </c>
      <c r="E419" t="s">
        <v>2124</v>
      </c>
      <c r="F419" t="s">
        <v>1499</v>
      </c>
      <c r="G419" t="s">
        <v>1830</v>
      </c>
      <c r="H419" t="s">
        <v>1210</v>
      </c>
      <c r="I419" t="s">
        <v>1195</v>
      </c>
      <c r="J419" t="s">
        <v>1246</v>
      </c>
      <c r="K419" t="s">
        <v>31</v>
      </c>
      <c r="L419" t="s">
        <v>31</v>
      </c>
      <c r="M419" t="s">
        <v>19</v>
      </c>
      <c r="N419">
        <v>600000</v>
      </c>
      <c r="O419" t="s">
        <v>1193</v>
      </c>
      <c r="P419">
        <v>5.625</v>
      </c>
      <c r="Q419" t="s">
        <v>565</v>
      </c>
      <c r="R419" t="s">
        <v>2125</v>
      </c>
    </row>
    <row r="420" spans="1:18" x14ac:dyDescent="0.25">
      <c r="A420" t="s">
        <v>898</v>
      </c>
      <c r="B420" t="s">
        <v>1498</v>
      </c>
      <c r="C420" t="s">
        <v>485</v>
      </c>
      <c r="D420" t="s">
        <v>1670</v>
      </c>
      <c r="E420" t="s">
        <v>899</v>
      </c>
      <c r="F420" t="s">
        <v>1499</v>
      </c>
      <c r="G420" t="s">
        <v>1830</v>
      </c>
      <c r="H420" t="s">
        <v>1210</v>
      </c>
      <c r="I420" t="s">
        <v>1195</v>
      </c>
      <c r="J420" t="s">
        <v>1246</v>
      </c>
      <c r="K420" t="s">
        <v>31</v>
      </c>
      <c r="L420" t="s">
        <v>31</v>
      </c>
      <c r="M420" t="s">
        <v>19</v>
      </c>
      <c r="N420">
        <v>750000</v>
      </c>
      <c r="O420" t="s">
        <v>1193</v>
      </c>
      <c r="P420">
        <v>6.5</v>
      </c>
      <c r="Q420" t="s">
        <v>593</v>
      </c>
      <c r="R420" t="s">
        <v>2544</v>
      </c>
    </row>
    <row r="421" spans="1:18" x14ac:dyDescent="0.25">
      <c r="A421" t="s">
        <v>491</v>
      </c>
      <c r="B421" t="s">
        <v>2358</v>
      </c>
      <c r="C421" t="s">
        <v>492</v>
      </c>
      <c r="D421" t="s">
        <v>1671</v>
      </c>
      <c r="E421" t="s">
        <v>493</v>
      </c>
      <c r="F421" t="s">
        <v>1500</v>
      </c>
      <c r="G421" t="s">
        <v>1831</v>
      </c>
      <c r="H421" t="s">
        <v>16</v>
      </c>
      <c r="I421" t="s">
        <v>1890</v>
      </c>
      <c r="J421" t="s">
        <v>193</v>
      </c>
      <c r="K421" t="s">
        <v>31</v>
      </c>
      <c r="L421" t="s">
        <v>31</v>
      </c>
      <c r="M421" t="s">
        <v>19</v>
      </c>
      <c r="N421">
        <v>390000</v>
      </c>
      <c r="O421" t="s">
        <v>1193</v>
      </c>
      <c r="P421">
        <v>4</v>
      </c>
      <c r="Q421" t="s">
        <v>565</v>
      </c>
      <c r="R421" t="s">
        <v>667</v>
      </c>
    </row>
    <row r="422" spans="1:18" x14ac:dyDescent="0.25">
      <c r="A422" t="s">
        <v>1718</v>
      </c>
      <c r="B422" t="s">
        <v>1719</v>
      </c>
      <c r="C422" t="s">
        <v>1720</v>
      </c>
      <c r="D422" t="s">
        <v>1721</v>
      </c>
      <c r="E422" t="s">
        <v>1722</v>
      </c>
      <c r="F422" t="s">
        <v>1723</v>
      </c>
      <c r="G422" t="s">
        <v>1833</v>
      </c>
      <c r="H422" t="s">
        <v>138</v>
      </c>
      <c r="I422" t="s">
        <v>1576</v>
      </c>
      <c r="J422" t="s">
        <v>1724</v>
      </c>
      <c r="K422" t="s">
        <v>41</v>
      </c>
      <c r="L422" t="s">
        <v>41</v>
      </c>
      <c r="M422" t="s">
        <v>19</v>
      </c>
      <c r="N422">
        <v>500000</v>
      </c>
      <c r="O422" t="s">
        <v>1193</v>
      </c>
      <c r="P422">
        <v>6.35</v>
      </c>
      <c r="Q422" t="s">
        <v>562</v>
      </c>
      <c r="R422" t="s">
        <v>575</v>
      </c>
    </row>
    <row r="423" spans="1:18" x14ac:dyDescent="0.25">
      <c r="A423" t="s">
        <v>814</v>
      </c>
      <c r="B423" t="s">
        <v>1504</v>
      </c>
      <c r="C423" t="s">
        <v>495</v>
      </c>
      <c r="D423" t="s">
        <v>1673</v>
      </c>
      <c r="E423" t="s">
        <v>815</v>
      </c>
      <c r="F423" t="s">
        <v>1505</v>
      </c>
      <c r="G423" t="s">
        <v>1834</v>
      </c>
      <c r="H423" t="s">
        <v>1016</v>
      </c>
      <c r="I423" t="s">
        <v>1195</v>
      </c>
      <c r="J423" t="s">
        <v>1017</v>
      </c>
      <c r="K423" t="s">
        <v>27</v>
      </c>
      <c r="L423" t="s">
        <v>27</v>
      </c>
      <c r="M423" t="s">
        <v>19</v>
      </c>
      <c r="N423">
        <v>500000</v>
      </c>
      <c r="O423" t="s">
        <v>1193</v>
      </c>
      <c r="P423">
        <v>2.5</v>
      </c>
      <c r="Q423" t="s">
        <v>565</v>
      </c>
      <c r="R423" t="s">
        <v>816</v>
      </c>
    </row>
    <row r="424" spans="1:18" x14ac:dyDescent="0.25">
      <c r="A424" t="s">
        <v>817</v>
      </c>
      <c r="B424" t="s">
        <v>1504</v>
      </c>
      <c r="C424" t="s">
        <v>495</v>
      </c>
      <c r="D424" t="s">
        <v>1673</v>
      </c>
      <c r="E424" t="s">
        <v>818</v>
      </c>
      <c r="F424" t="s">
        <v>1505</v>
      </c>
      <c r="G424" t="s">
        <v>1834</v>
      </c>
      <c r="H424" t="s">
        <v>1016</v>
      </c>
      <c r="I424" t="s">
        <v>1195</v>
      </c>
      <c r="J424" t="s">
        <v>1017</v>
      </c>
      <c r="K424" t="s">
        <v>27</v>
      </c>
      <c r="L424" t="s">
        <v>27</v>
      </c>
      <c r="M424" t="s">
        <v>19</v>
      </c>
      <c r="N424">
        <v>1250000</v>
      </c>
      <c r="O424" t="s">
        <v>1193</v>
      </c>
      <c r="P424">
        <v>4</v>
      </c>
      <c r="Q424" t="s">
        <v>565</v>
      </c>
      <c r="R424" t="s">
        <v>597</v>
      </c>
    </row>
    <row r="425" spans="1:18" x14ac:dyDescent="0.25">
      <c r="A425" t="s">
        <v>819</v>
      </c>
      <c r="B425" t="s">
        <v>1504</v>
      </c>
      <c r="C425" t="s">
        <v>495</v>
      </c>
      <c r="D425" t="s">
        <v>1673</v>
      </c>
      <c r="E425" t="s">
        <v>820</v>
      </c>
      <c r="F425" t="s">
        <v>1505</v>
      </c>
      <c r="G425" t="s">
        <v>1834</v>
      </c>
      <c r="H425" t="s">
        <v>1016</v>
      </c>
      <c r="I425" t="s">
        <v>1195</v>
      </c>
      <c r="J425" t="s">
        <v>1017</v>
      </c>
      <c r="K425" t="s">
        <v>27</v>
      </c>
      <c r="L425" t="s">
        <v>27</v>
      </c>
      <c r="M425" t="s">
        <v>19</v>
      </c>
      <c r="N425">
        <v>1000000</v>
      </c>
      <c r="O425" t="s">
        <v>1193</v>
      </c>
      <c r="P425">
        <v>3.125</v>
      </c>
      <c r="Q425" t="s">
        <v>565</v>
      </c>
      <c r="R425" t="s">
        <v>583</v>
      </c>
    </row>
    <row r="426" spans="1:18" x14ac:dyDescent="0.25">
      <c r="A426" t="s">
        <v>494</v>
      </c>
      <c r="B426" t="s">
        <v>1504</v>
      </c>
      <c r="C426" t="s">
        <v>495</v>
      </c>
      <c r="D426" t="s">
        <v>1673</v>
      </c>
      <c r="E426" t="s">
        <v>2582</v>
      </c>
      <c r="F426" t="s">
        <v>1505</v>
      </c>
      <c r="G426" t="s">
        <v>1834</v>
      </c>
      <c r="H426" t="s">
        <v>1016</v>
      </c>
      <c r="I426" t="s">
        <v>1195</v>
      </c>
      <c r="J426" t="s">
        <v>1017</v>
      </c>
      <c r="K426" t="s">
        <v>27</v>
      </c>
      <c r="L426" t="s">
        <v>27</v>
      </c>
      <c r="M426" t="s">
        <v>19</v>
      </c>
      <c r="N426">
        <v>1000000</v>
      </c>
      <c r="O426" t="s">
        <v>1193</v>
      </c>
      <c r="P426">
        <v>5</v>
      </c>
      <c r="Q426" t="s">
        <v>565</v>
      </c>
      <c r="R426" t="s">
        <v>628</v>
      </c>
    </row>
    <row r="427" spans="1:18" x14ac:dyDescent="0.25">
      <c r="A427" t="s">
        <v>494</v>
      </c>
      <c r="B427" t="s">
        <v>1504</v>
      </c>
      <c r="C427" t="s">
        <v>495</v>
      </c>
      <c r="D427" t="s">
        <v>1673</v>
      </c>
      <c r="E427" t="s">
        <v>821</v>
      </c>
      <c r="F427" t="s">
        <v>1505</v>
      </c>
      <c r="G427" t="s">
        <v>1834</v>
      </c>
      <c r="H427" t="s">
        <v>1016</v>
      </c>
      <c r="I427" t="s">
        <v>1195</v>
      </c>
      <c r="J427" t="s">
        <v>1017</v>
      </c>
      <c r="K427" t="s">
        <v>27</v>
      </c>
      <c r="L427" t="s">
        <v>27</v>
      </c>
      <c r="M427" t="s">
        <v>19</v>
      </c>
      <c r="N427">
        <v>999904</v>
      </c>
      <c r="O427" t="s">
        <v>1193</v>
      </c>
      <c r="P427">
        <v>5</v>
      </c>
      <c r="Q427" t="s">
        <v>565</v>
      </c>
      <c r="R427" t="s">
        <v>628</v>
      </c>
    </row>
    <row r="428" spans="1:18" x14ac:dyDescent="0.25">
      <c r="A428" t="s">
        <v>1938</v>
      </c>
      <c r="B428" t="s">
        <v>1939</v>
      </c>
      <c r="C428" t="s">
        <v>1940</v>
      </c>
      <c r="D428" t="s">
        <v>1941</v>
      </c>
      <c r="E428" t="s">
        <v>1942</v>
      </c>
      <c r="F428" t="s">
        <v>1505</v>
      </c>
      <c r="G428" t="s">
        <v>1834</v>
      </c>
      <c r="H428" t="s">
        <v>1016</v>
      </c>
      <c r="I428" t="s">
        <v>1195</v>
      </c>
      <c r="J428" t="s">
        <v>1017</v>
      </c>
      <c r="K428" t="s">
        <v>873</v>
      </c>
      <c r="L428" t="s">
        <v>27</v>
      </c>
      <c r="M428" t="s">
        <v>19</v>
      </c>
      <c r="N428">
        <v>1000000</v>
      </c>
      <c r="O428" t="s">
        <v>1193</v>
      </c>
      <c r="P428">
        <v>5.5</v>
      </c>
      <c r="Q428" t="s">
        <v>565</v>
      </c>
      <c r="R428" t="s">
        <v>1943</v>
      </c>
    </row>
    <row r="429" spans="1:18" x14ac:dyDescent="0.25">
      <c r="A429" t="s">
        <v>496</v>
      </c>
      <c r="B429" t="s">
        <v>1504</v>
      </c>
      <c r="C429" t="s">
        <v>495</v>
      </c>
      <c r="D429" t="s">
        <v>1673</v>
      </c>
      <c r="E429" t="s">
        <v>822</v>
      </c>
      <c r="F429" t="s">
        <v>1505</v>
      </c>
      <c r="G429" t="s">
        <v>1834</v>
      </c>
      <c r="H429" t="s">
        <v>1016</v>
      </c>
      <c r="I429" t="s">
        <v>1195</v>
      </c>
      <c r="J429" t="s">
        <v>1017</v>
      </c>
      <c r="K429" t="s">
        <v>27</v>
      </c>
      <c r="L429" t="s">
        <v>27</v>
      </c>
      <c r="M429" t="s">
        <v>19</v>
      </c>
      <c r="N429">
        <v>1748160</v>
      </c>
      <c r="O429" t="s">
        <v>1193</v>
      </c>
      <c r="P429">
        <v>6</v>
      </c>
      <c r="Q429" t="s">
        <v>565</v>
      </c>
      <c r="R429" t="s">
        <v>668</v>
      </c>
    </row>
    <row r="430" spans="1:18" x14ac:dyDescent="0.25">
      <c r="A430" t="s">
        <v>496</v>
      </c>
      <c r="B430" t="s">
        <v>1504</v>
      </c>
      <c r="C430" t="s">
        <v>495</v>
      </c>
      <c r="D430" t="s">
        <v>1673</v>
      </c>
      <c r="E430" t="s">
        <v>2583</v>
      </c>
      <c r="F430" t="s">
        <v>1505</v>
      </c>
      <c r="G430" t="s">
        <v>1834</v>
      </c>
      <c r="H430" t="s">
        <v>1016</v>
      </c>
      <c r="I430" t="s">
        <v>1195</v>
      </c>
      <c r="J430" t="s">
        <v>1017</v>
      </c>
      <c r="K430" t="s">
        <v>27</v>
      </c>
      <c r="L430" t="s">
        <v>27</v>
      </c>
      <c r="M430" t="s">
        <v>19</v>
      </c>
      <c r="N430">
        <v>1750000</v>
      </c>
      <c r="O430" t="s">
        <v>1193</v>
      </c>
      <c r="P430">
        <v>6</v>
      </c>
      <c r="Q430" t="s">
        <v>565</v>
      </c>
      <c r="R430" t="s">
        <v>668</v>
      </c>
    </row>
    <row r="431" spans="1:18" x14ac:dyDescent="0.25">
      <c r="A431" t="s">
        <v>497</v>
      </c>
      <c r="B431" t="s">
        <v>1504</v>
      </c>
      <c r="C431" t="s">
        <v>495</v>
      </c>
      <c r="D431" t="s">
        <v>1673</v>
      </c>
      <c r="E431" t="s">
        <v>498</v>
      </c>
      <c r="F431" t="s">
        <v>1505</v>
      </c>
      <c r="G431" t="s">
        <v>1834</v>
      </c>
      <c r="H431" t="s">
        <v>1016</v>
      </c>
      <c r="I431" t="s">
        <v>1195</v>
      </c>
      <c r="J431" t="s">
        <v>1017</v>
      </c>
      <c r="K431" t="s">
        <v>27</v>
      </c>
      <c r="L431" t="s">
        <v>27</v>
      </c>
      <c r="M431" t="s">
        <v>19</v>
      </c>
      <c r="N431">
        <v>1250000</v>
      </c>
      <c r="O431" t="s">
        <v>1193</v>
      </c>
      <c r="P431">
        <v>7</v>
      </c>
      <c r="Q431" t="s">
        <v>565</v>
      </c>
      <c r="R431" t="s">
        <v>669</v>
      </c>
    </row>
    <row r="432" spans="1:18" x14ac:dyDescent="0.25">
      <c r="A432" t="s">
        <v>823</v>
      </c>
      <c r="B432" t="s">
        <v>851</v>
      </c>
      <c r="C432" t="s">
        <v>504</v>
      </c>
      <c r="D432" t="s">
        <v>1024</v>
      </c>
      <c r="E432" t="s">
        <v>824</v>
      </c>
      <c r="F432" t="s">
        <v>506</v>
      </c>
      <c r="G432" t="s">
        <v>1835</v>
      </c>
      <c r="H432" t="s">
        <v>933</v>
      </c>
      <c r="I432" t="s">
        <v>1195</v>
      </c>
      <c r="J432" t="s">
        <v>1025</v>
      </c>
      <c r="K432" t="s">
        <v>42</v>
      </c>
      <c r="L432" t="s">
        <v>42</v>
      </c>
      <c r="M432" t="s">
        <v>19</v>
      </c>
      <c r="N432">
        <v>1000000</v>
      </c>
      <c r="O432" t="s">
        <v>1193</v>
      </c>
      <c r="P432">
        <v>5</v>
      </c>
      <c r="Q432" t="s">
        <v>566</v>
      </c>
      <c r="R432" t="s">
        <v>825</v>
      </c>
    </row>
    <row r="433" spans="1:18" x14ac:dyDescent="0.25">
      <c r="A433" t="s">
        <v>826</v>
      </c>
      <c r="B433" t="s">
        <v>851</v>
      </c>
      <c r="C433" t="s">
        <v>504</v>
      </c>
      <c r="D433" t="s">
        <v>1024</v>
      </c>
      <c r="E433" t="s">
        <v>827</v>
      </c>
      <c r="F433" t="s">
        <v>506</v>
      </c>
      <c r="G433" t="s">
        <v>1835</v>
      </c>
      <c r="H433" t="s">
        <v>933</v>
      </c>
      <c r="I433" t="s">
        <v>1195</v>
      </c>
      <c r="J433" t="s">
        <v>1025</v>
      </c>
      <c r="K433" t="s">
        <v>42</v>
      </c>
      <c r="L433" t="s">
        <v>42</v>
      </c>
      <c r="M433" t="s">
        <v>19</v>
      </c>
      <c r="N433">
        <v>750000</v>
      </c>
      <c r="O433" t="s">
        <v>1193</v>
      </c>
      <c r="P433">
        <v>5.25</v>
      </c>
      <c r="Q433" t="s">
        <v>566</v>
      </c>
      <c r="R433" t="s">
        <v>828</v>
      </c>
    </row>
    <row r="434" spans="1:18" x14ac:dyDescent="0.25">
      <c r="A434" t="s">
        <v>829</v>
      </c>
      <c r="B434" t="s">
        <v>851</v>
      </c>
      <c r="C434" t="s">
        <v>504</v>
      </c>
      <c r="D434" t="s">
        <v>1024</v>
      </c>
      <c r="E434" t="s">
        <v>830</v>
      </c>
      <c r="F434" t="s">
        <v>506</v>
      </c>
      <c r="G434" t="s">
        <v>1835</v>
      </c>
      <c r="H434" t="s">
        <v>933</v>
      </c>
      <c r="I434" t="s">
        <v>1195</v>
      </c>
      <c r="J434" t="s">
        <v>1025</v>
      </c>
      <c r="K434" t="s">
        <v>42</v>
      </c>
      <c r="L434" t="s">
        <v>42</v>
      </c>
      <c r="M434" t="s">
        <v>19</v>
      </c>
      <c r="N434">
        <v>900000</v>
      </c>
      <c r="O434" t="s">
        <v>1193</v>
      </c>
      <c r="P434">
        <v>6.125</v>
      </c>
      <c r="Q434" t="s">
        <v>566</v>
      </c>
      <c r="R434" t="s">
        <v>831</v>
      </c>
    </row>
    <row r="435" spans="1:18" x14ac:dyDescent="0.25">
      <c r="A435" t="s">
        <v>503</v>
      </c>
      <c r="B435" t="s">
        <v>851</v>
      </c>
      <c r="C435" t="s">
        <v>504</v>
      </c>
      <c r="D435" t="s">
        <v>1024</v>
      </c>
      <c r="E435" t="s">
        <v>832</v>
      </c>
      <c r="F435" t="s">
        <v>506</v>
      </c>
      <c r="G435" t="s">
        <v>1835</v>
      </c>
      <c r="H435" t="s">
        <v>933</v>
      </c>
      <c r="I435" t="s">
        <v>1195</v>
      </c>
      <c r="J435" t="s">
        <v>1025</v>
      </c>
      <c r="K435" t="s">
        <v>42</v>
      </c>
      <c r="L435" t="s">
        <v>42</v>
      </c>
      <c r="M435" t="s">
        <v>19</v>
      </c>
      <c r="N435">
        <v>599500</v>
      </c>
      <c r="O435" t="s">
        <v>1193</v>
      </c>
      <c r="P435">
        <v>6.625</v>
      </c>
      <c r="Q435" t="s">
        <v>566</v>
      </c>
      <c r="R435" t="s">
        <v>672</v>
      </c>
    </row>
    <row r="436" spans="1:18" x14ac:dyDescent="0.25">
      <c r="A436" t="s">
        <v>503</v>
      </c>
      <c r="B436" t="s">
        <v>851</v>
      </c>
      <c r="C436" t="s">
        <v>504</v>
      </c>
      <c r="D436" t="s">
        <v>1024</v>
      </c>
      <c r="E436" t="s">
        <v>505</v>
      </c>
      <c r="F436" t="s">
        <v>506</v>
      </c>
      <c r="G436" t="s">
        <v>1835</v>
      </c>
      <c r="H436" t="s">
        <v>933</v>
      </c>
      <c r="I436" t="s">
        <v>1195</v>
      </c>
      <c r="J436" t="s">
        <v>1025</v>
      </c>
      <c r="K436" t="s">
        <v>42</v>
      </c>
      <c r="L436" t="s">
        <v>42</v>
      </c>
      <c r="M436" t="s">
        <v>19</v>
      </c>
      <c r="N436">
        <v>600000</v>
      </c>
      <c r="O436" t="s">
        <v>1193</v>
      </c>
      <c r="P436">
        <v>6.625</v>
      </c>
      <c r="Q436" t="s">
        <v>566</v>
      </c>
      <c r="R436" t="s">
        <v>672</v>
      </c>
    </row>
    <row r="437" spans="1:18" x14ac:dyDescent="0.25">
      <c r="A437" t="s">
        <v>833</v>
      </c>
      <c r="B437" t="s">
        <v>851</v>
      </c>
      <c r="C437" t="s">
        <v>504</v>
      </c>
      <c r="D437" t="s">
        <v>1024</v>
      </c>
      <c r="E437" t="s">
        <v>834</v>
      </c>
      <c r="F437" t="s">
        <v>506</v>
      </c>
      <c r="G437" t="s">
        <v>1835</v>
      </c>
      <c r="H437" t="s">
        <v>933</v>
      </c>
      <c r="I437" t="s">
        <v>1195</v>
      </c>
      <c r="J437" t="s">
        <v>1025</v>
      </c>
      <c r="K437" t="s">
        <v>42</v>
      </c>
      <c r="L437" t="s">
        <v>42</v>
      </c>
      <c r="M437" t="s">
        <v>19</v>
      </c>
      <c r="N437">
        <v>300000</v>
      </c>
      <c r="O437" t="s">
        <v>1193</v>
      </c>
      <c r="P437">
        <v>8.5</v>
      </c>
      <c r="Q437" t="s">
        <v>566</v>
      </c>
      <c r="R437" t="s">
        <v>2545</v>
      </c>
    </row>
    <row r="438" spans="1:18" x14ac:dyDescent="0.25">
      <c r="A438" t="s">
        <v>1091</v>
      </c>
      <c r="B438" t="s">
        <v>1508</v>
      </c>
      <c r="C438" t="s">
        <v>507</v>
      </c>
      <c r="D438" t="s">
        <v>1674</v>
      </c>
      <c r="E438" t="s">
        <v>1092</v>
      </c>
      <c r="F438" t="s">
        <v>1509</v>
      </c>
      <c r="H438" t="s">
        <v>16</v>
      </c>
      <c r="I438" t="s">
        <v>1890</v>
      </c>
      <c r="J438" t="s">
        <v>1021</v>
      </c>
      <c r="K438" t="s">
        <v>41</v>
      </c>
      <c r="L438" t="s">
        <v>41</v>
      </c>
      <c r="M438" t="s">
        <v>19</v>
      </c>
      <c r="N438">
        <v>425000</v>
      </c>
      <c r="O438" t="s">
        <v>1193</v>
      </c>
      <c r="P438">
        <v>7.75</v>
      </c>
      <c r="Q438" t="s">
        <v>569</v>
      </c>
      <c r="R438" t="s">
        <v>1093</v>
      </c>
    </row>
    <row r="439" spans="1:18" x14ac:dyDescent="0.25">
      <c r="A439" t="s">
        <v>508</v>
      </c>
      <c r="B439" t="s">
        <v>1511</v>
      </c>
      <c r="C439" t="s">
        <v>691</v>
      </c>
      <c r="D439" t="s">
        <v>1675</v>
      </c>
      <c r="E439" t="s">
        <v>511</v>
      </c>
      <c r="F439" t="s">
        <v>512</v>
      </c>
      <c r="G439" t="s">
        <v>513</v>
      </c>
      <c r="H439" t="s">
        <v>16</v>
      </c>
      <c r="I439" t="s">
        <v>1890</v>
      </c>
      <c r="J439" t="s">
        <v>30</v>
      </c>
      <c r="K439" t="s">
        <v>871</v>
      </c>
      <c r="L439" t="s">
        <v>42</v>
      </c>
      <c r="M439" t="s">
        <v>19</v>
      </c>
      <c r="N439">
        <v>953000</v>
      </c>
      <c r="O439" t="s">
        <v>1193</v>
      </c>
      <c r="P439">
        <v>5.75</v>
      </c>
      <c r="Q439" t="s">
        <v>565</v>
      </c>
      <c r="R439" t="s">
        <v>2546</v>
      </c>
    </row>
    <row r="440" spans="1:18" x14ac:dyDescent="0.25">
      <c r="A440" t="s">
        <v>514</v>
      </c>
      <c r="B440" t="s">
        <v>1512</v>
      </c>
      <c r="C440" t="s">
        <v>515</v>
      </c>
      <c r="D440" t="s">
        <v>515</v>
      </c>
      <c r="E440" t="s">
        <v>516</v>
      </c>
      <c r="F440" t="s">
        <v>1513</v>
      </c>
      <c r="G440" t="s">
        <v>1836</v>
      </c>
      <c r="H440" t="s">
        <v>1404</v>
      </c>
      <c r="I440" t="s">
        <v>1195</v>
      </c>
      <c r="J440" t="s">
        <v>1405</v>
      </c>
      <c r="K440" t="s">
        <v>42</v>
      </c>
      <c r="L440" t="s">
        <v>42</v>
      </c>
      <c r="M440" t="s">
        <v>19</v>
      </c>
      <c r="N440">
        <v>500000</v>
      </c>
      <c r="O440" t="s">
        <v>1193</v>
      </c>
      <c r="P440">
        <v>3.625</v>
      </c>
      <c r="Q440" t="s">
        <v>566</v>
      </c>
      <c r="R440" t="s">
        <v>673</v>
      </c>
    </row>
    <row r="441" spans="1:18" x14ac:dyDescent="0.25">
      <c r="A441" t="s">
        <v>2224</v>
      </c>
      <c r="B441" t="s">
        <v>2225</v>
      </c>
      <c r="C441" t="s">
        <v>2226</v>
      </c>
      <c r="D441" t="s">
        <v>2227</v>
      </c>
      <c r="E441" t="s">
        <v>2228</v>
      </c>
      <c r="F441" t="s">
        <v>2229</v>
      </c>
      <c r="G441" t="s">
        <v>2230</v>
      </c>
      <c r="H441" t="s">
        <v>1218</v>
      </c>
      <c r="I441" t="s">
        <v>1195</v>
      </c>
      <c r="J441" t="s">
        <v>2231</v>
      </c>
      <c r="K441" t="s">
        <v>42</v>
      </c>
      <c r="L441" t="s">
        <v>42</v>
      </c>
      <c r="M441" t="s">
        <v>19</v>
      </c>
      <c r="N441">
        <v>1020704.55</v>
      </c>
      <c r="O441" t="s">
        <v>1193</v>
      </c>
      <c r="P441">
        <v>11.125</v>
      </c>
      <c r="Q441" t="s">
        <v>2195</v>
      </c>
      <c r="R441" t="s">
        <v>2232</v>
      </c>
    </row>
    <row r="442" spans="1:18" x14ac:dyDescent="0.25">
      <c r="A442" t="s">
        <v>520</v>
      </c>
      <c r="B442" t="s">
        <v>1516</v>
      </c>
      <c r="C442" t="s">
        <v>521</v>
      </c>
      <c r="D442" t="s">
        <v>521</v>
      </c>
      <c r="E442" t="s">
        <v>522</v>
      </c>
      <c r="F442" t="s">
        <v>1517</v>
      </c>
      <c r="G442" t="s">
        <v>1837</v>
      </c>
      <c r="H442" t="s">
        <v>16</v>
      </c>
      <c r="I442" t="s">
        <v>1577</v>
      </c>
      <c r="J442" t="s">
        <v>1192</v>
      </c>
      <c r="K442" t="s">
        <v>18</v>
      </c>
      <c r="L442" t="s">
        <v>18</v>
      </c>
      <c r="M442" t="s">
        <v>19</v>
      </c>
      <c r="N442">
        <v>600000</v>
      </c>
      <c r="O442" t="s">
        <v>1193</v>
      </c>
      <c r="P442">
        <v>4.7</v>
      </c>
      <c r="Q442" t="s">
        <v>565</v>
      </c>
      <c r="R442" t="s">
        <v>674</v>
      </c>
    </row>
    <row r="443" spans="1:18" x14ac:dyDescent="0.25">
      <c r="A443" t="s">
        <v>523</v>
      </c>
      <c r="B443" t="s">
        <v>1516</v>
      </c>
      <c r="C443" t="s">
        <v>521</v>
      </c>
      <c r="D443" t="s">
        <v>521</v>
      </c>
      <c r="E443" t="s">
        <v>524</v>
      </c>
      <c r="F443" t="s">
        <v>1517</v>
      </c>
      <c r="G443" t="s">
        <v>1837</v>
      </c>
      <c r="H443" t="s">
        <v>16</v>
      </c>
      <c r="I443" t="s">
        <v>1577</v>
      </c>
      <c r="J443" t="s">
        <v>1192</v>
      </c>
      <c r="K443" t="s">
        <v>18</v>
      </c>
      <c r="L443" t="s">
        <v>18</v>
      </c>
      <c r="M443" t="s">
        <v>19</v>
      </c>
      <c r="N443">
        <v>500000</v>
      </c>
      <c r="O443" t="s">
        <v>1193</v>
      </c>
      <c r="P443">
        <v>5.2</v>
      </c>
      <c r="Q443" t="s">
        <v>565</v>
      </c>
      <c r="R443" t="s">
        <v>2547</v>
      </c>
    </row>
    <row r="444" spans="1:18" x14ac:dyDescent="0.25">
      <c r="A444" t="s">
        <v>525</v>
      </c>
      <c r="B444" t="s">
        <v>1518</v>
      </c>
      <c r="C444" t="s">
        <v>526</v>
      </c>
      <c r="D444" t="s">
        <v>526</v>
      </c>
      <c r="E444" t="s">
        <v>527</v>
      </c>
      <c r="F444" t="s">
        <v>1519</v>
      </c>
      <c r="G444" t="s">
        <v>1838</v>
      </c>
      <c r="H444" t="s">
        <v>16</v>
      </c>
      <c r="I444" t="s">
        <v>1890</v>
      </c>
      <c r="J444" t="s">
        <v>1192</v>
      </c>
      <c r="K444" t="s">
        <v>31</v>
      </c>
      <c r="L444" t="s">
        <v>31</v>
      </c>
      <c r="M444" t="s">
        <v>19</v>
      </c>
      <c r="N444">
        <v>350000</v>
      </c>
      <c r="O444" t="s">
        <v>1193</v>
      </c>
      <c r="P444">
        <v>3.875</v>
      </c>
      <c r="Q444" t="s">
        <v>562</v>
      </c>
      <c r="R444" t="s">
        <v>2548</v>
      </c>
    </row>
    <row r="445" spans="1:18" x14ac:dyDescent="0.25">
      <c r="A445" t="s">
        <v>528</v>
      </c>
      <c r="B445" t="s">
        <v>1520</v>
      </c>
      <c r="C445" t="s">
        <v>529</v>
      </c>
      <c r="D445" t="s">
        <v>529</v>
      </c>
      <c r="E445" t="s">
        <v>530</v>
      </c>
      <c r="F445" t="s">
        <v>1521</v>
      </c>
      <c r="G445" t="s">
        <v>1839</v>
      </c>
      <c r="H445" t="s">
        <v>1404</v>
      </c>
      <c r="I445" t="s">
        <v>1195</v>
      </c>
      <c r="J445" t="s">
        <v>1405</v>
      </c>
      <c r="K445" t="s">
        <v>871</v>
      </c>
      <c r="L445" t="s">
        <v>27</v>
      </c>
      <c r="M445" t="s">
        <v>19</v>
      </c>
      <c r="N445">
        <v>375000</v>
      </c>
      <c r="O445" t="s">
        <v>1193</v>
      </c>
      <c r="P445">
        <v>4.5</v>
      </c>
      <c r="Q445" t="s">
        <v>569</v>
      </c>
      <c r="R445" t="s">
        <v>675</v>
      </c>
    </row>
    <row r="446" spans="1:18" x14ac:dyDescent="0.25">
      <c r="A446" t="s">
        <v>531</v>
      </c>
      <c r="B446" t="s">
        <v>1522</v>
      </c>
      <c r="C446" t="s">
        <v>532</v>
      </c>
      <c r="D446" t="s">
        <v>1677</v>
      </c>
      <c r="E446" t="s">
        <v>533</v>
      </c>
      <c r="F446" t="s">
        <v>1523</v>
      </c>
      <c r="G446" t="s">
        <v>1840</v>
      </c>
      <c r="H446" t="s">
        <v>221</v>
      </c>
      <c r="I446" t="s">
        <v>1195</v>
      </c>
      <c r="J446" t="s">
        <v>228</v>
      </c>
      <c r="K446" t="s">
        <v>871</v>
      </c>
      <c r="L446" t="s">
        <v>27</v>
      </c>
      <c r="M446" t="s">
        <v>19</v>
      </c>
      <c r="N446">
        <v>850000</v>
      </c>
      <c r="O446" t="s">
        <v>1193</v>
      </c>
      <c r="P446">
        <v>5.25</v>
      </c>
      <c r="Q446" t="s">
        <v>566</v>
      </c>
      <c r="R446" t="s">
        <v>2549</v>
      </c>
    </row>
    <row r="447" spans="1:18" x14ac:dyDescent="0.25">
      <c r="A447" t="s">
        <v>1547</v>
      </c>
      <c r="B447" t="s">
        <v>1524</v>
      </c>
      <c r="C447" t="s">
        <v>1182</v>
      </c>
      <c r="D447" t="s">
        <v>1678</v>
      </c>
      <c r="E447" t="s">
        <v>1548</v>
      </c>
      <c r="F447" t="s">
        <v>1525</v>
      </c>
      <c r="G447" t="s">
        <v>1841</v>
      </c>
      <c r="H447" t="s">
        <v>1260</v>
      </c>
      <c r="I447" t="s">
        <v>1195</v>
      </c>
      <c r="J447" t="s">
        <v>1261</v>
      </c>
      <c r="K447" t="s">
        <v>871</v>
      </c>
      <c r="L447" t="s">
        <v>27</v>
      </c>
      <c r="M447" t="s">
        <v>19</v>
      </c>
      <c r="N447">
        <v>500000</v>
      </c>
      <c r="O447" t="s">
        <v>1193</v>
      </c>
      <c r="P447">
        <v>7.5</v>
      </c>
      <c r="Q447" t="s">
        <v>564</v>
      </c>
      <c r="R447" t="s">
        <v>667</v>
      </c>
    </row>
    <row r="448" spans="1:18" x14ac:dyDescent="0.25">
      <c r="A448" t="s">
        <v>835</v>
      </c>
      <c r="B448" t="s">
        <v>1526</v>
      </c>
      <c r="C448" t="s">
        <v>836</v>
      </c>
      <c r="D448" t="s">
        <v>1679</v>
      </c>
      <c r="E448" t="s">
        <v>837</v>
      </c>
      <c r="F448" t="s">
        <v>1527</v>
      </c>
      <c r="G448" t="s">
        <v>1842</v>
      </c>
      <c r="H448" t="s">
        <v>1260</v>
      </c>
      <c r="I448" t="s">
        <v>1195</v>
      </c>
      <c r="J448" t="s">
        <v>1528</v>
      </c>
      <c r="K448" t="s">
        <v>27</v>
      </c>
      <c r="L448" t="s">
        <v>27</v>
      </c>
      <c r="M448" t="s">
        <v>19</v>
      </c>
      <c r="N448">
        <v>1500000</v>
      </c>
      <c r="O448" t="s">
        <v>1193</v>
      </c>
      <c r="P448">
        <v>3.75</v>
      </c>
      <c r="Q448" t="s">
        <v>562</v>
      </c>
      <c r="R448" t="s">
        <v>2550</v>
      </c>
    </row>
    <row r="449" spans="1:18" x14ac:dyDescent="0.25">
      <c r="A449" t="s">
        <v>838</v>
      </c>
      <c r="B449" t="s">
        <v>1529</v>
      </c>
      <c r="C449" t="s">
        <v>839</v>
      </c>
      <c r="D449" t="s">
        <v>1680</v>
      </c>
      <c r="E449" t="s">
        <v>840</v>
      </c>
      <c r="F449" t="s">
        <v>1527</v>
      </c>
      <c r="G449" t="s">
        <v>1842</v>
      </c>
      <c r="H449" t="s">
        <v>1260</v>
      </c>
      <c r="I449" t="s">
        <v>1195</v>
      </c>
      <c r="J449" t="s">
        <v>1528</v>
      </c>
      <c r="K449" t="s">
        <v>27</v>
      </c>
      <c r="L449" t="s">
        <v>27</v>
      </c>
      <c r="M449" t="s">
        <v>19</v>
      </c>
      <c r="N449">
        <v>1500000</v>
      </c>
      <c r="O449" t="s">
        <v>1193</v>
      </c>
      <c r="P449">
        <v>5.625</v>
      </c>
      <c r="Q449" t="s">
        <v>562</v>
      </c>
      <c r="R449" t="s">
        <v>2551</v>
      </c>
    </row>
    <row r="450" spans="1:18" x14ac:dyDescent="0.25">
      <c r="A450" t="s">
        <v>2057</v>
      </c>
      <c r="B450" t="s">
        <v>1526</v>
      </c>
      <c r="C450" t="s">
        <v>836</v>
      </c>
      <c r="D450" t="s">
        <v>1679</v>
      </c>
      <c r="E450" t="s">
        <v>2058</v>
      </c>
      <c r="F450" t="s">
        <v>1527</v>
      </c>
      <c r="G450" t="s">
        <v>1842</v>
      </c>
      <c r="H450" t="s">
        <v>1260</v>
      </c>
      <c r="I450" t="s">
        <v>1195</v>
      </c>
      <c r="J450" t="s">
        <v>1528</v>
      </c>
      <c r="K450" t="s">
        <v>27</v>
      </c>
      <c r="L450" t="s">
        <v>27</v>
      </c>
      <c r="M450" t="s">
        <v>19</v>
      </c>
      <c r="N450">
        <v>750000</v>
      </c>
      <c r="O450" t="s">
        <v>1193</v>
      </c>
      <c r="P450">
        <v>6</v>
      </c>
      <c r="Q450" t="s">
        <v>566</v>
      </c>
      <c r="R450" t="s">
        <v>2059</v>
      </c>
    </row>
    <row r="451" spans="1:18" x14ac:dyDescent="0.25">
      <c r="A451" t="s">
        <v>852</v>
      </c>
      <c r="B451" t="s">
        <v>1526</v>
      </c>
      <c r="C451" t="s">
        <v>836</v>
      </c>
      <c r="D451" t="s">
        <v>1679</v>
      </c>
      <c r="E451" t="s">
        <v>853</v>
      </c>
      <c r="F451" t="s">
        <v>1527</v>
      </c>
      <c r="G451" t="s">
        <v>1842</v>
      </c>
      <c r="H451" t="s">
        <v>1260</v>
      </c>
      <c r="I451" t="s">
        <v>1195</v>
      </c>
      <c r="J451" t="s">
        <v>1528</v>
      </c>
      <c r="K451" t="s">
        <v>27</v>
      </c>
      <c r="L451" t="s">
        <v>27</v>
      </c>
      <c r="M451" t="s">
        <v>19</v>
      </c>
      <c r="N451">
        <v>1500000</v>
      </c>
      <c r="O451" t="s">
        <v>1193</v>
      </c>
      <c r="P451">
        <v>6.125</v>
      </c>
      <c r="Q451" t="s">
        <v>562</v>
      </c>
      <c r="R451" t="s">
        <v>2552</v>
      </c>
    </row>
    <row r="452" spans="1:18" x14ac:dyDescent="0.25">
      <c r="A452" t="s">
        <v>841</v>
      </c>
      <c r="B452" t="s">
        <v>1526</v>
      </c>
      <c r="C452" t="s">
        <v>836</v>
      </c>
      <c r="D452" t="s">
        <v>1679</v>
      </c>
      <c r="E452" t="s">
        <v>842</v>
      </c>
      <c r="F452" t="s">
        <v>1527</v>
      </c>
      <c r="G452" t="s">
        <v>1842</v>
      </c>
      <c r="H452" t="s">
        <v>1260</v>
      </c>
      <c r="I452" t="s">
        <v>1195</v>
      </c>
      <c r="J452" t="s">
        <v>1528</v>
      </c>
      <c r="K452" t="s">
        <v>27</v>
      </c>
      <c r="L452" t="s">
        <v>27</v>
      </c>
      <c r="M452" t="s">
        <v>19</v>
      </c>
      <c r="N452">
        <v>1750000</v>
      </c>
      <c r="O452" t="s">
        <v>1193</v>
      </c>
      <c r="P452">
        <v>6.875</v>
      </c>
      <c r="Q452" t="s">
        <v>562</v>
      </c>
      <c r="R452" t="s">
        <v>2553</v>
      </c>
    </row>
    <row r="453" spans="1:18" x14ac:dyDescent="0.25">
      <c r="A453" t="s">
        <v>843</v>
      </c>
      <c r="B453" t="s">
        <v>1526</v>
      </c>
      <c r="C453" t="s">
        <v>836</v>
      </c>
      <c r="D453" t="s">
        <v>1679</v>
      </c>
      <c r="E453" t="s">
        <v>844</v>
      </c>
      <c r="F453" t="s">
        <v>1527</v>
      </c>
      <c r="G453" t="s">
        <v>1842</v>
      </c>
      <c r="H453" t="s">
        <v>1260</v>
      </c>
      <c r="I453" t="s">
        <v>1195</v>
      </c>
      <c r="J453" t="s">
        <v>1528</v>
      </c>
      <c r="K453" t="s">
        <v>27</v>
      </c>
      <c r="L453" t="s">
        <v>27</v>
      </c>
      <c r="M453" t="s">
        <v>19</v>
      </c>
      <c r="N453">
        <v>2500000</v>
      </c>
      <c r="O453" t="s">
        <v>1193</v>
      </c>
      <c r="P453">
        <v>6.875</v>
      </c>
      <c r="Q453" t="s">
        <v>562</v>
      </c>
      <c r="R453" t="s">
        <v>845</v>
      </c>
    </row>
    <row r="454" spans="1:18" x14ac:dyDescent="0.25">
      <c r="A454" t="s">
        <v>1035</v>
      </c>
      <c r="B454" t="s">
        <v>1526</v>
      </c>
      <c r="C454" t="s">
        <v>836</v>
      </c>
      <c r="D454" t="s">
        <v>1679</v>
      </c>
      <c r="E454" t="s">
        <v>1036</v>
      </c>
      <c r="F454" t="s">
        <v>1527</v>
      </c>
      <c r="G454" t="s">
        <v>1842</v>
      </c>
      <c r="H454" t="s">
        <v>1260</v>
      </c>
      <c r="I454" t="s">
        <v>1195</v>
      </c>
      <c r="J454" t="s">
        <v>1528</v>
      </c>
      <c r="K454" t="s">
        <v>27</v>
      </c>
      <c r="L454" t="s">
        <v>27</v>
      </c>
      <c r="M454" t="s">
        <v>19</v>
      </c>
      <c r="N454">
        <v>1750000</v>
      </c>
      <c r="O454" t="s">
        <v>1193</v>
      </c>
      <c r="P454">
        <v>6.4</v>
      </c>
      <c r="Q454" t="s">
        <v>562</v>
      </c>
      <c r="R454" t="s">
        <v>1037</v>
      </c>
    </row>
    <row r="455" spans="1:18" x14ac:dyDescent="0.25">
      <c r="A455" t="s">
        <v>846</v>
      </c>
      <c r="B455" t="s">
        <v>1526</v>
      </c>
      <c r="C455" t="s">
        <v>836</v>
      </c>
      <c r="D455" t="s">
        <v>1679</v>
      </c>
      <c r="E455" t="s">
        <v>847</v>
      </c>
      <c r="F455" t="s">
        <v>1527</v>
      </c>
      <c r="G455" t="s">
        <v>1842</v>
      </c>
      <c r="H455" t="s">
        <v>1260</v>
      </c>
      <c r="I455" t="s">
        <v>1195</v>
      </c>
      <c r="J455" t="s">
        <v>1528</v>
      </c>
      <c r="K455" t="s">
        <v>27</v>
      </c>
      <c r="L455" t="s">
        <v>27</v>
      </c>
      <c r="M455" t="s">
        <v>19</v>
      </c>
      <c r="N455">
        <v>800000</v>
      </c>
      <c r="O455" t="s">
        <v>1193</v>
      </c>
      <c r="P455">
        <v>8.25</v>
      </c>
      <c r="Q455" t="s">
        <v>562</v>
      </c>
      <c r="R455" t="s">
        <v>848</v>
      </c>
    </row>
    <row r="456" spans="1:18" x14ac:dyDescent="0.25">
      <c r="A456" t="s">
        <v>935</v>
      </c>
      <c r="B456" t="s">
        <v>936</v>
      </c>
      <c r="C456" t="s">
        <v>937</v>
      </c>
      <c r="D456" t="s">
        <v>938</v>
      </c>
      <c r="E456" t="s">
        <v>939</v>
      </c>
      <c r="F456" t="s">
        <v>940</v>
      </c>
      <c r="H456" t="s">
        <v>16</v>
      </c>
      <c r="I456" t="s">
        <v>1890</v>
      </c>
      <c r="J456" t="s">
        <v>30</v>
      </c>
      <c r="K456" t="s">
        <v>42</v>
      </c>
      <c r="L456" t="s">
        <v>42</v>
      </c>
      <c r="M456" t="s">
        <v>19</v>
      </c>
      <c r="N456">
        <v>530000</v>
      </c>
      <c r="O456" t="s">
        <v>1193</v>
      </c>
      <c r="P456">
        <v>7.875</v>
      </c>
      <c r="Q456" t="s">
        <v>565</v>
      </c>
      <c r="R456" t="s">
        <v>2016</v>
      </c>
    </row>
    <row r="457" spans="1:18" x14ac:dyDescent="0.25">
      <c r="A457" t="s">
        <v>2021</v>
      </c>
      <c r="B457" t="s">
        <v>2022</v>
      </c>
      <c r="C457" t="s">
        <v>2023</v>
      </c>
      <c r="D457" t="s">
        <v>2023</v>
      </c>
      <c r="E457" t="s">
        <v>2024</v>
      </c>
      <c r="F457" t="s">
        <v>2025</v>
      </c>
      <c r="G457" t="s">
        <v>2026</v>
      </c>
      <c r="H457" t="s">
        <v>2027</v>
      </c>
      <c r="I457" t="s">
        <v>1195</v>
      </c>
      <c r="J457" t="s">
        <v>2027</v>
      </c>
      <c r="K457" t="s">
        <v>871</v>
      </c>
      <c r="L457" t="s">
        <v>27</v>
      </c>
      <c r="M457" t="s">
        <v>19</v>
      </c>
      <c r="N457">
        <v>300000</v>
      </c>
      <c r="O457" t="s">
        <v>1193</v>
      </c>
      <c r="P457">
        <v>9.1999999999999993</v>
      </c>
      <c r="Q457" t="s">
        <v>569</v>
      </c>
      <c r="R457" t="s">
        <v>665</v>
      </c>
    </row>
    <row r="458" spans="1:18" x14ac:dyDescent="0.25">
      <c r="A458" t="s">
        <v>534</v>
      </c>
      <c r="B458" t="s">
        <v>1530</v>
      </c>
      <c r="C458" t="s">
        <v>535</v>
      </c>
      <c r="D458" t="s">
        <v>1681</v>
      </c>
      <c r="E458" t="s">
        <v>536</v>
      </c>
      <c r="F458" t="s">
        <v>1531</v>
      </c>
      <c r="G458" t="s">
        <v>1843</v>
      </c>
      <c r="H458" t="s">
        <v>1022</v>
      </c>
      <c r="I458" t="s">
        <v>1576</v>
      </c>
      <c r="J458" t="s">
        <v>1023</v>
      </c>
      <c r="K458" t="s">
        <v>42</v>
      </c>
      <c r="L458" t="s">
        <v>42</v>
      </c>
      <c r="M458" t="s">
        <v>19</v>
      </c>
      <c r="N458">
        <v>350000</v>
      </c>
      <c r="O458" t="s">
        <v>1193</v>
      </c>
      <c r="P458">
        <v>3.625</v>
      </c>
      <c r="Q458" t="s">
        <v>565</v>
      </c>
      <c r="R458" t="s">
        <v>676</v>
      </c>
    </row>
    <row r="459" spans="1:18" x14ac:dyDescent="0.25">
      <c r="A459" t="s">
        <v>1979</v>
      </c>
      <c r="B459" t="s">
        <v>1530</v>
      </c>
      <c r="C459" t="s">
        <v>535</v>
      </c>
      <c r="D459" t="s">
        <v>1681</v>
      </c>
      <c r="E459" t="s">
        <v>1980</v>
      </c>
      <c r="F459" t="s">
        <v>1531</v>
      </c>
      <c r="G459" t="s">
        <v>1843</v>
      </c>
      <c r="H459" t="s">
        <v>1022</v>
      </c>
      <c r="I459" t="s">
        <v>1576</v>
      </c>
      <c r="J459" t="s">
        <v>1023</v>
      </c>
      <c r="K459" t="s">
        <v>42</v>
      </c>
      <c r="L459" t="s">
        <v>42</v>
      </c>
      <c r="M459" t="s">
        <v>19</v>
      </c>
      <c r="N459">
        <v>500000</v>
      </c>
      <c r="O459" t="s">
        <v>1193</v>
      </c>
      <c r="P459">
        <v>5.5</v>
      </c>
      <c r="Q459" t="s">
        <v>565</v>
      </c>
      <c r="R459" t="s">
        <v>1981</v>
      </c>
    </row>
    <row r="460" spans="1:18" x14ac:dyDescent="0.25">
      <c r="A460" t="s">
        <v>2032</v>
      </c>
      <c r="B460" t="s">
        <v>2033</v>
      </c>
      <c r="C460" t="s">
        <v>2034</v>
      </c>
      <c r="D460" t="s">
        <v>2035</v>
      </c>
      <c r="E460" t="s">
        <v>2036</v>
      </c>
      <c r="F460" t="s">
        <v>2037</v>
      </c>
      <c r="G460" t="s">
        <v>2038</v>
      </c>
      <c r="H460" t="s">
        <v>1224</v>
      </c>
      <c r="I460" t="s">
        <v>1195</v>
      </c>
      <c r="J460" t="s">
        <v>1313</v>
      </c>
      <c r="K460" t="s">
        <v>18</v>
      </c>
      <c r="L460" t="s">
        <v>18</v>
      </c>
      <c r="M460" t="s">
        <v>19</v>
      </c>
      <c r="N460">
        <v>970000</v>
      </c>
      <c r="O460" t="s">
        <v>1193</v>
      </c>
      <c r="P460">
        <v>8.5</v>
      </c>
      <c r="Q460" t="s">
        <v>576</v>
      </c>
      <c r="R460" t="s">
        <v>2039</v>
      </c>
    </row>
    <row r="461" spans="1:18" x14ac:dyDescent="0.25">
      <c r="A461" t="s">
        <v>978</v>
      </c>
      <c r="B461" t="s">
        <v>1532</v>
      </c>
      <c r="C461" t="s">
        <v>979</v>
      </c>
      <c r="D461" t="s">
        <v>1682</v>
      </c>
      <c r="E461" t="s">
        <v>980</v>
      </c>
      <c r="F461" t="s">
        <v>1533</v>
      </c>
      <c r="G461" t="s">
        <v>2367</v>
      </c>
      <c r="H461" t="s">
        <v>1320</v>
      </c>
      <c r="I461" t="s">
        <v>1195</v>
      </c>
      <c r="J461" t="s">
        <v>1321</v>
      </c>
      <c r="K461" t="s">
        <v>1232</v>
      </c>
      <c r="L461" t="s">
        <v>27</v>
      </c>
      <c r="M461" t="s">
        <v>19</v>
      </c>
      <c r="N461">
        <v>500000</v>
      </c>
      <c r="O461" t="s">
        <v>1193</v>
      </c>
      <c r="P461">
        <v>5.75</v>
      </c>
      <c r="Q461" t="s">
        <v>565</v>
      </c>
      <c r="R461" t="s">
        <v>2554</v>
      </c>
    </row>
    <row r="462" spans="1:18" x14ac:dyDescent="0.25">
      <c r="A462" t="s">
        <v>537</v>
      </c>
      <c r="B462" t="s">
        <v>1534</v>
      </c>
      <c r="C462" t="s">
        <v>538</v>
      </c>
      <c r="D462" t="s">
        <v>1683</v>
      </c>
      <c r="E462" t="s">
        <v>539</v>
      </c>
      <c r="F462" t="s">
        <v>1533</v>
      </c>
      <c r="G462" t="s">
        <v>1844</v>
      </c>
      <c r="H462" t="s">
        <v>1320</v>
      </c>
      <c r="I462" t="s">
        <v>1195</v>
      </c>
      <c r="J462" t="s">
        <v>1321</v>
      </c>
      <c r="K462" t="s">
        <v>871</v>
      </c>
      <c r="L462" t="s">
        <v>27</v>
      </c>
      <c r="M462" t="s">
        <v>19</v>
      </c>
      <c r="N462">
        <v>1250000</v>
      </c>
      <c r="O462" t="s">
        <v>1193</v>
      </c>
      <c r="P462">
        <v>7.25</v>
      </c>
      <c r="Q462" t="s">
        <v>565</v>
      </c>
      <c r="R462" t="s">
        <v>2555</v>
      </c>
    </row>
    <row r="463" spans="1:18" x14ac:dyDescent="0.25">
      <c r="A463" t="s">
        <v>2242</v>
      </c>
      <c r="B463" t="s">
        <v>2243</v>
      </c>
      <c r="C463" t="s">
        <v>2244</v>
      </c>
      <c r="D463" t="s">
        <v>2245</v>
      </c>
      <c r="E463" t="s">
        <v>2246</v>
      </c>
      <c r="F463" t="s">
        <v>2247</v>
      </c>
      <c r="H463" t="s">
        <v>138</v>
      </c>
      <c r="I463" t="s">
        <v>1195</v>
      </c>
      <c r="J463" t="s">
        <v>1724</v>
      </c>
      <c r="K463" t="s">
        <v>31</v>
      </c>
      <c r="L463" t="s">
        <v>31</v>
      </c>
      <c r="M463" t="s">
        <v>19</v>
      </c>
      <c r="N463">
        <v>479339.64895599999</v>
      </c>
      <c r="O463" t="s">
        <v>2132</v>
      </c>
      <c r="P463">
        <v>5</v>
      </c>
      <c r="R463" t="s">
        <v>2556</v>
      </c>
    </row>
    <row r="464" spans="1:18" x14ac:dyDescent="0.25">
      <c r="A464" t="s">
        <v>2248</v>
      </c>
      <c r="B464" t="s">
        <v>2249</v>
      </c>
      <c r="C464" t="s">
        <v>2250</v>
      </c>
      <c r="D464" t="s">
        <v>2250</v>
      </c>
      <c r="E464" t="s">
        <v>2251</v>
      </c>
      <c r="F464" t="s">
        <v>2252</v>
      </c>
      <c r="H464" t="s">
        <v>1218</v>
      </c>
      <c r="I464" t="s">
        <v>1195</v>
      </c>
      <c r="J464" t="s">
        <v>1219</v>
      </c>
      <c r="K464" t="s">
        <v>31</v>
      </c>
      <c r="L464" t="s">
        <v>31</v>
      </c>
      <c r="M464" t="s">
        <v>19</v>
      </c>
      <c r="N464">
        <v>375880.12969500001</v>
      </c>
      <c r="O464" t="s">
        <v>2132</v>
      </c>
      <c r="P464">
        <v>11</v>
      </c>
      <c r="R464" t="s">
        <v>2557</v>
      </c>
    </row>
    <row r="465" spans="1:18" x14ac:dyDescent="0.25">
      <c r="A465" t="s">
        <v>1046</v>
      </c>
      <c r="B465" t="s">
        <v>1535</v>
      </c>
      <c r="C465" t="s">
        <v>544</v>
      </c>
      <c r="D465" t="s">
        <v>544</v>
      </c>
      <c r="E465" t="s">
        <v>1047</v>
      </c>
      <c r="F465" t="s">
        <v>1536</v>
      </c>
      <c r="G465" t="s">
        <v>1845</v>
      </c>
      <c r="H465" t="s">
        <v>138</v>
      </c>
      <c r="I465" t="s">
        <v>1576</v>
      </c>
      <c r="J465" t="s">
        <v>1300</v>
      </c>
      <c r="K465" t="s">
        <v>27</v>
      </c>
      <c r="L465" t="s">
        <v>27</v>
      </c>
      <c r="M465" t="s">
        <v>19</v>
      </c>
      <c r="N465">
        <v>500000</v>
      </c>
      <c r="O465" t="s">
        <v>1193</v>
      </c>
      <c r="P465">
        <v>6.75</v>
      </c>
      <c r="Q465" t="s">
        <v>564</v>
      </c>
      <c r="R465" t="s">
        <v>2558</v>
      </c>
    </row>
    <row r="466" spans="1:18" x14ac:dyDescent="0.25">
      <c r="A466" t="s">
        <v>545</v>
      </c>
      <c r="B466" t="s">
        <v>1537</v>
      </c>
      <c r="C466" t="s">
        <v>546</v>
      </c>
      <c r="D466" t="s">
        <v>1684</v>
      </c>
      <c r="E466" t="s">
        <v>547</v>
      </c>
      <c r="F466" t="s">
        <v>1538</v>
      </c>
      <c r="G466" t="s">
        <v>1846</v>
      </c>
      <c r="H466" t="s">
        <v>1210</v>
      </c>
      <c r="I466" t="s">
        <v>1195</v>
      </c>
      <c r="J466" t="s">
        <v>1539</v>
      </c>
      <c r="K466" t="s">
        <v>870</v>
      </c>
      <c r="L466" t="s">
        <v>27</v>
      </c>
      <c r="M466" t="s">
        <v>19</v>
      </c>
      <c r="N466">
        <v>750000</v>
      </c>
      <c r="O466" t="s">
        <v>1193</v>
      </c>
      <c r="P466">
        <v>3.1480000000000001</v>
      </c>
      <c r="Q466" t="s">
        <v>562</v>
      </c>
      <c r="R466" t="s">
        <v>2559</v>
      </c>
    </row>
    <row r="467" spans="1:18" x14ac:dyDescent="0.25">
      <c r="A467" t="s">
        <v>550</v>
      </c>
      <c r="B467" t="s">
        <v>1537</v>
      </c>
      <c r="C467" t="s">
        <v>546</v>
      </c>
      <c r="D467" t="s">
        <v>1684</v>
      </c>
      <c r="E467" t="s">
        <v>551</v>
      </c>
      <c r="F467" t="s">
        <v>1538</v>
      </c>
      <c r="G467" t="s">
        <v>1846</v>
      </c>
      <c r="H467" t="s">
        <v>1210</v>
      </c>
      <c r="I467" t="s">
        <v>1195</v>
      </c>
      <c r="J467" t="s">
        <v>1539</v>
      </c>
      <c r="K467" t="s">
        <v>870</v>
      </c>
      <c r="L467" t="s">
        <v>27</v>
      </c>
      <c r="M467" t="s">
        <v>19</v>
      </c>
      <c r="N467">
        <v>600000</v>
      </c>
      <c r="O467" t="s">
        <v>1193</v>
      </c>
      <c r="P467">
        <v>7.3780000000000001</v>
      </c>
      <c r="Q467" t="s">
        <v>562</v>
      </c>
      <c r="R467" t="s">
        <v>677</v>
      </c>
    </row>
    <row r="468" spans="1:18" x14ac:dyDescent="0.25">
      <c r="A468" t="s">
        <v>1038</v>
      </c>
      <c r="B468" t="s">
        <v>1039</v>
      </c>
      <c r="C468" t="s">
        <v>1040</v>
      </c>
      <c r="D468" t="s">
        <v>1041</v>
      </c>
      <c r="E468" t="s">
        <v>1042</v>
      </c>
      <c r="F468" t="s">
        <v>1043</v>
      </c>
      <c r="G468" t="s">
        <v>1879</v>
      </c>
      <c r="H468" t="s">
        <v>305</v>
      </c>
      <c r="I468" t="s">
        <v>1195</v>
      </c>
      <c r="J468" t="s">
        <v>442</v>
      </c>
      <c r="K468" t="s">
        <v>873</v>
      </c>
      <c r="L468" t="s">
        <v>27</v>
      </c>
      <c r="M468" t="s">
        <v>19</v>
      </c>
      <c r="N468">
        <v>1035000</v>
      </c>
      <c r="O468" t="s">
        <v>1193</v>
      </c>
      <c r="P468">
        <v>8.9469999999999992</v>
      </c>
      <c r="Q468" t="s">
        <v>566</v>
      </c>
      <c r="R468" t="s">
        <v>1045</v>
      </c>
    </row>
    <row r="469" spans="1:18" x14ac:dyDescent="0.25">
      <c r="A469" t="s">
        <v>1880</v>
      </c>
      <c r="B469" t="s">
        <v>1881</v>
      </c>
      <c r="C469" t="s">
        <v>1882</v>
      </c>
      <c r="D469" t="s">
        <v>1883</v>
      </c>
      <c r="E469" t="s">
        <v>1884</v>
      </c>
      <c r="F469" t="s">
        <v>1885</v>
      </c>
      <c r="G469" t="s">
        <v>1879</v>
      </c>
      <c r="H469" t="s">
        <v>101</v>
      </c>
      <c r="I469" t="s">
        <v>1195</v>
      </c>
      <c r="J469" t="s">
        <v>310</v>
      </c>
      <c r="K469" t="s">
        <v>873</v>
      </c>
      <c r="L469" t="s">
        <v>27</v>
      </c>
      <c r="M469" t="s">
        <v>19</v>
      </c>
      <c r="N469">
        <v>1168000</v>
      </c>
      <c r="O469" t="s">
        <v>1193</v>
      </c>
      <c r="P469">
        <v>8.4979999999999993</v>
      </c>
      <c r="Q469" t="s">
        <v>566</v>
      </c>
      <c r="R469" t="s">
        <v>1886</v>
      </c>
    </row>
    <row r="485" spans="1:17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6" tint="0.39997558519241921"/>
  </sheetPr>
  <dimension ref="A1:X1250"/>
  <sheetViews>
    <sheetView showGridLines="0" tabSelected="1" zoomScale="75" zoomScaleNormal="75" workbookViewId="0">
      <pane xSplit="1" ySplit="1" topLeftCell="B264" activePane="bottomRight" state="frozen"/>
      <selection activeCell="V1" sqref="V1"/>
      <selection pane="topRight" activeCell="V1" sqref="V1"/>
      <selection pane="bottomLeft" activeCell="V1" sqref="V1"/>
      <selection pane="bottomRight" activeCell="U264" sqref="U264"/>
    </sheetView>
  </sheetViews>
  <sheetFormatPr defaultRowHeight="15" x14ac:dyDescent="0.25"/>
  <cols>
    <col min="1" max="1" width="23.42578125" bestFit="1" customWidth="1"/>
    <col min="2" max="2" width="41.140625" bestFit="1" customWidth="1"/>
    <col min="3" max="3" width="26" customWidth="1"/>
    <col min="4" max="4" width="29.5703125" customWidth="1"/>
    <col min="5" max="5" width="16.28515625" bestFit="1" customWidth="1"/>
    <col min="6" max="6" width="12.42578125" customWidth="1"/>
    <col min="7" max="7" width="14.7109375" bestFit="1" customWidth="1"/>
    <col min="8" max="8" width="20.28515625" bestFit="1" customWidth="1"/>
    <col min="9" max="9" width="22.5703125" bestFit="1" customWidth="1"/>
    <col min="10" max="16" width="10.5703125" customWidth="1"/>
    <col min="17" max="18" width="12" bestFit="1" customWidth="1"/>
    <col min="19" max="19" width="15.140625" bestFit="1" customWidth="1"/>
    <col min="20" max="20" width="11" bestFit="1" customWidth="1"/>
    <col min="21" max="21" width="16.7109375" customWidth="1"/>
    <col min="23" max="23" width="23.140625" bestFit="1" customWidth="1"/>
    <col min="24" max="24" width="23.140625" customWidth="1"/>
    <col min="25" max="25" width="36.7109375" bestFit="1" customWidth="1"/>
    <col min="26" max="26" width="11.140625" bestFit="1" customWidth="1"/>
  </cols>
  <sheetData>
    <row r="1" spans="1:21" x14ac:dyDescent="0.25">
      <c r="A1" s="3" t="s">
        <v>0</v>
      </c>
      <c r="B1" s="3" t="s">
        <v>554</v>
      </c>
      <c r="C1" s="3" t="s">
        <v>3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  <c r="J1" s="3" t="s">
        <v>8</v>
      </c>
      <c r="K1" s="3" t="s">
        <v>555</v>
      </c>
      <c r="L1" s="3" t="s">
        <v>11</v>
      </c>
      <c r="M1" s="3" t="s">
        <v>12</v>
      </c>
      <c r="N1" s="3" t="s">
        <v>556</v>
      </c>
      <c r="O1" s="3" t="s">
        <v>557</v>
      </c>
      <c r="P1" s="3" t="s">
        <v>558</v>
      </c>
      <c r="Q1" s="3" t="s">
        <v>560</v>
      </c>
      <c r="R1" s="3" t="s">
        <v>559</v>
      </c>
      <c r="S1" s="4" t="s">
        <v>678</v>
      </c>
      <c r="T1" s="4" t="s">
        <v>679</v>
      </c>
      <c r="U1" s="4" t="s">
        <v>680</v>
      </c>
    </row>
    <row r="2" spans="1:21" hidden="1" x14ac:dyDescent="0.25">
      <c r="A2" s="7" t="str">
        <f>IF('Port Bloomberg'!A2="","",'Port Bloomberg'!A2)</f>
        <v>ABENGO 6 ⅞ 04/30/43</v>
      </c>
      <c r="B2" s="7" t="str">
        <f>IF('Port Bloomberg'!B2="","",'Port Bloomberg'!B2)</f>
        <v>Atlantica Transmision Sur SA</v>
      </c>
      <c r="C2" s="7" t="str">
        <f>IF('Port Bloomberg'!C2="","",'Port Bloomberg'!C2)</f>
        <v>ATL TRANS SUR</v>
      </c>
      <c r="D2" s="7" t="str">
        <f>IF('Port Bloomberg'!D2="","",'Port Bloomberg'!D2)</f>
        <v>ATL TRANSMISION SUR</v>
      </c>
      <c r="E2" s="7" t="str">
        <f>IF('Port Bloomberg'!E2="","",'Port Bloomberg'!E2)</f>
        <v>USP00173AA51</v>
      </c>
      <c r="F2" s="7" t="str">
        <f>IF('Port Bloomberg'!F2="","",'Port Bloomberg'!F2)</f>
        <v>ABENGO</v>
      </c>
      <c r="G2" s="7" t="str">
        <f>IF('Port Bloomberg'!G2="","",'Port Bloomberg'!G2)</f>
        <v>AY US</v>
      </c>
      <c r="H2" s="7" t="str">
        <f>IF('Port Bloomberg'!H2="","",'Port Bloomberg'!H2)</f>
        <v>Electric</v>
      </c>
      <c r="I2" s="7" t="str">
        <f>IF('Port Bloomberg'!I2="","",'Port Bloomberg'!I2)</f>
        <v>UTL</v>
      </c>
      <c r="J2" s="7" t="str">
        <f>IF('Port Bloomberg'!J2="","",'Port Bloomberg'!J2)</f>
        <v>Electric-Transmission</v>
      </c>
      <c r="K2" s="7" t="str">
        <f>IF('Port Bloomberg'!K2="","",'Port Bloomberg'!K2)</f>
        <v>PE</v>
      </c>
      <c r="L2" s="7" t="str">
        <f>IF('Port Bloomberg'!L2="","",'Port Bloomberg'!L2)</f>
        <v>PE</v>
      </c>
      <c r="M2" s="7" t="str">
        <f>IF('Port Bloomberg'!M2="","",'Port Bloomberg'!M2)</f>
        <v>USD</v>
      </c>
      <c r="N2" s="7">
        <f>IF('Port Bloomberg'!N2="","",'Port Bloomberg'!N2)</f>
        <v>432000</v>
      </c>
      <c r="O2" s="7" t="str">
        <f>IF('Port Bloomberg'!O2="","",'Port Bloomberg'!O2)</f>
        <v>SINGLE</v>
      </c>
      <c r="P2" s="7">
        <f>IF('Port Bloomberg'!P2="","",'Port Bloomberg'!P2)</f>
        <v>6.875</v>
      </c>
      <c r="Q2" s="7" t="str">
        <f>IF('Port Bloomberg'!Q2="","",'Port Bloomberg'!Q2)</f>
        <v>BBB-</v>
      </c>
      <c r="R2" s="7" t="str">
        <f>IF('Port Bloomberg'!R2="","",'Port Bloomberg'!R2)</f>
        <v>04/30/2043</v>
      </c>
      <c r="S2" s="5">
        <f>IF(E2="","",IFERROR(IF(MATCH(E2,[1]Instrumentos!$D:$D,0)&gt;0,1,0),0))</f>
        <v>1</v>
      </c>
      <c r="T2" s="5">
        <f>IF(E2="","",IFERROR(IF(MATCH(E2,'Lista de excepciones'!$E:$E,0)&gt;0,1,0),0))</f>
        <v>0</v>
      </c>
      <c r="U2" s="6" t="str">
        <f t="shared" ref="U2" si="0">IF(E2="","",IF(S2+T2=0,"AGREGAR/REVISAR","NO"))</f>
        <v>NO</v>
      </c>
    </row>
    <row r="3" spans="1:21" hidden="1" x14ac:dyDescent="0.25">
      <c r="A3" s="7" t="str">
        <f>IF('Port Bloomberg'!A3="","",'Port Bloomberg'!A3)</f>
        <v>ABRAGF 14 10/22/29</v>
      </c>
      <c r="B3" s="7" t="str">
        <f>IF('Port Bloomberg'!B3="","",'Port Bloomberg'!B3)</f>
        <v>ABRA Global Finance</v>
      </c>
      <c r="C3" s="7" t="str">
        <f>IF('Port Bloomberg'!C3="","",'Port Bloomberg'!C3)</f>
        <v>ABRA GLOBAL FIN</v>
      </c>
      <c r="D3" s="7" t="str">
        <f>IF('Port Bloomberg'!D3="","",'Port Bloomberg'!D3)</f>
        <v>ABRA GLOBAL FINANCE</v>
      </c>
      <c r="E3" s="7" t="str">
        <f>IF('Port Bloomberg'!E3="","",'Port Bloomberg'!E3)</f>
        <v>USG00912AC21</v>
      </c>
      <c r="F3" s="7" t="str">
        <f>IF('Port Bloomberg'!F3="","",'Port Bloomberg'!F3)</f>
        <v>ABRAGF</v>
      </c>
      <c r="G3" s="7" t="str">
        <f>IF('Port Bloomberg'!G3="","",'Port Bloomberg'!G3)</f>
        <v>2058922D LN</v>
      </c>
      <c r="H3" s="7" t="str">
        <f>IF('Port Bloomberg'!H3="","",'Port Bloomberg'!H3)</f>
        <v>Airlines</v>
      </c>
      <c r="I3" s="7" t="str">
        <f>IF('Port Bloomberg'!I3="","",'Port Bloomberg'!I3)</f>
        <v>IND</v>
      </c>
      <c r="J3" s="7" t="str">
        <f>IF('Port Bloomberg'!J3="","",'Port Bloomberg'!J3)</f>
        <v>Airlines</v>
      </c>
      <c r="K3" s="7" t="str">
        <f>IF('Port Bloomberg'!K3="","",'Port Bloomberg'!K3)</f>
        <v>KY</v>
      </c>
      <c r="L3" s="7" t="str">
        <f>IF('Port Bloomberg'!L3="","",'Port Bloomberg'!L3)</f>
        <v>CO</v>
      </c>
      <c r="M3" s="7" t="str">
        <f>IF('Port Bloomberg'!M3="","",'Port Bloomberg'!M3)</f>
        <v>USD</v>
      </c>
      <c r="N3" s="7">
        <f>IF('Port Bloomberg'!N3="","",'Port Bloomberg'!N3)</f>
        <v>560672.64367699996</v>
      </c>
      <c r="O3" s="7" t="str">
        <f>IF('Port Bloomberg'!O3="","",'Port Bloomberg'!O3)</f>
        <v>PIK</v>
      </c>
      <c r="P3" s="7">
        <f>IF('Port Bloomberg'!P3="","",'Port Bloomberg'!P3)</f>
        <v>14</v>
      </c>
      <c r="Q3" s="7" t="str">
        <f>IF('Port Bloomberg'!Q3="","",'Port Bloomberg'!Q3)</f>
        <v>NR</v>
      </c>
      <c r="R3" s="7" t="str">
        <f>IF('Port Bloomberg'!R3="","",'Port Bloomberg'!R3)</f>
        <v>10/22/2029</v>
      </c>
      <c r="S3" s="5">
        <f>IF(E3="","",IFERROR(IF(MATCH(E3,[1]Instrumentos!$D:$D,0)&gt;0,1,0),0))</f>
        <v>0</v>
      </c>
      <c r="T3" s="5">
        <f>IF(E3="","",IFERROR(IF(MATCH(E3,'Lista de excepciones'!$E:$E,0)&gt;0,1,0),0))</f>
        <v>1</v>
      </c>
      <c r="U3" s="6" t="str">
        <f t="shared" ref="U3:U66" si="1">IF(E3="","",IF(S3+T3=0,"AGREGAR/REVISAR","NO"))</f>
        <v>NO</v>
      </c>
    </row>
    <row r="4" spans="1:21" hidden="1" x14ac:dyDescent="0.25">
      <c r="A4" s="7" t="str">
        <f>IF('Port Bloomberg'!A4="","",'Port Bloomberg'!A4)</f>
        <v>ACUPET 7 ½ 01/13/32</v>
      </c>
      <c r="B4" s="7" t="str">
        <f>IF('Port Bloomberg'!B4="","",'Port Bloomberg'!B4)</f>
        <v>Acu Petroleo Luxembourg Sarl</v>
      </c>
      <c r="C4" s="7" t="str">
        <f>IF('Port Bloomberg'!C4="","",'Port Bloomberg'!C4)</f>
        <v>ACU PETROLEO LUX</v>
      </c>
      <c r="D4" s="7" t="str">
        <f>IF('Port Bloomberg'!D4="","",'Port Bloomberg'!D4)</f>
        <v>ACU PETROLEO LUXEMBOURG</v>
      </c>
      <c r="E4" s="7" t="str">
        <f>IF('Port Bloomberg'!E4="","",'Port Bloomberg'!E4)</f>
        <v>USL0R80QAA10</v>
      </c>
      <c r="F4" s="7" t="str">
        <f>IF('Port Bloomberg'!F4="","",'Port Bloomberg'!F4)</f>
        <v>ACUPET</v>
      </c>
      <c r="G4" s="7" t="str">
        <f>IF('Port Bloomberg'!G4="","",'Port Bloomberg'!G4)</f>
        <v>1469040D BZ</v>
      </c>
      <c r="H4" s="7" t="str">
        <f>IF('Port Bloomberg'!H4="","",'Port Bloomberg'!H4)</f>
        <v>Pipelines</v>
      </c>
      <c r="I4" s="7" t="str">
        <f>IF('Port Bloomberg'!I4="","",'Port Bloomberg'!I4)</f>
        <v>IND</v>
      </c>
      <c r="J4" s="7" t="str">
        <f>IF('Port Bloomberg'!J4="","",'Port Bloomberg'!J4)</f>
        <v>Pipelines</v>
      </c>
      <c r="K4" s="7" t="str">
        <f>IF('Port Bloomberg'!K4="","",'Port Bloomberg'!K4)</f>
        <v>LU</v>
      </c>
      <c r="L4" s="7" t="str">
        <f>IF('Port Bloomberg'!L4="","",'Port Bloomberg'!L4)</f>
        <v>BR</v>
      </c>
      <c r="M4" s="7" t="str">
        <f>IF('Port Bloomberg'!M4="","",'Port Bloomberg'!M4)</f>
        <v>USD</v>
      </c>
      <c r="N4" s="7">
        <f>IF('Port Bloomberg'!N4="","",'Port Bloomberg'!N4)</f>
        <v>600000</v>
      </c>
      <c r="O4" s="7" t="str">
        <f>IF('Port Bloomberg'!O4="","",'Port Bloomberg'!O4)</f>
        <v>SINGLE</v>
      </c>
      <c r="P4" s="7">
        <f>IF('Port Bloomberg'!P4="","",'Port Bloomberg'!P4)</f>
        <v>7.5</v>
      </c>
      <c r="Q4" s="7" t="str">
        <f>IF('Port Bloomberg'!Q4="","",'Port Bloomberg'!Q4)</f>
        <v>BB+</v>
      </c>
      <c r="R4" s="7" t="str">
        <f>IF('Port Bloomberg'!R4="","",'Port Bloomberg'!R4)</f>
        <v>01/13/2032</v>
      </c>
      <c r="S4" s="5">
        <f>IF(E4="","",IFERROR(IF(MATCH(E4,[1]Instrumentos!$D:$D,0)&gt;0,1,0),0))</f>
        <v>0</v>
      </c>
      <c r="T4" s="5">
        <f>IF(E4="","",IFERROR(IF(MATCH(E4,'Lista de excepciones'!$E:$E,0)&gt;0,1,0),0))</f>
        <v>1</v>
      </c>
      <c r="U4" s="6" t="str">
        <f t="shared" si="1"/>
        <v>NO</v>
      </c>
    </row>
    <row r="5" spans="1:21" hidden="1" x14ac:dyDescent="0.25">
      <c r="A5" s="7" t="str">
        <f>IF('Port Bloomberg'!A5="","",'Port Bloomberg'!A5)</f>
        <v>AEGEBZ 6 ¾ 05/20/29</v>
      </c>
      <c r="B5" s="7" t="str">
        <f>IF('Port Bloomberg'!B5="","",'Port Bloomberg'!B5)</f>
        <v>Aegea Finance Sarl</v>
      </c>
      <c r="C5" s="7" t="str">
        <f>IF('Port Bloomberg'!C5="","",'Port Bloomberg'!C5)</f>
        <v>AEGEA FINANCE</v>
      </c>
      <c r="D5" s="7" t="str">
        <f>IF('Port Bloomberg'!D5="","",'Port Bloomberg'!D5)</f>
        <v>AEGEA FINANCE SARL</v>
      </c>
      <c r="E5" s="7" t="str">
        <f>IF('Port Bloomberg'!E5="","",'Port Bloomberg'!E5)</f>
        <v>USL01343AA79</v>
      </c>
      <c r="F5" s="7" t="str">
        <f>IF('Port Bloomberg'!F5="","",'Port Bloomberg'!F5)</f>
        <v>AEGEBZ</v>
      </c>
      <c r="G5" s="7" t="str">
        <f>IF('Port Bloomberg'!G5="","",'Port Bloomberg'!G5)</f>
        <v>0596570D BZ</v>
      </c>
      <c r="H5" s="7" t="str">
        <f>IF('Port Bloomberg'!H5="","",'Port Bloomberg'!H5)</f>
        <v>Water</v>
      </c>
      <c r="I5" s="7" t="str">
        <f>IF('Port Bloomberg'!I5="","",'Port Bloomberg'!I5)</f>
        <v>UTL</v>
      </c>
      <c r="J5" s="7" t="str">
        <f>IF('Port Bloomberg'!J5="","",'Port Bloomberg'!J5)</f>
        <v>Water</v>
      </c>
      <c r="K5" s="7" t="str">
        <f>IF('Port Bloomberg'!K5="","",'Port Bloomberg'!K5)</f>
        <v>LU</v>
      </c>
      <c r="L5" s="7" t="str">
        <f>IF('Port Bloomberg'!L5="","",'Port Bloomberg'!L5)</f>
        <v>BR</v>
      </c>
      <c r="M5" s="7" t="str">
        <f>IF('Port Bloomberg'!M5="","",'Port Bloomberg'!M5)</f>
        <v>USD</v>
      </c>
      <c r="N5" s="7">
        <f>IF('Port Bloomberg'!N5="","",'Port Bloomberg'!N5)</f>
        <v>500000</v>
      </c>
      <c r="O5" s="7" t="str">
        <f>IF('Port Bloomberg'!O5="","",'Port Bloomberg'!O5)</f>
        <v>SINGLE</v>
      </c>
      <c r="P5" s="7">
        <f>IF('Port Bloomberg'!P5="","",'Port Bloomberg'!P5)</f>
        <v>6.75</v>
      </c>
      <c r="Q5" s="7" t="str">
        <f>IF('Port Bloomberg'!Q5="","",'Port Bloomberg'!Q5)</f>
        <v>B</v>
      </c>
      <c r="R5" s="7" t="str">
        <f>IF('Port Bloomberg'!R5="","",'Port Bloomberg'!R5)</f>
        <v>05/20/2029</v>
      </c>
      <c r="S5" s="5">
        <f>IF(E5="","",IFERROR(IF(MATCH(E5,[1]Instrumentos!$D:$D,0)&gt;0,1,0),0))</f>
        <v>1</v>
      </c>
      <c r="T5" s="5">
        <f>IF(E5="","",IFERROR(IF(MATCH(E5,'Lista de excepciones'!$E:$E,0)&gt;0,1,0),0))</f>
        <v>0</v>
      </c>
      <c r="U5" s="6" t="str">
        <f t="shared" si="1"/>
        <v>NO</v>
      </c>
    </row>
    <row r="6" spans="1:21" hidden="1" x14ac:dyDescent="0.25">
      <c r="A6" s="7" t="str">
        <f>IF('Port Bloomberg'!A6="","",'Port Bloomberg'!A6)</f>
        <v>AEGEBZ 7 ⅝ 01/20/36</v>
      </c>
      <c r="B6" s="7" t="str">
        <f>IF('Port Bloomberg'!B6="","",'Port Bloomberg'!B6)</f>
        <v>Aegea Finance Sarl</v>
      </c>
      <c r="C6" s="7" t="str">
        <f>IF('Port Bloomberg'!C6="","",'Port Bloomberg'!C6)</f>
        <v>AEGEA FINANCE</v>
      </c>
      <c r="D6" s="7" t="str">
        <f>IF('Port Bloomberg'!D6="","",'Port Bloomberg'!D6)</f>
        <v>AEGEA FINANCE SARL</v>
      </c>
      <c r="E6" s="7" t="str">
        <f>IF('Port Bloomberg'!E6="","",'Port Bloomberg'!E6)</f>
        <v>USL01343AE91</v>
      </c>
      <c r="F6" s="7" t="str">
        <f>IF('Port Bloomberg'!F6="","",'Port Bloomberg'!F6)</f>
        <v>AEGEBZ</v>
      </c>
      <c r="G6" s="7" t="str">
        <f>IF('Port Bloomberg'!G6="","",'Port Bloomberg'!G6)</f>
        <v>0596570D BZ</v>
      </c>
      <c r="H6" s="7" t="str">
        <f>IF('Port Bloomberg'!H6="","",'Port Bloomberg'!H6)</f>
        <v>Water</v>
      </c>
      <c r="I6" s="7" t="str">
        <f>IF('Port Bloomberg'!I6="","",'Port Bloomberg'!I6)</f>
        <v>UTL</v>
      </c>
      <c r="J6" s="7" t="str">
        <f>IF('Port Bloomberg'!J6="","",'Port Bloomberg'!J6)</f>
        <v>Water</v>
      </c>
      <c r="K6" s="7" t="str">
        <f>IF('Port Bloomberg'!K6="","",'Port Bloomberg'!K6)</f>
        <v>LU</v>
      </c>
      <c r="L6" s="7" t="str">
        <f>IF('Port Bloomberg'!L6="","",'Port Bloomberg'!L6)</f>
        <v>BR</v>
      </c>
      <c r="M6" s="7" t="str">
        <f>IF('Port Bloomberg'!M6="","",'Port Bloomberg'!M6)</f>
        <v>USD</v>
      </c>
      <c r="N6" s="7">
        <f>IF('Port Bloomberg'!N6="","",'Port Bloomberg'!N6)</f>
        <v>750000</v>
      </c>
      <c r="O6" s="7" t="str">
        <f>IF('Port Bloomberg'!O6="","",'Port Bloomberg'!O6)</f>
        <v>SINGLE</v>
      </c>
      <c r="P6" s="7">
        <f>IF('Port Bloomberg'!P6="","",'Port Bloomberg'!P6)</f>
        <v>7.625</v>
      </c>
      <c r="Q6" s="7" t="str">
        <f>IF('Port Bloomberg'!Q6="","",'Port Bloomberg'!Q6)</f>
        <v>B</v>
      </c>
      <c r="R6" s="7" t="str">
        <f>IF('Port Bloomberg'!R6="","",'Port Bloomberg'!R6)</f>
        <v>01/20/2036</v>
      </c>
      <c r="S6" s="5">
        <f>IF(E6="","",IFERROR(IF(MATCH(E6,[1]Instrumentos!$D:$D,0)&gt;0,1,0),0))</f>
        <v>1</v>
      </c>
      <c r="T6" s="5">
        <f>IF(E6="","",IFERROR(IF(MATCH(E6,'Lista de excepciones'!$E:$E,0)&gt;0,1,0),0))</f>
        <v>0</v>
      </c>
      <c r="U6" s="6" t="str">
        <f t="shared" si="1"/>
        <v>NO</v>
      </c>
    </row>
    <row r="7" spans="1:21" hidden="1" x14ac:dyDescent="0.25">
      <c r="A7" s="7" t="str">
        <f>IF('Port Bloomberg'!A7="","",'Port Bloomberg'!A7)</f>
        <v>AEGEBZ 9 01/20/31</v>
      </c>
      <c r="B7" s="7" t="str">
        <f>IF('Port Bloomberg'!B7="","",'Port Bloomberg'!B7)</f>
        <v>Aegea Finance Sarl</v>
      </c>
      <c r="C7" s="7" t="str">
        <f>IF('Port Bloomberg'!C7="","",'Port Bloomberg'!C7)</f>
        <v>AEGEA FINANCE</v>
      </c>
      <c r="D7" s="7" t="str">
        <f>IF('Port Bloomberg'!D7="","",'Port Bloomberg'!D7)</f>
        <v>AEGEA FINANCE SARL</v>
      </c>
      <c r="E7" s="7" t="str">
        <f>IF('Port Bloomberg'!E7="","",'Port Bloomberg'!E7)</f>
        <v>USL01343AB52</v>
      </c>
      <c r="F7" s="7" t="str">
        <f>IF('Port Bloomberg'!F7="","",'Port Bloomberg'!F7)</f>
        <v>AEGEBZ</v>
      </c>
      <c r="G7" s="7" t="str">
        <f>IF('Port Bloomberg'!G7="","",'Port Bloomberg'!G7)</f>
        <v>0596570D BZ</v>
      </c>
      <c r="H7" s="7" t="str">
        <f>IF('Port Bloomberg'!H7="","",'Port Bloomberg'!H7)</f>
        <v>Water</v>
      </c>
      <c r="I7" s="7" t="str">
        <f>IF('Port Bloomberg'!I7="","",'Port Bloomberg'!I7)</f>
        <v>UTL</v>
      </c>
      <c r="J7" s="7" t="str">
        <f>IF('Port Bloomberg'!J7="","",'Port Bloomberg'!J7)</f>
        <v>Water</v>
      </c>
      <c r="K7" s="7" t="str">
        <f>IF('Port Bloomberg'!K7="","",'Port Bloomberg'!K7)</f>
        <v>LU</v>
      </c>
      <c r="L7" s="7" t="str">
        <f>IF('Port Bloomberg'!L7="","",'Port Bloomberg'!L7)</f>
        <v>BR</v>
      </c>
      <c r="M7" s="7" t="str">
        <f>IF('Port Bloomberg'!M7="","",'Port Bloomberg'!M7)</f>
        <v>USD</v>
      </c>
      <c r="N7" s="7">
        <f>IF('Port Bloomberg'!N7="","",'Port Bloomberg'!N7)</f>
        <v>800000</v>
      </c>
      <c r="O7" s="7" t="str">
        <f>IF('Port Bloomberg'!O7="","",'Port Bloomberg'!O7)</f>
        <v>SINGLE</v>
      </c>
      <c r="P7" s="7">
        <f>IF('Port Bloomberg'!P7="","",'Port Bloomberg'!P7)</f>
        <v>9</v>
      </c>
      <c r="Q7" s="7" t="str">
        <f>IF('Port Bloomberg'!Q7="","",'Port Bloomberg'!Q7)</f>
        <v>B</v>
      </c>
      <c r="R7" s="7" t="str">
        <f>IF('Port Bloomberg'!R7="","",'Port Bloomberg'!R7)</f>
        <v>01/20/2031</v>
      </c>
      <c r="S7" s="5">
        <f>IF(E7="","",IFERROR(IF(MATCH(E7,[1]Instrumentos!$D:$D,0)&gt;0,1,0),0))</f>
        <v>1</v>
      </c>
      <c r="T7" s="5">
        <f>IF(E7="","",IFERROR(IF(MATCH(E7,'Lista de excepciones'!$E:$E,0)&gt;0,1,0),0))</f>
        <v>0</v>
      </c>
      <c r="U7" s="6" t="str">
        <f t="shared" si="1"/>
        <v>NO</v>
      </c>
    </row>
    <row r="8" spans="1:21" hidden="1" x14ac:dyDescent="0.25">
      <c r="A8" s="7" t="str">
        <f>IF('Port Bloomberg'!A8="","",'Port Bloomberg'!A8)</f>
        <v>AEROMX 8 ¼ 11/15/29</v>
      </c>
      <c r="B8" s="7" t="str">
        <f>IF('Port Bloomberg'!B8="","",'Port Bloomberg'!B8)</f>
        <v>Grupo Aeromexico SAB de CV</v>
      </c>
      <c r="C8" s="7" t="str">
        <f>IF('Port Bloomberg'!C8="","",'Port Bloomberg'!C8)</f>
        <v>GRUPO AEROMEXICO</v>
      </c>
      <c r="D8" s="7" t="str">
        <f>IF('Port Bloomberg'!D8="","",'Port Bloomberg'!D8)</f>
        <v>GRUPO AEROMEXICO SAB</v>
      </c>
      <c r="E8" s="7" t="str">
        <f>IF('Port Bloomberg'!E8="","",'Port Bloomberg'!E8)</f>
        <v>USP4955JAB46</v>
      </c>
      <c r="F8" s="7" t="str">
        <f>IF('Port Bloomberg'!F8="","",'Port Bloomberg'!F8)</f>
        <v>AEROMX</v>
      </c>
      <c r="G8" s="7" t="str">
        <f>IF('Port Bloomberg'!G8="","",'Port Bloomberg'!G8)</f>
        <v>AERO* MM</v>
      </c>
      <c r="H8" s="7" t="str">
        <f>IF('Port Bloomberg'!H8="","",'Port Bloomberg'!H8)</f>
        <v>Airlines</v>
      </c>
      <c r="I8" s="7" t="str">
        <f>IF('Port Bloomberg'!I8="","",'Port Bloomberg'!I8)</f>
        <v>IND</v>
      </c>
      <c r="J8" s="7" t="str">
        <f>IF('Port Bloomberg'!J8="","",'Port Bloomberg'!J8)</f>
        <v>Airlines</v>
      </c>
      <c r="K8" s="7" t="str">
        <f>IF('Port Bloomberg'!K8="","",'Port Bloomberg'!K8)</f>
        <v>MX</v>
      </c>
      <c r="L8" s="7" t="str">
        <f>IF('Port Bloomberg'!L8="","",'Port Bloomberg'!L8)</f>
        <v>MX</v>
      </c>
      <c r="M8" s="7" t="str">
        <f>IF('Port Bloomberg'!M8="","",'Port Bloomberg'!M8)</f>
        <v>USD</v>
      </c>
      <c r="N8" s="7">
        <f>IF('Port Bloomberg'!N8="","",'Port Bloomberg'!N8)</f>
        <v>500000</v>
      </c>
      <c r="O8" s="7" t="str">
        <f>IF('Port Bloomberg'!O8="","",'Port Bloomberg'!O8)</f>
        <v>SINGLE</v>
      </c>
      <c r="P8" s="7">
        <f>IF('Port Bloomberg'!P8="","",'Port Bloomberg'!P8)</f>
        <v>8.25</v>
      </c>
      <c r="Q8" s="7" t="str">
        <f>IF('Port Bloomberg'!Q8="","",'Port Bloomberg'!Q8)</f>
        <v>BB-</v>
      </c>
      <c r="R8" s="7" t="str">
        <f>IF('Port Bloomberg'!R8="","",'Port Bloomberg'!R8)</f>
        <v>11/15/2029</v>
      </c>
      <c r="S8" s="5">
        <f>IF(E8="","",IFERROR(IF(MATCH(E8,[1]Instrumentos!$D:$D,0)&gt;0,1,0),0))</f>
        <v>0</v>
      </c>
      <c r="T8" s="5">
        <f>IF(E8="","",IFERROR(IF(MATCH(E8,'Lista de excepciones'!$E:$E,0)&gt;0,1,0),0))</f>
        <v>1</v>
      </c>
      <c r="U8" s="6" t="str">
        <f t="shared" si="1"/>
        <v>NO</v>
      </c>
    </row>
    <row r="9" spans="1:21" hidden="1" x14ac:dyDescent="0.25">
      <c r="A9" s="7" t="str">
        <f>IF('Port Bloomberg'!A9="","",'Port Bloomberg'!A9)</f>
        <v>AEROMX 8 ⅝ 11/15/31</v>
      </c>
      <c r="B9" s="7" t="str">
        <f>IF('Port Bloomberg'!B9="","",'Port Bloomberg'!B9)</f>
        <v>Grupo Aeromexico SAB de CV</v>
      </c>
      <c r="C9" s="7" t="str">
        <f>IF('Port Bloomberg'!C9="","",'Port Bloomberg'!C9)</f>
        <v>GRUPO AEROMEXICO</v>
      </c>
      <c r="D9" s="7" t="str">
        <f>IF('Port Bloomberg'!D9="","",'Port Bloomberg'!D9)</f>
        <v>GRUPO AEROMEXICO SAB</v>
      </c>
      <c r="E9" s="7" t="str">
        <f>IF('Port Bloomberg'!E9="","",'Port Bloomberg'!E9)</f>
        <v>USP4955JAC29</v>
      </c>
      <c r="F9" s="7" t="str">
        <f>IF('Port Bloomberg'!F9="","",'Port Bloomberg'!F9)</f>
        <v>AEROMX</v>
      </c>
      <c r="G9" s="7" t="str">
        <f>IF('Port Bloomberg'!G9="","",'Port Bloomberg'!G9)</f>
        <v>AERO* MM</v>
      </c>
      <c r="H9" s="7" t="str">
        <f>IF('Port Bloomberg'!H9="","",'Port Bloomberg'!H9)</f>
        <v>Airlines</v>
      </c>
      <c r="I9" s="7" t="str">
        <f>IF('Port Bloomberg'!I9="","",'Port Bloomberg'!I9)</f>
        <v>IND</v>
      </c>
      <c r="J9" s="7" t="str">
        <f>IF('Port Bloomberg'!J9="","",'Port Bloomberg'!J9)</f>
        <v>Airlines</v>
      </c>
      <c r="K9" s="7" t="str">
        <f>IF('Port Bloomberg'!K9="","",'Port Bloomberg'!K9)</f>
        <v>MX</v>
      </c>
      <c r="L9" s="7" t="str">
        <f>IF('Port Bloomberg'!L9="","",'Port Bloomberg'!L9)</f>
        <v>MX</v>
      </c>
      <c r="M9" s="7" t="str">
        <f>IF('Port Bloomberg'!M9="","",'Port Bloomberg'!M9)</f>
        <v>USD</v>
      </c>
      <c r="N9" s="7">
        <f>IF('Port Bloomberg'!N9="","",'Port Bloomberg'!N9)</f>
        <v>610000</v>
      </c>
      <c r="O9" s="7" t="str">
        <f>IF('Port Bloomberg'!O9="","",'Port Bloomberg'!O9)</f>
        <v>SINGLE</v>
      </c>
      <c r="P9" s="7">
        <f>IF('Port Bloomberg'!P9="","",'Port Bloomberg'!P9)</f>
        <v>8.625</v>
      </c>
      <c r="Q9" s="7" t="str">
        <f>IF('Port Bloomberg'!Q9="","",'Port Bloomberg'!Q9)</f>
        <v>BB-</v>
      </c>
      <c r="R9" s="7" t="str">
        <f>IF('Port Bloomberg'!R9="","",'Port Bloomberg'!R9)</f>
        <v>11/15/2031</v>
      </c>
      <c r="S9" s="5">
        <f>IF(E9="","",IFERROR(IF(MATCH(E9,[1]Instrumentos!$D:$D,0)&gt;0,1,0),0))</f>
        <v>0</v>
      </c>
      <c r="T9" s="5">
        <f>IF(E9="","",IFERROR(IF(MATCH(E9,'Lista de excepciones'!$E:$E,0)&gt;0,1,0),0))</f>
        <v>1</v>
      </c>
      <c r="U9" s="6" t="str">
        <f t="shared" si="1"/>
        <v>NO</v>
      </c>
    </row>
    <row r="10" spans="1:21" hidden="1" x14ac:dyDescent="0.25">
      <c r="A10" s="7" t="str">
        <f>IF('Port Bloomberg'!A10="","",'Port Bloomberg'!A10)</f>
        <v>AES 4.72 06/30/40</v>
      </c>
      <c r="B10" s="7" t="str">
        <f>IF('Port Bloomberg'!B10="","",'Port Bloomberg'!B10)</f>
        <v>Alto Maipo SpA</v>
      </c>
      <c r="C10" s="7" t="str">
        <f>IF('Port Bloomberg'!C10="","",'Port Bloomberg'!C10)</f>
        <v>ALTO MAIPO SPA</v>
      </c>
      <c r="D10" s="7" t="str">
        <f>IF('Port Bloomberg'!D10="","",'Port Bloomberg'!D10)</f>
        <v>ALTO MAIPO SPA</v>
      </c>
      <c r="E10" s="7" t="str">
        <f>IF('Port Bloomberg'!E10="","",'Port Bloomberg'!E10)</f>
        <v>USP0243BAA37</v>
      </c>
      <c r="F10" s="7" t="str">
        <f>IF('Port Bloomberg'!F10="","",'Port Bloomberg'!F10)</f>
        <v>AES</v>
      </c>
      <c r="G10" s="7" t="str">
        <f>IF('Port Bloomberg'!G10="","",'Port Bloomberg'!G10)</f>
        <v>AESANDES CI</v>
      </c>
      <c r="H10" s="7" t="str">
        <f>IF('Port Bloomberg'!H10="","",'Port Bloomberg'!H10)</f>
        <v>Energy-Alternate Sources</v>
      </c>
      <c r="I10" s="7" t="str">
        <f>IF('Port Bloomberg'!I10="","",'Port Bloomberg'!I10)</f>
        <v>UTL</v>
      </c>
      <c r="J10" s="7" t="str">
        <f>IF('Port Bloomberg'!J10="","",'Port Bloomberg'!J10)</f>
        <v>Energy-Alternate Sources</v>
      </c>
      <c r="K10" s="7" t="str">
        <f>IF('Port Bloomberg'!K10="","",'Port Bloomberg'!K10)</f>
        <v>CL</v>
      </c>
      <c r="L10" s="7" t="str">
        <f>IF('Port Bloomberg'!L10="","",'Port Bloomberg'!L10)</f>
        <v>CL</v>
      </c>
      <c r="M10" s="7" t="str">
        <f>IF('Port Bloomberg'!M10="","",'Port Bloomberg'!M10)</f>
        <v>USD</v>
      </c>
      <c r="N10" s="7" t="str">
        <f>IF('Port Bloomberg'!N10="","",'Port Bloomberg'!N10)</f>
        <v/>
      </c>
      <c r="O10" s="7" t="str">
        <f>IF('Port Bloomberg'!O10="","",'Port Bloomberg'!O10)</f>
        <v>STEPUP1</v>
      </c>
      <c r="P10" s="7">
        <f>IF('Port Bloomberg'!P10="","",'Port Bloomberg'!P10)</f>
        <v>4</v>
      </c>
      <c r="Q10" s="7" t="str">
        <f>IF('Port Bloomberg'!Q10="","",'Port Bloomberg'!Q10)</f>
        <v/>
      </c>
      <c r="R10" s="7" t="str">
        <f>IF('Port Bloomberg'!R10="","",'Port Bloomberg'!R10)</f>
        <v>06/30/2040</v>
      </c>
      <c r="S10" s="5">
        <f>IF(E10="","",IFERROR(IF(MATCH(E10,[1]Instrumentos!$D:$D,0)&gt;0,1,0),0))</f>
        <v>0</v>
      </c>
      <c r="T10" s="5">
        <f>IF(E10="","",IFERROR(IF(MATCH(E10,'Lista de excepciones'!$E:$E,0)&gt;0,1,0),0))</f>
        <v>1</v>
      </c>
      <c r="U10" s="6" t="str">
        <f t="shared" si="1"/>
        <v>NO</v>
      </c>
    </row>
    <row r="11" spans="1:21" hidden="1" x14ac:dyDescent="0.25">
      <c r="A11" s="7" t="str">
        <f>IF('Port Bloomberg'!A11="","",'Port Bloomberg'!A11)</f>
        <v>AES 6 ¼ 03/14/32</v>
      </c>
      <c r="B11" s="7" t="str">
        <f>IF('Port Bloomberg'!B11="","",'Port Bloomberg'!B11)</f>
        <v>AES Andes SA</v>
      </c>
      <c r="C11" s="7" t="str">
        <f>IF('Port Bloomberg'!C11="","",'Port Bloomberg'!C11)</f>
        <v>AES ANDES SA</v>
      </c>
      <c r="D11" s="7" t="str">
        <f>IF('Port Bloomberg'!D11="","",'Port Bloomberg'!D11)</f>
        <v>AES ANDES SA</v>
      </c>
      <c r="E11" s="7" t="str">
        <f>IF('Port Bloomberg'!E11="","",'Port Bloomberg'!E11)</f>
        <v>USP0091LAD84</v>
      </c>
      <c r="F11" s="7" t="str">
        <f>IF('Port Bloomberg'!F11="","",'Port Bloomberg'!F11)</f>
        <v>AES</v>
      </c>
      <c r="G11" s="7" t="str">
        <f>IF('Port Bloomberg'!G11="","",'Port Bloomberg'!G11)</f>
        <v>AESANDES CI</v>
      </c>
      <c r="H11" s="7" t="str">
        <f>IF('Port Bloomberg'!H11="","",'Port Bloomberg'!H11)</f>
        <v>Electric</v>
      </c>
      <c r="I11" s="7" t="str">
        <f>IF('Port Bloomberg'!I11="","",'Port Bloomberg'!I11)</f>
        <v>UTL</v>
      </c>
      <c r="J11" s="7" t="str">
        <f>IF('Port Bloomberg'!J11="","",'Port Bloomberg'!J11)</f>
        <v>Electric-Generation</v>
      </c>
      <c r="K11" s="7" t="str">
        <f>IF('Port Bloomberg'!K11="","",'Port Bloomberg'!K11)</f>
        <v>CL</v>
      </c>
      <c r="L11" s="7" t="str">
        <f>IF('Port Bloomberg'!L11="","",'Port Bloomberg'!L11)</f>
        <v>CL</v>
      </c>
      <c r="M11" s="7" t="str">
        <f>IF('Port Bloomberg'!M11="","",'Port Bloomberg'!M11)</f>
        <v>USD</v>
      </c>
      <c r="N11" s="7">
        <f>IF('Port Bloomberg'!N11="","",'Port Bloomberg'!N11)</f>
        <v>400000</v>
      </c>
      <c r="O11" s="7" t="str">
        <f>IF('Port Bloomberg'!O11="","",'Port Bloomberg'!O11)</f>
        <v>SINGLE</v>
      </c>
      <c r="P11" s="7">
        <f>IF('Port Bloomberg'!P11="","",'Port Bloomberg'!P11)</f>
        <v>6.25</v>
      </c>
      <c r="Q11" s="7" t="str">
        <f>IF('Port Bloomberg'!Q11="","",'Port Bloomberg'!Q11)</f>
        <v>BBB-</v>
      </c>
      <c r="R11" s="7" t="str">
        <f>IF('Port Bloomberg'!R11="","",'Port Bloomberg'!R11)</f>
        <v>03/14/2032</v>
      </c>
      <c r="S11" s="5">
        <f>IF(E11="","",IFERROR(IF(MATCH(E11,[1]Instrumentos!$D:$D,0)&gt;0,1,0),0))</f>
        <v>1</v>
      </c>
      <c r="T11" s="5">
        <f>IF(E11="","",IFERROR(IF(MATCH(E11,'Lista de excepciones'!$E:$E,0)&gt;0,1,0),0))</f>
        <v>0</v>
      </c>
      <c r="U11" s="6" t="str">
        <f t="shared" si="1"/>
        <v>NO</v>
      </c>
    </row>
    <row r="12" spans="1:21" hidden="1" x14ac:dyDescent="0.25">
      <c r="A12" s="7" t="str">
        <f>IF('Port Bloomberg'!A12="","",'Port Bloomberg'!A12)</f>
        <v>AES 6 ¼ 11/14/34</v>
      </c>
      <c r="B12" s="7" t="str">
        <f>IF('Port Bloomberg'!B12="","",'Port Bloomberg'!B12)</f>
        <v>AES Andes SA</v>
      </c>
      <c r="C12" s="7" t="str">
        <f>IF('Port Bloomberg'!C12="","",'Port Bloomberg'!C12)</f>
        <v>AES ANDES SA</v>
      </c>
      <c r="D12" s="7" t="str">
        <f>IF('Port Bloomberg'!D12="","",'Port Bloomberg'!D12)</f>
        <v>AES ANDES SA</v>
      </c>
      <c r="E12" s="7" t="str">
        <f>IF('Port Bloomberg'!E12="","",'Port Bloomberg'!E12)</f>
        <v>USP0091LAE67</v>
      </c>
      <c r="F12" s="7" t="str">
        <f>IF('Port Bloomberg'!F12="","",'Port Bloomberg'!F12)</f>
        <v>AES</v>
      </c>
      <c r="G12" s="7" t="str">
        <f>IF('Port Bloomberg'!G12="","",'Port Bloomberg'!G12)</f>
        <v>AESANDES CI</v>
      </c>
      <c r="H12" s="7" t="str">
        <f>IF('Port Bloomberg'!H12="","",'Port Bloomberg'!H12)</f>
        <v>Electric</v>
      </c>
      <c r="I12" s="7" t="str">
        <f>IF('Port Bloomberg'!I12="","",'Port Bloomberg'!I12)</f>
        <v>UTL</v>
      </c>
      <c r="J12" s="7" t="str">
        <f>IF('Port Bloomberg'!J12="","",'Port Bloomberg'!J12)</f>
        <v>Electric-Generation</v>
      </c>
      <c r="K12" s="7" t="str">
        <f>IF('Port Bloomberg'!K12="","",'Port Bloomberg'!K12)</f>
        <v>CL</v>
      </c>
      <c r="L12" s="7" t="str">
        <f>IF('Port Bloomberg'!L12="","",'Port Bloomberg'!L12)</f>
        <v>CL</v>
      </c>
      <c r="M12" s="7" t="str">
        <f>IF('Port Bloomberg'!M12="","",'Port Bloomberg'!M12)</f>
        <v>USD</v>
      </c>
      <c r="N12" s="7">
        <f>IF('Port Bloomberg'!N12="","",'Port Bloomberg'!N12)</f>
        <v>485000</v>
      </c>
      <c r="O12" s="7" t="str">
        <f>IF('Port Bloomberg'!O12="","",'Port Bloomberg'!O12)</f>
        <v>SINGLE</v>
      </c>
      <c r="P12" s="7">
        <f>IF('Port Bloomberg'!P12="","",'Port Bloomberg'!P12)</f>
        <v>6.25</v>
      </c>
      <c r="Q12" s="7" t="str">
        <f>IF('Port Bloomberg'!Q12="","",'Port Bloomberg'!Q12)</f>
        <v>BBB-</v>
      </c>
      <c r="R12" s="7" t="str">
        <f>IF('Port Bloomberg'!R12="","",'Port Bloomberg'!R12)</f>
        <v>11/14/2034</v>
      </c>
      <c r="S12" s="5">
        <f>IF(E12="","",IFERROR(IF(MATCH(E12,[1]Instrumentos!$D:$D,0)&gt;0,1,0),0))</f>
        <v>1</v>
      </c>
      <c r="T12" s="5">
        <f>IF(E12="","",IFERROR(IF(MATCH(E12,'Lista de excepciones'!$E:$E,0)&gt;0,1,0),0))</f>
        <v>0</v>
      </c>
      <c r="U12" s="6" t="str">
        <f t="shared" si="1"/>
        <v>NO</v>
      </c>
    </row>
    <row r="13" spans="1:21" hidden="1" x14ac:dyDescent="0.25">
      <c r="A13" s="7" t="str">
        <f>IF('Port Bloomberg'!A13="","",'Port Bloomberg'!A13)</f>
        <v>AES 6.3 03/15/29</v>
      </c>
      <c r="B13" s="7" t="str">
        <f>IF('Port Bloomberg'!B13="","",'Port Bloomberg'!B13)</f>
        <v>AES Andes SA</v>
      </c>
      <c r="C13" s="7" t="str">
        <f>IF('Port Bloomberg'!C13="","",'Port Bloomberg'!C13)</f>
        <v>AES ANDES SA</v>
      </c>
      <c r="D13" s="7" t="str">
        <f>IF('Port Bloomberg'!D13="","",'Port Bloomberg'!D13)</f>
        <v>AES ANDES SA</v>
      </c>
      <c r="E13" s="7" t="str">
        <f>IF('Port Bloomberg'!E13="","",'Port Bloomberg'!E13)</f>
        <v>USP0091LAA46</v>
      </c>
      <c r="F13" s="7" t="str">
        <f>IF('Port Bloomberg'!F13="","",'Port Bloomberg'!F13)</f>
        <v>AES</v>
      </c>
      <c r="G13" s="7" t="str">
        <f>IF('Port Bloomberg'!G13="","",'Port Bloomberg'!G13)</f>
        <v>AESANDES CI</v>
      </c>
      <c r="H13" s="7" t="str">
        <f>IF('Port Bloomberg'!H13="","",'Port Bloomberg'!H13)</f>
        <v>Electric</v>
      </c>
      <c r="I13" s="7" t="str">
        <f>IF('Port Bloomberg'!I13="","",'Port Bloomberg'!I13)</f>
        <v>UTL</v>
      </c>
      <c r="J13" s="7" t="str">
        <f>IF('Port Bloomberg'!J13="","",'Port Bloomberg'!J13)</f>
        <v>Electric-Generation</v>
      </c>
      <c r="K13" s="7" t="str">
        <f>IF('Port Bloomberg'!K13="","",'Port Bloomberg'!K13)</f>
        <v>CL</v>
      </c>
      <c r="L13" s="7" t="str">
        <f>IF('Port Bloomberg'!L13="","",'Port Bloomberg'!L13)</f>
        <v>CL</v>
      </c>
      <c r="M13" s="7" t="str">
        <f>IF('Port Bloomberg'!M13="","",'Port Bloomberg'!M13)</f>
        <v>USD</v>
      </c>
      <c r="N13" s="7">
        <f>IF('Port Bloomberg'!N13="","",'Port Bloomberg'!N13)</f>
        <v>500000</v>
      </c>
      <c r="O13" s="7" t="str">
        <f>IF('Port Bloomberg'!O13="","",'Port Bloomberg'!O13)</f>
        <v>SINGLE</v>
      </c>
      <c r="P13" s="7">
        <f>IF('Port Bloomberg'!P13="","",'Port Bloomberg'!P13)</f>
        <v>6.3</v>
      </c>
      <c r="Q13" s="7" t="str">
        <f>IF('Port Bloomberg'!Q13="","",'Port Bloomberg'!Q13)</f>
        <v>BBB-</v>
      </c>
      <c r="R13" s="7" t="str">
        <f>IF('Port Bloomberg'!R13="","",'Port Bloomberg'!R13)</f>
        <v>03/15/2029</v>
      </c>
      <c r="S13" s="5">
        <f>IF(E13="","",IFERROR(IF(MATCH(E13,[1]Instrumentos!$D:$D,0)&gt;0,1,0),0))</f>
        <v>1</v>
      </c>
      <c r="T13" s="5">
        <f>IF(E13="","",IFERROR(IF(MATCH(E13,'Lista de excepciones'!$E:$E,0)&gt;0,1,0),0))</f>
        <v>0</v>
      </c>
      <c r="U13" s="6" t="str">
        <f t="shared" si="1"/>
        <v>NO</v>
      </c>
    </row>
    <row r="14" spans="1:21" hidden="1" x14ac:dyDescent="0.25">
      <c r="A14" s="7" t="str">
        <f>IF('Port Bloomberg'!A14="","",'Port Bloomberg'!A14)</f>
        <v>AES 8.15 06/10/55</v>
      </c>
      <c r="B14" s="7" t="str">
        <f>IF('Port Bloomberg'!B14="","",'Port Bloomberg'!B14)</f>
        <v>AES Andes SA</v>
      </c>
      <c r="C14" s="7" t="str">
        <f>IF('Port Bloomberg'!C14="","",'Port Bloomberg'!C14)</f>
        <v>AES ANDES SA</v>
      </c>
      <c r="D14" s="7" t="str">
        <f>IF('Port Bloomberg'!D14="","",'Port Bloomberg'!D14)</f>
        <v>AES ANDES SA</v>
      </c>
      <c r="E14" s="7" t="str">
        <f>IF('Port Bloomberg'!E14="","",'Port Bloomberg'!E14)</f>
        <v>USP0091LAC02</v>
      </c>
      <c r="F14" s="7" t="str">
        <f>IF('Port Bloomberg'!F14="","",'Port Bloomberg'!F14)</f>
        <v>AES</v>
      </c>
      <c r="G14" s="7" t="str">
        <f>IF('Port Bloomberg'!G14="","",'Port Bloomberg'!G14)</f>
        <v>AESANDES CI</v>
      </c>
      <c r="H14" s="7" t="str">
        <f>IF('Port Bloomberg'!H14="","",'Port Bloomberg'!H14)</f>
        <v>Electric</v>
      </c>
      <c r="I14" s="7" t="str">
        <f>IF('Port Bloomberg'!I14="","",'Port Bloomberg'!I14)</f>
        <v>UTL</v>
      </c>
      <c r="J14" s="7" t="str">
        <f>IF('Port Bloomberg'!J14="","",'Port Bloomberg'!J14)</f>
        <v>Electric-Generation</v>
      </c>
      <c r="K14" s="7" t="str">
        <f>IF('Port Bloomberg'!K14="","",'Port Bloomberg'!K14)</f>
        <v>CL</v>
      </c>
      <c r="L14" s="7" t="str">
        <f>IF('Port Bloomberg'!L14="","",'Port Bloomberg'!L14)</f>
        <v>CL</v>
      </c>
      <c r="M14" s="7" t="str">
        <f>IF('Port Bloomberg'!M14="","",'Port Bloomberg'!M14)</f>
        <v>USD</v>
      </c>
      <c r="N14" s="7">
        <f>IF('Port Bloomberg'!N14="","",'Port Bloomberg'!N14)</f>
        <v>530000</v>
      </c>
      <c r="O14" s="7" t="str">
        <f>IF('Port Bloomberg'!O14="","",'Port Bloomberg'!O14)</f>
        <v>SINGLE</v>
      </c>
      <c r="P14" s="7">
        <f>IF('Port Bloomberg'!P14="","",'Port Bloomberg'!P14)</f>
        <v>8.15</v>
      </c>
      <c r="Q14" s="7" t="str">
        <f>IF('Port Bloomberg'!Q14="","",'Port Bloomberg'!Q14)</f>
        <v>BB</v>
      </c>
      <c r="R14" s="7" t="str">
        <f>IF('Port Bloomberg'!R14="","",'Port Bloomberg'!R14)</f>
        <v>06/10/2055</v>
      </c>
      <c r="S14" s="5">
        <f>IF(E14="","",IFERROR(IF(MATCH(E14,[1]Instrumentos!$D:$D,0)&gt;0,1,0),0))</f>
        <v>1</v>
      </c>
      <c r="T14" s="5">
        <f>IF(E14="","",IFERROR(IF(MATCH(E14,'Lista de excepciones'!$E:$E,0)&gt;0,1,0),0))</f>
        <v>0</v>
      </c>
      <c r="U14" s="6" t="str">
        <f t="shared" si="1"/>
        <v>NO</v>
      </c>
    </row>
    <row r="15" spans="1:21" hidden="1" x14ac:dyDescent="0.25">
      <c r="A15" s="7" t="str">
        <f>IF('Port Bloomberg'!A15="","",'Port Bloomberg'!A15)</f>
        <v>AGRO 7 ½ 07/29/32</v>
      </c>
      <c r="B15" s="7" t="str">
        <f>IF('Port Bloomberg'!B15="","",'Port Bloomberg'!B15)</f>
        <v>Adecoagro SA</v>
      </c>
      <c r="C15" s="7" t="str">
        <f>IF('Port Bloomberg'!C15="","",'Port Bloomberg'!C15)</f>
        <v>ADECOAGRO SA</v>
      </c>
      <c r="D15" s="7" t="str">
        <f>IF('Port Bloomberg'!D15="","",'Port Bloomberg'!D15)</f>
        <v>ADECOAGRO SA</v>
      </c>
      <c r="E15" s="7" t="str">
        <f>IF('Port Bloomberg'!E15="","",'Port Bloomberg'!E15)</f>
        <v>USL00849AB20</v>
      </c>
      <c r="F15" s="7" t="str">
        <f>IF('Port Bloomberg'!F15="","",'Port Bloomberg'!F15)</f>
        <v>AGRO</v>
      </c>
      <c r="G15" s="7" t="str">
        <f>IF('Port Bloomberg'!G15="","",'Port Bloomberg'!G15)</f>
        <v>AGRO US</v>
      </c>
      <c r="H15" s="7" t="str">
        <f>IF('Port Bloomberg'!H15="","",'Port Bloomberg'!H15)</f>
        <v>Agriculture</v>
      </c>
      <c r="I15" s="7" t="str">
        <f>IF('Port Bloomberg'!I15="","",'Port Bloomberg'!I15)</f>
        <v>IND</v>
      </c>
      <c r="J15" s="7" t="str">
        <f>IF('Port Bloomberg'!J15="","",'Port Bloomberg'!J15)</f>
        <v>Agricultural Operations</v>
      </c>
      <c r="K15" s="7" t="str">
        <f>IF('Port Bloomberg'!K15="","",'Port Bloomberg'!K15)</f>
        <v>AR</v>
      </c>
      <c r="L15" s="7" t="str">
        <f>IF('Port Bloomberg'!L15="","",'Port Bloomberg'!L15)</f>
        <v>BR</v>
      </c>
      <c r="M15" s="7" t="str">
        <f>IF('Port Bloomberg'!M15="","",'Port Bloomberg'!M15)</f>
        <v>USD</v>
      </c>
      <c r="N15" s="7">
        <f>IF('Port Bloomberg'!N15="","",'Port Bloomberg'!N15)</f>
        <v>500000</v>
      </c>
      <c r="O15" s="7" t="str">
        <f>IF('Port Bloomberg'!O15="","",'Port Bloomberg'!O15)</f>
        <v>SINGLE</v>
      </c>
      <c r="P15" s="7">
        <f>IF('Port Bloomberg'!P15="","",'Port Bloomberg'!P15)</f>
        <v>7.5</v>
      </c>
      <c r="Q15" s="7" t="str">
        <f>IF('Port Bloomberg'!Q15="","",'Port Bloomberg'!Q15)</f>
        <v>B+</v>
      </c>
      <c r="R15" s="7" t="str">
        <f>IF('Port Bloomberg'!R15="","",'Port Bloomberg'!R15)</f>
        <v>07/29/2032</v>
      </c>
      <c r="S15" s="5">
        <f>IF(E15="","",IFERROR(IF(MATCH(E15,[1]Instrumentos!$D:$D,0)&gt;0,1,0),0))</f>
        <v>1</v>
      </c>
      <c r="T15" s="5">
        <f>IF(E15="","",IFERROR(IF(MATCH(E15,'Lista de excepciones'!$E:$E,0)&gt;0,1,0),0))</f>
        <v>0</v>
      </c>
      <c r="U15" s="6" t="str">
        <f t="shared" si="1"/>
        <v>NO</v>
      </c>
    </row>
    <row r="16" spans="1:21" hidden="1" x14ac:dyDescent="0.25">
      <c r="A16" s="7" t="str">
        <f>IF('Port Bloomberg'!A16="","",'Port Bloomberg'!A16)</f>
        <v>AGROSU 4.6 01/20/32</v>
      </c>
      <c r="B16" s="7" t="str">
        <f>IF('Port Bloomberg'!B16="","",'Port Bloomberg'!B16)</f>
        <v>Agrosuper SA</v>
      </c>
      <c r="C16" s="7" t="str">
        <f>IF('Port Bloomberg'!C16="","",'Port Bloomberg'!C16)</f>
        <v>AGROSUPER</v>
      </c>
      <c r="D16" s="7" t="str">
        <f>IF('Port Bloomberg'!D16="","",'Port Bloomberg'!D16)</f>
        <v>AGROSUPER SA</v>
      </c>
      <c r="E16" s="7" t="str">
        <f>IF('Port Bloomberg'!E16="","",'Port Bloomberg'!E16)</f>
        <v>USP01020AK52</v>
      </c>
      <c r="F16" s="7" t="str">
        <f>IF('Port Bloomberg'!F16="","",'Port Bloomberg'!F16)</f>
        <v>AGROSU</v>
      </c>
      <c r="G16" s="7" t="str">
        <f>IF('Port Bloomberg'!G16="","",'Port Bloomberg'!G16)</f>
        <v>4627222Z CI</v>
      </c>
      <c r="H16" s="7" t="str">
        <f>IF('Port Bloomberg'!H16="","",'Port Bloomberg'!H16)</f>
        <v>Food</v>
      </c>
      <c r="I16" s="7" t="str">
        <f>IF('Port Bloomberg'!I16="","",'Port Bloomberg'!I16)</f>
        <v>IND</v>
      </c>
      <c r="J16" s="7" t="str">
        <f>IF('Port Bloomberg'!J16="","",'Port Bloomberg'!J16)</f>
        <v>Food-Meat Products</v>
      </c>
      <c r="K16" s="7" t="str">
        <f>IF('Port Bloomberg'!K16="","",'Port Bloomberg'!K16)</f>
        <v>CL</v>
      </c>
      <c r="L16" s="7" t="str">
        <f>IF('Port Bloomberg'!L16="","",'Port Bloomberg'!L16)</f>
        <v>CL</v>
      </c>
      <c r="M16" s="7" t="str">
        <f>IF('Port Bloomberg'!M16="","",'Port Bloomberg'!M16)</f>
        <v>USD</v>
      </c>
      <c r="N16" s="7">
        <f>IF('Port Bloomberg'!N16="","",'Port Bloomberg'!N16)</f>
        <v>500000</v>
      </c>
      <c r="O16" s="7" t="str">
        <f>IF('Port Bloomberg'!O16="","",'Port Bloomberg'!O16)</f>
        <v>SINGLE</v>
      </c>
      <c r="P16" s="7">
        <f>IF('Port Bloomberg'!P16="","",'Port Bloomberg'!P16)</f>
        <v>4.5999999999999996</v>
      </c>
      <c r="Q16" s="7" t="str">
        <f>IF('Port Bloomberg'!Q16="","",'Port Bloomberg'!Q16)</f>
        <v>BBB-</v>
      </c>
      <c r="R16" s="7" t="str">
        <f>IF('Port Bloomberg'!R16="","",'Port Bloomberg'!R16)</f>
        <v>01/20/2032</v>
      </c>
      <c r="S16" s="5">
        <f>IF(E16="","",IFERROR(IF(MATCH(E16,[1]Instrumentos!$D:$D,0)&gt;0,1,0),0))</f>
        <v>1</v>
      </c>
      <c r="T16" s="5">
        <f>IF(E16="","",IFERROR(IF(MATCH(E16,'Lista de excepciones'!$E:$E,0)&gt;0,1,0),0))</f>
        <v>0</v>
      </c>
      <c r="U16" s="6" t="str">
        <f t="shared" si="1"/>
        <v>NO</v>
      </c>
    </row>
    <row r="17" spans="1:21" hidden="1" x14ac:dyDescent="0.25">
      <c r="A17" s="7" t="str">
        <f>IF('Port Bloomberg'!A17="","",'Port Bloomberg'!A17)</f>
        <v>AICNRA 5 ¾ 06/15/33</v>
      </c>
      <c r="B17" s="7" t="str">
        <f>IF('Port Bloomberg'!B17="","",'Port Bloomberg'!B17)</f>
        <v>AI Candelaria -spain- SA</v>
      </c>
      <c r="C17" s="7" t="str">
        <f>IF('Port Bloomberg'!C17="","",'Port Bloomberg'!C17)</f>
        <v>AI CANDELARIA</v>
      </c>
      <c r="D17" s="7" t="str">
        <f>IF('Port Bloomberg'!D17="","",'Port Bloomberg'!D17)</f>
        <v>AI CANDELARIA -SPAIN- SA</v>
      </c>
      <c r="E17" s="7" t="str">
        <f>IF('Port Bloomberg'!E17="","",'Port Bloomberg'!E17)</f>
        <v>USE0R75RAB28</v>
      </c>
      <c r="F17" s="7" t="str">
        <f>IF('Port Bloomberg'!F17="","",'Port Bloomberg'!F17)</f>
        <v>AICNRA</v>
      </c>
      <c r="G17" s="7" t="str">
        <f>IF('Port Bloomberg'!G17="","",'Port Bloomberg'!G17)</f>
        <v>1666958D SM</v>
      </c>
      <c r="H17" s="7" t="str">
        <f>IF('Port Bloomberg'!H17="","",'Port Bloomberg'!H17)</f>
        <v>Pipelines</v>
      </c>
      <c r="I17" s="7" t="str">
        <f>IF('Port Bloomberg'!I17="","",'Port Bloomberg'!I17)</f>
        <v>IND</v>
      </c>
      <c r="J17" s="7" t="str">
        <f>IF('Port Bloomberg'!J17="","",'Port Bloomberg'!J17)</f>
        <v>Pipelines</v>
      </c>
      <c r="K17" s="7" t="str">
        <f>IF('Port Bloomberg'!K17="","",'Port Bloomberg'!K17)</f>
        <v>ES</v>
      </c>
      <c r="L17" s="7" t="str">
        <f>IF('Port Bloomberg'!L17="","",'Port Bloomberg'!L17)</f>
        <v>CO</v>
      </c>
      <c r="M17" s="7" t="str">
        <f>IF('Port Bloomberg'!M17="","",'Port Bloomberg'!M17)</f>
        <v>USD</v>
      </c>
      <c r="N17" s="7">
        <f>IF('Port Bloomberg'!N17="","",'Port Bloomberg'!N17)</f>
        <v>600000</v>
      </c>
      <c r="O17" s="7" t="str">
        <f>IF('Port Bloomberg'!O17="","",'Port Bloomberg'!O17)</f>
        <v>SINGLE</v>
      </c>
      <c r="P17" s="7">
        <f>IF('Port Bloomberg'!P17="","",'Port Bloomberg'!P17)</f>
        <v>5.75</v>
      </c>
      <c r="Q17" s="7" t="str">
        <f>IF('Port Bloomberg'!Q17="","",'Port Bloomberg'!Q17)</f>
        <v>B</v>
      </c>
      <c r="R17" s="7" t="str">
        <f>IF('Port Bloomberg'!R17="","",'Port Bloomberg'!R17)</f>
        <v>06/15/2033</v>
      </c>
      <c r="S17" s="5">
        <f>IF(E17="","",IFERROR(IF(MATCH(E17,[1]Instrumentos!$D:$D,0)&gt;0,1,0),0))</f>
        <v>1</v>
      </c>
      <c r="T17" s="5">
        <f>IF(E17="","",IFERROR(IF(MATCH(E17,'Lista de excepciones'!$E:$E,0)&gt;0,1,0),0))</f>
        <v>0</v>
      </c>
      <c r="U17" s="6" t="str">
        <f t="shared" si="1"/>
        <v>NO</v>
      </c>
    </row>
    <row r="18" spans="1:21" hidden="1" x14ac:dyDescent="0.25">
      <c r="A18" s="7" t="str">
        <f>IF('Port Bloomberg'!A18="","",'Port Bloomberg'!A18)</f>
        <v>ALFACL 4.55 09/27/51</v>
      </c>
      <c r="B18" s="7" t="str">
        <f>IF('Port Bloomberg'!B18="","",'Port Bloomberg'!B18)</f>
        <v>Alfa Desarrollo SpA</v>
      </c>
      <c r="C18" s="7" t="str">
        <f>IF('Port Bloomberg'!C18="","",'Port Bloomberg'!C18)</f>
        <v>ALFA DESARROLLO</v>
      </c>
      <c r="D18" s="7" t="str">
        <f>IF('Port Bloomberg'!D18="","",'Port Bloomberg'!D18)</f>
        <v>ALFA DESARROLLO SPA</v>
      </c>
      <c r="E18" s="7" t="str">
        <f>IF('Port Bloomberg'!E18="","",'Port Bloomberg'!E18)</f>
        <v>USP0R60QAA15</v>
      </c>
      <c r="F18" s="7" t="str">
        <f>IF('Port Bloomberg'!F18="","",'Port Bloomberg'!F18)</f>
        <v>ALFACL</v>
      </c>
      <c r="G18" s="7" t="str">
        <f>IF('Port Bloomberg'!G18="","",'Port Bloomberg'!G18)</f>
        <v>COLBUN CI</v>
      </c>
      <c r="H18" s="7" t="str">
        <f>IF('Port Bloomberg'!H18="","",'Port Bloomberg'!H18)</f>
        <v>Electric</v>
      </c>
      <c r="I18" s="7" t="str">
        <f>IF('Port Bloomberg'!I18="","",'Port Bloomberg'!I18)</f>
        <v>UTL</v>
      </c>
      <c r="J18" s="7" t="str">
        <f>IF('Port Bloomberg'!J18="","",'Port Bloomberg'!J18)</f>
        <v>Electric-Transmission</v>
      </c>
      <c r="K18" s="7" t="str">
        <f>IF('Port Bloomberg'!K18="","",'Port Bloomberg'!K18)</f>
        <v>CL</v>
      </c>
      <c r="L18" s="7" t="str">
        <f>IF('Port Bloomberg'!L18="","",'Port Bloomberg'!L18)</f>
        <v>CL</v>
      </c>
      <c r="M18" s="7" t="str">
        <f>IF('Port Bloomberg'!M18="","",'Port Bloomberg'!M18)</f>
        <v>USD</v>
      </c>
      <c r="N18" s="7">
        <f>IF('Port Bloomberg'!N18="","",'Port Bloomberg'!N18)</f>
        <v>1098618</v>
      </c>
      <c r="O18" s="7" t="str">
        <f>IF('Port Bloomberg'!O18="","",'Port Bloomberg'!O18)</f>
        <v>SINGLE</v>
      </c>
      <c r="P18" s="7">
        <f>IF('Port Bloomberg'!P18="","",'Port Bloomberg'!P18)</f>
        <v>4.55</v>
      </c>
      <c r="Q18" s="7" t="str">
        <f>IF('Port Bloomberg'!Q18="","",'Port Bloomberg'!Q18)</f>
        <v>BBB-</v>
      </c>
      <c r="R18" s="7" t="str">
        <f>IF('Port Bloomberg'!R18="","",'Port Bloomberg'!R18)</f>
        <v>09/27/2051</v>
      </c>
      <c r="S18" s="5">
        <f>IF(E18="","",IFERROR(IF(MATCH(E18,[1]Instrumentos!$D:$D,0)&gt;0,1,0),0))</f>
        <v>1</v>
      </c>
      <c r="T18" s="5">
        <f>IF(E18="","",IFERROR(IF(MATCH(E18,'Lista de excepciones'!$E:$E,0)&gt;0,1,0),0))</f>
        <v>0</v>
      </c>
      <c r="U18" s="6" t="str">
        <f t="shared" si="1"/>
        <v>NO</v>
      </c>
    </row>
    <row r="19" spans="1:21" hidden="1" x14ac:dyDescent="0.25">
      <c r="A19" s="7" t="str">
        <f>IF('Port Bloomberg'!A19="","",'Port Bloomberg'!A19)</f>
        <v>ALPEKA 3 ¼ 02/25/31</v>
      </c>
      <c r="B19" s="7" t="str">
        <f>IF('Port Bloomberg'!B19="","",'Port Bloomberg'!B19)</f>
        <v>Alpek SAB de CV</v>
      </c>
      <c r="C19" s="7" t="str">
        <f>IF('Port Bloomberg'!C19="","",'Port Bloomberg'!C19)</f>
        <v>ALPEK SA DE CV</v>
      </c>
      <c r="D19" s="7" t="str">
        <f>IF('Port Bloomberg'!D19="","",'Port Bloomberg'!D19)</f>
        <v>ALPEK SA DE CV</v>
      </c>
      <c r="E19" s="7" t="str">
        <f>IF('Port Bloomberg'!E19="","",'Port Bloomberg'!E19)</f>
        <v>USP01703AD22</v>
      </c>
      <c r="F19" s="7" t="str">
        <f>IF('Port Bloomberg'!F19="","",'Port Bloomberg'!F19)</f>
        <v>ALPEKA</v>
      </c>
      <c r="G19" s="7" t="str">
        <f>IF('Port Bloomberg'!G19="","",'Port Bloomberg'!G19)</f>
        <v>ALPEKA MM</v>
      </c>
      <c r="H19" s="7" t="str">
        <f>IF('Port Bloomberg'!H19="","",'Port Bloomberg'!H19)</f>
        <v>Chemicals</v>
      </c>
      <c r="I19" s="7" t="str">
        <f>IF('Port Bloomberg'!I19="","",'Port Bloomberg'!I19)</f>
        <v>IND</v>
      </c>
      <c r="J19" s="7" t="str">
        <f>IF('Port Bloomberg'!J19="","",'Port Bloomberg'!J19)</f>
        <v>Petrochemicals</v>
      </c>
      <c r="K19" s="7" t="str">
        <f>IF('Port Bloomberg'!K19="","",'Port Bloomberg'!K19)</f>
        <v>MX</v>
      </c>
      <c r="L19" s="7" t="str">
        <f>IF('Port Bloomberg'!L19="","",'Port Bloomberg'!L19)</f>
        <v>MX</v>
      </c>
      <c r="M19" s="7" t="str">
        <f>IF('Port Bloomberg'!M19="","",'Port Bloomberg'!M19)</f>
        <v>USD</v>
      </c>
      <c r="N19" s="7">
        <f>IF('Port Bloomberg'!N19="","",'Port Bloomberg'!N19)</f>
        <v>600000</v>
      </c>
      <c r="O19" s="7" t="str">
        <f>IF('Port Bloomberg'!O19="","",'Port Bloomberg'!O19)</f>
        <v>SINGLE</v>
      </c>
      <c r="P19" s="7">
        <f>IF('Port Bloomberg'!P19="","",'Port Bloomberg'!P19)</f>
        <v>3.25</v>
      </c>
      <c r="Q19" s="7" t="str">
        <f>IF('Port Bloomberg'!Q19="","",'Port Bloomberg'!Q19)</f>
        <v>BB+</v>
      </c>
      <c r="R19" s="7" t="str">
        <f>IF('Port Bloomberg'!R19="","",'Port Bloomberg'!R19)</f>
        <v>02/25/2031</v>
      </c>
      <c r="S19" s="5">
        <f>IF(E19="","",IFERROR(IF(MATCH(E19,[1]Instrumentos!$D:$D,0)&gt;0,1,0),0))</f>
        <v>1</v>
      </c>
      <c r="T19" s="5">
        <f>IF(E19="","",IFERROR(IF(MATCH(E19,'Lista de excepciones'!$E:$E,0)&gt;0,1,0),0))</f>
        <v>0</v>
      </c>
      <c r="U19" s="6" t="str">
        <f t="shared" si="1"/>
        <v>NO</v>
      </c>
    </row>
    <row r="20" spans="1:21" hidden="1" x14ac:dyDescent="0.25">
      <c r="A20" s="7" t="str">
        <f>IF('Port Bloomberg'!A20="","",'Port Bloomberg'!A20)</f>
        <v>ALPEKA 4 ¼ 09/18/29</v>
      </c>
      <c r="B20" s="7" t="str">
        <f>IF('Port Bloomberg'!B20="","",'Port Bloomberg'!B20)</f>
        <v>Alpek SAB de CV</v>
      </c>
      <c r="C20" s="7" t="str">
        <f>IF('Port Bloomberg'!C20="","",'Port Bloomberg'!C20)</f>
        <v>ALPEK SA DE CV</v>
      </c>
      <c r="D20" s="7" t="str">
        <f>IF('Port Bloomberg'!D20="","",'Port Bloomberg'!D20)</f>
        <v>ALPEK SA DE CV</v>
      </c>
      <c r="E20" s="7" t="str">
        <f>IF('Port Bloomberg'!E20="","",'Port Bloomberg'!E20)</f>
        <v>USP01703AC49</v>
      </c>
      <c r="F20" s="7" t="str">
        <f>IF('Port Bloomberg'!F20="","",'Port Bloomberg'!F20)</f>
        <v>ALPEKA</v>
      </c>
      <c r="G20" s="7" t="str">
        <f>IF('Port Bloomberg'!G20="","",'Port Bloomberg'!G20)</f>
        <v>ALPEKA MM</v>
      </c>
      <c r="H20" s="7" t="str">
        <f>IF('Port Bloomberg'!H20="","",'Port Bloomberg'!H20)</f>
        <v>Chemicals</v>
      </c>
      <c r="I20" s="7" t="str">
        <f>IF('Port Bloomberg'!I20="","",'Port Bloomberg'!I20)</f>
        <v>IND</v>
      </c>
      <c r="J20" s="7" t="str">
        <f>IF('Port Bloomberg'!J20="","",'Port Bloomberg'!J20)</f>
        <v>Petrochemicals</v>
      </c>
      <c r="K20" s="7" t="str">
        <f>IF('Port Bloomberg'!K20="","",'Port Bloomberg'!K20)</f>
        <v>MX</v>
      </c>
      <c r="L20" s="7" t="str">
        <f>IF('Port Bloomberg'!L20="","",'Port Bloomberg'!L20)</f>
        <v>MX</v>
      </c>
      <c r="M20" s="7" t="str">
        <f>IF('Port Bloomberg'!M20="","",'Port Bloomberg'!M20)</f>
        <v>USD</v>
      </c>
      <c r="N20" s="7">
        <f>IF('Port Bloomberg'!N20="","",'Port Bloomberg'!N20)</f>
        <v>500000</v>
      </c>
      <c r="O20" s="7" t="str">
        <f>IF('Port Bloomberg'!O20="","",'Port Bloomberg'!O20)</f>
        <v>SINGLE</v>
      </c>
      <c r="P20" s="7">
        <f>IF('Port Bloomberg'!P20="","",'Port Bloomberg'!P20)</f>
        <v>4.25</v>
      </c>
      <c r="Q20" s="7" t="str">
        <f>IF('Port Bloomberg'!Q20="","",'Port Bloomberg'!Q20)</f>
        <v>BB+</v>
      </c>
      <c r="R20" s="7" t="str">
        <f>IF('Port Bloomberg'!R20="","",'Port Bloomberg'!R20)</f>
        <v>09/18/2029</v>
      </c>
      <c r="S20" s="5">
        <f>IF(E20="","",IFERROR(IF(MATCH(E20,[1]Instrumentos!$D:$D,0)&gt;0,1,0),0))</f>
        <v>1</v>
      </c>
      <c r="T20" s="5">
        <f>IF(E20="","",IFERROR(IF(MATCH(E20,'Lista de excepciones'!$E:$E,0)&gt;0,1,0),0))</f>
        <v>0</v>
      </c>
      <c r="U20" s="6" t="str">
        <f t="shared" si="1"/>
        <v>NO</v>
      </c>
    </row>
    <row r="21" spans="1:21" hidden="1" x14ac:dyDescent="0.25">
      <c r="A21" s="7" t="str">
        <f>IF('Port Bloomberg'!A21="","",'Port Bloomberg'!A21)</f>
        <v>AMXLMM 2 ⅞ 05/07/30</v>
      </c>
      <c r="B21" s="7" t="str">
        <f>IF('Port Bloomberg'!B21="","",'Port Bloomberg'!B21)</f>
        <v>America Movil SAB de CV</v>
      </c>
      <c r="C21" s="7" t="str">
        <f>IF('Port Bloomberg'!C21="","",'Port Bloomberg'!C21)</f>
        <v>AMERICA MOVIL SA</v>
      </c>
      <c r="D21" s="7" t="str">
        <f>IF('Port Bloomberg'!D21="","",'Port Bloomberg'!D21)</f>
        <v>AMERICA MOVIL SAB DE CV</v>
      </c>
      <c r="E21" s="7" t="str">
        <f>IF('Port Bloomberg'!E21="","",'Port Bloomberg'!E21)</f>
        <v>US02364WBJ36</v>
      </c>
      <c r="F21" s="7" t="str">
        <f>IF('Port Bloomberg'!F21="","",'Port Bloomberg'!F21)</f>
        <v>AMXLMM</v>
      </c>
      <c r="G21" s="7" t="str">
        <f>IF('Port Bloomberg'!G21="","",'Port Bloomberg'!G21)</f>
        <v>AMXB MM</v>
      </c>
      <c r="H21" s="7" t="str">
        <f>IF('Port Bloomberg'!H21="","",'Port Bloomberg'!H21)</f>
        <v>Telecommunications</v>
      </c>
      <c r="I21" s="7" t="str">
        <f>IF('Port Bloomberg'!I21="","",'Port Bloomberg'!I21)</f>
        <v>IND</v>
      </c>
      <c r="J21" s="7" t="str">
        <f>IF('Port Bloomberg'!J21="","",'Port Bloomberg'!J21)</f>
        <v>Cellular Telecom</v>
      </c>
      <c r="K21" s="7" t="str">
        <f>IF('Port Bloomberg'!K21="","",'Port Bloomberg'!K21)</f>
        <v>MX</v>
      </c>
      <c r="L21" s="7" t="str">
        <f>IF('Port Bloomberg'!L21="","",'Port Bloomberg'!L21)</f>
        <v>MX</v>
      </c>
      <c r="M21" s="7" t="str">
        <f>IF('Port Bloomberg'!M21="","",'Port Bloomberg'!M21)</f>
        <v>USD</v>
      </c>
      <c r="N21" s="7">
        <f>IF('Port Bloomberg'!N21="","",'Port Bloomberg'!N21)</f>
        <v>1000000</v>
      </c>
      <c r="O21" s="7" t="str">
        <f>IF('Port Bloomberg'!O21="","",'Port Bloomberg'!O21)</f>
        <v>SINGLE</v>
      </c>
      <c r="P21" s="7">
        <f>IF('Port Bloomberg'!P21="","",'Port Bloomberg'!P21)</f>
        <v>2.875</v>
      </c>
      <c r="Q21" s="7" t="str">
        <f>IF('Port Bloomberg'!Q21="","",'Port Bloomberg'!Q21)</f>
        <v>BBB+</v>
      </c>
      <c r="R21" s="7" t="str">
        <f>IF('Port Bloomberg'!R21="","",'Port Bloomberg'!R21)</f>
        <v>05/07/2030</v>
      </c>
      <c r="S21" s="5">
        <f>IF(E21="","",IFERROR(IF(MATCH(E21,[1]Instrumentos!$D:$D,0)&gt;0,1,0),0))</f>
        <v>1</v>
      </c>
      <c r="T21" s="5">
        <f>IF(E21="","",IFERROR(IF(MATCH(E21,'Lista de excepciones'!$E:$E,0)&gt;0,1,0),0))</f>
        <v>0</v>
      </c>
      <c r="U21" s="6" t="str">
        <f t="shared" si="1"/>
        <v>NO</v>
      </c>
    </row>
    <row r="22" spans="1:21" hidden="1" x14ac:dyDescent="0.25">
      <c r="A22" s="7" t="str">
        <f>IF('Port Bloomberg'!A22="","",'Port Bloomberg'!A22)</f>
        <v>AMXLMM 3 ⅝ 04/22/29</v>
      </c>
      <c r="B22" s="7" t="str">
        <f>IF('Port Bloomberg'!B22="","",'Port Bloomberg'!B22)</f>
        <v>America Movil SAB de CV</v>
      </c>
      <c r="C22" s="7" t="str">
        <f>IF('Port Bloomberg'!C22="","",'Port Bloomberg'!C22)</f>
        <v>AMERICA MOVIL SA</v>
      </c>
      <c r="D22" s="7" t="str">
        <f>IF('Port Bloomberg'!D22="","",'Port Bloomberg'!D22)</f>
        <v>AMERICA MOVIL SAB DE CV</v>
      </c>
      <c r="E22" s="7" t="str">
        <f>IF('Port Bloomberg'!E22="","",'Port Bloomberg'!E22)</f>
        <v>US02364WBH79</v>
      </c>
      <c r="F22" s="7" t="str">
        <f>IF('Port Bloomberg'!F22="","",'Port Bloomberg'!F22)</f>
        <v>AMXLMM</v>
      </c>
      <c r="G22" s="7" t="str">
        <f>IF('Port Bloomberg'!G22="","",'Port Bloomberg'!G22)</f>
        <v>AMXB MM</v>
      </c>
      <c r="H22" s="7" t="str">
        <f>IF('Port Bloomberg'!H22="","",'Port Bloomberg'!H22)</f>
        <v>Telecommunications</v>
      </c>
      <c r="I22" s="7" t="str">
        <f>IF('Port Bloomberg'!I22="","",'Port Bloomberg'!I22)</f>
        <v>IND</v>
      </c>
      <c r="J22" s="7" t="str">
        <f>IF('Port Bloomberg'!J22="","",'Port Bloomberg'!J22)</f>
        <v>Cellular Telecom</v>
      </c>
      <c r="K22" s="7" t="str">
        <f>IF('Port Bloomberg'!K22="","",'Port Bloomberg'!K22)</f>
        <v>MX</v>
      </c>
      <c r="L22" s="7" t="str">
        <f>IF('Port Bloomberg'!L22="","",'Port Bloomberg'!L22)</f>
        <v>MX</v>
      </c>
      <c r="M22" s="7" t="str">
        <f>IF('Port Bloomberg'!M22="","",'Port Bloomberg'!M22)</f>
        <v>USD</v>
      </c>
      <c r="N22" s="7">
        <f>IF('Port Bloomberg'!N22="","",'Port Bloomberg'!N22)</f>
        <v>1000000</v>
      </c>
      <c r="O22" s="7" t="str">
        <f>IF('Port Bloomberg'!O22="","",'Port Bloomberg'!O22)</f>
        <v>SINGLE</v>
      </c>
      <c r="P22" s="7">
        <f>IF('Port Bloomberg'!P22="","",'Port Bloomberg'!P22)</f>
        <v>3.625</v>
      </c>
      <c r="Q22" s="7" t="str">
        <f>IF('Port Bloomberg'!Q22="","",'Port Bloomberg'!Q22)</f>
        <v>BBB+</v>
      </c>
      <c r="R22" s="7" t="str">
        <f>IF('Port Bloomberg'!R22="","",'Port Bloomberg'!R22)</f>
        <v>04/22/2029</v>
      </c>
      <c r="S22" s="5">
        <f>IF(E22="","",IFERROR(IF(MATCH(E22,[1]Instrumentos!$D:$D,0)&gt;0,1,0),0))</f>
        <v>1</v>
      </c>
      <c r="T22" s="5">
        <f>IF(E22="","",IFERROR(IF(MATCH(E22,'Lista de excepciones'!$E:$E,0)&gt;0,1,0),0))</f>
        <v>0</v>
      </c>
      <c r="U22" s="6" t="str">
        <f t="shared" si="1"/>
        <v>NO</v>
      </c>
    </row>
    <row r="23" spans="1:21" hidden="1" x14ac:dyDescent="0.25">
      <c r="A23" s="7" t="str">
        <f>IF('Port Bloomberg'!A23="","",'Port Bloomberg'!A23)</f>
        <v>AMXLMM 4 ⅜ 04/22/49</v>
      </c>
      <c r="B23" s="7" t="str">
        <f>IF('Port Bloomberg'!B23="","",'Port Bloomberg'!B23)</f>
        <v>America Movil SAB de CV</v>
      </c>
      <c r="C23" s="7" t="str">
        <f>IF('Port Bloomberg'!C23="","",'Port Bloomberg'!C23)</f>
        <v>AMERICA MOVIL SA</v>
      </c>
      <c r="D23" s="7" t="str">
        <f>IF('Port Bloomberg'!D23="","",'Port Bloomberg'!D23)</f>
        <v>AMERICA MOVIL SAB DE CV</v>
      </c>
      <c r="E23" s="7" t="str">
        <f>IF('Port Bloomberg'!E23="","",'Port Bloomberg'!E23)</f>
        <v>US02364WBG96</v>
      </c>
      <c r="F23" s="7" t="str">
        <f>IF('Port Bloomberg'!F23="","",'Port Bloomberg'!F23)</f>
        <v>AMXLMM</v>
      </c>
      <c r="G23" s="7" t="str">
        <f>IF('Port Bloomberg'!G23="","",'Port Bloomberg'!G23)</f>
        <v>AMXB MM</v>
      </c>
      <c r="H23" s="7" t="str">
        <f>IF('Port Bloomberg'!H23="","",'Port Bloomberg'!H23)</f>
        <v>Telecommunications</v>
      </c>
      <c r="I23" s="7" t="str">
        <f>IF('Port Bloomberg'!I23="","",'Port Bloomberg'!I23)</f>
        <v>IND</v>
      </c>
      <c r="J23" s="7" t="str">
        <f>IF('Port Bloomberg'!J23="","",'Port Bloomberg'!J23)</f>
        <v>Cellular Telecom</v>
      </c>
      <c r="K23" s="7" t="str">
        <f>IF('Port Bloomberg'!K23="","",'Port Bloomberg'!K23)</f>
        <v>MX</v>
      </c>
      <c r="L23" s="7" t="str">
        <f>IF('Port Bloomberg'!L23="","",'Port Bloomberg'!L23)</f>
        <v>MX</v>
      </c>
      <c r="M23" s="7" t="str">
        <f>IF('Port Bloomberg'!M23="","",'Port Bloomberg'!M23)</f>
        <v>USD</v>
      </c>
      <c r="N23" s="7">
        <f>IF('Port Bloomberg'!N23="","",'Port Bloomberg'!N23)</f>
        <v>1250000</v>
      </c>
      <c r="O23" s="7" t="str">
        <f>IF('Port Bloomberg'!O23="","",'Port Bloomberg'!O23)</f>
        <v>SINGLE</v>
      </c>
      <c r="P23" s="7">
        <f>IF('Port Bloomberg'!P23="","",'Port Bloomberg'!P23)</f>
        <v>4.375</v>
      </c>
      <c r="Q23" s="7" t="str">
        <f>IF('Port Bloomberg'!Q23="","",'Port Bloomberg'!Q23)</f>
        <v>BBB+</v>
      </c>
      <c r="R23" s="7" t="str">
        <f>IF('Port Bloomberg'!R23="","",'Port Bloomberg'!R23)</f>
        <v>04/22/2049</v>
      </c>
      <c r="S23" s="5">
        <f>IF(E23="","",IFERROR(IF(MATCH(E23,[1]Instrumentos!$D:$D,0)&gt;0,1,0),0))</f>
        <v>1</v>
      </c>
      <c r="T23" s="5">
        <f>IF(E23="","",IFERROR(IF(MATCH(E23,'Lista de excepciones'!$E:$E,0)&gt;0,1,0),0))</f>
        <v>0</v>
      </c>
      <c r="U23" s="6" t="str">
        <f t="shared" si="1"/>
        <v>NO</v>
      </c>
    </row>
    <row r="24" spans="1:21" hidden="1" x14ac:dyDescent="0.25">
      <c r="A24" s="7" t="str">
        <f>IF('Port Bloomberg'!A24="","",'Port Bloomberg'!A24)</f>
        <v>AMXLMM 4 ⅜ 07/16/42</v>
      </c>
      <c r="B24" s="7" t="str">
        <f>IF('Port Bloomberg'!B24="","",'Port Bloomberg'!B24)</f>
        <v>America Movil SAB de CV</v>
      </c>
      <c r="C24" s="7" t="str">
        <f>IF('Port Bloomberg'!C24="","",'Port Bloomberg'!C24)</f>
        <v>AMERICA MOVIL SA</v>
      </c>
      <c r="D24" s="7" t="str">
        <f>IF('Port Bloomberg'!D24="","",'Port Bloomberg'!D24)</f>
        <v>AMERICA MOVIL SAB DE CV</v>
      </c>
      <c r="E24" s="7" t="str">
        <f>IF('Port Bloomberg'!E24="","",'Port Bloomberg'!E24)</f>
        <v>US02364WBE49</v>
      </c>
      <c r="F24" s="7" t="str">
        <f>IF('Port Bloomberg'!F24="","",'Port Bloomberg'!F24)</f>
        <v>AMXLMM</v>
      </c>
      <c r="G24" s="7" t="str">
        <f>IF('Port Bloomberg'!G24="","",'Port Bloomberg'!G24)</f>
        <v>AMXB MM</v>
      </c>
      <c r="H24" s="7" t="str">
        <f>IF('Port Bloomberg'!H24="","",'Port Bloomberg'!H24)</f>
        <v>Telecommunications</v>
      </c>
      <c r="I24" s="7" t="str">
        <f>IF('Port Bloomberg'!I24="","",'Port Bloomberg'!I24)</f>
        <v>IND</v>
      </c>
      <c r="J24" s="7" t="str">
        <f>IF('Port Bloomberg'!J24="","",'Port Bloomberg'!J24)</f>
        <v>Cellular Telecom</v>
      </c>
      <c r="K24" s="7" t="str">
        <f>IF('Port Bloomberg'!K24="","",'Port Bloomberg'!K24)</f>
        <v>MX</v>
      </c>
      <c r="L24" s="7" t="str">
        <f>IF('Port Bloomberg'!L24="","",'Port Bloomberg'!L24)</f>
        <v>MX</v>
      </c>
      <c r="M24" s="7" t="str">
        <f>IF('Port Bloomberg'!M24="","",'Port Bloomberg'!M24)</f>
        <v>USD</v>
      </c>
      <c r="N24" s="7">
        <f>IF('Port Bloomberg'!N24="","",'Port Bloomberg'!N24)</f>
        <v>1150000</v>
      </c>
      <c r="O24" s="7" t="str">
        <f>IF('Port Bloomberg'!O24="","",'Port Bloomberg'!O24)</f>
        <v>SINGLE</v>
      </c>
      <c r="P24" s="7">
        <f>IF('Port Bloomberg'!P24="","",'Port Bloomberg'!P24)</f>
        <v>4.375</v>
      </c>
      <c r="Q24" s="7" t="str">
        <f>IF('Port Bloomberg'!Q24="","",'Port Bloomberg'!Q24)</f>
        <v>BBB+</v>
      </c>
      <c r="R24" s="7" t="str">
        <f>IF('Port Bloomberg'!R24="","",'Port Bloomberg'!R24)</f>
        <v>07/16/2042</v>
      </c>
      <c r="S24" s="5">
        <f>IF(E24="","",IFERROR(IF(MATCH(E24,[1]Instrumentos!$D:$D,0)&gt;0,1,0),0))</f>
        <v>1</v>
      </c>
      <c r="T24" s="5">
        <f>IF(E24="","",IFERROR(IF(MATCH(E24,'Lista de excepciones'!$E:$E,0)&gt;0,1,0),0))</f>
        <v>0</v>
      </c>
      <c r="U24" s="6" t="str">
        <f t="shared" si="1"/>
        <v>NO</v>
      </c>
    </row>
    <row r="25" spans="1:21" hidden="1" x14ac:dyDescent="0.25">
      <c r="A25" s="7" t="str">
        <f>IF('Port Bloomberg'!A25="","",'Port Bloomberg'!A25)</f>
        <v>AMXLMM 4.7 07/21/32</v>
      </c>
      <c r="B25" s="7" t="str">
        <f>IF('Port Bloomberg'!B25="","",'Port Bloomberg'!B25)</f>
        <v>America Movil SAB de CV</v>
      </c>
      <c r="C25" s="7" t="str">
        <f>IF('Port Bloomberg'!C25="","",'Port Bloomberg'!C25)</f>
        <v>AMERICA MOVIL SA</v>
      </c>
      <c r="D25" s="7" t="str">
        <f>IF('Port Bloomberg'!D25="","",'Port Bloomberg'!D25)</f>
        <v>AMERICA MOVIL SAB DE CV</v>
      </c>
      <c r="E25" s="7" t="str">
        <f>IF('Port Bloomberg'!E25="","",'Port Bloomberg'!E25)</f>
        <v>US02364WBK09</v>
      </c>
      <c r="F25" s="7" t="str">
        <f>IF('Port Bloomberg'!F25="","",'Port Bloomberg'!F25)</f>
        <v>AMXLMM</v>
      </c>
      <c r="G25" s="7" t="str">
        <f>IF('Port Bloomberg'!G25="","",'Port Bloomberg'!G25)</f>
        <v>AMXB MM</v>
      </c>
      <c r="H25" s="7" t="str">
        <f>IF('Port Bloomberg'!H25="","",'Port Bloomberg'!H25)</f>
        <v>Telecommunications</v>
      </c>
      <c r="I25" s="7" t="str">
        <f>IF('Port Bloomberg'!I25="","",'Port Bloomberg'!I25)</f>
        <v>IND</v>
      </c>
      <c r="J25" s="7" t="str">
        <f>IF('Port Bloomberg'!J25="","",'Port Bloomberg'!J25)</f>
        <v>Cellular Telecom</v>
      </c>
      <c r="K25" s="7" t="str">
        <f>IF('Port Bloomberg'!K25="","",'Port Bloomberg'!K25)</f>
        <v>MX</v>
      </c>
      <c r="L25" s="7" t="str">
        <f>IF('Port Bloomberg'!L25="","",'Port Bloomberg'!L25)</f>
        <v>MX</v>
      </c>
      <c r="M25" s="7" t="str">
        <f>IF('Port Bloomberg'!M25="","",'Port Bloomberg'!M25)</f>
        <v>USD</v>
      </c>
      <c r="N25" s="7">
        <f>IF('Port Bloomberg'!N25="","",'Port Bloomberg'!N25)</f>
        <v>750000</v>
      </c>
      <c r="O25" s="7" t="str">
        <f>IF('Port Bloomberg'!O25="","",'Port Bloomberg'!O25)</f>
        <v>SINGLE</v>
      </c>
      <c r="P25" s="7">
        <f>IF('Port Bloomberg'!P25="","",'Port Bloomberg'!P25)</f>
        <v>4.7</v>
      </c>
      <c r="Q25" s="7" t="str">
        <f>IF('Port Bloomberg'!Q25="","",'Port Bloomberg'!Q25)</f>
        <v>BBB+</v>
      </c>
      <c r="R25" s="7" t="str">
        <f>IF('Port Bloomberg'!R25="","",'Port Bloomberg'!R25)</f>
        <v>07/21/2032</v>
      </c>
      <c r="S25" s="5">
        <f>IF(E25="","",IFERROR(IF(MATCH(E25,[1]Instrumentos!$D:$D,0)&gt;0,1,0),0))</f>
        <v>1</v>
      </c>
      <c r="T25" s="5">
        <f>IF(E25="","",IFERROR(IF(MATCH(E25,'Lista de excepciones'!$E:$E,0)&gt;0,1,0),0))</f>
        <v>0</v>
      </c>
      <c r="U25" s="6" t="str">
        <f t="shared" si="1"/>
        <v>NO</v>
      </c>
    </row>
    <row r="26" spans="1:21" hidden="1" x14ac:dyDescent="0.25">
      <c r="A26" s="7" t="str">
        <f>IF('Port Bloomberg'!A26="","",'Port Bloomberg'!A26)</f>
        <v>AMXLMM 5 01/20/33</v>
      </c>
      <c r="B26" s="7" t="str">
        <f>IF('Port Bloomberg'!B26="","",'Port Bloomberg'!B26)</f>
        <v>America Movil SAB de CV</v>
      </c>
      <c r="C26" s="7" t="str">
        <f>IF('Port Bloomberg'!C26="","",'Port Bloomberg'!C26)</f>
        <v>AMERICA MOVIL SA</v>
      </c>
      <c r="D26" s="7" t="str">
        <f>IF('Port Bloomberg'!D26="","",'Port Bloomberg'!D26)</f>
        <v>AMERICA MOVIL SAB DE CV</v>
      </c>
      <c r="E26" s="7" t="str">
        <f>IF('Port Bloomberg'!E26="","",'Port Bloomberg'!E26)</f>
        <v>US02364WBM64</v>
      </c>
      <c r="F26" s="7" t="str">
        <f>IF('Port Bloomberg'!F26="","",'Port Bloomberg'!F26)</f>
        <v>AMXLMM</v>
      </c>
      <c r="G26" s="7" t="str">
        <f>IF('Port Bloomberg'!G26="","",'Port Bloomberg'!G26)</f>
        <v>AMXB MM</v>
      </c>
      <c r="H26" s="7" t="str">
        <f>IF('Port Bloomberg'!H26="","",'Port Bloomberg'!H26)</f>
        <v>Telecommunications</v>
      </c>
      <c r="I26" s="7" t="str">
        <f>IF('Port Bloomberg'!I26="","",'Port Bloomberg'!I26)</f>
        <v>IND</v>
      </c>
      <c r="J26" s="7" t="str">
        <f>IF('Port Bloomberg'!J26="","",'Port Bloomberg'!J26)</f>
        <v>Cellular Telecom</v>
      </c>
      <c r="K26" s="7" t="str">
        <f>IF('Port Bloomberg'!K26="","",'Port Bloomberg'!K26)</f>
        <v>MX</v>
      </c>
      <c r="L26" s="7" t="str">
        <f>IF('Port Bloomberg'!L26="","",'Port Bloomberg'!L26)</f>
        <v>MX</v>
      </c>
      <c r="M26" s="7" t="str">
        <f>IF('Port Bloomberg'!M26="","",'Port Bloomberg'!M26)</f>
        <v>USD</v>
      </c>
      <c r="N26" s="7">
        <f>IF('Port Bloomberg'!N26="","",'Port Bloomberg'!N26)</f>
        <v>500000</v>
      </c>
      <c r="O26" s="7" t="str">
        <f>IF('Port Bloomberg'!O26="","",'Port Bloomberg'!O26)</f>
        <v>SINGLE</v>
      </c>
      <c r="P26" s="7">
        <f>IF('Port Bloomberg'!P26="","",'Port Bloomberg'!P26)</f>
        <v>5</v>
      </c>
      <c r="Q26" s="7" t="str">
        <f>IF('Port Bloomberg'!Q26="","",'Port Bloomberg'!Q26)</f>
        <v>BBB+</v>
      </c>
      <c r="R26" s="7" t="str">
        <f>IF('Port Bloomberg'!R26="","",'Port Bloomberg'!R26)</f>
        <v>01/20/2033</v>
      </c>
      <c r="S26" s="5">
        <f>IF(E26="","",IFERROR(IF(MATCH(E26,[1]Instrumentos!$D:$D,0)&gt;0,1,0),0))</f>
        <v>1</v>
      </c>
      <c r="T26" s="5">
        <f>IF(E26="","",IFERROR(IF(MATCH(E26,'Lista de excepciones'!$E:$E,0)&gt;0,1,0),0))</f>
        <v>0</v>
      </c>
      <c r="U26" s="6" t="str">
        <f t="shared" si="1"/>
        <v>NO</v>
      </c>
    </row>
    <row r="27" spans="1:21" hidden="1" x14ac:dyDescent="0.25">
      <c r="A27" s="7" t="str">
        <f>IF('Port Bloomberg'!A27="","",'Port Bloomberg'!A27)</f>
        <v>AMXLMM 6 ⅛ 03/30/40</v>
      </c>
      <c r="B27" s="7" t="str">
        <f>IF('Port Bloomberg'!B27="","",'Port Bloomberg'!B27)</f>
        <v>America Movil SAB de CV</v>
      </c>
      <c r="C27" s="7" t="str">
        <f>IF('Port Bloomberg'!C27="","",'Port Bloomberg'!C27)</f>
        <v>AMERICA MOVIL SA</v>
      </c>
      <c r="D27" s="7" t="str">
        <f>IF('Port Bloomberg'!D27="","",'Port Bloomberg'!D27)</f>
        <v>AMERICA MOVIL SAB DE CV</v>
      </c>
      <c r="E27" s="7" t="str">
        <f>IF('Port Bloomberg'!E27="","",'Port Bloomberg'!E27)</f>
        <v>US02364WAW55</v>
      </c>
      <c r="F27" s="7" t="str">
        <f>IF('Port Bloomberg'!F27="","",'Port Bloomberg'!F27)</f>
        <v>AMXLMM</v>
      </c>
      <c r="G27" s="7" t="str">
        <f>IF('Port Bloomberg'!G27="","",'Port Bloomberg'!G27)</f>
        <v>AMXB MM</v>
      </c>
      <c r="H27" s="7" t="str">
        <f>IF('Port Bloomberg'!H27="","",'Port Bloomberg'!H27)</f>
        <v>Telecommunications</v>
      </c>
      <c r="I27" s="7" t="str">
        <f>IF('Port Bloomberg'!I27="","",'Port Bloomberg'!I27)</f>
        <v>IND</v>
      </c>
      <c r="J27" s="7" t="str">
        <f>IF('Port Bloomberg'!J27="","",'Port Bloomberg'!J27)</f>
        <v>Cellular Telecom</v>
      </c>
      <c r="K27" s="7" t="str">
        <f>IF('Port Bloomberg'!K27="","",'Port Bloomberg'!K27)</f>
        <v>MX</v>
      </c>
      <c r="L27" s="7" t="str">
        <f>IF('Port Bloomberg'!L27="","",'Port Bloomberg'!L27)</f>
        <v>MX</v>
      </c>
      <c r="M27" s="7" t="str">
        <f>IF('Port Bloomberg'!M27="","",'Port Bloomberg'!M27)</f>
        <v>USD</v>
      </c>
      <c r="N27" s="7">
        <f>IF('Port Bloomberg'!N27="","",'Port Bloomberg'!N27)</f>
        <v>2000000</v>
      </c>
      <c r="O27" s="7" t="str">
        <f>IF('Port Bloomberg'!O27="","",'Port Bloomberg'!O27)</f>
        <v>SINGLE</v>
      </c>
      <c r="P27" s="7">
        <f>IF('Port Bloomberg'!P27="","",'Port Bloomberg'!P27)</f>
        <v>6.125</v>
      </c>
      <c r="Q27" s="7" t="str">
        <f>IF('Port Bloomberg'!Q27="","",'Port Bloomberg'!Q27)</f>
        <v>BBB+</v>
      </c>
      <c r="R27" s="7" t="str">
        <f>IF('Port Bloomberg'!R27="","",'Port Bloomberg'!R27)</f>
        <v>03/30/2040</v>
      </c>
      <c r="S27" s="5">
        <f>IF(E27="","",IFERROR(IF(MATCH(E27,[1]Instrumentos!$D:$D,0)&gt;0,1,0),0))</f>
        <v>1</v>
      </c>
      <c r="T27" s="5">
        <f>IF(E27="","",IFERROR(IF(MATCH(E27,'Lista de excepciones'!$E:$E,0)&gt;0,1,0),0))</f>
        <v>0</v>
      </c>
      <c r="U27" s="6" t="str">
        <f t="shared" si="1"/>
        <v>NO</v>
      </c>
    </row>
    <row r="28" spans="1:21" hidden="1" x14ac:dyDescent="0.25">
      <c r="A28" s="7" t="str">
        <f>IF('Port Bloomberg'!A28="","",'Port Bloomberg'!A28)</f>
        <v>AMXLMM 6 ⅛ 11/15/37</v>
      </c>
      <c r="B28" s="7" t="str">
        <f>IF('Port Bloomberg'!B28="","",'Port Bloomberg'!B28)</f>
        <v>America Movil SAB de CV</v>
      </c>
      <c r="C28" s="7" t="str">
        <f>IF('Port Bloomberg'!C28="","",'Port Bloomberg'!C28)</f>
        <v>AMERICA MOVIL SA</v>
      </c>
      <c r="D28" s="7" t="str">
        <f>IF('Port Bloomberg'!D28="","",'Port Bloomberg'!D28)</f>
        <v>AMERICA MOVIL SAB DE CV</v>
      </c>
      <c r="E28" s="7" t="str">
        <f>IF('Port Bloomberg'!E28="","",'Port Bloomberg'!E28)</f>
        <v>US02364WAP05</v>
      </c>
      <c r="F28" s="7" t="str">
        <f>IF('Port Bloomberg'!F28="","",'Port Bloomberg'!F28)</f>
        <v>AMXLMM</v>
      </c>
      <c r="G28" s="7" t="str">
        <f>IF('Port Bloomberg'!G28="","",'Port Bloomberg'!G28)</f>
        <v>AMXB MM</v>
      </c>
      <c r="H28" s="7" t="str">
        <f>IF('Port Bloomberg'!H28="","",'Port Bloomberg'!H28)</f>
        <v>Telecommunications</v>
      </c>
      <c r="I28" s="7" t="str">
        <f>IF('Port Bloomberg'!I28="","",'Port Bloomberg'!I28)</f>
        <v>IND</v>
      </c>
      <c r="J28" s="7" t="str">
        <f>IF('Port Bloomberg'!J28="","",'Port Bloomberg'!J28)</f>
        <v>Cellular Telecom</v>
      </c>
      <c r="K28" s="7" t="str">
        <f>IF('Port Bloomberg'!K28="","",'Port Bloomberg'!K28)</f>
        <v>MX</v>
      </c>
      <c r="L28" s="7" t="str">
        <f>IF('Port Bloomberg'!L28="","",'Port Bloomberg'!L28)</f>
        <v>MX</v>
      </c>
      <c r="M28" s="7" t="str">
        <f>IF('Port Bloomberg'!M28="","",'Port Bloomberg'!M28)</f>
        <v>USD</v>
      </c>
      <c r="N28" s="7">
        <f>IF('Port Bloomberg'!N28="","",'Port Bloomberg'!N28)</f>
        <v>400000</v>
      </c>
      <c r="O28" s="7" t="str">
        <f>IF('Port Bloomberg'!O28="","",'Port Bloomberg'!O28)</f>
        <v>SINGLE</v>
      </c>
      <c r="P28" s="7">
        <f>IF('Port Bloomberg'!P28="","",'Port Bloomberg'!P28)</f>
        <v>6.125</v>
      </c>
      <c r="Q28" s="7" t="str">
        <f>IF('Port Bloomberg'!Q28="","",'Port Bloomberg'!Q28)</f>
        <v>BBB+</v>
      </c>
      <c r="R28" s="7" t="str">
        <f>IF('Port Bloomberg'!R28="","",'Port Bloomberg'!R28)</f>
        <v>11/15/2037</v>
      </c>
      <c r="S28" s="5">
        <f>IF(E28="","",IFERROR(IF(MATCH(E28,[1]Instrumentos!$D:$D,0)&gt;0,1,0),0))</f>
        <v>1</v>
      </c>
      <c r="T28" s="5">
        <f>IF(E28="","",IFERROR(IF(MATCH(E28,'Lista de excepciones'!$E:$E,0)&gt;0,1,0),0))</f>
        <v>0</v>
      </c>
      <c r="U28" s="6" t="str">
        <f t="shared" si="1"/>
        <v>NO</v>
      </c>
    </row>
    <row r="29" spans="1:21" hidden="1" x14ac:dyDescent="0.25">
      <c r="A29" s="7" t="str">
        <f>IF('Port Bloomberg'!A29="","",'Port Bloomberg'!A29)</f>
        <v>AMXLMM 6 ⅜ 03/01/35</v>
      </c>
      <c r="B29" s="7" t="str">
        <f>IF('Port Bloomberg'!B29="","",'Port Bloomberg'!B29)</f>
        <v>America Movil SAB de CV</v>
      </c>
      <c r="C29" s="7" t="str">
        <f>IF('Port Bloomberg'!C29="","",'Port Bloomberg'!C29)</f>
        <v>AMERICA MOVIL SA</v>
      </c>
      <c r="D29" s="7" t="str">
        <f>IF('Port Bloomberg'!D29="","",'Port Bloomberg'!D29)</f>
        <v>AMERICA MOVIL SAB DE CV</v>
      </c>
      <c r="E29" s="7" t="str">
        <f>IF('Port Bloomberg'!E29="","",'Port Bloomberg'!E29)</f>
        <v>US02364WAJ45</v>
      </c>
      <c r="F29" s="7" t="str">
        <f>IF('Port Bloomberg'!F29="","",'Port Bloomberg'!F29)</f>
        <v>AMXLMM</v>
      </c>
      <c r="G29" s="7" t="str">
        <f>IF('Port Bloomberg'!G29="","",'Port Bloomberg'!G29)</f>
        <v>AMXB MM</v>
      </c>
      <c r="H29" s="7" t="str">
        <f>IF('Port Bloomberg'!H29="","",'Port Bloomberg'!H29)</f>
        <v>Telecommunications</v>
      </c>
      <c r="I29" s="7" t="str">
        <f>IF('Port Bloomberg'!I29="","",'Port Bloomberg'!I29)</f>
        <v>IND</v>
      </c>
      <c r="J29" s="7" t="str">
        <f>IF('Port Bloomberg'!J29="","",'Port Bloomberg'!J29)</f>
        <v>Cellular Telecom</v>
      </c>
      <c r="K29" s="7" t="str">
        <f>IF('Port Bloomberg'!K29="","",'Port Bloomberg'!K29)</f>
        <v>MX</v>
      </c>
      <c r="L29" s="7" t="str">
        <f>IF('Port Bloomberg'!L29="","",'Port Bloomberg'!L29)</f>
        <v>MX</v>
      </c>
      <c r="M29" s="7" t="str">
        <f>IF('Port Bloomberg'!M29="","",'Port Bloomberg'!M29)</f>
        <v>USD</v>
      </c>
      <c r="N29" s="7">
        <f>IF('Port Bloomberg'!N29="","",'Port Bloomberg'!N29)</f>
        <v>1000000</v>
      </c>
      <c r="O29" s="7" t="str">
        <f>IF('Port Bloomberg'!O29="","",'Port Bloomberg'!O29)</f>
        <v>SINGLE</v>
      </c>
      <c r="P29" s="7">
        <f>IF('Port Bloomberg'!P29="","",'Port Bloomberg'!P29)</f>
        <v>6.375</v>
      </c>
      <c r="Q29" s="7" t="str">
        <f>IF('Port Bloomberg'!Q29="","",'Port Bloomberg'!Q29)</f>
        <v>BBB+</v>
      </c>
      <c r="R29" s="7" t="str">
        <f>IF('Port Bloomberg'!R29="","",'Port Bloomberg'!R29)</f>
        <v>03/01/2035</v>
      </c>
      <c r="S29" s="5">
        <f>IF(E29="","",IFERROR(IF(MATCH(E29,[1]Instrumentos!$D:$D,0)&gt;0,1,0),0))</f>
        <v>1</v>
      </c>
      <c r="T29" s="5">
        <f>IF(E29="","",IFERROR(IF(MATCH(E29,'Lista de excepciones'!$E:$E,0)&gt;0,1,0),0))</f>
        <v>0</v>
      </c>
      <c r="U29" s="6" t="str">
        <f t="shared" si="1"/>
        <v>NO</v>
      </c>
    </row>
    <row r="30" spans="1:21" hidden="1" x14ac:dyDescent="0.25">
      <c r="A30" s="7" t="str">
        <f>IF('Port Bloomberg'!A30="","",'Port Bloomberg'!A30)</f>
        <v>ANDINA 3.95 01/21/50</v>
      </c>
      <c r="B30" s="7" t="str">
        <f>IF('Port Bloomberg'!B30="","",'Port Bloomberg'!B30)</f>
        <v>Embotelladora Andina SA</v>
      </c>
      <c r="C30" s="7" t="str">
        <f>IF('Port Bloomberg'!C30="","",'Port Bloomberg'!C30)</f>
        <v>EMBOT ANDINA SA</v>
      </c>
      <c r="D30" s="7" t="str">
        <f>IF('Port Bloomberg'!D30="","",'Port Bloomberg'!D30)</f>
        <v>EMBOTELLADORA ANDINA SA</v>
      </c>
      <c r="E30" s="7" t="str">
        <f>IF('Port Bloomberg'!E30="","",'Port Bloomberg'!E30)</f>
        <v>USP3697UAE84</v>
      </c>
      <c r="F30" s="7" t="str">
        <f>IF('Port Bloomberg'!F30="","",'Port Bloomberg'!F30)</f>
        <v>ANDINA</v>
      </c>
      <c r="G30" s="7" t="str">
        <f>IF('Port Bloomberg'!G30="","",'Port Bloomberg'!G30)</f>
        <v>ANDINAA CI</v>
      </c>
      <c r="H30" s="7" t="str">
        <f>IF('Port Bloomberg'!H30="","",'Port Bloomberg'!H30)</f>
        <v>Beverages</v>
      </c>
      <c r="I30" s="7" t="str">
        <f>IF('Port Bloomberg'!I30="","",'Port Bloomberg'!I30)</f>
        <v>IND</v>
      </c>
      <c r="J30" s="7" t="str">
        <f>IF('Port Bloomberg'!J30="","",'Port Bloomberg'!J30)</f>
        <v>Beverages-Non-alcoholic</v>
      </c>
      <c r="K30" s="7" t="str">
        <f>IF('Port Bloomberg'!K30="","",'Port Bloomberg'!K30)</f>
        <v>CL</v>
      </c>
      <c r="L30" s="7" t="str">
        <f>IF('Port Bloomberg'!L30="","",'Port Bloomberg'!L30)</f>
        <v>CL</v>
      </c>
      <c r="M30" s="7" t="str">
        <f>IF('Port Bloomberg'!M30="","",'Port Bloomberg'!M30)</f>
        <v>USD</v>
      </c>
      <c r="N30" s="7">
        <f>IF('Port Bloomberg'!N30="","",'Port Bloomberg'!N30)</f>
        <v>300000</v>
      </c>
      <c r="O30" s="7" t="str">
        <f>IF('Port Bloomberg'!O30="","",'Port Bloomberg'!O30)</f>
        <v>SINGLE</v>
      </c>
      <c r="P30" s="7">
        <f>IF('Port Bloomberg'!P30="","",'Port Bloomberg'!P30)</f>
        <v>3.95</v>
      </c>
      <c r="Q30" s="7" t="str">
        <f>IF('Port Bloomberg'!Q30="","",'Port Bloomberg'!Q30)</f>
        <v>NR</v>
      </c>
      <c r="R30" s="7" t="str">
        <f>IF('Port Bloomberg'!R30="","",'Port Bloomberg'!R30)</f>
        <v>01/21/2050</v>
      </c>
      <c r="S30" s="5">
        <f>IF(E30="","",IFERROR(IF(MATCH(E30,[1]Instrumentos!$D:$D,0)&gt;0,1,0),0))</f>
        <v>1</v>
      </c>
      <c r="T30" s="5">
        <f>IF(E30="","",IFERROR(IF(MATCH(E30,'Lista de excepciones'!$E:$E,0)&gt;0,1,0),0))</f>
        <v>0</v>
      </c>
      <c r="U30" s="6" t="str">
        <f t="shared" si="1"/>
        <v>NO</v>
      </c>
    </row>
    <row r="31" spans="1:21" hidden="1" x14ac:dyDescent="0.25">
      <c r="A31" s="7" t="str">
        <f>IF('Port Bloomberg'!A31="","",'Port Bloomberg'!A31)</f>
        <v>ANTOLN 2 ⅜ 10/14/30</v>
      </c>
      <c r="B31" s="7" t="str">
        <f>IF('Port Bloomberg'!B31="","",'Port Bloomberg'!B31)</f>
        <v>Antofagasta PLC</v>
      </c>
      <c r="C31" s="7" t="str">
        <f>IF('Port Bloomberg'!C31="","",'Port Bloomberg'!C31)</f>
        <v>ANTOFAGASTA</v>
      </c>
      <c r="D31" s="7" t="str">
        <f>IF('Port Bloomberg'!D31="","",'Port Bloomberg'!D31)</f>
        <v>ANTOFAGASTA PLC</v>
      </c>
      <c r="E31" s="7" t="str">
        <f>IF('Port Bloomberg'!E31="","",'Port Bloomberg'!E31)</f>
        <v>USG0398NZ620</v>
      </c>
      <c r="F31" s="7" t="str">
        <f>IF('Port Bloomberg'!F31="","",'Port Bloomberg'!F31)</f>
        <v>ANTOLN</v>
      </c>
      <c r="G31" s="7" t="str">
        <f>IF('Port Bloomberg'!G31="","",'Port Bloomberg'!G31)</f>
        <v>ANTO LN</v>
      </c>
      <c r="H31" s="7" t="str">
        <f>IF('Port Bloomberg'!H31="","",'Port Bloomberg'!H31)</f>
        <v>Mining</v>
      </c>
      <c r="I31" s="7" t="str">
        <f>IF('Port Bloomberg'!I31="","",'Port Bloomberg'!I31)</f>
        <v>IND</v>
      </c>
      <c r="J31" s="7" t="str">
        <f>IF('Port Bloomberg'!J31="","",'Port Bloomberg'!J31)</f>
        <v>Metal-Copper</v>
      </c>
      <c r="K31" s="7" t="str">
        <f>IF('Port Bloomberg'!K31="","",'Port Bloomberg'!K31)</f>
        <v>CL</v>
      </c>
      <c r="L31" s="7" t="str">
        <f>IF('Port Bloomberg'!L31="","",'Port Bloomberg'!L31)</f>
        <v>CL</v>
      </c>
      <c r="M31" s="7" t="str">
        <f>IF('Port Bloomberg'!M31="","",'Port Bloomberg'!M31)</f>
        <v>USD</v>
      </c>
      <c r="N31" s="7">
        <f>IF('Port Bloomberg'!N31="","",'Port Bloomberg'!N31)</f>
        <v>500000</v>
      </c>
      <c r="O31" s="7" t="str">
        <f>IF('Port Bloomberg'!O31="","",'Port Bloomberg'!O31)</f>
        <v>SINGLE</v>
      </c>
      <c r="P31" s="7">
        <f>IF('Port Bloomberg'!P31="","",'Port Bloomberg'!P31)</f>
        <v>2.375</v>
      </c>
      <c r="Q31" s="7" t="str">
        <f>IF('Port Bloomberg'!Q31="","",'Port Bloomberg'!Q31)</f>
        <v>BBB</v>
      </c>
      <c r="R31" s="7" t="str">
        <f>IF('Port Bloomberg'!R31="","",'Port Bloomberg'!R31)</f>
        <v>10/14/2030</v>
      </c>
      <c r="S31" s="5">
        <f>IF(E31="","",IFERROR(IF(MATCH(E31,[1]Instrumentos!$D:$D,0)&gt;0,1,0),0))</f>
        <v>1</v>
      </c>
      <c r="T31" s="5">
        <f>IF(E31="","",IFERROR(IF(MATCH(E31,'Lista de excepciones'!$E:$E,0)&gt;0,1,0),0))</f>
        <v>0</v>
      </c>
      <c r="U31" s="6" t="str">
        <f t="shared" si="1"/>
        <v>NO</v>
      </c>
    </row>
    <row r="32" spans="1:21" hidden="1" x14ac:dyDescent="0.25">
      <c r="A32" s="7" t="str">
        <f>IF('Port Bloomberg'!A32="","",'Port Bloomberg'!A32)</f>
        <v>ANTOLN 5 ⅝ 05/13/32</v>
      </c>
      <c r="B32" s="7" t="str">
        <f>IF('Port Bloomberg'!B32="","",'Port Bloomberg'!B32)</f>
        <v>Antofagasta PLC</v>
      </c>
      <c r="C32" s="7" t="str">
        <f>IF('Port Bloomberg'!C32="","",'Port Bloomberg'!C32)</f>
        <v>ANTOFAGASTA</v>
      </c>
      <c r="D32" s="7" t="str">
        <f>IF('Port Bloomberg'!D32="","",'Port Bloomberg'!D32)</f>
        <v>ANTOFAGASTA PLC</v>
      </c>
      <c r="E32" s="7" t="str">
        <f>IF('Port Bloomberg'!E32="","",'Port Bloomberg'!E32)</f>
        <v>USG0399BAA55</v>
      </c>
      <c r="F32" s="7" t="str">
        <f>IF('Port Bloomberg'!F32="","",'Port Bloomberg'!F32)</f>
        <v>ANTOLN</v>
      </c>
      <c r="G32" s="7" t="str">
        <f>IF('Port Bloomberg'!G32="","",'Port Bloomberg'!G32)</f>
        <v>ANTO LN</v>
      </c>
      <c r="H32" s="7" t="str">
        <f>IF('Port Bloomberg'!H32="","",'Port Bloomberg'!H32)</f>
        <v>Mining</v>
      </c>
      <c r="I32" s="7" t="str">
        <f>IF('Port Bloomberg'!I32="","",'Port Bloomberg'!I32)</f>
        <v>IND</v>
      </c>
      <c r="J32" s="7" t="str">
        <f>IF('Port Bloomberg'!J32="","",'Port Bloomberg'!J32)</f>
        <v>Metal-Copper</v>
      </c>
      <c r="K32" s="7" t="str">
        <f>IF('Port Bloomberg'!K32="","",'Port Bloomberg'!K32)</f>
        <v>CL</v>
      </c>
      <c r="L32" s="7" t="str">
        <f>IF('Port Bloomberg'!L32="","",'Port Bloomberg'!L32)</f>
        <v>CL</v>
      </c>
      <c r="M32" s="7" t="str">
        <f>IF('Port Bloomberg'!M32="","",'Port Bloomberg'!M32)</f>
        <v>USD</v>
      </c>
      <c r="N32" s="7">
        <f>IF('Port Bloomberg'!N32="","",'Port Bloomberg'!N32)</f>
        <v>500000</v>
      </c>
      <c r="O32" s="7" t="str">
        <f>IF('Port Bloomberg'!O32="","",'Port Bloomberg'!O32)</f>
        <v>SINGLE</v>
      </c>
      <c r="P32" s="7">
        <f>IF('Port Bloomberg'!P32="","",'Port Bloomberg'!P32)</f>
        <v>5.625</v>
      </c>
      <c r="Q32" s="7" t="str">
        <f>IF('Port Bloomberg'!Q32="","",'Port Bloomberg'!Q32)</f>
        <v>BBB</v>
      </c>
      <c r="R32" s="7" t="str">
        <f>IF('Port Bloomberg'!R32="","",'Port Bloomberg'!R32)</f>
        <v>05/13/2032</v>
      </c>
      <c r="S32" s="5">
        <f>IF(E32="","",IFERROR(IF(MATCH(E32,[1]Instrumentos!$D:$D,0)&gt;0,1,0),0))</f>
        <v>1</v>
      </c>
      <c r="T32" s="5">
        <f>IF(E32="","",IFERROR(IF(MATCH(E32,'Lista de excepciones'!$E:$E,0)&gt;0,1,0),0))</f>
        <v>0</v>
      </c>
      <c r="U32" s="6" t="str">
        <f t="shared" si="1"/>
        <v>NO</v>
      </c>
    </row>
    <row r="33" spans="1:21" hidden="1" x14ac:dyDescent="0.25">
      <c r="A33" s="7" t="str">
        <f>IF('Port Bloomberg'!A33="","",'Port Bloomberg'!A33)</f>
        <v>ANTOLN 5 ⅝ 09/09/35</v>
      </c>
      <c r="B33" s="7" t="str">
        <f>IF('Port Bloomberg'!B33="","",'Port Bloomberg'!B33)</f>
        <v>Antofagasta PLC</v>
      </c>
      <c r="C33" s="7" t="str">
        <f>IF('Port Bloomberg'!C33="","",'Port Bloomberg'!C33)</f>
        <v>ANTOFAGASTA</v>
      </c>
      <c r="D33" s="7" t="str">
        <f>IF('Port Bloomberg'!D33="","",'Port Bloomberg'!D33)</f>
        <v>ANTOFAGASTA PLC</v>
      </c>
      <c r="E33" s="7" t="str">
        <f>IF('Port Bloomberg'!E33="","",'Port Bloomberg'!E33)</f>
        <v>USG0399BAC12</v>
      </c>
      <c r="F33" s="7" t="str">
        <f>IF('Port Bloomberg'!F33="","",'Port Bloomberg'!F33)</f>
        <v>ANTOLN</v>
      </c>
      <c r="G33" s="7" t="str">
        <f>IF('Port Bloomberg'!G33="","",'Port Bloomberg'!G33)</f>
        <v>ANTO LN</v>
      </c>
      <c r="H33" s="7" t="str">
        <f>IF('Port Bloomberg'!H33="","",'Port Bloomberg'!H33)</f>
        <v>Mining</v>
      </c>
      <c r="I33" s="7" t="str">
        <f>IF('Port Bloomberg'!I33="","",'Port Bloomberg'!I33)</f>
        <v>IND</v>
      </c>
      <c r="J33" s="7" t="str">
        <f>IF('Port Bloomberg'!J33="","",'Port Bloomberg'!J33)</f>
        <v>Metal-Copper</v>
      </c>
      <c r="K33" s="7" t="str">
        <f>IF('Port Bloomberg'!K33="","",'Port Bloomberg'!K33)</f>
        <v>CL</v>
      </c>
      <c r="L33" s="7" t="str">
        <f>IF('Port Bloomberg'!L33="","",'Port Bloomberg'!L33)</f>
        <v>CL</v>
      </c>
      <c r="M33" s="7" t="str">
        <f>IF('Port Bloomberg'!M33="","",'Port Bloomberg'!M33)</f>
        <v>USD</v>
      </c>
      <c r="N33" s="7">
        <f>IF('Port Bloomberg'!N33="","",'Port Bloomberg'!N33)</f>
        <v>600000</v>
      </c>
      <c r="O33" s="7" t="str">
        <f>IF('Port Bloomberg'!O33="","",'Port Bloomberg'!O33)</f>
        <v>SINGLE</v>
      </c>
      <c r="P33" s="7">
        <f>IF('Port Bloomberg'!P33="","",'Port Bloomberg'!P33)</f>
        <v>5.625</v>
      </c>
      <c r="Q33" s="7" t="str">
        <f>IF('Port Bloomberg'!Q33="","",'Port Bloomberg'!Q33)</f>
        <v>BBB</v>
      </c>
      <c r="R33" s="7" t="str">
        <f>IF('Port Bloomberg'!R33="","",'Port Bloomberg'!R33)</f>
        <v>09/09/2035</v>
      </c>
      <c r="S33" s="5">
        <f>IF(E33="","",IFERROR(IF(MATCH(E33,[1]Instrumentos!$D:$D,0)&gt;0,1,0),0))</f>
        <v>1</v>
      </c>
      <c r="T33" s="5">
        <f>IF(E33="","",IFERROR(IF(MATCH(E33,'Lista de excepciones'!$E:$E,0)&gt;0,1,0),0))</f>
        <v>0</v>
      </c>
      <c r="U33" s="6" t="str">
        <f t="shared" si="1"/>
        <v>NO</v>
      </c>
    </row>
    <row r="34" spans="1:21" hidden="1" x14ac:dyDescent="0.25">
      <c r="A34" s="7" t="str">
        <f>IF('Port Bloomberg'!A34="","",'Port Bloomberg'!A34)</f>
        <v>ANTOLN 6 ¼ 05/02/34</v>
      </c>
      <c r="B34" s="7" t="str">
        <f>IF('Port Bloomberg'!B34="","",'Port Bloomberg'!B34)</f>
        <v>Antofagasta PLC</v>
      </c>
      <c r="C34" s="7" t="str">
        <f>IF('Port Bloomberg'!C34="","",'Port Bloomberg'!C34)</f>
        <v>ANTOFAGASTA</v>
      </c>
      <c r="D34" s="7" t="str">
        <f>IF('Port Bloomberg'!D34="","",'Port Bloomberg'!D34)</f>
        <v>ANTOFAGASTA PLC</v>
      </c>
      <c r="E34" s="7" t="str">
        <f>IF('Port Bloomberg'!E34="","",'Port Bloomberg'!E34)</f>
        <v>USG0399BAB39</v>
      </c>
      <c r="F34" s="7" t="str">
        <f>IF('Port Bloomberg'!F34="","",'Port Bloomberg'!F34)</f>
        <v>ANTOLN</v>
      </c>
      <c r="G34" s="7" t="str">
        <f>IF('Port Bloomberg'!G34="","",'Port Bloomberg'!G34)</f>
        <v>ANTO LN</v>
      </c>
      <c r="H34" s="7" t="str">
        <f>IF('Port Bloomberg'!H34="","",'Port Bloomberg'!H34)</f>
        <v>Mining</v>
      </c>
      <c r="I34" s="7" t="str">
        <f>IF('Port Bloomberg'!I34="","",'Port Bloomberg'!I34)</f>
        <v>IND</v>
      </c>
      <c r="J34" s="7" t="str">
        <f>IF('Port Bloomberg'!J34="","",'Port Bloomberg'!J34)</f>
        <v>Metal-Copper</v>
      </c>
      <c r="K34" s="7" t="str">
        <f>IF('Port Bloomberg'!K34="","",'Port Bloomberg'!K34)</f>
        <v>CL</v>
      </c>
      <c r="L34" s="7" t="str">
        <f>IF('Port Bloomberg'!L34="","",'Port Bloomberg'!L34)</f>
        <v>CL</v>
      </c>
      <c r="M34" s="7" t="str">
        <f>IF('Port Bloomberg'!M34="","",'Port Bloomberg'!M34)</f>
        <v>USD</v>
      </c>
      <c r="N34" s="7">
        <f>IF('Port Bloomberg'!N34="","",'Port Bloomberg'!N34)</f>
        <v>750000</v>
      </c>
      <c r="O34" s="7" t="str">
        <f>IF('Port Bloomberg'!O34="","",'Port Bloomberg'!O34)</f>
        <v>SINGLE</v>
      </c>
      <c r="P34" s="7">
        <f>IF('Port Bloomberg'!P34="","",'Port Bloomberg'!P34)</f>
        <v>6.25</v>
      </c>
      <c r="Q34" s="7" t="str">
        <f>IF('Port Bloomberg'!Q34="","",'Port Bloomberg'!Q34)</f>
        <v>BBB</v>
      </c>
      <c r="R34" s="7" t="str">
        <f>IF('Port Bloomberg'!R34="","",'Port Bloomberg'!R34)</f>
        <v>05/02/2034</v>
      </c>
      <c r="S34" s="5">
        <f>IF(E34="","",IFERROR(IF(MATCH(E34,[1]Instrumentos!$D:$D,0)&gt;0,1,0),0))</f>
        <v>1</v>
      </c>
      <c r="T34" s="5">
        <f>IF(E34="","",IFERROR(IF(MATCH(E34,'Lista de excepciones'!$E:$E,0)&gt;0,1,0),0))</f>
        <v>0</v>
      </c>
      <c r="U34" s="6" t="str">
        <f t="shared" si="1"/>
        <v>NO</v>
      </c>
    </row>
    <row r="35" spans="1:21" hidden="1" x14ac:dyDescent="0.25">
      <c r="A35" s="7" t="str">
        <f>IF('Port Bloomberg'!A35="","",'Port Bloomberg'!A35)</f>
        <v>ARCO 6 ⅜ 01/29/32</v>
      </c>
      <c r="B35" s="7" t="str">
        <f>IF('Port Bloomberg'!B35="","",'Port Bloomberg'!B35)</f>
        <v>Arcos Dorados BV</v>
      </c>
      <c r="C35" s="7" t="str">
        <f>IF('Port Bloomberg'!C35="","",'Port Bloomberg'!C35)</f>
        <v>ARCOS DORADOS BV</v>
      </c>
      <c r="D35" s="7" t="str">
        <f>IF('Port Bloomberg'!D35="","",'Port Bloomberg'!D35)</f>
        <v>ARCOS DORADOS BV</v>
      </c>
      <c r="E35" s="7" t="str">
        <f>IF('Port Bloomberg'!E35="","",'Port Bloomberg'!E35)</f>
        <v>USP04568AC88</v>
      </c>
      <c r="F35" s="7" t="str">
        <f>IF('Port Bloomberg'!F35="","",'Port Bloomberg'!F35)</f>
        <v>ARCO</v>
      </c>
      <c r="G35" s="7" t="str">
        <f>IF('Port Bloomberg'!G35="","",'Port Bloomberg'!G35)</f>
        <v>ARCO US</v>
      </c>
      <c r="H35" s="7" t="str">
        <f>IF('Port Bloomberg'!H35="","",'Port Bloomberg'!H35)</f>
        <v>Retail</v>
      </c>
      <c r="I35" s="7" t="str">
        <f>IF('Port Bloomberg'!I35="","",'Port Bloomberg'!I35)</f>
        <v>IND</v>
      </c>
      <c r="J35" s="7" t="str">
        <f>IF('Port Bloomberg'!J35="","",'Port Bloomberg'!J35)</f>
        <v>Retail-Restaurants</v>
      </c>
      <c r="K35" s="7" t="str">
        <f>IF('Port Bloomberg'!K35="","",'Port Bloomberg'!K35)</f>
        <v>NL</v>
      </c>
      <c r="L35" s="7" t="str">
        <f>IF('Port Bloomberg'!L35="","",'Port Bloomberg'!L35)</f>
        <v>BR</v>
      </c>
      <c r="M35" s="7" t="str">
        <f>IF('Port Bloomberg'!M35="","",'Port Bloomberg'!M35)</f>
        <v>USD</v>
      </c>
      <c r="N35" s="7">
        <f>IF('Port Bloomberg'!N35="","",'Port Bloomberg'!N35)</f>
        <v>600000</v>
      </c>
      <c r="O35" s="7" t="str">
        <f>IF('Port Bloomberg'!O35="","",'Port Bloomberg'!O35)</f>
        <v>SINGLE</v>
      </c>
      <c r="P35" s="7">
        <f>IF('Port Bloomberg'!P35="","",'Port Bloomberg'!P35)</f>
        <v>6.375</v>
      </c>
      <c r="Q35" s="7" t="str">
        <f>IF('Port Bloomberg'!Q35="","",'Port Bloomberg'!Q35)</f>
        <v>BBB-</v>
      </c>
      <c r="R35" s="7" t="str">
        <f>IF('Port Bloomberg'!R35="","",'Port Bloomberg'!R35)</f>
        <v>01/29/2032</v>
      </c>
      <c r="S35" s="5">
        <f>IF(E35="","",IFERROR(IF(MATCH(E35,[1]Instrumentos!$D:$D,0)&gt;0,1,0),0))</f>
        <v>1</v>
      </c>
      <c r="T35" s="5">
        <f>IF(E35="","",IFERROR(IF(MATCH(E35,'Lista de excepciones'!$E:$E,0)&gt;0,1,0),0))</f>
        <v>0</v>
      </c>
      <c r="U35" s="6" t="str">
        <f t="shared" si="1"/>
        <v>NO</v>
      </c>
    </row>
    <row r="36" spans="1:21" hidden="1" x14ac:dyDescent="0.25">
      <c r="A36" s="7" t="str">
        <f>IF('Port Bloomberg'!A36="","",'Port Bloomberg'!A36)</f>
        <v>ARISCN 8 10/31/29</v>
      </c>
      <c r="B36" s="7" t="str">
        <f>IF('Port Bloomberg'!B36="","",'Port Bloomberg'!B36)</f>
        <v>Aris Mining Corp</v>
      </c>
      <c r="C36" s="7" t="str">
        <f>IF('Port Bloomberg'!C36="","",'Port Bloomberg'!C36)</f>
        <v>ARIS MINING</v>
      </c>
      <c r="D36" s="7" t="str">
        <f>IF('Port Bloomberg'!D36="","",'Port Bloomberg'!D36)</f>
        <v>ARIS MINING CORP</v>
      </c>
      <c r="E36" s="7" t="str">
        <f>IF('Port Bloomberg'!E36="","",'Port Bloomberg'!E36)</f>
        <v>USC04492AA97</v>
      </c>
      <c r="F36" s="7" t="str">
        <f>IF('Port Bloomberg'!F36="","",'Port Bloomberg'!F36)</f>
        <v>ARISCN</v>
      </c>
      <c r="G36" s="7" t="str">
        <f>IF('Port Bloomberg'!G36="","",'Port Bloomberg'!G36)</f>
        <v>ARIS CN</v>
      </c>
      <c r="H36" s="7" t="str">
        <f>IF('Port Bloomberg'!H36="","",'Port Bloomberg'!H36)</f>
        <v>Mining</v>
      </c>
      <c r="I36" s="7" t="str">
        <f>IF('Port Bloomberg'!I36="","",'Port Bloomberg'!I36)</f>
        <v>IND</v>
      </c>
      <c r="J36" s="7" t="str">
        <f>IF('Port Bloomberg'!J36="","",'Port Bloomberg'!J36)</f>
        <v>Gold Mining</v>
      </c>
      <c r="K36" s="7" t="str">
        <f>IF('Port Bloomberg'!K36="","",'Port Bloomberg'!K36)</f>
        <v>CA</v>
      </c>
      <c r="L36" s="7" t="str">
        <f>IF('Port Bloomberg'!L36="","",'Port Bloomberg'!L36)</f>
        <v>CO</v>
      </c>
      <c r="M36" s="7" t="str">
        <f>IF('Port Bloomberg'!M36="","",'Port Bloomberg'!M36)</f>
        <v>USD</v>
      </c>
      <c r="N36" s="7">
        <f>IF('Port Bloomberg'!N36="","",'Port Bloomberg'!N36)</f>
        <v>450000</v>
      </c>
      <c r="O36" s="7" t="str">
        <f>IF('Port Bloomberg'!O36="","",'Port Bloomberg'!O36)</f>
        <v>SINGLE</v>
      </c>
      <c r="P36" s="7">
        <f>IF('Port Bloomberg'!P36="","",'Port Bloomberg'!P36)</f>
        <v>8</v>
      </c>
      <c r="Q36" s="7" t="str">
        <f>IF('Port Bloomberg'!Q36="","",'Port Bloomberg'!Q36)</f>
        <v>B+</v>
      </c>
      <c r="R36" s="7" t="str">
        <f>IF('Port Bloomberg'!R36="","",'Port Bloomberg'!R36)</f>
        <v>10/31/2029</v>
      </c>
      <c r="S36" s="5">
        <f>IF(E36="","",IFERROR(IF(MATCH(E36,[1]Instrumentos!$D:$D,0)&gt;0,1,0),0))</f>
        <v>1</v>
      </c>
      <c r="T36" s="5">
        <f>IF(E36="","",IFERROR(IF(MATCH(E36,'Lista de excepciones'!$E:$E,0)&gt;0,1,0),0))</f>
        <v>0</v>
      </c>
      <c r="U36" s="6" t="str">
        <f t="shared" si="1"/>
        <v>NO</v>
      </c>
    </row>
    <row r="37" spans="1:21" hidden="1" x14ac:dyDescent="0.25">
      <c r="A37" s="7" t="str">
        <f>IF('Port Bloomberg'!A37="","",'Port Bloomberg'!A37)</f>
        <v>ATPTOW 7 ⅞ 02/03/30</v>
      </c>
      <c r="B37" s="7" t="str">
        <f>IF('Port Bloomberg'!B37="","",'Port Bloomberg'!B37)</f>
        <v>ATP Tower Holdings / Andean Telecom Partners Chile SpA / Andean Tower Partners C</v>
      </c>
      <c r="C37" s="7" t="str">
        <f>IF('Port Bloomberg'!C37="","",'Port Bloomberg'!C37)</f>
        <v>ATP TOW/ANDEAN</v>
      </c>
      <c r="D37" s="7" t="str">
        <f>IF('Port Bloomberg'!D37="","",'Port Bloomberg'!D37)</f>
        <v>ATP TOW/ANDEAN TELECOM</v>
      </c>
      <c r="E37" s="7" t="str">
        <f>IF('Port Bloomberg'!E37="","",'Port Bloomberg'!E37)</f>
        <v>USU0489EAA48</v>
      </c>
      <c r="F37" s="7" t="str">
        <f>IF('Port Bloomberg'!F37="","",'Port Bloomberg'!F37)</f>
        <v>ATPTOW</v>
      </c>
      <c r="G37" s="7" t="str">
        <f>IF('Port Bloomberg'!G37="","",'Port Bloomberg'!G37)</f>
        <v/>
      </c>
      <c r="H37" s="7" t="str">
        <f>IF('Port Bloomberg'!H37="","",'Port Bloomberg'!H37)</f>
        <v>Engineering&amp;Construction</v>
      </c>
      <c r="I37" s="7" t="str">
        <f>IF('Port Bloomberg'!I37="","",'Port Bloomberg'!I37)</f>
        <v>IND</v>
      </c>
      <c r="J37" s="7" t="str">
        <f>IF('Port Bloomberg'!J37="","",'Port Bloomberg'!J37)</f>
        <v>Building-Heavy Construct</v>
      </c>
      <c r="K37" s="7" t="str">
        <f>IF('Port Bloomberg'!K37="","",'Port Bloomberg'!K37)</f>
        <v>US</v>
      </c>
      <c r="L37" s="7" t="str">
        <f>IF('Port Bloomberg'!L37="","",'Port Bloomberg'!L37)</f>
        <v>CL</v>
      </c>
      <c r="M37" s="7" t="str">
        <f>IF('Port Bloomberg'!M37="","",'Port Bloomberg'!M37)</f>
        <v>USD</v>
      </c>
      <c r="N37" s="7">
        <f>IF('Port Bloomberg'!N37="","",'Port Bloomberg'!N37)</f>
        <v>500000</v>
      </c>
      <c r="O37" s="7" t="str">
        <f>IF('Port Bloomberg'!O37="","",'Port Bloomberg'!O37)</f>
        <v>SINGLE</v>
      </c>
      <c r="P37" s="7">
        <f>IF('Port Bloomberg'!P37="","",'Port Bloomberg'!P37)</f>
        <v>7.875</v>
      </c>
      <c r="Q37" s="7" t="str">
        <f>IF('Port Bloomberg'!Q37="","",'Port Bloomberg'!Q37)</f>
        <v>BB-</v>
      </c>
      <c r="R37" s="7" t="str">
        <f>IF('Port Bloomberg'!R37="","",'Port Bloomberg'!R37)</f>
        <v>02/03/2030</v>
      </c>
      <c r="S37" s="5">
        <f>IF(E37="","",IFERROR(IF(MATCH(E37,[1]Instrumentos!$D:$D,0)&gt;0,1,0),0))</f>
        <v>0</v>
      </c>
      <c r="T37" s="5">
        <f>IF(E37="","",IFERROR(IF(MATCH(E37,'Lista de excepciones'!$E:$E,0)&gt;0,1,0),0))</f>
        <v>1</v>
      </c>
      <c r="U37" s="6" t="str">
        <f t="shared" si="1"/>
        <v>NO</v>
      </c>
    </row>
    <row r="38" spans="1:21" hidden="1" x14ac:dyDescent="0.25">
      <c r="A38" s="7" t="str">
        <f>IF('Port Bloomberg'!A38="","",'Port Bloomberg'!A38)</f>
        <v>AUNA 8 ¾ 11/06/32</v>
      </c>
      <c r="B38" s="7" t="str">
        <f>IF('Port Bloomberg'!B38="","",'Port Bloomberg'!B38)</f>
        <v>Auna SA / Oncosalud SAC</v>
      </c>
      <c r="C38" s="7" t="str">
        <f>IF('Port Bloomberg'!C38="","",'Port Bloomberg'!C38)</f>
        <v>AUNA SA/ONCOSALU</v>
      </c>
      <c r="D38" s="7" t="str">
        <f>IF('Port Bloomberg'!D38="","",'Port Bloomberg'!D38)</f>
        <v>AUNA SA / ONCOSALUD SAC</v>
      </c>
      <c r="E38" s="7" t="str">
        <f>IF('Port Bloomberg'!E38="","",'Port Bloomberg'!E38)</f>
        <v>USL04168AA59</v>
      </c>
      <c r="F38" s="7" t="str">
        <f>IF('Port Bloomberg'!F38="","",'Port Bloomberg'!F38)</f>
        <v>AUNA</v>
      </c>
      <c r="G38" s="7" t="str">
        <f>IF('Port Bloomberg'!G38="","",'Port Bloomberg'!G38)</f>
        <v>AUNA US</v>
      </c>
      <c r="H38" s="7" t="str">
        <f>IF('Port Bloomberg'!H38="","",'Port Bloomberg'!H38)</f>
        <v>Healthcare-Services</v>
      </c>
      <c r="I38" s="7" t="str">
        <f>IF('Port Bloomberg'!I38="","",'Port Bloomberg'!I38)</f>
        <v>IND</v>
      </c>
      <c r="J38" s="7" t="str">
        <f>IF('Port Bloomberg'!J38="","",'Port Bloomberg'!J38)</f>
        <v>Medical-Hospitals</v>
      </c>
      <c r="K38" s="7" t="str">
        <f>IF('Port Bloomberg'!K38="","",'Port Bloomberg'!K38)</f>
        <v>LU</v>
      </c>
      <c r="L38" s="7" t="str">
        <f>IF('Port Bloomberg'!L38="","",'Port Bloomberg'!L38)</f>
        <v>PE</v>
      </c>
      <c r="M38" s="7" t="str">
        <f>IF('Port Bloomberg'!M38="","",'Port Bloomberg'!M38)</f>
        <v>USD</v>
      </c>
      <c r="N38" s="7">
        <f>IF('Port Bloomberg'!N38="","",'Port Bloomberg'!N38)</f>
        <v>365000</v>
      </c>
      <c r="O38" s="7" t="str">
        <f>IF('Port Bloomberg'!O38="","",'Port Bloomberg'!O38)</f>
        <v>SINGLE</v>
      </c>
      <c r="P38" s="7">
        <f>IF('Port Bloomberg'!P38="","",'Port Bloomberg'!P38)</f>
        <v>8.75</v>
      </c>
      <c r="Q38" s="7" t="str">
        <f>IF('Port Bloomberg'!Q38="","",'Port Bloomberg'!Q38)</f>
        <v>B+</v>
      </c>
      <c r="R38" s="7" t="str">
        <f>IF('Port Bloomberg'!R38="","",'Port Bloomberg'!R38)</f>
        <v>11/06/2032</v>
      </c>
      <c r="S38" s="5">
        <f>IF(E38="","",IFERROR(IF(MATCH(E38,[1]Instrumentos!$D:$D,0)&gt;0,1,0),0))</f>
        <v>1</v>
      </c>
      <c r="T38" s="5">
        <f>IF(E38="","",IFERROR(IF(MATCH(E38,'Lista de excepciones'!$E:$E,0)&gt;0,1,0),0))</f>
        <v>0</v>
      </c>
      <c r="U38" s="6" t="str">
        <f t="shared" si="1"/>
        <v>NO</v>
      </c>
    </row>
    <row r="39" spans="1:21" hidden="1" x14ac:dyDescent="0.25">
      <c r="A39" s="7" t="str">
        <f>IF('Port Bloomberg'!A39="","",'Port Bloomberg'!A39)</f>
        <v>AVALCB 4 ⅜ 02/04/30</v>
      </c>
      <c r="B39" s="7" t="str">
        <f>IF('Port Bloomberg'!B39="","",'Port Bloomberg'!B39)</f>
        <v>Grupo Aval Ltd</v>
      </c>
      <c r="C39" s="7" t="str">
        <f>IF('Port Bloomberg'!C39="","",'Port Bloomberg'!C39)</f>
        <v>GRUPO AVAL LTD</v>
      </c>
      <c r="D39" s="7" t="str">
        <f>IF('Port Bloomberg'!D39="","",'Port Bloomberg'!D39)</f>
        <v>GRUPO AVAL LTD</v>
      </c>
      <c r="E39" s="7" t="str">
        <f>IF('Port Bloomberg'!E39="","",'Port Bloomberg'!E39)</f>
        <v>USG42045AC15</v>
      </c>
      <c r="F39" s="7" t="str">
        <f>IF('Port Bloomberg'!F39="","",'Port Bloomberg'!F39)</f>
        <v>AVALCB</v>
      </c>
      <c r="G39" s="7" t="str">
        <f>IF('Port Bloomberg'!G39="","",'Port Bloomberg'!G39)</f>
        <v>AVAL CB</v>
      </c>
      <c r="H39" s="7" t="str">
        <f>IF('Port Bloomberg'!H39="","",'Port Bloomberg'!H39)</f>
        <v>Banks</v>
      </c>
      <c r="I39" s="7" t="str">
        <f>IF('Port Bloomberg'!I39="","",'Port Bloomberg'!I39)</f>
        <v>FIN</v>
      </c>
      <c r="J39" s="7" t="str">
        <f>IF('Port Bloomberg'!J39="","",'Port Bloomberg'!J39)</f>
        <v>Commer Banks Non-US</v>
      </c>
      <c r="K39" s="7" t="str">
        <f>IF('Port Bloomberg'!K39="","",'Port Bloomberg'!K39)</f>
        <v>KY</v>
      </c>
      <c r="L39" s="7" t="str">
        <f>IF('Port Bloomberg'!L39="","",'Port Bloomberg'!L39)</f>
        <v>CO</v>
      </c>
      <c r="M39" s="7" t="str">
        <f>IF('Port Bloomberg'!M39="","",'Port Bloomberg'!M39)</f>
        <v>USD</v>
      </c>
      <c r="N39" s="7">
        <f>IF('Port Bloomberg'!N39="","",'Port Bloomberg'!N39)</f>
        <v>1000000</v>
      </c>
      <c r="O39" s="7" t="str">
        <f>IF('Port Bloomberg'!O39="","",'Port Bloomberg'!O39)</f>
        <v>SINGLE</v>
      </c>
      <c r="P39" s="7">
        <f>IF('Port Bloomberg'!P39="","",'Port Bloomberg'!P39)</f>
        <v>4.375</v>
      </c>
      <c r="Q39" s="7" t="str">
        <f>IF('Port Bloomberg'!Q39="","",'Port Bloomberg'!Q39)</f>
        <v>BB</v>
      </c>
      <c r="R39" s="7" t="str">
        <f>IF('Port Bloomberg'!R39="","",'Port Bloomberg'!R39)</f>
        <v>02/04/2030</v>
      </c>
      <c r="S39" s="5">
        <f>IF(E39="","",IFERROR(IF(MATCH(E39,[1]Instrumentos!$D:$D,0)&gt;0,1,0),0))</f>
        <v>1</v>
      </c>
      <c r="T39" s="5">
        <f>IF(E39="","",IFERROR(IF(MATCH(E39,'Lista de excepciones'!$E:$E,0)&gt;0,1,0),0))</f>
        <v>0</v>
      </c>
      <c r="U39" s="6" t="str">
        <f t="shared" si="1"/>
        <v>NO</v>
      </c>
    </row>
    <row r="40" spans="1:21" hidden="1" x14ac:dyDescent="0.25">
      <c r="A40" s="7" t="str">
        <f>IF('Port Bloomberg'!A40="","",'Port Bloomberg'!A40)</f>
        <v>AZUBBZ 9 ⅞ 02/15/31</v>
      </c>
      <c r="B40" s="7" t="str">
        <f>IF('Port Bloomberg'!B40="","",'Port Bloomberg'!B40)</f>
        <v>Azul Secured Finance LLP</v>
      </c>
      <c r="C40" s="7" t="str">
        <f>IF('Port Bloomberg'!C40="","",'Port Bloomberg'!C40)</f>
        <v>AZUL SECURED FIN</v>
      </c>
      <c r="D40" s="7" t="str">
        <f>IF('Port Bloomberg'!D40="","",'Port Bloomberg'!D40)</f>
        <v>AZUL SECURED FINANCE LLP</v>
      </c>
      <c r="E40" s="7" t="str">
        <f>IF('Port Bloomberg'!E40="","",'Port Bloomberg'!E40)</f>
        <v>USU0551YAK11</v>
      </c>
      <c r="F40" s="7" t="str">
        <f>IF('Port Bloomberg'!F40="","",'Port Bloomberg'!F40)</f>
        <v>AZUBBZ</v>
      </c>
      <c r="G40" s="7" t="str">
        <f>IF('Port Bloomberg'!G40="","",'Port Bloomberg'!G40)</f>
        <v>2870534Z BZ</v>
      </c>
      <c r="H40" s="7" t="str">
        <f>IF('Port Bloomberg'!H40="","",'Port Bloomberg'!H40)</f>
        <v>Airlines</v>
      </c>
      <c r="I40" s="7" t="str">
        <f>IF('Port Bloomberg'!I40="","",'Port Bloomberg'!I40)</f>
        <v>IND</v>
      </c>
      <c r="J40" s="7" t="str">
        <f>IF('Port Bloomberg'!J40="","",'Port Bloomberg'!J40)</f>
        <v>Airlines</v>
      </c>
      <c r="K40" s="7" t="str">
        <f>IF('Port Bloomberg'!K40="","",'Port Bloomberg'!K40)</f>
        <v>US</v>
      </c>
      <c r="L40" s="7" t="str">
        <f>IF('Port Bloomberg'!L40="","",'Port Bloomberg'!L40)</f>
        <v>BR</v>
      </c>
      <c r="M40" s="7" t="str">
        <f>IF('Port Bloomberg'!M40="","",'Port Bloomberg'!M40)</f>
        <v>USD</v>
      </c>
      <c r="N40" s="7">
        <f>IF('Port Bloomberg'!N40="","",'Port Bloomberg'!N40)</f>
        <v>1375000</v>
      </c>
      <c r="O40" s="7" t="str">
        <f>IF('Port Bloomberg'!O40="","",'Port Bloomberg'!O40)</f>
        <v>SINGLE</v>
      </c>
      <c r="P40" s="7">
        <f>IF('Port Bloomberg'!P40="","",'Port Bloomberg'!P40)</f>
        <v>9.875</v>
      </c>
      <c r="Q40" s="7" t="str">
        <f>IF('Port Bloomberg'!Q40="","",'Port Bloomberg'!Q40)</f>
        <v>B-</v>
      </c>
      <c r="R40" s="7" t="str">
        <f>IF('Port Bloomberg'!R40="","",'Port Bloomberg'!R40)</f>
        <v>02/15/2031</v>
      </c>
      <c r="S40" s="5">
        <f>IF(E40="","",IFERROR(IF(MATCH(E40,[1]Instrumentos!$D:$D,0)&gt;0,1,0),0))</f>
        <v>0</v>
      </c>
      <c r="T40" s="5">
        <f>IF(E40="","",IFERROR(IF(MATCH(E40,'Lista de excepciones'!$E:$E,0)&gt;0,1,0),0))</f>
        <v>1</v>
      </c>
      <c r="U40" s="6" t="str">
        <f t="shared" si="1"/>
        <v>NO</v>
      </c>
    </row>
    <row r="41" spans="1:21" hidden="1" x14ac:dyDescent="0.25">
      <c r="A41" s="7" t="str">
        <f>IF('Port Bloomberg'!A41="","",'Port Bloomberg'!A41)</f>
        <v>BANBRA 4 ⅞ 01/11/29</v>
      </c>
      <c r="B41" s="7" t="str">
        <f>IF('Port Bloomberg'!B41="","",'Port Bloomberg'!B41)</f>
        <v>Banco do Brasil SA/Cayman</v>
      </c>
      <c r="C41" s="7" t="str">
        <f>IF('Port Bloomberg'!C41="","",'Port Bloomberg'!C41)</f>
        <v>BANCO BRASL (CI)</v>
      </c>
      <c r="D41" s="7" t="str">
        <f>IF('Port Bloomberg'!D41="","",'Port Bloomberg'!D41)</f>
        <v>BANCO DO BRASIL (CAYMAN)</v>
      </c>
      <c r="E41" s="7" t="str">
        <f>IF('Port Bloomberg'!E41="","",'Port Bloomberg'!E41)</f>
        <v>USP3772WAK82</v>
      </c>
      <c r="F41" s="7" t="str">
        <f>IF('Port Bloomberg'!F41="","",'Port Bloomberg'!F41)</f>
        <v>BANBRA</v>
      </c>
      <c r="G41" s="7" t="str">
        <f>IF('Port Bloomberg'!G41="","",'Port Bloomberg'!G41)</f>
        <v>BBAS3 BZ</v>
      </c>
      <c r="H41" s="7" t="str">
        <f>IF('Port Bloomberg'!H41="","",'Port Bloomberg'!H41)</f>
        <v>Banks</v>
      </c>
      <c r="I41" s="7" t="str">
        <f>IF('Port Bloomberg'!I41="","",'Port Bloomberg'!I41)</f>
        <v>FOA</v>
      </c>
      <c r="J41" s="7" t="str">
        <f>IF('Port Bloomberg'!J41="","",'Port Bloomberg'!J41)</f>
        <v>Commer Banks Non-US</v>
      </c>
      <c r="K41" s="7" t="str">
        <f>IF('Port Bloomberg'!K41="","",'Port Bloomberg'!K41)</f>
        <v>KY</v>
      </c>
      <c r="L41" s="7" t="str">
        <f>IF('Port Bloomberg'!L41="","",'Port Bloomberg'!L41)</f>
        <v>BR</v>
      </c>
      <c r="M41" s="7" t="str">
        <f>IF('Port Bloomberg'!M41="","",'Port Bloomberg'!M41)</f>
        <v>USD</v>
      </c>
      <c r="N41" s="7">
        <f>IF('Port Bloomberg'!N41="","",'Port Bloomberg'!N41)</f>
        <v>500000</v>
      </c>
      <c r="O41" s="7" t="str">
        <f>IF('Port Bloomberg'!O41="","",'Port Bloomberg'!O41)</f>
        <v>SINGLE</v>
      </c>
      <c r="P41" s="7">
        <f>IF('Port Bloomberg'!P41="","",'Port Bloomberg'!P41)</f>
        <v>4.875</v>
      </c>
      <c r="Q41" s="7" t="str">
        <f>IF('Port Bloomberg'!Q41="","",'Port Bloomberg'!Q41)</f>
        <v>BB</v>
      </c>
      <c r="R41" s="7" t="str">
        <f>IF('Port Bloomberg'!R41="","",'Port Bloomberg'!R41)</f>
        <v>01/11/2029</v>
      </c>
      <c r="S41" s="5">
        <f>IF(E41="","",IFERROR(IF(MATCH(E41,[1]Instrumentos!$D:$D,0)&gt;0,1,0),0))</f>
        <v>1</v>
      </c>
      <c r="T41" s="5">
        <f>IF(E41="","",IFERROR(IF(MATCH(E41,'Lista de excepciones'!$E:$E,0)&gt;0,1,0),0))</f>
        <v>0</v>
      </c>
      <c r="U41" s="6" t="str">
        <f t="shared" si="1"/>
        <v>NO</v>
      </c>
    </row>
    <row r="42" spans="1:21" hidden="1" x14ac:dyDescent="0.25">
      <c r="A42" s="7" t="str">
        <f>IF('Port Bloomberg'!A42="","",'Port Bloomberg'!A42)</f>
        <v>BANBRA 5 ⅝ 10/23/31</v>
      </c>
      <c r="B42" s="7" t="str">
        <f>IF('Port Bloomberg'!B42="","",'Port Bloomberg'!B42)</f>
        <v>Banco do Brasil SA/Cayman</v>
      </c>
      <c r="C42" s="7" t="str">
        <f>IF('Port Bloomberg'!C42="","",'Port Bloomberg'!C42)</f>
        <v>BANCO BRASL (CI)</v>
      </c>
      <c r="D42" s="7" t="str">
        <f>IF('Port Bloomberg'!D42="","",'Port Bloomberg'!D42)</f>
        <v>BANCO DO BRASIL (CAYMAN)</v>
      </c>
      <c r="E42" s="7" t="str">
        <f>IF('Port Bloomberg'!E42="","",'Port Bloomberg'!E42)</f>
        <v>USP3772WAL65</v>
      </c>
      <c r="F42" s="7" t="str">
        <f>IF('Port Bloomberg'!F42="","",'Port Bloomberg'!F42)</f>
        <v>BANBRA</v>
      </c>
      <c r="G42" s="7" t="str">
        <f>IF('Port Bloomberg'!G42="","",'Port Bloomberg'!G42)</f>
        <v>BBAS3 BZ</v>
      </c>
      <c r="H42" s="7" t="str">
        <f>IF('Port Bloomberg'!H42="","",'Port Bloomberg'!H42)</f>
        <v>Banks</v>
      </c>
      <c r="I42" s="7" t="str">
        <f>IF('Port Bloomberg'!I42="","",'Port Bloomberg'!I42)</f>
        <v>FOA</v>
      </c>
      <c r="J42" s="7" t="str">
        <f>IF('Port Bloomberg'!J42="","",'Port Bloomberg'!J42)</f>
        <v>Commer Banks Non-US</v>
      </c>
      <c r="K42" s="7" t="str">
        <f>IF('Port Bloomberg'!K42="","",'Port Bloomberg'!K42)</f>
        <v>KY</v>
      </c>
      <c r="L42" s="7" t="str">
        <f>IF('Port Bloomberg'!L42="","",'Port Bloomberg'!L42)</f>
        <v>BR</v>
      </c>
      <c r="M42" s="7" t="str">
        <f>IF('Port Bloomberg'!M42="","",'Port Bloomberg'!M42)</f>
        <v>USD</v>
      </c>
      <c r="N42" s="7">
        <f>IF('Port Bloomberg'!N42="","",'Port Bloomberg'!N42)</f>
        <v>500000</v>
      </c>
      <c r="O42" s="7" t="str">
        <f>IF('Port Bloomberg'!O42="","",'Port Bloomberg'!O42)</f>
        <v>SINGLE</v>
      </c>
      <c r="P42" s="7">
        <f>IF('Port Bloomberg'!P42="","",'Port Bloomberg'!P42)</f>
        <v>5.625</v>
      </c>
      <c r="Q42" s="7" t="str">
        <f>IF('Port Bloomberg'!Q42="","",'Port Bloomberg'!Q42)</f>
        <v>BB</v>
      </c>
      <c r="R42" s="7" t="str">
        <f>IF('Port Bloomberg'!R42="","",'Port Bloomberg'!R42)</f>
        <v>10/23/2031</v>
      </c>
      <c r="S42" s="5">
        <f>IF(E42="","",IFERROR(IF(MATCH(E42,[1]Instrumentos!$D:$D,0)&gt;0,1,0),0))</f>
        <v>1</v>
      </c>
      <c r="T42" s="5">
        <f>IF(E42="","",IFERROR(IF(MATCH(E42,'Lista de excepciones'!$E:$E,0)&gt;0,1,0),0))</f>
        <v>0</v>
      </c>
      <c r="U42" s="6" t="str">
        <f t="shared" si="1"/>
        <v>NO</v>
      </c>
    </row>
    <row r="43" spans="1:21" hidden="1" x14ac:dyDescent="0.25">
      <c r="A43" s="7" t="str">
        <f>IF('Port Bloomberg'!A43="","",'Port Bloomberg'!A43)</f>
        <v>BANBRA 6 03/18/31</v>
      </c>
      <c r="B43" s="7" t="str">
        <f>IF('Port Bloomberg'!B43="","",'Port Bloomberg'!B43)</f>
        <v>Banco do Brasil SA/Cayman</v>
      </c>
      <c r="C43" s="7" t="str">
        <f>IF('Port Bloomberg'!C43="","",'Port Bloomberg'!C43)</f>
        <v>BANCO BRASL (CI)</v>
      </c>
      <c r="D43" s="7" t="str">
        <f>IF('Port Bloomberg'!D43="","",'Port Bloomberg'!D43)</f>
        <v>BANCO DO BRASIL (CAYMAN)</v>
      </c>
      <c r="E43" s="7" t="str">
        <f>IF('Port Bloomberg'!E43="","",'Port Bloomberg'!E43)</f>
        <v>USP2000TAE57</v>
      </c>
      <c r="F43" s="7" t="str">
        <f>IF('Port Bloomberg'!F43="","",'Port Bloomberg'!F43)</f>
        <v>BANBRA</v>
      </c>
      <c r="G43" s="7" t="str">
        <f>IF('Port Bloomberg'!G43="","",'Port Bloomberg'!G43)</f>
        <v>BBAS3 BZ</v>
      </c>
      <c r="H43" s="7" t="str">
        <f>IF('Port Bloomberg'!H43="","",'Port Bloomberg'!H43)</f>
        <v>Banks</v>
      </c>
      <c r="I43" s="7" t="str">
        <f>IF('Port Bloomberg'!I43="","",'Port Bloomberg'!I43)</f>
        <v>FOA</v>
      </c>
      <c r="J43" s="7" t="str">
        <f>IF('Port Bloomberg'!J43="","",'Port Bloomberg'!J43)</f>
        <v>Commer Banks Non-US</v>
      </c>
      <c r="K43" s="7" t="str">
        <f>IF('Port Bloomberg'!K43="","",'Port Bloomberg'!K43)</f>
        <v>KY</v>
      </c>
      <c r="L43" s="7" t="str">
        <f>IF('Port Bloomberg'!L43="","",'Port Bloomberg'!L43)</f>
        <v>BR</v>
      </c>
      <c r="M43" s="7" t="str">
        <f>IF('Port Bloomberg'!M43="","",'Port Bloomberg'!M43)</f>
        <v>USD</v>
      </c>
      <c r="N43" s="7">
        <f>IF('Port Bloomberg'!N43="","",'Port Bloomberg'!N43)</f>
        <v>750000</v>
      </c>
      <c r="O43" s="7" t="str">
        <f>IF('Port Bloomberg'!O43="","",'Port Bloomberg'!O43)</f>
        <v>SINGLE</v>
      </c>
      <c r="P43" s="7">
        <f>IF('Port Bloomberg'!P43="","",'Port Bloomberg'!P43)</f>
        <v>6</v>
      </c>
      <c r="Q43" s="7" t="str">
        <f>IF('Port Bloomberg'!Q43="","",'Port Bloomberg'!Q43)</f>
        <v>BB</v>
      </c>
      <c r="R43" s="7" t="str">
        <f>IF('Port Bloomberg'!R43="","",'Port Bloomberg'!R43)</f>
        <v>03/18/2031</v>
      </c>
      <c r="S43" s="5">
        <f>IF(E43="","",IFERROR(IF(MATCH(E43,[1]Instrumentos!$D:$D,0)&gt;0,1,0),0))</f>
        <v>1</v>
      </c>
      <c r="T43" s="5">
        <f>IF(E43="","",IFERROR(IF(MATCH(E43,'Lista de excepciones'!$E:$E,0)&gt;0,1,0),0))</f>
        <v>0</v>
      </c>
      <c r="U43" s="6" t="str">
        <f t="shared" si="1"/>
        <v>NO</v>
      </c>
    </row>
    <row r="44" spans="1:21" hidden="1" x14ac:dyDescent="0.25">
      <c r="A44" s="7" t="str">
        <f>IF('Port Bloomberg'!A44="","",'Port Bloomberg'!A44)</f>
        <v>BANBRA 6 ¼ 04/18/30</v>
      </c>
      <c r="B44" s="7" t="str">
        <f>IF('Port Bloomberg'!B44="","",'Port Bloomberg'!B44)</f>
        <v>Banco do Brasil SA/Cayman</v>
      </c>
      <c r="C44" s="7" t="str">
        <f>IF('Port Bloomberg'!C44="","",'Port Bloomberg'!C44)</f>
        <v>BANCO BRASL (CI)</v>
      </c>
      <c r="D44" s="7" t="str">
        <f>IF('Port Bloomberg'!D44="","",'Port Bloomberg'!D44)</f>
        <v>BANCO DO BRASIL (CAYMAN)</v>
      </c>
      <c r="E44" s="7" t="str">
        <f>IF('Port Bloomberg'!E44="","",'Port Bloomberg'!E44)</f>
        <v>USP2000TAB19</v>
      </c>
      <c r="F44" s="7" t="str">
        <f>IF('Port Bloomberg'!F44="","",'Port Bloomberg'!F44)</f>
        <v>BANBRA</v>
      </c>
      <c r="G44" s="7" t="str">
        <f>IF('Port Bloomberg'!G44="","",'Port Bloomberg'!G44)</f>
        <v>BBAS3 BZ</v>
      </c>
      <c r="H44" s="7" t="str">
        <f>IF('Port Bloomberg'!H44="","",'Port Bloomberg'!H44)</f>
        <v>Banks</v>
      </c>
      <c r="I44" s="7" t="str">
        <f>IF('Port Bloomberg'!I44="","",'Port Bloomberg'!I44)</f>
        <v>FOA</v>
      </c>
      <c r="J44" s="7" t="str">
        <f>IF('Port Bloomberg'!J44="","",'Port Bloomberg'!J44)</f>
        <v>Commer Banks Non-US</v>
      </c>
      <c r="K44" s="7" t="str">
        <f>IF('Port Bloomberg'!K44="","",'Port Bloomberg'!K44)</f>
        <v>KY</v>
      </c>
      <c r="L44" s="7" t="str">
        <f>IF('Port Bloomberg'!L44="","",'Port Bloomberg'!L44)</f>
        <v>BR</v>
      </c>
      <c r="M44" s="7" t="str">
        <f>IF('Port Bloomberg'!M44="","",'Port Bloomberg'!M44)</f>
        <v>USD</v>
      </c>
      <c r="N44" s="7">
        <f>IF('Port Bloomberg'!N44="","",'Port Bloomberg'!N44)</f>
        <v>750000</v>
      </c>
      <c r="O44" s="7" t="str">
        <f>IF('Port Bloomberg'!O44="","",'Port Bloomberg'!O44)</f>
        <v>SINGLE</v>
      </c>
      <c r="P44" s="7">
        <f>IF('Port Bloomberg'!P44="","",'Port Bloomberg'!P44)</f>
        <v>6.25</v>
      </c>
      <c r="Q44" s="7" t="str">
        <f>IF('Port Bloomberg'!Q44="","",'Port Bloomberg'!Q44)</f>
        <v>BB</v>
      </c>
      <c r="R44" s="7" t="str">
        <f>IF('Port Bloomberg'!R44="","",'Port Bloomberg'!R44)</f>
        <v>04/18/2030</v>
      </c>
      <c r="S44" s="5">
        <f>IF(E44="","",IFERROR(IF(MATCH(E44,[1]Instrumentos!$D:$D,0)&gt;0,1,0),0))</f>
        <v>1</v>
      </c>
      <c r="T44" s="5">
        <f>IF(E44="","",IFERROR(IF(MATCH(E44,'Lista de excepciones'!$E:$E,0)&gt;0,1,0),0))</f>
        <v>0</v>
      </c>
      <c r="U44" s="6" t="str">
        <f t="shared" si="1"/>
        <v>NO</v>
      </c>
    </row>
    <row r="45" spans="1:21" hidden="1" x14ac:dyDescent="0.25">
      <c r="A45" s="7" t="str">
        <f>IF('Port Bloomberg'!A45="","",'Port Bloomberg'!A45)</f>
        <v>BANCO 7.95 PERP</v>
      </c>
      <c r="B45" s="7" t="str">
        <f>IF('Port Bloomberg'!B45="","",'Port Bloomberg'!B45)</f>
        <v>Banco del Estado de Chile</v>
      </c>
      <c r="C45" s="7" t="str">
        <f>IF('Port Bloomberg'!C45="","",'Port Bloomberg'!C45)</f>
        <v>BANCO DEL ESTADO</v>
      </c>
      <c r="D45" s="7" t="str">
        <f>IF('Port Bloomberg'!D45="","",'Port Bloomberg'!D45)</f>
        <v>BANCO DEL ESTADO -CHILE</v>
      </c>
      <c r="E45" s="7" t="str">
        <f>IF('Port Bloomberg'!E45="","",'Port Bloomberg'!E45)</f>
        <v>USP1027DHQ71</v>
      </c>
      <c r="F45" s="7" t="str">
        <f>IF('Port Bloomberg'!F45="","",'Port Bloomberg'!F45)</f>
        <v>BANCO</v>
      </c>
      <c r="G45" s="7" t="str">
        <f>IF('Port Bloomberg'!G45="","",'Port Bloomberg'!G45)</f>
        <v>167579Z CI</v>
      </c>
      <c r="H45" s="7" t="str">
        <f>IF('Port Bloomberg'!H45="","",'Port Bloomberg'!H45)</f>
        <v>Banks</v>
      </c>
      <c r="I45" s="7" t="str">
        <f>IF('Port Bloomberg'!I45="","",'Port Bloomberg'!I45)</f>
        <v>FOA</v>
      </c>
      <c r="J45" s="7" t="str">
        <f>IF('Port Bloomberg'!J45="","",'Port Bloomberg'!J45)</f>
        <v>Regional Banks-Non US</v>
      </c>
      <c r="K45" s="7" t="str">
        <f>IF('Port Bloomberg'!K45="","",'Port Bloomberg'!K45)</f>
        <v>CL</v>
      </c>
      <c r="L45" s="7" t="str">
        <f>IF('Port Bloomberg'!L45="","",'Port Bloomberg'!L45)</f>
        <v>CL</v>
      </c>
      <c r="M45" s="7" t="str">
        <f>IF('Port Bloomberg'!M45="","",'Port Bloomberg'!M45)</f>
        <v>USD</v>
      </c>
      <c r="N45" s="7">
        <f>IF('Port Bloomberg'!N45="","",'Port Bloomberg'!N45)</f>
        <v>600000</v>
      </c>
      <c r="O45" s="7" t="str">
        <f>IF('Port Bloomberg'!O45="","",'Port Bloomberg'!O45)</f>
        <v>SINGLE</v>
      </c>
      <c r="P45" s="7">
        <f>IF('Port Bloomberg'!P45="","",'Port Bloomberg'!P45)</f>
        <v>7.95</v>
      </c>
      <c r="Q45" s="7" t="str">
        <f>IF('Port Bloomberg'!Q45="","",'Port Bloomberg'!Q45)</f>
        <v>BBB-</v>
      </c>
      <c r="R45" s="7" t="str">
        <f>IF('Port Bloomberg'!R45="","",'Port Bloomberg'!R45)</f>
        <v/>
      </c>
      <c r="S45" s="5">
        <f>IF(E45="","",IFERROR(IF(MATCH(E45,[1]Instrumentos!$D:$D,0)&gt;0,1,0),0))</f>
        <v>1</v>
      </c>
      <c r="T45" s="5">
        <f>IF(E45="","",IFERROR(IF(MATCH(E45,'Lista de excepciones'!$E:$E,0)&gt;0,1,0),0))</f>
        <v>0</v>
      </c>
      <c r="U45" s="6" t="str">
        <f t="shared" si="1"/>
        <v>NO</v>
      </c>
    </row>
    <row r="46" spans="1:21" hidden="1" x14ac:dyDescent="0.25">
      <c r="A46" s="7" t="str">
        <f>IF('Port Bloomberg'!A46="","",'Port Bloomberg'!A46)</f>
        <v>BANMEX 6.697 08/07/36</v>
      </c>
      <c r="B46" s="7" t="str">
        <f>IF('Port Bloomberg'!B46="","",'Port Bloomberg'!B46)</f>
        <v>Banco Nacional de Mexico SA</v>
      </c>
      <c r="C46" s="7" t="str">
        <f>IF('Port Bloomberg'!C46="","",'Port Bloomberg'!C46)</f>
        <v>BANCO NAC DE MEX</v>
      </c>
      <c r="D46" s="7" t="str">
        <f>IF('Port Bloomberg'!D46="","",'Port Bloomberg'!D46)</f>
        <v>BANCO NAC DE MEXICO SA</v>
      </c>
      <c r="E46" s="7" t="str">
        <f>IF('Port Bloomberg'!E46="","",'Port Bloomberg'!E46)</f>
        <v>USP1S8TDFJ81</v>
      </c>
      <c r="F46" s="7" t="str">
        <f>IF('Port Bloomberg'!F46="","",'Port Bloomberg'!F46)</f>
        <v>BANMEX</v>
      </c>
      <c r="G46" s="7" t="str">
        <f>IF('Port Bloomberg'!G46="","",'Port Bloomberg'!G46)</f>
        <v>BANAMEX MM</v>
      </c>
      <c r="H46" s="7" t="str">
        <f>IF('Port Bloomberg'!H46="","",'Port Bloomberg'!H46)</f>
        <v>Banks</v>
      </c>
      <c r="I46" s="7" t="str">
        <f>IF('Port Bloomberg'!I46="","",'Port Bloomberg'!I46)</f>
        <v>FIN</v>
      </c>
      <c r="J46" s="7" t="str">
        <f>IF('Port Bloomberg'!J46="","",'Port Bloomberg'!J46)</f>
        <v>Commer Banks Non-US</v>
      </c>
      <c r="K46" s="7" t="str">
        <f>IF('Port Bloomberg'!K46="","",'Port Bloomberg'!K46)</f>
        <v>MX</v>
      </c>
      <c r="L46" s="7" t="str">
        <f>IF('Port Bloomberg'!L46="","",'Port Bloomberg'!L46)</f>
        <v>MX</v>
      </c>
      <c r="M46" s="7" t="str">
        <f>IF('Port Bloomberg'!M46="","",'Port Bloomberg'!M46)</f>
        <v>USD</v>
      </c>
      <c r="N46" s="7">
        <f>IF('Port Bloomberg'!N46="","",'Port Bloomberg'!N46)</f>
        <v>1300000</v>
      </c>
      <c r="O46" s="7" t="str">
        <f>IF('Port Bloomberg'!O46="","",'Port Bloomberg'!O46)</f>
        <v>SINGLE</v>
      </c>
      <c r="P46" s="7">
        <f>IF('Port Bloomberg'!P46="","",'Port Bloomberg'!P46)</f>
        <v>6.6970000000000001</v>
      </c>
      <c r="Q46" s="7" t="str">
        <f>IF('Port Bloomberg'!Q46="","",'Port Bloomberg'!Q46)</f>
        <v>BB+</v>
      </c>
      <c r="R46" s="7" t="str">
        <f>IF('Port Bloomberg'!R46="","",'Port Bloomberg'!R46)</f>
        <v>08/07/2036</v>
      </c>
      <c r="S46" s="5">
        <f>IF(E46="","",IFERROR(IF(MATCH(E46,[1]Instrumentos!$D:$D,0)&gt;0,1,0),0))</f>
        <v>1</v>
      </c>
      <c r="T46" s="5">
        <f>IF(E46="","",IFERROR(IF(MATCH(E46,'Lista de excepciones'!$E:$E,0)&gt;0,1,0),0))</f>
        <v>0</v>
      </c>
      <c r="U46" s="6" t="str">
        <f t="shared" si="1"/>
        <v>NO</v>
      </c>
    </row>
    <row r="47" spans="1:21" hidden="1" x14ac:dyDescent="0.25">
      <c r="A47" s="7" t="str">
        <f>IF('Port Bloomberg'!A47="","",'Port Bloomberg'!A47)</f>
        <v>BANORT 6 ⅝ PERP</v>
      </c>
      <c r="B47" s="7" t="str">
        <f>IF('Port Bloomberg'!B47="","",'Port Bloomberg'!B47)</f>
        <v>Banco Mercantil del Norte SA/Grand Cayman</v>
      </c>
      <c r="C47" s="7" t="str">
        <f>IF('Port Bloomberg'!C47="","",'Port Bloomberg'!C47)</f>
        <v>BANCO MERC NORTE</v>
      </c>
      <c r="D47" s="7" t="str">
        <f>IF('Port Bloomberg'!D47="","",'Port Bloomberg'!D47)</f>
        <v>BANCO MERCANTIL DE NORTE</v>
      </c>
      <c r="E47" s="7" t="str">
        <f>IF('Port Bloomberg'!E47="","",'Port Bloomberg'!E47)</f>
        <v>USP1401KAB72</v>
      </c>
      <c r="F47" s="7" t="str">
        <f>IF('Port Bloomberg'!F47="","",'Port Bloomberg'!F47)</f>
        <v>BANORT</v>
      </c>
      <c r="G47" s="7" t="str">
        <f>IF('Port Bloomberg'!G47="","",'Port Bloomberg'!G47)</f>
        <v>BMNA MM</v>
      </c>
      <c r="H47" s="7" t="str">
        <f>IF('Port Bloomberg'!H47="","",'Port Bloomberg'!H47)</f>
        <v>Banks</v>
      </c>
      <c r="I47" s="7" t="str">
        <f>IF('Port Bloomberg'!I47="","",'Port Bloomberg'!I47)</f>
        <v>FIN</v>
      </c>
      <c r="J47" s="7" t="str">
        <f>IF('Port Bloomberg'!J47="","",'Port Bloomberg'!J47)</f>
        <v>Commer Banks Non-US</v>
      </c>
      <c r="K47" s="7" t="str">
        <f>IF('Port Bloomberg'!K47="","",'Port Bloomberg'!K47)</f>
        <v>KY</v>
      </c>
      <c r="L47" s="7" t="str">
        <f>IF('Port Bloomberg'!L47="","",'Port Bloomberg'!L47)</f>
        <v>MX</v>
      </c>
      <c r="M47" s="7" t="str">
        <f>IF('Port Bloomberg'!M47="","",'Port Bloomberg'!M47)</f>
        <v>USD</v>
      </c>
      <c r="N47" s="7">
        <f>IF('Port Bloomberg'!N47="","",'Port Bloomberg'!N47)</f>
        <v>550000</v>
      </c>
      <c r="O47" s="7" t="str">
        <f>IF('Port Bloomberg'!O47="","",'Port Bloomberg'!O47)</f>
        <v>SINGLE</v>
      </c>
      <c r="P47" s="7">
        <f>IF('Port Bloomberg'!P47="","",'Port Bloomberg'!P47)</f>
        <v>6.625</v>
      </c>
      <c r="Q47" s="7" t="str">
        <f>IF('Port Bloomberg'!Q47="","",'Port Bloomberg'!Q47)</f>
        <v>BB-</v>
      </c>
      <c r="R47" s="7" t="str">
        <f>IF('Port Bloomberg'!R47="","",'Port Bloomberg'!R47)</f>
        <v/>
      </c>
      <c r="S47" s="5">
        <f>IF(E47="","",IFERROR(IF(MATCH(E47,[1]Instrumentos!$D:$D,0)&gt;0,1,0),0))</f>
        <v>1</v>
      </c>
      <c r="T47" s="5">
        <f>IF(E47="","",IFERROR(IF(MATCH(E47,'Lista de excepciones'!$E:$E,0)&gt;0,1,0),0))</f>
        <v>0</v>
      </c>
      <c r="U47" s="6" t="str">
        <f t="shared" si="1"/>
        <v>NO</v>
      </c>
    </row>
    <row r="48" spans="1:21" hidden="1" x14ac:dyDescent="0.25">
      <c r="A48" s="7" t="str">
        <f>IF('Port Bloomberg'!A48="","",'Port Bloomberg'!A48)</f>
        <v>BANORT 7 ½ PERP</v>
      </c>
      <c r="B48" s="7" t="str">
        <f>IF('Port Bloomberg'!B48="","",'Port Bloomberg'!B48)</f>
        <v>Banco Mercantil del Norte SA/Grand Cayman</v>
      </c>
      <c r="C48" s="7" t="str">
        <f>IF('Port Bloomberg'!C48="","",'Port Bloomberg'!C48)</f>
        <v>BANCO MERC NORTE</v>
      </c>
      <c r="D48" s="7" t="str">
        <f>IF('Port Bloomberg'!D48="","",'Port Bloomberg'!D48)</f>
        <v>BANCO MERCANTIL DE NORTE</v>
      </c>
      <c r="E48" s="7" t="str">
        <f>IF('Port Bloomberg'!E48="","",'Port Bloomberg'!E48)</f>
        <v>USP1400MAB48</v>
      </c>
      <c r="F48" s="7" t="str">
        <f>IF('Port Bloomberg'!F48="","",'Port Bloomberg'!F48)</f>
        <v>BANORT</v>
      </c>
      <c r="G48" s="7" t="str">
        <f>IF('Port Bloomberg'!G48="","",'Port Bloomberg'!G48)</f>
        <v>BMNA MM</v>
      </c>
      <c r="H48" s="7" t="str">
        <f>IF('Port Bloomberg'!H48="","",'Port Bloomberg'!H48)</f>
        <v>Banks</v>
      </c>
      <c r="I48" s="7" t="str">
        <f>IF('Port Bloomberg'!I48="","",'Port Bloomberg'!I48)</f>
        <v>FIN</v>
      </c>
      <c r="J48" s="7" t="str">
        <f>IF('Port Bloomberg'!J48="","",'Port Bloomberg'!J48)</f>
        <v>Commer Banks Non-US</v>
      </c>
      <c r="K48" s="7" t="str">
        <f>IF('Port Bloomberg'!K48="","",'Port Bloomberg'!K48)</f>
        <v>KY</v>
      </c>
      <c r="L48" s="7" t="str">
        <f>IF('Port Bloomberg'!L48="","",'Port Bloomberg'!L48)</f>
        <v>MX</v>
      </c>
      <c r="M48" s="7" t="str">
        <f>IF('Port Bloomberg'!M48="","",'Port Bloomberg'!M48)</f>
        <v>USD</v>
      </c>
      <c r="N48" s="7">
        <f>IF('Port Bloomberg'!N48="","",'Port Bloomberg'!N48)</f>
        <v>500000</v>
      </c>
      <c r="O48" s="7" t="str">
        <f>IF('Port Bloomberg'!O48="","",'Port Bloomberg'!O48)</f>
        <v>SINGLE</v>
      </c>
      <c r="P48" s="7">
        <f>IF('Port Bloomberg'!P48="","",'Port Bloomberg'!P48)</f>
        <v>7.5</v>
      </c>
      <c r="Q48" s="7" t="str">
        <f>IF('Port Bloomberg'!Q48="","",'Port Bloomberg'!Q48)</f>
        <v>BB-</v>
      </c>
      <c r="R48" s="7" t="str">
        <f>IF('Port Bloomberg'!R48="","",'Port Bloomberg'!R48)</f>
        <v/>
      </c>
      <c r="S48" s="5">
        <f>IF(E48="","",IFERROR(IF(MATCH(E48,[1]Instrumentos!$D:$D,0)&gt;0,1,0),0))</f>
        <v>1</v>
      </c>
      <c r="T48" s="5">
        <f>IF(E48="","",IFERROR(IF(MATCH(E48,'Lista de excepciones'!$E:$E,0)&gt;0,1,0),0))</f>
        <v>0</v>
      </c>
      <c r="U48" s="6" t="str">
        <f t="shared" si="1"/>
        <v>NO</v>
      </c>
    </row>
    <row r="49" spans="1:21" hidden="1" x14ac:dyDescent="0.25">
      <c r="A49" s="7" t="str">
        <f>IF('Port Bloomberg'!A49="","",'Port Bloomberg'!A49)</f>
        <v>BANORT 8 PERP</v>
      </c>
      <c r="B49" s="7" t="str">
        <f>IF('Port Bloomberg'!B49="","",'Port Bloomberg'!B49)</f>
        <v>Banco Mercantil del Norte SA/Grand Cayman</v>
      </c>
      <c r="C49" s="7" t="str">
        <f>IF('Port Bloomberg'!C49="","",'Port Bloomberg'!C49)</f>
        <v>BANCO MERC NORTE</v>
      </c>
      <c r="D49" s="7" t="str">
        <f>IF('Port Bloomberg'!D49="","",'Port Bloomberg'!D49)</f>
        <v>BANCO MERCANTIL DE NORTE</v>
      </c>
      <c r="E49" s="7" t="str">
        <f>IF('Port Bloomberg'!E49="","",'Port Bloomberg'!E49)</f>
        <v>USP1400MAF51</v>
      </c>
      <c r="F49" s="7" t="str">
        <f>IF('Port Bloomberg'!F49="","",'Port Bloomberg'!F49)</f>
        <v>BANORT</v>
      </c>
      <c r="G49" s="7" t="str">
        <f>IF('Port Bloomberg'!G49="","",'Port Bloomberg'!G49)</f>
        <v>BMNA MM</v>
      </c>
      <c r="H49" s="7" t="str">
        <f>IF('Port Bloomberg'!H49="","",'Port Bloomberg'!H49)</f>
        <v>Banks</v>
      </c>
      <c r="I49" s="7" t="str">
        <f>IF('Port Bloomberg'!I49="","",'Port Bloomberg'!I49)</f>
        <v>FIN</v>
      </c>
      <c r="J49" s="7" t="str">
        <f>IF('Port Bloomberg'!J49="","",'Port Bloomberg'!J49)</f>
        <v>Commer Banks Non-US</v>
      </c>
      <c r="K49" s="7" t="str">
        <f>IF('Port Bloomberg'!K49="","",'Port Bloomberg'!K49)</f>
        <v>KY</v>
      </c>
      <c r="L49" s="7" t="str">
        <f>IF('Port Bloomberg'!L49="","",'Port Bloomberg'!L49)</f>
        <v>MX</v>
      </c>
      <c r="M49" s="7" t="str">
        <f>IF('Port Bloomberg'!M49="","",'Port Bloomberg'!M49)</f>
        <v>USD</v>
      </c>
      <c r="N49" s="7">
        <f>IF('Port Bloomberg'!N49="","",'Port Bloomberg'!N49)</f>
        <v>600000</v>
      </c>
      <c r="O49" s="7" t="str">
        <f>IF('Port Bloomberg'!O49="","",'Port Bloomberg'!O49)</f>
        <v>SINGLE</v>
      </c>
      <c r="P49" s="7">
        <f>IF('Port Bloomberg'!P49="","",'Port Bloomberg'!P49)</f>
        <v>8</v>
      </c>
      <c r="Q49" s="7" t="str">
        <f>IF('Port Bloomberg'!Q49="","",'Port Bloomberg'!Q49)</f>
        <v>BB-</v>
      </c>
      <c r="R49" s="7" t="str">
        <f>IF('Port Bloomberg'!R49="","",'Port Bloomberg'!R49)</f>
        <v/>
      </c>
      <c r="S49" s="5">
        <f>IF(E49="","",IFERROR(IF(MATCH(E49,[1]Instrumentos!$D:$D,0)&gt;0,1,0),0))</f>
        <v>1</v>
      </c>
      <c r="T49" s="5">
        <f>IF(E49="","",IFERROR(IF(MATCH(E49,'Lista de excepciones'!$E:$E,0)&gt;0,1,0),0))</f>
        <v>0</v>
      </c>
      <c r="U49" s="6" t="str">
        <f t="shared" si="1"/>
        <v>NO</v>
      </c>
    </row>
    <row r="50" spans="1:21" hidden="1" x14ac:dyDescent="0.25">
      <c r="A50" s="7" t="str">
        <f>IF('Port Bloomberg'!A50="","",'Port Bloomberg'!A50)</f>
        <v>BANORT 8 ¾ PERP</v>
      </c>
      <c r="B50" s="7" t="str">
        <f>IF('Port Bloomberg'!B50="","",'Port Bloomberg'!B50)</f>
        <v>Banco Mercantil del Norte SA/Grand Cayman</v>
      </c>
      <c r="C50" s="7" t="str">
        <f>IF('Port Bloomberg'!C50="","",'Port Bloomberg'!C50)</f>
        <v>BANCO MERC NORTE</v>
      </c>
      <c r="D50" s="7" t="str">
        <f>IF('Port Bloomberg'!D50="","",'Port Bloomberg'!D50)</f>
        <v>BANCO MERCANTIL DE NORTE</v>
      </c>
      <c r="E50" s="7" t="str">
        <f>IF('Port Bloomberg'!E50="","",'Port Bloomberg'!E50)</f>
        <v>USP1400MAE86</v>
      </c>
      <c r="F50" s="7" t="str">
        <f>IF('Port Bloomberg'!F50="","",'Port Bloomberg'!F50)</f>
        <v>BANORT</v>
      </c>
      <c r="G50" s="7" t="str">
        <f>IF('Port Bloomberg'!G50="","",'Port Bloomberg'!G50)</f>
        <v>BMNA MM</v>
      </c>
      <c r="H50" s="7" t="str">
        <f>IF('Port Bloomberg'!H50="","",'Port Bloomberg'!H50)</f>
        <v>Banks</v>
      </c>
      <c r="I50" s="7" t="str">
        <f>IF('Port Bloomberg'!I50="","",'Port Bloomberg'!I50)</f>
        <v>FIN</v>
      </c>
      <c r="J50" s="7" t="str">
        <f>IF('Port Bloomberg'!J50="","",'Port Bloomberg'!J50)</f>
        <v>Commer Banks Non-US</v>
      </c>
      <c r="K50" s="7" t="str">
        <f>IF('Port Bloomberg'!K50="","",'Port Bloomberg'!K50)</f>
        <v>KY</v>
      </c>
      <c r="L50" s="7" t="str">
        <f>IF('Port Bloomberg'!L50="","",'Port Bloomberg'!L50)</f>
        <v>MX</v>
      </c>
      <c r="M50" s="7" t="str">
        <f>IF('Port Bloomberg'!M50="","",'Port Bloomberg'!M50)</f>
        <v>USD</v>
      </c>
      <c r="N50" s="7">
        <f>IF('Port Bloomberg'!N50="","",'Port Bloomberg'!N50)</f>
        <v>750000</v>
      </c>
      <c r="O50" s="7" t="str">
        <f>IF('Port Bloomberg'!O50="","",'Port Bloomberg'!O50)</f>
        <v>SINGLE</v>
      </c>
      <c r="P50" s="7">
        <f>IF('Port Bloomberg'!P50="","",'Port Bloomberg'!P50)</f>
        <v>8.75</v>
      </c>
      <c r="Q50" s="7" t="str">
        <f>IF('Port Bloomberg'!Q50="","",'Port Bloomberg'!Q50)</f>
        <v>BB-</v>
      </c>
      <c r="R50" s="7" t="str">
        <f>IF('Port Bloomberg'!R50="","",'Port Bloomberg'!R50)</f>
        <v/>
      </c>
      <c r="S50" s="5">
        <f>IF(E50="","",IFERROR(IF(MATCH(E50,[1]Instrumentos!$D:$D,0)&gt;0,1,0),0))</f>
        <v>1</v>
      </c>
      <c r="T50" s="5">
        <f>IF(E50="","",IFERROR(IF(MATCH(E50,'Lista de excepciones'!$E:$E,0)&gt;0,1,0),0))</f>
        <v>0</v>
      </c>
      <c r="U50" s="6" t="str">
        <f t="shared" si="1"/>
        <v>NO</v>
      </c>
    </row>
    <row r="51" spans="1:21" hidden="1" x14ac:dyDescent="0.25">
      <c r="A51" s="7" t="str">
        <f>IF('Port Bloomberg'!A51="","",'Port Bloomberg'!A51)</f>
        <v>BANORT 8 ⅜ PERP</v>
      </c>
      <c r="B51" s="7" t="str">
        <f>IF('Port Bloomberg'!B51="","",'Port Bloomberg'!B51)</f>
        <v>Banco Mercantil del Norte SA/Grand Cayman</v>
      </c>
      <c r="C51" s="7" t="str">
        <f>IF('Port Bloomberg'!C51="","",'Port Bloomberg'!C51)</f>
        <v>BANCO MERC NORTE</v>
      </c>
      <c r="D51" s="7" t="str">
        <f>IF('Port Bloomberg'!D51="","",'Port Bloomberg'!D51)</f>
        <v>BANCO MERCANTIL DE NORTE</v>
      </c>
      <c r="E51" s="7" t="str">
        <f>IF('Port Bloomberg'!E51="","",'Port Bloomberg'!E51)</f>
        <v>USP1400MAD04</v>
      </c>
      <c r="F51" s="7" t="str">
        <f>IF('Port Bloomberg'!F51="","",'Port Bloomberg'!F51)</f>
        <v>BANORT</v>
      </c>
      <c r="G51" s="7" t="str">
        <f>IF('Port Bloomberg'!G51="","",'Port Bloomberg'!G51)</f>
        <v>BMNA MM</v>
      </c>
      <c r="H51" s="7" t="str">
        <f>IF('Port Bloomberg'!H51="","",'Port Bloomberg'!H51)</f>
        <v>Banks</v>
      </c>
      <c r="I51" s="7" t="str">
        <f>IF('Port Bloomberg'!I51="","",'Port Bloomberg'!I51)</f>
        <v>FIN</v>
      </c>
      <c r="J51" s="7" t="str">
        <f>IF('Port Bloomberg'!J51="","",'Port Bloomberg'!J51)</f>
        <v>Commer Banks Non-US</v>
      </c>
      <c r="K51" s="7" t="str">
        <f>IF('Port Bloomberg'!K51="","",'Port Bloomberg'!K51)</f>
        <v>KY</v>
      </c>
      <c r="L51" s="7" t="str">
        <f>IF('Port Bloomberg'!L51="","",'Port Bloomberg'!L51)</f>
        <v>MX</v>
      </c>
      <c r="M51" s="7" t="str">
        <f>IF('Port Bloomberg'!M51="","",'Port Bloomberg'!M51)</f>
        <v>USD</v>
      </c>
      <c r="N51" s="7">
        <f>IF('Port Bloomberg'!N51="","",'Port Bloomberg'!N51)</f>
        <v>750000</v>
      </c>
      <c r="O51" s="7" t="str">
        <f>IF('Port Bloomberg'!O51="","",'Port Bloomberg'!O51)</f>
        <v>SINGLE</v>
      </c>
      <c r="P51" s="7">
        <f>IF('Port Bloomberg'!P51="","",'Port Bloomberg'!P51)</f>
        <v>8.375</v>
      </c>
      <c r="Q51" s="7" t="str">
        <f>IF('Port Bloomberg'!Q51="","",'Port Bloomberg'!Q51)</f>
        <v>BB-</v>
      </c>
      <c r="R51" s="7" t="str">
        <f>IF('Port Bloomberg'!R51="","",'Port Bloomberg'!R51)</f>
        <v/>
      </c>
      <c r="S51" s="5">
        <f>IF(E51="","",IFERROR(IF(MATCH(E51,[1]Instrumentos!$D:$D,0)&gt;0,1,0),0))</f>
        <v>1</v>
      </c>
      <c r="T51" s="5">
        <f>IF(E51="","",IFERROR(IF(MATCH(E51,'Lista de excepciones'!$E:$E,0)&gt;0,1,0),0))</f>
        <v>0</v>
      </c>
      <c r="U51" s="6" t="str">
        <f t="shared" si="1"/>
        <v>NO</v>
      </c>
    </row>
    <row r="52" spans="1:21" hidden="1" x14ac:dyDescent="0.25">
      <c r="A52" s="7" t="str">
        <f>IF('Port Bloomberg'!A52="","",'Port Bloomberg'!A52)</f>
        <v>BANORT 8 ⅜ PERP</v>
      </c>
      <c r="B52" s="7" t="str">
        <f>IF('Port Bloomberg'!B52="","",'Port Bloomberg'!B52)</f>
        <v>Banco Mercantil del Norte SA/Grand Cayman</v>
      </c>
      <c r="C52" s="7" t="str">
        <f>IF('Port Bloomberg'!C52="","",'Port Bloomberg'!C52)</f>
        <v>BANCO MERC NORTE</v>
      </c>
      <c r="D52" s="7" t="str">
        <f>IF('Port Bloomberg'!D52="","",'Port Bloomberg'!D52)</f>
        <v>BANCO MERCANTIL DE NORTE</v>
      </c>
      <c r="E52" s="7" t="str">
        <f>IF('Port Bloomberg'!E52="","",'Port Bloomberg'!E52)</f>
        <v>USP1400MAC21</v>
      </c>
      <c r="F52" s="7" t="str">
        <f>IF('Port Bloomberg'!F52="","",'Port Bloomberg'!F52)</f>
        <v>BANORT</v>
      </c>
      <c r="G52" s="7" t="str">
        <f>IF('Port Bloomberg'!G52="","",'Port Bloomberg'!G52)</f>
        <v>BMNA MM</v>
      </c>
      <c r="H52" s="7" t="str">
        <f>IF('Port Bloomberg'!H52="","",'Port Bloomberg'!H52)</f>
        <v>Banks</v>
      </c>
      <c r="I52" s="7" t="str">
        <f>IF('Port Bloomberg'!I52="","",'Port Bloomberg'!I52)</f>
        <v>FIN</v>
      </c>
      <c r="J52" s="7" t="str">
        <f>IF('Port Bloomberg'!J52="","",'Port Bloomberg'!J52)</f>
        <v>Commer Banks Non-US</v>
      </c>
      <c r="K52" s="7" t="str">
        <f>IF('Port Bloomberg'!K52="","",'Port Bloomberg'!K52)</f>
        <v>KY</v>
      </c>
      <c r="L52" s="7" t="str">
        <f>IF('Port Bloomberg'!L52="","",'Port Bloomberg'!L52)</f>
        <v>MX</v>
      </c>
      <c r="M52" s="7" t="str">
        <f>IF('Port Bloomberg'!M52="","",'Port Bloomberg'!M52)</f>
        <v>USD</v>
      </c>
      <c r="N52" s="7">
        <f>IF('Port Bloomberg'!N52="","",'Port Bloomberg'!N52)</f>
        <v>500000</v>
      </c>
      <c r="O52" s="7" t="str">
        <f>IF('Port Bloomberg'!O52="","",'Port Bloomberg'!O52)</f>
        <v>SINGLE</v>
      </c>
      <c r="P52" s="7">
        <f>IF('Port Bloomberg'!P52="","",'Port Bloomberg'!P52)</f>
        <v>8.375</v>
      </c>
      <c r="Q52" s="7" t="str">
        <f>IF('Port Bloomberg'!Q52="","",'Port Bloomberg'!Q52)</f>
        <v>BB-</v>
      </c>
      <c r="R52" s="7" t="str">
        <f>IF('Port Bloomberg'!R52="","",'Port Bloomberg'!R52)</f>
        <v/>
      </c>
      <c r="S52" s="5">
        <f>IF(E52="","",IFERROR(IF(MATCH(E52,[1]Instrumentos!$D:$D,0)&gt;0,1,0),0))</f>
        <v>1</v>
      </c>
      <c r="T52" s="5">
        <f>IF(E52="","",IFERROR(IF(MATCH(E52,'Lista de excepciones'!$E:$E,0)&gt;0,1,0),0))</f>
        <v>0</v>
      </c>
      <c r="U52" s="6" t="str">
        <f t="shared" si="1"/>
        <v>NO</v>
      </c>
    </row>
    <row r="53" spans="1:21" hidden="1" x14ac:dyDescent="0.25">
      <c r="A53" s="7" t="str">
        <f>IF('Port Bloomberg'!A53="","",'Port Bloomberg'!A53)</f>
        <v>BANORT 8.45 PERP</v>
      </c>
      <c r="B53" s="7" t="str">
        <f>IF('Port Bloomberg'!B53="","",'Port Bloomberg'!B53)</f>
        <v>Banco Mercantil del Norte SA/Grand Cayman</v>
      </c>
      <c r="C53" s="7" t="str">
        <f>IF('Port Bloomberg'!C53="","",'Port Bloomberg'!C53)</f>
        <v>BANCO MERC NORTE</v>
      </c>
      <c r="D53" s="7" t="str">
        <f>IF('Port Bloomberg'!D53="","",'Port Bloomberg'!D53)</f>
        <v>BANCO MERCANTIL DE NORTE</v>
      </c>
      <c r="E53" s="7" t="str">
        <f>IF('Port Bloomberg'!E53="","",'Port Bloomberg'!E53)</f>
        <v>USP1400MAG35</v>
      </c>
      <c r="F53" s="7" t="str">
        <f>IF('Port Bloomberg'!F53="","",'Port Bloomberg'!F53)</f>
        <v>BANORT</v>
      </c>
      <c r="G53" s="7" t="str">
        <f>IF('Port Bloomberg'!G53="","",'Port Bloomberg'!G53)</f>
        <v>BMNA MM</v>
      </c>
      <c r="H53" s="7" t="str">
        <f>IF('Port Bloomberg'!H53="","",'Port Bloomberg'!H53)</f>
        <v>Banks</v>
      </c>
      <c r="I53" s="7" t="str">
        <f>IF('Port Bloomberg'!I53="","",'Port Bloomberg'!I53)</f>
        <v>FIN</v>
      </c>
      <c r="J53" s="7" t="str">
        <f>IF('Port Bloomberg'!J53="","",'Port Bloomberg'!J53)</f>
        <v>Commer Banks Non-US</v>
      </c>
      <c r="K53" s="7" t="str">
        <f>IF('Port Bloomberg'!K53="","",'Port Bloomberg'!K53)</f>
        <v>KY</v>
      </c>
      <c r="L53" s="7" t="str">
        <f>IF('Port Bloomberg'!L53="","",'Port Bloomberg'!L53)</f>
        <v>MX</v>
      </c>
      <c r="M53" s="7" t="str">
        <f>IF('Port Bloomberg'!M53="","",'Port Bloomberg'!M53)</f>
        <v>USD</v>
      </c>
      <c r="N53" s="7">
        <f>IF('Port Bloomberg'!N53="","",'Port Bloomberg'!N53)</f>
        <v>750000</v>
      </c>
      <c r="O53" s="7" t="str">
        <f>IF('Port Bloomberg'!O53="","",'Port Bloomberg'!O53)</f>
        <v>SINGLE</v>
      </c>
      <c r="P53" s="7">
        <f>IF('Port Bloomberg'!P53="","",'Port Bloomberg'!P53)</f>
        <v>8.4499999999999993</v>
      </c>
      <c r="Q53" s="7" t="str">
        <f>IF('Port Bloomberg'!Q53="","",'Port Bloomberg'!Q53)</f>
        <v>BB-</v>
      </c>
      <c r="R53" s="7" t="str">
        <f>IF('Port Bloomberg'!R53="","",'Port Bloomberg'!R53)</f>
        <v/>
      </c>
      <c r="S53" s="5">
        <f>IF(E53="","",IFERROR(IF(MATCH(E53,[1]Instrumentos!$D:$D,0)&gt;0,1,0),0))</f>
        <v>1</v>
      </c>
      <c r="T53" s="5">
        <f>IF(E53="","",IFERROR(IF(MATCH(E53,'Lista de excepciones'!$E:$E,0)&gt;0,1,0),0))</f>
        <v>0</v>
      </c>
      <c r="U53" s="6" t="str">
        <f t="shared" si="1"/>
        <v>NO</v>
      </c>
    </row>
    <row r="54" spans="1:21" hidden="1" x14ac:dyDescent="0.25">
      <c r="A54" s="7" t="str">
        <f>IF('Port Bloomberg'!A54="","",'Port Bloomberg'!A54)</f>
        <v>BBVASM 5 ¼ 09/10/29</v>
      </c>
      <c r="B54" s="7" t="str">
        <f>IF('Port Bloomberg'!B54="","",'Port Bloomberg'!B54)</f>
        <v>BBVA Mexico SA Institucion De Banca Multiple Grupo Financiero BBVA Mexico/TX</v>
      </c>
      <c r="C54" s="7" t="str">
        <f>IF('Port Bloomberg'!C54="","",'Port Bloomberg'!C54)</f>
        <v>BBVA MEX BANC/TX</v>
      </c>
      <c r="D54" s="7" t="str">
        <f>IF('Port Bloomberg'!D54="","",'Port Bloomberg'!D54)</f>
        <v>BBVA MEX BANCA GRUPO TX</v>
      </c>
      <c r="E54" s="7" t="str">
        <f>IF('Port Bloomberg'!E54="","",'Port Bloomberg'!E54)</f>
        <v>USP1S81BAC21</v>
      </c>
      <c r="F54" s="7" t="str">
        <f>IF('Port Bloomberg'!F54="","",'Port Bloomberg'!F54)</f>
        <v>BBVASM</v>
      </c>
      <c r="G54" s="7" t="str">
        <f>IF('Port Bloomberg'!G54="","",'Port Bloomberg'!G54)</f>
        <v>1470Z MM</v>
      </c>
      <c r="H54" s="7" t="str">
        <f>IF('Port Bloomberg'!H54="","",'Port Bloomberg'!H54)</f>
        <v>Banks</v>
      </c>
      <c r="I54" s="7" t="str">
        <f>IF('Port Bloomberg'!I54="","",'Port Bloomberg'!I54)</f>
        <v>FIN</v>
      </c>
      <c r="J54" s="7" t="str">
        <f>IF('Port Bloomberg'!J54="","",'Port Bloomberg'!J54)</f>
        <v>Money Center Banks</v>
      </c>
      <c r="K54" s="7" t="str">
        <f>IF('Port Bloomberg'!K54="","",'Port Bloomberg'!K54)</f>
        <v>US</v>
      </c>
      <c r="L54" s="7" t="str">
        <f>IF('Port Bloomberg'!L54="","",'Port Bloomberg'!L54)</f>
        <v>MX</v>
      </c>
      <c r="M54" s="7" t="str">
        <f>IF('Port Bloomberg'!M54="","",'Port Bloomberg'!M54)</f>
        <v>USD</v>
      </c>
      <c r="N54" s="7">
        <f>IF('Port Bloomberg'!N54="","",'Port Bloomberg'!N54)</f>
        <v>600000</v>
      </c>
      <c r="O54" s="7" t="str">
        <f>IF('Port Bloomberg'!O54="","",'Port Bloomberg'!O54)</f>
        <v>SINGLE</v>
      </c>
      <c r="P54" s="7">
        <f>IF('Port Bloomberg'!P54="","",'Port Bloomberg'!P54)</f>
        <v>5.25</v>
      </c>
      <c r="Q54" s="7" t="str">
        <f>IF('Port Bloomberg'!Q54="","",'Port Bloomberg'!Q54)</f>
        <v>BBB+</v>
      </c>
      <c r="R54" s="7" t="str">
        <f>IF('Port Bloomberg'!R54="","",'Port Bloomberg'!R54)</f>
        <v>09/10/2029</v>
      </c>
      <c r="S54" s="5">
        <f>IF(E54="","",IFERROR(IF(MATCH(E54,[1]Instrumentos!$D:$D,0)&gt;0,1,0),0))</f>
        <v>1</v>
      </c>
      <c r="T54" s="5">
        <f>IF(E54="","",IFERROR(IF(MATCH(E54,'Lista de excepciones'!$E:$E,0)&gt;0,1,0),0))</f>
        <v>0</v>
      </c>
      <c r="U54" s="6" t="str">
        <f t="shared" si="1"/>
        <v>NO</v>
      </c>
    </row>
    <row r="55" spans="1:21" hidden="1" x14ac:dyDescent="0.25">
      <c r="A55" s="7" t="str">
        <f>IF('Port Bloomberg'!A55="","",'Port Bloomberg'!A55)</f>
        <v>BBVASM 5 ⅞ 09/13/34</v>
      </c>
      <c r="B55" s="7" t="str">
        <f>IF('Port Bloomberg'!B55="","",'Port Bloomberg'!B55)</f>
        <v>BBVA Mexico SA Institucion De Banca Multiple Grupo Financiero BBVA Mexico/TX</v>
      </c>
      <c r="C55" s="7" t="str">
        <f>IF('Port Bloomberg'!C55="","",'Port Bloomberg'!C55)</f>
        <v>BBVA MEX BANC/TX</v>
      </c>
      <c r="D55" s="7" t="str">
        <f>IF('Port Bloomberg'!D55="","",'Port Bloomberg'!D55)</f>
        <v>BBVA MEX BANCA GRUPO TX</v>
      </c>
      <c r="E55" s="7" t="str">
        <f>IF('Port Bloomberg'!E55="","",'Port Bloomberg'!E55)</f>
        <v>USP16259AN67</v>
      </c>
      <c r="F55" s="7" t="str">
        <f>IF('Port Bloomberg'!F55="","",'Port Bloomberg'!F55)</f>
        <v>BBVASM</v>
      </c>
      <c r="G55" s="7" t="str">
        <f>IF('Port Bloomberg'!G55="","",'Port Bloomberg'!G55)</f>
        <v>1470Z MM</v>
      </c>
      <c r="H55" s="7" t="str">
        <f>IF('Port Bloomberg'!H55="","",'Port Bloomberg'!H55)</f>
        <v>Banks</v>
      </c>
      <c r="I55" s="7" t="str">
        <f>IF('Port Bloomberg'!I55="","",'Port Bloomberg'!I55)</f>
        <v>FIN</v>
      </c>
      <c r="J55" s="7" t="str">
        <f>IF('Port Bloomberg'!J55="","",'Port Bloomberg'!J55)</f>
        <v>Money Center Banks</v>
      </c>
      <c r="K55" s="7" t="str">
        <f>IF('Port Bloomberg'!K55="","",'Port Bloomberg'!K55)</f>
        <v>US</v>
      </c>
      <c r="L55" s="7" t="str">
        <f>IF('Port Bloomberg'!L55="","",'Port Bloomberg'!L55)</f>
        <v>MX</v>
      </c>
      <c r="M55" s="7" t="str">
        <f>IF('Port Bloomberg'!M55="","",'Port Bloomberg'!M55)</f>
        <v>USD</v>
      </c>
      <c r="N55" s="7">
        <f>IF('Port Bloomberg'!N55="","",'Port Bloomberg'!N55)</f>
        <v>750000</v>
      </c>
      <c r="O55" s="7" t="str">
        <f>IF('Port Bloomberg'!O55="","",'Port Bloomberg'!O55)</f>
        <v>SINGLE</v>
      </c>
      <c r="P55" s="7">
        <f>IF('Port Bloomberg'!P55="","",'Port Bloomberg'!P55)</f>
        <v>5.875</v>
      </c>
      <c r="Q55" s="7" t="str">
        <f>IF('Port Bloomberg'!Q55="","",'Port Bloomberg'!Q55)</f>
        <v>BB+</v>
      </c>
      <c r="R55" s="7" t="str">
        <f>IF('Port Bloomberg'!R55="","",'Port Bloomberg'!R55)</f>
        <v>09/13/2034</v>
      </c>
      <c r="S55" s="5">
        <f>IF(E55="","",IFERROR(IF(MATCH(E55,[1]Instrumentos!$D:$D,0)&gt;0,1,0),0))</f>
        <v>1</v>
      </c>
      <c r="T55" s="5">
        <f>IF(E55="","",IFERROR(IF(MATCH(E55,'Lista de excepciones'!$E:$E,0)&gt;0,1,0),0))</f>
        <v>0</v>
      </c>
      <c r="U55" s="6" t="str">
        <f t="shared" si="1"/>
        <v>NO</v>
      </c>
    </row>
    <row r="56" spans="1:21" hidden="1" x14ac:dyDescent="0.25">
      <c r="A56" s="7" t="str">
        <f>IF('Port Bloomberg'!A56="","",'Port Bloomberg'!A56)</f>
        <v>BBVASM 5.4 06/03/31</v>
      </c>
      <c r="B56" s="7" t="str">
        <f>IF('Port Bloomberg'!B56="","",'Port Bloomberg'!B56)</f>
        <v>BBVA Mexico SA Institucion De Banca Multiple Grupo Financiero BBVA Mexico/TX</v>
      </c>
      <c r="C56" s="7" t="str">
        <f>IF('Port Bloomberg'!C56="","",'Port Bloomberg'!C56)</f>
        <v>BBVA MEX BANC/TX</v>
      </c>
      <c r="D56" s="7" t="str">
        <f>IF('Port Bloomberg'!D56="","",'Port Bloomberg'!D56)</f>
        <v>BBVA MEX BANCA GRUPO TX</v>
      </c>
      <c r="E56" s="7" t="str">
        <f>IF('Port Bloomberg'!E56="","",'Port Bloomberg'!E56)</f>
        <v>USP2000GAB97</v>
      </c>
      <c r="F56" s="7" t="str">
        <f>IF('Port Bloomberg'!F56="","",'Port Bloomberg'!F56)</f>
        <v>BBVASM</v>
      </c>
      <c r="G56" s="7" t="str">
        <f>IF('Port Bloomberg'!G56="","",'Port Bloomberg'!G56)</f>
        <v>1470Z MM</v>
      </c>
      <c r="H56" s="7" t="str">
        <f>IF('Port Bloomberg'!H56="","",'Port Bloomberg'!H56)</f>
        <v>Banks</v>
      </c>
      <c r="I56" s="7" t="str">
        <f>IF('Port Bloomberg'!I56="","",'Port Bloomberg'!I56)</f>
        <v>FIN</v>
      </c>
      <c r="J56" s="7" t="str">
        <f>IF('Port Bloomberg'!J56="","",'Port Bloomberg'!J56)</f>
        <v>Money Center Banks</v>
      </c>
      <c r="K56" s="7" t="str">
        <f>IF('Port Bloomberg'!K56="","",'Port Bloomberg'!K56)</f>
        <v>US</v>
      </c>
      <c r="L56" s="7" t="str">
        <f>IF('Port Bloomberg'!L56="","",'Port Bloomberg'!L56)</f>
        <v>MX</v>
      </c>
      <c r="M56" s="7" t="str">
        <f>IF('Port Bloomberg'!M56="","",'Port Bloomberg'!M56)</f>
        <v>USD</v>
      </c>
      <c r="N56" s="7">
        <f>IF('Port Bloomberg'!N56="","",'Port Bloomberg'!N56)</f>
        <v>1000000</v>
      </c>
      <c r="O56" s="7" t="str">
        <f>IF('Port Bloomberg'!O56="","",'Port Bloomberg'!O56)</f>
        <v>SINGLE</v>
      </c>
      <c r="P56" s="7">
        <f>IF('Port Bloomberg'!P56="","",'Port Bloomberg'!P56)</f>
        <v>5.4</v>
      </c>
      <c r="Q56" s="7" t="str">
        <f>IF('Port Bloomberg'!Q56="","",'Port Bloomberg'!Q56)</f>
        <v>BBB+</v>
      </c>
      <c r="R56" s="7" t="str">
        <f>IF('Port Bloomberg'!R56="","",'Port Bloomberg'!R56)</f>
        <v>06/03/2031</v>
      </c>
      <c r="S56" s="5">
        <f>IF(E56="","",IFERROR(IF(MATCH(E56,[1]Instrumentos!$D:$D,0)&gt;0,1,0),0))</f>
        <v>1</v>
      </c>
      <c r="T56" s="5">
        <f>IF(E56="","",IFERROR(IF(MATCH(E56,'Lista de excepciones'!$E:$E,0)&gt;0,1,0),0))</f>
        <v>0</v>
      </c>
      <c r="U56" s="6" t="str">
        <f t="shared" si="1"/>
        <v>NO</v>
      </c>
    </row>
    <row r="57" spans="1:21" hidden="1" x14ac:dyDescent="0.25">
      <c r="A57" s="7" t="str">
        <f>IF('Port Bloomberg'!A57="","",'Port Bloomberg'!A57)</f>
        <v>BBVASM 7 ⅝ 02/11/35</v>
      </c>
      <c r="B57" s="7" t="str">
        <f>IF('Port Bloomberg'!B57="","",'Port Bloomberg'!B57)</f>
        <v>BBVA Mexico SA Institucion De Banca Multiple Grupo Financiero BBVA Mexico/TX</v>
      </c>
      <c r="C57" s="7" t="str">
        <f>IF('Port Bloomberg'!C57="","",'Port Bloomberg'!C57)</f>
        <v>BBVA MEX BANC/TX</v>
      </c>
      <c r="D57" s="7" t="str">
        <f>IF('Port Bloomberg'!D57="","",'Port Bloomberg'!D57)</f>
        <v>BBVA MEX BANCA GRUPO TX</v>
      </c>
      <c r="E57" s="7" t="str">
        <f>IF('Port Bloomberg'!E57="","",'Port Bloomberg'!E57)</f>
        <v>USP2000GAA15</v>
      </c>
      <c r="F57" s="7" t="str">
        <f>IF('Port Bloomberg'!F57="","",'Port Bloomberg'!F57)</f>
        <v>BBVASM</v>
      </c>
      <c r="G57" s="7" t="str">
        <f>IF('Port Bloomberg'!G57="","",'Port Bloomberg'!G57)</f>
        <v>1470Z MM</v>
      </c>
      <c r="H57" s="7" t="str">
        <f>IF('Port Bloomberg'!H57="","",'Port Bloomberg'!H57)</f>
        <v>Banks</v>
      </c>
      <c r="I57" s="7" t="str">
        <f>IF('Port Bloomberg'!I57="","",'Port Bloomberg'!I57)</f>
        <v>FIN</v>
      </c>
      <c r="J57" s="7" t="str">
        <f>IF('Port Bloomberg'!J57="","",'Port Bloomberg'!J57)</f>
        <v>Money Center Banks</v>
      </c>
      <c r="K57" s="7" t="str">
        <f>IF('Port Bloomberg'!K57="","",'Port Bloomberg'!K57)</f>
        <v>US</v>
      </c>
      <c r="L57" s="7" t="str">
        <f>IF('Port Bloomberg'!L57="","",'Port Bloomberg'!L57)</f>
        <v>MX</v>
      </c>
      <c r="M57" s="7" t="str">
        <f>IF('Port Bloomberg'!M57="","",'Port Bloomberg'!M57)</f>
        <v>USD</v>
      </c>
      <c r="N57" s="7">
        <f>IF('Port Bloomberg'!N57="","",'Port Bloomberg'!N57)</f>
        <v>1000000</v>
      </c>
      <c r="O57" s="7" t="str">
        <f>IF('Port Bloomberg'!O57="","",'Port Bloomberg'!O57)</f>
        <v>SINGLE</v>
      </c>
      <c r="P57" s="7">
        <f>IF('Port Bloomberg'!P57="","",'Port Bloomberg'!P57)</f>
        <v>7.625</v>
      </c>
      <c r="Q57" s="7" t="str">
        <f>IF('Port Bloomberg'!Q57="","",'Port Bloomberg'!Q57)</f>
        <v>BB+</v>
      </c>
      <c r="R57" s="7" t="str">
        <f>IF('Port Bloomberg'!R57="","",'Port Bloomberg'!R57)</f>
        <v>02/11/2035</v>
      </c>
      <c r="S57" s="5">
        <f>IF(E57="","",IFERROR(IF(MATCH(E57,[1]Instrumentos!$D:$D,0)&gt;0,1,0),0))</f>
        <v>1</v>
      </c>
      <c r="T57" s="5">
        <f>IF(E57="","",IFERROR(IF(MATCH(E57,'Lista de excepciones'!$E:$E,0)&gt;0,1,0),0))</f>
        <v>0</v>
      </c>
      <c r="U57" s="6" t="str">
        <f t="shared" si="1"/>
        <v>NO</v>
      </c>
    </row>
    <row r="58" spans="1:21" hidden="1" x14ac:dyDescent="0.25">
      <c r="A58" s="7" t="str">
        <f>IF('Port Bloomberg'!A58="","",'Port Bloomberg'!A58)</f>
        <v>BBVASM 8 ⅛ 01/08/39</v>
      </c>
      <c r="B58" s="7" t="str">
        <f>IF('Port Bloomberg'!B58="","",'Port Bloomberg'!B58)</f>
        <v>BBVA Mexico SA Institucion De Banca Multiple Grupo Financiero BBVA Mexico/TX</v>
      </c>
      <c r="C58" s="7" t="str">
        <f>IF('Port Bloomberg'!C58="","",'Port Bloomberg'!C58)</f>
        <v>BBVA MEX BANC/TX</v>
      </c>
      <c r="D58" s="7" t="str">
        <f>IF('Port Bloomberg'!D58="","",'Port Bloomberg'!D58)</f>
        <v>BBVA MEX BANCA GRUPO TX</v>
      </c>
      <c r="E58" s="7" t="str">
        <f>IF('Port Bloomberg'!E58="","",'Port Bloomberg'!E58)</f>
        <v>USP1S81BAB48</v>
      </c>
      <c r="F58" s="7" t="str">
        <f>IF('Port Bloomberg'!F58="","",'Port Bloomberg'!F58)</f>
        <v>BBVASM</v>
      </c>
      <c r="G58" s="7" t="str">
        <f>IF('Port Bloomberg'!G58="","",'Port Bloomberg'!G58)</f>
        <v>1470Z MM</v>
      </c>
      <c r="H58" s="7" t="str">
        <f>IF('Port Bloomberg'!H58="","",'Port Bloomberg'!H58)</f>
        <v>Banks</v>
      </c>
      <c r="I58" s="7" t="str">
        <f>IF('Port Bloomberg'!I58="","",'Port Bloomberg'!I58)</f>
        <v>FIN</v>
      </c>
      <c r="J58" s="7" t="str">
        <f>IF('Port Bloomberg'!J58="","",'Port Bloomberg'!J58)</f>
        <v>Money Center Banks</v>
      </c>
      <c r="K58" s="7" t="str">
        <f>IF('Port Bloomberg'!K58="","",'Port Bloomberg'!K58)</f>
        <v>US</v>
      </c>
      <c r="L58" s="7" t="str">
        <f>IF('Port Bloomberg'!L58="","",'Port Bloomberg'!L58)</f>
        <v>MX</v>
      </c>
      <c r="M58" s="7" t="str">
        <f>IF('Port Bloomberg'!M58="","",'Port Bloomberg'!M58)</f>
        <v>USD</v>
      </c>
      <c r="N58" s="7">
        <f>IF('Port Bloomberg'!N58="","",'Port Bloomberg'!N58)</f>
        <v>900000</v>
      </c>
      <c r="O58" s="7" t="str">
        <f>IF('Port Bloomberg'!O58="","",'Port Bloomberg'!O58)</f>
        <v>SINGLE</v>
      </c>
      <c r="P58" s="7">
        <f>IF('Port Bloomberg'!P58="","",'Port Bloomberg'!P58)</f>
        <v>8.125</v>
      </c>
      <c r="Q58" s="7" t="str">
        <f>IF('Port Bloomberg'!Q58="","",'Port Bloomberg'!Q58)</f>
        <v>BB+</v>
      </c>
      <c r="R58" s="7" t="str">
        <f>IF('Port Bloomberg'!R58="","",'Port Bloomberg'!R58)</f>
        <v>01/08/2039</v>
      </c>
      <c r="S58" s="5">
        <f>IF(E58="","",IFERROR(IF(MATCH(E58,[1]Instrumentos!$D:$D,0)&gt;0,1,0),0))</f>
        <v>1</v>
      </c>
      <c r="T58" s="5">
        <f>IF(E58="","",IFERROR(IF(MATCH(E58,'Lista de excepciones'!$E:$E,0)&gt;0,1,0),0))</f>
        <v>0</v>
      </c>
      <c r="U58" s="6" t="str">
        <f t="shared" si="1"/>
        <v>NO</v>
      </c>
    </row>
    <row r="59" spans="1:21" hidden="1" x14ac:dyDescent="0.25">
      <c r="A59" s="7" t="str">
        <f>IF('Port Bloomberg'!A59="","",'Port Bloomberg'!A59)</f>
        <v>BBVASM 8.45 06/29/38</v>
      </c>
      <c r="B59" s="7" t="str">
        <f>IF('Port Bloomberg'!B59="","",'Port Bloomberg'!B59)</f>
        <v>BBVA Mexico SA Institucion De Banca Multiple Grupo Financiero BBVA Mexico/TX</v>
      </c>
      <c r="C59" s="7" t="str">
        <f>IF('Port Bloomberg'!C59="","",'Port Bloomberg'!C59)</f>
        <v>BBVA MEX BANC/TX</v>
      </c>
      <c r="D59" s="7" t="str">
        <f>IF('Port Bloomberg'!D59="","",'Port Bloomberg'!D59)</f>
        <v>BBVA MEX BANCA GRUPO TX</v>
      </c>
      <c r="E59" s="7" t="str">
        <f>IF('Port Bloomberg'!E59="","",'Port Bloomberg'!E59)</f>
        <v>USP1S81BAA64</v>
      </c>
      <c r="F59" s="7" t="str">
        <f>IF('Port Bloomberg'!F59="","",'Port Bloomberg'!F59)</f>
        <v>BBVASM</v>
      </c>
      <c r="G59" s="7" t="str">
        <f>IF('Port Bloomberg'!G59="","",'Port Bloomberg'!G59)</f>
        <v>1470Z MM</v>
      </c>
      <c r="H59" s="7" t="str">
        <f>IF('Port Bloomberg'!H59="","",'Port Bloomberg'!H59)</f>
        <v>Banks</v>
      </c>
      <c r="I59" s="7" t="str">
        <f>IF('Port Bloomberg'!I59="","",'Port Bloomberg'!I59)</f>
        <v>FIN</v>
      </c>
      <c r="J59" s="7" t="str">
        <f>IF('Port Bloomberg'!J59="","",'Port Bloomberg'!J59)</f>
        <v>Money Center Banks</v>
      </c>
      <c r="K59" s="7" t="str">
        <f>IF('Port Bloomberg'!K59="","",'Port Bloomberg'!K59)</f>
        <v>US</v>
      </c>
      <c r="L59" s="7" t="str">
        <f>IF('Port Bloomberg'!L59="","",'Port Bloomberg'!L59)</f>
        <v>MX</v>
      </c>
      <c r="M59" s="7" t="str">
        <f>IF('Port Bloomberg'!M59="","",'Port Bloomberg'!M59)</f>
        <v>USD</v>
      </c>
      <c r="N59" s="7">
        <f>IF('Port Bloomberg'!N59="","",'Port Bloomberg'!N59)</f>
        <v>1000000</v>
      </c>
      <c r="O59" s="7" t="str">
        <f>IF('Port Bloomberg'!O59="","",'Port Bloomberg'!O59)</f>
        <v>SINGLE</v>
      </c>
      <c r="P59" s="7">
        <f>IF('Port Bloomberg'!P59="","",'Port Bloomberg'!P59)</f>
        <v>8.4499999999999993</v>
      </c>
      <c r="Q59" s="7" t="str">
        <f>IF('Port Bloomberg'!Q59="","",'Port Bloomberg'!Q59)</f>
        <v>BB+</v>
      </c>
      <c r="R59" s="7" t="str">
        <f>IF('Port Bloomberg'!R59="","",'Port Bloomberg'!R59)</f>
        <v>06/29/2038</v>
      </c>
      <c r="S59" s="5">
        <f>IF(E59="","",IFERROR(IF(MATCH(E59,[1]Instrumentos!$D:$D,0)&gt;0,1,0),0))</f>
        <v>1</v>
      </c>
      <c r="T59" s="5">
        <f>IF(E59="","",IFERROR(IF(MATCH(E59,'Lista de excepciones'!$E:$E,0)&gt;0,1,0),0))</f>
        <v>0</v>
      </c>
      <c r="U59" s="6" t="str">
        <f t="shared" si="1"/>
        <v>NO</v>
      </c>
    </row>
    <row r="60" spans="1:21" hidden="1" x14ac:dyDescent="0.25">
      <c r="A60" s="7" t="str">
        <f>IF('Port Bloomberg'!A60="","",'Port Bloomberg'!A60)</f>
        <v>BCAJA 7 07/30/29</v>
      </c>
      <c r="B60" s="7" t="str">
        <f>IF('Port Bloomberg'!B60="","",'Port Bloomberg'!B60)</f>
        <v>Caja de Compensacion de Asignacion Familiar de Los Andes</v>
      </c>
      <c r="C60" s="7" t="str">
        <f>IF('Port Bloomberg'!C60="","",'Port Bloomberg'!C60)</f>
        <v>CAJA LOS ANDES</v>
      </c>
      <c r="D60" s="7" t="str">
        <f>IF('Port Bloomberg'!D60="","",'Port Bloomberg'!D60)</f>
        <v>CAJA ASIGNACION LOS ANDE</v>
      </c>
      <c r="E60" s="7" t="str">
        <f>IF('Port Bloomberg'!E60="","",'Port Bloomberg'!E60)</f>
        <v>USP1913PAS04</v>
      </c>
      <c r="F60" s="7" t="str">
        <f>IF('Port Bloomberg'!F60="","",'Port Bloomberg'!F60)</f>
        <v>BCAJA</v>
      </c>
      <c r="G60" s="7" t="str">
        <f>IF('Port Bloomberg'!G60="","",'Port Bloomberg'!G60)</f>
        <v>8181326Z CI</v>
      </c>
      <c r="H60" s="7" t="str">
        <f>IF('Port Bloomberg'!H60="","",'Port Bloomberg'!H60)</f>
        <v>Diversified Finan Serv</v>
      </c>
      <c r="I60" s="7" t="str">
        <f>IF('Port Bloomberg'!I60="","",'Port Bloomberg'!I60)</f>
        <v>FIN</v>
      </c>
      <c r="J60" s="7" t="str">
        <f>IF('Port Bloomberg'!J60="","",'Port Bloomberg'!J60)</f>
        <v>Finance-Other Services</v>
      </c>
      <c r="K60" s="7" t="str">
        <f>IF('Port Bloomberg'!K60="","",'Port Bloomberg'!K60)</f>
        <v>CL</v>
      </c>
      <c r="L60" s="7" t="str">
        <f>IF('Port Bloomberg'!L60="","",'Port Bloomberg'!L60)</f>
        <v>CL</v>
      </c>
      <c r="M60" s="7" t="str">
        <f>IF('Port Bloomberg'!M60="","",'Port Bloomberg'!M60)</f>
        <v>USD</v>
      </c>
      <c r="N60" s="7">
        <f>IF('Port Bloomberg'!N60="","",'Port Bloomberg'!N60)</f>
        <v>300000</v>
      </c>
      <c r="O60" s="7" t="str">
        <f>IF('Port Bloomberg'!O60="","",'Port Bloomberg'!O60)</f>
        <v>SINGLE</v>
      </c>
      <c r="P60" s="7">
        <f>IF('Port Bloomberg'!P60="","",'Port Bloomberg'!P60)</f>
        <v>7</v>
      </c>
      <c r="Q60" s="7" t="str">
        <f>IF('Port Bloomberg'!Q60="","",'Port Bloomberg'!Q60)</f>
        <v>BBB-</v>
      </c>
      <c r="R60" s="7" t="str">
        <f>IF('Port Bloomberg'!R60="","",'Port Bloomberg'!R60)</f>
        <v>07/30/2029</v>
      </c>
      <c r="S60" s="5">
        <f>IF(E60="","",IFERROR(IF(MATCH(E60,[1]Instrumentos!$D:$D,0)&gt;0,1,0),0))</f>
        <v>1</v>
      </c>
      <c r="T60" s="5">
        <f>IF(E60="","",IFERROR(IF(MATCH(E60,'Lista de excepciones'!$E:$E,0)&gt;0,1,0),0))</f>
        <v>0</v>
      </c>
      <c r="U60" s="6" t="str">
        <f t="shared" si="1"/>
        <v>NO</v>
      </c>
    </row>
    <row r="61" spans="1:21" hidden="1" x14ac:dyDescent="0.25">
      <c r="A61" s="7" t="str">
        <f>IF('Port Bloomberg'!A61="","",'Port Bloomberg'!A61)</f>
        <v>BCAPS 3.9 04/27/31</v>
      </c>
      <c r="B61" s="7" t="str">
        <f>IF('Port Bloomberg'!B61="","",'Port Bloomberg'!B61)</f>
        <v>CAP SA</v>
      </c>
      <c r="C61" s="7" t="str">
        <f>IF('Port Bloomberg'!C61="","",'Port Bloomberg'!C61)</f>
        <v>CAP</v>
      </c>
      <c r="D61" s="7" t="str">
        <f>IF('Port Bloomberg'!D61="","",'Port Bloomberg'!D61)</f>
        <v>CAP SA</v>
      </c>
      <c r="E61" s="7" t="str">
        <f>IF('Port Bloomberg'!E61="","",'Port Bloomberg'!E61)</f>
        <v>USP2316YAA12</v>
      </c>
      <c r="F61" s="7" t="str">
        <f>IF('Port Bloomberg'!F61="","",'Port Bloomberg'!F61)</f>
        <v>BCAPS</v>
      </c>
      <c r="G61" s="7" t="str">
        <f>IF('Port Bloomberg'!G61="","",'Port Bloomberg'!G61)</f>
        <v>CAP CI</v>
      </c>
      <c r="H61" s="7" t="str">
        <f>IF('Port Bloomberg'!H61="","",'Port Bloomberg'!H61)</f>
        <v>Iron/Steel</v>
      </c>
      <c r="I61" s="7" t="str">
        <f>IF('Port Bloomberg'!I61="","",'Port Bloomberg'!I61)</f>
        <v>IND</v>
      </c>
      <c r="J61" s="7" t="str">
        <f>IF('Port Bloomberg'!J61="","",'Port Bloomberg'!J61)</f>
        <v>Steel-Producers</v>
      </c>
      <c r="K61" s="7" t="str">
        <f>IF('Port Bloomberg'!K61="","",'Port Bloomberg'!K61)</f>
        <v>CL</v>
      </c>
      <c r="L61" s="7" t="str">
        <f>IF('Port Bloomberg'!L61="","",'Port Bloomberg'!L61)</f>
        <v>CL</v>
      </c>
      <c r="M61" s="7" t="str">
        <f>IF('Port Bloomberg'!M61="","",'Port Bloomberg'!M61)</f>
        <v>USD</v>
      </c>
      <c r="N61" s="7">
        <f>IF('Port Bloomberg'!N61="","",'Port Bloomberg'!N61)</f>
        <v>300000</v>
      </c>
      <c r="O61" s="7" t="str">
        <f>IF('Port Bloomberg'!O61="","",'Port Bloomberg'!O61)</f>
        <v>SINGLE</v>
      </c>
      <c r="P61" s="7">
        <f>IF('Port Bloomberg'!P61="","",'Port Bloomberg'!P61)</f>
        <v>3.9</v>
      </c>
      <c r="Q61" s="7" t="str">
        <f>IF('Port Bloomberg'!Q61="","",'Port Bloomberg'!Q61)</f>
        <v>BB</v>
      </c>
      <c r="R61" s="7" t="str">
        <f>IF('Port Bloomberg'!R61="","",'Port Bloomberg'!R61)</f>
        <v>04/27/2031</v>
      </c>
      <c r="S61" s="5">
        <f>IF(E61="","",IFERROR(IF(MATCH(E61,[1]Instrumentos!$D:$D,0)&gt;0,1,0),0))</f>
        <v>1</v>
      </c>
      <c r="T61" s="5">
        <f>IF(E61="","",IFERROR(IF(MATCH(E61,'Lista de excepciones'!$E:$E,0)&gt;0,1,0),0))</f>
        <v>0</v>
      </c>
      <c r="U61" s="6" t="str">
        <f t="shared" si="1"/>
        <v>NO</v>
      </c>
    </row>
    <row r="62" spans="1:21" hidden="1" x14ac:dyDescent="0.25">
      <c r="A62" s="7" t="str">
        <f>IF('Port Bloomberg'!A62="","",'Port Bloomberg'!A62)</f>
        <v>BCICI 2 ⅞ 10/14/31</v>
      </c>
      <c r="B62" s="7" t="str">
        <f>IF('Port Bloomberg'!B62="","",'Port Bloomberg'!B62)</f>
        <v>Banco de Credito e Inversiones SA</v>
      </c>
      <c r="C62" s="7" t="str">
        <f>IF('Port Bloomberg'!C62="","",'Port Bloomberg'!C62)</f>
        <v>BANC CRED INVERS</v>
      </c>
      <c r="D62" s="7" t="str">
        <f>IF('Port Bloomberg'!D62="","",'Port Bloomberg'!D62)</f>
        <v>BANC CREDITO INVERSIONES</v>
      </c>
      <c r="E62" s="7" t="str">
        <f>IF('Port Bloomberg'!E62="","",'Port Bloomberg'!E62)</f>
        <v>US05890PAB22</v>
      </c>
      <c r="F62" s="7" t="str">
        <f>IF('Port Bloomberg'!F62="","",'Port Bloomberg'!F62)</f>
        <v>BCICI</v>
      </c>
      <c r="G62" s="7" t="str">
        <f>IF('Port Bloomberg'!G62="","",'Port Bloomberg'!G62)</f>
        <v>BCI CI</v>
      </c>
      <c r="H62" s="7" t="str">
        <f>IF('Port Bloomberg'!H62="","",'Port Bloomberg'!H62)</f>
        <v>Banks</v>
      </c>
      <c r="I62" s="7" t="str">
        <f>IF('Port Bloomberg'!I62="","",'Port Bloomberg'!I62)</f>
        <v>FIN</v>
      </c>
      <c r="J62" s="7" t="str">
        <f>IF('Port Bloomberg'!J62="","",'Port Bloomberg'!J62)</f>
        <v>Commer Banks Non-US</v>
      </c>
      <c r="K62" s="7" t="str">
        <f>IF('Port Bloomberg'!K62="","",'Port Bloomberg'!K62)</f>
        <v>CL</v>
      </c>
      <c r="L62" s="7" t="str">
        <f>IF('Port Bloomberg'!L62="","",'Port Bloomberg'!L62)</f>
        <v>CL</v>
      </c>
      <c r="M62" s="7" t="str">
        <f>IF('Port Bloomberg'!M62="","",'Port Bloomberg'!M62)</f>
        <v>USD</v>
      </c>
      <c r="N62" s="7">
        <f>IF('Port Bloomberg'!N62="","",'Port Bloomberg'!N62)</f>
        <v>500000</v>
      </c>
      <c r="O62" s="7" t="str">
        <f>IF('Port Bloomberg'!O62="","",'Port Bloomberg'!O62)</f>
        <v>SINGLE</v>
      </c>
      <c r="P62" s="7">
        <f>IF('Port Bloomberg'!P62="","",'Port Bloomberg'!P62)</f>
        <v>2.875</v>
      </c>
      <c r="Q62" s="7" t="str">
        <f>IF('Port Bloomberg'!Q62="","",'Port Bloomberg'!Q62)</f>
        <v>A-</v>
      </c>
      <c r="R62" s="7" t="str">
        <f>IF('Port Bloomberg'!R62="","",'Port Bloomberg'!R62)</f>
        <v>10/14/2031</v>
      </c>
      <c r="S62" s="5">
        <f>IF(E62="","",IFERROR(IF(MATCH(E62,[1]Instrumentos!$D:$D,0)&gt;0,1,0),0))</f>
        <v>1</v>
      </c>
      <c r="T62" s="5">
        <f>IF(E62="","",IFERROR(IF(MATCH(E62,'Lista de excepciones'!$E:$E,0)&gt;0,1,0),0))</f>
        <v>0</v>
      </c>
      <c r="U62" s="6" t="str">
        <f t="shared" si="1"/>
        <v>NO</v>
      </c>
    </row>
    <row r="63" spans="1:21" hidden="1" x14ac:dyDescent="0.25">
      <c r="A63" s="7" t="str">
        <f>IF('Port Bloomberg'!A63="","",'Port Bloomberg'!A63)</f>
        <v>BCICI 7 ½ PERP</v>
      </c>
      <c r="B63" s="7" t="str">
        <f>IF('Port Bloomberg'!B63="","",'Port Bloomberg'!B63)</f>
        <v>Banco de Credito e Inversiones SA</v>
      </c>
      <c r="C63" s="7" t="str">
        <f>IF('Port Bloomberg'!C63="","",'Port Bloomberg'!C63)</f>
        <v>BANC CRED INVERS</v>
      </c>
      <c r="D63" s="7" t="str">
        <f>IF('Port Bloomberg'!D63="","",'Port Bloomberg'!D63)</f>
        <v>BANC CREDITO INVERSIONES</v>
      </c>
      <c r="E63" s="7" t="str">
        <f>IF('Port Bloomberg'!E63="","",'Port Bloomberg'!E63)</f>
        <v>USP32133CH47</v>
      </c>
      <c r="F63" s="7" t="str">
        <f>IF('Port Bloomberg'!F63="","",'Port Bloomberg'!F63)</f>
        <v>BCICI</v>
      </c>
      <c r="G63" s="7" t="str">
        <f>IF('Port Bloomberg'!G63="","",'Port Bloomberg'!G63)</f>
        <v>BCI CI</v>
      </c>
      <c r="H63" s="7" t="str">
        <f>IF('Port Bloomberg'!H63="","",'Port Bloomberg'!H63)</f>
        <v>Banks</v>
      </c>
      <c r="I63" s="7" t="str">
        <f>IF('Port Bloomberg'!I63="","",'Port Bloomberg'!I63)</f>
        <v>FIN</v>
      </c>
      <c r="J63" s="7" t="str">
        <f>IF('Port Bloomberg'!J63="","",'Port Bloomberg'!J63)</f>
        <v>Commer Banks Non-US</v>
      </c>
      <c r="K63" s="7" t="str">
        <f>IF('Port Bloomberg'!K63="","",'Port Bloomberg'!K63)</f>
        <v>CL</v>
      </c>
      <c r="L63" s="7" t="str">
        <f>IF('Port Bloomberg'!L63="","",'Port Bloomberg'!L63)</f>
        <v>CL</v>
      </c>
      <c r="M63" s="7" t="str">
        <f>IF('Port Bloomberg'!M63="","",'Port Bloomberg'!M63)</f>
        <v>USD</v>
      </c>
      <c r="N63" s="7">
        <f>IF('Port Bloomberg'!N63="","",'Port Bloomberg'!N63)</f>
        <v>500000</v>
      </c>
      <c r="O63" s="7" t="str">
        <f>IF('Port Bloomberg'!O63="","",'Port Bloomberg'!O63)</f>
        <v>SINGLE</v>
      </c>
      <c r="P63" s="7">
        <f>IF('Port Bloomberg'!P63="","",'Port Bloomberg'!P63)</f>
        <v>7.5</v>
      </c>
      <c r="Q63" s="7" t="str">
        <f>IF('Port Bloomberg'!Q63="","",'Port Bloomberg'!Q63)</f>
        <v>BB+</v>
      </c>
      <c r="R63" s="7" t="str">
        <f>IF('Port Bloomberg'!R63="","",'Port Bloomberg'!R63)</f>
        <v/>
      </c>
      <c r="S63" s="5">
        <f>IF(E63="","",IFERROR(IF(MATCH(E63,[1]Instrumentos!$D:$D,0)&gt;0,1,0),0))</f>
        <v>1</v>
      </c>
      <c r="T63" s="5">
        <f>IF(E63="","",IFERROR(IF(MATCH(E63,'Lista de excepciones'!$E:$E,0)&gt;0,1,0),0))</f>
        <v>0</v>
      </c>
      <c r="U63" s="6" t="str">
        <f t="shared" si="1"/>
        <v>NO</v>
      </c>
    </row>
    <row r="64" spans="1:21" hidden="1" x14ac:dyDescent="0.25">
      <c r="A64" s="7" t="str">
        <f>IF('Port Bloomberg'!A64="","",'Port Bloomberg'!A64)</f>
        <v>BCICI 8 ¾ PERP</v>
      </c>
      <c r="B64" s="7" t="str">
        <f>IF('Port Bloomberg'!B64="","",'Port Bloomberg'!B64)</f>
        <v>Banco de Credito e Inversiones SA</v>
      </c>
      <c r="C64" s="7" t="str">
        <f>IF('Port Bloomberg'!C64="","",'Port Bloomberg'!C64)</f>
        <v>BANC CRED INVERS</v>
      </c>
      <c r="D64" s="7" t="str">
        <f>IF('Port Bloomberg'!D64="","",'Port Bloomberg'!D64)</f>
        <v>BANC CREDITO INVERSIONES</v>
      </c>
      <c r="E64" s="7" t="str">
        <f>IF('Port Bloomberg'!E64="","",'Port Bloomberg'!E64)</f>
        <v>US05890PAC05</v>
      </c>
      <c r="F64" s="7" t="str">
        <f>IF('Port Bloomberg'!F64="","",'Port Bloomberg'!F64)</f>
        <v>BCICI</v>
      </c>
      <c r="G64" s="7" t="str">
        <f>IF('Port Bloomberg'!G64="","",'Port Bloomberg'!G64)</f>
        <v>BCI CI</v>
      </c>
      <c r="H64" s="7" t="str">
        <f>IF('Port Bloomberg'!H64="","",'Port Bloomberg'!H64)</f>
        <v>Banks</v>
      </c>
      <c r="I64" s="7" t="str">
        <f>IF('Port Bloomberg'!I64="","",'Port Bloomberg'!I64)</f>
        <v>FIN</v>
      </c>
      <c r="J64" s="7" t="str">
        <f>IF('Port Bloomberg'!J64="","",'Port Bloomberg'!J64)</f>
        <v>Commer Banks Non-US</v>
      </c>
      <c r="K64" s="7" t="str">
        <f>IF('Port Bloomberg'!K64="","",'Port Bloomberg'!K64)</f>
        <v>CL</v>
      </c>
      <c r="L64" s="7" t="str">
        <f>IF('Port Bloomberg'!L64="","",'Port Bloomberg'!L64)</f>
        <v>CL</v>
      </c>
      <c r="M64" s="7" t="str">
        <f>IF('Port Bloomberg'!M64="","",'Port Bloomberg'!M64)</f>
        <v>USD</v>
      </c>
      <c r="N64" s="7">
        <f>IF('Port Bloomberg'!N64="","",'Port Bloomberg'!N64)</f>
        <v>500000</v>
      </c>
      <c r="O64" s="7" t="str">
        <f>IF('Port Bloomberg'!O64="","",'Port Bloomberg'!O64)</f>
        <v>SINGLE</v>
      </c>
      <c r="P64" s="7">
        <f>IF('Port Bloomberg'!P64="","",'Port Bloomberg'!P64)</f>
        <v>8.75</v>
      </c>
      <c r="Q64" s="7" t="str">
        <f>IF('Port Bloomberg'!Q64="","",'Port Bloomberg'!Q64)</f>
        <v>BB+</v>
      </c>
      <c r="R64" s="7" t="str">
        <f>IF('Port Bloomberg'!R64="","",'Port Bloomberg'!R64)</f>
        <v/>
      </c>
      <c r="S64" s="5">
        <f>IF(E64="","",IFERROR(IF(MATCH(E64,[1]Instrumentos!$D:$D,0)&gt;0,1,0),0))</f>
        <v>1</v>
      </c>
      <c r="T64" s="5">
        <f>IF(E64="","",IFERROR(IF(MATCH(E64,'Lista de excepciones'!$E:$E,0)&gt;0,1,0),0))</f>
        <v>0</v>
      </c>
      <c r="U64" s="6" t="str">
        <f t="shared" si="1"/>
        <v>NO</v>
      </c>
    </row>
    <row r="65" spans="1:21" hidden="1" x14ac:dyDescent="0.25">
      <c r="A65" s="7" t="str">
        <f>IF('Port Bloomberg'!A65="","",'Port Bloomberg'!A65)</f>
        <v>BCOCPE 6.2 06/07/34</v>
      </c>
      <c r="B65" s="7" t="str">
        <f>IF('Port Bloomberg'!B65="","",'Port Bloomberg'!B65)</f>
        <v>Banco BBVA Peru SA</v>
      </c>
      <c r="C65" s="7" t="str">
        <f>IF('Port Bloomberg'!C65="","",'Port Bloomberg'!C65)</f>
        <v>BANCO BBVA PERU</v>
      </c>
      <c r="D65" s="7" t="str">
        <f>IF('Port Bloomberg'!D65="","",'Port Bloomberg'!D65)</f>
        <v>BANCO BBVA PERU SA</v>
      </c>
      <c r="E65" s="7" t="str">
        <f>IF('Port Bloomberg'!E65="","",'Port Bloomberg'!E65)</f>
        <v>USP07760AH74</v>
      </c>
      <c r="F65" s="7" t="str">
        <f>IF('Port Bloomberg'!F65="","",'Port Bloomberg'!F65)</f>
        <v>BCOCPE</v>
      </c>
      <c r="G65" s="7" t="str">
        <f>IF('Port Bloomberg'!G65="","",'Port Bloomberg'!G65)</f>
        <v>BBVAC1 PE</v>
      </c>
      <c r="H65" s="7" t="str">
        <f>IF('Port Bloomberg'!H65="","",'Port Bloomberg'!H65)</f>
        <v>Banks</v>
      </c>
      <c r="I65" s="7" t="str">
        <f>IF('Port Bloomberg'!I65="","",'Port Bloomberg'!I65)</f>
        <v>FIN</v>
      </c>
      <c r="J65" s="7" t="str">
        <f>IF('Port Bloomberg'!J65="","",'Port Bloomberg'!J65)</f>
        <v>Commer Banks Non-US</v>
      </c>
      <c r="K65" s="7" t="str">
        <f>IF('Port Bloomberg'!K65="","",'Port Bloomberg'!K65)</f>
        <v>PE</v>
      </c>
      <c r="L65" s="7" t="str">
        <f>IF('Port Bloomberg'!L65="","",'Port Bloomberg'!L65)</f>
        <v>PE</v>
      </c>
      <c r="M65" s="7" t="str">
        <f>IF('Port Bloomberg'!M65="","",'Port Bloomberg'!M65)</f>
        <v>USD</v>
      </c>
      <c r="N65" s="7">
        <f>IF('Port Bloomberg'!N65="","",'Port Bloomberg'!N65)</f>
        <v>300000</v>
      </c>
      <c r="O65" s="7" t="str">
        <f>IF('Port Bloomberg'!O65="","",'Port Bloomberg'!O65)</f>
        <v>SINGLE</v>
      </c>
      <c r="P65" s="7">
        <f>IF('Port Bloomberg'!P65="","",'Port Bloomberg'!P65)</f>
        <v>6.2</v>
      </c>
      <c r="Q65" s="7" t="str">
        <f>IF('Port Bloomberg'!Q65="","",'Port Bloomberg'!Q65)</f>
        <v>BBB-</v>
      </c>
      <c r="R65" s="7" t="str">
        <f>IF('Port Bloomberg'!R65="","",'Port Bloomberg'!R65)</f>
        <v>06/07/2034</v>
      </c>
      <c r="S65" s="5">
        <f>IF(E65="","",IFERROR(IF(MATCH(E65,[1]Instrumentos!$D:$D,0)&gt;0,1,0),0))</f>
        <v>1</v>
      </c>
      <c r="T65" s="5">
        <f>IF(E65="","",IFERROR(IF(MATCH(E65,'Lista de excepciones'!$E:$E,0)&gt;0,1,0),0))</f>
        <v>0</v>
      </c>
      <c r="U65" s="6" t="str">
        <f t="shared" si="1"/>
        <v>NO</v>
      </c>
    </row>
    <row r="66" spans="1:21" hidden="1" x14ac:dyDescent="0.25">
      <c r="A66" s="7" t="str">
        <f>IF('Port Bloomberg'!A66="","",'Port Bloomberg'!A66)</f>
        <v>BCOLO 8 ⅝ 12/24/34</v>
      </c>
      <c r="B66" s="7" t="str">
        <f>IF('Port Bloomberg'!B66="","",'Port Bloomberg'!B66)</f>
        <v>Bancolombia SA</v>
      </c>
      <c r="C66" s="7" t="str">
        <f>IF('Port Bloomberg'!C66="","",'Port Bloomberg'!C66)</f>
        <v>BANCOLOMBIA</v>
      </c>
      <c r="D66" s="7" t="str">
        <f>IF('Port Bloomberg'!D66="","",'Port Bloomberg'!D66)</f>
        <v>BANCOLOMBIA SA</v>
      </c>
      <c r="E66" s="7" t="str">
        <f>IF('Port Bloomberg'!E66="","",'Port Bloomberg'!E66)</f>
        <v>US05968LAN29</v>
      </c>
      <c r="F66" s="7" t="str">
        <f>IF('Port Bloomberg'!F66="","",'Port Bloomberg'!F66)</f>
        <v>BCOLO</v>
      </c>
      <c r="G66" s="7" t="str">
        <f>IF('Port Bloomberg'!G66="","",'Port Bloomberg'!G66)</f>
        <v>BCOLO CB</v>
      </c>
      <c r="H66" s="7" t="str">
        <f>IF('Port Bloomberg'!H66="","",'Port Bloomberg'!H66)</f>
        <v>Banks</v>
      </c>
      <c r="I66" s="7" t="str">
        <f>IF('Port Bloomberg'!I66="","",'Port Bloomberg'!I66)</f>
        <v>FIN</v>
      </c>
      <c r="J66" s="7" t="str">
        <f>IF('Port Bloomberg'!J66="","",'Port Bloomberg'!J66)</f>
        <v>Commer Banks Non-US</v>
      </c>
      <c r="K66" s="7" t="str">
        <f>IF('Port Bloomberg'!K66="","",'Port Bloomberg'!K66)</f>
        <v>CO</v>
      </c>
      <c r="L66" s="7" t="str">
        <f>IF('Port Bloomberg'!L66="","",'Port Bloomberg'!L66)</f>
        <v>CO</v>
      </c>
      <c r="M66" s="7" t="str">
        <f>IF('Port Bloomberg'!M66="","",'Port Bloomberg'!M66)</f>
        <v>USD</v>
      </c>
      <c r="N66" s="7">
        <f>IF('Port Bloomberg'!N66="","",'Port Bloomberg'!N66)</f>
        <v>800000</v>
      </c>
      <c r="O66" s="7" t="str">
        <f>IF('Port Bloomberg'!O66="","",'Port Bloomberg'!O66)</f>
        <v>SINGLE</v>
      </c>
      <c r="P66" s="7">
        <f>IF('Port Bloomberg'!P66="","",'Port Bloomberg'!P66)</f>
        <v>8.625</v>
      </c>
      <c r="Q66" s="7" t="str">
        <f>IF('Port Bloomberg'!Q66="","",'Port Bloomberg'!Q66)</f>
        <v>BB-</v>
      </c>
      <c r="R66" s="7" t="str">
        <f>IF('Port Bloomberg'!R66="","",'Port Bloomberg'!R66)</f>
        <v>12/24/2034</v>
      </c>
      <c r="S66" s="5">
        <f>IF(E66="","",IFERROR(IF(MATCH(E66,[1]Instrumentos!$D:$D,0)&gt;0,1,0),0))</f>
        <v>1</v>
      </c>
      <c r="T66" s="5">
        <f>IF(E66="","",IFERROR(IF(MATCH(E66,'Lista de excepciones'!$E:$E,0)&gt;0,1,0),0))</f>
        <v>0</v>
      </c>
      <c r="U66" s="6" t="str">
        <f t="shared" si="1"/>
        <v>NO</v>
      </c>
    </row>
    <row r="67" spans="1:21" hidden="1" x14ac:dyDescent="0.25">
      <c r="A67" s="7" t="str">
        <f>IF('Port Bloomberg'!A67="","",'Port Bloomberg'!A67)</f>
        <v>BCP 5.65 01/15/37</v>
      </c>
      <c r="B67" s="7" t="str">
        <f>IF('Port Bloomberg'!B67="","",'Port Bloomberg'!B67)</f>
        <v>Banco de Credito del Peru S.A.</v>
      </c>
      <c r="C67" s="7" t="str">
        <f>IF('Port Bloomberg'!C67="","",'Port Bloomberg'!C67)</f>
        <v>BANCO DE CREDITO</v>
      </c>
      <c r="D67" s="7" t="str">
        <f>IF('Port Bloomberg'!D67="","",'Port Bloomberg'!D67)</f>
        <v>BANCO DE CREDITO DEL PER</v>
      </c>
      <c r="E67" s="7" t="str">
        <f>IF('Port Bloomberg'!E67="","",'Port Bloomberg'!E67)</f>
        <v>US05971V2K08</v>
      </c>
      <c r="F67" s="7" t="str">
        <f>IF('Port Bloomberg'!F67="","",'Port Bloomberg'!F67)</f>
        <v>BCP</v>
      </c>
      <c r="G67" s="7" t="str">
        <f>IF('Port Bloomberg'!G67="","",'Port Bloomberg'!G67)</f>
        <v>CREDITC1 PE</v>
      </c>
      <c r="H67" s="7" t="str">
        <f>IF('Port Bloomberg'!H67="","",'Port Bloomberg'!H67)</f>
        <v>Banks</v>
      </c>
      <c r="I67" s="7" t="str">
        <f>IF('Port Bloomberg'!I67="","",'Port Bloomberg'!I67)</f>
        <v>FIN</v>
      </c>
      <c r="J67" s="7" t="str">
        <f>IF('Port Bloomberg'!J67="","",'Port Bloomberg'!J67)</f>
        <v>Commer Banks Non-US</v>
      </c>
      <c r="K67" s="7" t="str">
        <f>IF('Port Bloomberg'!K67="","",'Port Bloomberg'!K67)</f>
        <v>PE</v>
      </c>
      <c r="L67" s="7" t="str">
        <f>IF('Port Bloomberg'!L67="","",'Port Bloomberg'!L67)</f>
        <v>PE</v>
      </c>
      <c r="M67" s="7" t="str">
        <f>IF('Port Bloomberg'!M67="","",'Port Bloomberg'!M67)</f>
        <v>USD</v>
      </c>
      <c r="N67" s="7">
        <f>IF('Port Bloomberg'!N67="","",'Port Bloomberg'!N67)</f>
        <v>500000</v>
      </c>
      <c r="O67" s="7" t="str">
        <f>IF('Port Bloomberg'!O67="","",'Port Bloomberg'!O67)</f>
        <v>SINGLE</v>
      </c>
      <c r="P67" s="7">
        <f>IF('Port Bloomberg'!P67="","",'Port Bloomberg'!P67)</f>
        <v>5.65</v>
      </c>
      <c r="Q67" s="7" t="str">
        <f>IF('Port Bloomberg'!Q67="","",'Port Bloomberg'!Q67)</f>
        <v>BBB-</v>
      </c>
      <c r="R67" s="7" t="str">
        <f>IF('Port Bloomberg'!R67="","",'Port Bloomberg'!R67)</f>
        <v>01/15/2037</v>
      </c>
      <c r="S67" s="5">
        <f>IF(E67="","",IFERROR(IF(MATCH(E67,[1]Instrumentos!$D:$D,0)&gt;0,1,0),0))</f>
        <v>1</v>
      </c>
      <c r="T67" s="5">
        <f>IF(E67="","",IFERROR(IF(MATCH(E67,'Lista de excepciones'!$E:$E,0)&gt;0,1,0),0))</f>
        <v>0</v>
      </c>
      <c r="U67" s="6" t="str">
        <f t="shared" ref="U67:U130" si="2">IF(E67="","",IF(S67+T67=0,"AGREGAR/REVISAR","NO"))</f>
        <v>NO</v>
      </c>
    </row>
    <row r="68" spans="1:21" hidden="1" x14ac:dyDescent="0.25">
      <c r="A68" s="7" t="str">
        <f>IF('Port Bloomberg'!A68="","",'Port Bloomberg'!A68)</f>
        <v>BCP 5.8 03/10/35</v>
      </c>
      <c r="B68" s="7" t="str">
        <f>IF('Port Bloomberg'!B68="","",'Port Bloomberg'!B68)</f>
        <v>Banco de Credito del Peru S.A.</v>
      </c>
      <c r="C68" s="7" t="str">
        <f>IF('Port Bloomberg'!C68="","",'Port Bloomberg'!C68)</f>
        <v>BANCO DE CREDITO</v>
      </c>
      <c r="D68" s="7" t="str">
        <f>IF('Port Bloomberg'!D68="","",'Port Bloomberg'!D68)</f>
        <v>BANCO DE CREDITO DEL PER</v>
      </c>
      <c r="E68" s="7" t="str">
        <f>IF('Port Bloomberg'!E68="","",'Port Bloomberg'!E68)</f>
        <v>US05971V2H78</v>
      </c>
      <c r="F68" s="7" t="str">
        <f>IF('Port Bloomberg'!F68="","",'Port Bloomberg'!F68)</f>
        <v>BCP</v>
      </c>
      <c r="G68" s="7" t="str">
        <f>IF('Port Bloomberg'!G68="","",'Port Bloomberg'!G68)</f>
        <v>CREDITC1 PE</v>
      </c>
      <c r="H68" s="7" t="str">
        <f>IF('Port Bloomberg'!H68="","",'Port Bloomberg'!H68)</f>
        <v>Banks</v>
      </c>
      <c r="I68" s="7" t="str">
        <f>IF('Port Bloomberg'!I68="","",'Port Bloomberg'!I68)</f>
        <v>FIN</v>
      </c>
      <c r="J68" s="7" t="str">
        <f>IF('Port Bloomberg'!J68="","",'Port Bloomberg'!J68)</f>
        <v>Commer Banks Non-US</v>
      </c>
      <c r="K68" s="7" t="str">
        <f>IF('Port Bloomberg'!K68="","",'Port Bloomberg'!K68)</f>
        <v>PE</v>
      </c>
      <c r="L68" s="7" t="str">
        <f>IF('Port Bloomberg'!L68="","",'Port Bloomberg'!L68)</f>
        <v>PE</v>
      </c>
      <c r="M68" s="7" t="str">
        <f>IF('Port Bloomberg'!M68="","",'Port Bloomberg'!M68)</f>
        <v>USD</v>
      </c>
      <c r="N68" s="7">
        <f>IF('Port Bloomberg'!N68="","",'Port Bloomberg'!N68)</f>
        <v>600000</v>
      </c>
      <c r="O68" s="7" t="str">
        <f>IF('Port Bloomberg'!O68="","",'Port Bloomberg'!O68)</f>
        <v>SINGLE</v>
      </c>
      <c r="P68" s="7">
        <f>IF('Port Bloomberg'!P68="","",'Port Bloomberg'!P68)</f>
        <v>5.8</v>
      </c>
      <c r="Q68" s="7" t="str">
        <f>IF('Port Bloomberg'!Q68="","",'Port Bloomberg'!Q68)</f>
        <v>BBB-</v>
      </c>
      <c r="R68" s="7" t="str">
        <f>IF('Port Bloomberg'!R68="","",'Port Bloomberg'!R68)</f>
        <v>03/10/2035</v>
      </c>
      <c r="S68" s="5">
        <f>IF(E68="","",IFERROR(IF(MATCH(E68,[1]Instrumentos!$D:$D,0)&gt;0,1,0),0))</f>
        <v>1</v>
      </c>
      <c r="T68" s="5">
        <f>IF(E68="","",IFERROR(IF(MATCH(E68,'Lista de excepciones'!$E:$E,0)&gt;0,1,0),0))</f>
        <v>0</v>
      </c>
      <c r="U68" s="6" t="str">
        <f t="shared" si="2"/>
        <v>NO</v>
      </c>
    </row>
    <row r="69" spans="1:21" hidden="1" x14ac:dyDescent="0.25">
      <c r="A69" s="7" t="str">
        <f>IF('Port Bloomberg'!A69="","",'Port Bloomberg'!A69)</f>
        <v>BCP 5.85 01/11/29</v>
      </c>
      <c r="B69" s="7" t="str">
        <f>IF('Port Bloomberg'!B69="","",'Port Bloomberg'!B69)</f>
        <v>Banco de Credito del Peru S.A.</v>
      </c>
      <c r="C69" s="7" t="str">
        <f>IF('Port Bloomberg'!C69="","",'Port Bloomberg'!C69)</f>
        <v>BANCO DE CREDITO</v>
      </c>
      <c r="D69" s="7" t="str">
        <f>IF('Port Bloomberg'!D69="","",'Port Bloomberg'!D69)</f>
        <v>BANCO DE CREDITO DEL PER</v>
      </c>
      <c r="E69" s="7" t="str">
        <f>IF('Port Bloomberg'!E69="","",'Port Bloomberg'!E69)</f>
        <v>US05971V2E48</v>
      </c>
      <c r="F69" s="7" t="str">
        <f>IF('Port Bloomberg'!F69="","",'Port Bloomberg'!F69)</f>
        <v>BCP</v>
      </c>
      <c r="G69" s="7" t="str">
        <f>IF('Port Bloomberg'!G69="","",'Port Bloomberg'!G69)</f>
        <v>CREDITC1 PE</v>
      </c>
      <c r="H69" s="7" t="str">
        <f>IF('Port Bloomberg'!H69="","",'Port Bloomberg'!H69)</f>
        <v>Banks</v>
      </c>
      <c r="I69" s="7" t="str">
        <f>IF('Port Bloomberg'!I69="","",'Port Bloomberg'!I69)</f>
        <v>FIN</v>
      </c>
      <c r="J69" s="7" t="str">
        <f>IF('Port Bloomberg'!J69="","",'Port Bloomberg'!J69)</f>
        <v>Commer Banks Non-US</v>
      </c>
      <c r="K69" s="7" t="str">
        <f>IF('Port Bloomberg'!K69="","",'Port Bloomberg'!K69)</f>
        <v>PE</v>
      </c>
      <c r="L69" s="7" t="str">
        <f>IF('Port Bloomberg'!L69="","",'Port Bloomberg'!L69)</f>
        <v>PE</v>
      </c>
      <c r="M69" s="7" t="str">
        <f>IF('Port Bloomberg'!M69="","",'Port Bloomberg'!M69)</f>
        <v>USD</v>
      </c>
      <c r="N69" s="7">
        <f>IF('Port Bloomberg'!N69="","",'Port Bloomberg'!N69)</f>
        <v>500000</v>
      </c>
      <c r="O69" s="7" t="str">
        <f>IF('Port Bloomberg'!O69="","",'Port Bloomberg'!O69)</f>
        <v>SINGLE</v>
      </c>
      <c r="P69" s="7">
        <f>IF('Port Bloomberg'!P69="","",'Port Bloomberg'!P69)</f>
        <v>5.85</v>
      </c>
      <c r="Q69" s="7" t="str">
        <f>IF('Port Bloomberg'!Q69="","",'Port Bloomberg'!Q69)</f>
        <v>BBB</v>
      </c>
      <c r="R69" s="7" t="str">
        <f>IF('Port Bloomberg'!R69="","",'Port Bloomberg'!R69)</f>
        <v>01/11/2029</v>
      </c>
      <c r="S69" s="5">
        <f>IF(E69="","",IFERROR(IF(MATCH(E69,[1]Instrumentos!$D:$D,0)&gt;0,1,0),0))</f>
        <v>1</v>
      </c>
      <c r="T69" s="5">
        <f>IF(E69="","",IFERROR(IF(MATCH(E69,'Lista de excepciones'!$E:$E,0)&gt;0,1,0),0))</f>
        <v>0</v>
      </c>
      <c r="U69" s="6" t="str">
        <f t="shared" si="2"/>
        <v>NO</v>
      </c>
    </row>
    <row r="70" spans="1:21" hidden="1" x14ac:dyDescent="0.25">
      <c r="A70" s="7" t="str">
        <f>IF('Port Bloomberg'!A70="","",'Port Bloomberg'!A70)</f>
        <v>BCP 6.45 07/30/35</v>
      </c>
      <c r="B70" s="7" t="str">
        <f>IF('Port Bloomberg'!B70="","",'Port Bloomberg'!B70)</f>
        <v>Banco de Credito del Peru S.A.</v>
      </c>
      <c r="C70" s="7" t="str">
        <f>IF('Port Bloomberg'!C70="","",'Port Bloomberg'!C70)</f>
        <v>BANCO DE CREDITO</v>
      </c>
      <c r="D70" s="7" t="str">
        <f>IF('Port Bloomberg'!D70="","",'Port Bloomberg'!D70)</f>
        <v>BANCO DE CREDITO DEL PER</v>
      </c>
      <c r="E70" s="7" t="str">
        <f>IF('Port Bloomberg'!E70="","",'Port Bloomberg'!E70)</f>
        <v>US05971V2J35</v>
      </c>
      <c r="F70" s="7" t="str">
        <f>IF('Port Bloomberg'!F70="","",'Port Bloomberg'!F70)</f>
        <v>BCP</v>
      </c>
      <c r="G70" s="7" t="str">
        <f>IF('Port Bloomberg'!G70="","",'Port Bloomberg'!G70)</f>
        <v>CREDITC1 PE</v>
      </c>
      <c r="H70" s="7" t="str">
        <f>IF('Port Bloomberg'!H70="","",'Port Bloomberg'!H70)</f>
        <v>Banks</v>
      </c>
      <c r="I70" s="7" t="str">
        <f>IF('Port Bloomberg'!I70="","",'Port Bloomberg'!I70)</f>
        <v>FIN</v>
      </c>
      <c r="J70" s="7" t="str">
        <f>IF('Port Bloomberg'!J70="","",'Port Bloomberg'!J70)</f>
        <v>Commer Banks Non-US</v>
      </c>
      <c r="K70" s="7" t="str">
        <f>IF('Port Bloomberg'!K70="","",'Port Bloomberg'!K70)</f>
        <v>PE</v>
      </c>
      <c r="L70" s="7" t="str">
        <f>IF('Port Bloomberg'!L70="","",'Port Bloomberg'!L70)</f>
        <v>PE</v>
      </c>
      <c r="M70" s="7" t="str">
        <f>IF('Port Bloomberg'!M70="","",'Port Bloomberg'!M70)</f>
        <v>USD</v>
      </c>
      <c r="N70" s="7">
        <f>IF('Port Bloomberg'!N70="","",'Port Bloomberg'!N70)</f>
        <v>750000</v>
      </c>
      <c r="O70" s="7" t="str">
        <f>IF('Port Bloomberg'!O70="","",'Port Bloomberg'!O70)</f>
        <v>SINGLE</v>
      </c>
      <c r="P70" s="7">
        <f>IF('Port Bloomberg'!P70="","",'Port Bloomberg'!P70)</f>
        <v>6.45</v>
      </c>
      <c r="Q70" s="7" t="str">
        <f>IF('Port Bloomberg'!Q70="","",'Port Bloomberg'!Q70)</f>
        <v>BBB-</v>
      </c>
      <c r="R70" s="7" t="str">
        <f>IF('Port Bloomberg'!R70="","",'Port Bloomberg'!R70)</f>
        <v>07/30/2035</v>
      </c>
      <c r="S70" s="5">
        <f>IF(E70="","",IFERROR(IF(MATCH(E70,[1]Instrumentos!$D:$D,0)&gt;0,1,0),0))</f>
        <v>1</v>
      </c>
      <c r="T70" s="5">
        <f>IF(E70="","",IFERROR(IF(MATCH(E70,'Lista de excepciones'!$E:$E,0)&gt;0,1,0),0))</f>
        <v>0</v>
      </c>
      <c r="U70" s="6" t="str">
        <f t="shared" si="2"/>
        <v>NO</v>
      </c>
    </row>
    <row r="71" spans="1:21" hidden="1" x14ac:dyDescent="0.25">
      <c r="A71" s="7" t="str">
        <f>IF('Port Bloomberg'!A71="","",'Port Bloomberg'!A71)</f>
        <v>BEEFBZ 4 ⅜ 03/18/31</v>
      </c>
      <c r="B71" s="7" t="str">
        <f>IF('Port Bloomberg'!B71="","",'Port Bloomberg'!B71)</f>
        <v>Minerva Luxembourg SA</v>
      </c>
      <c r="C71" s="7" t="str">
        <f>IF('Port Bloomberg'!C71="","",'Port Bloomberg'!C71)</f>
        <v>MINERVA LUX SA</v>
      </c>
      <c r="D71" s="7" t="str">
        <f>IF('Port Bloomberg'!D71="","",'Port Bloomberg'!D71)</f>
        <v>MINERVA LUXEMBOURG SA</v>
      </c>
      <c r="E71" s="7" t="str">
        <f>IF('Port Bloomberg'!E71="","",'Port Bloomberg'!E71)</f>
        <v>USL6401PAJ23</v>
      </c>
      <c r="F71" s="7" t="str">
        <f>IF('Port Bloomberg'!F71="","",'Port Bloomberg'!F71)</f>
        <v>BEEFBZ</v>
      </c>
      <c r="G71" s="7" t="str">
        <f>IF('Port Bloomberg'!G71="","",'Port Bloomberg'!G71)</f>
        <v>BEEF3 BZ</v>
      </c>
      <c r="H71" s="7" t="str">
        <f>IF('Port Bloomberg'!H71="","",'Port Bloomberg'!H71)</f>
        <v>Food</v>
      </c>
      <c r="I71" s="7" t="str">
        <f>IF('Port Bloomberg'!I71="","",'Port Bloomberg'!I71)</f>
        <v>IND</v>
      </c>
      <c r="J71" s="7" t="str">
        <f>IF('Port Bloomberg'!J71="","",'Port Bloomberg'!J71)</f>
        <v>Food-Meat Products</v>
      </c>
      <c r="K71" s="7" t="str">
        <f>IF('Port Bloomberg'!K71="","",'Port Bloomberg'!K71)</f>
        <v>LU</v>
      </c>
      <c r="L71" s="7" t="str">
        <f>IF('Port Bloomberg'!L71="","",'Port Bloomberg'!L71)</f>
        <v>BR</v>
      </c>
      <c r="M71" s="7" t="str">
        <f>IF('Port Bloomberg'!M71="","",'Port Bloomberg'!M71)</f>
        <v>USD</v>
      </c>
      <c r="N71" s="7">
        <f>IF('Port Bloomberg'!N71="","",'Port Bloomberg'!N71)</f>
        <v>1400000</v>
      </c>
      <c r="O71" s="7" t="str">
        <f>IF('Port Bloomberg'!O71="","",'Port Bloomberg'!O71)</f>
        <v>SINGLE</v>
      </c>
      <c r="P71" s="7">
        <f>IF('Port Bloomberg'!P71="","",'Port Bloomberg'!P71)</f>
        <v>4.375</v>
      </c>
      <c r="Q71" s="7" t="str">
        <f>IF('Port Bloomberg'!Q71="","",'Port Bloomberg'!Q71)</f>
        <v>BB</v>
      </c>
      <c r="R71" s="7" t="str">
        <f>IF('Port Bloomberg'!R71="","",'Port Bloomberg'!R71)</f>
        <v>03/18/2031</v>
      </c>
      <c r="S71" s="5">
        <f>IF(E71="","",IFERROR(IF(MATCH(E71,[1]Instrumentos!$D:$D,0)&gt;0,1,0),0))</f>
        <v>1</v>
      </c>
      <c r="T71" s="5">
        <f>IF(E71="","",IFERROR(IF(MATCH(E71,'Lista de excepciones'!$E:$E,0)&gt;0,1,0),0))</f>
        <v>0</v>
      </c>
      <c r="U71" s="6" t="str">
        <f t="shared" si="2"/>
        <v>NO</v>
      </c>
    </row>
    <row r="72" spans="1:21" hidden="1" x14ac:dyDescent="0.25">
      <c r="A72" s="7" t="str">
        <f>IF('Port Bloomberg'!A72="","",'Port Bloomberg'!A72)</f>
        <v>BEEFBZ 7 ½ 04/22/36</v>
      </c>
      <c r="B72" s="7" t="str">
        <f>IF('Port Bloomberg'!B72="","",'Port Bloomberg'!B72)</f>
        <v>Minerva Luxembourg SA</v>
      </c>
      <c r="C72" s="7" t="str">
        <f>IF('Port Bloomberg'!C72="","",'Port Bloomberg'!C72)</f>
        <v>MINERVA LUX SA</v>
      </c>
      <c r="D72" s="7" t="str">
        <f>IF('Port Bloomberg'!D72="","",'Port Bloomberg'!D72)</f>
        <v>MINERVA LUXEMBOURG SA</v>
      </c>
      <c r="E72" s="7" t="str">
        <f>IF('Port Bloomberg'!E72="","",'Port Bloomberg'!E72)</f>
        <v>USL6401PAP82</v>
      </c>
      <c r="F72" s="7" t="str">
        <f>IF('Port Bloomberg'!F72="","",'Port Bloomberg'!F72)</f>
        <v>BEEFBZ</v>
      </c>
      <c r="G72" s="7" t="str">
        <f>IF('Port Bloomberg'!G72="","",'Port Bloomberg'!G72)</f>
        <v>BEEF3 BZ</v>
      </c>
      <c r="H72" s="7" t="str">
        <f>IF('Port Bloomberg'!H72="","",'Port Bloomberg'!H72)</f>
        <v>Food</v>
      </c>
      <c r="I72" s="7" t="str">
        <f>IF('Port Bloomberg'!I72="","",'Port Bloomberg'!I72)</f>
        <v>IND</v>
      </c>
      <c r="J72" s="7" t="str">
        <f>IF('Port Bloomberg'!J72="","",'Port Bloomberg'!J72)</f>
        <v>Food-Meat Products</v>
      </c>
      <c r="K72" s="7" t="str">
        <f>IF('Port Bloomberg'!K72="","",'Port Bloomberg'!K72)</f>
        <v>LU</v>
      </c>
      <c r="L72" s="7" t="str">
        <f>IF('Port Bloomberg'!L72="","",'Port Bloomberg'!L72)</f>
        <v>BR</v>
      </c>
      <c r="M72" s="7" t="str">
        <f>IF('Port Bloomberg'!M72="","",'Port Bloomberg'!M72)</f>
        <v>USD</v>
      </c>
      <c r="N72" s="7">
        <f>IF('Port Bloomberg'!N72="","",'Port Bloomberg'!N72)</f>
        <v>600000</v>
      </c>
      <c r="O72" s="7" t="str">
        <f>IF('Port Bloomberg'!O72="","",'Port Bloomberg'!O72)</f>
        <v>SINGLE</v>
      </c>
      <c r="P72" s="7">
        <f>IF('Port Bloomberg'!P72="","",'Port Bloomberg'!P72)</f>
        <v>7.5</v>
      </c>
      <c r="Q72" s="7" t="str">
        <f>IF('Port Bloomberg'!Q72="","",'Port Bloomberg'!Q72)</f>
        <v>BB</v>
      </c>
      <c r="R72" s="7" t="str">
        <f>IF('Port Bloomberg'!R72="","",'Port Bloomberg'!R72)</f>
        <v>04/22/2036</v>
      </c>
      <c r="S72" s="5">
        <f>IF(E72="","",IFERROR(IF(MATCH(E72,[1]Instrumentos!$D:$D,0)&gt;0,1,0),0))</f>
        <v>1</v>
      </c>
      <c r="T72" s="5">
        <f>IF(E72="","",IFERROR(IF(MATCH(E72,'Lista de excepciones'!$E:$E,0)&gt;0,1,0),0))</f>
        <v>0</v>
      </c>
      <c r="U72" s="6" t="str">
        <f t="shared" si="2"/>
        <v>NO</v>
      </c>
    </row>
    <row r="73" spans="1:21" hidden="1" x14ac:dyDescent="0.25">
      <c r="A73" s="7" t="str">
        <f>IF('Port Bloomberg'!A73="","",'Port Bloomberg'!A73)</f>
        <v>BEEFBZ 8 ⅞ 09/13/33</v>
      </c>
      <c r="B73" s="7" t="str">
        <f>IF('Port Bloomberg'!B73="","",'Port Bloomberg'!B73)</f>
        <v>Minerva Luxembourg SA</v>
      </c>
      <c r="C73" s="7" t="str">
        <f>IF('Port Bloomberg'!C73="","",'Port Bloomberg'!C73)</f>
        <v>MINERVA LUX SA</v>
      </c>
      <c r="D73" s="7" t="str">
        <f>IF('Port Bloomberg'!D73="","",'Port Bloomberg'!D73)</f>
        <v>MINERVA LUXEMBOURG SA</v>
      </c>
      <c r="E73" s="7" t="str">
        <f>IF('Port Bloomberg'!E73="","",'Port Bloomberg'!E73)</f>
        <v>USL6401PAM51</v>
      </c>
      <c r="F73" s="7" t="str">
        <f>IF('Port Bloomberg'!F73="","",'Port Bloomberg'!F73)</f>
        <v>BEEFBZ</v>
      </c>
      <c r="G73" s="7" t="str">
        <f>IF('Port Bloomberg'!G73="","",'Port Bloomberg'!G73)</f>
        <v>BEEF3 BZ</v>
      </c>
      <c r="H73" s="7" t="str">
        <f>IF('Port Bloomberg'!H73="","",'Port Bloomberg'!H73)</f>
        <v>Food</v>
      </c>
      <c r="I73" s="7" t="str">
        <f>IF('Port Bloomberg'!I73="","",'Port Bloomberg'!I73)</f>
        <v>IND</v>
      </c>
      <c r="J73" s="7" t="str">
        <f>IF('Port Bloomberg'!J73="","",'Port Bloomberg'!J73)</f>
        <v>Food-Meat Products</v>
      </c>
      <c r="K73" s="7" t="str">
        <f>IF('Port Bloomberg'!K73="","",'Port Bloomberg'!K73)</f>
        <v>LU</v>
      </c>
      <c r="L73" s="7" t="str">
        <f>IF('Port Bloomberg'!L73="","",'Port Bloomberg'!L73)</f>
        <v>BR</v>
      </c>
      <c r="M73" s="7" t="str">
        <f>IF('Port Bloomberg'!M73="","",'Port Bloomberg'!M73)</f>
        <v>USD</v>
      </c>
      <c r="N73" s="7">
        <f>IF('Port Bloomberg'!N73="","",'Port Bloomberg'!N73)</f>
        <v>1000000</v>
      </c>
      <c r="O73" s="7" t="str">
        <f>IF('Port Bloomberg'!O73="","",'Port Bloomberg'!O73)</f>
        <v>SINGLE</v>
      </c>
      <c r="P73" s="7">
        <f>IF('Port Bloomberg'!P73="","",'Port Bloomberg'!P73)</f>
        <v>8.875</v>
      </c>
      <c r="Q73" s="7" t="str">
        <f>IF('Port Bloomberg'!Q73="","",'Port Bloomberg'!Q73)</f>
        <v>BB</v>
      </c>
      <c r="R73" s="7" t="str">
        <f>IF('Port Bloomberg'!R73="","",'Port Bloomberg'!R73)</f>
        <v>09/13/2033</v>
      </c>
      <c r="S73" s="5">
        <f>IF(E73="","",IFERROR(IF(MATCH(E73,[1]Instrumentos!$D:$D,0)&gt;0,1,0),0))</f>
        <v>1</v>
      </c>
      <c r="T73" s="5">
        <f>IF(E73="","",IFERROR(IF(MATCH(E73,'Lista de excepciones'!$E:$E,0)&gt;0,1,0),0))</f>
        <v>0</v>
      </c>
      <c r="U73" s="6" t="str">
        <f t="shared" si="2"/>
        <v>NO</v>
      </c>
    </row>
    <row r="74" spans="1:21" hidden="1" x14ac:dyDescent="0.25">
      <c r="A74" s="7" t="str">
        <f>IF('Port Bloomberg'!A74="","",'Port Bloomberg'!A74)</f>
        <v>BFALA 3 ⅜ 01/15/32</v>
      </c>
      <c r="B74" s="7" t="str">
        <f>IF('Port Bloomberg'!B74="","",'Port Bloomberg'!B74)</f>
        <v>Falabella SA</v>
      </c>
      <c r="C74" s="7" t="str">
        <f>IF('Port Bloomberg'!C74="","",'Port Bloomberg'!C74)</f>
        <v>FALABELLA SA</v>
      </c>
      <c r="D74" s="7" t="str">
        <f>IF('Port Bloomberg'!D74="","",'Port Bloomberg'!D74)</f>
        <v>FALABELLA SA</v>
      </c>
      <c r="E74" s="7" t="str">
        <f>IF('Port Bloomberg'!E74="","",'Port Bloomberg'!E74)</f>
        <v>USP3984LAA81</v>
      </c>
      <c r="F74" s="7" t="str">
        <f>IF('Port Bloomberg'!F74="","",'Port Bloomberg'!F74)</f>
        <v>BFALA</v>
      </c>
      <c r="G74" s="7" t="str">
        <f>IF('Port Bloomberg'!G74="","",'Port Bloomberg'!G74)</f>
        <v>FALAB CI</v>
      </c>
      <c r="H74" s="7" t="str">
        <f>IF('Port Bloomberg'!H74="","",'Port Bloomberg'!H74)</f>
        <v>Retail</v>
      </c>
      <c r="I74" s="7" t="str">
        <f>IF('Port Bloomberg'!I74="","",'Port Bloomberg'!I74)</f>
        <v>IND</v>
      </c>
      <c r="J74" s="7" t="str">
        <f>IF('Port Bloomberg'!J74="","",'Port Bloomberg'!J74)</f>
        <v>Retail-Regnl Dept Store</v>
      </c>
      <c r="K74" s="7" t="str">
        <f>IF('Port Bloomberg'!K74="","",'Port Bloomberg'!K74)</f>
        <v>CL</v>
      </c>
      <c r="L74" s="7" t="str">
        <f>IF('Port Bloomberg'!L74="","",'Port Bloomberg'!L74)</f>
        <v>CL</v>
      </c>
      <c r="M74" s="7" t="str">
        <f>IF('Port Bloomberg'!M74="","",'Port Bloomberg'!M74)</f>
        <v>USD</v>
      </c>
      <c r="N74" s="7">
        <f>IF('Port Bloomberg'!N74="","",'Port Bloomberg'!N74)</f>
        <v>650000</v>
      </c>
      <c r="O74" s="7" t="str">
        <f>IF('Port Bloomberg'!O74="","",'Port Bloomberg'!O74)</f>
        <v>SINGLE</v>
      </c>
      <c r="P74" s="7">
        <f>IF('Port Bloomberg'!P74="","",'Port Bloomberg'!P74)</f>
        <v>3.375</v>
      </c>
      <c r="Q74" s="7" t="str">
        <f>IF('Port Bloomberg'!Q74="","",'Port Bloomberg'!Q74)</f>
        <v>BBB-</v>
      </c>
      <c r="R74" s="7" t="str">
        <f>IF('Port Bloomberg'!R74="","",'Port Bloomberg'!R74)</f>
        <v>01/15/2032</v>
      </c>
      <c r="S74" s="5">
        <f>IF(E74="","",IFERROR(IF(MATCH(E74,[1]Instrumentos!$D:$D,0)&gt;0,1,0),0))</f>
        <v>1</v>
      </c>
      <c r="T74" s="5">
        <f>IF(E74="","",IFERROR(IF(MATCH(E74,'Lista de excepciones'!$E:$E,0)&gt;0,1,0),0))</f>
        <v>0</v>
      </c>
      <c r="U74" s="6" t="str">
        <f t="shared" si="2"/>
        <v>NO</v>
      </c>
    </row>
    <row r="75" spans="1:21" hidden="1" x14ac:dyDescent="0.25">
      <c r="A75" s="7" t="str">
        <f>IF('Port Bloomberg'!A75="","",'Port Bloomberg'!A75)</f>
        <v>BFFCC 3.068 08/18/50</v>
      </c>
      <c r="B75" s="7" t="str">
        <f>IF('Port Bloomberg'!B75="","",'Port Bloomberg'!B75)</f>
        <v>Empresa de los Ferrocarriles del Estado</v>
      </c>
      <c r="C75" s="7" t="str">
        <f>IF('Port Bloomberg'!C75="","",'Port Bloomberg'!C75)</f>
        <v>EFE</v>
      </c>
      <c r="D75" s="7" t="str">
        <f>IF('Port Bloomberg'!D75="","",'Port Bloomberg'!D75)</f>
        <v>EMPRESA DE LOS FERROCARR</v>
      </c>
      <c r="E75" s="7" t="str">
        <f>IF('Port Bloomberg'!E75="","",'Port Bloomberg'!E75)</f>
        <v>USP3742RAW09</v>
      </c>
      <c r="F75" s="7" t="str">
        <f>IF('Port Bloomberg'!F75="","",'Port Bloomberg'!F75)</f>
        <v>BFFCC</v>
      </c>
      <c r="G75" s="7" t="str">
        <f>IF('Port Bloomberg'!G75="","",'Port Bloomberg'!G75)</f>
        <v>2940894Z CI</v>
      </c>
      <c r="H75" s="7" t="str">
        <f>IF('Port Bloomberg'!H75="","",'Port Bloomberg'!H75)</f>
        <v>Transportation</v>
      </c>
      <c r="I75" s="7" t="str">
        <f>IF('Port Bloomberg'!I75="","",'Port Bloomberg'!I75)</f>
        <v>FOA</v>
      </c>
      <c r="J75" s="7" t="str">
        <f>IF('Port Bloomberg'!J75="","",'Port Bloomberg'!J75)</f>
        <v>Transport-Rail</v>
      </c>
      <c r="K75" s="7" t="str">
        <f>IF('Port Bloomberg'!K75="","",'Port Bloomberg'!K75)</f>
        <v>CL</v>
      </c>
      <c r="L75" s="7" t="str">
        <f>IF('Port Bloomberg'!L75="","",'Port Bloomberg'!L75)</f>
        <v>CL</v>
      </c>
      <c r="M75" s="7" t="str">
        <f>IF('Port Bloomberg'!M75="","",'Port Bloomberg'!M75)</f>
        <v>USD</v>
      </c>
      <c r="N75" s="7">
        <f>IF('Port Bloomberg'!N75="","",'Port Bloomberg'!N75)</f>
        <v>500000</v>
      </c>
      <c r="O75" s="7" t="str">
        <f>IF('Port Bloomberg'!O75="","",'Port Bloomberg'!O75)</f>
        <v>SINGLE</v>
      </c>
      <c r="P75" s="7">
        <f>IF('Port Bloomberg'!P75="","",'Port Bloomberg'!P75)</f>
        <v>3.0680000000000001</v>
      </c>
      <c r="Q75" s="7" t="str">
        <f>IF('Port Bloomberg'!Q75="","",'Port Bloomberg'!Q75)</f>
        <v>A-</v>
      </c>
      <c r="R75" s="7" t="str">
        <f>IF('Port Bloomberg'!R75="","",'Port Bloomberg'!R75)</f>
        <v>08/18/2050</v>
      </c>
      <c r="S75" s="5">
        <f>IF(E75="","",IFERROR(IF(MATCH(E75,[1]Instrumentos!$D:$D,0)&gt;0,1,0),0))</f>
        <v>1</v>
      </c>
      <c r="T75" s="5">
        <f>IF(E75="","",IFERROR(IF(MATCH(E75,'Lista de excepciones'!$E:$E,0)&gt;0,1,0),0))</f>
        <v>0</v>
      </c>
      <c r="U75" s="6" t="str">
        <f t="shared" si="2"/>
        <v>NO</v>
      </c>
    </row>
    <row r="76" spans="1:21" hidden="1" x14ac:dyDescent="0.25">
      <c r="A76" s="7" t="str">
        <f>IF('Port Bloomberg'!A76="","",'Port Bloomberg'!A76)</f>
        <v>BFFCC 3.83 09/14/61</v>
      </c>
      <c r="B76" s="7" t="str">
        <f>IF('Port Bloomberg'!B76="","",'Port Bloomberg'!B76)</f>
        <v>Empresa de los Ferrocarriles del Estado</v>
      </c>
      <c r="C76" s="7" t="str">
        <f>IF('Port Bloomberg'!C76="","",'Port Bloomberg'!C76)</f>
        <v>EFE</v>
      </c>
      <c r="D76" s="7" t="str">
        <f>IF('Port Bloomberg'!D76="","",'Port Bloomberg'!D76)</f>
        <v>EMPRESA DE LOS FERROCARR</v>
      </c>
      <c r="E76" s="7" t="str">
        <f>IF('Port Bloomberg'!E76="","",'Port Bloomberg'!E76)</f>
        <v>USP3742RAX81</v>
      </c>
      <c r="F76" s="7" t="str">
        <f>IF('Port Bloomberg'!F76="","",'Port Bloomberg'!F76)</f>
        <v>BFFCC</v>
      </c>
      <c r="G76" s="7" t="str">
        <f>IF('Port Bloomberg'!G76="","",'Port Bloomberg'!G76)</f>
        <v>2940894Z CI</v>
      </c>
      <c r="H76" s="7" t="str">
        <f>IF('Port Bloomberg'!H76="","",'Port Bloomberg'!H76)</f>
        <v>Transportation</v>
      </c>
      <c r="I76" s="7" t="str">
        <f>IF('Port Bloomberg'!I76="","",'Port Bloomberg'!I76)</f>
        <v>FOA</v>
      </c>
      <c r="J76" s="7" t="str">
        <f>IF('Port Bloomberg'!J76="","",'Port Bloomberg'!J76)</f>
        <v>Transport-Rail</v>
      </c>
      <c r="K76" s="7" t="str">
        <f>IF('Port Bloomberg'!K76="","",'Port Bloomberg'!K76)</f>
        <v>CL</v>
      </c>
      <c r="L76" s="7" t="str">
        <f>IF('Port Bloomberg'!L76="","",'Port Bloomberg'!L76)</f>
        <v>CL</v>
      </c>
      <c r="M76" s="7" t="str">
        <f>IF('Port Bloomberg'!M76="","",'Port Bloomberg'!M76)</f>
        <v>USD</v>
      </c>
      <c r="N76" s="7">
        <f>IF('Port Bloomberg'!N76="","",'Port Bloomberg'!N76)</f>
        <v>500000</v>
      </c>
      <c r="O76" s="7" t="str">
        <f>IF('Port Bloomberg'!O76="","",'Port Bloomberg'!O76)</f>
        <v>SINGLE</v>
      </c>
      <c r="P76" s="7">
        <f>IF('Port Bloomberg'!P76="","",'Port Bloomberg'!P76)</f>
        <v>3.83</v>
      </c>
      <c r="Q76" s="7" t="str">
        <f>IF('Port Bloomberg'!Q76="","",'Port Bloomberg'!Q76)</f>
        <v>A-</v>
      </c>
      <c r="R76" s="7" t="str">
        <f>IF('Port Bloomberg'!R76="","",'Port Bloomberg'!R76)</f>
        <v>09/14/2061</v>
      </c>
      <c r="S76" s="5">
        <f>IF(E76="","",IFERROR(IF(MATCH(E76,[1]Instrumentos!$D:$D,0)&gt;0,1,0),0))</f>
        <v>1</v>
      </c>
      <c r="T76" s="5">
        <f>IF(E76="","",IFERROR(IF(MATCH(E76,'Lista de excepciones'!$E:$E,0)&gt;0,1,0),0))</f>
        <v>0</v>
      </c>
      <c r="U76" s="6" t="str">
        <f t="shared" si="2"/>
        <v>NO</v>
      </c>
    </row>
    <row r="77" spans="1:21" hidden="1" x14ac:dyDescent="0.25">
      <c r="A77" s="7" t="str">
        <f>IF('Port Bloomberg'!A77="","",'Port Bloomberg'!A77)</f>
        <v>BIMBOA 4 05/17/51</v>
      </c>
      <c r="B77" s="7" t="str">
        <f>IF('Port Bloomberg'!B77="","",'Port Bloomberg'!B77)</f>
        <v>Bimbo Bakeries USA Inc</v>
      </c>
      <c r="C77" s="7" t="str">
        <f>IF('Port Bloomberg'!C77="","",'Port Bloomberg'!C77)</f>
        <v>BIMBO BAKERIES</v>
      </c>
      <c r="D77" s="7" t="str">
        <f>IF('Port Bloomberg'!D77="","",'Port Bloomberg'!D77)</f>
        <v>BIMBO BAKERIES USA INC</v>
      </c>
      <c r="E77" s="7" t="str">
        <f>IF('Port Bloomberg'!E77="","",'Port Bloomberg'!E77)</f>
        <v>USU0901RAA50</v>
      </c>
      <c r="F77" s="7" t="str">
        <f>IF('Port Bloomberg'!F77="","",'Port Bloomberg'!F77)</f>
        <v>BIMBOA</v>
      </c>
      <c r="G77" s="7" t="str">
        <f>IF('Port Bloomberg'!G77="","",'Port Bloomberg'!G77)</f>
        <v>BIMBOA MM</v>
      </c>
      <c r="H77" s="7" t="str">
        <f>IF('Port Bloomberg'!H77="","",'Port Bloomberg'!H77)</f>
        <v>Food</v>
      </c>
      <c r="I77" s="7" t="str">
        <f>IF('Port Bloomberg'!I77="","",'Port Bloomberg'!I77)</f>
        <v>IND</v>
      </c>
      <c r="J77" s="7" t="str">
        <f>IF('Port Bloomberg'!J77="","",'Port Bloomberg'!J77)</f>
        <v>Food-Baking</v>
      </c>
      <c r="K77" s="7" t="str">
        <f>IF('Port Bloomberg'!K77="","",'Port Bloomberg'!K77)</f>
        <v>US</v>
      </c>
      <c r="L77" s="7" t="str">
        <f>IF('Port Bloomberg'!L77="","",'Port Bloomberg'!L77)</f>
        <v>MX</v>
      </c>
      <c r="M77" s="7" t="str">
        <f>IF('Port Bloomberg'!M77="","",'Port Bloomberg'!M77)</f>
        <v>USD</v>
      </c>
      <c r="N77" s="7">
        <f>IF('Port Bloomberg'!N77="","",'Port Bloomberg'!N77)</f>
        <v>600000</v>
      </c>
      <c r="O77" s="7" t="str">
        <f>IF('Port Bloomberg'!O77="","",'Port Bloomberg'!O77)</f>
        <v>SINGLE</v>
      </c>
      <c r="P77" s="7">
        <f>IF('Port Bloomberg'!P77="","",'Port Bloomberg'!P77)</f>
        <v>4</v>
      </c>
      <c r="Q77" s="7" t="str">
        <f>IF('Port Bloomberg'!Q77="","",'Port Bloomberg'!Q77)</f>
        <v>BBB+</v>
      </c>
      <c r="R77" s="7" t="str">
        <f>IF('Port Bloomberg'!R77="","",'Port Bloomberg'!R77)</f>
        <v>05/17/2051</v>
      </c>
      <c r="S77" s="5">
        <f>IF(E77="","",IFERROR(IF(MATCH(E77,[1]Instrumentos!$D:$D,0)&gt;0,1,0),0))</f>
        <v>1</v>
      </c>
      <c r="T77" s="5">
        <f>IF(E77="","",IFERROR(IF(MATCH(E77,'Lista de excepciones'!$E:$E,0)&gt;0,1,0),0))</f>
        <v>0</v>
      </c>
      <c r="U77" s="6" t="str">
        <f t="shared" si="2"/>
        <v>NO</v>
      </c>
    </row>
    <row r="78" spans="1:21" hidden="1" x14ac:dyDescent="0.25">
      <c r="A78" s="7" t="str">
        <f>IF('Port Bloomberg'!A78="","",'Port Bloomberg'!A78)</f>
        <v>BIMBOA 4 09/06/49</v>
      </c>
      <c r="B78" s="7" t="str">
        <f>IF('Port Bloomberg'!B78="","",'Port Bloomberg'!B78)</f>
        <v>Grupo Bimbo SAB de CV</v>
      </c>
      <c r="C78" s="7" t="str">
        <f>IF('Port Bloomberg'!C78="","",'Port Bloomberg'!C78)</f>
        <v>GRUPO BIMBO SAB</v>
      </c>
      <c r="D78" s="7" t="str">
        <f>IF('Port Bloomberg'!D78="","",'Port Bloomberg'!D78)</f>
        <v>GRUPO BIMBO SAB DE CV</v>
      </c>
      <c r="E78" s="7" t="str">
        <f>IF('Port Bloomberg'!E78="","",'Port Bloomberg'!E78)</f>
        <v>USP4949BAP96</v>
      </c>
      <c r="F78" s="7" t="str">
        <f>IF('Port Bloomberg'!F78="","",'Port Bloomberg'!F78)</f>
        <v>BIMBOA</v>
      </c>
      <c r="G78" s="7" t="str">
        <f>IF('Port Bloomberg'!G78="","",'Port Bloomberg'!G78)</f>
        <v>BIMBOA MM</v>
      </c>
      <c r="H78" s="7" t="str">
        <f>IF('Port Bloomberg'!H78="","",'Port Bloomberg'!H78)</f>
        <v>Food</v>
      </c>
      <c r="I78" s="7" t="str">
        <f>IF('Port Bloomberg'!I78="","",'Port Bloomberg'!I78)</f>
        <v>IND</v>
      </c>
      <c r="J78" s="7" t="str">
        <f>IF('Port Bloomberg'!J78="","",'Port Bloomberg'!J78)</f>
        <v>Food-Baking</v>
      </c>
      <c r="K78" s="7" t="str">
        <f>IF('Port Bloomberg'!K78="","",'Port Bloomberg'!K78)</f>
        <v>MX</v>
      </c>
      <c r="L78" s="7" t="str">
        <f>IF('Port Bloomberg'!L78="","",'Port Bloomberg'!L78)</f>
        <v>MX</v>
      </c>
      <c r="M78" s="7" t="str">
        <f>IF('Port Bloomberg'!M78="","",'Port Bloomberg'!M78)</f>
        <v>USD</v>
      </c>
      <c r="N78" s="7">
        <f>IF('Port Bloomberg'!N78="","",'Port Bloomberg'!N78)</f>
        <v>600000</v>
      </c>
      <c r="O78" s="7" t="str">
        <f>IF('Port Bloomberg'!O78="","",'Port Bloomberg'!O78)</f>
        <v>SINGLE</v>
      </c>
      <c r="P78" s="7">
        <f>IF('Port Bloomberg'!P78="","",'Port Bloomberg'!P78)</f>
        <v>4</v>
      </c>
      <c r="Q78" s="7" t="str">
        <f>IF('Port Bloomberg'!Q78="","",'Port Bloomberg'!Q78)</f>
        <v>BBB+</v>
      </c>
      <c r="R78" s="7" t="str">
        <f>IF('Port Bloomberg'!R78="","",'Port Bloomberg'!R78)</f>
        <v>09/06/2049</v>
      </c>
      <c r="S78" s="5">
        <f>IF(E78="","",IFERROR(IF(MATCH(E78,[1]Instrumentos!$D:$D,0)&gt;0,1,0),0))</f>
        <v>1</v>
      </c>
      <c r="T78" s="5">
        <f>IF(E78="","",IFERROR(IF(MATCH(E78,'Lista de excepciones'!$E:$E,0)&gt;0,1,0),0))</f>
        <v>0</v>
      </c>
      <c r="U78" s="6" t="str">
        <f t="shared" si="2"/>
        <v>NO</v>
      </c>
    </row>
    <row r="79" spans="1:21" hidden="1" x14ac:dyDescent="0.25">
      <c r="A79" s="7" t="str">
        <f>IF('Port Bloomberg'!A79="","",'Port Bloomberg'!A79)</f>
        <v>BIMBOA 4 ⅞ 06/27/44</v>
      </c>
      <c r="B79" s="7" t="str">
        <f>IF('Port Bloomberg'!B79="","",'Port Bloomberg'!B79)</f>
        <v>Grupo Bimbo SAB de CV</v>
      </c>
      <c r="C79" s="7" t="str">
        <f>IF('Port Bloomberg'!C79="","",'Port Bloomberg'!C79)</f>
        <v>GRUPO BIMBO SAB</v>
      </c>
      <c r="D79" s="7" t="str">
        <f>IF('Port Bloomberg'!D79="","",'Port Bloomberg'!D79)</f>
        <v>GRUPO BIMBO SAB DE CV</v>
      </c>
      <c r="E79" s="7" t="str">
        <f>IF('Port Bloomberg'!E79="","",'Port Bloomberg'!E79)</f>
        <v>USP4949BAK00</v>
      </c>
      <c r="F79" s="7" t="str">
        <f>IF('Port Bloomberg'!F79="","",'Port Bloomberg'!F79)</f>
        <v>BIMBOA</v>
      </c>
      <c r="G79" s="7" t="str">
        <f>IF('Port Bloomberg'!G79="","",'Port Bloomberg'!G79)</f>
        <v>BIMBOA MM</v>
      </c>
      <c r="H79" s="7" t="str">
        <f>IF('Port Bloomberg'!H79="","",'Port Bloomberg'!H79)</f>
        <v>Food</v>
      </c>
      <c r="I79" s="7" t="str">
        <f>IF('Port Bloomberg'!I79="","",'Port Bloomberg'!I79)</f>
        <v>IND</v>
      </c>
      <c r="J79" s="7" t="str">
        <f>IF('Port Bloomberg'!J79="","",'Port Bloomberg'!J79)</f>
        <v>Food-Baking</v>
      </c>
      <c r="K79" s="7" t="str">
        <f>IF('Port Bloomberg'!K79="","",'Port Bloomberg'!K79)</f>
        <v>MX</v>
      </c>
      <c r="L79" s="7" t="str">
        <f>IF('Port Bloomberg'!L79="","",'Port Bloomberg'!L79)</f>
        <v>MX</v>
      </c>
      <c r="M79" s="7" t="str">
        <f>IF('Port Bloomberg'!M79="","",'Port Bloomberg'!M79)</f>
        <v>USD</v>
      </c>
      <c r="N79" s="7">
        <f>IF('Port Bloomberg'!N79="","",'Port Bloomberg'!N79)</f>
        <v>500000</v>
      </c>
      <c r="O79" s="7" t="str">
        <f>IF('Port Bloomberg'!O79="","",'Port Bloomberg'!O79)</f>
        <v>SINGLE</v>
      </c>
      <c r="P79" s="7">
        <f>IF('Port Bloomberg'!P79="","",'Port Bloomberg'!P79)</f>
        <v>4.875</v>
      </c>
      <c r="Q79" s="7" t="str">
        <f>IF('Port Bloomberg'!Q79="","",'Port Bloomberg'!Q79)</f>
        <v>BBB+</v>
      </c>
      <c r="R79" s="7" t="str">
        <f>IF('Port Bloomberg'!R79="","",'Port Bloomberg'!R79)</f>
        <v>06/27/2044</v>
      </c>
      <c r="S79" s="5">
        <f>IF(E79="","",IFERROR(IF(MATCH(E79,[1]Instrumentos!$D:$D,0)&gt;0,1,0),0))</f>
        <v>1</v>
      </c>
      <c r="T79" s="5">
        <f>IF(E79="","",IFERROR(IF(MATCH(E79,'Lista de excepciones'!$E:$E,0)&gt;0,1,0),0))</f>
        <v>0</v>
      </c>
      <c r="U79" s="6" t="str">
        <f t="shared" si="2"/>
        <v>NO</v>
      </c>
    </row>
    <row r="80" spans="1:21" hidden="1" x14ac:dyDescent="0.25">
      <c r="A80" s="7" t="str">
        <f>IF('Port Bloomberg'!A80="","",'Port Bloomberg'!A80)</f>
        <v>BIMBOA 4.7 11/10/47</v>
      </c>
      <c r="B80" s="7" t="str">
        <f>IF('Port Bloomberg'!B80="","",'Port Bloomberg'!B80)</f>
        <v>Grupo Bimbo SAB de CV</v>
      </c>
      <c r="C80" s="7" t="str">
        <f>IF('Port Bloomberg'!C80="","",'Port Bloomberg'!C80)</f>
        <v>GRUPO BIMBO SAB</v>
      </c>
      <c r="D80" s="7" t="str">
        <f>IF('Port Bloomberg'!D80="","",'Port Bloomberg'!D80)</f>
        <v>GRUPO BIMBO SAB DE CV</v>
      </c>
      <c r="E80" s="7" t="str">
        <f>IF('Port Bloomberg'!E80="","",'Port Bloomberg'!E80)</f>
        <v>USP4R52QAC92</v>
      </c>
      <c r="F80" s="7" t="str">
        <f>IF('Port Bloomberg'!F80="","",'Port Bloomberg'!F80)</f>
        <v>BIMBOA</v>
      </c>
      <c r="G80" s="7" t="str">
        <f>IF('Port Bloomberg'!G80="","",'Port Bloomberg'!G80)</f>
        <v>BIMBOA MM</v>
      </c>
      <c r="H80" s="7" t="str">
        <f>IF('Port Bloomberg'!H80="","",'Port Bloomberg'!H80)</f>
        <v>Food</v>
      </c>
      <c r="I80" s="7" t="str">
        <f>IF('Port Bloomberg'!I80="","",'Port Bloomberg'!I80)</f>
        <v>IND</v>
      </c>
      <c r="J80" s="7" t="str">
        <f>IF('Port Bloomberg'!J80="","",'Port Bloomberg'!J80)</f>
        <v>Food-Baking</v>
      </c>
      <c r="K80" s="7" t="str">
        <f>IF('Port Bloomberg'!K80="","",'Port Bloomberg'!K80)</f>
        <v>MX</v>
      </c>
      <c r="L80" s="7" t="str">
        <f>IF('Port Bloomberg'!L80="","",'Port Bloomberg'!L80)</f>
        <v>MX</v>
      </c>
      <c r="M80" s="7" t="str">
        <f>IF('Port Bloomberg'!M80="","",'Port Bloomberg'!M80)</f>
        <v>USD</v>
      </c>
      <c r="N80" s="7">
        <f>IF('Port Bloomberg'!N80="","",'Port Bloomberg'!N80)</f>
        <v>650000</v>
      </c>
      <c r="O80" s="7" t="str">
        <f>IF('Port Bloomberg'!O80="","",'Port Bloomberg'!O80)</f>
        <v>SINGLE</v>
      </c>
      <c r="P80" s="7">
        <f>IF('Port Bloomberg'!P80="","",'Port Bloomberg'!P80)</f>
        <v>4.7</v>
      </c>
      <c r="Q80" s="7" t="str">
        <f>IF('Port Bloomberg'!Q80="","",'Port Bloomberg'!Q80)</f>
        <v>BBB+</v>
      </c>
      <c r="R80" s="7" t="str">
        <f>IF('Port Bloomberg'!R80="","",'Port Bloomberg'!R80)</f>
        <v>11/10/2047</v>
      </c>
      <c r="S80" s="5">
        <f>IF(E80="","",IFERROR(IF(MATCH(E80,[1]Instrumentos!$D:$D,0)&gt;0,1,0),0))</f>
        <v>1</v>
      </c>
      <c r="T80" s="5">
        <f>IF(E80="","",IFERROR(IF(MATCH(E80,'Lista de excepciones'!$E:$E,0)&gt;0,1,0),0))</f>
        <v>0</v>
      </c>
      <c r="U80" s="6" t="str">
        <f t="shared" si="2"/>
        <v>NO</v>
      </c>
    </row>
    <row r="81" spans="1:21" hidden="1" x14ac:dyDescent="0.25">
      <c r="A81" s="7" t="str">
        <f>IF('Port Bloomberg'!A81="","",'Port Bloomberg'!A81)</f>
        <v>BIMBOA 5 ⅜ 01/09/36</v>
      </c>
      <c r="B81" s="7" t="str">
        <f>IF('Port Bloomberg'!B81="","",'Port Bloomberg'!B81)</f>
        <v>Bimbo Bakeries USA Inc</v>
      </c>
      <c r="C81" s="7" t="str">
        <f>IF('Port Bloomberg'!C81="","",'Port Bloomberg'!C81)</f>
        <v>BIMBO BAKERIES</v>
      </c>
      <c r="D81" s="7" t="str">
        <f>IF('Port Bloomberg'!D81="","",'Port Bloomberg'!D81)</f>
        <v>BIMBO BAKERIES USA INC</v>
      </c>
      <c r="E81" s="7" t="str">
        <f>IF('Port Bloomberg'!E81="","",'Port Bloomberg'!E81)</f>
        <v>USU0901RAE72</v>
      </c>
      <c r="F81" s="7" t="str">
        <f>IF('Port Bloomberg'!F81="","",'Port Bloomberg'!F81)</f>
        <v>BIMBOA</v>
      </c>
      <c r="G81" s="7" t="str">
        <f>IF('Port Bloomberg'!G81="","",'Port Bloomberg'!G81)</f>
        <v>BIMBOA MM</v>
      </c>
      <c r="H81" s="7" t="str">
        <f>IF('Port Bloomberg'!H81="","",'Port Bloomberg'!H81)</f>
        <v>Food</v>
      </c>
      <c r="I81" s="7" t="str">
        <f>IF('Port Bloomberg'!I81="","",'Port Bloomberg'!I81)</f>
        <v>IND</v>
      </c>
      <c r="J81" s="7" t="str">
        <f>IF('Port Bloomberg'!J81="","",'Port Bloomberg'!J81)</f>
        <v>Food-Baking</v>
      </c>
      <c r="K81" s="7" t="str">
        <f>IF('Port Bloomberg'!K81="","",'Port Bloomberg'!K81)</f>
        <v>US</v>
      </c>
      <c r="L81" s="7" t="str">
        <f>IF('Port Bloomberg'!L81="","",'Port Bloomberg'!L81)</f>
        <v>MX</v>
      </c>
      <c r="M81" s="7" t="str">
        <f>IF('Port Bloomberg'!M81="","",'Port Bloomberg'!M81)</f>
        <v>USD</v>
      </c>
      <c r="N81" s="7">
        <f>IF('Port Bloomberg'!N81="","",'Port Bloomberg'!N81)</f>
        <v>800000</v>
      </c>
      <c r="O81" s="7" t="str">
        <f>IF('Port Bloomberg'!O81="","",'Port Bloomberg'!O81)</f>
        <v>SINGLE</v>
      </c>
      <c r="P81" s="7">
        <f>IF('Port Bloomberg'!P81="","",'Port Bloomberg'!P81)</f>
        <v>5.375</v>
      </c>
      <c r="Q81" s="7" t="str">
        <f>IF('Port Bloomberg'!Q81="","",'Port Bloomberg'!Q81)</f>
        <v>BBB+</v>
      </c>
      <c r="R81" s="7" t="str">
        <f>IF('Port Bloomberg'!R81="","",'Port Bloomberg'!R81)</f>
        <v>01/09/2036</v>
      </c>
      <c r="S81" s="5">
        <f>IF(E81="","",IFERROR(IF(MATCH(E81,[1]Instrumentos!$D:$D,0)&gt;0,1,0),0))</f>
        <v>1</v>
      </c>
      <c r="T81" s="5">
        <f>IF(E81="","",IFERROR(IF(MATCH(E81,'Lista de excepciones'!$E:$E,0)&gt;0,1,0),0))</f>
        <v>0</v>
      </c>
      <c r="U81" s="6" t="str">
        <f t="shared" si="2"/>
        <v>NO</v>
      </c>
    </row>
    <row r="82" spans="1:21" hidden="1" x14ac:dyDescent="0.25">
      <c r="A82" s="7" t="str">
        <f>IF('Port Bloomberg'!A82="","",'Port Bloomberg'!A82)</f>
        <v>BIMBOA 6.05 01/15/29</v>
      </c>
      <c r="B82" s="7" t="str">
        <f>IF('Port Bloomberg'!B82="","",'Port Bloomberg'!B82)</f>
        <v>Bimbo Bakeries USA Inc</v>
      </c>
      <c r="C82" s="7" t="str">
        <f>IF('Port Bloomberg'!C82="","",'Port Bloomberg'!C82)</f>
        <v>BIMBO BAKERIES</v>
      </c>
      <c r="D82" s="7" t="str">
        <f>IF('Port Bloomberg'!D82="","",'Port Bloomberg'!D82)</f>
        <v>BIMBO BAKERIES USA INC</v>
      </c>
      <c r="E82" s="7" t="str">
        <f>IF('Port Bloomberg'!E82="","",'Port Bloomberg'!E82)</f>
        <v>USU0901RAB34</v>
      </c>
      <c r="F82" s="7" t="str">
        <f>IF('Port Bloomberg'!F82="","",'Port Bloomberg'!F82)</f>
        <v>BIMBOA</v>
      </c>
      <c r="G82" s="7" t="str">
        <f>IF('Port Bloomberg'!G82="","",'Port Bloomberg'!G82)</f>
        <v>BIMBOA MM</v>
      </c>
      <c r="H82" s="7" t="str">
        <f>IF('Port Bloomberg'!H82="","",'Port Bloomberg'!H82)</f>
        <v>Food</v>
      </c>
      <c r="I82" s="7" t="str">
        <f>IF('Port Bloomberg'!I82="","",'Port Bloomberg'!I82)</f>
        <v>IND</v>
      </c>
      <c r="J82" s="7" t="str">
        <f>IF('Port Bloomberg'!J82="","",'Port Bloomberg'!J82)</f>
        <v>Food-Baking</v>
      </c>
      <c r="K82" s="7" t="str">
        <f>IF('Port Bloomberg'!K82="","",'Port Bloomberg'!K82)</f>
        <v>US</v>
      </c>
      <c r="L82" s="7" t="str">
        <f>IF('Port Bloomberg'!L82="","",'Port Bloomberg'!L82)</f>
        <v>MX</v>
      </c>
      <c r="M82" s="7" t="str">
        <f>IF('Port Bloomberg'!M82="","",'Port Bloomberg'!M82)</f>
        <v>USD</v>
      </c>
      <c r="N82" s="7">
        <f>IF('Port Bloomberg'!N82="","",'Port Bloomberg'!N82)</f>
        <v>900000</v>
      </c>
      <c r="O82" s="7" t="str">
        <f>IF('Port Bloomberg'!O82="","",'Port Bloomberg'!O82)</f>
        <v>SINGLE</v>
      </c>
      <c r="P82" s="7">
        <f>IF('Port Bloomberg'!P82="","",'Port Bloomberg'!P82)</f>
        <v>6.05</v>
      </c>
      <c r="Q82" s="7" t="str">
        <f>IF('Port Bloomberg'!Q82="","",'Port Bloomberg'!Q82)</f>
        <v>BBB+</v>
      </c>
      <c r="R82" s="7" t="str">
        <f>IF('Port Bloomberg'!R82="","",'Port Bloomberg'!R82)</f>
        <v>01/15/2029</v>
      </c>
      <c r="S82" s="5">
        <f>IF(E82="","",IFERROR(IF(MATCH(E82,[1]Instrumentos!$D:$D,0)&gt;0,1,0),0))</f>
        <v>1</v>
      </c>
      <c r="T82" s="5">
        <f>IF(E82="","",IFERROR(IF(MATCH(E82,'Lista de excepciones'!$E:$E,0)&gt;0,1,0),0))</f>
        <v>0</v>
      </c>
      <c r="U82" s="6" t="str">
        <f t="shared" si="2"/>
        <v>NO</v>
      </c>
    </row>
    <row r="83" spans="1:21" hidden="1" x14ac:dyDescent="0.25">
      <c r="A83" s="7" t="str">
        <f>IF('Port Bloomberg'!A83="","",'Port Bloomberg'!A83)</f>
        <v>BIMBOA 6.4 01/15/34</v>
      </c>
      <c r="B83" s="7" t="str">
        <f>IF('Port Bloomberg'!B83="","",'Port Bloomberg'!B83)</f>
        <v>Bimbo Bakeries USA Inc</v>
      </c>
      <c r="C83" s="7" t="str">
        <f>IF('Port Bloomberg'!C83="","",'Port Bloomberg'!C83)</f>
        <v>BIMBO BAKERIES</v>
      </c>
      <c r="D83" s="7" t="str">
        <f>IF('Port Bloomberg'!D83="","",'Port Bloomberg'!D83)</f>
        <v>BIMBO BAKERIES USA INC</v>
      </c>
      <c r="E83" s="7" t="str">
        <f>IF('Port Bloomberg'!E83="","",'Port Bloomberg'!E83)</f>
        <v>USU0901RAC17</v>
      </c>
      <c r="F83" s="7" t="str">
        <f>IF('Port Bloomberg'!F83="","",'Port Bloomberg'!F83)</f>
        <v>BIMBOA</v>
      </c>
      <c r="G83" s="7" t="str">
        <f>IF('Port Bloomberg'!G83="","",'Port Bloomberg'!G83)</f>
        <v>BIMBOA MM</v>
      </c>
      <c r="H83" s="7" t="str">
        <f>IF('Port Bloomberg'!H83="","",'Port Bloomberg'!H83)</f>
        <v>Food</v>
      </c>
      <c r="I83" s="7" t="str">
        <f>IF('Port Bloomberg'!I83="","",'Port Bloomberg'!I83)</f>
        <v>IND</v>
      </c>
      <c r="J83" s="7" t="str">
        <f>IF('Port Bloomberg'!J83="","",'Port Bloomberg'!J83)</f>
        <v>Food-Baking</v>
      </c>
      <c r="K83" s="7" t="str">
        <f>IF('Port Bloomberg'!K83="","",'Port Bloomberg'!K83)</f>
        <v>US</v>
      </c>
      <c r="L83" s="7" t="str">
        <f>IF('Port Bloomberg'!L83="","",'Port Bloomberg'!L83)</f>
        <v>MX</v>
      </c>
      <c r="M83" s="7" t="str">
        <f>IF('Port Bloomberg'!M83="","",'Port Bloomberg'!M83)</f>
        <v>USD</v>
      </c>
      <c r="N83" s="7">
        <f>IF('Port Bloomberg'!N83="","",'Port Bloomberg'!N83)</f>
        <v>550000</v>
      </c>
      <c r="O83" s="7" t="str">
        <f>IF('Port Bloomberg'!O83="","",'Port Bloomberg'!O83)</f>
        <v>SINGLE</v>
      </c>
      <c r="P83" s="7">
        <f>IF('Port Bloomberg'!P83="","",'Port Bloomberg'!P83)</f>
        <v>6.4</v>
      </c>
      <c r="Q83" s="7" t="str">
        <f>IF('Port Bloomberg'!Q83="","",'Port Bloomberg'!Q83)</f>
        <v>BBB+</v>
      </c>
      <c r="R83" s="7" t="str">
        <f>IF('Port Bloomberg'!R83="","",'Port Bloomberg'!R83)</f>
        <v>01/15/2034</v>
      </c>
      <c r="S83" s="5">
        <f>IF(E83="","",IFERROR(IF(MATCH(E83,[1]Instrumentos!$D:$D,0)&gt;0,1,0),0))</f>
        <v>1</v>
      </c>
      <c r="T83" s="5">
        <f>IF(E83="","",IFERROR(IF(MATCH(E83,'Lista de excepciones'!$E:$E,0)&gt;0,1,0),0))</f>
        <v>0</v>
      </c>
      <c r="U83" s="6" t="str">
        <f t="shared" si="2"/>
        <v>NO</v>
      </c>
    </row>
    <row r="84" spans="1:21" hidden="1" x14ac:dyDescent="0.25">
      <c r="A84" s="7" t="str">
        <f>IF('Port Bloomberg'!A84="","",'Port Bloomberg'!A84)</f>
        <v>BINTPE 4.8 07/15/31</v>
      </c>
      <c r="B84" s="7" t="str">
        <f>IF('Port Bloomberg'!B84="","",'Port Bloomberg'!B84)</f>
        <v>Banco Internacional del Peru SAA Interbank</v>
      </c>
      <c r="C84" s="7" t="str">
        <f>IF('Port Bloomberg'!C84="","",'Port Bloomberg'!C84)</f>
        <v>BANCO INTER PERU</v>
      </c>
      <c r="D84" s="7" t="str">
        <f>IF('Port Bloomberg'!D84="","",'Port Bloomberg'!D84)</f>
        <v>BANCO INTERNAC DEL PERU</v>
      </c>
      <c r="E84" s="7" t="str">
        <f>IF('Port Bloomberg'!E84="","",'Port Bloomberg'!E84)</f>
        <v>USP13435AH85</v>
      </c>
      <c r="F84" s="7" t="str">
        <f>IF('Port Bloomberg'!F84="","",'Port Bloomberg'!F84)</f>
        <v>BINTPE</v>
      </c>
      <c r="G84" s="7" t="str">
        <f>IF('Port Bloomberg'!G84="","",'Port Bloomberg'!G84)</f>
        <v>INTERBC1 PE</v>
      </c>
      <c r="H84" s="7" t="str">
        <f>IF('Port Bloomberg'!H84="","",'Port Bloomberg'!H84)</f>
        <v>Banks</v>
      </c>
      <c r="I84" s="7" t="str">
        <f>IF('Port Bloomberg'!I84="","",'Port Bloomberg'!I84)</f>
        <v>FIN</v>
      </c>
      <c r="J84" s="7" t="str">
        <f>IF('Port Bloomberg'!J84="","",'Port Bloomberg'!J84)</f>
        <v>Commer Banks Non-US</v>
      </c>
      <c r="K84" s="7" t="str">
        <f>IF('Port Bloomberg'!K84="","",'Port Bloomberg'!K84)</f>
        <v>PE</v>
      </c>
      <c r="L84" s="7" t="str">
        <f>IF('Port Bloomberg'!L84="","",'Port Bloomberg'!L84)</f>
        <v>PE</v>
      </c>
      <c r="M84" s="7" t="str">
        <f>IF('Port Bloomberg'!M84="","",'Port Bloomberg'!M84)</f>
        <v>USD</v>
      </c>
      <c r="N84" s="7">
        <f>IF('Port Bloomberg'!N84="","",'Port Bloomberg'!N84)</f>
        <v>500000</v>
      </c>
      <c r="O84" s="7" t="str">
        <f>IF('Port Bloomberg'!O84="","",'Port Bloomberg'!O84)</f>
        <v>SINGLE</v>
      </c>
      <c r="P84" s="7">
        <f>IF('Port Bloomberg'!P84="","",'Port Bloomberg'!P84)</f>
        <v>4.8</v>
      </c>
      <c r="Q84" s="7" t="str">
        <f>IF('Port Bloomberg'!Q84="","",'Port Bloomberg'!Q84)</f>
        <v>BBB</v>
      </c>
      <c r="R84" s="7" t="str">
        <f>IF('Port Bloomberg'!R84="","",'Port Bloomberg'!R84)</f>
        <v>07/15/2031</v>
      </c>
      <c r="S84" s="5">
        <f>IF(E84="","",IFERROR(IF(MATCH(E84,[1]Instrumentos!$D:$D,0)&gt;0,1,0),0))</f>
        <v>1</v>
      </c>
      <c r="T84" s="5">
        <f>IF(E84="","",IFERROR(IF(MATCH(E84,'Lista de excepciones'!$E:$E,0)&gt;0,1,0),0))</f>
        <v>0</v>
      </c>
      <c r="U84" s="6" t="str">
        <f t="shared" si="2"/>
        <v>NO</v>
      </c>
    </row>
    <row r="85" spans="1:21" hidden="1" x14ac:dyDescent="0.25">
      <c r="A85" s="7" t="str">
        <f>IF('Port Bloomberg'!A85="","",'Port Bloomberg'!A85)</f>
        <v>BINTPE 6.397 04/30/35</v>
      </c>
      <c r="B85" s="7" t="str">
        <f>IF('Port Bloomberg'!B85="","",'Port Bloomberg'!B85)</f>
        <v>Banco Internacional del Peru SAA Interbank</v>
      </c>
      <c r="C85" s="7" t="str">
        <f>IF('Port Bloomberg'!C85="","",'Port Bloomberg'!C85)</f>
        <v>BANCO INTER PERU</v>
      </c>
      <c r="D85" s="7" t="str">
        <f>IF('Port Bloomberg'!D85="","",'Port Bloomberg'!D85)</f>
        <v>BANCO INTERNAC DEL PERU</v>
      </c>
      <c r="E85" s="7" t="str">
        <f>IF('Port Bloomberg'!E85="","",'Port Bloomberg'!E85)</f>
        <v>USP13435AG03</v>
      </c>
      <c r="F85" s="7" t="str">
        <f>IF('Port Bloomberg'!F85="","",'Port Bloomberg'!F85)</f>
        <v>BINTPE</v>
      </c>
      <c r="G85" s="7" t="str">
        <f>IF('Port Bloomberg'!G85="","",'Port Bloomberg'!G85)</f>
        <v>INTERBC1 PE</v>
      </c>
      <c r="H85" s="7" t="str">
        <f>IF('Port Bloomberg'!H85="","",'Port Bloomberg'!H85)</f>
        <v>Banks</v>
      </c>
      <c r="I85" s="7" t="str">
        <f>IF('Port Bloomberg'!I85="","",'Port Bloomberg'!I85)</f>
        <v>FIN</v>
      </c>
      <c r="J85" s="7" t="str">
        <f>IF('Port Bloomberg'!J85="","",'Port Bloomberg'!J85)</f>
        <v>Commer Banks Non-US</v>
      </c>
      <c r="K85" s="7" t="str">
        <f>IF('Port Bloomberg'!K85="","",'Port Bloomberg'!K85)</f>
        <v>PE</v>
      </c>
      <c r="L85" s="7" t="str">
        <f>IF('Port Bloomberg'!L85="","",'Port Bloomberg'!L85)</f>
        <v>PE</v>
      </c>
      <c r="M85" s="7" t="str">
        <f>IF('Port Bloomberg'!M85="","",'Port Bloomberg'!M85)</f>
        <v>USD</v>
      </c>
      <c r="N85" s="7">
        <f>IF('Port Bloomberg'!N85="","",'Port Bloomberg'!N85)</f>
        <v>350000</v>
      </c>
      <c r="O85" s="7" t="str">
        <f>IF('Port Bloomberg'!O85="","",'Port Bloomberg'!O85)</f>
        <v>SINGLE</v>
      </c>
      <c r="P85" s="7">
        <f>IF('Port Bloomberg'!P85="","",'Port Bloomberg'!P85)</f>
        <v>6.3970000000000002</v>
      </c>
      <c r="Q85" s="7" t="str">
        <f>IF('Port Bloomberg'!Q85="","",'Port Bloomberg'!Q85)</f>
        <v>BB+</v>
      </c>
      <c r="R85" s="7" t="str">
        <f>IF('Port Bloomberg'!R85="","",'Port Bloomberg'!R85)</f>
        <v>04/30/2035</v>
      </c>
      <c r="S85" s="5">
        <f>IF(E85="","",IFERROR(IF(MATCH(E85,[1]Instrumentos!$D:$D,0)&gt;0,1,0),0))</f>
        <v>1</v>
      </c>
      <c r="T85" s="5">
        <f>IF(E85="","",IFERROR(IF(MATCH(E85,'Lista de excepciones'!$E:$E,0)&gt;0,1,0),0))</f>
        <v>0</v>
      </c>
      <c r="U85" s="6" t="str">
        <f t="shared" si="2"/>
        <v>NO</v>
      </c>
    </row>
    <row r="86" spans="1:21" hidden="1" x14ac:dyDescent="0.25">
      <c r="A86" s="7" t="str">
        <f>IF('Port Bloomberg'!A86="","",'Port Bloomberg'!A86)</f>
        <v>BINTPE 7 ⅝ 01/16/34</v>
      </c>
      <c r="B86" s="7" t="str">
        <f>IF('Port Bloomberg'!B86="","",'Port Bloomberg'!B86)</f>
        <v>Banco Internacional del Peru SAA Interbank</v>
      </c>
      <c r="C86" s="7" t="str">
        <f>IF('Port Bloomberg'!C86="","",'Port Bloomberg'!C86)</f>
        <v>BANCO INTER PERU</v>
      </c>
      <c r="D86" s="7" t="str">
        <f>IF('Port Bloomberg'!D86="","",'Port Bloomberg'!D86)</f>
        <v>BANCO INTERNAC DEL PERU</v>
      </c>
      <c r="E86" s="7" t="str">
        <f>IF('Port Bloomberg'!E86="","",'Port Bloomberg'!E86)</f>
        <v>USP13435AF20</v>
      </c>
      <c r="F86" s="7" t="str">
        <f>IF('Port Bloomberg'!F86="","",'Port Bloomberg'!F86)</f>
        <v>BINTPE</v>
      </c>
      <c r="G86" s="7" t="str">
        <f>IF('Port Bloomberg'!G86="","",'Port Bloomberg'!G86)</f>
        <v>INTERBC1 PE</v>
      </c>
      <c r="H86" s="7" t="str">
        <f>IF('Port Bloomberg'!H86="","",'Port Bloomberg'!H86)</f>
        <v>Banks</v>
      </c>
      <c r="I86" s="7" t="str">
        <f>IF('Port Bloomberg'!I86="","",'Port Bloomberg'!I86)</f>
        <v>FIN</v>
      </c>
      <c r="J86" s="7" t="str">
        <f>IF('Port Bloomberg'!J86="","",'Port Bloomberg'!J86)</f>
        <v>Commer Banks Non-US</v>
      </c>
      <c r="K86" s="7" t="str">
        <f>IF('Port Bloomberg'!K86="","",'Port Bloomberg'!K86)</f>
        <v>PE</v>
      </c>
      <c r="L86" s="7" t="str">
        <f>IF('Port Bloomberg'!L86="","",'Port Bloomberg'!L86)</f>
        <v>PE</v>
      </c>
      <c r="M86" s="7" t="str">
        <f>IF('Port Bloomberg'!M86="","",'Port Bloomberg'!M86)</f>
        <v>USD</v>
      </c>
      <c r="N86" s="7">
        <f>IF('Port Bloomberg'!N86="","",'Port Bloomberg'!N86)</f>
        <v>300000</v>
      </c>
      <c r="O86" s="7" t="str">
        <f>IF('Port Bloomberg'!O86="","",'Port Bloomberg'!O86)</f>
        <v>SINGLE</v>
      </c>
      <c r="P86" s="7">
        <f>IF('Port Bloomberg'!P86="","",'Port Bloomberg'!P86)</f>
        <v>7.625</v>
      </c>
      <c r="Q86" s="7" t="str">
        <f>IF('Port Bloomberg'!Q86="","",'Port Bloomberg'!Q86)</f>
        <v>BB+</v>
      </c>
      <c r="R86" s="7" t="str">
        <f>IF('Port Bloomberg'!R86="","",'Port Bloomberg'!R86)</f>
        <v>01/16/2034</v>
      </c>
      <c r="S86" s="5">
        <f>IF(E86="","",IFERROR(IF(MATCH(E86,[1]Instrumentos!$D:$D,0)&gt;0,1,0),0))</f>
        <v>1</v>
      </c>
      <c r="T86" s="5">
        <f>IF(E86="","",IFERROR(IF(MATCH(E86,'Lista de excepciones'!$E:$E,0)&gt;0,1,0),0))</f>
        <v>0</v>
      </c>
      <c r="U86" s="6" t="str">
        <f t="shared" si="2"/>
        <v>NO</v>
      </c>
    </row>
    <row r="87" spans="1:21" hidden="1" x14ac:dyDescent="0.25">
      <c r="A87" s="7" t="str">
        <f>IF('Port Bloomberg'!A87="","",'Port Bloomberg'!A87)</f>
        <v>BMETR 3.65 05/07/30</v>
      </c>
      <c r="B87" s="7" t="str">
        <f>IF('Port Bloomberg'!B87="","",'Port Bloomberg'!B87)</f>
        <v>Empresa de Transporte de Pasajeros Metro SA</v>
      </c>
      <c r="C87" s="7" t="str">
        <f>IF('Port Bloomberg'!C87="","",'Port Bloomberg'!C87)</f>
        <v>EMPRESA METRO</v>
      </c>
      <c r="D87" s="7" t="str">
        <f>IF('Port Bloomberg'!D87="","",'Port Bloomberg'!D87)</f>
        <v>EMPRESA DE TRANSPORTE ME</v>
      </c>
      <c r="E87" s="7" t="str">
        <f>IF('Port Bloomberg'!E87="","",'Port Bloomberg'!E87)</f>
        <v>USP37466AR35</v>
      </c>
      <c r="F87" s="7" t="str">
        <f>IF('Port Bloomberg'!F87="","",'Port Bloomberg'!F87)</f>
        <v>BMETR</v>
      </c>
      <c r="G87" s="7" t="str">
        <f>IF('Port Bloomberg'!G87="","",'Port Bloomberg'!G87)</f>
        <v>0531590D CI</v>
      </c>
      <c r="H87" s="7" t="str">
        <f>IF('Port Bloomberg'!H87="","",'Port Bloomberg'!H87)</f>
        <v>Transportation</v>
      </c>
      <c r="I87" s="7" t="str">
        <f>IF('Port Bloomberg'!I87="","",'Port Bloomberg'!I87)</f>
        <v>FOA</v>
      </c>
      <c r="J87" s="7" t="str">
        <f>IF('Port Bloomberg'!J87="","",'Port Bloomberg'!J87)</f>
        <v>Transport-Rail</v>
      </c>
      <c r="K87" s="7" t="str">
        <f>IF('Port Bloomberg'!K87="","",'Port Bloomberg'!K87)</f>
        <v>CL</v>
      </c>
      <c r="L87" s="7" t="str">
        <f>IF('Port Bloomberg'!L87="","",'Port Bloomberg'!L87)</f>
        <v>CL</v>
      </c>
      <c r="M87" s="7" t="str">
        <f>IF('Port Bloomberg'!M87="","",'Port Bloomberg'!M87)</f>
        <v>USD</v>
      </c>
      <c r="N87" s="7">
        <f>IF('Port Bloomberg'!N87="","",'Port Bloomberg'!N87)</f>
        <v>500000</v>
      </c>
      <c r="O87" s="7" t="str">
        <f>IF('Port Bloomberg'!O87="","",'Port Bloomberg'!O87)</f>
        <v>SINGLE</v>
      </c>
      <c r="P87" s="7">
        <f>IF('Port Bloomberg'!P87="","",'Port Bloomberg'!P87)</f>
        <v>3.65</v>
      </c>
      <c r="Q87" s="7" t="str">
        <f>IF('Port Bloomberg'!Q87="","",'Port Bloomberg'!Q87)</f>
        <v>A-</v>
      </c>
      <c r="R87" s="7" t="str">
        <f>IF('Port Bloomberg'!R87="","",'Port Bloomberg'!R87)</f>
        <v>05/07/2030</v>
      </c>
      <c r="S87" s="5">
        <f>IF(E87="","",IFERROR(IF(MATCH(E87,[1]Instrumentos!$D:$D,0)&gt;0,1,0),0))</f>
        <v>1</v>
      </c>
      <c r="T87" s="5">
        <f>IF(E87="","",IFERROR(IF(MATCH(E87,'Lista de excepciones'!$E:$E,0)&gt;0,1,0),0))</f>
        <v>0</v>
      </c>
      <c r="U87" s="6" t="str">
        <f t="shared" si="2"/>
        <v>NO</v>
      </c>
    </row>
    <row r="88" spans="1:21" hidden="1" x14ac:dyDescent="0.25">
      <c r="A88" s="7" t="str">
        <f>IF('Port Bloomberg'!A88="","",'Port Bloomberg'!A88)</f>
        <v>BMETR 3.693 09/13/61</v>
      </c>
      <c r="B88" s="7" t="str">
        <f>IF('Port Bloomberg'!B88="","",'Port Bloomberg'!B88)</f>
        <v>Empresa de Transporte de Pasajeros Metro SA</v>
      </c>
      <c r="C88" s="7" t="str">
        <f>IF('Port Bloomberg'!C88="","",'Port Bloomberg'!C88)</f>
        <v>EMPRESA METRO</v>
      </c>
      <c r="D88" s="7" t="str">
        <f>IF('Port Bloomberg'!D88="","",'Port Bloomberg'!D88)</f>
        <v>EMPRESA DE TRANSPORTE ME</v>
      </c>
      <c r="E88" s="7" t="str">
        <f>IF('Port Bloomberg'!E88="","",'Port Bloomberg'!E88)</f>
        <v>USP37466AT90</v>
      </c>
      <c r="F88" s="7" t="str">
        <f>IF('Port Bloomberg'!F88="","",'Port Bloomberg'!F88)</f>
        <v>BMETR</v>
      </c>
      <c r="G88" s="7" t="str">
        <f>IF('Port Bloomberg'!G88="","",'Port Bloomberg'!G88)</f>
        <v>0531590D CI</v>
      </c>
      <c r="H88" s="7" t="str">
        <f>IF('Port Bloomberg'!H88="","",'Port Bloomberg'!H88)</f>
        <v>Transportation</v>
      </c>
      <c r="I88" s="7" t="str">
        <f>IF('Port Bloomberg'!I88="","",'Port Bloomberg'!I88)</f>
        <v>FOA</v>
      </c>
      <c r="J88" s="7" t="str">
        <f>IF('Port Bloomberg'!J88="","",'Port Bloomberg'!J88)</f>
        <v>Transport-Rail</v>
      </c>
      <c r="K88" s="7" t="str">
        <f>IF('Port Bloomberg'!K88="","",'Port Bloomberg'!K88)</f>
        <v>CL</v>
      </c>
      <c r="L88" s="7" t="str">
        <f>IF('Port Bloomberg'!L88="","",'Port Bloomberg'!L88)</f>
        <v>CL</v>
      </c>
      <c r="M88" s="7" t="str">
        <f>IF('Port Bloomberg'!M88="","",'Port Bloomberg'!M88)</f>
        <v>USD</v>
      </c>
      <c r="N88" s="7">
        <f>IF('Port Bloomberg'!N88="","",'Port Bloomberg'!N88)</f>
        <v>650000</v>
      </c>
      <c r="O88" s="7" t="str">
        <f>IF('Port Bloomberg'!O88="","",'Port Bloomberg'!O88)</f>
        <v>SINGLE</v>
      </c>
      <c r="P88" s="7">
        <f>IF('Port Bloomberg'!P88="","",'Port Bloomberg'!P88)</f>
        <v>3.6930000000000001</v>
      </c>
      <c r="Q88" s="7" t="str">
        <f>IF('Port Bloomberg'!Q88="","",'Port Bloomberg'!Q88)</f>
        <v>A-</v>
      </c>
      <c r="R88" s="7" t="str">
        <f>IF('Port Bloomberg'!R88="","",'Port Bloomberg'!R88)</f>
        <v>09/13/2061</v>
      </c>
      <c r="S88" s="5">
        <f>IF(E88="","",IFERROR(IF(MATCH(E88,[1]Instrumentos!$D:$D,0)&gt;0,1,0),0))</f>
        <v>1</v>
      </c>
      <c r="T88" s="5">
        <f>IF(E88="","",IFERROR(IF(MATCH(E88,'Lista de excepciones'!$E:$E,0)&gt;0,1,0),0))</f>
        <v>0</v>
      </c>
      <c r="U88" s="6" t="str">
        <f t="shared" si="2"/>
        <v>NO</v>
      </c>
    </row>
    <row r="89" spans="1:21" hidden="1" x14ac:dyDescent="0.25">
      <c r="A89" s="7" t="str">
        <f>IF('Port Bloomberg'!A89="","",'Port Bloomberg'!A89)</f>
        <v>BMETR 4.7 05/07/50</v>
      </c>
      <c r="B89" s="7" t="str">
        <f>IF('Port Bloomberg'!B89="","",'Port Bloomberg'!B89)</f>
        <v>Empresa de Transporte de Pasajeros Metro SA</v>
      </c>
      <c r="C89" s="7" t="str">
        <f>IF('Port Bloomberg'!C89="","",'Port Bloomberg'!C89)</f>
        <v>EMPRESA METRO</v>
      </c>
      <c r="D89" s="7" t="str">
        <f>IF('Port Bloomberg'!D89="","",'Port Bloomberg'!D89)</f>
        <v>EMPRESA DE TRANSPORTE ME</v>
      </c>
      <c r="E89" s="7" t="str">
        <f>IF('Port Bloomberg'!E89="","",'Port Bloomberg'!E89)</f>
        <v>USP37466AS18</v>
      </c>
      <c r="F89" s="7" t="str">
        <f>IF('Port Bloomberg'!F89="","",'Port Bloomberg'!F89)</f>
        <v>BMETR</v>
      </c>
      <c r="G89" s="7" t="str">
        <f>IF('Port Bloomberg'!G89="","",'Port Bloomberg'!G89)</f>
        <v>0531590D CI</v>
      </c>
      <c r="H89" s="7" t="str">
        <f>IF('Port Bloomberg'!H89="","",'Port Bloomberg'!H89)</f>
        <v>Transportation</v>
      </c>
      <c r="I89" s="7" t="str">
        <f>IF('Port Bloomberg'!I89="","",'Port Bloomberg'!I89)</f>
        <v>FOA</v>
      </c>
      <c r="J89" s="7" t="str">
        <f>IF('Port Bloomberg'!J89="","",'Port Bloomberg'!J89)</f>
        <v>Transport-Rail</v>
      </c>
      <c r="K89" s="7" t="str">
        <f>IF('Port Bloomberg'!K89="","",'Port Bloomberg'!K89)</f>
        <v>CL</v>
      </c>
      <c r="L89" s="7" t="str">
        <f>IF('Port Bloomberg'!L89="","",'Port Bloomberg'!L89)</f>
        <v>CL</v>
      </c>
      <c r="M89" s="7" t="str">
        <f>IF('Port Bloomberg'!M89="","",'Port Bloomberg'!M89)</f>
        <v>USD</v>
      </c>
      <c r="N89" s="7">
        <f>IF('Port Bloomberg'!N89="","",'Port Bloomberg'!N89)</f>
        <v>1000000</v>
      </c>
      <c r="O89" s="7" t="str">
        <f>IF('Port Bloomberg'!O89="","",'Port Bloomberg'!O89)</f>
        <v>SINGLE</v>
      </c>
      <c r="P89" s="7">
        <f>IF('Port Bloomberg'!P89="","",'Port Bloomberg'!P89)</f>
        <v>4.7</v>
      </c>
      <c r="Q89" s="7" t="str">
        <f>IF('Port Bloomberg'!Q89="","",'Port Bloomberg'!Q89)</f>
        <v>A-</v>
      </c>
      <c r="R89" s="7" t="str">
        <f>IF('Port Bloomberg'!R89="","",'Port Bloomberg'!R89)</f>
        <v>05/07/2050</v>
      </c>
      <c r="S89" s="5">
        <f>IF(E89="","",IFERROR(IF(MATCH(E89,[1]Instrumentos!$D:$D,0)&gt;0,1,0),0))</f>
        <v>1</v>
      </c>
      <c r="T89" s="5">
        <f>IF(E89="","",IFERROR(IF(MATCH(E89,'Lista de excepciones'!$E:$E,0)&gt;0,1,0),0))</f>
        <v>0</v>
      </c>
      <c r="U89" s="6" t="str">
        <f t="shared" si="2"/>
        <v>NO</v>
      </c>
    </row>
    <row r="90" spans="1:21" hidden="1" x14ac:dyDescent="0.25">
      <c r="A90" s="7" t="str">
        <f>IF('Port Bloomberg'!A90="","",'Port Bloomberg'!A90)</f>
        <v>BMETR 5 01/25/47</v>
      </c>
      <c r="B90" s="7" t="str">
        <f>IF('Port Bloomberg'!B90="","",'Port Bloomberg'!B90)</f>
        <v>Empresa de Transporte de Pasajeros Metro SA</v>
      </c>
      <c r="C90" s="7" t="str">
        <f>IF('Port Bloomberg'!C90="","",'Port Bloomberg'!C90)</f>
        <v>EMPRESA METRO</v>
      </c>
      <c r="D90" s="7" t="str">
        <f>IF('Port Bloomberg'!D90="","",'Port Bloomberg'!D90)</f>
        <v>EMPRESA DE TRANSPORTE ME</v>
      </c>
      <c r="E90" s="7" t="str">
        <f>IF('Port Bloomberg'!E90="","",'Port Bloomberg'!E90)</f>
        <v>USP37466AP78</v>
      </c>
      <c r="F90" s="7" t="str">
        <f>IF('Port Bloomberg'!F90="","",'Port Bloomberg'!F90)</f>
        <v>BMETR</v>
      </c>
      <c r="G90" s="7" t="str">
        <f>IF('Port Bloomberg'!G90="","",'Port Bloomberg'!G90)</f>
        <v>0531590D CI</v>
      </c>
      <c r="H90" s="7" t="str">
        <f>IF('Port Bloomberg'!H90="","",'Port Bloomberg'!H90)</f>
        <v>Transportation</v>
      </c>
      <c r="I90" s="7" t="str">
        <f>IF('Port Bloomberg'!I90="","",'Port Bloomberg'!I90)</f>
        <v>FOA</v>
      </c>
      <c r="J90" s="7" t="str">
        <f>IF('Port Bloomberg'!J90="","",'Port Bloomberg'!J90)</f>
        <v>Transport-Rail</v>
      </c>
      <c r="K90" s="7" t="str">
        <f>IF('Port Bloomberg'!K90="","",'Port Bloomberg'!K90)</f>
        <v>CL</v>
      </c>
      <c r="L90" s="7" t="str">
        <f>IF('Port Bloomberg'!L90="","",'Port Bloomberg'!L90)</f>
        <v>CL</v>
      </c>
      <c r="M90" s="7" t="str">
        <f>IF('Port Bloomberg'!M90="","",'Port Bloomberg'!M90)</f>
        <v>USD</v>
      </c>
      <c r="N90" s="7">
        <f>IF('Port Bloomberg'!N90="","",'Port Bloomberg'!N90)</f>
        <v>500000</v>
      </c>
      <c r="O90" s="7" t="str">
        <f>IF('Port Bloomberg'!O90="","",'Port Bloomberg'!O90)</f>
        <v>SINGLE</v>
      </c>
      <c r="P90" s="7">
        <f>IF('Port Bloomberg'!P90="","",'Port Bloomberg'!P90)</f>
        <v>5</v>
      </c>
      <c r="Q90" s="7" t="str">
        <f>IF('Port Bloomberg'!Q90="","",'Port Bloomberg'!Q90)</f>
        <v>A-</v>
      </c>
      <c r="R90" s="7" t="str">
        <f>IF('Port Bloomberg'!R90="","",'Port Bloomberg'!R90)</f>
        <v>01/25/2047</v>
      </c>
      <c r="S90" s="5">
        <f>IF(E90="","",IFERROR(IF(MATCH(E90,[1]Instrumentos!$D:$D,0)&gt;0,1,0),0))</f>
        <v>1</v>
      </c>
      <c r="T90" s="5">
        <f>IF(E90="","",IFERROR(IF(MATCH(E90,'Lista de excepciones'!$E:$E,0)&gt;0,1,0),0))</f>
        <v>0</v>
      </c>
      <c r="U90" s="6" t="str">
        <f t="shared" si="2"/>
        <v>NO</v>
      </c>
    </row>
    <row r="91" spans="1:21" hidden="1" x14ac:dyDescent="0.25">
      <c r="A91" s="7" t="str">
        <f>IF('Port Bloomberg'!A91="","",'Port Bloomberg'!A91)</f>
        <v>BNCE 5 ⅞ 05/07/30</v>
      </c>
      <c r="B91" s="7" t="str">
        <f>IF('Port Bloomberg'!B91="","",'Port Bloomberg'!B91)</f>
        <v>Banco Nacional de Comercio Exterior SNC/Cayman Islands</v>
      </c>
      <c r="C91" s="7" t="str">
        <f>IF('Port Bloomberg'!C91="","",'Port Bloomberg'!C91)</f>
        <v>BANCO NAC DE COM</v>
      </c>
      <c r="D91" s="7" t="str">
        <f>IF('Port Bloomberg'!D91="","",'Port Bloomberg'!D91)</f>
        <v>BANCO NACIONAL COM EXT</v>
      </c>
      <c r="E91" s="7" t="str">
        <f>IF('Port Bloomberg'!E91="","",'Port Bloomberg'!E91)</f>
        <v>USP14519AA30</v>
      </c>
      <c r="F91" s="7" t="str">
        <f>IF('Port Bloomberg'!F91="","",'Port Bloomberg'!F91)</f>
        <v>BNCE</v>
      </c>
      <c r="G91" s="7" t="str">
        <f>IF('Port Bloomberg'!G91="","",'Port Bloomberg'!G91)</f>
        <v>74283Z MM</v>
      </c>
      <c r="H91" s="7" t="str">
        <f>IF('Port Bloomberg'!H91="","",'Port Bloomberg'!H91)</f>
        <v>Banks</v>
      </c>
      <c r="I91" s="7" t="str">
        <f>IF('Port Bloomberg'!I91="","",'Port Bloomberg'!I91)</f>
        <v>FOA</v>
      </c>
      <c r="J91" s="7" t="str">
        <f>IF('Port Bloomberg'!J91="","",'Port Bloomberg'!J91)</f>
        <v>Special Purpose Banks</v>
      </c>
      <c r="K91" s="7" t="str">
        <f>IF('Port Bloomberg'!K91="","",'Port Bloomberg'!K91)</f>
        <v>KY</v>
      </c>
      <c r="L91" s="7" t="str">
        <f>IF('Port Bloomberg'!L91="","",'Port Bloomberg'!L91)</f>
        <v>MX</v>
      </c>
      <c r="M91" s="7" t="str">
        <f>IF('Port Bloomberg'!M91="","",'Port Bloomberg'!M91)</f>
        <v>USD</v>
      </c>
      <c r="N91" s="7">
        <f>IF('Port Bloomberg'!N91="","",'Port Bloomberg'!N91)</f>
        <v>500000</v>
      </c>
      <c r="O91" s="7" t="str">
        <f>IF('Port Bloomberg'!O91="","",'Port Bloomberg'!O91)</f>
        <v>SINGLE</v>
      </c>
      <c r="P91" s="7">
        <f>IF('Port Bloomberg'!P91="","",'Port Bloomberg'!P91)</f>
        <v>5.875</v>
      </c>
      <c r="Q91" s="7" t="str">
        <f>IF('Port Bloomberg'!Q91="","",'Port Bloomberg'!Q91)</f>
        <v>BBB-</v>
      </c>
      <c r="R91" s="7" t="str">
        <f>IF('Port Bloomberg'!R91="","",'Port Bloomberg'!R91)</f>
        <v>05/07/2030</v>
      </c>
      <c r="S91" s="5">
        <f>IF(E91="","",IFERROR(IF(MATCH(E91,[1]Instrumentos!$D:$D,0)&gt;0,1,0),0))</f>
        <v>1</v>
      </c>
      <c r="T91" s="5">
        <f>IF(E91="","",IFERROR(IF(MATCH(E91,'Lista de excepciones'!$E:$E,0)&gt;0,1,0),0))</f>
        <v>0</v>
      </c>
      <c r="U91" s="6" t="str">
        <f t="shared" si="2"/>
        <v>NO</v>
      </c>
    </row>
    <row r="92" spans="1:21" hidden="1" x14ac:dyDescent="0.25">
      <c r="A92" s="7" t="str">
        <f>IF('Port Bloomberg'!A92="","",'Port Bloomberg'!A92)</f>
        <v>BNCE 6 05/14/36</v>
      </c>
      <c r="B92" s="7" t="str">
        <f>IF('Port Bloomberg'!B92="","",'Port Bloomberg'!B92)</f>
        <v>Banco Nacional de Comercio Exterior SNC/Cayman Islands</v>
      </c>
      <c r="C92" s="7" t="str">
        <f>IF('Port Bloomberg'!C92="","",'Port Bloomberg'!C92)</f>
        <v>BANCO NAC DE COM</v>
      </c>
      <c r="D92" s="7" t="str">
        <f>IF('Port Bloomberg'!D92="","",'Port Bloomberg'!D92)</f>
        <v>BANCO NACIONAL COM EXT</v>
      </c>
      <c r="E92" s="7" t="str">
        <f>IF('Port Bloomberg'!E92="","",'Port Bloomberg'!E92)</f>
        <v>USP14519AB13</v>
      </c>
      <c r="F92" s="7" t="str">
        <f>IF('Port Bloomberg'!F92="","",'Port Bloomberg'!F92)</f>
        <v>BNCE</v>
      </c>
      <c r="G92" s="7" t="str">
        <f>IF('Port Bloomberg'!G92="","",'Port Bloomberg'!G92)</f>
        <v>74283Z MM</v>
      </c>
      <c r="H92" s="7" t="str">
        <f>IF('Port Bloomberg'!H92="","",'Port Bloomberg'!H92)</f>
        <v>Banks</v>
      </c>
      <c r="I92" s="7" t="str">
        <f>IF('Port Bloomberg'!I92="","",'Port Bloomberg'!I92)</f>
        <v>FOA</v>
      </c>
      <c r="J92" s="7" t="str">
        <f>IF('Port Bloomberg'!J92="","",'Port Bloomberg'!J92)</f>
        <v>Special Purpose Banks</v>
      </c>
      <c r="K92" s="7" t="str">
        <f>IF('Port Bloomberg'!K92="","",'Port Bloomberg'!K92)</f>
        <v>KY</v>
      </c>
      <c r="L92" s="7" t="str">
        <f>IF('Port Bloomberg'!L92="","",'Port Bloomberg'!L92)</f>
        <v>MX</v>
      </c>
      <c r="M92" s="7" t="str">
        <f>IF('Port Bloomberg'!M92="","",'Port Bloomberg'!M92)</f>
        <v>USD</v>
      </c>
      <c r="N92" s="7">
        <f>IF('Port Bloomberg'!N92="","",'Port Bloomberg'!N92)</f>
        <v>500000</v>
      </c>
      <c r="O92" s="7" t="str">
        <f>IF('Port Bloomberg'!O92="","",'Port Bloomberg'!O92)</f>
        <v>SINGLE</v>
      </c>
      <c r="P92" s="7">
        <f>IF('Port Bloomberg'!P92="","",'Port Bloomberg'!P92)</f>
        <v>6</v>
      </c>
      <c r="Q92" s="7" t="str">
        <f>IF('Port Bloomberg'!Q92="","",'Port Bloomberg'!Q92)</f>
        <v>BB+</v>
      </c>
      <c r="R92" s="7" t="str">
        <f>IF('Port Bloomberg'!R92="","",'Port Bloomberg'!R92)</f>
        <v>05/14/2036</v>
      </c>
      <c r="S92" s="5">
        <f>IF(E92="","",IFERROR(IF(MATCH(E92,[1]Instrumentos!$D:$D,0)&gt;0,1,0),0))</f>
        <v>1</v>
      </c>
      <c r="T92" s="5">
        <f>IF(E92="","",IFERROR(IF(MATCH(E92,'Lista de excepciones'!$E:$E,0)&gt;0,1,0),0))</f>
        <v>0</v>
      </c>
      <c r="U92" s="6" t="str">
        <f t="shared" si="2"/>
        <v>NO</v>
      </c>
    </row>
    <row r="93" spans="1:21" hidden="1" x14ac:dyDescent="0.25">
      <c r="A93" s="7" t="str">
        <f>IF('Port Bloomberg'!A93="","",'Port Bloomberg'!A93)</f>
        <v>BNCHIL 2.99 12/09/31</v>
      </c>
      <c r="B93" s="7" t="str">
        <f>IF('Port Bloomberg'!B93="","",'Port Bloomberg'!B93)</f>
        <v>Banco de Chile</v>
      </c>
      <c r="C93" s="7" t="str">
        <f>IF('Port Bloomberg'!C93="","",'Port Bloomberg'!C93)</f>
        <v>BANCO DE CHILE</v>
      </c>
      <c r="D93" s="7" t="str">
        <f>IF('Port Bloomberg'!D93="","",'Port Bloomberg'!D93)</f>
        <v>BANCO DE CHILE</v>
      </c>
      <c r="E93" s="7" t="str">
        <f>IF('Port Bloomberg'!E93="","",'Port Bloomberg'!E93)</f>
        <v>USP09376DD69</v>
      </c>
      <c r="F93" s="7" t="str">
        <f>IF('Port Bloomberg'!F93="","",'Port Bloomberg'!F93)</f>
        <v>BNCHIL</v>
      </c>
      <c r="G93" s="7" t="str">
        <f>IF('Port Bloomberg'!G93="","",'Port Bloomberg'!G93)</f>
        <v>CHILE CI</v>
      </c>
      <c r="H93" s="7" t="str">
        <f>IF('Port Bloomberg'!H93="","",'Port Bloomberg'!H93)</f>
        <v>Banks</v>
      </c>
      <c r="I93" s="7" t="str">
        <f>IF('Port Bloomberg'!I93="","",'Port Bloomberg'!I93)</f>
        <v>FIN</v>
      </c>
      <c r="J93" s="7" t="str">
        <f>IF('Port Bloomberg'!J93="","",'Port Bloomberg'!J93)</f>
        <v>Commer Banks Non-US</v>
      </c>
      <c r="K93" s="7" t="str">
        <f>IF('Port Bloomberg'!K93="","",'Port Bloomberg'!K93)</f>
        <v>CL</v>
      </c>
      <c r="L93" s="7" t="str">
        <f>IF('Port Bloomberg'!L93="","",'Port Bloomberg'!L93)</f>
        <v>CL</v>
      </c>
      <c r="M93" s="7" t="str">
        <f>IF('Port Bloomberg'!M93="","",'Port Bloomberg'!M93)</f>
        <v>USD</v>
      </c>
      <c r="N93" s="7">
        <f>IF('Port Bloomberg'!N93="","",'Port Bloomberg'!N93)</f>
        <v>500000</v>
      </c>
      <c r="O93" s="7" t="str">
        <f>IF('Port Bloomberg'!O93="","",'Port Bloomberg'!O93)</f>
        <v>SINGLE</v>
      </c>
      <c r="P93" s="7">
        <f>IF('Port Bloomberg'!P93="","",'Port Bloomberg'!P93)</f>
        <v>2.99</v>
      </c>
      <c r="Q93" s="7" t="str">
        <f>IF('Port Bloomberg'!Q93="","",'Port Bloomberg'!Q93)</f>
        <v>A</v>
      </c>
      <c r="R93" s="7" t="str">
        <f>IF('Port Bloomberg'!R93="","",'Port Bloomberg'!R93)</f>
        <v>12/09/2031</v>
      </c>
      <c r="S93" s="5">
        <f>IF(E93="","",IFERROR(IF(MATCH(E93,[1]Instrumentos!$D:$D,0)&gt;0,1,0),0))</f>
        <v>1</v>
      </c>
      <c r="T93" s="5">
        <f>IF(E93="","",IFERROR(IF(MATCH(E93,'Lista de excepciones'!$E:$E,0)&gt;0,1,0),0))</f>
        <v>0</v>
      </c>
      <c r="U93" s="6" t="str">
        <f t="shared" si="2"/>
        <v>NO</v>
      </c>
    </row>
    <row r="94" spans="1:21" hidden="1" x14ac:dyDescent="0.25">
      <c r="A94" s="7" t="str">
        <f>IF('Port Bloomberg'!A94="","",'Port Bloomberg'!A94)</f>
        <v>BNSPE 6.1 10/01/35</v>
      </c>
      <c r="B94" s="7" t="str">
        <f>IF('Port Bloomberg'!B94="","",'Port Bloomberg'!B94)</f>
        <v>Scotiabank Peru SAA</v>
      </c>
      <c r="C94" s="7" t="str">
        <f>IF('Port Bloomberg'!C94="","",'Port Bloomberg'!C94)</f>
        <v>SCOTIABANK PERU</v>
      </c>
      <c r="D94" s="7" t="str">
        <f>IF('Port Bloomberg'!D94="","",'Port Bloomberg'!D94)</f>
        <v>SCOTIABANK PERU SA</v>
      </c>
      <c r="E94" s="7" t="str">
        <f>IF('Port Bloomberg'!E94="","",'Port Bloomberg'!E94)</f>
        <v>USP8T35JAP76</v>
      </c>
      <c r="F94" s="7" t="str">
        <f>IF('Port Bloomberg'!F94="","",'Port Bloomberg'!F94)</f>
        <v>BNSPE</v>
      </c>
      <c r="G94" s="7" t="str">
        <f>IF('Port Bloomberg'!G94="","",'Port Bloomberg'!G94)</f>
        <v>SCOTIAC1 PE</v>
      </c>
      <c r="H94" s="7" t="str">
        <f>IF('Port Bloomberg'!H94="","",'Port Bloomberg'!H94)</f>
        <v>Banks</v>
      </c>
      <c r="I94" s="7" t="str">
        <f>IF('Port Bloomberg'!I94="","",'Port Bloomberg'!I94)</f>
        <v>FIN</v>
      </c>
      <c r="J94" s="7" t="str">
        <f>IF('Port Bloomberg'!J94="","",'Port Bloomberg'!J94)</f>
        <v>Commer Banks Non-US</v>
      </c>
      <c r="K94" s="7" t="str">
        <f>IF('Port Bloomberg'!K94="","",'Port Bloomberg'!K94)</f>
        <v>PE</v>
      </c>
      <c r="L94" s="7" t="str">
        <f>IF('Port Bloomberg'!L94="","",'Port Bloomberg'!L94)</f>
        <v>PE</v>
      </c>
      <c r="M94" s="7" t="str">
        <f>IF('Port Bloomberg'!M94="","",'Port Bloomberg'!M94)</f>
        <v>USD</v>
      </c>
      <c r="N94" s="7">
        <f>IF('Port Bloomberg'!N94="","",'Port Bloomberg'!N94)</f>
        <v>400000</v>
      </c>
      <c r="O94" s="7" t="str">
        <f>IF('Port Bloomberg'!O94="","",'Port Bloomberg'!O94)</f>
        <v>SINGLE</v>
      </c>
      <c r="P94" s="7">
        <f>IF('Port Bloomberg'!P94="","",'Port Bloomberg'!P94)</f>
        <v>6.1</v>
      </c>
      <c r="Q94" s="7" t="str">
        <f>IF('Port Bloomberg'!Q94="","",'Port Bloomberg'!Q94)</f>
        <v>BBB</v>
      </c>
      <c r="R94" s="7" t="str">
        <f>IF('Port Bloomberg'!R94="","",'Port Bloomberg'!R94)</f>
        <v>10/01/2035</v>
      </c>
      <c r="S94" s="5">
        <f>IF(E94="","",IFERROR(IF(MATCH(E94,[1]Instrumentos!$D:$D,0)&gt;0,1,0),0))</f>
        <v>1</v>
      </c>
      <c r="T94" s="5">
        <f>IF(E94="","",IFERROR(IF(MATCH(E94,'Lista de excepciones'!$E:$E,0)&gt;0,1,0),0))</f>
        <v>0</v>
      </c>
      <c r="U94" s="6" t="str">
        <f t="shared" si="2"/>
        <v>NO</v>
      </c>
    </row>
    <row r="95" spans="1:21" hidden="1" x14ac:dyDescent="0.25">
      <c r="A95" s="7" t="str">
        <f>IF('Port Bloomberg'!A95="","",'Port Bloomberg'!A95)</f>
        <v>BORLTD 9 ½ 08/07/32</v>
      </c>
      <c r="B95" s="7" t="str">
        <f>IF('Port Bloomberg'!B95="","",'Port Bloomberg'!B95)</f>
        <v>Boroo Investments Pte Ltd</v>
      </c>
      <c r="C95" s="7" t="str">
        <f>IF('Port Bloomberg'!C95="","",'Port Bloomberg'!C95)</f>
        <v>BOROO INV PT LTD</v>
      </c>
      <c r="D95" s="7" t="str">
        <f>IF('Port Bloomberg'!D95="","",'Port Bloomberg'!D95)</f>
        <v>BOROO INVESTMENTS</v>
      </c>
      <c r="E95" s="7" t="str">
        <f>IF('Port Bloomberg'!E95="","",'Port Bloomberg'!E95)</f>
        <v>USY00601AA55</v>
      </c>
      <c r="F95" s="7" t="str">
        <f>IF('Port Bloomberg'!F95="","",'Port Bloomberg'!F95)</f>
        <v>BORLTD</v>
      </c>
      <c r="G95" s="7" t="str">
        <f>IF('Port Bloomberg'!G95="","",'Port Bloomberg'!G95)</f>
        <v/>
      </c>
      <c r="H95" s="7" t="str">
        <f>IF('Port Bloomberg'!H95="","",'Port Bloomberg'!H95)</f>
        <v>Mining</v>
      </c>
      <c r="I95" s="7" t="str">
        <f>IF('Port Bloomberg'!I95="","",'Port Bloomberg'!I95)</f>
        <v>IND</v>
      </c>
      <c r="J95" s="7" t="str">
        <f>IF('Port Bloomberg'!J95="","",'Port Bloomberg'!J95)</f>
        <v>Gold Mining</v>
      </c>
      <c r="K95" s="7" t="str">
        <f>IF('Port Bloomberg'!K95="","",'Port Bloomberg'!K95)</f>
        <v>SG</v>
      </c>
      <c r="L95" s="7" t="str">
        <f>IF('Port Bloomberg'!L95="","",'Port Bloomberg'!L95)</f>
        <v>PE</v>
      </c>
      <c r="M95" s="7" t="str">
        <f>IF('Port Bloomberg'!M95="","",'Port Bloomberg'!M95)</f>
        <v>USD</v>
      </c>
      <c r="N95" s="7">
        <f>IF('Port Bloomberg'!N95="","",'Port Bloomberg'!N95)</f>
        <v>300000</v>
      </c>
      <c r="O95" s="7" t="str">
        <f>IF('Port Bloomberg'!O95="","",'Port Bloomberg'!O95)</f>
        <v>SINGLE</v>
      </c>
      <c r="P95" s="7">
        <f>IF('Port Bloomberg'!P95="","",'Port Bloomberg'!P95)</f>
        <v>9.5</v>
      </c>
      <c r="Q95" s="7" t="str">
        <f>IF('Port Bloomberg'!Q95="","",'Port Bloomberg'!Q95)</f>
        <v>B+</v>
      </c>
      <c r="R95" s="7" t="str">
        <f>IF('Port Bloomberg'!R95="","",'Port Bloomberg'!R95)</f>
        <v>08/07/2032</v>
      </c>
      <c r="S95" s="5">
        <f>IF(E95="","",IFERROR(IF(MATCH(E95,[1]Instrumentos!$D:$D,0)&gt;0,1,0),0))</f>
        <v>0</v>
      </c>
      <c r="T95" s="5">
        <f>IF(E95="","",IFERROR(IF(MATCH(E95,'Lista de excepciones'!$E:$E,0)&gt;0,1,0),0))</f>
        <v>1</v>
      </c>
      <c r="U95" s="6" t="str">
        <f t="shared" si="2"/>
        <v>NO</v>
      </c>
    </row>
    <row r="96" spans="1:21" hidden="1" x14ac:dyDescent="0.25">
      <c r="A96" s="7" t="str">
        <f>IF('Port Bloomberg'!A96="","",'Port Bloomberg'!A96)</f>
        <v>BORRNO 8 ¾ 01/15/32</v>
      </c>
      <c r="B96" s="7" t="str">
        <f>IF('Port Bloomberg'!B96="","",'Port Bloomberg'!B96)</f>
        <v>Borr IHC Ltd / Borr Finance LLC</v>
      </c>
      <c r="C96" s="7" t="str">
        <f>IF('Port Bloomberg'!C96="","",'Port Bloomberg'!C96)</f>
        <v>BORR IHC/BORR FI</v>
      </c>
      <c r="D96" s="7" t="str">
        <f>IF('Port Bloomberg'!D96="","",'Port Bloomberg'!D96)</f>
        <v>BORR IHC LTD / BORR FIN</v>
      </c>
      <c r="E96" s="7" t="str">
        <f>IF('Port Bloomberg'!E96="","",'Port Bloomberg'!E96)</f>
        <v>USG1467FAH67</v>
      </c>
      <c r="F96" s="7" t="str">
        <f>IF('Port Bloomberg'!F96="","",'Port Bloomberg'!F96)</f>
        <v>BORRNO</v>
      </c>
      <c r="G96" s="7" t="str">
        <f>IF('Port Bloomberg'!G96="","",'Port Bloomberg'!G96)</f>
        <v>BORR US</v>
      </c>
      <c r="H96" s="7" t="str">
        <f>IF('Port Bloomberg'!H96="","",'Port Bloomberg'!H96)</f>
        <v>Oil&amp;Gas</v>
      </c>
      <c r="I96" s="7" t="str">
        <f>IF('Port Bloomberg'!I96="","",'Port Bloomberg'!I96)</f>
        <v>IND</v>
      </c>
      <c r="J96" s="7" t="str">
        <f>IF('Port Bloomberg'!J96="","",'Port Bloomberg'!J96)</f>
        <v>Oil&amp;Gas Drilling</v>
      </c>
      <c r="K96" s="7" t="str">
        <f>IF('Port Bloomberg'!K96="","",'Port Bloomberg'!K96)</f>
        <v>US</v>
      </c>
      <c r="L96" s="7" t="str">
        <f>IF('Port Bloomberg'!L96="","",'Port Bloomberg'!L96)</f>
        <v>MX</v>
      </c>
      <c r="M96" s="7" t="str">
        <f>IF('Port Bloomberg'!M96="","",'Port Bloomberg'!M96)</f>
        <v>USD</v>
      </c>
      <c r="N96" s="7">
        <f>IF('Port Bloomberg'!N96="","",'Port Bloomberg'!N96)</f>
        <v>1100000</v>
      </c>
      <c r="O96" s="7" t="str">
        <f>IF('Port Bloomberg'!O96="","",'Port Bloomberg'!O96)</f>
        <v>SINGLE</v>
      </c>
      <c r="P96" s="7">
        <f>IF('Port Bloomberg'!P96="","",'Port Bloomberg'!P96)</f>
        <v>8.75</v>
      </c>
      <c r="Q96" s="7" t="str">
        <f>IF('Port Bloomberg'!Q96="","",'Port Bloomberg'!Q96)</f>
        <v>B-</v>
      </c>
      <c r="R96" s="7" t="str">
        <f>IF('Port Bloomberg'!R96="","",'Port Bloomberg'!R96)</f>
        <v>01/15/2032</v>
      </c>
      <c r="S96" s="5">
        <f>IF(E96="","",IFERROR(IF(MATCH(E96,[1]Instrumentos!$D:$D,0)&gt;0,1,0),0))</f>
        <v>0</v>
      </c>
      <c r="T96" s="5">
        <f>IF(E96="","",IFERROR(IF(MATCH(E96,'Lista de excepciones'!$E:$E,0)&gt;0,1,0),0))</f>
        <v>1</v>
      </c>
      <c r="U96" s="6" t="str">
        <f t="shared" si="2"/>
        <v>NO</v>
      </c>
    </row>
    <row r="97" spans="1:21" hidden="1" x14ac:dyDescent="0.25">
      <c r="A97" s="7" t="str">
        <f>IF('Port Bloomberg'!A97="","",'Port Bloomberg'!A97)</f>
        <v>BORRNO 9 01/15/34</v>
      </c>
      <c r="B97" s="7" t="str">
        <f>IF('Port Bloomberg'!B97="","",'Port Bloomberg'!B97)</f>
        <v>Borr IHC Ltd / Borr Finance LLC</v>
      </c>
      <c r="C97" s="7" t="str">
        <f>IF('Port Bloomberg'!C97="","",'Port Bloomberg'!C97)</f>
        <v>BORR IHC/BORR FI</v>
      </c>
      <c r="D97" s="7" t="str">
        <f>IF('Port Bloomberg'!D97="","",'Port Bloomberg'!D97)</f>
        <v>BORR IHC LTD / BORR FIN</v>
      </c>
      <c r="E97" s="7" t="str">
        <f>IF('Port Bloomberg'!E97="","",'Port Bloomberg'!E97)</f>
        <v>USG1467FAJ24</v>
      </c>
      <c r="F97" s="7" t="str">
        <f>IF('Port Bloomberg'!F97="","",'Port Bloomberg'!F97)</f>
        <v>BORRNO</v>
      </c>
      <c r="G97" s="7" t="str">
        <f>IF('Port Bloomberg'!G97="","",'Port Bloomberg'!G97)</f>
        <v>BORR US</v>
      </c>
      <c r="H97" s="7" t="str">
        <f>IF('Port Bloomberg'!H97="","",'Port Bloomberg'!H97)</f>
        <v>Oil&amp;Gas</v>
      </c>
      <c r="I97" s="7" t="str">
        <f>IF('Port Bloomberg'!I97="","",'Port Bloomberg'!I97)</f>
        <v>IND</v>
      </c>
      <c r="J97" s="7" t="str">
        <f>IF('Port Bloomberg'!J97="","",'Port Bloomberg'!J97)</f>
        <v>Oil&amp;Gas Drilling</v>
      </c>
      <c r="K97" s="7" t="str">
        <f>IF('Port Bloomberg'!K97="","",'Port Bloomberg'!K97)</f>
        <v>US</v>
      </c>
      <c r="L97" s="7" t="str">
        <f>IF('Port Bloomberg'!L97="","",'Port Bloomberg'!L97)</f>
        <v>MX</v>
      </c>
      <c r="M97" s="7" t="str">
        <f>IF('Port Bloomberg'!M97="","",'Port Bloomberg'!M97)</f>
        <v>USD</v>
      </c>
      <c r="N97" s="7">
        <f>IF('Port Bloomberg'!N97="","",'Port Bloomberg'!N97)</f>
        <v>935000</v>
      </c>
      <c r="O97" s="7" t="str">
        <f>IF('Port Bloomberg'!O97="","",'Port Bloomberg'!O97)</f>
        <v>SINGLE</v>
      </c>
      <c r="P97" s="7">
        <f>IF('Port Bloomberg'!P97="","",'Port Bloomberg'!P97)</f>
        <v>9</v>
      </c>
      <c r="Q97" s="7" t="str">
        <f>IF('Port Bloomberg'!Q97="","",'Port Bloomberg'!Q97)</f>
        <v>B-</v>
      </c>
      <c r="R97" s="7" t="str">
        <f>IF('Port Bloomberg'!R97="","",'Port Bloomberg'!R97)</f>
        <v>01/15/2034</v>
      </c>
      <c r="S97" s="5">
        <f>IF(E97="","",IFERROR(IF(MATCH(E97,[1]Instrumentos!$D:$D,0)&gt;0,1,0),0))</f>
        <v>0</v>
      </c>
      <c r="T97" s="5">
        <f>IF(E97="","",IFERROR(IF(MATCH(E97,'Lista de excepciones'!$E:$E,0)&gt;0,1,0),0))</f>
        <v>1</v>
      </c>
      <c r="U97" s="6" t="str">
        <f t="shared" si="2"/>
        <v>NO</v>
      </c>
    </row>
    <row r="98" spans="1:21" hidden="1" x14ac:dyDescent="0.25">
      <c r="A98" s="7" t="str">
        <f>IF('Port Bloomberg'!A98="","",'Port Bloomberg'!A98)</f>
        <v>BQUILL 7.35 07/23/31</v>
      </c>
      <c r="B98" s="7" t="str">
        <f>IF('Port Bloomberg'!B98="","",'Port Bloomberg'!B98)</f>
        <v>Barranquilla Distrito Especial Industrial y Portuario</v>
      </c>
      <c r="C98" s="7" t="str">
        <f>IF('Port Bloomberg'!C98="","",'Port Bloomberg'!C98)</f>
        <v>BARRANQUILLA DIS</v>
      </c>
      <c r="D98" s="7" t="str">
        <f>IF('Port Bloomberg'!D98="","",'Port Bloomberg'!D98)</f>
        <v>BARRANQUILLA</v>
      </c>
      <c r="E98" s="7" t="str">
        <f>IF('Port Bloomberg'!E98="","",'Port Bloomberg'!E98)</f>
        <v>USP3600PAD70</v>
      </c>
      <c r="F98" s="7" t="str">
        <f>IF('Port Bloomberg'!F98="","",'Port Bloomberg'!F98)</f>
        <v>BQUILL</v>
      </c>
      <c r="G98" s="7" t="str">
        <f>IF('Port Bloomberg'!G98="","",'Port Bloomberg'!G98)</f>
        <v/>
      </c>
      <c r="H98" s="7" t="str">
        <f>IF('Port Bloomberg'!H98="","",'Port Bloomberg'!H98)</f>
        <v>Municipal</v>
      </c>
      <c r="I98" s="7" t="str">
        <f>IF('Port Bloomberg'!I98="","",'Port Bloomberg'!I98)</f>
        <v>FLA</v>
      </c>
      <c r="J98" s="7" t="str">
        <f>IF('Port Bloomberg'!J98="","",'Port Bloomberg'!J98)</f>
        <v>Municipal-City</v>
      </c>
      <c r="K98" s="7" t="str">
        <f>IF('Port Bloomberg'!K98="","",'Port Bloomberg'!K98)</f>
        <v>CO</v>
      </c>
      <c r="L98" s="7" t="str">
        <f>IF('Port Bloomberg'!L98="","",'Port Bloomberg'!L98)</f>
        <v>CO</v>
      </c>
      <c r="M98" s="7" t="str">
        <f>IF('Port Bloomberg'!M98="","",'Port Bloomberg'!M98)</f>
        <v>USD</v>
      </c>
      <c r="N98" s="7">
        <f>IF('Port Bloomberg'!N98="","",'Port Bloomberg'!N98)</f>
        <v>350000</v>
      </c>
      <c r="O98" s="7" t="str">
        <f>IF('Port Bloomberg'!O98="","",'Port Bloomberg'!O98)</f>
        <v>SINGLE</v>
      </c>
      <c r="P98" s="7">
        <f>IF('Port Bloomberg'!P98="","",'Port Bloomberg'!P98)</f>
        <v>7.35</v>
      </c>
      <c r="Q98" s="7" t="str">
        <f>IF('Port Bloomberg'!Q98="","",'Port Bloomberg'!Q98)</f>
        <v/>
      </c>
      <c r="R98" s="7" t="str">
        <f>IF('Port Bloomberg'!R98="","",'Port Bloomberg'!R98)</f>
        <v>07/23/2031</v>
      </c>
      <c r="S98" s="5">
        <f>IF(E98="","",IFERROR(IF(MATCH(E98,[1]Instrumentos!$D:$D,0)&gt;0,1,0),0))</f>
        <v>0</v>
      </c>
      <c r="T98" s="5">
        <f>IF(E98="","",IFERROR(IF(MATCH(E98,'Lista de excepciones'!$E:$E,0)&gt;0,1,0),0))</f>
        <v>1</v>
      </c>
      <c r="U98" s="6" t="str">
        <f t="shared" si="2"/>
        <v>NO</v>
      </c>
    </row>
    <row r="99" spans="1:21" hidden="1" x14ac:dyDescent="0.25">
      <c r="A99" s="7" t="str">
        <f>IF('Port Bloomberg'!A99="","",'Port Bloomberg'!A99)</f>
        <v>BRADES 5 ⅜ 01/20/31</v>
      </c>
      <c r="B99" s="7" t="str">
        <f>IF('Port Bloomberg'!B99="","",'Port Bloomberg'!B99)</f>
        <v>Banco Bradesco SA/Cayman Islands</v>
      </c>
      <c r="C99" s="7" t="str">
        <f>IF('Port Bloomberg'!C99="","",'Port Bloomberg'!C99)</f>
        <v>BANCO BRADES CI</v>
      </c>
      <c r="D99" s="7" t="str">
        <f>IF('Port Bloomberg'!D99="","",'Port Bloomberg'!D99)</f>
        <v>BANCO BRADESCO (CAYMAN)</v>
      </c>
      <c r="E99" s="7" t="str">
        <f>IF('Port Bloomberg'!E99="","",'Port Bloomberg'!E99)</f>
        <v>US05947LBD91</v>
      </c>
      <c r="F99" s="7" t="str">
        <f>IF('Port Bloomberg'!F99="","",'Port Bloomberg'!F99)</f>
        <v>BRADES</v>
      </c>
      <c r="G99" s="7" t="str">
        <f>IF('Port Bloomberg'!G99="","",'Port Bloomberg'!G99)</f>
        <v>BBDC4 BZ</v>
      </c>
      <c r="H99" s="7" t="str">
        <f>IF('Port Bloomberg'!H99="","",'Port Bloomberg'!H99)</f>
        <v>Banks</v>
      </c>
      <c r="I99" s="7" t="str">
        <f>IF('Port Bloomberg'!I99="","",'Port Bloomberg'!I99)</f>
        <v>FIN</v>
      </c>
      <c r="J99" s="7" t="str">
        <f>IF('Port Bloomberg'!J99="","",'Port Bloomberg'!J99)</f>
        <v>Commer Banks Non-US</v>
      </c>
      <c r="K99" s="7" t="str">
        <f>IF('Port Bloomberg'!K99="","",'Port Bloomberg'!K99)</f>
        <v>KY</v>
      </c>
      <c r="L99" s="7" t="str">
        <f>IF('Port Bloomberg'!L99="","",'Port Bloomberg'!L99)</f>
        <v>BR</v>
      </c>
      <c r="M99" s="7" t="str">
        <f>IF('Port Bloomberg'!M99="","",'Port Bloomberg'!M99)</f>
        <v>USD</v>
      </c>
      <c r="N99" s="7">
        <f>IF('Port Bloomberg'!N99="","",'Port Bloomberg'!N99)</f>
        <v>750000</v>
      </c>
      <c r="O99" s="7" t="str">
        <f>IF('Port Bloomberg'!O99="","",'Port Bloomberg'!O99)</f>
        <v>SINGLE</v>
      </c>
      <c r="P99" s="7">
        <f>IF('Port Bloomberg'!P99="","",'Port Bloomberg'!P99)</f>
        <v>5.375</v>
      </c>
      <c r="Q99" s="7" t="str">
        <f>IF('Port Bloomberg'!Q99="","",'Port Bloomberg'!Q99)</f>
        <v>BB</v>
      </c>
      <c r="R99" s="7" t="str">
        <f>IF('Port Bloomberg'!R99="","",'Port Bloomberg'!R99)</f>
        <v>01/20/2031</v>
      </c>
      <c r="S99" s="5">
        <f>IF(E99="","",IFERROR(IF(MATCH(E99,[1]Instrumentos!$D:$D,0)&gt;0,1,0),0))</f>
        <v>1</v>
      </c>
      <c r="T99" s="5">
        <f>IF(E99="","",IFERROR(IF(MATCH(E99,'Lista de excepciones'!$E:$E,0)&gt;0,1,0),0))</f>
        <v>0</v>
      </c>
      <c r="U99" s="6" t="str">
        <f t="shared" si="2"/>
        <v>NO</v>
      </c>
    </row>
    <row r="100" spans="1:21" hidden="1" x14ac:dyDescent="0.25">
      <c r="A100" s="7" t="str">
        <f>IF('Port Bloomberg'!A100="","",'Port Bloomberg'!A100)</f>
        <v>BRADES 6 ½ 01/22/30</v>
      </c>
      <c r="B100" s="7" t="str">
        <f>IF('Port Bloomberg'!B100="","",'Port Bloomberg'!B100)</f>
        <v>Banco Bradesco SA/Cayman Islands</v>
      </c>
      <c r="C100" s="7" t="str">
        <f>IF('Port Bloomberg'!C100="","",'Port Bloomberg'!C100)</f>
        <v>BANCO BRADES CI</v>
      </c>
      <c r="D100" s="7" t="str">
        <f>IF('Port Bloomberg'!D100="","",'Port Bloomberg'!D100)</f>
        <v>BANCO BRADESCO (CAYMAN)</v>
      </c>
      <c r="E100" s="7" t="str">
        <f>IF('Port Bloomberg'!E100="","",'Port Bloomberg'!E100)</f>
        <v>US05947LBB36</v>
      </c>
      <c r="F100" s="7" t="str">
        <f>IF('Port Bloomberg'!F100="","",'Port Bloomberg'!F100)</f>
        <v>BRADES</v>
      </c>
      <c r="G100" s="7" t="str">
        <f>IF('Port Bloomberg'!G100="","",'Port Bloomberg'!G100)</f>
        <v>BBDC4 BZ</v>
      </c>
      <c r="H100" s="7" t="str">
        <f>IF('Port Bloomberg'!H100="","",'Port Bloomberg'!H100)</f>
        <v>Banks</v>
      </c>
      <c r="I100" s="7" t="str">
        <f>IF('Port Bloomberg'!I100="","",'Port Bloomberg'!I100)</f>
        <v>FIN</v>
      </c>
      <c r="J100" s="7" t="str">
        <f>IF('Port Bloomberg'!J100="","",'Port Bloomberg'!J100)</f>
        <v>Commer Banks Non-US</v>
      </c>
      <c r="K100" s="7" t="str">
        <f>IF('Port Bloomberg'!K100="","",'Port Bloomberg'!K100)</f>
        <v>KY</v>
      </c>
      <c r="L100" s="7" t="str">
        <f>IF('Port Bloomberg'!L100="","",'Port Bloomberg'!L100)</f>
        <v>BR</v>
      </c>
      <c r="M100" s="7" t="str">
        <f>IF('Port Bloomberg'!M100="","",'Port Bloomberg'!M100)</f>
        <v>USD</v>
      </c>
      <c r="N100" s="7">
        <f>IF('Port Bloomberg'!N100="","",'Port Bloomberg'!N100)</f>
        <v>1000000</v>
      </c>
      <c r="O100" s="7" t="str">
        <f>IF('Port Bloomberg'!O100="","",'Port Bloomberg'!O100)</f>
        <v>SINGLE</v>
      </c>
      <c r="P100" s="7">
        <f>IF('Port Bloomberg'!P100="","",'Port Bloomberg'!P100)</f>
        <v>6.5</v>
      </c>
      <c r="Q100" s="7" t="str">
        <f>IF('Port Bloomberg'!Q100="","",'Port Bloomberg'!Q100)</f>
        <v>BB</v>
      </c>
      <c r="R100" s="7" t="str">
        <f>IF('Port Bloomberg'!R100="","",'Port Bloomberg'!R100)</f>
        <v>01/22/2030</v>
      </c>
      <c r="S100" s="5">
        <f>IF(E100="","",IFERROR(IF(MATCH(E100,[1]Instrumentos!$D:$D,0)&gt;0,1,0),0))</f>
        <v>1</v>
      </c>
      <c r="T100" s="5">
        <f>IF(E100="","",IFERROR(IF(MATCH(E100,'Lista de excepciones'!$E:$E,0)&gt;0,1,0),0))</f>
        <v>0</v>
      </c>
      <c r="U100" s="6" t="str">
        <f t="shared" si="2"/>
        <v>NO</v>
      </c>
    </row>
    <row r="101" spans="1:21" hidden="1" x14ac:dyDescent="0.25">
      <c r="A101" s="7" t="str">
        <f>IF('Port Bloomberg'!A101="","",'Port Bloomberg'!A101)</f>
        <v>BRASKM 12.004 01/23/2081</v>
      </c>
      <c r="B101" s="7" t="str">
        <f>IF('Port Bloomberg'!B101="","",'Port Bloomberg'!B101)</f>
        <v>Braskem Netherlands Finance BV</v>
      </c>
      <c r="C101" s="7" t="str">
        <f>IF('Port Bloomberg'!C101="","",'Port Bloomberg'!C101)</f>
        <v>BRASKEM NL</v>
      </c>
      <c r="D101" s="7" t="str">
        <f>IF('Port Bloomberg'!D101="","",'Port Bloomberg'!D101)</f>
        <v>BRASKEM NETHERLANDS</v>
      </c>
      <c r="E101" s="7" t="str">
        <f>IF('Port Bloomberg'!E101="","",'Port Bloomberg'!E101)</f>
        <v>USN15516AF97</v>
      </c>
      <c r="F101" s="7" t="str">
        <f>IF('Port Bloomberg'!F101="","",'Port Bloomberg'!F101)</f>
        <v>BRASKM</v>
      </c>
      <c r="G101" s="7" t="str">
        <f>IF('Port Bloomberg'!G101="","",'Port Bloomberg'!G101)</f>
        <v>BRKM3 BZ</v>
      </c>
      <c r="H101" s="7" t="str">
        <f>IF('Port Bloomberg'!H101="","",'Port Bloomberg'!H101)</f>
        <v>Chemicals</v>
      </c>
      <c r="I101" s="7" t="str">
        <f>IF('Port Bloomberg'!I101="","",'Port Bloomberg'!I101)</f>
        <v>IND</v>
      </c>
      <c r="J101" s="7" t="str">
        <f>IF('Port Bloomberg'!J101="","",'Port Bloomberg'!J101)</f>
        <v>Chemicals-Diversified</v>
      </c>
      <c r="K101" s="7" t="str">
        <f>IF('Port Bloomberg'!K101="","",'Port Bloomberg'!K101)</f>
        <v>NL</v>
      </c>
      <c r="L101" s="7" t="str">
        <f>IF('Port Bloomberg'!L101="","",'Port Bloomberg'!L101)</f>
        <v>BR</v>
      </c>
      <c r="M101" s="7" t="str">
        <f>IF('Port Bloomberg'!M101="","",'Port Bloomberg'!M101)</f>
        <v>USD</v>
      </c>
      <c r="N101" s="7">
        <f>IF('Port Bloomberg'!N101="","",'Port Bloomberg'!N101)</f>
        <v>600000</v>
      </c>
      <c r="O101" s="7" t="str">
        <f>IF('Port Bloomberg'!O101="","",'Port Bloomberg'!O101)</f>
        <v>SINGLE</v>
      </c>
      <c r="P101" s="7">
        <f>IF('Port Bloomberg'!P101="","",'Port Bloomberg'!P101)</f>
        <v>12.004</v>
      </c>
      <c r="Q101" s="7" t="str">
        <f>IF('Port Bloomberg'!Q101="","",'Port Bloomberg'!Q101)</f>
        <v>DD+</v>
      </c>
      <c r="R101" s="7" t="str">
        <f>IF('Port Bloomberg'!R101="","",'Port Bloomberg'!R101)</f>
        <v>01/23/2081</v>
      </c>
      <c r="S101" s="5">
        <f>IF(E101="","",IFERROR(IF(MATCH(E101,[1]Instrumentos!$D:$D,0)&gt;0,1,0),0))</f>
        <v>0</v>
      </c>
      <c r="T101" s="5">
        <f>IF(E101="","",IFERROR(IF(MATCH(E101,'Lista de excepciones'!$E:$E,0)&gt;0,1,0),0))</f>
        <v>1</v>
      </c>
      <c r="U101" s="6" t="str">
        <f t="shared" si="2"/>
        <v>NO</v>
      </c>
    </row>
    <row r="102" spans="1:21" hidden="1" x14ac:dyDescent="0.25">
      <c r="A102" s="7" t="str">
        <f>IF('Port Bloomberg'!A102="","",'Port Bloomberg'!A102)</f>
        <v>BRASKM 4 ½ 01/31/30</v>
      </c>
      <c r="B102" s="7" t="str">
        <f>IF('Port Bloomberg'!B102="","",'Port Bloomberg'!B102)</f>
        <v>Braskem Netherlands Finance BV</v>
      </c>
      <c r="C102" s="7" t="str">
        <f>IF('Port Bloomberg'!C102="","",'Port Bloomberg'!C102)</f>
        <v>BRASKEM NL</v>
      </c>
      <c r="D102" s="7" t="str">
        <f>IF('Port Bloomberg'!D102="","",'Port Bloomberg'!D102)</f>
        <v>BRASKEM NETHERLANDS</v>
      </c>
      <c r="E102" s="7" t="str">
        <f>IF('Port Bloomberg'!E102="","",'Port Bloomberg'!E102)</f>
        <v>USN15516AD40</v>
      </c>
      <c r="F102" s="7" t="str">
        <f>IF('Port Bloomberg'!F102="","",'Port Bloomberg'!F102)</f>
        <v>BRASKM</v>
      </c>
      <c r="G102" s="7" t="str">
        <f>IF('Port Bloomberg'!G102="","",'Port Bloomberg'!G102)</f>
        <v>BRKM3 BZ</v>
      </c>
      <c r="H102" s="7" t="str">
        <f>IF('Port Bloomberg'!H102="","",'Port Bloomberg'!H102)</f>
        <v>Chemicals</v>
      </c>
      <c r="I102" s="7" t="str">
        <f>IF('Port Bloomberg'!I102="","",'Port Bloomberg'!I102)</f>
        <v>IND</v>
      </c>
      <c r="J102" s="7" t="str">
        <f>IF('Port Bloomberg'!J102="","",'Port Bloomberg'!J102)</f>
        <v>Chemicals-Diversified</v>
      </c>
      <c r="K102" s="7" t="str">
        <f>IF('Port Bloomberg'!K102="","",'Port Bloomberg'!K102)</f>
        <v>NL</v>
      </c>
      <c r="L102" s="7" t="str">
        <f>IF('Port Bloomberg'!L102="","",'Port Bloomberg'!L102)</f>
        <v>BR</v>
      </c>
      <c r="M102" s="7" t="str">
        <f>IF('Port Bloomberg'!M102="","",'Port Bloomberg'!M102)</f>
        <v>USD</v>
      </c>
      <c r="N102" s="7">
        <f>IF('Port Bloomberg'!N102="","",'Port Bloomberg'!N102)</f>
        <v>1500000</v>
      </c>
      <c r="O102" s="7" t="str">
        <f>IF('Port Bloomberg'!O102="","",'Port Bloomberg'!O102)</f>
        <v>SINGLE</v>
      </c>
      <c r="P102" s="7">
        <f>IF('Port Bloomberg'!P102="","",'Port Bloomberg'!P102)</f>
        <v>4.5</v>
      </c>
      <c r="Q102" s="7" t="str">
        <f>IF('Port Bloomberg'!Q102="","",'Port Bloomberg'!Q102)</f>
        <v>DD+</v>
      </c>
      <c r="R102" s="7" t="str">
        <f>IF('Port Bloomberg'!R102="","",'Port Bloomberg'!R102)</f>
        <v>01/31/2030</v>
      </c>
      <c r="S102" s="5">
        <f>IF(E102="","",IFERROR(IF(MATCH(E102,[1]Instrumentos!$D:$D,0)&gt;0,1,0),0))</f>
        <v>0</v>
      </c>
      <c r="T102" s="5">
        <f>IF(E102="","",IFERROR(IF(MATCH(E102,'Lista de excepciones'!$E:$E,0)&gt;0,1,0),0))</f>
        <v>1</v>
      </c>
      <c r="U102" s="6" t="str">
        <f t="shared" si="2"/>
        <v>NO</v>
      </c>
    </row>
    <row r="103" spans="1:21" hidden="1" x14ac:dyDescent="0.25">
      <c r="A103" s="7" t="str">
        <f>IF('Port Bloomberg'!A103="","",'Port Bloomberg'!A103)</f>
        <v>BRASKM 5 ⅞ 01/31/50</v>
      </c>
      <c r="B103" s="7" t="str">
        <f>IF('Port Bloomberg'!B103="","",'Port Bloomberg'!B103)</f>
        <v>Braskem Netherlands Finance BV</v>
      </c>
      <c r="C103" s="7" t="str">
        <f>IF('Port Bloomberg'!C103="","",'Port Bloomberg'!C103)</f>
        <v>BRASKEM NL</v>
      </c>
      <c r="D103" s="7" t="str">
        <f>IF('Port Bloomberg'!D103="","",'Port Bloomberg'!D103)</f>
        <v>BRASKEM NETHERLANDS</v>
      </c>
      <c r="E103" s="7" t="str">
        <f>IF('Port Bloomberg'!E103="","",'Port Bloomberg'!E103)</f>
        <v>USN15516AE23</v>
      </c>
      <c r="F103" s="7" t="str">
        <f>IF('Port Bloomberg'!F103="","",'Port Bloomberg'!F103)</f>
        <v>BRASKM</v>
      </c>
      <c r="G103" s="7" t="str">
        <f>IF('Port Bloomberg'!G103="","",'Port Bloomberg'!G103)</f>
        <v>BRKM3 BZ</v>
      </c>
      <c r="H103" s="7" t="str">
        <f>IF('Port Bloomberg'!H103="","",'Port Bloomberg'!H103)</f>
        <v>Chemicals</v>
      </c>
      <c r="I103" s="7" t="str">
        <f>IF('Port Bloomberg'!I103="","",'Port Bloomberg'!I103)</f>
        <v>IND</v>
      </c>
      <c r="J103" s="7" t="str">
        <f>IF('Port Bloomberg'!J103="","",'Port Bloomberg'!J103)</f>
        <v>Chemicals-Diversified</v>
      </c>
      <c r="K103" s="7" t="str">
        <f>IF('Port Bloomberg'!K103="","",'Port Bloomberg'!K103)</f>
        <v>NL</v>
      </c>
      <c r="L103" s="7" t="str">
        <f>IF('Port Bloomberg'!L103="","",'Port Bloomberg'!L103)</f>
        <v>BR</v>
      </c>
      <c r="M103" s="7" t="str">
        <f>IF('Port Bloomberg'!M103="","",'Port Bloomberg'!M103)</f>
        <v>USD</v>
      </c>
      <c r="N103" s="7">
        <f>IF('Port Bloomberg'!N103="","",'Port Bloomberg'!N103)</f>
        <v>750000</v>
      </c>
      <c r="O103" s="7" t="str">
        <f>IF('Port Bloomberg'!O103="","",'Port Bloomberg'!O103)</f>
        <v>SINGLE</v>
      </c>
      <c r="P103" s="7">
        <f>IF('Port Bloomberg'!P103="","",'Port Bloomberg'!P103)</f>
        <v>5.875</v>
      </c>
      <c r="Q103" s="7" t="str">
        <f>IF('Port Bloomberg'!Q103="","",'Port Bloomberg'!Q103)</f>
        <v>DD+</v>
      </c>
      <c r="R103" s="7" t="str">
        <f>IF('Port Bloomberg'!R103="","",'Port Bloomberg'!R103)</f>
        <v>01/31/2050</v>
      </c>
      <c r="S103" s="5">
        <f>IF(E103="","",IFERROR(IF(MATCH(E103,[1]Instrumentos!$D:$D,0)&gt;0,1,0),0))</f>
        <v>0</v>
      </c>
      <c r="T103" s="5">
        <f>IF(E103="","",IFERROR(IF(MATCH(E103,'Lista de excepciones'!$E:$E,0)&gt;0,1,0),0))</f>
        <v>1</v>
      </c>
      <c r="U103" s="6" t="str">
        <f t="shared" si="2"/>
        <v>NO</v>
      </c>
    </row>
    <row r="104" spans="1:21" hidden="1" x14ac:dyDescent="0.25">
      <c r="A104" s="7" t="str">
        <f>IF('Port Bloomberg'!A104="","",'Port Bloomberg'!A104)</f>
        <v>BRASKM 7 ¼ 02/13/33</v>
      </c>
      <c r="B104" s="7" t="str">
        <f>IF('Port Bloomberg'!B104="","",'Port Bloomberg'!B104)</f>
        <v>Braskem Netherlands Finance BV</v>
      </c>
      <c r="C104" s="7" t="str">
        <f>IF('Port Bloomberg'!C104="","",'Port Bloomberg'!C104)</f>
        <v>BRASKEM NL</v>
      </c>
      <c r="D104" s="7" t="str">
        <f>IF('Port Bloomberg'!D104="","",'Port Bloomberg'!D104)</f>
        <v>BRASKEM NETHERLANDS</v>
      </c>
      <c r="E104" s="7" t="str">
        <f>IF('Port Bloomberg'!E104="","",'Port Bloomberg'!E104)</f>
        <v>USN15516AG70</v>
      </c>
      <c r="F104" s="7" t="str">
        <f>IF('Port Bloomberg'!F104="","",'Port Bloomberg'!F104)</f>
        <v>BRASKM</v>
      </c>
      <c r="G104" s="7" t="str">
        <f>IF('Port Bloomberg'!G104="","",'Port Bloomberg'!G104)</f>
        <v>BRKM3 BZ</v>
      </c>
      <c r="H104" s="7" t="str">
        <f>IF('Port Bloomberg'!H104="","",'Port Bloomberg'!H104)</f>
        <v>Chemicals</v>
      </c>
      <c r="I104" s="7" t="str">
        <f>IF('Port Bloomberg'!I104="","",'Port Bloomberg'!I104)</f>
        <v>IND</v>
      </c>
      <c r="J104" s="7" t="str">
        <f>IF('Port Bloomberg'!J104="","",'Port Bloomberg'!J104)</f>
        <v>Chemicals-Diversified</v>
      </c>
      <c r="K104" s="7" t="str">
        <f>IF('Port Bloomberg'!K104="","",'Port Bloomberg'!K104)</f>
        <v>NL</v>
      </c>
      <c r="L104" s="7" t="str">
        <f>IF('Port Bloomberg'!L104="","",'Port Bloomberg'!L104)</f>
        <v>BR</v>
      </c>
      <c r="M104" s="7" t="str">
        <f>IF('Port Bloomberg'!M104="","",'Port Bloomberg'!M104)</f>
        <v>USD</v>
      </c>
      <c r="N104" s="7">
        <f>IF('Port Bloomberg'!N104="","",'Port Bloomberg'!N104)</f>
        <v>1000000</v>
      </c>
      <c r="O104" s="7" t="str">
        <f>IF('Port Bloomberg'!O104="","",'Port Bloomberg'!O104)</f>
        <v>SINGLE</v>
      </c>
      <c r="P104" s="7">
        <f>IF('Port Bloomberg'!P104="","",'Port Bloomberg'!P104)</f>
        <v>7.25</v>
      </c>
      <c r="Q104" s="7" t="str">
        <f>IF('Port Bloomberg'!Q104="","",'Port Bloomberg'!Q104)</f>
        <v>DD+</v>
      </c>
      <c r="R104" s="7" t="str">
        <f>IF('Port Bloomberg'!R104="","",'Port Bloomberg'!R104)</f>
        <v>02/13/2033</v>
      </c>
      <c r="S104" s="5">
        <f>IF(E104="","",IFERROR(IF(MATCH(E104,[1]Instrumentos!$D:$D,0)&gt;0,1,0),0))</f>
        <v>0</v>
      </c>
      <c r="T104" s="5">
        <f>IF(E104="","",IFERROR(IF(MATCH(E104,'Lista de excepciones'!$E:$E,0)&gt;0,1,0),0))</f>
        <v>1</v>
      </c>
      <c r="U104" s="6" t="str">
        <f t="shared" si="2"/>
        <v>NO</v>
      </c>
    </row>
    <row r="105" spans="1:21" hidden="1" x14ac:dyDescent="0.25">
      <c r="A105" s="7" t="str">
        <f>IF('Port Bloomberg'!A105="","",'Port Bloomberg'!A105)</f>
        <v>BRASKM 7 ⅛ 07/22/41</v>
      </c>
      <c r="B105" s="7" t="str">
        <f>IF('Port Bloomberg'!B105="","",'Port Bloomberg'!B105)</f>
        <v>Braskem America Finance Co</v>
      </c>
      <c r="C105" s="7" t="str">
        <f>IF('Port Bloomberg'!C105="","",'Port Bloomberg'!C105)</f>
        <v>BRASKEM AMERICA</v>
      </c>
      <c r="D105" s="7" t="str">
        <f>IF('Port Bloomberg'!D105="","",'Port Bloomberg'!D105)</f>
        <v>BRASKEM AMERICA FINANCE</v>
      </c>
      <c r="E105" s="7" t="str">
        <f>IF('Port Bloomberg'!E105="","",'Port Bloomberg'!E105)</f>
        <v>USU1065PAA94</v>
      </c>
      <c r="F105" s="7" t="str">
        <f>IF('Port Bloomberg'!F105="","",'Port Bloomberg'!F105)</f>
        <v>BRASKM</v>
      </c>
      <c r="G105" s="7" t="str">
        <f>IF('Port Bloomberg'!G105="","",'Port Bloomberg'!G105)</f>
        <v>BRKM3 BZ</v>
      </c>
      <c r="H105" s="7" t="str">
        <f>IF('Port Bloomberg'!H105="","",'Port Bloomberg'!H105)</f>
        <v>Chemicals</v>
      </c>
      <c r="I105" s="7" t="str">
        <f>IF('Port Bloomberg'!I105="","",'Port Bloomberg'!I105)</f>
        <v>IND</v>
      </c>
      <c r="J105" s="7" t="str">
        <f>IF('Port Bloomberg'!J105="","",'Port Bloomberg'!J105)</f>
        <v>Petrochemicals</v>
      </c>
      <c r="K105" s="7" t="str">
        <f>IF('Port Bloomberg'!K105="","",'Port Bloomberg'!K105)</f>
        <v>US</v>
      </c>
      <c r="L105" s="7" t="str">
        <f>IF('Port Bloomberg'!L105="","",'Port Bloomberg'!L105)</f>
        <v>BR</v>
      </c>
      <c r="M105" s="7" t="str">
        <f>IF('Port Bloomberg'!M105="","",'Port Bloomberg'!M105)</f>
        <v>USD</v>
      </c>
      <c r="N105" s="7">
        <f>IF('Port Bloomberg'!N105="","",'Port Bloomberg'!N105)</f>
        <v>750000</v>
      </c>
      <c r="O105" s="7" t="str">
        <f>IF('Port Bloomberg'!O105="","",'Port Bloomberg'!O105)</f>
        <v>SINGLE</v>
      </c>
      <c r="P105" s="7">
        <f>IF('Port Bloomberg'!P105="","",'Port Bloomberg'!P105)</f>
        <v>7.125</v>
      </c>
      <c r="Q105" s="7" t="str">
        <f>IF('Port Bloomberg'!Q105="","",'Port Bloomberg'!Q105)</f>
        <v>DD+</v>
      </c>
      <c r="R105" s="7" t="str">
        <f>IF('Port Bloomberg'!R105="","",'Port Bloomberg'!R105)</f>
        <v>07/22/2041</v>
      </c>
      <c r="S105" s="5">
        <f>IF(E105="","",IFERROR(IF(MATCH(E105,[1]Instrumentos!$D:$D,0)&gt;0,1,0),0))</f>
        <v>0</v>
      </c>
      <c r="T105" s="5">
        <f>IF(E105="","",IFERROR(IF(MATCH(E105,'Lista de excepciones'!$E:$E,0)&gt;0,1,0),0))</f>
        <v>1</v>
      </c>
      <c r="U105" s="6" t="str">
        <f t="shared" si="2"/>
        <v>NO</v>
      </c>
    </row>
    <row r="106" spans="1:21" hidden="1" x14ac:dyDescent="0.25">
      <c r="A106" s="7" t="str">
        <f>IF('Port Bloomberg'!A106="","",'Port Bloomberg'!A106)</f>
        <v>BRASKM 8 10/15/34</v>
      </c>
      <c r="B106" s="7" t="str">
        <f>IF('Port Bloomberg'!B106="","",'Port Bloomberg'!B106)</f>
        <v>Braskem Netherlands Finance BV</v>
      </c>
      <c r="C106" s="7" t="str">
        <f>IF('Port Bloomberg'!C106="","",'Port Bloomberg'!C106)</f>
        <v>BRASKEM NL</v>
      </c>
      <c r="D106" s="7" t="str">
        <f>IF('Port Bloomberg'!D106="","",'Port Bloomberg'!D106)</f>
        <v>BRASKEM NETHERLANDS</v>
      </c>
      <c r="E106" s="7" t="str">
        <f>IF('Port Bloomberg'!E106="","",'Port Bloomberg'!E106)</f>
        <v>USN15516AJ10</v>
      </c>
      <c r="F106" s="7" t="str">
        <f>IF('Port Bloomberg'!F106="","",'Port Bloomberg'!F106)</f>
        <v>BRASKM</v>
      </c>
      <c r="G106" s="7" t="str">
        <f>IF('Port Bloomberg'!G106="","",'Port Bloomberg'!G106)</f>
        <v>BRKM3 BZ</v>
      </c>
      <c r="H106" s="7" t="str">
        <f>IF('Port Bloomberg'!H106="","",'Port Bloomberg'!H106)</f>
        <v>Chemicals</v>
      </c>
      <c r="I106" s="7" t="str">
        <f>IF('Port Bloomberg'!I106="","",'Port Bloomberg'!I106)</f>
        <v>IND</v>
      </c>
      <c r="J106" s="7" t="str">
        <f>IF('Port Bloomberg'!J106="","",'Port Bloomberg'!J106)</f>
        <v>Chemicals-Diversified</v>
      </c>
      <c r="K106" s="7" t="str">
        <f>IF('Port Bloomberg'!K106="","",'Port Bloomberg'!K106)</f>
        <v>NL</v>
      </c>
      <c r="L106" s="7" t="str">
        <f>IF('Port Bloomberg'!L106="","",'Port Bloomberg'!L106)</f>
        <v>BR</v>
      </c>
      <c r="M106" s="7" t="str">
        <f>IF('Port Bloomberg'!M106="","",'Port Bloomberg'!M106)</f>
        <v>USD</v>
      </c>
      <c r="N106" s="7">
        <f>IF('Port Bloomberg'!N106="","",'Port Bloomberg'!N106)</f>
        <v>850000</v>
      </c>
      <c r="O106" s="7" t="str">
        <f>IF('Port Bloomberg'!O106="","",'Port Bloomberg'!O106)</f>
        <v>SINGLE</v>
      </c>
      <c r="P106" s="7">
        <f>IF('Port Bloomberg'!P106="","",'Port Bloomberg'!P106)</f>
        <v>8</v>
      </c>
      <c r="Q106" s="7" t="str">
        <f>IF('Port Bloomberg'!Q106="","",'Port Bloomberg'!Q106)</f>
        <v>DD+</v>
      </c>
      <c r="R106" s="7" t="str">
        <f>IF('Port Bloomberg'!R106="","",'Port Bloomberg'!R106)</f>
        <v>10/15/2034</v>
      </c>
      <c r="S106" s="5">
        <f>IF(E106="","",IFERROR(IF(MATCH(E106,[1]Instrumentos!$D:$D,0)&gt;0,1,0),0))</f>
        <v>0</v>
      </c>
      <c r="T106" s="5">
        <f>IF(E106="","",IFERROR(IF(MATCH(E106,'Lista de excepciones'!$E:$E,0)&gt;0,1,0),0))</f>
        <v>1</v>
      </c>
      <c r="U106" s="6" t="str">
        <f t="shared" si="2"/>
        <v>NO</v>
      </c>
    </row>
    <row r="107" spans="1:21" hidden="1" x14ac:dyDescent="0.25">
      <c r="A107" s="7" t="str">
        <f>IF('Port Bloomberg'!A107="","",'Port Bloomberg'!A107)</f>
        <v>BRASKM 8 ½ 01/12/31</v>
      </c>
      <c r="B107" s="7" t="str">
        <f>IF('Port Bloomberg'!B107="","",'Port Bloomberg'!B107)</f>
        <v>Braskem Netherlands Finance BV</v>
      </c>
      <c r="C107" s="7" t="str">
        <f>IF('Port Bloomberg'!C107="","",'Port Bloomberg'!C107)</f>
        <v>BRASKEM NL</v>
      </c>
      <c r="D107" s="7" t="str">
        <f>IF('Port Bloomberg'!D107="","",'Port Bloomberg'!D107)</f>
        <v>BRASKEM NETHERLANDS</v>
      </c>
      <c r="E107" s="7" t="str">
        <f>IF('Port Bloomberg'!E107="","",'Port Bloomberg'!E107)</f>
        <v>USN15516AH53</v>
      </c>
      <c r="F107" s="7" t="str">
        <f>IF('Port Bloomberg'!F107="","",'Port Bloomberg'!F107)</f>
        <v>BRASKM</v>
      </c>
      <c r="G107" s="7" t="str">
        <f>IF('Port Bloomberg'!G107="","",'Port Bloomberg'!G107)</f>
        <v>BRKM3 BZ</v>
      </c>
      <c r="H107" s="7" t="str">
        <f>IF('Port Bloomberg'!H107="","",'Port Bloomberg'!H107)</f>
        <v>Chemicals</v>
      </c>
      <c r="I107" s="7" t="str">
        <f>IF('Port Bloomberg'!I107="","",'Port Bloomberg'!I107)</f>
        <v>IND</v>
      </c>
      <c r="J107" s="7" t="str">
        <f>IF('Port Bloomberg'!J107="","",'Port Bloomberg'!J107)</f>
        <v>Chemicals-Diversified</v>
      </c>
      <c r="K107" s="7" t="str">
        <f>IF('Port Bloomberg'!K107="","",'Port Bloomberg'!K107)</f>
        <v>NL</v>
      </c>
      <c r="L107" s="7" t="str">
        <f>IF('Port Bloomberg'!L107="","",'Port Bloomberg'!L107)</f>
        <v>BR</v>
      </c>
      <c r="M107" s="7" t="str">
        <f>IF('Port Bloomberg'!M107="","",'Port Bloomberg'!M107)</f>
        <v>USD</v>
      </c>
      <c r="N107" s="7">
        <f>IF('Port Bloomberg'!N107="","",'Port Bloomberg'!N107)</f>
        <v>850000</v>
      </c>
      <c r="O107" s="7" t="str">
        <f>IF('Port Bloomberg'!O107="","",'Port Bloomberg'!O107)</f>
        <v>SINGLE</v>
      </c>
      <c r="P107" s="7">
        <f>IF('Port Bloomberg'!P107="","",'Port Bloomberg'!P107)</f>
        <v>8.5</v>
      </c>
      <c r="Q107" s="7" t="str">
        <f>IF('Port Bloomberg'!Q107="","",'Port Bloomberg'!Q107)</f>
        <v>DD+</v>
      </c>
      <c r="R107" s="7" t="str">
        <f>IF('Port Bloomberg'!R107="","",'Port Bloomberg'!R107)</f>
        <v>01/12/2031</v>
      </c>
      <c r="S107" s="5">
        <f>IF(E107="","",IFERROR(IF(MATCH(E107,[1]Instrumentos!$D:$D,0)&gt;0,1,0),0))</f>
        <v>0</v>
      </c>
      <c r="T107" s="5">
        <f>IF(E107="","",IFERROR(IF(MATCH(E107,'Lista de excepciones'!$E:$E,0)&gt;0,1,0),0))</f>
        <v>1</v>
      </c>
      <c r="U107" s="6" t="str">
        <f t="shared" si="2"/>
        <v>NO</v>
      </c>
    </row>
    <row r="108" spans="1:21" hidden="1" x14ac:dyDescent="0.25">
      <c r="A108" s="7" t="str">
        <f>IF('Port Bloomberg'!A108="","",'Port Bloomberg'!A108)</f>
        <v>BRFSBZ 4 ⅞ 01/24/30</v>
      </c>
      <c r="B108" s="7" t="str">
        <f>IF('Port Bloomberg'!B108="","",'Port Bloomberg'!B108)</f>
        <v>BRF SA</v>
      </c>
      <c r="C108" s="7" t="str">
        <f>IF('Port Bloomberg'!C108="","",'Port Bloomberg'!C108)</f>
        <v>BRF SA</v>
      </c>
      <c r="D108" s="7" t="str">
        <f>IF('Port Bloomberg'!D108="","",'Port Bloomberg'!D108)</f>
        <v>BRF SA</v>
      </c>
      <c r="E108" s="7" t="str">
        <f>IF('Port Bloomberg'!E108="","",'Port Bloomberg'!E108)</f>
        <v>USP1905CJX94</v>
      </c>
      <c r="F108" s="7" t="str">
        <f>IF('Port Bloomberg'!F108="","",'Port Bloomberg'!F108)</f>
        <v>BRFSBZ</v>
      </c>
      <c r="G108" s="7" t="str">
        <f>IF('Port Bloomberg'!G108="","",'Port Bloomberg'!G108)</f>
        <v>BRFS3 BZ</v>
      </c>
      <c r="H108" s="7" t="str">
        <f>IF('Port Bloomberg'!H108="","",'Port Bloomberg'!H108)</f>
        <v>Food</v>
      </c>
      <c r="I108" s="7" t="str">
        <f>IF('Port Bloomberg'!I108="","",'Port Bloomberg'!I108)</f>
        <v>IND</v>
      </c>
      <c r="J108" s="7" t="str">
        <f>IF('Port Bloomberg'!J108="","",'Port Bloomberg'!J108)</f>
        <v>Food-Meat Products</v>
      </c>
      <c r="K108" s="7" t="str">
        <f>IF('Port Bloomberg'!K108="","",'Port Bloomberg'!K108)</f>
        <v>BR</v>
      </c>
      <c r="L108" s="7" t="str">
        <f>IF('Port Bloomberg'!L108="","",'Port Bloomberg'!L108)</f>
        <v>BR</v>
      </c>
      <c r="M108" s="7" t="str">
        <f>IF('Port Bloomberg'!M108="","",'Port Bloomberg'!M108)</f>
        <v>USD</v>
      </c>
      <c r="N108" s="7">
        <f>IF('Port Bloomberg'!N108="","",'Port Bloomberg'!N108)</f>
        <v>750000</v>
      </c>
      <c r="O108" s="7" t="str">
        <f>IF('Port Bloomberg'!O108="","",'Port Bloomberg'!O108)</f>
        <v>SINGLE</v>
      </c>
      <c r="P108" s="7">
        <f>IF('Port Bloomberg'!P108="","",'Port Bloomberg'!P108)</f>
        <v>4.875</v>
      </c>
      <c r="Q108" s="7" t="str">
        <f>IF('Port Bloomberg'!Q108="","",'Port Bloomberg'!Q108)</f>
        <v>BB</v>
      </c>
      <c r="R108" s="7" t="str">
        <f>IF('Port Bloomberg'!R108="","",'Port Bloomberg'!R108)</f>
        <v>01/24/2030</v>
      </c>
      <c r="S108" s="5">
        <f>IF(E108="","",IFERROR(IF(MATCH(E108,[1]Instrumentos!$D:$D,0)&gt;0,1,0),0))</f>
        <v>1</v>
      </c>
      <c r="T108" s="5">
        <f>IF(E108="","",IFERROR(IF(MATCH(E108,'Lista de excepciones'!$E:$E,0)&gt;0,1,0),0))</f>
        <v>0</v>
      </c>
      <c r="U108" s="6" t="str">
        <f t="shared" si="2"/>
        <v>NO</v>
      </c>
    </row>
    <row r="109" spans="1:21" hidden="1" x14ac:dyDescent="0.25">
      <c r="A109" s="7" t="str">
        <f>IF('Port Bloomberg'!A109="","",'Port Bloomberg'!A109)</f>
        <v>BRFSBZ 5 ¾ 09/21/50</v>
      </c>
      <c r="B109" s="7" t="str">
        <f>IF('Port Bloomberg'!B109="","",'Port Bloomberg'!B109)</f>
        <v>BRF SA</v>
      </c>
      <c r="C109" s="7" t="str">
        <f>IF('Port Bloomberg'!C109="","",'Port Bloomberg'!C109)</f>
        <v>BRF SA</v>
      </c>
      <c r="D109" s="7" t="str">
        <f>IF('Port Bloomberg'!D109="","",'Port Bloomberg'!D109)</f>
        <v>BRF SA</v>
      </c>
      <c r="E109" s="7" t="str">
        <f>IF('Port Bloomberg'!E109="","",'Port Bloomberg'!E109)</f>
        <v>USP1905CAJ91</v>
      </c>
      <c r="F109" s="7" t="str">
        <f>IF('Port Bloomberg'!F109="","",'Port Bloomberg'!F109)</f>
        <v>BRFSBZ</v>
      </c>
      <c r="G109" s="7" t="str">
        <f>IF('Port Bloomberg'!G109="","",'Port Bloomberg'!G109)</f>
        <v>BRFS3 BZ</v>
      </c>
      <c r="H109" s="7" t="str">
        <f>IF('Port Bloomberg'!H109="","",'Port Bloomberg'!H109)</f>
        <v>Food</v>
      </c>
      <c r="I109" s="7" t="str">
        <f>IF('Port Bloomberg'!I109="","",'Port Bloomberg'!I109)</f>
        <v>IND</v>
      </c>
      <c r="J109" s="7" t="str">
        <f>IF('Port Bloomberg'!J109="","",'Port Bloomberg'!J109)</f>
        <v>Food-Meat Products</v>
      </c>
      <c r="K109" s="7" t="str">
        <f>IF('Port Bloomberg'!K109="","",'Port Bloomberg'!K109)</f>
        <v>BR</v>
      </c>
      <c r="L109" s="7" t="str">
        <f>IF('Port Bloomberg'!L109="","",'Port Bloomberg'!L109)</f>
        <v>BR</v>
      </c>
      <c r="M109" s="7" t="str">
        <f>IF('Port Bloomberg'!M109="","",'Port Bloomberg'!M109)</f>
        <v>USD</v>
      </c>
      <c r="N109" s="7">
        <f>IF('Port Bloomberg'!N109="","",'Port Bloomberg'!N109)</f>
        <v>800000</v>
      </c>
      <c r="O109" s="7" t="str">
        <f>IF('Port Bloomberg'!O109="","",'Port Bloomberg'!O109)</f>
        <v>SINGLE</v>
      </c>
      <c r="P109" s="7">
        <f>IF('Port Bloomberg'!P109="","",'Port Bloomberg'!P109)</f>
        <v>5.75</v>
      </c>
      <c r="Q109" s="7" t="str">
        <f>IF('Port Bloomberg'!Q109="","",'Port Bloomberg'!Q109)</f>
        <v>BB</v>
      </c>
      <c r="R109" s="7" t="str">
        <f>IF('Port Bloomberg'!R109="","",'Port Bloomberg'!R109)</f>
        <v>09/21/2050</v>
      </c>
      <c r="S109" s="5">
        <f>IF(E109="","",IFERROR(IF(MATCH(E109,[1]Instrumentos!$D:$D,0)&gt;0,1,0),0))</f>
        <v>1</v>
      </c>
      <c r="T109" s="5">
        <f>IF(E109="","",IFERROR(IF(MATCH(E109,'Lista de excepciones'!$E:$E,0)&gt;0,1,0),0))</f>
        <v>0</v>
      </c>
      <c r="U109" s="6" t="str">
        <f t="shared" si="2"/>
        <v>NO</v>
      </c>
    </row>
    <row r="110" spans="1:21" hidden="1" x14ac:dyDescent="0.25">
      <c r="A110" s="7" t="str">
        <f>IF('Port Bloomberg'!A110="","",'Port Bloomberg'!A110)</f>
        <v>BSANCI 3.177 10/26/31</v>
      </c>
      <c r="B110" s="7" t="str">
        <f>IF('Port Bloomberg'!B110="","",'Port Bloomberg'!B110)</f>
        <v>Banco Santander Chile</v>
      </c>
      <c r="C110" s="7" t="str">
        <f>IF('Port Bloomberg'!C110="","",'Port Bloomberg'!C110)</f>
        <v>BANCO SANTAND</v>
      </c>
      <c r="D110" s="7" t="str">
        <f>IF('Port Bloomberg'!D110="","",'Port Bloomberg'!D110)</f>
        <v>BANCO SANTANDER CHILE</v>
      </c>
      <c r="E110" s="7" t="str">
        <f>IF('Port Bloomberg'!E110="","",'Port Bloomberg'!E110)</f>
        <v>US05971WAD56</v>
      </c>
      <c r="F110" s="7" t="str">
        <f>IF('Port Bloomberg'!F110="","",'Port Bloomberg'!F110)</f>
        <v>BSANCI</v>
      </c>
      <c r="G110" s="7" t="str">
        <f>IF('Port Bloomberg'!G110="","",'Port Bloomberg'!G110)</f>
        <v>BSAN CI</v>
      </c>
      <c r="H110" s="7" t="str">
        <f>IF('Port Bloomberg'!H110="","",'Port Bloomberg'!H110)</f>
        <v>Banks</v>
      </c>
      <c r="I110" s="7" t="str">
        <f>IF('Port Bloomberg'!I110="","",'Port Bloomberg'!I110)</f>
        <v>FIN</v>
      </c>
      <c r="J110" s="7" t="str">
        <f>IF('Port Bloomberg'!J110="","",'Port Bloomberg'!J110)</f>
        <v>Commer Banks Non-US</v>
      </c>
      <c r="K110" s="7" t="str">
        <f>IF('Port Bloomberg'!K110="","",'Port Bloomberg'!K110)</f>
        <v>CL</v>
      </c>
      <c r="L110" s="7" t="str">
        <f>IF('Port Bloomberg'!L110="","",'Port Bloomberg'!L110)</f>
        <v>CL</v>
      </c>
      <c r="M110" s="7" t="str">
        <f>IF('Port Bloomberg'!M110="","",'Port Bloomberg'!M110)</f>
        <v>USD</v>
      </c>
      <c r="N110" s="7">
        <f>IF('Port Bloomberg'!N110="","",'Port Bloomberg'!N110)</f>
        <v>500000</v>
      </c>
      <c r="O110" s="7" t="str">
        <f>IF('Port Bloomberg'!O110="","",'Port Bloomberg'!O110)</f>
        <v>SINGLE</v>
      </c>
      <c r="P110" s="7">
        <f>IF('Port Bloomberg'!P110="","",'Port Bloomberg'!P110)</f>
        <v>3.177</v>
      </c>
      <c r="Q110" s="7" t="str">
        <f>IF('Port Bloomberg'!Q110="","",'Port Bloomberg'!Q110)</f>
        <v>A-</v>
      </c>
      <c r="R110" s="7" t="str">
        <f>IF('Port Bloomberg'!R110="","",'Port Bloomberg'!R110)</f>
        <v>10/26/2031</v>
      </c>
      <c r="S110" s="5">
        <f>IF(E110="","",IFERROR(IF(MATCH(E110,[1]Instrumentos!$D:$D,0)&gt;0,1,0),0))</f>
        <v>1</v>
      </c>
      <c r="T110" s="5">
        <f>IF(E110="","",IFERROR(IF(MATCH(E110,'Lista de excepciones'!$E:$E,0)&gt;0,1,0),0))</f>
        <v>0</v>
      </c>
      <c r="U110" s="6" t="str">
        <f t="shared" si="2"/>
        <v>NO</v>
      </c>
    </row>
    <row r="111" spans="1:21" hidden="1" x14ac:dyDescent="0.25">
      <c r="A111" s="7" t="str">
        <f>IF('Port Bloomberg'!A111="","",'Port Bloomberg'!A111)</f>
        <v>BSANCI 4.55 11/20/30</v>
      </c>
      <c r="B111" s="7" t="str">
        <f>IF('Port Bloomberg'!B111="","",'Port Bloomberg'!B111)</f>
        <v>Banco Santander Chile</v>
      </c>
      <c r="C111" s="7" t="str">
        <f>IF('Port Bloomberg'!C111="","",'Port Bloomberg'!C111)</f>
        <v>BANCO SANTAND</v>
      </c>
      <c r="D111" s="7" t="str">
        <f>IF('Port Bloomberg'!D111="","",'Port Bloomberg'!D111)</f>
        <v>BANCO SANTANDER CHILE</v>
      </c>
      <c r="E111" s="7" t="str">
        <f>IF('Port Bloomberg'!E111="","",'Port Bloomberg'!E111)</f>
        <v>US05973P2A32</v>
      </c>
      <c r="F111" s="7" t="str">
        <f>IF('Port Bloomberg'!F111="","",'Port Bloomberg'!F111)</f>
        <v>BSANCI</v>
      </c>
      <c r="G111" s="7" t="str">
        <f>IF('Port Bloomberg'!G111="","",'Port Bloomberg'!G111)</f>
        <v>BSAN CI</v>
      </c>
      <c r="H111" s="7" t="str">
        <f>IF('Port Bloomberg'!H111="","",'Port Bloomberg'!H111)</f>
        <v>Banks</v>
      </c>
      <c r="I111" s="7" t="str">
        <f>IF('Port Bloomberg'!I111="","",'Port Bloomberg'!I111)</f>
        <v>FIN</v>
      </c>
      <c r="J111" s="7" t="str">
        <f>IF('Port Bloomberg'!J111="","",'Port Bloomberg'!J111)</f>
        <v>Commer Banks Non-US</v>
      </c>
      <c r="K111" s="7" t="str">
        <f>IF('Port Bloomberg'!K111="","",'Port Bloomberg'!K111)</f>
        <v>CL</v>
      </c>
      <c r="L111" s="7" t="str">
        <f>IF('Port Bloomberg'!L111="","",'Port Bloomberg'!L111)</f>
        <v>CL</v>
      </c>
      <c r="M111" s="7" t="str">
        <f>IF('Port Bloomberg'!M111="","",'Port Bloomberg'!M111)</f>
        <v>USD</v>
      </c>
      <c r="N111" s="7">
        <f>IF('Port Bloomberg'!N111="","",'Port Bloomberg'!N111)</f>
        <v>500000</v>
      </c>
      <c r="O111" s="7" t="str">
        <f>IF('Port Bloomberg'!O111="","",'Port Bloomberg'!O111)</f>
        <v>SINGLE</v>
      </c>
      <c r="P111" s="7">
        <f>IF('Port Bloomberg'!P111="","",'Port Bloomberg'!P111)</f>
        <v>4.55</v>
      </c>
      <c r="Q111" s="7" t="str">
        <f>IF('Port Bloomberg'!Q111="","",'Port Bloomberg'!Q111)</f>
        <v>A-</v>
      </c>
      <c r="R111" s="7" t="str">
        <f>IF('Port Bloomberg'!R111="","",'Port Bloomberg'!R111)</f>
        <v>11/20/2030</v>
      </c>
      <c r="S111" s="5">
        <f>IF(E111="","",IFERROR(IF(MATCH(E111,[1]Instrumentos!$D:$D,0)&gt;0,1,0),0))</f>
        <v>1</v>
      </c>
      <c r="T111" s="5">
        <f>IF(E111="","",IFERROR(IF(MATCH(E111,'Lista de excepciones'!$E:$E,0)&gt;0,1,0),0))</f>
        <v>0</v>
      </c>
      <c r="U111" s="6" t="str">
        <f t="shared" si="2"/>
        <v>NO</v>
      </c>
    </row>
    <row r="112" spans="1:21" hidden="1" x14ac:dyDescent="0.25">
      <c r="A112" s="7" t="str">
        <f>IF('Port Bloomberg'!A112="","",'Port Bloomberg'!A112)</f>
        <v>BSMXB 5.621 12/10/29</v>
      </c>
      <c r="B112" s="7" t="str">
        <f>IF('Port Bloomberg'!B112="","",'Port Bloomberg'!B112)</f>
        <v>Banco Santander Mexico SA Institucion de Banca Multiple Grupo Financiero Santand</v>
      </c>
      <c r="C112" s="7" t="str">
        <f>IF('Port Bloomberg'!C112="","",'Port Bloomberg'!C112)</f>
        <v>SANTANDER MEXICO</v>
      </c>
      <c r="D112" s="7" t="str">
        <f>IF('Port Bloomberg'!D112="","",'Port Bloomberg'!D112)</f>
        <v>BANCO SANTANDER MEXICO</v>
      </c>
      <c r="E112" s="7" t="str">
        <f>IF('Port Bloomberg'!E112="","",'Port Bloomberg'!E112)</f>
        <v>USP1507SAL18</v>
      </c>
      <c r="F112" s="7" t="str">
        <f>IF('Port Bloomberg'!F112="","",'Port Bloomberg'!F112)</f>
        <v>BSMXB</v>
      </c>
      <c r="G112" s="7" t="str">
        <f>IF('Port Bloomberg'!G112="","",'Port Bloomberg'!G112)</f>
        <v>BSMXB MM</v>
      </c>
      <c r="H112" s="7" t="str">
        <f>IF('Port Bloomberg'!H112="","",'Port Bloomberg'!H112)</f>
        <v>Banks</v>
      </c>
      <c r="I112" s="7" t="str">
        <f>IF('Port Bloomberg'!I112="","",'Port Bloomberg'!I112)</f>
        <v>FIN</v>
      </c>
      <c r="J112" s="7" t="str">
        <f>IF('Port Bloomberg'!J112="","",'Port Bloomberg'!J112)</f>
        <v>Commer Banks Non-US</v>
      </c>
      <c r="K112" s="7" t="str">
        <f>IF('Port Bloomberg'!K112="","",'Port Bloomberg'!K112)</f>
        <v>MX</v>
      </c>
      <c r="L112" s="7" t="str">
        <f>IF('Port Bloomberg'!L112="","",'Port Bloomberg'!L112)</f>
        <v>MX</v>
      </c>
      <c r="M112" s="7" t="str">
        <f>IF('Port Bloomberg'!M112="","",'Port Bloomberg'!M112)</f>
        <v>USD</v>
      </c>
      <c r="N112" s="7">
        <f>IF('Port Bloomberg'!N112="","",'Port Bloomberg'!N112)</f>
        <v>700000</v>
      </c>
      <c r="O112" s="7" t="str">
        <f>IF('Port Bloomberg'!O112="","",'Port Bloomberg'!O112)</f>
        <v>SINGLE</v>
      </c>
      <c r="P112" s="7">
        <f>IF('Port Bloomberg'!P112="","",'Port Bloomberg'!P112)</f>
        <v>5.6210000000000004</v>
      </c>
      <c r="Q112" s="7" t="str">
        <f>IF('Port Bloomberg'!Q112="","",'Port Bloomberg'!Q112)</f>
        <v>BBB+</v>
      </c>
      <c r="R112" s="7" t="str">
        <f>IF('Port Bloomberg'!R112="","",'Port Bloomberg'!R112)</f>
        <v>12/10/2029</v>
      </c>
      <c r="S112" s="5">
        <f>IF(E112="","",IFERROR(IF(MATCH(E112,[1]Instrumentos!$D:$D,0)&gt;0,1,0),0))</f>
        <v>1</v>
      </c>
      <c r="T112" s="5">
        <f>IF(E112="","",IFERROR(IF(MATCH(E112,'Lista de excepciones'!$E:$E,0)&gt;0,1,0),0))</f>
        <v>0</v>
      </c>
      <c r="U112" s="6" t="str">
        <f t="shared" si="2"/>
        <v>NO</v>
      </c>
    </row>
    <row r="113" spans="1:24" hidden="1" x14ac:dyDescent="0.25">
      <c r="A113" s="7" t="str">
        <f>IF('Port Bloomberg'!A113="","",'Port Bloomberg'!A113)</f>
        <v>BTGPBZ 5 ½ 01/27/31</v>
      </c>
      <c r="B113" s="7" t="str">
        <f>IF('Port Bloomberg'!B113="","",'Port Bloomberg'!B113)</f>
        <v>Banco BTG Pactual SA/Cayman Islands</v>
      </c>
      <c r="C113" s="7" t="str">
        <f>IF('Port Bloomberg'!C113="","",'Port Bloomberg'!C113)</f>
        <v>BANCO PACTUAL/KY</v>
      </c>
      <c r="D113" s="7" t="str">
        <f>IF('Port Bloomberg'!D113="","",'Port Bloomberg'!D113)</f>
        <v>BANCO BTG PACTUAL/CAYMAN</v>
      </c>
      <c r="E113" s="7" t="str">
        <f>IF('Port Bloomberg'!E113="","",'Port Bloomberg'!E113)</f>
        <v>US05971BAM19</v>
      </c>
      <c r="F113" s="7" t="str">
        <f>IF('Port Bloomberg'!F113="","",'Port Bloomberg'!F113)</f>
        <v>BTGPBZ</v>
      </c>
      <c r="G113" s="7" t="str">
        <f>IF('Port Bloomberg'!G113="","",'Port Bloomberg'!G113)</f>
        <v>BPAC11 BZ</v>
      </c>
      <c r="H113" s="7" t="str">
        <f>IF('Port Bloomberg'!H113="","",'Port Bloomberg'!H113)</f>
        <v>Diversified Finan Serv</v>
      </c>
      <c r="I113" s="7" t="str">
        <f>IF('Port Bloomberg'!I113="","",'Port Bloomberg'!I113)</f>
        <v>FIN</v>
      </c>
      <c r="J113" s="7" t="str">
        <f>IF('Port Bloomberg'!J113="","",'Port Bloomberg'!J113)</f>
        <v>Finance-Invest Bnkr/Brkr</v>
      </c>
      <c r="K113" s="7" t="str">
        <f>IF('Port Bloomberg'!K113="","",'Port Bloomberg'!K113)</f>
        <v>KY</v>
      </c>
      <c r="L113" s="7" t="str">
        <f>IF('Port Bloomberg'!L113="","",'Port Bloomberg'!L113)</f>
        <v>BR</v>
      </c>
      <c r="M113" s="7" t="str">
        <f>IF('Port Bloomberg'!M113="","",'Port Bloomberg'!M113)</f>
        <v>USD</v>
      </c>
      <c r="N113" s="7">
        <f>IF('Port Bloomberg'!N113="","",'Port Bloomberg'!N113)</f>
        <v>750000</v>
      </c>
      <c r="O113" s="7" t="str">
        <f>IF('Port Bloomberg'!O113="","",'Port Bloomberg'!O113)</f>
        <v>SINGLE</v>
      </c>
      <c r="P113" s="7">
        <f>IF('Port Bloomberg'!P113="","",'Port Bloomberg'!P113)</f>
        <v>5.5</v>
      </c>
      <c r="Q113" s="7" t="str">
        <f>IF('Port Bloomberg'!Q113="","",'Port Bloomberg'!Q113)</f>
        <v>BB+</v>
      </c>
      <c r="R113" s="7" t="str">
        <f>IF('Port Bloomberg'!R113="","",'Port Bloomberg'!R113)</f>
        <v>01/27/2031</v>
      </c>
      <c r="S113" s="5">
        <f>IF(E113="","",IFERROR(IF(MATCH(E113,[1]Instrumentos!$D:$D,0)&gt;0,1,0),0))</f>
        <v>1</v>
      </c>
      <c r="T113" s="5">
        <f>IF(E113="","",IFERROR(IF(MATCH(E113,'Lista de excepciones'!$E:$E,0)&gt;0,1,0),0))</f>
        <v>0</v>
      </c>
      <c r="U113" s="6" t="str">
        <f t="shared" si="2"/>
        <v>NO</v>
      </c>
    </row>
    <row r="114" spans="1:24" hidden="1" x14ac:dyDescent="0.25">
      <c r="A114" s="7" t="str">
        <f>IF('Port Bloomberg'!A114="","",'Port Bloomberg'!A114)</f>
        <v>BTGPBZ 5 ¾ 01/22/30</v>
      </c>
      <c r="B114" s="7" t="str">
        <f>IF('Port Bloomberg'!B114="","",'Port Bloomberg'!B114)</f>
        <v>Banco BTG Pactual SA/Cayman Islands</v>
      </c>
      <c r="C114" s="7" t="str">
        <f>IF('Port Bloomberg'!C114="","",'Port Bloomberg'!C114)</f>
        <v>BANCO PACTUAL/KY</v>
      </c>
      <c r="D114" s="7" t="str">
        <f>IF('Port Bloomberg'!D114="","",'Port Bloomberg'!D114)</f>
        <v>BANCO BTG PACTUAL/CAYMAN</v>
      </c>
      <c r="E114" s="7" t="str">
        <f>IF('Port Bloomberg'!E114="","",'Port Bloomberg'!E114)</f>
        <v>US05971BAL36</v>
      </c>
      <c r="F114" s="7" t="str">
        <f>IF('Port Bloomberg'!F114="","",'Port Bloomberg'!F114)</f>
        <v>BTGPBZ</v>
      </c>
      <c r="G114" s="7" t="str">
        <f>IF('Port Bloomberg'!G114="","",'Port Bloomberg'!G114)</f>
        <v>BPAC11 BZ</v>
      </c>
      <c r="H114" s="7" t="str">
        <f>IF('Port Bloomberg'!H114="","",'Port Bloomberg'!H114)</f>
        <v>Diversified Finan Serv</v>
      </c>
      <c r="I114" s="7" t="str">
        <f>IF('Port Bloomberg'!I114="","",'Port Bloomberg'!I114)</f>
        <v>FIN</v>
      </c>
      <c r="J114" s="7" t="str">
        <f>IF('Port Bloomberg'!J114="","",'Port Bloomberg'!J114)</f>
        <v>Finance-Invest Bnkr/Brkr</v>
      </c>
      <c r="K114" s="7" t="str">
        <f>IF('Port Bloomberg'!K114="","",'Port Bloomberg'!K114)</f>
        <v>KY</v>
      </c>
      <c r="L114" s="7" t="str">
        <f>IF('Port Bloomberg'!L114="","",'Port Bloomberg'!L114)</f>
        <v>BR</v>
      </c>
      <c r="M114" s="7" t="str">
        <f>IF('Port Bloomberg'!M114="","",'Port Bloomberg'!M114)</f>
        <v>USD</v>
      </c>
      <c r="N114" s="7">
        <f>IF('Port Bloomberg'!N114="","",'Port Bloomberg'!N114)</f>
        <v>500000</v>
      </c>
      <c r="O114" s="7" t="str">
        <f>IF('Port Bloomberg'!O114="","",'Port Bloomberg'!O114)</f>
        <v>SINGLE</v>
      </c>
      <c r="P114" s="7">
        <f>IF('Port Bloomberg'!P114="","",'Port Bloomberg'!P114)</f>
        <v>5.75</v>
      </c>
      <c r="Q114" s="7" t="str">
        <f>IF('Port Bloomberg'!Q114="","",'Port Bloomberg'!Q114)</f>
        <v>BB+</v>
      </c>
      <c r="R114" s="7" t="str">
        <f>IF('Port Bloomberg'!R114="","",'Port Bloomberg'!R114)</f>
        <v>01/22/2030</v>
      </c>
      <c r="S114" s="5">
        <f>IF(E114="","",IFERROR(IF(MATCH(E114,[1]Instrumentos!$D:$D,0)&gt;0,1,0),0))</f>
        <v>1</v>
      </c>
      <c r="T114" s="5">
        <f>IF(E114="","",IFERROR(IF(MATCH(E114,'Lista de excepciones'!$E:$E,0)&gt;0,1,0),0))</f>
        <v>0</v>
      </c>
      <c r="U114" s="6" t="str">
        <f t="shared" si="2"/>
        <v>NO</v>
      </c>
    </row>
    <row r="115" spans="1:24" hidden="1" x14ac:dyDescent="0.25">
      <c r="A115" s="7" t="str">
        <f>IF('Port Bloomberg'!A115="","",'Port Bloomberg'!A115)</f>
        <v>BTGPBZ 6 ¼ 04/08/29</v>
      </c>
      <c r="B115" s="7" t="str">
        <f>IF('Port Bloomberg'!B115="","",'Port Bloomberg'!B115)</f>
        <v>Banco BTG Pactual SA/Cayman Islands</v>
      </c>
      <c r="C115" s="7" t="str">
        <f>IF('Port Bloomberg'!C115="","",'Port Bloomberg'!C115)</f>
        <v>BANCO PACTUAL/KY</v>
      </c>
      <c r="D115" s="7" t="str">
        <f>IF('Port Bloomberg'!D115="","",'Port Bloomberg'!D115)</f>
        <v>BANCO BTG PACTUAL/CAYMAN</v>
      </c>
      <c r="E115" s="7" t="str">
        <f>IF('Port Bloomberg'!E115="","",'Port Bloomberg'!E115)</f>
        <v>US05971BAK52</v>
      </c>
      <c r="F115" s="7" t="str">
        <f>IF('Port Bloomberg'!F115="","",'Port Bloomberg'!F115)</f>
        <v>BTGPBZ</v>
      </c>
      <c r="G115" s="7" t="str">
        <f>IF('Port Bloomberg'!G115="","",'Port Bloomberg'!G115)</f>
        <v>BPAC11 BZ</v>
      </c>
      <c r="H115" s="7" t="str">
        <f>IF('Port Bloomberg'!H115="","",'Port Bloomberg'!H115)</f>
        <v>Diversified Finan Serv</v>
      </c>
      <c r="I115" s="7" t="str">
        <f>IF('Port Bloomberg'!I115="","",'Port Bloomberg'!I115)</f>
        <v>FIN</v>
      </c>
      <c r="J115" s="7" t="str">
        <f>IF('Port Bloomberg'!J115="","",'Port Bloomberg'!J115)</f>
        <v>Finance-Invest Bnkr/Brkr</v>
      </c>
      <c r="K115" s="7" t="str">
        <f>IF('Port Bloomberg'!K115="","",'Port Bloomberg'!K115)</f>
        <v>KY</v>
      </c>
      <c r="L115" s="7" t="str">
        <f>IF('Port Bloomberg'!L115="","",'Port Bloomberg'!L115)</f>
        <v>BR</v>
      </c>
      <c r="M115" s="7" t="str">
        <f>IF('Port Bloomberg'!M115="","",'Port Bloomberg'!M115)</f>
        <v>USD</v>
      </c>
      <c r="N115" s="7">
        <f>IF('Port Bloomberg'!N115="","",'Port Bloomberg'!N115)</f>
        <v>500000</v>
      </c>
      <c r="O115" s="7" t="str">
        <f>IF('Port Bloomberg'!O115="","",'Port Bloomberg'!O115)</f>
        <v>SINGLE</v>
      </c>
      <c r="P115" s="7">
        <f>IF('Port Bloomberg'!P115="","",'Port Bloomberg'!P115)</f>
        <v>6.25</v>
      </c>
      <c r="Q115" s="7" t="str">
        <f>IF('Port Bloomberg'!Q115="","",'Port Bloomberg'!Q115)</f>
        <v>BB+</v>
      </c>
      <c r="R115" s="7" t="str">
        <f>IF('Port Bloomberg'!R115="","",'Port Bloomberg'!R115)</f>
        <v>04/08/2029</v>
      </c>
      <c r="S115" s="5">
        <f>IF(E115="","",IFERROR(IF(MATCH(E115,[1]Instrumentos!$D:$D,0)&gt;0,1,0),0))</f>
        <v>1</v>
      </c>
      <c r="T115" s="5">
        <f>IF(E115="","",IFERROR(IF(MATCH(E115,'Lista de excepciones'!$E:$E,0)&gt;0,1,0),0))</f>
        <v>0</v>
      </c>
      <c r="U115" s="6" t="str">
        <f t="shared" si="2"/>
        <v>NO</v>
      </c>
    </row>
    <row r="116" spans="1:24" hidden="1" x14ac:dyDescent="0.25">
      <c r="A116" s="7" t="str">
        <f>IF('Port Bloomberg'!A116="","",'Port Bloomberg'!A116)</f>
        <v>BTHREE 4 ⅛ 09/20/31</v>
      </c>
      <c r="B116" s="7" t="str">
        <f>IF('Port Bloomberg'!B116="","",'Port Bloomberg'!B116)</f>
        <v>B3 SA - Brasil Bolsa Balcao</v>
      </c>
      <c r="C116" s="7" t="str">
        <f>IF('Port Bloomberg'!C116="","",'Port Bloomberg'!C116)</f>
        <v>B3 SA</v>
      </c>
      <c r="D116" s="7" t="str">
        <f>IF('Port Bloomberg'!D116="","",'Port Bloomberg'!D116)</f>
        <v>B3 SA-BRASIL BOLSA BALCA</v>
      </c>
      <c r="E116" s="7" t="str">
        <f>IF('Port Bloomberg'!E116="","",'Port Bloomberg'!E116)</f>
        <v>USP19118AA91</v>
      </c>
      <c r="F116" s="7" t="str">
        <f>IF('Port Bloomberg'!F116="","",'Port Bloomberg'!F116)</f>
        <v>BTHREE</v>
      </c>
      <c r="G116" s="7" t="str">
        <f>IF('Port Bloomberg'!G116="","",'Port Bloomberg'!G116)</f>
        <v>B3SA3 BZ</v>
      </c>
      <c r="H116" s="7" t="str">
        <f>IF('Port Bloomberg'!H116="","",'Port Bloomberg'!H116)</f>
        <v>Diversified Finan Serv</v>
      </c>
      <c r="I116" s="7" t="str">
        <f>IF('Port Bloomberg'!I116="","",'Port Bloomberg'!I116)</f>
        <v>FIN</v>
      </c>
      <c r="J116" s="7" t="str">
        <f>IF('Port Bloomberg'!J116="","",'Port Bloomberg'!J116)</f>
        <v>Finance-Other Services</v>
      </c>
      <c r="K116" s="7" t="str">
        <f>IF('Port Bloomberg'!K116="","",'Port Bloomberg'!K116)</f>
        <v>BR</v>
      </c>
      <c r="L116" s="7" t="str">
        <f>IF('Port Bloomberg'!L116="","",'Port Bloomberg'!L116)</f>
        <v>BR</v>
      </c>
      <c r="M116" s="7" t="str">
        <f>IF('Port Bloomberg'!M116="","",'Port Bloomberg'!M116)</f>
        <v>USD</v>
      </c>
      <c r="N116" s="7">
        <f>IF('Port Bloomberg'!N116="","",'Port Bloomberg'!N116)</f>
        <v>700000</v>
      </c>
      <c r="O116" s="7" t="str">
        <f>IF('Port Bloomberg'!O116="","",'Port Bloomberg'!O116)</f>
        <v>SINGLE</v>
      </c>
      <c r="P116" s="7">
        <f>IF('Port Bloomberg'!P116="","",'Port Bloomberg'!P116)</f>
        <v>4.125</v>
      </c>
      <c r="Q116" s="7" t="str">
        <f>IF('Port Bloomberg'!Q116="","",'Port Bloomberg'!Q116)</f>
        <v>BB+</v>
      </c>
      <c r="R116" s="7" t="str">
        <f>IF('Port Bloomberg'!R116="","",'Port Bloomberg'!R116)</f>
        <v>09/20/2031</v>
      </c>
      <c r="S116" s="5">
        <f>IF(E116="","",IFERROR(IF(MATCH(E116,[1]Instrumentos!$D:$D,0)&gt;0,1,0),0))</f>
        <v>1</v>
      </c>
      <c r="T116" s="5">
        <f>IF(E116="","",IFERROR(IF(MATCH(E116,'Lista de excepciones'!$E:$E,0)&gt;0,1,0),0))</f>
        <v>0</v>
      </c>
      <c r="U116" s="6" t="str">
        <f t="shared" si="2"/>
        <v>NO</v>
      </c>
    </row>
    <row r="117" spans="1:24" hidden="1" x14ac:dyDescent="0.25">
      <c r="A117" s="7" t="str">
        <f>IF('Port Bloomberg'!A117="","",'Port Bloomberg'!A117)</f>
        <v>BUENAV 6.8 02/04/32</v>
      </c>
      <c r="B117" s="7" t="str">
        <f>IF('Port Bloomberg'!B117="","",'Port Bloomberg'!B117)</f>
        <v>Cia de Minas Buenaventura SAA</v>
      </c>
      <c r="C117" s="7" t="str">
        <f>IF('Port Bloomberg'!C117="","",'Port Bloomberg'!C117)</f>
        <v>CIA DE MINAS BUE</v>
      </c>
      <c r="D117" s="7" t="str">
        <f>IF('Port Bloomberg'!D117="","",'Port Bloomberg'!D117)</f>
        <v>CIA DE MINAS BUENAVENTUR</v>
      </c>
      <c r="E117" s="7" t="str">
        <f>IF('Port Bloomberg'!E117="","",'Port Bloomberg'!E117)</f>
        <v>USP6680PAB78</v>
      </c>
      <c r="F117" s="7" t="str">
        <f>IF('Port Bloomberg'!F117="","",'Port Bloomberg'!F117)</f>
        <v>BUENAV</v>
      </c>
      <c r="G117" s="7" t="str">
        <f>IF('Port Bloomberg'!G117="","",'Port Bloomberg'!G117)</f>
        <v>BUENAVC1 PE</v>
      </c>
      <c r="H117" s="7" t="str">
        <f>IF('Port Bloomberg'!H117="","",'Port Bloomberg'!H117)</f>
        <v>Mining</v>
      </c>
      <c r="I117" s="7" t="str">
        <f>IF('Port Bloomberg'!I117="","",'Port Bloomberg'!I117)</f>
        <v>IND</v>
      </c>
      <c r="J117" s="7" t="str">
        <f>IF('Port Bloomberg'!J117="","",'Port Bloomberg'!J117)</f>
        <v>Metal-Diversified</v>
      </c>
      <c r="K117" s="7" t="str">
        <f>IF('Port Bloomberg'!K117="","",'Port Bloomberg'!K117)</f>
        <v>PE</v>
      </c>
      <c r="L117" s="7" t="str">
        <f>IF('Port Bloomberg'!L117="","",'Port Bloomberg'!L117)</f>
        <v>PE</v>
      </c>
      <c r="M117" s="7" t="str">
        <f>IF('Port Bloomberg'!M117="","",'Port Bloomberg'!M117)</f>
        <v>USD</v>
      </c>
      <c r="N117" s="7">
        <f>IF('Port Bloomberg'!N117="","",'Port Bloomberg'!N117)</f>
        <v>650000</v>
      </c>
      <c r="O117" s="7" t="str">
        <f>IF('Port Bloomberg'!O117="","",'Port Bloomberg'!O117)</f>
        <v>SINGLE</v>
      </c>
      <c r="P117" s="7">
        <f>IF('Port Bloomberg'!P117="","",'Port Bloomberg'!P117)</f>
        <v>6.8</v>
      </c>
      <c r="Q117" s="7" t="str">
        <f>IF('Port Bloomberg'!Q117="","",'Port Bloomberg'!Q117)</f>
        <v>BB-</v>
      </c>
      <c r="R117" s="7" t="str">
        <f>IF('Port Bloomberg'!R117="","",'Port Bloomberg'!R117)</f>
        <v>02/04/2032</v>
      </c>
      <c r="S117" s="5">
        <f>IF(E117="","",IFERROR(IF(MATCH(E117,[1]Instrumentos!$D:$D,0)&gt;0,1,0),0))</f>
        <v>1</v>
      </c>
      <c r="T117" s="5">
        <f>IF(E117="","",IFERROR(IF(MATCH(E117,'Lista de excepciones'!$E:$E,0)&gt;0,1,0),0))</f>
        <v>0</v>
      </c>
      <c r="U117" s="6" t="str">
        <f t="shared" si="2"/>
        <v>NO</v>
      </c>
    </row>
    <row r="118" spans="1:24" hidden="1" x14ac:dyDescent="0.25">
      <c r="A118" s="7" t="str">
        <f>IF('Port Bloomberg'!A118="","",'Port Bloomberg'!A118)</f>
        <v>CAIXBR 5 ⅝ 05/13/30</v>
      </c>
      <c r="B118" s="7" t="str">
        <f>IF('Port Bloomberg'!B118="","",'Port Bloomberg'!B118)</f>
        <v>Caixa Economica Federal</v>
      </c>
      <c r="C118" s="7" t="str">
        <f>IF('Port Bloomberg'!C118="","",'Port Bloomberg'!C118)</f>
        <v>CAIXA ECONOMICA</v>
      </c>
      <c r="D118" s="7" t="str">
        <f>IF('Port Bloomberg'!D118="","",'Port Bloomberg'!D118)</f>
        <v>CAIXA ECONOMICA FEDERAL</v>
      </c>
      <c r="E118" s="7" t="str">
        <f>IF('Port Bloomberg'!E118="","",'Port Bloomberg'!E118)</f>
        <v>US12804DAA28</v>
      </c>
      <c r="F118" s="7" t="str">
        <f>IF('Port Bloomberg'!F118="","",'Port Bloomberg'!F118)</f>
        <v>CAIXBR</v>
      </c>
      <c r="G118" s="7" t="str">
        <f>IF('Port Bloomberg'!G118="","",'Port Bloomberg'!G118)</f>
        <v>CEFN3 BZ</v>
      </c>
      <c r="H118" s="7" t="str">
        <f>IF('Port Bloomberg'!H118="","",'Port Bloomberg'!H118)</f>
        <v>Banks</v>
      </c>
      <c r="I118" s="7" t="str">
        <f>IF('Port Bloomberg'!I118="","",'Port Bloomberg'!I118)</f>
        <v>FOA</v>
      </c>
      <c r="J118" s="7" t="str">
        <f>IF('Port Bloomberg'!J118="","",'Port Bloomberg'!J118)</f>
        <v>Commer Banks Non-US</v>
      </c>
      <c r="K118" s="7" t="str">
        <f>IF('Port Bloomberg'!K118="","",'Port Bloomberg'!K118)</f>
        <v>BR</v>
      </c>
      <c r="L118" s="7" t="str">
        <f>IF('Port Bloomberg'!L118="","",'Port Bloomberg'!L118)</f>
        <v>BR</v>
      </c>
      <c r="M118" s="7" t="str">
        <f>IF('Port Bloomberg'!M118="","",'Port Bloomberg'!M118)</f>
        <v>USD</v>
      </c>
      <c r="N118" s="7">
        <f>IF('Port Bloomberg'!N118="","",'Port Bloomberg'!N118)</f>
        <v>700000</v>
      </c>
      <c r="O118" s="7" t="str">
        <f>IF('Port Bloomberg'!O118="","",'Port Bloomberg'!O118)</f>
        <v>SINGLE</v>
      </c>
      <c r="P118" s="7">
        <f>IF('Port Bloomberg'!P118="","",'Port Bloomberg'!P118)</f>
        <v>5.625</v>
      </c>
      <c r="Q118" s="7" t="str">
        <f>IF('Port Bloomberg'!Q118="","",'Port Bloomberg'!Q118)</f>
        <v>BB</v>
      </c>
      <c r="R118" s="7" t="str">
        <f>IF('Port Bloomberg'!R118="","",'Port Bloomberg'!R118)</f>
        <v>05/13/2030</v>
      </c>
      <c r="S118" s="5">
        <f>IF(E118="","",IFERROR(IF(MATCH(E118,[1]Instrumentos!$D:$D,0)&gt;0,1,0),0))</f>
        <v>1</v>
      </c>
      <c r="T118" s="5">
        <f>IF(E118="","",IFERROR(IF(MATCH(E118,'Lista de excepciones'!$E:$E,0)&gt;0,1,0),0))</f>
        <v>0</v>
      </c>
      <c r="U118" s="6" t="str">
        <f t="shared" si="2"/>
        <v>NO</v>
      </c>
    </row>
    <row r="119" spans="1:24" hidden="1" x14ac:dyDescent="0.25">
      <c r="A119" s="7" t="str">
        <f>IF('Port Bloomberg'!A119="","",'Port Bloomberg'!A119)</f>
        <v>CCUCI 3.35 01/19/32</v>
      </c>
      <c r="B119" s="7" t="str">
        <f>IF('Port Bloomberg'!B119="","",'Port Bloomberg'!B119)</f>
        <v>Cia Cervecerias Unidas SA</v>
      </c>
      <c r="C119" s="7" t="str">
        <f>IF('Port Bloomberg'!C119="","",'Port Bloomberg'!C119)</f>
        <v>CIA CERV UNIDAS</v>
      </c>
      <c r="D119" s="7" t="str">
        <f>IF('Port Bloomberg'!D119="","",'Port Bloomberg'!D119)</f>
        <v>CIA CERVECERIAS UNIDAS</v>
      </c>
      <c r="E119" s="7" t="str">
        <f>IF('Port Bloomberg'!E119="","",'Port Bloomberg'!E119)</f>
        <v>USP3067GAG66</v>
      </c>
      <c r="F119" s="7" t="str">
        <f>IF('Port Bloomberg'!F119="","",'Port Bloomberg'!F119)</f>
        <v>CCUCI</v>
      </c>
      <c r="G119" s="7" t="str">
        <f>IF('Port Bloomberg'!G119="","",'Port Bloomberg'!G119)</f>
        <v>CCU CI</v>
      </c>
      <c r="H119" s="7" t="str">
        <f>IF('Port Bloomberg'!H119="","",'Port Bloomberg'!H119)</f>
        <v>Beverages</v>
      </c>
      <c r="I119" s="7" t="str">
        <f>IF('Port Bloomberg'!I119="","",'Port Bloomberg'!I119)</f>
        <v>IND</v>
      </c>
      <c r="J119" s="7" t="str">
        <f>IF('Port Bloomberg'!J119="","",'Port Bloomberg'!J119)</f>
        <v>Beverages-Wine/Spirits</v>
      </c>
      <c r="K119" s="7" t="str">
        <f>IF('Port Bloomberg'!K119="","",'Port Bloomberg'!K119)</f>
        <v>CL</v>
      </c>
      <c r="L119" s="7" t="str">
        <f>IF('Port Bloomberg'!L119="","",'Port Bloomberg'!L119)</f>
        <v>CL</v>
      </c>
      <c r="M119" s="7" t="str">
        <f>IF('Port Bloomberg'!M119="","",'Port Bloomberg'!M119)</f>
        <v>USD</v>
      </c>
      <c r="N119" s="7">
        <f>IF('Port Bloomberg'!N119="","",'Port Bloomberg'!N119)</f>
        <v>600000</v>
      </c>
      <c r="O119" s="7" t="str">
        <f>IF('Port Bloomberg'!O119="","",'Port Bloomberg'!O119)</f>
        <v>SINGLE</v>
      </c>
      <c r="P119" s="7">
        <f>IF('Port Bloomberg'!P119="","",'Port Bloomberg'!P119)</f>
        <v>3.35</v>
      </c>
      <c r="Q119" s="7" t="str">
        <f>IF('Port Bloomberg'!Q119="","",'Port Bloomberg'!Q119)</f>
        <v>BBB</v>
      </c>
      <c r="R119" s="7" t="str">
        <f>IF('Port Bloomberg'!R119="","",'Port Bloomberg'!R119)</f>
        <v>01/19/2032</v>
      </c>
      <c r="S119" s="5">
        <f>IF(E119="","",IFERROR(IF(MATCH(E119,[1]Instrumentos!$D:$D,0)&gt;0,1,0),0))</f>
        <v>1</v>
      </c>
      <c r="T119" s="5">
        <f>IF(E119="","",IFERROR(IF(MATCH(E119,'Lista de excepciones'!$E:$E,0)&gt;0,1,0),0))</f>
        <v>0</v>
      </c>
      <c r="U119" s="6" t="str">
        <f t="shared" si="2"/>
        <v>NO</v>
      </c>
    </row>
    <row r="120" spans="1:24" hidden="1" x14ac:dyDescent="0.25">
      <c r="A120" s="7" t="str">
        <f>IF('Port Bloomberg'!A120="","",'Port Bloomberg'!A120)</f>
        <v>CDEL 3 09/30/29</v>
      </c>
      <c r="B120" s="7" t="str">
        <f>IF('Port Bloomberg'!B120="","",'Port Bloomberg'!B120)</f>
        <v>Corp Nacional del Cobre de Chile</v>
      </c>
      <c r="C120" s="7" t="str">
        <f>IF('Port Bloomberg'!C120="","",'Port Bloomberg'!C120)</f>
        <v>CODELCO INC</v>
      </c>
      <c r="D120" s="7" t="str">
        <f>IF('Port Bloomberg'!D120="","",'Port Bloomberg'!D120)</f>
        <v>CODELCO INC</v>
      </c>
      <c r="E120" s="7" t="str">
        <f>IF('Port Bloomberg'!E120="","",'Port Bloomberg'!E120)</f>
        <v>USP3143NBE33</v>
      </c>
      <c r="F120" s="7" t="str">
        <f>IF('Port Bloomberg'!F120="","",'Port Bloomberg'!F120)</f>
        <v>CDEL</v>
      </c>
      <c r="G120" s="7" t="str">
        <f>IF('Port Bloomberg'!G120="","",'Port Bloomberg'!G120)</f>
        <v>1006Z CI</v>
      </c>
      <c r="H120" s="7" t="str">
        <f>IF('Port Bloomberg'!H120="","",'Port Bloomberg'!H120)</f>
        <v>Mining</v>
      </c>
      <c r="I120" s="7" t="str">
        <f>IF('Port Bloomberg'!I120="","",'Port Bloomberg'!I120)</f>
        <v>FOA</v>
      </c>
      <c r="J120" s="7" t="str">
        <f>IF('Port Bloomberg'!J120="","",'Port Bloomberg'!J120)</f>
        <v>Non-Ferrous Metals</v>
      </c>
      <c r="K120" s="7" t="str">
        <f>IF('Port Bloomberg'!K120="","",'Port Bloomberg'!K120)</f>
        <v>CL</v>
      </c>
      <c r="L120" s="7" t="str">
        <f>IF('Port Bloomberg'!L120="","",'Port Bloomberg'!L120)</f>
        <v>CL</v>
      </c>
      <c r="M120" s="7" t="str">
        <f>IF('Port Bloomberg'!M120="","",'Port Bloomberg'!M120)</f>
        <v>USD</v>
      </c>
      <c r="N120" s="7">
        <f>IF('Port Bloomberg'!N120="","",'Port Bloomberg'!N120)</f>
        <v>1100000</v>
      </c>
      <c r="O120" s="7" t="str">
        <f>IF('Port Bloomberg'!O120="","",'Port Bloomberg'!O120)</f>
        <v>SINGLE</v>
      </c>
      <c r="P120" s="7">
        <f>IF('Port Bloomberg'!P120="","",'Port Bloomberg'!P120)</f>
        <v>3</v>
      </c>
      <c r="Q120" s="7" t="str">
        <f>IF('Port Bloomberg'!Q120="","",'Port Bloomberg'!Q120)</f>
        <v>BBB</v>
      </c>
      <c r="R120" s="7" t="str">
        <f>IF('Port Bloomberg'!R120="","",'Port Bloomberg'!R120)</f>
        <v>09/30/2029</v>
      </c>
      <c r="S120" s="5">
        <f>IF(E120="","",IFERROR(IF(MATCH(E120,[1]Instrumentos!$D:$D,0)&gt;0,1,0),0))</f>
        <v>1</v>
      </c>
      <c r="T120" s="5">
        <f>IF(E120="","",IFERROR(IF(MATCH(E120,'Lista de excepciones'!$E:$E,0)&gt;0,1,0),0))</f>
        <v>0</v>
      </c>
      <c r="U120" s="6" t="str">
        <f t="shared" si="2"/>
        <v>NO</v>
      </c>
    </row>
    <row r="121" spans="1:24" hidden="1" x14ac:dyDescent="0.25">
      <c r="A121" s="7" t="str">
        <f>IF('Port Bloomberg'!A121="","",'Port Bloomberg'!A121)</f>
        <v>CDEL 3 ¾ 01/15/31</v>
      </c>
      <c r="B121" s="7" t="str">
        <f>IF('Port Bloomberg'!B121="","",'Port Bloomberg'!B121)</f>
        <v>Corp Nacional del Cobre de Chile</v>
      </c>
      <c r="C121" s="7" t="str">
        <f>IF('Port Bloomberg'!C121="","",'Port Bloomberg'!C121)</f>
        <v>CODELCO INC</v>
      </c>
      <c r="D121" s="7" t="str">
        <f>IF('Port Bloomberg'!D121="","",'Port Bloomberg'!D121)</f>
        <v>CODELCO INC</v>
      </c>
      <c r="E121" s="7" t="str">
        <f>IF('Port Bloomberg'!E121="","",'Port Bloomberg'!E121)</f>
        <v>USP3143NBK92</v>
      </c>
      <c r="F121" s="7" t="str">
        <f>IF('Port Bloomberg'!F121="","",'Port Bloomberg'!F121)</f>
        <v>CDEL</v>
      </c>
      <c r="G121" s="7" t="str">
        <f>IF('Port Bloomberg'!G121="","",'Port Bloomberg'!G121)</f>
        <v>1006Z CI</v>
      </c>
      <c r="H121" s="7" t="str">
        <f>IF('Port Bloomberg'!H121="","",'Port Bloomberg'!H121)</f>
        <v>Mining</v>
      </c>
      <c r="I121" s="7" t="str">
        <f>IF('Port Bloomberg'!I121="","",'Port Bloomberg'!I121)</f>
        <v>FOA</v>
      </c>
      <c r="J121" s="7" t="str">
        <f>IF('Port Bloomberg'!J121="","",'Port Bloomberg'!J121)</f>
        <v>Non-Ferrous Metals</v>
      </c>
      <c r="K121" s="7" t="str">
        <f>IF('Port Bloomberg'!K121="","",'Port Bloomberg'!K121)</f>
        <v>CL</v>
      </c>
      <c r="L121" s="7" t="str">
        <f>IF('Port Bloomberg'!L121="","",'Port Bloomberg'!L121)</f>
        <v>CL</v>
      </c>
      <c r="M121" s="7" t="str">
        <f>IF('Port Bloomberg'!M121="","",'Port Bloomberg'!M121)</f>
        <v>USD</v>
      </c>
      <c r="N121" s="7">
        <f>IF('Port Bloomberg'!N121="","",'Port Bloomberg'!N121)</f>
        <v>800000</v>
      </c>
      <c r="O121" s="7" t="str">
        <f>IF('Port Bloomberg'!O121="","",'Port Bloomberg'!O121)</f>
        <v>SINGLE</v>
      </c>
      <c r="P121" s="7">
        <f>IF('Port Bloomberg'!P121="","",'Port Bloomberg'!P121)</f>
        <v>3.75</v>
      </c>
      <c r="Q121" s="7" t="str">
        <f>IF('Port Bloomberg'!Q121="","",'Port Bloomberg'!Q121)</f>
        <v>BBB</v>
      </c>
      <c r="R121" s="7" t="str">
        <f>IF('Port Bloomberg'!R121="","",'Port Bloomberg'!R121)</f>
        <v>01/15/2031</v>
      </c>
      <c r="S121" s="5">
        <f>IF(E121="","",IFERROR(IF(MATCH(E121,[1]Instrumentos!$D:$D,0)&gt;0,1,0),0))</f>
        <v>1</v>
      </c>
      <c r="T121" s="5">
        <f>IF(E121="","",IFERROR(IF(MATCH(E121,'Lista de excepciones'!$E:$E,0)&gt;0,1,0),0))</f>
        <v>0</v>
      </c>
      <c r="U121" s="6" t="str">
        <f t="shared" si="2"/>
        <v>NO</v>
      </c>
    </row>
    <row r="122" spans="1:24" hidden="1" x14ac:dyDescent="0.25">
      <c r="A122" s="7" t="str">
        <f>IF('Port Bloomberg'!A122="","",'Port Bloomberg'!A122)</f>
        <v>CDEL 3.15 01/14/30</v>
      </c>
      <c r="B122" s="7" t="str">
        <f>IF('Port Bloomberg'!B122="","",'Port Bloomberg'!B122)</f>
        <v>Corp Nacional del Cobre de Chile</v>
      </c>
      <c r="C122" s="7" t="str">
        <f>IF('Port Bloomberg'!C122="","",'Port Bloomberg'!C122)</f>
        <v>CODELCO INC</v>
      </c>
      <c r="D122" s="7" t="str">
        <f>IF('Port Bloomberg'!D122="","",'Port Bloomberg'!D122)</f>
        <v>CODELCO INC</v>
      </c>
      <c r="E122" s="7" t="str">
        <f>IF('Port Bloomberg'!E122="","",'Port Bloomberg'!E122)</f>
        <v>USP3143NBH63</v>
      </c>
      <c r="F122" s="7" t="str">
        <f>IF('Port Bloomberg'!F122="","",'Port Bloomberg'!F122)</f>
        <v>CDEL</v>
      </c>
      <c r="G122" s="7" t="str">
        <f>IF('Port Bloomberg'!G122="","",'Port Bloomberg'!G122)</f>
        <v>1006Z CI</v>
      </c>
      <c r="H122" s="7" t="str">
        <f>IF('Port Bloomberg'!H122="","",'Port Bloomberg'!H122)</f>
        <v>Mining</v>
      </c>
      <c r="I122" s="7" t="str">
        <f>IF('Port Bloomberg'!I122="","",'Port Bloomberg'!I122)</f>
        <v>FOA</v>
      </c>
      <c r="J122" s="7" t="str">
        <f>IF('Port Bloomberg'!J122="","",'Port Bloomberg'!J122)</f>
        <v>Non-Ferrous Metals</v>
      </c>
      <c r="K122" s="7" t="str">
        <f>IF('Port Bloomberg'!K122="","",'Port Bloomberg'!K122)</f>
        <v>CL</v>
      </c>
      <c r="L122" s="7" t="str">
        <f>IF('Port Bloomberg'!L122="","",'Port Bloomberg'!L122)</f>
        <v>CL</v>
      </c>
      <c r="M122" s="7" t="str">
        <f>IF('Port Bloomberg'!M122="","",'Port Bloomberg'!M122)</f>
        <v>USD</v>
      </c>
      <c r="N122" s="7">
        <f>IF('Port Bloomberg'!N122="","",'Port Bloomberg'!N122)</f>
        <v>1000000</v>
      </c>
      <c r="O122" s="7" t="str">
        <f>IF('Port Bloomberg'!O122="","",'Port Bloomberg'!O122)</f>
        <v>SINGLE</v>
      </c>
      <c r="P122" s="7">
        <f>IF('Port Bloomberg'!P122="","",'Port Bloomberg'!P122)</f>
        <v>3.15</v>
      </c>
      <c r="Q122" s="7" t="str">
        <f>IF('Port Bloomberg'!Q122="","",'Port Bloomberg'!Q122)</f>
        <v>BBB</v>
      </c>
      <c r="R122" s="7" t="str">
        <f>IF('Port Bloomberg'!R122="","",'Port Bloomberg'!R122)</f>
        <v>01/14/2030</v>
      </c>
      <c r="S122" s="5">
        <f>IF(E122="","",IFERROR(IF(MATCH(E122,[1]Instrumentos!$D:$D,0)&gt;0,1,0),0))</f>
        <v>1</v>
      </c>
      <c r="T122" s="5">
        <f>IF(E122="","",IFERROR(IF(MATCH(E122,'Lista de excepciones'!$E:$E,0)&gt;0,1,0),0))</f>
        <v>0</v>
      </c>
      <c r="U122" s="6" t="str">
        <f t="shared" si="2"/>
        <v>NO</v>
      </c>
    </row>
    <row r="123" spans="1:24" hidden="1" x14ac:dyDescent="0.25">
      <c r="A123" s="7" t="str">
        <f>IF('Port Bloomberg'!A123="","",'Port Bloomberg'!A123)</f>
        <v>CDEL 3.15 01/15/51</v>
      </c>
      <c r="B123" s="7" t="str">
        <f>IF('Port Bloomberg'!B123="","",'Port Bloomberg'!B123)</f>
        <v>Corp Nacional del Cobre de Chile</v>
      </c>
      <c r="C123" s="7" t="str">
        <f>IF('Port Bloomberg'!C123="","",'Port Bloomberg'!C123)</f>
        <v>CODELCO INC</v>
      </c>
      <c r="D123" s="7" t="str">
        <f>IF('Port Bloomberg'!D123="","",'Port Bloomberg'!D123)</f>
        <v>CODELCO INC</v>
      </c>
      <c r="E123" s="7" t="str">
        <f>IF('Port Bloomberg'!E123="","",'Port Bloomberg'!E123)</f>
        <v>USP3143NBM58</v>
      </c>
      <c r="F123" s="7" t="str">
        <f>IF('Port Bloomberg'!F123="","",'Port Bloomberg'!F123)</f>
        <v>CDEL</v>
      </c>
      <c r="G123" s="7" t="str">
        <f>IF('Port Bloomberg'!G123="","",'Port Bloomberg'!G123)</f>
        <v>1006Z CI</v>
      </c>
      <c r="H123" s="7" t="str">
        <f>IF('Port Bloomberg'!H123="","",'Port Bloomberg'!H123)</f>
        <v>Mining</v>
      </c>
      <c r="I123" s="7" t="str">
        <f>IF('Port Bloomberg'!I123="","",'Port Bloomberg'!I123)</f>
        <v>FOA</v>
      </c>
      <c r="J123" s="7" t="str">
        <f>IF('Port Bloomberg'!J123="","",'Port Bloomberg'!J123)</f>
        <v>Non-Ferrous Metals</v>
      </c>
      <c r="K123" s="7" t="str">
        <f>IF('Port Bloomberg'!K123="","",'Port Bloomberg'!K123)</f>
        <v>CL</v>
      </c>
      <c r="L123" s="7" t="str">
        <f>IF('Port Bloomberg'!L123="","",'Port Bloomberg'!L123)</f>
        <v>CL</v>
      </c>
      <c r="M123" s="7" t="str">
        <f>IF('Port Bloomberg'!M123="","",'Port Bloomberg'!M123)</f>
        <v>USD</v>
      </c>
      <c r="N123" s="7">
        <f>IF('Port Bloomberg'!N123="","",'Port Bloomberg'!N123)</f>
        <v>500000</v>
      </c>
      <c r="O123" s="7" t="str">
        <f>IF('Port Bloomberg'!O123="","",'Port Bloomberg'!O123)</f>
        <v>SINGLE</v>
      </c>
      <c r="P123" s="7">
        <f>IF('Port Bloomberg'!P123="","",'Port Bloomberg'!P123)</f>
        <v>3.15</v>
      </c>
      <c r="Q123" s="7" t="str">
        <f>IF('Port Bloomberg'!Q123="","",'Port Bloomberg'!Q123)</f>
        <v>BBB</v>
      </c>
      <c r="R123" s="7" t="str">
        <f>IF('Port Bloomberg'!R123="","",'Port Bloomberg'!R123)</f>
        <v>01/15/2051</v>
      </c>
      <c r="S123" s="5">
        <f>IF(E123="","",IFERROR(IF(MATCH(E123,[1]Instrumentos!$D:$D,0)&gt;0,1,0),0))</f>
        <v>1</v>
      </c>
      <c r="T123" s="5">
        <f>IF(E123="","",IFERROR(IF(MATCH(E123,'Lista de excepciones'!$E:$E,0)&gt;0,1,0),0))</f>
        <v>0</v>
      </c>
      <c r="U123" s="6" t="str">
        <f t="shared" si="2"/>
        <v>NO</v>
      </c>
    </row>
    <row r="124" spans="1:24" hidden="1" x14ac:dyDescent="0.25">
      <c r="A124" s="7" t="str">
        <f>IF('Port Bloomberg'!A124="","",'Port Bloomberg'!A124)</f>
        <v>CDEL 3.7 01/30/50</v>
      </c>
      <c r="B124" s="7" t="str">
        <f>IF('Port Bloomberg'!B124="","",'Port Bloomberg'!B124)</f>
        <v>Corp Nacional del Cobre de Chile</v>
      </c>
      <c r="C124" s="7" t="str">
        <f>IF('Port Bloomberg'!C124="","",'Port Bloomberg'!C124)</f>
        <v>CODELCO INC</v>
      </c>
      <c r="D124" s="7" t="str">
        <f>IF('Port Bloomberg'!D124="","",'Port Bloomberg'!D124)</f>
        <v>CODELCO INC</v>
      </c>
      <c r="E124" s="7" t="str">
        <f>IF('Port Bloomberg'!E124="","",'Port Bloomberg'!E124)</f>
        <v>USP3143NBF08</v>
      </c>
      <c r="F124" s="7" t="str">
        <f>IF('Port Bloomberg'!F124="","",'Port Bloomberg'!F124)</f>
        <v>CDEL</v>
      </c>
      <c r="G124" s="7" t="str">
        <f>IF('Port Bloomberg'!G124="","",'Port Bloomberg'!G124)</f>
        <v>1006Z CI</v>
      </c>
      <c r="H124" s="7" t="str">
        <f>IF('Port Bloomberg'!H124="","",'Port Bloomberg'!H124)</f>
        <v>Mining</v>
      </c>
      <c r="I124" s="7" t="str">
        <f>IF('Port Bloomberg'!I124="","",'Port Bloomberg'!I124)</f>
        <v>FOA</v>
      </c>
      <c r="J124" s="7" t="str">
        <f>IF('Port Bloomberg'!J124="","",'Port Bloomberg'!J124)</f>
        <v>Non-Ferrous Metals</v>
      </c>
      <c r="K124" s="7" t="str">
        <f>IF('Port Bloomberg'!K124="","",'Port Bloomberg'!K124)</f>
        <v>CL</v>
      </c>
      <c r="L124" s="7" t="str">
        <f>IF('Port Bloomberg'!L124="","",'Port Bloomberg'!L124)</f>
        <v>CL</v>
      </c>
      <c r="M124" s="7" t="str">
        <f>IF('Port Bloomberg'!M124="","",'Port Bloomberg'!M124)</f>
        <v>USD</v>
      </c>
      <c r="N124" s="7">
        <f>IF('Port Bloomberg'!N124="","",'Port Bloomberg'!N124)</f>
        <v>2680000</v>
      </c>
      <c r="O124" s="7" t="str">
        <f>IF('Port Bloomberg'!O124="","",'Port Bloomberg'!O124)</f>
        <v>SINGLE</v>
      </c>
      <c r="P124" s="7">
        <f>IF('Port Bloomberg'!P124="","",'Port Bloomberg'!P124)</f>
        <v>3.7</v>
      </c>
      <c r="Q124" s="7" t="str">
        <f>IF('Port Bloomberg'!Q124="","",'Port Bloomberg'!Q124)</f>
        <v>BBB</v>
      </c>
      <c r="R124" s="7" t="str">
        <f>IF('Port Bloomberg'!R124="","",'Port Bloomberg'!R124)</f>
        <v>01/30/2050</v>
      </c>
      <c r="S124" s="5">
        <f>IF(E124="","",IFERROR(IF(MATCH(E124,[1]Instrumentos!$D:$D,0)&gt;0,1,0),0))</f>
        <v>1</v>
      </c>
      <c r="T124" s="5">
        <f>IF(E124="","",IFERROR(IF(MATCH(E124,'Lista de excepciones'!$E:$E,0)&gt;0,1,0),0))</f>
        <v>0</v>
      </c>
      <c r="U124" s="6" t="str">
        <f t="shared" si="2"/>
        <v>NO</v>
      </c>
    </row>
    <row r="125" spans="1:24" hidden="1" x14ac:dyDescent="0.25">
      <c r="A125" s="7" t="str">
        <f>IF('Port Bloomberg'!A125="","",'Port Bloomberg'!A125)</f>
        <v>CDEL 4 ¼ 07/17/42</v>
      </c>
      <c r="B125" s="7" t="str">
        <f>IF('Port Bloomberg'!B125="","",'Port Bloomberg'!B125)</f>
        <v>Corp Nacional del Cobre de Chile</v>
      </c>
      <c r="C125" s="7" t="str">
        <f>IF('Port Bloomberg'!C125="","",'Port Bloomberg'!C125)</f>
        <v>CODELCO INC</v>
      </c>
      <c r="D125" s="7" t="str">
        <f>IF('Port Bloomberg'!D125="","",'Port Bloomberg'!D125)</f>
        <v>CODELCO INC</v>
      </c>
      <c r="E125" s="7" t="str">
        <f>IF('Port Bloomberg'!E125="","",'Port Bloomberg'!E125)</f>
        <v>USP3143NAQ71</v>
      </c>
      <c r="F125" s="7" t="str">
        <f>IF('Port Bloomberg'!F125="","",'Port Bloomberg'!F125)</f>
        <v>CDEL</v>
      </c>
      <c r="G125" s="7" t="str">
        <f>IF('Port Bloomberg'!G125="","",'Port Bloomberg'!G125)</f>
        <v>1006Z CI</v>
      </c>
      <c r="H125" s="7" t="str">
        <f>IF('Port Bloomberg'!H125="","",'Port Bloomberg'!H125)</f>
        <v>Mining</v>
      </c>
      <c r="I125" s="7" t="str">
        <f>IF('Port Bloomberg'!I125="","",'Port Bloomberg'!I125)</f>
        <v>FOA</v>
      </c>
      <c r="J125" s="7" t="str">
        <f>IF('Port Bloomberg'!J125="","",'Port Bloomberg'!J125)</f>
        <v>Non-Ferrous Metals</v>
      </c>
      <c r="K125" s="7" t="str">
        <f>IF('Port Bloomberg'!K125="","",'Port Bloomberg'!K125)</f>
        <v>CL</v>
      </c>
      <c r="L125" s="7" t="str">
        <f>IF('Port Bloomberg'!L125="","",'Port Bloomberg'!L125)</f>
        <v>CL</v>
      </c>
      <c r="M125" s="7" t="str">
        <f>IF('Port Bloomberg'!M125="","",'Port Bloomberg'!M125)</f>
        <v>USD</v>
      </c>
      <c r="N125" s="7">
        <f>IF('Port Bloomberg'!N125="","",'Port Bloomberg'!N125)</f>
        <v>750000</v>
      </c>
      <c r="O125" s="7" t="str">
        <f>IF('Port Bloomberg'!O125="","",'Port Bloomberg'!O125)</f>
        <v>SINGLE</v>
      </c>
      <c r="P125" s="7">
        <f>IF('Port Bloomberg'!P125="","",'Port Bloomberg'!P125)</f>
        <v>4.25</v>
      </c>
      <c r="Q125" s="7" t="str">
        <f>IF('Port Bloomberg'!Q125="","",'Port Bloomberg'!Q125)</f>
        <v>BBB</v>
      </c>
      <c r="R125" s="7" t="str">
        <f>IF('Port Bloomberg'!R125="","",'Port Bloomberg'!R125)</f>
        <v>07/17/2042</v>
      </c>
      <c r="S125" s="5">
        <f>IF(E125="","",IFERROR(IF(MATCH(E125,[1]Instrumentos!$D:$D,0)&gt;0,1,0),0))</f>
        <v>1</v>
      </c>
      <c r="T125" s="5">
        <f>IF(E125="","",IFERROR(IF(MATCH(E125,'Lista de excepciones'!$E:$E,0)&gt;0,1,0),0))</f>
        <v>0</v>
      </c>
      <c r="U125" s="6" t="str">
        <f t="shared" si="2"/>
        <v>NO</v>
      </c>
    </row>
    <row r="126" spans="1:24" hidden="1" x14ac:dyDescent="0.25">
      <c r="A126" s="7" t="str">
        <f>IF('Port Bloomberg'!A126="","",'Port Bloomberg'!A126)</f>
        <v>CDEL 4 ½ 08/01/47</v>
      </c>
      <c r="B126" s="7" t="str">
        <f>IF('Port Bloomberg'!B126="","",'Port Bloomberg'!B126)</f>
        <v>Corp Nacional del Cobre de Chile</v>
      </c>
      <c r="C126" s="7" t="str">
        <f>IF('Port Bloomberg'!C126="","",'Port Bloomberg'!C126)</f>
        <v>CODELCO INC</v>
      </c>
      <c r="D126" s="7" t="str">
        <f>IF('Port Bloomberg'!D126="","",'Port Bloomberg'!D126)</f>
        <v>CODELCO INC</v>
      </c>
      <c r="E126" s="7" t="str">
        <f>IF('Port Bloomberg'!E126="","",'Port Bloomberg'!E126)</f>
        <v>USP3143NAZ70</v>
      </c>
      <c r="F126" s="7" t="str">
        <f>IF('Port Bloomberg'!F126="","",'Port Bloomberg'!F126)</f>
        <v>CDEL</v>
      </c>
      <c r="G126" s="7" t="str">
        <f>IF('Port Bloomberg'!G126="","",'Port Bloomberg'!G126)</f>
        <v>1006Z CI</v>
      </c>
      <c r="H126" s="7" t="str">
        <f>IF('Port Bloomberg'!H126="","",'Port Bloomberg'!H126)</f>
        <v>Mining</v>
      </c>
      <c r="I126" s="7" t="str">
        <f>IF('Port Bloomberg'!I126="","",'Port Bloomberg'!I126)</f>
        <v>FOA</v>
      </c>
      <c r="J126" s="7" t="str">
        <f>IF('Port Bloomberg'!J126="","",'Port Bloomberg'!J126)</f>
        <v>Non-Ferrous Metals</v>
      </c>
      <c r="K126" s="7" t="str">
        <f>IF('Port Bloomberg'!K126="","",'Port Bloomberg'!K126)</f>
        <v>CL</v>
      </c>
      <c r="L126" s="7" t="str">
        <f>IF('Port Bloomberg'!L126="","",'Port Bloomberg'!L126)</f>
        <v>CL</v>
      </c>
      <c r="M126" s="7" t="str">
        <f>IF('Port Bloomberg'!M126="","",'Port Bloomberg'!M126)</f>
        <v>USD</v>
      </c>
      <c r="N126" s="7">
        <f>IF('Port Bloomberg'!N126="","",'Port Bloomberg'!N126)</f>
        <v>1250000</v>
      </c>
      <c r="O126" s="7" t="str">
        <f>IF('Port Bloomberg'!O126="","",'Port Bloomberg'!O126)</f>
        <v>SINGLE</v>
      </c>
      <c r="P126" s="7">
        <f>IF('Port Bloomberg'!P126="","",'Port Bloomberg'!P126)</f>
        <v>4.5</v>
      </c>
      <c r="Q126" s="7" t="str">
        <f>IF('Port Bloomberg'!Q126="","",'Port Bloomberg'!Q126)</f>
        <v>BBB</v>
      </c>
      <c r="R126" s="7" t="str">
        <f>IF('Port Bloomberg'!R126="","",'Port Bloomberg'!R126)</f>
        <v>08/01/2047</v>
      </c>
      <c r="S126" s="5">
        <f>IF(E126="","",IFERROR(IF(MATCH(E126,[1]Instrumentos!$D:$D,0)&gt;0,1,0),0))</f>
        <v>1</v>
      </c>
      <c r="T126" s="5">
        <f>IF(E126="","",IFERROR(IF(MATCH(E126,'Lista de excepciones'!$E:$E,0)&gt;0,1,0),0))</f>
        <v>0</v>
      </c>
      <c r="U126" s="6" t="str">
        <f t="shared" si="2"/>
        <v>NO</v>
      </c>
    </row>
    <row r="127" spans="1:24" hidden="1" x14ac:dyDescent="0.25">
      <c r="A127" s="7" t="str">
        <f>IF('Port Bloomberg'!A127="","",'Port Bloomberg'!A127)</f>
        <v>CDEL 4 ⅜ 02/05/49</v>
      </c>
      <c r="B127" s="7" t="str">
        <f>IF('Port Bloomberg'!B127="","",'Port Bloomberg'!B127)</f>
        <v>Corp Nacional del Cobre de Chile</v>
      </c>
      <c r="C127" s="7" t="str">
        <f>IF('Port Bloomberg'!C127="","",'Port Bloomberg'!C127)</f>
        <v>CODELCO INC</v>
      </c>
      <c r="D127" s="7" t="str">
        <f>IF('Port Bloomberg'!D127="","",'Port Bloomberg'!D127)</f>
        <v>CODELCO INC</v>
      </c>
      <c r="E127" s="7" t="str">
        <f>IF('Port Bloomberg'!E127="","",'Port Bloomberg'!E127)</f>
        <v>USP3143NBB93</v>
      </c>
      <c r="F127" s="7" t="str">
        <f>IF('Port Bloomberg'!F127="","",'Port Bloomberg'!F127)</f>
        <v>CDEL</v>
      </c>
      <c r="G127" s="7" t="str">
        <f>IF('Port Bloomberg'!G127="","",'Port Bloomberg'!G127)</f>
        <v>1006Z CI</v>
      </c>
      <c r="H127" s="7" t="str">
        <f>IF('Port Bloomberg'!H127="","",'Port Bloomberg'!H127)</f>
        <v>Mining</v>
      </c>
      <c r="I127" s="7" t="str">
        <f>IF('Port Bloomberg'!I127="","",'Port Bloomberg'!I127)</f>
        <v>FOA</v>
      </c>
      <c r="J127" s="7" t="str">
        <f>IF('Port Bloomberg'!J127="","",'Port Bloomberg'!J127)</f>
        <v>Non-Ferrous Metals</v>
      </c>
      <c r="K127" s="7" t="str">
        <f>IF('Port Bloomberg'!K127="","",'Port Bloomberg'!K127)</f>
        <v>CL</v>
      </c>
      <c r="L127" s="7" t="str">
        <f>IF('Port Bloomberg'!L127="","",'Port Bloomberg'!L127)</f>
        <v>CL</v>
      </c>
      <c r="M127" s="7" t="str">
        <f>IF('Port Bloomberg'!M127="","",'Port Bloomberg'!M127)</f>
        <v>USD</v>
      </c>
      <c r="N127" s="7">
        <f>IF('Port Bloomberg'!N127="","",'Port Bloomberg'!N127)</f>
        <v>1300000</v>
      </c>
      <c r="O127" s="7" t="str">
        <f>IF('Port Bloomberg'!O127="","",'Port Bloomberg'!O127)</f>
        <v>SINGLE</v>
      </c>
      <c r="P127" s="7">
        <f>IF('Port Bloomberg'!P127="","",'Port Bloomberg'!P127)</f>
        <v>4.375</v>
      </c>
      <c r="Q127" s="7" t="str">
        <f>IF('Port Bloomberg'!Q127="","",'Port Bloomberg'!Q127)</f>
        <v>BBB</v>
      </c>
      <c r="R127" s="7" t="str">
        <f>IF('Port Bloomberg'!R127="","",'Port Bloomberg'!R127)</f>
        <v>02/05/2049</v>
      </c>
      <c r="S127" s="5">
        <f>IF(E127="","",IFERROR(IF(MATCH(E127,[1]Instrumentos!$D:$D,0)&gt;0,1,0),0))</f>
        <v>1</v>
      </c>
      <c r="T127" s="5">
        <f>IF(E127="","",IFERROR(IF(MATCH(E127,'Lista de excepciones'!$E:$E,0)&gt;0,1,0),0))</f>
        <v>0</v>
      </c>
      <c r="U127" s="6" t="str">
        <f t="shared" si="2"/>
        <v>NO</v>
      </c>
      <c r="W127" s="9"/>
      <c r="X127" s="9"/>
    </row>
    <row r="128" spans="1:24" hidden="1" x14ac:dyDescent="0.25">
      <c r="A128" s="7" t="str">
        <f>IF('Port Bloomberg'!A128="","",'Port Bloomberg'!A128)</f>
        <v>CDEL 4 ⅞ 11/04/44</v>
      </c>
      <c r="B128" s="7" t="str">
        <f>IF('Port Bloomberg'!B128="","",'Port Bloomberg'!B128)</f>
        <v>Corp Nacional del Cobre de Chile</v>
      </c>
      <c r="C128" s="7" t="str">
        <f>IF('Port Bloomberg'!C128="","",'Port Bloomberg'!C128)</f>
        <v>CODELCO INC</v>
      </c>
      <c r="D128" s="7" t="str">
        <f>IF('Port Bloomberg'!D128="","",'Port Bloomberg'!D128)</f>
        <v>CODELCO INC</v>
      </c>
      <c r="E128" s="7" t="str">
        <f>IF('Port Bloomberg'!E128="","",'Port Bloomberg'!E128)</f>
        <v>USP3143NAU83</v>
      </c>
      <c r="F128" s="7" t="str">
        <f>IF('Port Bloomberg'!F128="","",'Port Bloomberg'!F128)</f>
        <v>CDEL</v>
      </c>
      <c r="G128" s="7" t="str">
        <f>IF('Port Bloomberg'!G128="","",'Port Bloomberg'!G128)</f>
        <v>1006Z CI</v>
      </c>
      <c r="H128" s="7" t="str">
        <f>IF('Port Bloomberg'!H128="","",'Port Bloomberg'!H128)</f>
        <v>Mining</v>
      </c>
      <c r="I128" s="7" t="str">
        <f>IF('Port Bloomberg'!I128="","",'Port Bloomberg'!I128)</f>
        <v>FOA</v>
      </c>
      <c r="J128" s="7" t="str">
        <f>IF('Port Bloomberg'!J128="","",'Port Bloomberg'!J128)</f>
        <v>Non-Ferrous Metals</v>
      </c>
      <c r="K128" s="7" t="str">
        <f>IF('Port Bloomberg'!K128="","",'Port Bloomberg'!K128)</f>
        <v>CL</v>
      </c>
      <c r="L128" s="7" t="str">
        <f>IF('Port Bloomberg'!L128="","",'Port Bloomberg'!L128)</f>
        <v>CL</v>
      </c>
      <c r="M128" s="7" t="str">
        <f>IF('Port Bloomberg'!M128="","",'Port Bloomberg'!M128)</f>
        <v>USD</v>
      </c>
      <c r="N128" s="7">
        <f>IF('Port Bloomberg'!N128="","",'Port Bloomberg'!N128)</f>
        <v>980000</v>
      </c>
      <c r="O128" s="7" t="str">
        <f>IF('Port Bloomberg'!O128="","",'Port Bloomberg'!O128)</f>
        <v>SINGLE</v>
      </c>
      <c r="P128" s="7">
        <f>IF('Port Bloomberg'!P128="","",'Port Bloomberg'!P128)</f>
        <v>4.875</v>
      </c>
      <c r="Q128" s="7" t="str">
        <f>IF('Port Bloomberg'!Q128="","",'Port Bloomberg'!Q128)</f>
        <v>BBB</v>
      </c>
      <c r="R128" s="7" t="str">
        <f>IF('Port Bloomberg'!R128="","",'Port Bloomberg'!R128)</f>
        <v>11/04/2044</v>
      </c>
      <c r="S128" s="5">
        <f>IF(E128="","",IFERROR(IF(MATCH(E128,[1]Instrumentos!$D:$D,0)&gt;0,1,0),0))</f>
        <v>1</v>
      </c>
      <c r="T128" s="5">
        <f>IF(E128="","",IFERROR(IF(MATCH(E128,'Lista de excepciones'!$E:$E,0)&gt;0,1,0),0))</f>
        <v>0</v>
      </c>
      <c r="U128" s="6" t="str">
        <f t="shared" si="2"/>
        <v>NO</v>
      </c>
    </row>
    <row r="129" spans="1:24" hidden="1" x14ac:dyDescent="0.25">
      <c r="A129" s="7" t="str">
        <f>IF('Port Bloomberg'!A129="","",'Port Bloomberg'!A129)</f>
        <v>CDEL 4.85 05/18/48</v>
      </c>
      <c r="B129" s="7" t="str">
        <f>IF('Port Bloomberg'!B129="","",'Port Bloomberg'!B129)</f>
        <v>Corp Nacional del Cobre de Chile</v>
      </c>
      <c r="C129" s="7" t="str">
        <f>IF('Port Bloomberg'!C129="","",'Port Bloomberg'!C129)</f>
        <v>CODELCO INC</v>
      </c>
      <c r="D129" s="7" t="str">
        <f>IF('Port Bloomberg'!D129="","",'Port Bloomberg'!D129)</f>
        <v>CODELCO INC</v>
      </c>
      <c r="E129" s="7" t="str">
        <f>IF('Port Bloomberg'!E129="","",'Port Bloomberg'!E129)</f>
        <v>XS1798294523</v>
      </c>
      <c r="F129" s="7" t="str">
        <f>IF('Port Bloomberg'!F129="","",'Port Bloomberg'!F129)</f>
        <v>CDEL</v>
      </c>
      <c r="G129" s="7" t="str">
        <f>IF('Port Bloomberg'!G129="","",'Port Bloomberg'!G129)</f>
        <v>1006Z CI</v>
      </c>
      <c r="H129" s="7" t="str">
        <f>IF('Port Bloomberg'!H129="","",'Port Bloomberg'!H129)</f>
        <v>Mining</v>
      </c>
      <c r="I129" s="7" t="str">
        <f>IF('Port Bloomberg'!I129="","",'Port Bloomberg'!I129)</f>
        <v>FOA</v>
      </c>
      <c r="J129" s="7" t="str">
        <f>IF('Port Bloomberg'!J129="","",'Port Bloomberg'!J129)</f>
        <v>Non-Ferrous Metals</v>
      </c>
      <c r="K129" s="7" t="str">
        <f>IF('Port Bloomberg'!K129="","",'Port Bloomberg'!K129)</f>
        <v>CL</v>
      </c>
      <c r="L129" s="7" t="str">
        <f>IF('Port Bloomberg'!L129="","",'Port Bloomberg'!L129)</f>
        <v>CL</v>
      </c>
      <c r="M129" s="7" t="str">
        <f>IF('Port Bloomberg'!M129="","",'Port Bloomberg'!M129)</f>
        <v>USD</v>
      </c>
      <c r="N129" s="7">
        <f>IF('Port Bloomberg'!N129="","",'Port Bloomberg'!N129)</f>
        <v>600000</v>
      </c>
      <c r="O129" s="7" t="str">
        <f>IF('Port Bloomberg'!O129="","",'Port Bloomberg'!O129)</f>
        <v>SINGLE</v>
      </c>
      <c r="P129" s="7">
        <f>IF('Port Bloomberg'!P129="","",'Port Bloomberg'!P129)</f>
        <v>4.8499999999999996</v>
      </c>
      <c r="Q129" s="7" t="str">
        <f>IF('Port Bloomberg'!Q129="","",'Port Bloomberg'!Q129)</f>
        <v/>
      </c>
      <c r="R129" s="7" t="str">
        <f>IF('Port Bloomberg'!R129="","",'Port Bloomberg'!R129)</f>
        <v>05/18/2048</v>
      </c>
      <c r="S129" s="5">
        <f>IF(E129="","",IFERROR(IF(MATCH(E129,[1]Instrumentos!$D:$D,0)&gt;0,1,0),0))</f>
        <v>0</v>
      </c>
      <c r="T129" s="5">
        <f>IF(E129="","",IFERROR(IF(MATCH(E129,'Lista de excepciones'!$E:$E,0)&gt;0,1,0),0))</f>
        <v>1</v>
      </c>
      <c r="U129" s="6" t="str">
        <f t="shared" si="2"/>
        <v>NO</v>
      </c>
      <c r="W129" s="9"/>
      <c r="X129" s="9"/>
    </row>
    <row r="130" spans="1:24" hidden="1" x14ac:dyDescent="0.25">
      <c r="A130" s="7" t="str">
        <f>IF('Port Bloomberg'!A130="","",'Port Bloomberg'!A130)</f>
        <v>CDEL 5 ⅛ 02/02/33</v>
      </c>
      <c r="B130" s="7" t="str">
        <f>IF('Port Bloomberg'!B130="","",'Port Bloomberg'!B130)</f>
        <v>Corp Nacional del Cobre de Chile</v>
      </c>
      <c r="C130" s="7" t="str">
        <f>IF('Port Bloomberg'!C130="","",'Port Bloomberg'!C130)</f>
        <v>CODELCO INC</v>
      </c>
      <c r="D130" s="7" t="str">
        <f>IF('Port Bloomberg'!D130="","",'Port Bloomberg'!D130)</f>
        <v>CODELCO INC</v>
      </c>
      <c r="E130" s="7" t="str">
        <f>IF('Port Bloomberg'!E130="","",'Port Bloomberg'!E130)</f>
        <v>USP3143NBP89</v>
      </c>
      <c r="F130" s="7" t="str">
        <f>IF('Port Bloomberg'!F130="","",'Port Bloomberg'!F130)</f>
        <v>CDEL</v>
      </c>
      <c r="G130" s="7" t="str">
        <f>IF('Port Bloomberg'!G130="","",'Port Bloomberg'!G130)</f>
        <v>1006Z CI</v>
      </c>
      <c r="H130" s="7" t="str">
        <f>IF('Port Bloomberg'!H130="","",'Port Bloomberg'!H130)</f>
        <v>Mining</v>
      </c>
      <c r="I130" s="7" t="str">
        <f>IF('Port Bloomberg'!I130="","",'Port Bloomberg'!I130)</f>
        <v>FOA</v>
      </c>
      <c r="J130" s="7" t="str">
        <f>IF('Port Bloomberg'!J130="","",'Port Bloomberg'!J130)</f>
        <v>Non-Ferrous Metals</v>
      </c>
      <c r="K130" s="7" t="str">
        <f>IF('Port Bloomberg'!K130="","",'Port Bloomberg'!K130)</f>
        <v>CL</v>
      </c>
      <c r="L130" s="7" t="str">
        <f>IF('Port Bloomberg'!L130="","",'Port Bloomberg'!L130)</f>
        <v>CL</v>
      </c>
      <c r="M130" s="7" t="str">
        <f>IF('Port Bloomberg'!M130="","",'Port Bloomberg'!M130)</f>
        <v>USD</v>
      </c>
      <c r="N130" s="7">
        <f>IF('Port Bloomberg'!N130="","",'Port Bloomberg'!N130)</f>
        <v>900000</v>
      </c>
      <c r="O130" s="7" t="str">
        <f>IF('Port Bloomberg'!O130="","",'Port Bloomberg'!O130)</f>
        <v>SINGLE</v>
      </c>
      <c r="P130" s="7">
        <f>IF('Port Bloomberg'!P130="","",'Port Bloomberg'!P130)</f>
        <v>5.125</v>
      </c>
      <c r="Q130" s="7" t="str">
        <f>IF('Port Bloomberg'!Q130="","",'Port Bloomberg'!Q130)</f>
        <v>BBB</v>
      </c>
      <c r="R130" s="7" t="str">
        <f>IF('Port Bloomberg'!R130="","",'Port Bloomberg'!R130)</f>
        <v>02/02/2033</v>
      </c>
      <c r="S130" s="5">
        <f>IF(E130="","",IFERROR(IF(MATCH(E130,[1]Instrumentos!$D:$D,0)&gt;0,1,0),0))</f>
        <v>1</v>
      </c>
      <c r="T130" s="5">
        <f>IF(E130="","",IFERROR(IF(MATCH(E130,'Lista de excepciones'!$E:$E,0)&gt;0,1,0),0))</f>
        <v>0</v>
      </c>
      <c r="U130" s="6" t="str">
        <f t="shared" si="2"/>
        <v>NO</v>
      </c>
    </row>
    <row r="131" spans="1:24" hidden="1" x14ac:dyDescent="0.25">
      <c r="A131" s="7" t="str">
        <f>IF('Port Bloomberg'!A131="","",'Port Bloomberg'!A131)</f>
        <v>CDEL 5 ⅝ 09/21/35</v>
      </c>
      <c r="B131" s="7" t="str">
        <f>IF('Port Bloomberg'!B131="","",'Port Bloomberg'!B131)</f>
        <v>Corp Nacional del Cobre de Chile</v>
      </c>
      <c r="C131" s="7" t="str">
        <f>IF('Port Bloomberg'!C131="","",'Port Bloomberg'!C131)</f>
        <v>CODELCO INC</v>
      </c>
      <c r="D131" s="7" t="str">
        <f>IF('Port Bloomberg'!D131="","",'Port Bloomberg'!D131)</f>
        <v>CODELCO INC</v>
      </c>
      <c r="E131" s="7" t="str">
        <f>IF('Port Bloomberg'!E131="","",'Port Bloomberg'!E131)</f>
        <v>USP3143NAG99</v>
      </c>
      <c r="F131" s="7" t="str">
        <f>IF('Port Bloomberg'!F131="","",'Port Bloomberg'!F131)</f>
        <v>CDEL</v>
      </c>
      <c r="G131" s="7" t="str">
        <f>IF('Port Bloomberg'!G131="","",'Port Bloomberg'!G131)</f>
        <v>1006Z CI</v>
      </c>
      <c r="H131" s="7" t="str">
        <f>IF('Port Bloomberg'!H131="","",'Port Bloomberg'!H131)</f>
        <v>Mining</v>
      </c>
      <c r="I131" s="7" t="str">
        <f>IF('Port Bloomberg'!I131="","",'Port Bloomberg'!I131)</f>
        <v>FOA</v>
      </c>
      <c r="J131" s="7" t="str">
        <f>IF('Port Bloomberg'!J131="","",'Port Bloomberg'!J131)</f>
        <v>Non-Ferrous Metals</v>
      </c>
      <c r="K131" s="7" t="str">
        <f>IF('Port Bloomberg'!K131="","",'Port Bloomberg'!K131)</f>
        <v>CL</v>
      </c>
      <c r="L131" s="7" t="str">
        <f>IF('Port Bloomberg'!L131="","",'Port Bloomberg'!L131)</f>
        <v>CL</v>
      </c>
      <c r="M131" s="7" t="str">
        <f>IF('Port Bloomberg'!M131="","",'Port Bloomberg'!M131)</f>
        <v>USD</v>
      </c>
      <c r="N131" s="7">
        <f>IF('Port Bloomberg'!N131="","",'Port Bloomberg'!N131)</f>
        <v>500000</v>
      </c>
      <c r="O131" s="7" t="str">
        <f>IF('Port Bloomberg'!O131="","",'Port Bloomberg'!O131)</f>
        <v>SINGLE</v>
      </c>
      <c r="P131" s="7">
        <f>IF('Port Bloomberg'!P131="","",'Port Bloomberg'!P131)</f>
        <v>5.625</v>
      </c>
      <c r="Q131" s="7" t="str">
        <f>IF('Port Bloomberg'!Q131="","",'Port Bloomberg'!Q131)</f>
        <v>BBB</v>
      </c>
      <c r="R131" s="7" t="str">
        <f>IF('Port Bloomberg'!R131="","",'Port Bloomberg'!R131)</f>
        <v>09/21/2035</v>
      </c>
      <c r="S131" s="5">
        <f>IF(E131="","",IFERROR(IF(MATCH(E131,[1]Instrumentos!$D:$D,0)&gt;0,1,0),0))</f>
        <v>1</v>
      </c>
      <c r="T131" s="5">
        <f>IF(E131="","",IFERROR(IF(MATCH(E131,'Lista de excepciones'!$E:$E,0)&gt;0,1,0),0))</f>
        <v>0</v>
      </c>
      <c r="U131" s="6" t="str">
        <f t="shared" ref="U131:U194" si="3">IF(E131="","",IF(S131+T131=0,"AGREGAR/REVISAR","NO"))</f>
        <v>NO</v>
      </c>
    </row>
    <row r="132" spans="1:24" hidden="1" x14ac:dyDescent="0.25">
      <c r="A132" s="7" t="str">
        <f>IF('Port Bloomberg'!A132="","",'Port Bloomberg'!A132)</f>
        <v>CDEL 5 ⅝ 10/18/43</v>
      </c>
      <c r="B132" s="7" t="str">
        <f>IF('Port Bloomberg'!B132="","",'Port Bloomberg'!B132)</f>
        <v>Corp Nacional del Cobre de Chile</v>
      </c>
      <c r="C132" s="7" t="str">
        <f>IF('Port Bloomberg'!C132="","",'Port Bloomberg'!C132)</f>
        <v>CODELCO INC</v>
      </c>
      <c r="D132" s="7" t="str">
        <f>IF('Port Bloomberg'!D132="","",'Port Bloomberg'!D132)</f>
        <v>CODELCO INC</v>
      </c>
      <c r="E132" s="7" t="str">
        <f>IF('Port Bloomberg'!E132="","",'Port Bloomberg'!E132)</f>
        <v>USP3143NAS38</v>
      </c>
      <c r="F132" s="7" t="str">
        <f>IF('Port Bloomberg'!F132="","",'Port Bloomberg'!F132)</f>
        <v>CDEL</v>
      </c>
      <c r="G132" s="7" t="str">
        <f>IF('Port Bloomberg'!G132="","",'Port Bloomberg'!G132)</f>
        <v>1006Z CI</v>
      </c>
      <c r="H132" s="7" t="str">
        <f>IF('Port Bloomberg'!H132="","",'Port Bloomberg'!H132)</f>
        <v>Mining</v>
      </c>
      <c r="I132" s="7" t="str">
        <f>IF('Port Bloomberg'!I132="","",'Port Bloomberg'!I132)</f>
        <v>FOA</v>
      </c>
      <c r="J132" s="7" t="str">
        <f>IF('Port Bloomberg'!J132="","",'Port Bloomberg'!J132)</f>
        <v>Non-Ferrous Metals</v>
      </c>
      <c r="K132" s="7" t="str">
        <f>IF('Port Bloomberg'!K132="","",'Port Bloomberg'!K132)</f>
        <v>CL</v>
      </c>
      <c r="L132" s="7" t="str">
        <f>IF('Port Bloomberg'!L132="","",'Port Bloomberg'!L132)</f>
        <v>CL</v>
      </c>
      <c r="M132" s="7" t="str">
        <f>IF('Port Bloomberg'!M132="","",'Port Bloomberg'!M132)</f>
        <v>USD</v>
      </c>
      <c r="N132" s="7">
        <f>IF('Port Bloomberg'!N132="","",'Port Bloomberg'!N132)</f>
        <v>950000</v>
      </c>
      <c r="O132" s="7" t="str">
        <f>IF('Port Bloomberg'!O132="","",'Port Bloomberg'!O132)</f>
        <v>SINGLE</v>
      </c>
      <c r="P132" s="7">
        <f>IF('Port Bloomberg'!P132="","",'Port Bloomberg'!P132)</f>
        <v>5.625</v>
      </c>
      <c r="Q132" s="7" t="str">
        <f>IF('Port Bloomberg'!Q132="","",'Port Bloomberg'!Q132)</f>
        <v>BBB</v>
      </c>
      <c r="R132" s="7" t="str">
        <f>IF('Port Bloomberg'!R132="","",'Port Bloomberg'!R132)</f>
        <v>10/18/2043</v>
      </c>
      <c r="S132" s="5">
        <f>IF(E132="","",IFERROR(IF(MATCH(E132,[1]Instrumentos!$D:$D,0)&gt;0,1,0),0))</f>
        <v>1</v>
      </c>
      <c r="T132" s="5">
        <f>IF(E132="","",IFERROR(IF(MATCH(E132,'Lista de excepciones'!$E:$E,0)&gt;0,1,0),0))</f>
        <v>0</v>
      </c>
      <c r="U132" s="6" t="str">
        <f t="shared" si="3"/>
        <v>NO</v>
      </c>
    </row>
    <row r="133" spans="1:24" hidden="1" x14ac:dyDescent="0.25">
      <c r="A133" s="7" t="str">
        <f>IF('Port Bloomberg'!A133="","",'Port Bloomberg'!A133)</f>
        <v>CDEL 5.529 01/30/37</v>
      </c>
      <c r="B133" s="7" t="str">
        <f>IF('Port Bloomberg'!B133="","",'Port Bloomberg'!B133)</f>
        <v>Corp Nacional del Cobre de Chile</v>
      </c>
      <c r="C133" s="7" t="str">
        <f>IF('Port Bloomberg'!C133="","",'Port Bloomberg'!C133)</f>
        <v>CODELCO INC</v>
      </c>
      <c r="D133" s="7" t="str">
        <f>IF('Port Bloomberg'!D133="","",'Port Bloomberg'!D133)</f>
        <v>CODELCO INC</v>
      </c>
      <c r="E133" s="7" t="str">
        <f>IF('Port Bloomberg'!E133="","",'Port Bloomberg'!E133)</f>
        <v>USP3143NBZ61</v>
      </c>
      <c r="F133" s="7" t="str">
        <f>IF('Port Bloomberg'!F133="","",'Port Bloomberg'!F133)</f>
        <v>CDEL</v>
      </c>
      <c r="G133" s="7" t="str">
        <f>IF('Port Bloomberg'!G133="","",'Port Bloomberg'!G133)</f>
        <v>1006Z CI</v>
      </c>
      <c r="H133" s="7" t="str">
        <f>IF('Port Bloomberg'!H133="","",'Port Bloomberg'!H133)</f>
        <v>Mining</v>
      </c>
      <c r="I133" s="7" t="str">
        <f>IF('Port Bloomberg'!I133="","",'Port Bloomberg'!I133)</f>
        <v>FOA</v>
      </c>
      <c r="J133" s="7" t="str">
        <f>IF('Port Bloomberg'!J133="","",'Port Bloomberg'!J133)</f>
        <v>Non-Ferrous Metals</v>
      </c>
      <c r="K133" s="7" t="str">
        <f>IF('Port Bloomberg'!K133="","",'Port Bloomberg'!K133)</f>
        <v>CL</v>
      </c>
      <c r="L133" s="7" t="str">
        <f>IF('Port Bloomberg'!L133="","",'Port Bloomberg'!L133)</f>
        <v>CL</v>
      </c>
      <c r="M133" s="7" t="str">
        <f>IF('Port Bloomberg'!M133="","",'Port Bloomberg'!M133)</f>
        <v>USD</v>
      </c>
      <c r="N133" s="7">
        <f>IF('Port Bloomberg'!N133="","",'Port Bloomberg'!N133)</f>
        <v>1000000</v>
      </c>
      <c r="O133" s="7" t="str">
        <f>IF('Port Bloomberg'!O133="","",'Port Bloomberg'!O133)</f>
        <v>SINGLE</v>
      </c>
      <c r="P133" s="7">
        <f>IF('Port Bloomberg'!P133="","",'Port Bloomberg'!P133)</f>
        <v>5.5289999999999999</v>
      </c>
      <c r="Q133" s="7" t="str">
        <f>IF('Port Bloomberg'!Q133="","",'Port Bloomberg'!Q133)</f>
        <v>BBB</v>
      </c>
      <c r="R133" s="7" t="str">
        <f>IF('Port Bloomberg'!R133="","",'Port Bloomberg'!R133)</f>
        <v>01/30/2037</v>
      </c>
      <c r="S133" s="5">
        <f>IF(E133="","",IFERROR(IF(MATCH(E133,[1]Instrumentos!$D:$D,0)&gt;0,1,0),0))</f>
        <v>1</v>
      </c>
      <c r="T133" s="5">
        <f>IF(E133="","",IFERROR(IF(MATCH(E133,'Lista de excepciones'!$E:$E,0)&gt;0,1,0),0))</f>
        <v>0</v>
      </c>
      <c r="U133" s="6" t="str">
        <f t="shared" si="3"/>
        <v>NO</v>
      </c>
    </row>
    <row r="134" spans="1:24" hidden="1" x14ac:dyDescent="0.25">
      <c r="A134" s="7" t="str">
        <f>IF('Port Bloomberg'!A134="","",'Port Bloomberg'!A134)</f>
        <v>CDEL 5.95 01/08/34</v>
      </c>
      <c r="B134" s="7" t="str">
        <f>IF('Port Bloomberg'!B134="","",'Port Bloomberg'!B134)</f>
        <v>Corp Nacional del Cobre de Chile</v>
      </c>
      <c r="C134" s="7" t="str">
        <f>IF('Port Bloomberg'!C134="","",'Port Bloomberg'!C134)</f>
        <v>CODELCO INC</v>
      </c>
      <c r="D134" s="7" t="str">
        <f>IF('Port Bloomberg'!D134="","",'Port Bloomberg'!D134)</f>
        <v>CODELCO INC</v>
      </c>
      <c r="E134" s="7" t="str">
        <f>IF('Port Bloomberg'!E134="","",'Port Bloomberg'!E134)</f>
        <v>USP3143NBQ62</v>
      </c>
      <c r="F134" s="7" t="str">
        <f>IF('Port Bloomberg'!F134="","",'Port Bloomberg'!F134)</f>
        <v>CDEL</v>
      </c>
      <c r="G134" s="7" t="str">
        <f>IF('Port Bloomberg'!G134="","",'Port Bloomberg'!G134)</f>
        <v>1006Z CI</v>
      </c>
      <c r="H134" s="7" t="str">
        <f>IF('Port Bloomberg'!H134="","",'Port Bloomberg'!H134)</f>
        <v>Mining</v>
      </c>
      <c r="I134" s="7" t="str">
        <f>IF('Port Bloomberg'!I134="","",'Port Bloomberg'!I134)</f>
        <v>FOA</v>
      </c>
      <c r="J134" s="7" t="str">
        <f>IF('Port Bloomberg'!J134="","",'Port Bloomberg'!J134)</f>
        <v>Non-Ferrous Metals</v>
      </c>
      <c r="K134" s="7" t="str">
        <f>IF('Port Bloomberg'!K134="","",'Port Bloomberg'!K134)</f>
        <v>CL</v>
      </c>
      <c r="L134" s="7" t="str">
        <f>IF('Port Bloomberg'!L134="","",'Port Bloomberg'!L134)</f>
        <v>CL</v>
      </c>
      <c r="M134" s="7" t="str">
        <f>IF('Port Bloomberg'!M134="","",'Port Bloomberg'!M134)</f>
        <v>USD</v>
      </c>
      <c r="N134" s="7">
        <f>IF('Port Bloomberg'!N134="","",'Port Bloomberg'!N134)</f>
        <v>1300000</v>
      </c>
      <c r="O134" s="7" t="str">
        <f>IF('Port Bloomberg'!O134="","",'Port Bloomberg'!O134)</f>
        <v>SINGLE</v>
      </c>
      <c r="P134" s="7">
        <f>IF('Port Bloomberg'!P134="","",'Port Bloomberg'!P134)</f>
        <v>5.95</v>
      </c>
      <c r="Q134" s="7" t="str">
        <f>IF('Port Bloomberg'!Q134="","",'Port Bloomberg'!Q134)</f>
        <v>BBB</v>
      </c>
      <c r="R134" s="7" t="str">
        <f>IF('Port Bloomberg'!R134="","",'Port Bloomberg'!R134)</f>
        <v>01/08/2034</v>
      </c>
      <c r="S134" s="5">
        <f>IF(E134="","",IFERROR(IF(MATCH(E134,[1]Instrumentos!$D:$D,0)&gt;0,1,0),0))</f>
        <v>1</v>
      </c>
      <c r="T134" s="5">
        <f>IF(E134="","",IFERROR(IF(MATCH(E134,'Lista de excepciones'!$E:$E,0)&gt;0,1,0),0))</f>
        <v>0</v>
      </c>
      <c r="U134" s="6" t="str">
        <f t="shared" si="3"/>
        <v>NO</v>
      </c>
    </row>
    <row r="135" spans="1:24" hidden="1" x14ac:dyDescent="0.25">
      <c r="A135" s="7" t="str">
        <f>IF('Port Bloomberg'!A135="","",'Port Bloomberg'!A135)</f>
        <v>CDEL 6.15 10/24/36</v>
      </c>
      <c r="B135" s="7" t="str">
        <f>IF('Port Bloomberg'!B135="","",'Port Bloomberg'!B135)</f>
        <v>Corp Nacional del Cobre de Chile</v>
      </c>
      <c r="C135" s="7" t="str">
        <f>IF('Port Bloomberg'!C135="","",'Port Bloomberg'!C135)</f>
        <v>CODELCO INC</v>
      </c>
      <c r="D135" s="7" t="str">
        <f>IF('Port Bloomberg'!D135="","",'Port Bloomberg'!D135)</f>
        <v>CODELCO INC</v>
      </c>
      <c r="E135" s="7" t="str">
        <f>IF('Port Bloomberg'!E135="","",'Port Bloomberg'!E135)</f>
        <v>USP3143NAH72</v>
      </c>
      <c r="F135" s="7" t="str">
        <f>IF('Port Bloomberg'!F135="","",'Port Bloomberg'!F135)</f>
        <v>CDEL</v>
      </c>
      <c r="G135" s="7" t="str">
        <f>IF('Port Bloomberg'!G135="","",'Port Bloomberg'!G135)</f>
        <v>1006Z CI</v>
      </c>
      <c r="H135" s="7" t="str">
        <f>IF('Port Bloomberg'!H135="","",'Port Bloomberg'!H135)</f>
        <v>Mining</v>
      </c>
      <c r="I135" s="7" t="str">
        <f>IF('Port Bloomberg'!I135="","",'Port Bloomberg'!I135)</f>
        <v>FOA</v>
      </c>
      <c r="J135" s="7" t="str">
        <f>IF('Port Bloomberg'!J135="","",'Port Bloomberg'!J135)</f>
        <v>Non-Ferrous Metals</v>
      </c>
      <c r="K135" s="7" t="str">
        <f>IF('Port Bloomberg'!K135="","",'Port Bloomberg'!K135)</f>
        <v>CL</v>
      </c>
      <c r="L135" s="7" t="str">
        <f>IF('Port Bloomberg'!L135="","",'Port Bloomberg'!L135)</f>
        <v>CL</v>
      </c>
      <c r="M135" s="7" t="str">
        <f>IF('Port Bloomberg'!M135="","",'Port Bloomberg'!M135)</f>
        <v>USD</v>
      </c>
      <c r="N135" s="7">
        <f>IF('Port Bloomberg'!N135="","",'Port Bloomberg'!N135)</f>
        <v>500000</v>
      </c>
      <c r="O135" s="7" t="str">
        <f>IF('Port Bloomberg'!O135="","",'Port Bloomberg'!O135)</f>
        <v>SINGLE</v>
      </c>
      <c r="P135" s="7">
        <f>IF('Port Bloomberg'!P135="","",'Port Bloomberg'!P135)</f>
        <v>6.15</v>
      </c>
      <c r="Q135" s="7" t="str">
        <f>IF('Port Bloomberg'!Q135="","",'Port Bloomberg'!Q135)</f>
        <v>BBB</v>
      </c>
      <c r="R135" s="7" t="str">
        <f>IF('Port Bloomberg'!R135="","",'Port Bloomberg'!R135)</f>
        <v>10/24/2036</v>
      </c>
      <c r="S135" s="5">
        <f>IF(E135="","",IFERROR(IF(MATCH(E135,[1]Instrumentos!$D:$D,0)&gt;0,1,0),0))</f>
        <v>1</v>
      </c>
      <c r="T135" s="5">
        <f>IF(E135="","",IFERROR(IF(MATCH(E135,'Lista de excepciones'!$E:$E,0)&gt;0,1,0),0))</f>
        <v>0</v>
      </c>
      <c r="U135" s="6" t="str">
        <f t="shared" si="3"/>
        <v>NO</v>
      </c>
    </row>
    <row r="136" spans="1:24" hidden="1" x14ac:dyDescent="0.25">
      <c r="A136" s="7" t="str">
        <f>IF('Port Bloomberg'!A136="","",'Port Bloomberg'!A136)</f>
        <v>CDEL 6.3 09/08/53</v>
      </c>
      <c r="B136" s="7" t="str">
        <f>IF('Port Bloomberg'!B136="","",'Port Bloomberg'!B136)</f>
        <v>Corp Nacional del Cobre de Chile</v>
      </c>
      <c r="C136" s="7" t="str">
        <f>IF('Port Bloomberg'!C136="","",'Port Bloomberg'!C136)</f>
        <v>CODELCO INC</v>
      </c>
      <c r="D136" s="7" t="str">
        <f>IF('Port Bloomberg'!D136="","",'Port Bloomberg'!D136)</f>
        <v>CODELCO INC</v>
      </c>
      <c r="E136" s="7" t="str">
        <f>IF('Port Bloomberg'!E136="","",'Port Bloomberg'!E136)</f>
        <v>USP3143NBR46</v>
      </c>
      <c r="F136" s="7" t="str">
        <f>IF('Port Bloomberg'!F136="","",'Port Bloomberg'!F136)</f>
        <v>CDEL</v>
      </c>
      <c r="G136" s="7" t="str">
        <f>IF('Port Bloomberg'!G136="","",'Port Bloomberg'!G136)</f>
        <v>1006Z CI</v>
      </c>
      <c r="H136" s="7" t="str">
        <f>IF('Port Bloomberg'!H136="","",'Port Bloomberg'!H136)</f>
        <v>Mining</v>
      </c>
      <c r="I136" s="7" t="str">
        <f>IF('Port Bloomberg'!I136="","",'Port Bloomberg'!I136)</f>
        <v>FOA</v>
      </c>
      <c r="J136" s="7" t="str">
        <f>IF('Port Bloomberg'!J136="","",'Port Bloomberg'!J136)</f>
        <v>Non-Ferrous Metals</v>
      </c>
      <c r="K136" s="7" t="str">
        <f>IF('Port Bloomberg'!K136="","",'Port Bloomberg'!K136)</f>
        <v>CL</v>
      </c>
      <c r="L136" s="7" t="str">
        <f>IF('Port Bloomberg'!L136="","",'Port Bloomberg'!L136)</f>
        <v>CL</v>
      </c>
      <c r="M136" s="7" t="str">
        <f>IF('Port Bloomberg'!M136="","",'Port Bloomberg'!M136)</f>
        <v>USD</v>
      </c>
      <c r="N136" s="7">
        <f>IF('Port Bloomberg'!N136="","",'Port Bloomberg'!N136)</f>
        <v>1450000</v>
      </c>
      <c r="O136" s="7" t="str">
        <f>IF('Port Bloomberg'!O136="","",'Port Bloomberg'!O136)</f>
        <v>SINGLE</v>
      </c>
      <c r="P136" s="7">
        <f>IF('Port Bloomberg'!P136="","",'Port Bloomberg'!P136)</f>
        <v>6.3</v>
      </c>
      <c r="Q136" s="7" t="str">
        <f>IF('Port Bloomberg'!Q136="","",'Port Bloomberg'!Q136)</f>
        <v>BBB</v>
      </c>
      <c r="R136" s="7" t="str">
        <f>IF('Port Bloomberg'!R136="","",'Port Bloomberg'!R136)</f>
        <v>09/08/2053</v>
      </c>
      <c r="S136" s="5">
        <f>IF(E136="","",IFERROR(IF(MATCH(E136,[1]Instrumentos!$D:$D,0)&gt;0,1,0),0))</f>
        <v>1</v>
      </c>
      <c r="T136" s="5">
        <f>IF(E136="","",IFERROR(IF(MATCH(E136,'Lista de excepciones'!$E:$E,0)&gt;0,1,0),0))</f>
        <v>0</v>
      </c>
      <c r="U136" s="6" t="str">
        <f t="shared" si="3"/>
        <v>NO</v>
      </c>
    </row>
    <row r="137" spans="1:24" hidden="1" x14ac:dyDescent="0.25">
      <c r="A137" s="7" t="str">
        <f>IF('Port Bloomberg'!A137="","",'Port Bloomberg'!A137)</f>
        <v>CDEL 6.33 01/13/35</v>
      </c>
      <c r="B137" s="7" t="str">
        <f>IF('Port Bloomberg'!B137="","",'Port Bloomberg'!B137)</f>
        <v>Corp Nacional del Cobre de Chile</v>
      </c>
      <c r="C137" s="7" t="str">
        <f>IF('Port Bloomberg'!C137="","",'Port Bloomberg'!C137)</f>
        <v>CODELCO INC</v>
      </c>
      <c r="D137" s="7" t="str">
        <f>IF('Port Bloomberg'!D137="","",'Port Bloomberg'!D137)</f>
        <v>CODELCO INC</v>
      </c>
      <c r="E137" s="7" t="str">
        <f>IF('Port Bloomberg'!E137="","",'Port Bloomberg'!E137)</f>
        <v>USP3143NBV57</v>
      </c>
      <c r="F137" s="7" t="str">
        <f>IF('Port Bloomberg'!F137="","",'Port Bloomberg'!F137)</f>
        <v>CDEL</v>
      </c>
      <c r="G137" s="7" t="str">
        <f>IF('Port Bloomberg'!G137="","",'Port Bloomberg'!G137)</f>
        <v>1006Z CI</v>
      </c>
      <c r="H137" s="7" t="str">
        <f>IF('Port Bloomberg'!H137="","",'Port Bloomberg'!H137)</f>
        <v>Mining</v>
      </c>
      <c r="I137" s="7" t="str">
        <f>IF('Port Bloomberg'!I137="","",'Port Bloomberg'!I137)</f>
        <v>FOA</v>
      </c>
      <c r="J137" s="7" t="str">
        <f>IF('Port Bloomberg'!J137="","",'Port Bloomberg'!J137)</f>
        <v>Non-Ferrous Metals</v>
      </c>
      <c r="K137" s="7" t="str">
        <f>IF('Port Bloomberg'!K137="","",'Port Bloomberg'!K137)</f>
        <v>CL</v>
      </c>
      <c r="L137" s="7" t="str">
        <f>IF('Port Bloomberg'!L137="","",'Port Bloomberg'!L137)</f>
        <v>CL</v>
      </c>
      <c r="M137" s="7" t="str">
        <f>IF('Port Bloomberg'!M137="","",'Port Bloomberg'!M137)</f>
        <v>USD</v>
      </c>
      <c r="N137" s="7">
        <f>IF('Port Bloomberg'!N137="","",'Port Bloomberg'!N137)</f>
        <v>1450000</v>
      </c>
      <c r="O137" s="7" t="str">
        <f>IF('Port Bloomberg'!O137="","",'Port Bloomberg'!O137)</f>
        <v>SINGLE</v>
      </c>
      <c r="P137" s="7">
        <f>IF('Port Bloomberg'!P137="","",'Port Bloomberg'!P137)</f>
        <v>6.33</v>
      </c>
      <c r="Q137" s="7" t="str">
        <f>IF('Port Bloomberg'!Q137="","",'Port Bloomberg'!Q137)</f>
        <v>BBB</v>
      </c>
      <c r="R137" s="7" t="str">
        <f>IF('Port Bloomberg'!R137="","",'Port Bloomberg'!R137)</f>
        <v>01/13/2035</v>
      </c>
      <c r="S137" s="5">
        <f>IF(E137="","",IFERROR(IF(MATCH(E137,[1]Instrumentos!$D:$D,0)&gt;0,1,0),0))</f>
        <v>1</v>
      </c>
      <c r="T137" s="5">
        <f>IF(E137="","",IFERROR(IF(MATCH(E137,'Lista de excepciones'!$E:$E,0)&gt;0,1,0),0))</f>
        <v>0</v>
      </c>
      <c r="U137" s="6" t="str">
        <f t="shared" si="3"/>
        <v>NO</v>
      </c>
    </row>
    <row r="138" spans="1:24" hidden="1" x14ac:dyDescent="0.25">
      <c r="A138" s="7" t="str">
        <f>IF('Port Bloomberg'!A138="","",'Port Bloomberg'!A138)</f>
        <v>CDEL 6.44 01/26/36</v>
      </c>
      <c r="B138" s="7" t="str">
        <f>IF('Port Bloomberg'!B138="","",'Port Bloomberg'!B138)</f>
        <v>Corp Nacional del Cobre de Chile</v>
      </c>
      <c r="C138" s="7" t="str">
        <f>IF('Port Bloomberg'!C138="","",'Port Bloomberg'!C138)</f>
        <v>CODELCO INC</v>
      </c>
      <c r="D138" s="7" t="str">
        <f>IF('Port Bloomberg'!D138="","",'Port Bloomberg'!D138)</f>
        <v>CODELCO INC</v>
      </c>
      <c r="E138" s="7" t="str">
        <f>IF('Port Bloomberg'!E138="","",'Port Bloomberg'!E138)</f>
        <v>USP3143NBT02</v>
      </c>
      <c r="F138" s="7" t="str">
        <f>IF('Port Bloomberg'!F138="","",'Port Bloomberg'!F138)</f>
        <v>CDEL</v>
      </c>
      <c r="G138" s="7" t="str">
        <f>IF('Port Bloomberg'!G138="","",'Port Bloomberg'!G138)</f>
        <v>1006Z CI</v>
      </c>
      <c r="H138" s="7" t="str">
        <f>IF('Port Bloomberg'!H138="","",'Port Bloomberg'!H138)</f>
        <v>Mining</v>
      </c>
      <c r="I138" s="7" t="str">
        <f>IF('Port Bloomberg'!I138="","",'Port Bloomberg'!I138)</f>
        <v>FOA</v>
      </c>
      <c r="J138" s="7" t="str">
        <f>IF('Port Bloomberg'!J138="","",'Port Bloomberg'!J138)</f>
        <v>Non-Ferrous Metals</v>
      </c>
      <c r="K138" s="7" t="str">
        <f>IF('Port Bloomberg'!K138="","",'Port Bloomberg'!K138)</f>
        <v>CL</v>
      </c>
      <c r="L138" s="7" t="str">
        <f>IF('Port Bloomberg'!L138="","",'Port Bloomberg'!L138)</f>
        <v>CL</v>
      </c>
      <c r="M138" s="7" t="str">
        <f>IF('Port Bloomberg'!M138="","",'Port Bloomberg'!M138)</f>
        <v>USD</v>
      </c>
      <c r="N138" s="7">
        <f>IF('Port Bloomberg'!N138="","",'Port Bloomberg'!N138)</f>
        <v>1500000</v>
      </c>
      <c r="O138" s="7" t="str">
        <f>IF('Port Bloomberg'!O138="","",'Port Bloomberg'!O138)</f>
        <v>SINGLE</v>
      </c>
      <c r="P138" s="7">
        <f>IF('Port Bloomberg'!P138="","",'Port Bloomberg'!P138)</f>
        <v>6.44</v>
      </c>
      <c r="Q138" s="7" t="str">
        <f>IF('Port Bloomberg'!Q138="","",'Port Bloomberg'!Q138)</f>
        <v>BBB</v>
      </c>
      <c r="R138" s="7" t="str">
        <f>IF('Port Bloomberg'!R138="","",'Port Bloomberg'!R138)</f>
        <v>01/26/2036</v>
      </c>
      <c r="S138" s="5">
        <f>IF(E138="","",IFERROR(IF(MATCH(E138,[1]Instrumentos!$D:$D,0)&gt;0,1,0),0))</f>
        <v>1</v>
      </c>
      <c r="T138" s="5">
        <f>IF(E138="","",IFERROR(IF(MATCH(E138,'Lista de excepciones'!$E:$E,0)&gt;0,1,0),0))</f>
        <v>0</v>
      </c>
      <c r="U138" s="6" t="str">
        <f t="shared" si="3"/>
        <v>NO</v>
      </c>
    </row>
    <row r="139" spans="1:24" hidden="1" x14ac:dyDescent="0.25">
      <c r="A139" s="7" t="str">
        <f>IF('Port Bloomberg'!A139="","",'Port Bloomberg'!A139)</f>
        <v>CDEL 6.78 01/13/55</v>
      </c>
      <c r="B139" s="7" t="str">
        <f>IF('Port Bloomberg'!B139="","",'Port Bloomberg'!B139)</f>
        <v>Corp Nacional del Cobre de Chile</v>
      </c>
      <c r="C139" s="7" t="str">
        <f>IF('Port Bloomberg'!C139="","",'Port Bloomberg'!C139)</f>
        <v>CODELCO INC</v>
      </c>
      <c r="D139" s="7" t="str">
        <f>IF('Port Bloomberg'!D139="","",'Port Bloomberg'!D139)</f>
        <v>CODELCO INC</v>
      </c>
      <c r="E139" s="7" t="str">
        <f>IF('Port Bloomberg'!E139="","",'Port Bloomberg'!E139)</f>
        <v>USP3143NBW31</v>
      </c>
      <c r="F139" s="7" t="str">
        <f>IF('Port Bloomberg'!F139="","",'Port Bloomberg'!F139)</f>
        <v>CDEL</v>
      </c>
      <c r="G139" s="7" t="str">
        <f>IF('Port Bloomberg'!G139="","",'Port Bloomberg'!G139)</f>
        <v>1006Z CI</v>
      </c>
      <c r="H139" s="7" t="str">
        <f>IF('Port Bloomberg'!H139="","",'Port Bloomberg'!H139)</f>
        <v>Mining</v>
      </c>
      <c r="I139" s="7" t="str">
        <f>IF('Port Bloomberg'!I139="","",'Port Bloomberg'!I139)</f>
        <v>FOA</v>
      </c>
      <c r="J139" s="7" t="str">
        <f>IF('Port Bloomberg'!J139="","",'Port Bloomberg'!J139)</f>
        <v>Non-Ferrous Metals</v>
      </c>
      <c r="K139" s="7" t="str">
        <f>IF('Port Bloomberg'!K139="","",'Port Bloomberg'!K139)</f>
        <v>CL</v>
      </c>
      <c r="L139" s="7" t="str">
        <f>IF('Port Bloomberg'!L139="","",'Port Bloomberg'!L139)</f>
        <v>CL</v>
      </c>
      <c r="M139" s="7" t="str">
        <f>IF('Port Bloomberg'!M139="","",'Port Bloomberg'!M139)</f>
        <v>USD</v>
      </c>
      <c r="N139" s="7">
        <f>IF('Port Bloomberg'!N139="","",'Port Bloomberg'!N139)</f>
        <v>1450000</v>
      </c>
      <c r="O139" s="7" t="str">
        <f>IF('Port Bloomberg'!O139="","",'Port Bloomberg'!O139)</f>
        <v>SINGLE</v>
      </c>
      <c r="P139" s="7">
        <f>IF('Port Bloomberg'!P139="","",'Port Bloomberg'!P139)</f>
        <v>6.78</v>
      </c>
      <c r="Q139" s="7" t="str">
        <f>IF('Port Bloomberg'!Q139="","",'Port Bloomberg'!Q139)</f>
        <v>BBB</v>
      </c>
      <c r="R139" s="7" t="str">
        <f>IF('Port Bloomberg'!R139="","",'Port Bloomberg'!R139)</f>
        <v>01/13/2055</v>
      </c>
      <c r="S139" s="5">
        <f>IF(E139="","",IFERROR(IF(MATCH(E139,[1]Instrumentos!$D:$D,0)&gt;0,1,0),0))</f>
        <v>1</v>
      </c>
      <c r="T139" s="5">
        <f>IF(E139="","",IFERROR(IF(MATCH(E139,'Lista de excepciones'!$E:$E,0)&gt;0,1,0),0))</f>
        <v>0</v>
      </c>
      <c r="U139" s="6" t="str">
        <f t="shared" si="3"/>
        <v>NO</v>
      </c>
    </row>
    <row r="140" spans="1:24" hidden="1" x14ac:dyDescent="0.25">
      <c r="A140" s="7" t="str">
        <f>IF('Port Bloomberg'!A140="","",'Port Bloomberg'!A140)</f>
        <v>CELARA 4 ¼ 04/30/29</v>
      </c>
      <c r="B140" s="7" t="str">
        <f>IF('Port Bloomberg'!B140="","",'Port Bloomberg'!B140)</f>
        <v>Celulosa Arauco y Constitucion SA</v>
      </c>
      <c r="C140" s="7" t="str">
        <f>IF('Port Bloomberg'!C140="","",'Port Bloomberg'!C140)</f>
        <v>CELULOSA ARAUCO</v>
      </c>
      <c r="D140" s="7" t="str">
        <f>IF('Port Bloomberg'!D140="","",'Port Bloomberg'!D140)</f>
        <v>CELULOSA ARAUCO CONSTITU</v>
      </c>
      <c r="E140" s="7" t="str">
        <f>IF('Port Bloomberg'!E140="","",'Port Bloomberg'!E140)</f>
        <v>USP2195VAP06</v>
      </c>
      <c r="F140" s="7" t="str">
        <f>IF('Port Bloomberg'!F140="","",'Port Bloomberg'!F140)</f>
        <v>CELARA</v>
      </c>
      <c r="G140" s="7" t="str">
        <f>IF('Port Bloomberg'!G140="","",'Port Bloomberg'!G140)</f>
        <v>1029Z CI</v>
      </c>
      <c r="H140" s="7" t="str">
        <f>IF('Port Bloomberg'!H140="","",'Port Bloomberg'!H140)</f>
        <v>Forest Products&amp;Paper</v>
      </c>
      <c r="I140" s="7" t="str">
        <f>IF('Port Bloomberg'!I140="","",'Port Bloomberg'!I140)</f>
        <v>IND</v>
      </c>
      <c r="J140" s="7" t="str">
        <f>IF('Port Bloomberg'!J140="","",'Port Bloomberg'!J140)</f>
        <v>Paper&amp;Related Products</v>
      </c>
      <c r="K140" s="7" t="str">
        <f>IF('Port Bloomberg'!K140="","",'Port Bloomberg'!K140)</f>
        <v>CL</v>
      </c>
      <c r="L140" s="7" t="str">
        <f>IF('Port Bloomberg'!L140="","",'Port Bloomberg'!L140)</f>
        <v>CL</v>
      </c>
      <c r="M140" s="7" t="str">
        <f>IF('Port Bloomberg'!M140="","",'Port Bloomberg'!M140)</f>
        <v>USD</v>
      </c>
      <c r="N140" s="7">
        <f>IF('Port Bloomberg'!N140="","",'Port Bloomberg'!N140)</f>
        <v>500000</v>
      </c>
      <c r="O140" s="7" t="str">
        <f>IF('Port Bloomberg'!O140="","",'Port Bloomberg'!O140)</f>
        <v>SINGLE</v>
      </c>
      <c r="P140" s="7">
        <f>IF('Port Bloomberg'!P140="","",'Port Bloomberg'!P140)</f>
        <v>4.25</v>
      </c>
      <c r="Q140" s="7" t="str">
        <f>IF('Port Bloomberg'!Q140="","",'Port Bloomberg'!Q140)</f>
        <v>BBB-</v>
      </c>
      <c r="R140" s="7" t="str">
        <f>IF('Port Bloomberg'!R140="","",'Port Bloomberg'!R140)</f>
        <v>04/30/2029</v>
      </c>
      <c r="S140" s="5">
        <f>IF(E140="","",IFERROR(IF(MATCH(E140,[1]Instrumentos!$D:$D,0)&gt;0,1,0),0))</f>
        <v>1</v>
      </c>
      <c r="T140" s="5">
        <f>IF(E140="","",IFERROR(IF(MATCH(E140,'Lista de excepciones'!$E:$E,0)&gt;0,1,0),0))</f>
        <v>0</v>
      </c>
      <c r="U140" s="6" t="str">
        <f t="shared" si="3"/>
        <v>NO</v>
      </c>
    </row>
    <row r="141" spans="1:24" hidden="1" x14ac:dyDescent="0.25">
      <c r="A141" s="7" t="str">
        <f>IF('Port Bloomberg'!A141="","",'Port Bloomberg'!A141)</f>
        <v>CELARA 4.2 01/29/30</v>
      </c>
      <c r="B141" s="7" t="str">
        <f>IF('Port Bloomberg'!B141="","",'Port Bloomberg'!B141)</f>
        <v>Celulosa Arauco y Constitucion SA</v>
      </c>
      <c r="C141" s="7" t="str">
        <f>IF('Port Bloomberg'!C141="","",'Port Bloomberg'!C141)</f>
        <v>CELULOSA ARAUCO</v>
      </c>
      <c r="D141" s="7" t="str">
        <f>IF('Port Bloomberg'!D141="","",'Port Bloomberg'!D141)</f>
        <v>CELULOSA ARAUCO CONSTITU</v>
      </c>
      <c r="E141" s="7" t="str">
        <f>IF('Port Bloomberg'!E141="","",'Port Bloomberg'!E141)</f>
        <v>USP2195VAR61</v>
      </c>
      <c r="F141" s="7" t="str">
        <f>IF('Port Bloomberg'!F141="","",'Port Bloomberg'!F141)</f>
        <v>CELARA</v>
      </c>
      <c r="G141" s="7" t="str">
        <f>IF('Port Bloomberg'!G141="","",'Port Bloomberg'!G141)</f>
        <v>1029Z CI</v>
      </c>
      <c r="H141" s="7" t="str">
        <f>IF('Port Bloomberg'!H141="","",'Port Bloomberg'!H141)</f>
        <v>Forest Products&amp;Paper</v>
      </c>
      <c r="I141" s="7" t="str">
        <f>IF('Port Bloomberg'!I141="","",'Port Bloomberg'!I141)</f>
        <v>IND</v>
      </c>
      <c r="J141" s="7" t="str">
        <f>IF('Port Bloomberg'!J141="","",'Port Bloomberg'!J141)</f>
        <v>Paper&amp;Related Products</v>
      </c>
      <c r="K141" s="7" t="str">
        <f>IF('Port Bloomberg'!K141="","",'Port Bloomberg'!K141)</f>
        <v>CL</v>
      </c>
      <c r="L141" s="7" t="str">
        <f>IF('Port Bloomberg'!L141="","",'Port Bloomberg'!L141)</f>
        <v>CL</v>
      </c>
      <c r="M141" s="7" t="str">
        <f>IF('Port Bloomberg'!M141="","",'Port Bloomberg'!M141)</f>
        <v>USD</v>
      </c>
      <c r="N141" s="7">
        <f>IF('Port Bloomberg'!N141="","",'Port Bloomberg'!N141)</f>
        <v>500000</v>
      </c>
      <c r="O141" s="7" t="str">
        <f>IF('Port Bloomberg'!O141="","",'Port Bloomberg'!O141)</f>
        <v>SINGLE</v>
      </c>
      <c r="P141" s="7">
        <f>IF('Port Bloomberg'!P141="","",'Port Bloomberg'!P141)</f>
        <v>4.2</v>
      </c>
      <c r="Q141" s="7" t="str">
        <f>IF('Port Bloomberg'!Q141="","",'Port Bloomberg'!Q141)</f>
        <v>BBB-</v>
      </c>
      <c r="R141" s="7" t="str">
        <f>IF('Port Bloomberg'!R141="","",'Port Bloomberg'!R141)</f>
        <v>01/29/2030</v>
      </c>
      <c r="S141" s="5">
        <f>IF(E141="","",IFERROR(IF(MATCH(E141,[1]Instrumentos!$D:$D,0)&gt;0,1,0),0))</f>
        <v>1</v>
      </c>
      <c r="T141" s="5">
        <f>IF(E141="","",IFERROR(IF(MATCH(E141,'Lista de excepciones'!$E:$E,0)&gt;0,1,0),0))</f>
        <v>0</v>
      </c>
      <c r="U141" s="6" t="str">
        <f t="shared" si="3"/>
        <v>NO</v>
      </c>
    </row>
    <row r="142" spans="1:24" hidden="1" x14ac:dyDescent="0.25">
      <c r="A142" s="7" t="str">
        <f>IF('Port Bloomberg'!A142="","",'Port Bloomberg'!A142)</f>
        <v>CELARA 5 ½ 04/30/49</v>
      </c>
      <c r="B142" s="7" t="str">
        <f>IF('Port Bloomberg'!B142="","",'Port Bloomberg'!B142)</f>
        <v>Celulosa Arauco y Constitucion SA</v>
      </c>
      <c r="C142" s="7" t="str">
        <f>IF('Port Bloomberg'!C142="","",'Port Bloomberg'!C142)</f>
        <v>CELULOSA ARAUCO</v>
      </c>
      <c r="D142" s="7" t="str">
        <f>IF('Port Bloomberg'!D142="","",'Port Bloomberg'!D142)</f>
        <v>CELULOSA ARAUCO CONSTITU</v>
      </c>
      <c r="E142" s="7" t="str">
        <f>IF('Port Bloomberg'!E142="","",'Port Bloomberg'!E142)</f>
        <v>USP2195VAQ88</v>
      </c>
      <c r="F142" s="7" t="str">
        <f>IF('Port Bloomberg'!F142="","",'Port Bloomberg'!F142)</f>
        <v>CELARA</v>
      </c>
      <c r="G142" s="7" t="str">
        <f>IF('Port Bloomberg'!G142="","",'Port Bloomberg'!G142)</f>
        <v>1029Z CI</v>
      </c>
      <c r="H142" s="7" t="str">
        <f>IF('Port Bloomberg'!H142="","",'Port Bloomberg'!H142)</f>
        <v>Forest Products&amp;Paper</v>
      </c>
      <c r="I142" s="7" t="str">
        <f>IF('Port Bloomberg'!I142="","",'Port Bloomberg'!I142)</f>
        <v>IND</v>
      </c>
      <c r="J142" s="7" t="str">
        <f>IF('Port Bloomberg'!J142="","",'Port Bloomberg'!J142)</f>
        <v>Paper&amp;Related Products</v>
      </c>
      <c r="K142" s="7" t="str">
        <f>IF('Port Bloomberg'!K142="","",'Port Bloomberg'!K142)</f>
        <v>CL</v>
      </c>
      <c r="L142" s="7" t="str">
        <f>IF('Port Bloomberg'!L142="","",'Port Bloomberg'!L142)</f>
        <v>CL</v>
      </c>
      <c r="M142" s="7" t="str">
        <f>IF('Port Bloomberg'!M142="","",'Port Bloomberg'!M142)</f>
        <v>USD</v>
      </c>
      <c r="N142" s="7">
        <f>IF('Port Bloomberg'!N142="","",'Port Bloomberg'!N142)</f>
        <v>500000</v>
      </c>
      <c r="O142" s="7" t="str">
        <f>IF('Port Bloomberg'!O142="","",'Port Bloomberg'!O142)</f>
        <v>SINGLE</v>
      </c>
      <c r="P142" s="7">
        <f>IF('Port Bloomberg'!P142="","",'Port Bloomberg'!P142)</f>
        <v>5.5</v>
      </c>
      <c r="Q142" s="7" t="str">
        <f>IF('Port Bloomberg'!Q142="","",'Port Bloomberg'!Q142)</f>
        <v>BBB-</v>
      </c>
      <c r="R142" s="7" t="str">
        <f>IF('Port Bloomberg'!R142="","",'Port Bloomberg'!R142)</f>
        <v>04/30/2049</v>
      </c>
      <c r="S142" s="5">
        <f>IF(E142="","",IFERROR(IF(MATCH(E142,[1]Instrumentos!$D:$D,0)&gt;0,1,0),0))</f>
        <v>1</v>
      </c>
      <c r="T142" s="5">
        <f>IF(E142="","",IFERROR(IF(MATCH(E142,'Lista de excepciones'!$E:$E,0)&gt;0,1,0),0))</f>
        <v>0</v>
      </c>
      <c r="U142" s="6" t="str">
        <f t="shared" si="3"/>
        <v>NO</v>
      </c>
    </row>
    <row r="143" spans="1:24" hidden="1" x14ac:dyDescent="0.25">
      <c r="A143" s="7" t="str">
        <f>IF('Port Bloomberg'!A143="","",'Port Bloomberg'!A143)</f>
        <v>CELARA 5 ½ 11/02/47</v>
      </c>
      <c r="B143" s="7" t="str">
        <f>IF('Port Bloomberg'!B143="","",'Port Bloomberg'!B143)</f>
        <v>Celulosa Arauco y Constitucion SA</v>
      </c>
      <c r="C143" s="7" t="str">
        <f>IF('Port Bloomberg'!C143="","",'Port Bloomberg'!C143)</f>
        <v>CELULOSA ARAUCO</v>
      </c>
      <c r="D143" s="7" t="str">
        <f>IF('Port Bloomberg'!D143="","",'Port Bloomberg'!D143)</f>
        <v>CELULOSA ARAUCO CONSTITU</v>
      </c>
      <c r="E143" s="7" t="str">
        <f>IF('Port Bloomberg'!E143="","",'Port Bloomberg'!E143)</f>
        <v>USP2195VAJ46</v>
      </c>
      <c r="F143" s="7" t="str">
        <f>IF('Port Bloomberg'!F143="","",'Port Bloomberg'!F143)</f>
        <v>CELARA</v>
      </c>
      <c r="G143" s="7" t="str">
        <f>IF('Port Bloomberg'!G143="","",'Port Bloomberg'!G143)</f>
        <v>1029Z CI</v>
      </c>
      <c r="H143" s="7" t="str">
        <f>IF('Port Bloomberg'!H143="","",'Port Bloomberg'!H143)</f>
        <v>Forest Products&amp;Paper</v>
      </c>
      <c r="I143" s="7" t="str">
        <f>IF('Port Bloomberg'!I143="","",'Port Bloomberg'!I143)</f>
        <v>IND</v>
      </c>
      <c r="J143" s="7" t="str">
        <f>IF('Port Bloomberg'!J143="","",'Port Bloomberg'!J143)</f>
        <v>Paper&amp;Related Products</v>
      </c>
      <c r="K143" s="7" t="str">
        <f>IF('Port Bloomberg'!K143="","",'Port Bloomberg'!K143)</f>
        <v>CL</v>
      </c>
      <c r="L143" s="7" t="str">
        <f>IF('Port Bloomberg'!L143="","",'Port Bloomberg'!L143)</f>
        <v>CL</v>
      </c>
      <c r="M143" s="7" t="str">
        <f>IF('Port Bloomberg'!M143="","",'Port Bloomberg'!M143)</f>
        <v>USD</v>
      </c>
      <c r="N143" s="7">
        <f>IF('Port Bloomberg'!N143="","",'Port Bloomberg'!N143)</f>
        <v>400000</v>
      </c>
      <c r="O143" s="7" t="str">
        <f>IF('Port Bloomberg'!O143="","",'Port Bloomberg'!O143)</f>
        <v>SINGLE</v>
      </c>
      <c r="P143" s="7">
        <f>IF('Port Bloomberg'!P143="","",'Port Bloomberg'!P143)</f>
        <v>5.5</v>
      </c>
      <c r="Q143" s="7" t="str">
        <f>IF('Port Bloomberg'!Q143="","",'Port Bloomberg'!Q143)</f>
        <v>BBB-</v>
      </c>
      <c r="R143" s="7" t="str">
        <f>IF('Port Bloomberg'!R143="","",'Port Bloomberg'!R143)</f>
        <v>11/02/2047</v>
      </c>
      <c r="S143" s="5">
        <f>IF(E143="","",IFERROR(IF(MATCH(E143,[1]Instrumentos!$D:$D,0)&gt;0,1,0),0))</f>
        <v>1</v>
      </c>
      <c r="T143" s="5">
        <f>IF(E143="","",IFERROR(IF(MATCH(E143,'Lista de excepciones'!$E:$E,0)&gt;0,1,0),0))</f>
        <v>0</v>
      </c>
      <c r="U143" s="6" t="str">
        <f t="shared" si="3"/>
        <v>NO</v>
      </c>
    </row>
    <row r="144" spans="1:24" hidden="1" x14ac:dyDescent="0.25">
      <c r="A144" s="7" t="str">
        <f>IF('Port Bloomberg'!A144="","",'Port Bloomberg'!A144)</f>
        <v>CELARA 5 ½ 11/02/47</v>
      </c>
      <c r="B144" s="7" t="str">
        <f>IF('Port Bloomberg'!B144="","",'Port Bloomberg'!B144)</f>
        <v>Celulosa Arauco y Constitucion SA</v>
      </c>
      <c r="C144" s="7" t="str">
        <f>IF('Port Bloomberg'!C144="","",'Port Bloomberg'!C144)</f>
        <v>CELULOSA ARAUCO</v>
      </c>
      <c r="D144" s="7" t="str">
        <f>IF('Port Bloomberg'!D144="","",'Port Bloomberg'!D144)</f>
        <v>CELULOSA ARAUCO CONSTITU</v>
      </c>
      <c r="E144" s="7" t="str">
        <f>IF('Port Bloomberg'!E144="","",'Port Bloomberg'!E144)</f>
        <v>US151191BD46</v>
      </c>
      <c r="F144" s="7" t="str">
        <f>IF('Port Bloomberg'!F144="","",'Port Bloomberg'!F144)</f>
        <v>CELARA</v>
      </c>
      <c r="G144" s="7" t="str">
        <f>IF('Port Bloomberg'!G144="","",'Port Bloomberg'!G144)</f>
        <v>1029Z CI</v>
      </c>
      <c r="H144" s="7" t="str">
        <f>IF('Port Bloomberg'!H144="","",'Port Bloomberg'!H144)</f>
        <v>Forest Products&amp;Paper</v>
      </c>
      <c r="I144" s="7" t="str">
        <f>IF('Port Bloomberg'!I144="","",'Port Bloomberg'!I144)</f>
        <v>IND</v>
      </c>
      <c r="J144" s="7" t="str">
        <f>IF('Port Bloomberg'!J144="","",'Port Bloomberg'!J144)</f>
        <v>Paper&amp;Related Products</v>
      </c>
      <c r="K144" s="7" t="str">
        <f>IF('Port Bloomberg'!K144="","",'Port Bloomberg'!K144)</f>
        <v>CL</v>
      </c>
      <c r="L144" s="7" t="str">
        <f>IF('Port Bloomberg'!L144="","",'Port Bloomberg'!L144)</f>
        <v>CL</v>
      </c>
      <c r="M144" s="7" t="str">
        <f>IF('Port Bloomberg'!M144="","",'Port Bloomberg'!M144)</f>
        <v>USD</v>
      </c>
      <c r="N144" s="7">
        <f>IF('Port Bloomberg'!N144="","",'Port Bloomberg'!N144)</f>
        <v>378325</v>
      </c>
      <c r="O144" s="7" t="str">
        <f>IF('Port Bloomberg'!O144="","",'Port Bloomberg'!O144)</f>
        <v>SINGLE</v>
      </c>
      <c r="P144" s="7">
        <f>IF('Port Bloomberg'!P144="","",'Port Bloomberg'!P144)</f>
        <v>5.5</v>
      </c>
      <c r="Q144" s="7" t="str">
        <f>IF('Port Bloomberg'!Q144="","",'Port Bloomberg'!Q144)</f>
        <v>BBB-</v>
      </c>
      <c r="R144" s="7" t="str">
        <f>IF('Port Bloomberg'!R144="","",'Port Bloomberg'!R144)</f>
        <v>11/02/2047</v>
      </c>
      <c r="S144" s="5">
        <f>IF(E144="","",IFERROR(IF(MATCH(E144,[1]Instrumentos!$D:$D,0)&gt;0,1,0),0))</f>
        <v>1</v>
      </c>
      <c r="T144" s="5">
        <f>IF(E144="","",IFERROR(IF(MATCH(E144,'Lista de excepciones'!$E:$E,0)&gt;0,1,0),0))</f>
        <v>0</v>
      </c>
      <c r="U144" s="6" t="str">
        <f t="shared" si="3"/>
        <v>NO</v>
      </c>
    </row>
    <row r="145" spans="1:21" hidden="1" x14ac:dyDescent="0.25">
      <c r="A145" s="7" t="str">
        <f>IF('Port Bloomberg'!A145="","",'Port Bloomberg'!A145)</f>
        <v>CELARA 5.15 01/29/50</v>
      </c>
      <c r="B145" s="7" t="str">
        <f>IF('Port Bloomberg'!B145="","",'Port Bloomberg'!B145)</f>
        <v>Celulosa Arauco y Constitucion SA</v>
      </c>
      <c r="C145" s="7" t="str">
        <f>IF('Port Bloomberg'!C145="","",'Port Bloomberg'!C145)</f>
        <v>CELULOSA ARAUCO</v>
      </c>
      <c r="D145" s="7" t="str">
        <f>IF('Port Bloomberg'!D145="","",'Port Bloomberg'!D145)</f>
        <v>CELULOSA ARAUCO CONSTITU</v>
      </c>
      <c r="E145" s="7" t="str">
        <f>IF('Port Bloomberg'!E145="","",'Port Bloomberg'!E145)</f>
        <v>USP2195VAS45</v>
      </c>
      <c r="F145" s="7" t="str">
        <f>IF('Port Bloomberg'!F145="","",'Port Bloomberg'!F145)</f>
        <v>CELARA</v>
      </c>
      <c r="G145" s="7" t="str">
        <f>IF('Port Bloomberg'!G145="","",'Port Bloomberg'!G145)</f>
        <v>1029Z CI</v>
      </c>
      <c r="H145" s="7" t="str">
        <f>IF('Port Bloomberg'!H145="","",'Port Bloomberg'!H145)</f>
        <v>Forest Products&amp;Paper</v>
      </c>
      <c r="I145" s="7" t="str">
        <f>IF('Port Bloomberg'!I145="","",'Port Bloomberg'!I145)</f>
        <v>IND</v>
      </c>
      <c r="J145" s="7" t="str">
        <f>IF('Port Bloomberg'!J145="","",'Port Bloomberg'!J145)</f>
        <v>Paper&amp;Related Products</v>
      </c>
      <c r="K145" s="7" t="str">
        <f>IF('Port Bloomberg'!K145="","",'Port Bloomberg'!K145)</f>
        <v>CL</v>
      </c>
      <c r="L145" s="7" t="str">
        <f>IF('Port Bloomberg'!L145="","",'Port Bloomberg'!L145)</f>
        <v>CL</v>
      </c>
      <c r="M145" s="7" t="str">
        <f>IF('Port Bloomberg'!M145="","",'Port Bloomberg'!M145)</f>
        <v>USD</v>
      </c>
      <c r="N145" s="7">
        <f>IF('Port Bloomberg'!N145="","",'Port Bloomberg'!N145)</f>
        <v>500000</v>
      </c>
      <c r="O145" s="7" t="str">
        <f>IF('Port Bloomberg'!O145="","",'Port Bloomberg'!O145)</f>
        <v>SINGLE</v>
      </c>
      <c r="P145" s="7">
        <f>IF('Port Bloomberg'!P145="","",'Port Bloomberg'!P145)</f>
        <v>5.15</v>
      </c>
      <c r="Q145" s="7" t="str">
        <f>IF('Port Bloomberg'!Q145="","",'Port Bloomberg'!Q145)</f>
        <v>BBB-</v>
      </c>
      <c r="R145" s="7" t="str">
        <f>IF('Port Bloomberg'!R145="","",'Port Bloomberg'!R145)</f>
        <v>01/29/2050</v>
      </c>
      <c r="S145" s="5">
        <f>IF(E145="","",IFERROR(IF(MATCH(E145,[1]Instrumentos!$D:$D,0)&gt;0,1,0),0))</f>
        <v>1</v>
      </c>
      <c r="T145" s="5">
        <f>IF(E145="","",IFERROR(IF(MATCH(E145,'Lista de excepciones'!$E:$E,0)&gt;0,1,0),0))</f>
        <v>0</v>
      </c>
      <c r="U145" s="6" t="str">
        <f t="shared" si="3"/>
        <v>NO</v>
      </c>
    </row>
    <row r="146" spans="1:21" hidden="1" x14ac:dyDescent="0.25">
      <c r="A146" s="7" t="str">
        <f>IF('Port Bloomberg'!A146="","",'Port Bloomberg'!A146)</f>
        <v>CELARA 6.18 05/05/32</v>
      </c>
      <c r="B146" s="7" t="str">
        <f>IF('Port Bloomberg'!B146="","",'Port Bloomberg'!B146)</f>
        <v>Celulosa Arauco y Constitucion SA</v>
      </c>
      <c r="C146" s="7" t="str">
        <f>IF('Port Bloomberg'!C146="","",'Port Bloomberg'!C146)</f>
        <v>CELULOSA ARAUCO</v>
      </c>
      <c r="D146" s="7" t="str">
        <f>IF('Port Bloomberg'!D146="","",'Port Bloomberg'!D146)</f>
        <v>CELULOSA ARAUCO CONSTITU</v>
      </c>
      <c r="E146" s="7" t="str">
        <f>IF('Port Bloomberg'!E146="","",'Port Bloomberg'!E146)</f>
        <v>USP2195VBA28</v>
      </c>
      <c r="F146" s="7" t="str">
        <f>IF('Port Bloomberg'!F146="","",'Port Bloomberg'!F146)</f>
        <v>CELARA</v>
      </c>
      <c r="G146" s="7" t="str">
        <f>IF('Port Bloomberg'!G146="","",'Port Bloomberg'!G146)</f>
        <v>1029Z CI</v>
      </c>
      <c r="H146" s="7" t="str">
        <f>IF('Port Bloomberg'!H146="","",'Port Bloomberg'!H146)</f>
        <v>Forest Products&amp;Paper</v>
      </c>
      <c r="I146" s="7" t="str">
        <f>IF('Port Bloomberg'!I146="","",'Port Bloomberg'!I146)</f>
        <v>IND</v>
      </c>
      <c r="J146" s="7" t="str">
        <f>IF('Port Bloomberg'!J146="","",'Port Bloomberg'!J146)</f>
        <v>Paper&amp;Related Products</v>
      </c>
      <c r="K146" s="7" t="str">
        <f>IF('Port Bloomberg'!K146="","",'Port Bloomberg'!K146)</f>
        <v>CL</v>
      </c>
      <c r="L146" s="7" t="str">
        <f>IF('Port Bloomberg'!L146="","",'Port Bloomberg'!L146)</f>
        <v>CL</v>
      </c>
      <c r="M146" s="7" t="str">
        <f>IF('Port Bloomberg'!M146="","",'Port Bloomberg'!M146)</f>
        <v>USD</v>
      </c>
      <c r="N146" s="7">
        <f>IF('Port Bloomberg'!N146="","",'Port Bloomberg'!N146)</f>
        <v>500000</v>
      </c>
      <c r="O146" s="7" t="str">
        <f>IF('Port Bloomberg'!O146="","",'Port Bloomberg'!O146)</f>
        <v>SINGLE</v>
      </c>
      <c r="P146" s="7">
        <f>IF('Port Bloomberg'!P146="","",'Port Bloomberg'!P146)</f>
        <v>6.18</v>
      </c>
      <c r="Q146" s="7" t="str">
        <f>IF('Port Bloomberg'!Q146="","",'Port Bloomberg'!Q146)</f>
        <v>BBB-</v>
      </c>
      <c r="R146" s="7" t="str">
        <f>IF('Port Bloomberg'!R146="","",'Port Bloomberg'!R146)</f>
        <v>05/05/2032</v>
      </c>
      <c r="S146" s="5">
        <f>IF(E146="","",IFERROR(IF(MATCH(E146,[1]Instrumentos!$D:$D,0)&gt;0,1,0),0))</f>
        <v>1</v>
      </c>
      <c r="T146" s="5">
        <f>IF(E146="","",IFERROR(IF(MATCH(E146,'Lista de excepciones'!$E:$E,0)&gt;0,1,0),0))</f>
        <v>0</v>
      </c>
      <c r="U146" s="6" t="str">
        <f t="shared" si="3"/>
        <v>NO</v>
      </c>
    </row>
    <row r="147" spans="1:21" hidden="1" x14ac:dyDescent="0.25">
      <c r="A147" s="7" t="str">
        <f>IF('Port Bloomberg'!A147="","",'Port Bloomberg'!A147)</f>
        <v>CELEO 5.2 06/22/47</v>
      </c>
      <c r="B147" s="7" t="str">
        <f>IF('Port Bloomberg'!B147="","",'Port Bloomberg'!B147)</f>
        <v>Celeo Redes Operacion Chile SA</v>
      </c>
      <c r="C147" s="7" t="str">
        <f>IF('Port Bloomberg'!C147="","",'Port Bloomberg'!C147)</f>
        <v>CELEO REDES OPER</v>
      </c>
      <c r="D147" s="7" t="str">
        <f>IF('Port Bloomberg'!D147="","",'Port Bloomberg'!D147)</f>
        <v>CELEO REDES OPERACION CL</v>
      </c>
      <c r="E147" s="7" t="str">
        <f>IF('Port Bloomberg'!E147="","",'Port Bloomberg'!E147)</f>
        <v>USP22008AA72</v>
      </c>
      <c r="F147" s="7" t="str">
        <f>IF('Port Bloomberg'!F147="","",'Port Bloomberg'!F147)</f>
        <v>CELEO</v>
      </c>
      <c r="G147" s="7" t="str">
        <f>IF('Port Bloomberg'!G147="","",'Port Bloomberg'!G147)</f>
        <v>1506896D CI</v>
      </c>
      <c r="H147" s="7" t="str">
        <f>IF('Port Bloomberg'!H147="","",'Port Bloomberg'!H147)</f>
        <v>Electric</v>
      </c>
      <c r="I147" s="7" t="str">
        <f>IF('Port Bloomberg'!I147="","",'Port Bloomberg'!I147)</f>
        <v>UTL</v>
      </c>
      <c r="J147" s="7" t="str">
        <f>IF('Port Bloomberg'!J147="","",'Port Bloomberg'!J147)</f>
        <v>Electric-Transmission</v>
      </c>
      <c r="K147" s="7" t="str">
        <f>IF('Port Bloomberg'!K147="","",'Port Bloomberg'!K147)</f>
        <v>CL</v>
      </c>
      <c r="L147" s="7" t="str">
        <f>IF('Port Bloomberg'!L147="","",'Port Bloomberg'!L147)</f>
        <v>CL</v>
      </c>
      <c r="M147" s="7" t="str">
        <f>IF('Port Bloomberg'!M147="","",'Port Bloomberg'!M147)</f>
        <v>USD</v>
      </c>
      <c r="N147" s="7">
        <f>IF('Port Bloomberg'!N147="","",'Port Bloomberg'!N147)</f>
        <v>379000</v>
      </c>
      <c r="O147" s="7" t="str">
        <f>IF('Port Bloomberg'!O147="","",'Port Bloomberg'!O147)</f>
        <v>SINGLE</v>
      </c>
      <c r="P147" s="7">
        <f>IF('Port Bloomberg'!P147="","",'Port Bloomberg'!P147)</f>
        <v>5.2</v>
      </c>
      <c r="Q147" s="7" t="str">
        <f>IF('Port Bloomberg'!Q147="","",'Port Bloomberg'!Q147)</f>
        <v>BBB</v>
      </c>
      <c r="R147" s="7" t="str">
        <f>IF('Port Bloomberg'!R147="","",'Port Bloomberg'!R147)</f>
        <v>06/22/2047</v>
      </c>
      <c r="S147" s="5">
        <f>IF(E147="","",IFERROR(IF(MATCH(E147,[1]Instrumentos!$D:$D,0)&gt;0,1,0),0))</f>
        <v>1</v>
      </c>
      <c r="T147" s="5">
        <f>IF(E147="","",IFERROR(IF(MATCH(E147,'Lista de excepciones'!$E:$E,0)&gt;0,1,0),0))</f>
        <v>0</v>
      </c>
      <c r="U147" s="6" t="str">
        <f t="shared" si="3"/>
        <v>NO</v>
      </c>
    </row>
    <row r="148" spans="1:21" hidden="1" x14ac:dyDescent="0.25">
      <c r="A148" s="7" t="str">
        <f>IF('Port Bloomberg'!A148="","",'Port Bloomberg'!A148)</f>
        <v>CEMEX 3 ⅞ 07/11/31</v>
      </c>
      <c r="B148" s="7" t="str">
        <f>IF('Port Bloomberg'!B148="","",'Port Bloomberg'!B148)</f>
        <v>Cemex SAB de CV</v>
      </c>
      <c r="C148" s="7" t="str">
        <f>IF('Port Bloomberg'!C148="","",'Port Bloomberg'!C148)</f>
        <v>CEMEX SAB</v>
      </c>
      <c r="D148" s="7" t="str">
        <f>IF('Port Bloomberg'!D148="","",'Port Bloomberg'!D148)</f>
        <v>CEMEX SAB DE CV</v>
      </c>
      <c r="E148" s="7" t="str">
        <f>IF('Port Bloomberg'!E148="","",'Port Bloomberg'!E148)</f>
        <v>USP2253TJR16</v>
      </c>
      <c r="F148" s="7" t="str">
        <f>IF('Port Bloomberg'!F148="","",'Port Bloomberg'!F148)</f>
        <v>CEMEX</v>
      </c>
      <c r="G148" s="7" t="str">
        <f>IF('Port Bloomberg'!G148="","",'Port Bloomberg'!G148)</f>
        <v>CEMEXCPO MM</v>
      </c>
      <c r="H148" s="7" t="str">
        <f>IF('Port Bloomberg'!H148="","",'Port Bloomberg'!H148)</f>
        <v>Building Materials</v>
      </c>
      <c r="I148" s="7" t="str">
        <f>IF('Port Bloomberg'!I148="","",'Port Bloomberg'!I148)</f>
        <v>IND</v>
      </c>
      <c r="J148" s="7" t="str">
        <f>IF('Port Bloomberg'!J148="","",'Port Bloomberg'!J148)</f>
        <v>Bldg Prod-Cement/Aggreg</v>
      </c>
      <c r="K148" s="7" t="str">
        <f>IF('Port Bloomberg'!K148="","",'Port Bloomberg'!K148)</f>
        <v>MX</v>
      </c>
      <c r="L148" s="7" t="str">
        <f>IF('Port Bloomberg'!L148="","",'Port Bloomberg'!L148)</f>
        <v>MX</v>
      </c>
      <c r="M148" s="7" t="str">
        <f>IF('Port Bloomberg'!M148="","",'Port Bloomberg'!M148)</f>
        <v>USD</v>
      </c>
      <c r="N148" s="7">
        <f>IF('Port Bloomberg'!N148="","",'Port Bloomberg'!N148)</f>
        <v>1750000</v>
      </c>
      <c r="O148" s="7" t="str">
        <f>IF('Port Bloomberg'!O148="","",'Port Bloomberg'!O148)</f>
        <v>SINGLE</v>
      </c>
      <c r="P148" s="7">
        <f>IF('Port Bloomberg'!P148="","",'Port Bloomberg'!P148)</f>
        <v>3.875</v>
      </c>
      <c r="Q148" s="7" t="str">
        <f>IF('Port Bloomberg'!Q148="","",'Port Bloomberg'!Q148)</f>
        <v>BBB-</v>
      </c>
      <c r="R148" s="7" t="str">
        <f>IF('Port Bloomberg'!R148="","",'Port Bloomberg'!R148)</f>
        <v>07/11/2031</v>
      </c>
      <c r="S148" s="5">
        <f>IF(E148="","",IFERROR(IF(MATCH(E148,[1]Instrumentos!$D:$D,0)&gt;0,1,0),0))</f>
        <v>1</v>
      </c>
      <c r="T148" s="5">
        <f>IF(E148="","",IFERROR(IF(MATCH(E148,'Lista de excepciones'!$E:$E,0)&gt;0,1,0),0))</f>
        <v>0</v>
      </c>
      <c r="U148" s="6" t="str">
        <f t="shared" si="3"/>
        <v>NO</v>
      </c>
    </row>
    <row r="149" spans="1:21" hidden="1" x14ac:dyDescent="0.25">
      <c r="A149" s="7" t="str">
        <f>IF('Port Bloomberg'!A149="","",'Port Bloomberg'!A149)</f>
        <v>CEMEX 5 ¾ 06/05/36</v>
      </c>
      <c r="B149" s="7" t="str">
        <f>IF('Port Bloomberg'!B149="","",'Port Bloomberg'!B149)</f>
        <v>Cemex SAB de CV</v>
      </c>
      <c r="C149" s="7" t="str">
        <f>IF('Port Bloomberg'!C149="","",'Port Bloomberg'!C149)</f>
        <v>CEMEX SAB</v>
      </c>
      <c r="D149" s="7" t="str">
        <f>IF('Port Bloomberg'!D149="","",'Port Bloomberg'!D149)</f>
        <v>CEMEX SAB DE CV</v>
      </c>
      <c r="E149" s="7" t="str">
        <f>IF('Port Bloomberg'!E149="","",'Port Bloomberg'!E149)</f>
        <v>US151290CD37</v>
      </c>
      <c r="F149" s="7" t="str">
        <f>IF('Port Bloomberg'!F149="","",'Port Bloomberg'!F149)</f>
        <v>CEMEX</v>
      </c>
      <c r="G149" s="7" t="str">
        <f>IF('Port Bloomberg'!G149="","",'Port Bloomberg'!G149)</f>
        <v>CEMEXCPO MM</v>
      </c>
      <c r="H149" s="7" t="str">
        <f>IF('Port Bloomberg'!H149="","",'Port Bloomberg'!H149)</f>
        <v>Building Materials</v>
      </c>
      <c r="I149" s="7" t="str">
        <f>IF('Port Bloomberg'!I149="","",'Port Bloomberg'!I149)</f>
        <v>IND</v>
      </c>
      <c r="J149" s="7" t="str">
        <f>IF('Port Bloomberg'!J149="","",'Port Bloomberg'!J149)</f>
        <v>Bldg Prod-Cement/Aggreg</v>
      </c>
      <c r="K149" s="7" t="str">
        <f>IF('Port Bloomberg'!K149="","",'Port Bloomberg'!K149)</f>
        <v>MX</v>
      </c>
      <c r="L149" s="7" t="str">
        <f>IF('Port Bloomberg'!L149="","",'Port Bloomberg'!L149)</f>
        <v>MX</v>
      </c>
      <c r="M149" s="7" t="str">
        <f>IF('Port Bloomberg'!M149="","",'Port Bloomberg'!M149)</f>
        <v>USD</v>
      </c>
      <c r="N149" s="7">
        <f>IF('Port Bloomberg'!N149="","",'Port Bloomberg'!N149)</f>
        <v>1500000</v>
      </c>
      <c r="O149" s="7" t="str">
        <f>IF('Port Bloomberg'!O149="","",'Port Bloomberg'!O149)</f>
        <v>SINGLE</v>
      </c>
      <c r="P149" s="7">
        <f>IF('Port Bloomberg'!P149="","",'Port Bloomberg'!P149)</f>
        <v>5.75</v>
      </c>
      <c r="Q149" s="7" t="str">
        <f>IF('Port Bloomberg'!Q149="","",'Port Bloomberg'!Q149)</f>
        <v>BBB-</v>
      </c>
      <c r="R149" s="7" t="str">
        <f>IF('Port Bloomberg'!R149="","",'Port Bloomberg'!R149)</f>
        <v>06/05/2036</v>
      </c>
      <c r="S149" s="5">
        <f>IF(E149="","",IFERROR(IF(MATCH(E149,[1]Instrumentos!$D:$D,0)&gt;0,1,0),0))</f>
        <v>1</v>
      </c>
      <c r="T149" s="5">
        <f>IF(E149="","",IFERROR(IF(MATCH(E149,'Lista de excepciones'!$E:$E,0)&gt;0,1,0),0))</f>
        <v>0</v>
      </c>
      <c r="U149" s="6" t="str">
        <f t="shared" si="3"/>
        <v>NO</v>
      </c>
    </row>
    <row r="150" spans="1:21" hidden="1" x14ac:dyDescent="0.25">
      <c r="A150" s="7" t="str">
        <f>IF('Port Bloomberg'!A150="","",'Port Bloomberg'!A150)</f>
        <v>CEMEX 5.2 09/17/30</v>
      </c>
      <c r="B150" s="7" t="str">
        <f>IF('Port Bloomberg'!B150="","",'Port Bloomberg'!B150)</f>
        <v>Cemex SAB de CV</v>
      </c>
      <c r="C150" s="7" t="str">
        <f>IF('Port Bloomberg'!C150="","",'Port Bloomberg'!C150)</f>
        <v>CEMEX SAB</v>
      </c>
      <c r="D150" s="7" t="str">
        <f>IF('Port Bloomberg'!D150="","",'Port Bloomberg'!D150)</f>
        <v>CEMEX SAB DE CV</v>
      </c>
      <c r="E150" s="7" t="str">
        <f>IF('Port Bloomberg'!E150="","",'Port Bloomberg'!E150)</f>
        <v>USP2253TJQ33</v>
      </c>
      <c r="F150" s="7" t="str">
        <f>IF('Port Bloomberg'!F150="","",'Port Bloomberg'!F150)</f>
        <v>CEMEX</v>
      </c>
      <c r="G150" s="7" t="str">
        <f>IF('Port Bloomberg'!G150="","",'Port Bloomberg'!G150)</f>
        <v>CEMEXCPO MM</v>
      </c>
      <c r="H150" s="7" t="str">
        <f>IF('Port Bloomberg'!H150="","",'Port Bloomberg'!H150)</f>
        <v>Building Materials</v>
      </c>
      <c r="I150" s="7" t="str">
        <f>IF('Port Bloomberg'!I150="","",'Port Bloomberg'!I150)</f>
        <v>IND</v>
      </c>
      <c r="J150" s="7" t="str">
        <f>IF('Port Bloomberg'!J150="","",'Port Bloomberg'!J150)</f>
        <v>Bldg Prod-Cement/Aggreg</v>
      </c>
      <c r="K150" s="7" t="str">
        <f>IF('Port Bloomberg'!K150="","",'Port Bloomberg'!K150)</f>
        <v>MX</v>
      </c>
      <c r="L150" s="7" t="str">
        <f>IF('Port Bloomberg'!L150="","",'Port Bloomberg'!L150)</f>
        <v>MX</v>
      </c>
      <c r="M150" s="7" t="str">
        <f>IF('Port Bloomberg'!M150="","",'Port Bloomberg'!M150)</f>
        <v>USD</v>
      </c>
      <c r="N150" s="7">
        <f>IF('Port Bloomberg'!N150="","",'Port Bloomberg'!N150)</f>
        <v>1000000</v>
      </c>
      <c r="O150" s="7" t="str">
        <f>IF('Port Bloomberg'!O150="","",'Port Bloomberg'!O150)</f>
        <v>SINGLE</v>
      </c>
      <c r="P150" s="7">
        <f>IF('Port Bloomberg'!P150="","",'Port Bloomberg'!P150)</f>
        <v>5.2</v>
      </c>
      <c r="Q150" s="7" t="str">
        <f>IF('Port Bloomberg'!Q150="","",'Port Bloomberg'!Q150)</f>
        <v>BBB-</v>
      </c>
      <c r="R150" s="7" t="str">
        <f>IF('Port Bloomberg'!R150="","",'Port Bloomberg'!R150)</f>
        <v>09/17/2030</v>
      </c>
      <c r="S150" s="5">
        <f>IF(E150="","",IFERROR(IF(MATCH(E150,[1]Instrumentos!$D:$D,0)&gt;0,1,0),0))</f>
        <v>1</v>
      </c>
      <c r="T150" s="5">
        <f>IF(E150="","",IFERROR(IF(MATCH(E150,'Lista de excepciones'!$E:$E,0)&gt;0,1,0),0))</f>
        <v>0</v>
      </c>
      <c r="U150" s="6" t="str">
        <f t="shared" si="3"/>
        <v>NO</v>
      </c>
    </row>
    <row r="151" spans="1:21" hidden="1" x14ac:dyDescent="0.25">
      <c r="A151" s="7" t="str">
        <f>IF('Port Bloomberg'!A151="","",'Port Bloomberg'!A151)</f>
        <v>CEMEX 7.2 PERP</v>
      </c>
      <c r="B151" s="7" t="str">
        <f>IF('Port Bloomberg'!B151="","",'Port Bloomberg'!B151)</f>
        <v>Cemex SAB de CV</v>
      </c>
      <c r="C151" s="7" t="str">
        <f>IF('Port Bloomberg'!C151="","",'Port Bloomberg'!C151)</f>
        <v>CEMEX SAB</v>
      </c>
      <c r="D151" s="7" t="str">
        <f>IF('Port Bloomberg'!D151="","",'Port Bloomberg'!D151)</f>
        <v>CEMEX SAB DE CV</v>
      </c>
      <c r="E151" s="7" t="str">
        <f>IF('Port Bloomberg'!E151="","",'Port Bloomberg'!E151)</f>
        <v>USP2253TJW01</v>
      </c>
      <c r="F151" s="7" t="str">
        <f>IF('Port Bloomberg'!F151="","",'Port Bloomberg'!F151)</f>
        <v>CEMEX</v>
      </c>
      <c r="G151" s="7" t="str">
        <f>IF('Port Bloomberg'!G151="","",'Port Bloomberg'!G151)</f>
        <v>CEMEXCPO MM</v>
      </c>
      <c r="H151" s="7" t="str">
        <f>IF('Port Bloomberg'!H151="","",'Port Bloomberg'!H151)</f>
        <v>Building Materials</v>
      </c>
      <c r="I151" s="7" t="str">
        <f>IF('Port Bloomberg'!I151="","",'Port Bloomberg'!I151)</f>
        <v>IND</v>
      </c>
      <c r="J151" s="7" t="str">
        <f>IF('Port Bloomberg'!J151="","",'Port Bloomberg'!J151)</f>
        <v>Bldg Prod-Cement/Aggreg</v>
      </c>
      <c r="K151" s="7" t="str">
        <f>IF('Port Bloomberg'!K151="","",'Port Bloomberg'!K151)</f>
        <v>MX</v>
      </c>
      <c r="L151" s="7" t="str">
        <f>IF('Port Bloomberg'!L151="","",'Port Bloomberg'!L151)</f>
        <v>MX</v>
      </c>
      <c r="M151" s="7" t="str">
        <f>IF('Port Bloomberg'!M151="","",'Port Bloomberg'!M151)</f>
        <v>USD</v>
      </c>
      <c r="N151" s="7">
        <f>IF('Port Bloomberg'!N151="","",'Port Bloomberg'!N151)</f>
        <v>1000000</v>
      </c>
      <c r="O151" s="7" t="str">
        <f>IF('Port Bloomberg'!O151="","",'Port Bloomberg'!O151)</f>
        <v>SINGLE</v>
      </c>
      <c r="P151" s="7">
        <f>IF('Port Bloomberg'!P151="","",'Port Bloomberg'!P151)</f>
        <v>7.2</v>
      </c>
      <c r="Q151" s="7" t="str">
        <f>IF('Port Bloomberg'!Q151="","",'Port Bloomberg'!Q151)</f>
        <v>BB</v>
      </c>
      <c r="R151" s="7" t="str">
        <f>IF('Port Bloomberg'!R151="","",'Port Bloomberg'!R151)</f>
        <v/>
      </c>
      <c r="S151" s="5">
        <f>IF(E151="","",IFERROR(IF(MATCH(E151,[1]Instrumentos!$D:$D,0)&gt;0,1,0),0))</f>
        <v>1</v>
      </c>
      <c r="T151" s="5">
        <f>IF(E151="","",IFERROR(IF(MATCH(E151,'Lista de excepciones'!$E:$E,0)&gt;0,1,0),0))</f>
        <v>0</v>
      </c>
      <c r="U151" s="6" t="str">
        <f t="shared" si="3"/>
        <v>NO</v>
      </c>
    </row>
    <row r="152" spans="1:21" hidden="1" x14ac:dyDescent="0.25">
      <c r="A152" s="7" t="str">
        <f>IF('Port Bloomberg'!A152="","",'Port Bloomberg'!A152)</f>
        <v>CENSUD 5 ¾ 04/15/36</v>
      </c>
      <c r="B152" s="7" t="str">
        <f>IF('Port Bloomberg'!B152="","",'Port Bloomberg'!B152)</f>
        <v>Cencosud SA</v>
      </c>
      <c r="C152" s="7" t="str">
        <f>IF('Port Bloomberg'!C152="","",'Port Bloomberg'!C152)</f>
        <v>CENCOSUD SA</v>
      </c>
      <c r="D152" s="7" t="str">
        <f>IF('Port Bloomberg'!D152="","",'Port Bloomberg'!D152)</f>
        <v>CENCOSUD SA</v>
      </c>
      <c r="E152" s="7" t="str">
        <f>IF('Port Bloomberg'!E152="","",'Port Bloomberg'!E152)</f>
        <v>USP2205JAX83</v>
      </c>
      <c r="F152" s="7" t="str">
        <f>IF('Port Bloomberg'!F152="","",'Port Bloomberg'!F152)</f>
        <v>CENSUD</v>
      </c>
      <c r="G152" s="7" t="str">
        <f>IF('Port Bloomberg'!G152="","",'Port Bloomberg'!G152)</f>
        <v>CENCOSUD CI</v>
      </c>
      <c r="H152" s="7" t="str">
        <f>IF('Port Bloomberg'!H152="","",'Port Bloomberg'!H152)</f>
        <v>Food</v>
      </c>
      <c r="I152" s="7" t="str">
        <f>IF('Port Bloomberg'!I152="","",'Port Bloomberg'!I152)</f>
        <v>IND</v>
      </c>
      <c r="J152" s="7" t="str">
        <f>IF('Port Bloomberg'!J152="","",'Port Bloomberg'!J152)</f>
        <v>Food-Retail</v>
      </c>
      <c r="K152" s="7" t="str">
        <f>IF('Port Bloomberg'!K152="","",'Port Bloomberg'!K152)</f>
        <v>CL</v>
      </c>
      <c r="L152" s="7" t="str">
        <f>IF('Port Bloomberg'!L152="","",'Port Bloomberg'!L152)</f>
        <v>CL</v>
      </c>
      <c r="M152" s="7" t="str">
        <f>IF('Port Bloomberg'!M152="","",'Port Bloomberg'!M152)</f>
        <v>USD</v>
      </c>
      <c r="N152" s="7">
        <f>IF('Port Bloomberg'!N152="","",'Port Bloomberg'!N152)</f>
        <v>500000</v>
      </c>
      <c r="O152" s="7" t="str">
        <f>IF('Port Bloomberg'!O152="","",'Port Bloomberg'!O152)</f>
        <v>SINGLE</v>
      </c>
      <c r="P152" s="7">
        <f>IF('Port Bloomberg'!P152="","",'Port Bloomberg'!P152)</f>
        <v>5.75</v>
      </c>
      <c r="Q152" s="7" t="str">
        <f>IF('Port Bloomberg'!Q152="","",'Port Bloomberg'!Q152)</f>
        <v>BBB-</v>
      </c>
      <c r="R152" s="7" t="str">
        <f>IF('Port Bloomberg'!R152="","",'Port Bloomberg'!R152)</f>
        <v>04/15/2036</v>
      </c>
      <c r="S152" s="5">
        <f>IF(E152="","",IFERROR(IF(MATCH(E152,[1]Instrumentos!$D:$D,0)&gt;0,1,0),0))</f>
        <v>1</v>
      </c>
      <c r="T152" s="5">
        <f>IF(E152="","",IFERROR(IF(MATCH(E152,'Lista de excepciones'!$E:$E,0)&gt;0,1,0),0))</f>
        <v>0</v>
      </c>
      <c r="U152" s="6" t="str">
        <f t="shared" si="3"/>
        <v>NO</v>
      </c>
    </row>
    <row r="153" spans="1:21" hidden="1" x14ac:dyDescent="0.25">
      <c r="A153" s="7" t="str">
        <f>IF('Port Bloomberg'!A153="","",'Port Bloomberg'!A153)</f>
        <v>CENSUD 5.95 05/28/31</v>
      </c>
      <c r="B153" s="7" t="str">
        <f>IF('Port Bloomberg'!B153="","",'Port Bloomberg'!B153)</f>
        <v>Cencosud SA</v>
      </c>
      <c r="C153" s="7" t="str">
        <f>IF('Port Bloomberg'!C153="","",'Port Bloomberg'!C153)</f>
        <v>CENCOSUD SA</v>
      </c>
      <c r="D153" s="7" t="str">
        <f>IF('Port Bloomberg'!D153="","",'Port Bloomberg'!D153)</f>
        <v>CENCOSUD SA</v>
      </c>
      <c r="E153" s="7" t="str">
        <f>IF('Port Bloomberg'!E153="","",'Port Bloomberg'!E153)</f>
        <v>USP2205JAT71</v>
      </c>
      <c r="F153" s="7" t="str">
        <f>IF('Port Bloomberg'!F153="","",'Port Bloomberg'!F153)</f>
        <v>CENSUD</v>
      </c>
      <c r="G153" s="7" t="str">
        <f>IF('Port Bloomberg'!G153="","",'Port Bloomberg'!G153)</f>
        <v>CENCOSUD CI</v>
      </c>
      <c r="H153" s="7" t="str">
        <f>IF('Port Bloomberg'!H153="","",'Port Bloomberg'!H153)</f>
        <v>Food</v>
      </c>
      <c r="I153" s="7" t="str">
        <f>IF('Port Bloomberg'!I153="","",'Port Bloomberg'!I153)</f>
        <v>IND</v>
      </c>
      <c r="J153" s="7" t="str">
        <f>IF('Port Bloomberg'!J153="","",'Port Bloomberg'!J153)</f>
        <v>Food-Retail</v>
      </c>
      <c r="K153" s="7" t="str">
        <f>IF('Port Bloomberg'!K153="","",'Port Bloomberg'!K153)</f>
        <v>CL</v>
      </c>
      <c r="L153" s="7" t="str">
        <f>IF('Port Bloomberg'!L153="","",'Port Bloomberg'!L153)</f>
        <v>CL</v>
      </c>
      <c r="M153" s="7" t="str">
        <f>IF('Port Bloomberg'!M153="","",'Port Bloomberg'!M153)</f>
        <v>USD</v>
      </c>
      <c r="N153" s="7">
        <f>IF('Port Bloomberg'!N153="","",'Port Bloomberg'!N153)</f>
        <v>650000</v>
      </c>
      <c r="O153" s="7" t="str">
        <f>IF('Port Bloomberg'!O153="","",'Port Bloomberg'!O153)</f>
        <v>SINGLE</v>
      </c>
      <c r="P153" s="7">
        <f>IF('Port Bloomberg'!P153="","",'Port Bloomberg'!P153)</f>
        <v>5.95</v>
      </c>
      <c r="Q153" s="7" t="str">
        <f>IF('Port Bloomberg'!Q153="","",'Port Bloomberg'!Q153)</f>
        <v>BBB-</v>
      </c>
      <c r="R153" s="7" t="str">
        <f>IF('Port Bloomberg'!R153="","",'Port Bloomberg'!R153)</f>
        <v>05/28/2031</v>
      </c>
      <c r="S153" s="5">
        <f>IF(E153="","",IFERROR(IF(MATCH(E153,[1]Instrumentos!$D:$D,0)&gt;0,1,0),0))</f>
        <v>1</v>
      </c>
      <c r="T153" s="5">
        <f>IF(E153="","",IFERROR(IF(MATCH(E153,'Lista de excepciones'!$E:$E,0)&gt;0,1,0),0))</f>
        <v>0</v>
      </c>
      <c r="U153" s="6" t="str">
        <f t="shared" si="3"/>
        <v>NO</v>
      </c>
    </row>
    <row r="154" spans="1:21" hidden="1" x14ac:dyDescent="0.25">
      <c r="A154" s="7" t="str">
        <f>IF('Port Bloomberg'!A154="","",'Port Bloomberg'!A154)</f>
        <v>CENSUD 6 ⅝ 02/12/45</v>
      </c>
      <c r="B154" s="7" t="str">
        <f>IF('Port Bloomberg'!B154="","",'Port Bloomberg'!B154)</f>
        <v>Cencosud SA</v>
      </c>
      <c r="C154" s="7" t="str">
        <f>IF('Port Bloomberg'!C154="","",'Port Bloomberg'!C154)</f>
        <v>CENCOSUD SA</v>
      </c>
      <c r="D154" s="7" t="str">
        <f>IF('Port Bloomberg'!D154="","",'Port Bloomberg'!D154)</f>
        <v>CENCOSUD SA</v>
      </c>
      <c r="E154" s="7" t="str">
        <f>IF('Port Bloomberg'!E154="","",'Port Bloomberg'!E154)</f>
        <v>USP2205JAL46</v>
      </c>
      <c r="F154" s="7" t="str">
        <f>IF('Port Bloomberg'!F154="","",'Port Bloomberg'!F154)</f>
        <v>CENSUD</v>
      </c>
      <c r="G154" s="7" t="str">
        <f>IF('Port Bloomberg'!G154="","",'Port Bloomberg'!G154)</f>
        <v>CENCOSUD CI</v>
      </c>
      <c r="H154" s="7" t="str">
        <f>IF('Port Bloomberg'!H154="","",'Port Bloomberg'!H154)</f>
        <v>Food</v>
      </c>
      <c r="I154" s="7" t="str">
        <f>IF('Port Bloomberg'!I154="","",'Port Bloomberg'!I154)</f>
        <v>IND</v>
      </c>
      <c r="J154" s="7" t="str">
        <f>IF('Port Bloomberg'!J154="","",'Port Bloomberg'!J154)</f>
        <v>Food-Retail</v>
      </c>
      <c r="K154" s="7" t="str">
        <f>IF('Port Bloomberg'!K154="","",'Port Bloomberg'!K154)</f>
        <v>CL</v>
      </c>
      <c r="L154" s="7" t="str">
        <f>IF('Port Bloomberg'!L154="","",'Port Bloomberg'!L154)</f>
        <v>CL</v>
      </c>
      <c r="M154" s="7" t="str">
        <f>IF('Port Bloomberg'!M154="","",'Port Bloomberg'!M154)</f>
        <v>USD</v>
      </c>
      <c r="N154" s="7">
        <f>IF('Port Bloomberg'!N154="","",'Port Bloomberg'!N154)</f>
        <v>350000</v>
      </c>
      <c r="O154" s="7" t="str">
        <f>IF('Port Bloomberg'!O154="","",'Port Bloomberg'!O154)</f>
        <v>SINGLE</v>
      </c>
      <c r="P154" s="7">
        <f>IF('Port Bloomberg'!P154="","",'Port Bloomberg'!P154)</f>
        <v>6.625</v>
      </c>
      <c r="Q154" s="7" t="str">
        <f>IF('Port Bloomberg'!Q154="","",'Port Bloomberg'!Q154)</f>
        <v>BBB-</v>
      </c>
      <c r="R154" s="7" t="str">
        <f>IF('Port Bloomberg'!R154="","",'Port Bloomberg'!R154)</f>
        <v>02/12/2045</v>
      </c>
      <c r="S154" s="5">
        <f>IF(E154="","",IFERROR(IF(MATCH(E154,[1]Instrumentos!$D:$D,0)&gt;0,1,0),0))</f>
        <v>1</v>
      </c>
      <c r="T154" s="5">
        <f>IF(E154="","",IFERROR(IF(MATCH(E154,'Lista de excepciones'!$E:$E,0)&gt;0,1,0),0))</f>
        <v>0</v>
      </c>
      <c r="U154" s="6" t="str">
        <f t="shared" si="3"/>
        <v>NO</v>
      </c>
    </row>
    <row r="155" spans="1:21" hidden="1" x14ac:dyDescent="0.25">
      <c r="A155" s="7" t="str">
        <f>IF('Port Bloomberg'!A155="","",'Port Bloomberg'!A155)</f>
        <v>CFELEC 3 ⅞ 07/26/33</v>
      </c>
      <c r="B155" s="7" t="str">
        <f>IF('Port Bloomberg'!B155="","",'Port Bloomberg'!B155)</f>
        <v>Comision Federal de Electricidad</v>
      </c>
      <c r="C155" s="7" t="str">
        <f>IF('Port Bloomberg'!C155="","",'Port Bloomberg'!C155)</f>
        <v>COMISION FEDERAL</v>
      </c>
      <c r="D155" s="7" t="str">
        <f>IF('Port Bloomberg'!D155="","",'Port Bloomberg'!D155)</f>
        <v>COMISION FEDERAL DE ELEC</v>
      </c>
      <c r="E155" s="7" t="str">
        <f>IF('Port Bloomberg'!E155="","",'Port Bloomberg'!E155)</f>
        <v>USP30179BK34</v>
      </c>
      <c r="F155" s="7" t="str">
        <f>IF('Port Bloomberg'!F155="","",'Port Bloomberg'!F155)</f>
        <v>CFELEC</v>
      </c>
      <c r="G155" s="7" t="str">
        <f>IF('Port Bloomberg'!G155="","",'Port Bloomberg'!G155)</f>
        <v>1016Z MM</v>
      </c>
      <c r="H155" s="7" t="str">
        <f>IF('Port Bloomberg'!H155="","",'Port Bloomberg'!H155)</f>
        <v>Electric</v>
      </c>
      <c r="I155" s="7" t="str">
        <f>IF('Port Bloomberg'!I155="","",'Port Bloomberg'!I155)</f>
        <v>FOA</v>
      </c>
      <c r="J155" s="7" t="str">
        <f>IF('Port Bloomberg'!J155="","",'Port Bloomberg'!J155)</f>
        <v>Electric-Distribution</v>
      </c>
      <c r="K155" s="7" t="str">
        <f>IF('Port Bloomberg'!K155="","",'Port Bloomberg'!K155)</f>
        <v>MX</v>
      </c>
      <c r="L155" s="7" t="str">
        <f>IF('Port Bloomberg'!L155="","",'Port Bloomberg'!L155)</f>
        <v>MX</v>
      </c>
      <c r="M155" s="7" t="str">
        <f>IF('Port Bloomberg'!M155="","",'Port Bloomberg'!M155)</f>
        <v>USD</v>
      </c>
      <c r="N155" s="7">
        <f>IF('Port Bloomberg'!N155="","",'Port Bloomberg'!N155)</f>
        <v>850000</v>
      </c>
      <c r="O155" s="7" t="str">
        <f>IF('Port Bloomberg'!O155="","",'Port Bloomberg'!O155)</f>
        <v>SINGLE</v>
      </c>
      <c r="P155" s="7">
        <f>IF('Port Bloomberg'!P155="","",'Port Bloomberg'!P155)</f>
        <v>3.875</v>
      </c>
      <c r="Q155" s="7" t="str">
        <f>IF('Port Bloomberg'!Q155="","",'Port Bloomberg'!Q155)</f>
        <v>BBB-</v>
      </c>
      <c r="R155" s="7" t="str">
        <f>IF('Port Bloomberg'!R155="","",'Port Bloomberg'!R155)</f>
        <v>07/26/2033</v>
      </c>
      <c r="S155" s="5">
        <f>IF(E155="","",IFERROR(IF(MATCH(E155,[1]Instrumentos!$D:$D,0)&gt;0,1,0),0))</f>
        <v>1</v>
      </c>
      <c r="T155" s="5">
        <f>IF(E155="","",IFERROR(IF(MATCH(E155,'Lista de excepciones'!$E:$E,0)&gt;0,1,0),0))</f>
        <v>0</v>
      </c>
      <c r="U155" s="6" t="str">
        <f t="shared" si="3"/>
        <v>NO</v>
      </c>
    </row>
    <row r="156" spans="1:21" hidden="1" x14ac:dyDescent="0.25">
      <c r="A156" s="7" t="str">
        <f>IF('Port Bloomberg'!A156="","",'Port Bloomberg'!A156)</f>
        <v>CFELEC 3.348 02/09/31</v>
      </c>
      <c r="B156" s="7" t="str">
        <f>IF('Port Bloomberg'!B156="","",'Port Bloomberg'!B156)</f>
        <v>Comision Federal de Electricidad</v>
      </c>
      <c r="C156" s="7" t="str">
        <f>IF('Port Bloomberg'!C156="","",'Port Bloomberg'!C156)</f>
        <v>COMISION FEDERAL</v>
      </c>
      <c r="D156" s="7" t="str">
        <f>IF('Port Bloomberg'!D156="","",'Port Bloomberg'!D156)</f>
        <v>COMISION FEDERAL DE ELEC</v>
      </c>
      <c r="E156" s="7" t="str">
        <f>IF('Port Bloomberg'!E156="","",'Port Bloomberg'!E156)</f>
        <v>USP29595AD08</v>
      </c>
      <c r="F156" s="7" t="str">
        <f>IF('Port Bloomberg'!F156="","",'Port Bloomberg'!F156)</f>
        <v>CFELEC</v>
      </c>
      <c r="G156" s="7" t="str">
        <f>IF('Port Bloomberg'!G156="","",'Port Bloomberg'!G156)</f>
        <v>1016Z MM</v>
      </c>
      <c r="H156" s="7" t="str">
        <f>IF('Port Bloomberg'!H156="","",'Port Bloomberg'!H156)</f>
        <v>Electric</v>
      </c>
      <c r="I156" s="7" t="str">
        <f>IF('Port Bloomberg'!I156="","",'Port Bloomberg'!I156)</f>
        <v>FOA</v>
      </c>
      <c r="J156" s="7" t="str">
        <f>IF('Port Bloomberg'!J156="","",'Port Bloomberg'!J156)</f>
        <v>Electric-Distribution</v>
      </c>
      <c r="K156" s="7" t="str">
        <f>IF('Port Bloomberg'!K156="","",'Port Bloomberg'!K156)</f>
        <v>MX</v>
      </c>
      <c r="L156" s="7" t="str">
        <f>IF('Port Bloomberg'!L156="","",'Port Bloomberg'!L156)</f>
        <v>MX</v>
      </c>
      <c r="M156" s="7" t="str">
        <f>IF('Port Bloomberg'!M156="","",'Port Bloomberg'!M156)</f>
        <v>USD</v>
      </c>
      <c r="N156" s="7">
        <f>IF('Port Bloomberg'!N156="","",'Port Bloomberg'!N156)</f>
        <v>1200000</v>
      </c>
      <c r="O156" s="7" t="str">
        <f>IF('Port Bloomberg'!O156="","",'Port Bloomberg'!O156)</f>
        <v>SINGLE</v>
      </c>
      <c r="P156" s="7">
        <f>IF('Port Bloomberg'!P156="","",'Port Bloomberg'!P156)</f>
        <v>3.3479999999999999</v>
      </c>
      <c r="Q156" s="7" t="str">
        <f>IF('Port Bloomberg'!Q156="","",'Port Bloomberg'!Q156)</f>
        <v>BBB-</v>
      </c>
      <c r="R156" s="7" t="str">
        <f>IF('Port Bloomberg'!R156="","",'Port Bloomberg'!R156)</f>
        <v>02/09/2031</v>
      </c>
      <c r="S156" s="5">
        <f>IF(E156="","",IFERROR(IF(MATCH(E156,[1]Instrumentos!$D:$D,0)&gt;0,1,0),0))</f>
        <v>1</v>
      </c>
      <c r="T156" s="5">
        <f>IF(E156="","",IFERROR(IF(MATCH(E156,'Lista de excepciones'!$E:$E,0)&gt;0,1,0),0))</f>
        <v>0</v>
      </c>
      <c r="U156" s="6" t="str">
        <f t="shared" si="3"/>
        <v>NO</v>
      </c>
    </row>
    <row r="157" spans="1:21" hidden="1" x14ac:dyDescent="0.25">
      <c r="A157" s="7" t="str">
        <f>IF('Port Bloomberg'!A157="","",'Port Bloomberg'!A157)</f>
        <v>CFELEC 4.05 03/20/50</v>
      </c>
      <c r="B157" s="7" t="str">
        <f>IF('Port Bloomberg'!B157="","",'Port Bloomberg'!B157)</f>
        <v>Comision Federal de Electricidad</v>
      </c>
      <c r="C157" s="7" t="str">
        <f>IF('Port Bloomberg'!C157="","",'Port Bloomberg'!C157)</f>
        <v>COMISION FEDERAL</v>
      </c>
      <c r="D157" s="7" t="str">
        <f>IF('Port Bloomberg'!D157="","",'Port Bloomberg'!D157)</f>
        <v>COMISION FEDERAL DE ELEC</v>
      </c>
      <c r="E157" s="7" t="str">
        <f>IF('Port Bloomberg'!E157="","",'Port Bloomberg'!E157)</f>
        <v>XS2133064480</v>
      </c>
      <c r="F157" s="7" t="str">
        <f>IF('Port Bloomberg'!F157="","",'Port Bloomberg'!F157)</f>
        <v>CFELEC</v>
      </c>
      <c r="G157" s="7" t="str">
        <f>IF('Port Bloomberg'!G157="","",'Port Bloomberg'!G157)</f>
        <v>1016Z MM</v>
      </c>
      <c r="H157" s="7" t="str">
        <f>IF('Port Bloomberg'!H157="","",'Port Bloomberg'!H157)</f>
        <v>Electric</v>
      </c>
      <c r="I157" s="7" t="str">
        <f>IF('Port Bloomberg'!I157="","",'Port Bloomberg'!I157)</f>
        <v>FOA</v>
      </c>
      <c r="J157" s="7" t="str">
        <f>IF('Port Bloomberg'!J157="","",'Port Bloomberg'!J157)</f>
        <v>Electric-Distribution</v>
      </c>
      <c r="K157" s="7" t="str">
        <f>IF('Port Bloomberg'!K157="","",'Port Bloomberg'!K157)</f>
        <v>MX</v>
      </c>
      <c r="L157" s="7" t="str">
        <f>IF('Port Bloomberg'!L157="","",'Port Bloomberg'!L157)</f>
        <v>MX</v>
      </c>
      <c r="M157" s="7" t="str">
        <f>IF('Port Bloomberg'!M157="","",'Port Bloomberg'!M157)</f>
        <v>USD</v>
      </c>
      <c r="N157" s="7">
        <f>IF('Port Bloomberg'!N157="","",'Port Bloomberg'!N157)</f>
        <v>900000</v>
      </c>
      <c r="O157" s="7" t="str">
        <f>IF('Port Bloomberg'!O157="","",'Port Bloomberg'!O157)</f>
        <v>SINGLE</v>
      </c>
      <c r="P157" s="7">
        <f>IF('Port Bloomberg'!P157="","",'Port Bloomberg'!P157)</f>
        <v>4.05</v>
      </c>
      <c r="Q157" s="7" t="str">
        <f>IF('Port Bloomberg'!Q157="","",'Port Bloomberg'!Q157)</f>
        <v>BBB-</v>
      </c>
      <c r="R157" s="7" t="str">
        <f>IF('Port Bloomberg'!R157="","",'Port Bloomberg'!R157)</f>
        <v>03/20/2050</v>
      </c>
      <c r="S157" s="5">
        <f>IF(E157="","",IFERROR(IF(MATCH(E157,[1]Instrumentos!$D:$D,0)&gt;0,1,0),0))</f>
        <v>1</v>
      </c>
      <c r="T157" s="5">
        <f>IF(E157="","",IFERROR(IF(MATCH(E157,'Lista de excepciones'!$E:$E,0)&gt;0,1,0),0))</f>
        <v>0</v>
      </c>
      <c r="U157" s="6" t="str">
        <f t="shared" si="3"/>
        <v>NO</v>
      </c>
    </row>
    <row r="158" spans="1:21" hidden="1" x14ac:dyDescent="0.25">
      <c r="A158" s="7" t="str">
        <f>IF('Port Bloomberg'!A158="","",'Port Bloomberg'!A158)</f>
        <v>CFELEC 4.677 02/09/51</v>
      </c>
      <c r="B158" s="7" t="str">
        <f>IF('Port Bloomberg'!B158="","",'Port Bloomberg'!B158)</f>
        <v>Comision Federal de Electricidad</v>
      </c>
      <c r="C158" s="7" t="str">
        <f>IF('Port Bloomberg'!C158="","",'Port Bloomberg'!C158)</f>
        <v>COMISION FEDERAL</v>
      </c>
      <c r="D158" s="7" t="str">
        <f>IF('Port Bloomberg'!D158="","",'Port Bloomberg'!D158)</f>
        <v>COMISION FEDERAL DE ELEC</v>
      </c>
      <c r="E158" s="7" t="str">
        <f>IF('Port Bloomberg'!E158="","",'Port Bloomberg'!E158)</f>
        <v>USP29595AE80</v>
      </c>
      <c r="F158" s="7" t="str">
        <f>IF('Port Bloomberg'!F158="","",'Port Bloomberg'!F158)</f>
        <v>CFELEC</v>
      </c>
      <c r="G158" s="7" t="str">
        <f>IF('Port Bloomberg'!G158="","",'Port Bloomberg'!G158)</f>
        <v>1016Z MM</v>
      </c>
      <c r="H158" s="7" t="str">
        <f>IF('Port Bloomberg'!H158="","",'Port Bloomberg'!H158)</f>
        <v>Electric</v>
      </c>
      <c r="I158" s="7" t="str">
        <f>IF('Port Bloomberg'!I158="","",'Port Bloomberg'!I158)</f>
        <v>FOA</v>
      </c>
      <c r="J158" s="7" t="str">
        <f>IF('Port Bloomberg'!J158="","",'Port Bloomberg'!J158)</f>
        <v>Electric-Distribution</v>
      </c>
      <c r="K158" s="7" t="str">
        <f>IF('Port Bloomberg'!K158="","",'Port Bloomberg'!K158)</f>
        <v>MX</v>
      </c>
      <c r="L158" s="7" t="str">
        <f>IF('Port Bloomberg'!L158="","",'Port Bloomberg'!L158)</f>
        <v>MX</v>
      </c>
      <c r="M158" s="7" t="str">
        <f>IF('Port Bloomberg'!M158="","",'Port Bloomberg'!M158)</f>
        <v>USD</v>
      </c>
      <c r="N158" s="7">
        <f>IF('Port Bloomberg'!N158="","",'Port Bloomberg'!N158)</f>
        <v>800000</v>
      </c>
      <c r="O158" s="7" t="str">
        <f>IF('Port Bloomberg'!O158="","",'Port Bloomberg'!O158)</f>
        <v>SINGLE</v>
      </c>
      <c r="P158" s="7">
        <f>IF('Port Bloomberg'!P158="","",'Port Bloomberg'!P158)</f>
        <v>4.6769999999999996</v>
      </c>
      <c r="Q158" s="7" t="str">
        <f>IF('Port Bloomberg'!Q158="","",'Port Bloomberg'!Q158)</f>
        <v>BBB-</v>
      </c>
      <c r="R158" s="7" t="str">
        <f>IF('Port Bloomberg'!R158="","",'Port Bloomberg'!R158)</f>
        <v>02/09/2051</v>
      </c>
      <c r="S158" s="5">
        <f>IF(E158="","",IFERROR(IF(MATCH(E158,[1]Instrumentos!$D:$D,0)&gt;0,1,0),0))</f>
        <v>1</v>
      </c>
      <c r="T158" s="5">
        <f>IF(E158="","",IFERROR(IF(MATCH(E158,'Lista de excepciones'!$E:$E,0)&gt;0,1,0),0))</f>
        <v>0</v>
      </c>
      <c r="U158" s="6" t="str">
        <f t="shared" si="3"/>
        <v>NO</v>
      </c>
    </row>
    <row r="159" spans="1:21" hidden="1" x14ac:dyDescent="0.25">
      <c r="A159" s="7" t="str">
        <f>IF('Port Bloomberg'!A159="","",'Port Bloomberg'!A159)</f>
        <v>CFELEC 4.688 05/15/29</v>
      </c>
      <c r="B159" s="7" t="str">
        <f>IF('Port Bloomberg'!B159="","",'Port Bloomberg'!B159)</f>
        <v>Comision Federal de Electricidad</v>
      </c>
      <c r="C159" s="7" t="str">
        <f>IF('Port Bloomberg'!C159="","",'Port Bloomberg'!C159)</f>
        <v>COMISION FEDERAL</v>
      </c>
      <c r="D159" s="7" t="str">
        <f>IF('Port Bloomberg'!D159="","",'Port Bloomberg'!D159)</f>
        <v>COMISION FEDERAL DE ELEC</v>
      </c>
      <c r="E159" s="7" t="str">
        <f>IF('Port Bloomberg'!E159="","",'Port Bloomberg'!E159)</f>
        <v>USP30179BQ04</v>
      </c>
      <c r="F159" s="7" t="str">
        <f>IF('Port Bloomberg'!F159="","",'Port Bloomberg'!F159)</f>
        <v>CFELEC</v>
      </c>
      <c r="G159" s="7" t="str">
        <f>IF('Port Bloomberg'!G159="","",'Port Bloomberg'!G159)</f>
        <v>1016Z MM</v>
      </c>
      <c r="H159" s="7" t="str">
        <f>IF('Port Bloomberg'!H159="","",'Port Bloomberg'!H159)</f>
        <v>Electric</v>
      </c>
      <c r="I159" s="7" t="str">
        <f>IF('Port Bloomberg'!I159="","",'Port Bloomberg'!I159)</f>
        <v>FOA</v>
      </c>
      <c r="J159" s="7" t="str">
        <f>IF('Port Bloomberg'!J159="","",'Port Bloomberg'!J159)</f>
        <v>Electric-Distribution</v>
      </c>
      <c r="K159" s="7" t="str">
        <f>IF('Port Bloomberg'!K159="","",'Port Bloomberg'!K159)</f>
        <v>MX</v>
      </c>
      <c r="L159" s="7" t="str">
        <f>IF('Port Bloomberg'!L159="","",'Port Bloomberg'!L159)</f>
        <v>MX</v>
      </c>
      <c r="M159" s="7" t="str">
        <f>IF('Port Bloomberg'!M159="","",'Port Bloomberg'!M159)</f>
        <v>USD</v>
      </c>
      <c r="N159" s="7">
        <f>IF('Port Bloomberg'!N159="","",'Port Bloomberg'!N159)</f>
        <v>1250000</v>
      </c>
      <c r="O159" s="7" t="str">
        <f>IF('Port Bloomberg'!O159="","",'Port Bloomberg'!O159)</f>
        <v>SINGLE</v>
      </c>
      <c r="P159" s="7">
        <f>IF('Port Bloomberg'!P159="","",'Port Bloomberg'!P159)</f>
        <v>4.6879999999999997</v>
      </c>
      <c r="Q159" s="7" t="str">
        <f>IF('Port Bloomberg'!Q159="","",'Port Bloomberg'!Q159)</f>
        <v>BBB-</v>
      </c>
      <c r="R159" s="7" t="str">
        <f>IF('Port Bloomberg'!R159="","",'Port Bloomberg'!R159)</f>
        <v>05/15/2029</v>
      </c>
      <c r="S159" s="5">
        <f>IF(E159="","",IFERROR(IF(MATCH(E159,[1]Instrumentos!$D:$D,0)&gt;0,1,0),0))</f>
        <v>1</v>
      </c>
      <c r="T159" s="5">
        <f>IF(E159="","",IFERROR(IF(MATCH(E159,'Lista de excepciones'!$E:$E,0)&gt;0,1,0),0))</f>
        <v>0</v>
      </c>
      <c r="U159" s="6" t="str">
        <f t="shared" si="3"/>
        <v>NO</v>
      </c>
    </row>
    <row r="160" spans="1:21" hidden="1" x14ac:dyDescent="0.25">
      <c r="A160" s="7" t="str">
        <f>IF('Port Bloomberg'!A160="","",'Port Bloomberg'!A160)</f>
        <v>CFELEC 5 03/12/48</v>
      </c>
      <c r="B160" s="7" t="str">
        <f>IF('Port Bloomberg'!B160="","",'Port Bloomberg'!B160)</f>
        <v>Comision Federal de Electricidad</v>
      </c>
      <c r="C160" s="7" t="str">
        <f>IF('Port Bloomberg'!C160="","",'Port Bloomberg'!C160)</f>
        <v>COMISION FEDERAL</v>
      </c>
      <c r="D160" s="7" t="str">
        <f>IF('Port Bloomberg'!D160="","",'Port Bloomberg'!D160)</f>
        <v>COMISION FEDERAL DE ELEC</v>
      </c>
      <c r="E160" s="7" t="str">
        <f>IF('Port Bloomberg'!E160="","",'Port Bloomberg'!E160)</f>
        <v>XS1773650681</v>
      </c>
      <c r="F160" s="7" t="str">
        <f>IF('Port Bloomberg'!F160="","",'Port Bloomberg'!F160)</f>
        <v>CFELEC</v>
      </c>
      <c r="G160" s="7" t="str">
        <f>IF('Port Bloomberg'!G160="","",'Port Bloomberg'!G160)</f>
        <v>1016Z MM</v>
      </c>
      <c r="H160" s="7" t="str">
        <f>IF('Port Bloomberg'!H160="","",'Port Bloomberg'!H160)</f>
        <v>Electric</v>
      </c>
      <c r="I160" s="7" t="str">
        <f>IF('Port Bloomberg'!I160="","",'Port Bloomberg'!I160)</f>
        <v>FOA</v>
      </c>
      <c r="J160" s="7" t="str">
        <f>IF('Port Bloomberg'!J160="","",'Port Bloomberg'!J160)</f>
        <v>Electric-Distribution</v>
      </c>
      <c r="K160" s="7" t="str">
        <f>IF('Port Bloomberg'!K160="","",'Port Bloomberg'!K160)</f>
        <v>MX</v>
      </c>
      <c r="L160" s="7" t="str">
        <f>IF('Port Bloomberg'!L160="","",'Port Bloomberg'!L160)</f>
        <v>MX</v>
      </c>
      <c r="M160" s="7" t="str">
        <f>IF('Port Bloomberg'!M160="","",'Port Bloomberg'!M160)</f>
        <v>USD</v>
      </c>
      <c r="N160" s="7">
        <f>IF('Port Bloomberg'!N160="","",'Port Bloomberg'!N160)</f>
        <v>727000</v>
      </c>
      <c r="O160" s="7" t="str">
        <f>IF('Port Bloomberg'!O160="","",'Port Bloomberg'!O160)</f>
        <v>SINGLE</v>
      </c>
      <c r="P160" s="7">
        <f>IF('Port Bloomberg'!P160="","",'Port Bloomberg'!P160)</f>
        <v>5</v>
      </c>
      <c r="Q160" s="7" t="str">
        <f>IF('Port Bloomberg'!Q160="","",'Port Bloomberg'!Q160)</f>
        <v/>
      </c>
      <c r="R160" s="7" t="str">
        <f>IF('Port Bloomberg'!R160="","",'Port Bloomberg'!R160)</f>
        <v>03/12/2048</v>
      </c>
      <c r="S160" s="5">
        <f>IF(E160="","",IFERROR(IF(MATCH(E160,[1]Instrumentos!$D:$D,0)&gt;0,1,0),0))</f>
        <v>1</v>
      </c>
      <c r="T160" s="5">
        <f>IF(E160="","",IFERROR(IF(MATCH(E160,'Lista de excepciones'!$E:$E,0)&gt;0,1,0),0))</f>
        <v>0</v>
      </c>
      <c r="U160" s="6" t="str">
        <f t="shared" si="3"/>
        <v>NO</v>
      </c>
    </row>
    <row r="161" spans="1:21" hidden="1" x14ac:dyDescent="0.25">
      <c r="A161" s="7" t="str">
        <f>IF('Port Bloomberg'!A161="","",'Port Bloomberg'!A161)</f>
        <v>CFELEC 5 07/30/49</v>
      </c>
      <c r="B161" s="7" t="str">
        <f>IF('Port Bloomberg'!B161="","",'Port Bloomberg'!B161)</f>
        <v>Comision Federal de Electricidad</v>
      </c>
      <c r="C161" s="7" t="str">
        <f>IF('Port Bloomberg'!C161="","",'Port Bloomberg'!C161)</f>
        <v>COMISION FEDERAL</v>
      </c>
      <c r="D161" s="7" t="str">
        <f>IF('Port Bloomberg'!D161="","",'Port Bloomberg'!D161)</f>
        <v>COMISION FEDERAL DE ELEC</v>
      </c>
      <c r="E161" s="7" t="str">
        <f>IF('Port Bloomberg'!E161="","",'Port Bloomberg'!E161)</f>
        <v>XS2030333038</v>
      </c>
      <c r="F161" s="7" t="str">
        <f>IF('Port Bloomberg'!F161="","",'Port Bloomberg'!F161)</f>
        <v>CFELEC</v>
      </c>
      <c r="G161" s="7" t="str">
        <f>IF('Port Bloomberg'!G161="","",'Port Bloomberg'!G161)</f>
        <v>1016Z MM</v>
      </c>
      <c r="H161" s="7" t="str">
        <f>IF('Port Bloomberg'!H161="","",'Port Bloomberg'!H161)</f>
        <v>Electric</v>
      </c>
      <c r="I161" s="7" t="str">
        <f>IF('Port Bloomberg'!I161="","",'Port Bloomberg'!I161)</f>
        <v>FOA</v>
      </c>
      <c r="J161" s="7" t="str">
        <f>IF('Port Bloomberg'!J161="","",'Port Bloomberg'!J161)</f>
        <v>Electric-Distribution</v>
      </c>
      <c r="K161" s="7" t="str">
        <f>IF('Port Bloomberg'!K161="","",'Port Bloomberg'!K161)</f>
        <v>MX</v>
      </c>
      <c r="L161" s="7" t="str">
        <f>IF('Port Bloomberg'!L161="","",'Port Bloomberg'!L161)</f>
        <v>MX</v>
      </c>
      <c r="M161" s="7" t="str">
        <f>IF('Port Bloomberg'!M161="","",'Port Bloomberg'!M161)</f>
        <v>USD</v>
      </c>
      <c r="N161" s="7">
        <f>IF('Port Bloomberg'!N161="","",'Port Bloomberg'!N161)</f>
        <v>615000</v>
      </c>
      <c r="O161" s="7" t="str">
        <f>IF('Port Bloomberg'!O161="","",'Port Bloomberg'!O161)</f>
        <v>SINGLE</v>
      </c>
      <c r="P161" s="7">
        <f>IF('Port Bloomberg'!P161="","",'Port Bloomberg'!P161)</f>
        <v>5</v>
      </c>
      <c r="Q161" s="7" t="str">
        <f>IF('Port Bloomberg'!Q161="","",'Port Bloomberg'!Q161)</f>
        <v>BBB-</v>
      </c>
      <c r="R161" s="7" t="str">
        <f>IF('Port Bloomberg'!R161="","",'Port Bloomberg'!R161)</f>
        <v>07/30/2049</v>
      </c>
      <c r="S161" s="5">
        <f>IF(E161="","",IFERROR(IF(MATCH(E161,[1]Instrumentos!$D:$D,0)&gt;0,1,0),0))</f>
        <v>1</v>
      </c>
      <c r="T161" s="5">
        <f>IF(E161="","",IFERROR(IF(MATCH(E161,'Lista de excepciones'!$E:$E,0)&gt;0,1,0),0))</f>
        <v>0</v>
      </c>
      <c r="U161" s="6" t="str">
        <f t="shared" si="3"/>
        <v>NO</v>
      </c>
    </row>
    <row r="162" spans="1:21" hidden="1" x14ac:dyDescent="0.25">
      <c r="A162" s="7" t="str">
        <f>IF('Port Bloomberg'!A162="","",'Port Bloomberg'!A162)</f>
        <v>CFELEC 5 09/29/36</v>
      </c>
      <c r="B162" s="7" t="str">
        <f>IF('Port Bloomberg'!B162="","",'Port Bloomberg'!B162)</f>
        <v>Comision Federal de Electricidad</v>
      </c>
      <c r="C162" s="7" t="str">
        <f>IF('Port Bloomberg'!C162="","",'Port Bloomberg'!C162)</f>
        <v>COMISION FEDERAL</v>
      </c>
      <c r="D162" s="7" t="str">
        <f>IF('Port Bloomberg'!D162="","",'Port Bloomberg'!D162)</f>
        <v>COMISION FEDERAL DE ELEC</v>
      </c>
      <c r="E162" s="7" t="str">
        <f>IF('Port Bloomberg'!E162="","",'Port Bloomberg'!E162)</f>
        <v>XS1505143393</v>
      </c>
      <c r="F162" s="7" t="str">
        <f>IF('Port Bloomberg'!F162="","",'Port Bloomberg'!F162)</f>
        <v>CFELEC</v>
      </c>
      <c r="G162" s="7" t="str">
        <f>IF('Port Bloomberg'!G162="","",'Port Bloomberg'!G162)</f>
        <v>1016Z MM</v>
      </c>
      <c r="H162" s="7" t="str">
        <f>IF('Port Bloomberg'!H162="","",'Port Bloomberg'!H162)</f>
        <v>Electric</v>
      </c>
      <c r="I162" s="7" t="str">
        <f>IF('Port Bloomberg'!I162="","",'Port Bloomberg'!I162)</f>
        <v>FOA</v>
      </c>
      <c r="J162" s="7" t="str">
        <f>IF('Port Bloomberg'!J162="","",'Port Bloomberg'!J162)</f>
        <v>Electric-Distribution</v>
      </c>
      <c r="K162" s="7" t="str">
        <f>IF('Port Bloomberg'!K162="","",'Port Bloomberg'!K162)</f>
        <v>MX</v>
      </c>
      <c r="L162" s="7" t="str">
        <f>IF('Port Bloomberg'!L162="","",'Port Bloomberg'!L162)</f>
        <v>MX</v>
      </c>
      <c r="M162" s="7" t="str">
        <f>IF('Port Bloomberg'!M162="","",'Port Bloomberg'!M162)</f>
        <v>USD</v>
      </c>
      <c r="N162" s="7">
        <f>IF('Port Bloomberg'!N162="","",'Port Bloomberg'!N162)</f>
        <v>375000</v>
      </c>
      <c r="O162" s="7" t="str">
        <f>IF('Port Bloomberg'!O162="","",'Port Bloomberg'!O162)</f>
        <v>SINGLE</v>
      </c>
      <c r="P162" s="7">
        <f>IF('Port Bloomberg'!P162="","",'Port Bloomberg'!P162)</f>
        <v>5</v>
      </c>
      <c r="Q162" s="7" t="str">
        <f>IF('Port Bloomberg'!Q162="","",'Port Bloomberg'!Q162)</f>
        <v>NR</v>
      </c>
      <c r="R162" s="7" t="str">
        <f>IF('Port Bloomberg'!R162="","",'Port Bloomberg'!R162)</f>
        <v>09/29/2036</v>
      </c>
      <c r="S162" s="5">
        <f>IF(E162="","",IFERROR(IF(MATCH(E162,[1]Instrumentos!$D:$D,0)&gt;0,1,0),0))</f>
        <v>1</v>
      </c>
      <c r="T162" s="5">
        <f>IF(E162="","",IFERROR(IF(MATCH(E162,'Lista de excepciones'!$E:$E,0)&gt;0,1,0),0))</f>
        <v>0</v>
      </c>
      <c r="U162" s="6" t="str">
        <f t="shared" si="3"/>
        <v>NO</v>
      </c>
    </row>
    <row r="163" spans="1:21" hidden="1" x14ac:dyDescent="0.25">
      <c r="A163" s="7" t="str">
        <f>IF('Port Bloomberg'!A163="","",'Port Bloomberg'!A163)</f>
        <v>CFELEC 5 ¾ 02/14/42</v>
      </c>
      <c r="B163" s="7" t="str">
        <f>IF('Port Bloomberg'!B163="","",'Port Bloomberg'!B163)</f>
        <v>Comision Federal de Electricidad</v>
      </c>
      <c r="C163" s="7" t="str">
        <f>IF('Port Bloomberg'!C163="","",'Port Bloomberg'!C163)</f>
        <v>COM FED ELECTRIC</v>
      </c>
      <c r="D163" s="7" t="str">
        <f>IF('Port Bloomberg'!D163="","",'Port Bloomberg'!D163)</f>
        <v>COMISION FEDERAL DE ELEC</v>
      </c>
      <c r="E163" s="7" t="str">
        <f>IF('Port Bloomberg'!E163="","",'Port Bloomberg'!E163)</f>
        <v>USP30179AK43</v>
      </c>
      <c r="F163" s="7" t="str">
        <f>IF('Port Bloomberg'!F163="","",'Port Bloomberg'!F163)</f>
        <v>CFELEC</v>
      </c>
      <c r="G163" s="7" t="str">
        <f>IF('Port Bloomberg'!G163="","",'Port Bloomberg'!G163)</f>
        <v>1016Z MM</v>
      </c>
      <c r="H163" s="7" t="str">
        <f>IF('Port Bloomberg'!H163="","",'Port Bloomberg'!H163)</f>
        <v>Electric</v>
      </c>
      <c r="I163" s="7" t="str">
        <f>IF('Port Bloomberg'!I163="","",'Port Bloomberg'!I163)</f>
        <v>FOA</v>
      </c>
      <c r="J163" s="7" t="str">
        <f>IF('Port Bloomberg'!J163="","",'Port Bloomberg'!J163)</f>
        <v>Electric-Distribution</v>
      </c>
      <c r="K163" s="7" t="str">
        <f>IF('Port Bloomberg'!K163="","",'Port Bloomberg'!K163)</f>
        <v>MX</v>
      </c>
      <c r="L163" s="7" t="str">
        <f>IF('Port Bloomberg'!L163="","",'Port Bloomberg'!L163)</f>
        <v>MX</v>
      </c>
      <c r="M163" s="7" t="str">
        <f>IF('Port Bloomberg'!M163="","",'Port Bloomberg'!M163)</f>
        <v>USD</v>
      </c>
      <c r="N163" s="7">
        <f>IF('Port Bloomberg'!N163="","",'Port Bloomberg'!N163)</f>
        <v>750000</v>
      </c>
      <c r="O163" s="7" t="str">
        <f>IF('Port Bloomberg'!O163="","",'Port Bloomberg'!O163)</f>
        <v>SINGLE</v>
      </c>
      <c r="P163" s="7">
        <f>IF('Port Bloomberg'!P163="","",'Port Bloomberg'!P163)</f>
        <v>5.75</v>
      </c>
      <c r="Q163" s="7" t="str">
        <f>IF('Port Bloomberg'!Q163="","",'Port Bloomberg'!Q163)</f>
        <v>BBB-</v>
      </c>
      <c r="R163" s="7" t="str">
        <f>IF('Port Bloomberg'!R163="","",'Port Bloomberg'!R163)</f>
        <v>02/14/2042</v>
      </c>
      <c r="S163" s="5">
        <f>IF(E163="","",IFERROR(IF(MATCH(E163,[1]Instrumentos!$D:$D,0)&gt;0,1,0),0))</f>
        <v>1</v>
      </c>
      <c r="T163" s="5">
        <f>IF(E163="","",IFERROR(IF(MATCH(E163,'Lista de excepciones'!$E:$E,0)&gt;0,1,0),0))</f>
        <v>0</v>
      </c>
      <c r="U163" s="6" t="str">
        <f t="shared" si="3"/>
        <v>NO</v>
      </c>
    </row>
    <row r="164" spans="1:21" hidden="1" x14ac:dyDescent="0.25">
      <c r="A164" s="7" t="str">
        <f>IF('Port Bloomberg'!A164="","",'Port Bloomberg'!A164)</f>
        <v>CFELEC 5.15 07/13/47</v>
      </c>
      <c r="B164" s="7" t="str">
        <f>IF('Port Bloomberg'!B164="","",'Port Bloomberg'!B164)</f>
        <v>Comision Federal de Electricidad</v>
      </c>
      <c r="C164" s="7" t="str">
        <f>IF('Port Bloomberg'!C164="","",'Port Bloomberg'!C164)</f>
        <v>COMISION FEDERAL</v>
      </c>
      <c r="D164" s="7" t="str">
        <f>IF('Port Bloomberg'!D164="","",'Port Bloomberg'!D164)</f>
        <v>COMISION FEDERAL DE ELEC</v>
      </c>
      <c r="E164" s="7" t="str">
        <f>IF('Port Bloomberg'!E164="","",'Port Bloomberg'!E164)</f>
        <v>XS1638817996</v>
      </c>
      <c r="F164" s="7" t="str">
        <f>IF('Port Bloomberg'!F164="","",'Port Bloomberg'!F164)</f>
        <v>CFELEC</v>
      </c>
      <c r="G164" s="7" t="str">
        <f>IF('Port Bloomberg'!G164="","",'Port Bloomberg'!G164)</f>
        <v>1016Z MM</v>
      </c>
      <c r="H164" s="7" t="str">
        <f>IF('Port Bloomberg'!H164="","",'Port Bloomberg'!H164)</f>
        <v>Electric</v>
      </c>
      <c r="I164" s="7" t="str">
        <f>IF('Port Bloomberg'!I164="","",'Port Bloomberg'!I164)</f>
        <v>FOA</v>
      </c>
      <c r="J164" s="7" t="str">
        <f>IF('Port Bloomberg'!J164="","",'Port Bloomberg'!J164)</f>
        <v>Electric-Distribution</v>
      </c>
      <c r="K164" s="7" t="str">
        <f>IF('Port Bloomberg'!K164="","",'Port Bloomberg'!K164)</f>
        <v>MX</v>
      </c>
      <c r="L164" s="7" t="str">
        <f>IF('Port Bloomberg'!L164="","",'Port Bloomberg'!L164)</f>
        <v>MX</v>
      </c>
      <c r="M164" s="7" t="str">
        <f>IF('Port Bloomberg'!M164="","",'Port Bloomberg'!M164)</f>
        <v>USD</v>
      </c>
      <c r="N164" s="7">
        <f>IF('Port Bloomberg'!N164="","",'Port Bloomberg'!N164)</f>
        <v>750000</v>
      </c>
      <c r="O164" s="7" t="str">
        <f>IF('Port Bloomberg'!O164="","",'Port Bloomberg'!O164)</f>
        <v>SINGLE</v>
      </c>
      <c r="P164" s="7">
        <f>IF('Port Bloomberg'!P164="","",'Port Bloomberg'!P164)</f>
        <v>5.15</v>
      </c>
      <c r="Q164" s="7" t="str">
        <f>IF('Port Bloomberg'!Q164="","",'Port Bloomberg'!Q164)</f>
        <v>BBB-</v>
      </c>
      <c r="R164" s="7" t="str">
        <f>IF('Port Bloomberg'!R164="","",'Port Bloomberg'!R164)</f>
        <v>07/13/2047</v>
      </c>
      <c r="S164" s="5">
        <f>IF(E164="","",IFERROR(IF(MATCH(E164,[1]Instrumentos!$D:$D,0)&gt;0,1,0),0))</f>
        <v>1</v>
      </c>
      <c r="T164" s="5">
        <f>IF(E164="","",IFERROR(IF(MATCH(E164,'Lista de excepciones'!$E:$E,0)&gt;0,1,0),0))</f>
        <v>0</v>
      </c>
      <c r="U164" s="6" t="str">
        <f t="shared" si="3"/>
        <v>NO</v>
      </c>
    </row>
    <row r="165" spans="1:21" hidden="1" x14ac:dyDescent="0.25">
      <c r="A165" s="7" t="str">
        <f>IF('Port Bloomberg'!A165="","",'Port Bloomberg'!A165)</f>
        <v>CFELEC 5.7 01/24/30</v>
      </c>
      <c r="B165" s="7" t="str">
        <f>IF('Port Bloomberg'!B165="","",'Port Bloomberg'!B165)</f>
        <v>Comision Federal de Electricidad</v>
      </c>
      <c r="C165" s="7" t="str">
        <f>IF('Port Bloomberg'!C165="","",'Port Bloomberg'!C165)</f>
        <v>COMISION FEDERAL</v>
      </c>
      <c r="D165" s="7" t="str">
        <f>IF('Port Bloomberg'!D165="","",'Port Bloomberg'!D165)</f>
        <v>COMISION FEDERAL DE ELEC</v>
      </c>
      <c r="E165" s="7" t="str">
        <f>IF('Port Bloomberg'!E165="","",'Port Bloomberg'!E165)</f>
        <v>USP30179CQ94</v>
      </c>
      <c r="F165" s="7" t="str">
        <f>IF('Port Bloomberg'!F165="","",'Port Bloomberg'!F165)</f>
        <v>CFELEC</v>
      </c>
      <c r="G165" s="7" t="str">
        <f>IF('Port Bloomberg'!G165="","",'Port Bloomberg'!G165)</f>
        <v>1016Z MM</v>
      </c>
      <c r="H165" s="7" t="str">
        <f>IF('Port Bloomberg'!H165="","",'Port Bloomberg'!H165)</f>
        <v>Electric</v>
      </c>
      <c r="I165" s="7" t="str">
        <f>IF('Port Bloomberg'!I165="","",'Port Bloomberg'!I165)</f>
        <v>FOA</v>
      </c>
      <c r="J165" s="7" t="str">
        <f>IF('Port Bloomberg'!J165="","",'Port Bloomberg'!J165)</f>
        <v>Electric-Distribution</v>
      </c>
      <c r="K165" s="7" t="str">
        <f>IF('Port Bloomberg'!K165="","",'Port Bloomberg'!K165)</f>
        <v>MX</v>
      </c>
      <c r="L165" s="7" t="str">
        <f>IF('Port Bloomberg'!L165="","",'Port Bloomberg'!L165)</f>
        <v>MX</v>
      </c>
      <c r="M165" s="7" t="str">
        <f>IF('Port Bloomberg'!M165="","",'Port Bloomberg'!M165)</f>
        <v>USD</v>
      </c>
      <c r="N165" s="7">
        <f>IF('Port Bloomberg'!N165="","",'Port Bloomberg'!N165)</f>
        <v>500000</v>
      </c>
      <c r="O165" s="7" t="str">
        <f>IF('Port Bloomberg'!O165="","",'Port Bloomberg'!O165)</f>
        <v>SINGLE</v>
      </c>
      <c r="P165" s="7">
        <f>IF('Port Bloomberg'!P165="","",'Port Bloomberg'!P165)</f>
        <v>5.7</v>
      </c>
      <c r="Q165" s="7" t="str">
        <f>IF('Port Bloomberg'!Q165="","",'Port Bloomberg'!Q165)</f>
        <v>BBB-</v>
      </c>
      <c r="R165" s="7" t="str">
        <f>IF('Port Bloomberg'!R165="","",'Port Bloomberg'!R165)</f>
        <v>01/24/2030</v>
      </c>
      <c r="S165" s="5">
        <f>IF(E165="","",IFERROR(IF(MATCH(E165,[1]Instrumentos!$D:$D,0)&gt;0,1,0),0))</f>
        <v>1</v>
      </c>
      <c r="T165" s="5">
        <f>IF(E165="","",IFERROR(IF(MATCH(E165,'Lista de excepciones'!$E:$E,0)&gt;0,1,0),0))</f>
        <v>0</v>
      </c>
      <c r="U165" s="6" t="str">
        <f>IF(E165="","",IF(S165+T165=0,"AGREGAR/REVISAR","NO"))</f>
        <v>NO</v>
      </c>
    </row>
    <row r="166" spans="1:21" hidden="1" x14ac:dyDescent="0.25">
      <c r="A166" s="7" t="str">
        <f>IF('Port Bloomberg'!A166="","",'Port Bloomberg'!A166)</f>
        <v>CFELEC 6 ½ 01/28/51</v>
      </c>
      <c r="B166" s="7" t="str">
        <f>IF('Port Bloomberg'!B166="","",'Port Bloomberg'!B166)</f>
        <v>Comision Federal de Electricidad</v>
      </c>
      <c r="C166" s="7" t="str">
        <f>IF('Port Bloomberg'!C166="","",'Port Bloomberg'!C166)</f>
        <v>COMISION FEDERAL</v>
      </c>
      <c r="D166" s="7" t="str">
        <f>IF('Port Bloomberg'!D166="","",'Port Bloomberg'!D166)</f>
        <v>COMISION FEDERAL DE ELEC</v>
      </c>
      <c r="E166" s="7" t="str">
        <f>IF('Port Bloomberg'!E166="","",'Port Bloomberg'!E166)</f>
        <v>USP29595AG39</v>
      </c>
      <c r="F166" s="7" t="str">
        <f>IF('Port Bloomberg'!F166="","",'Port Bloomberg'!F166)</f>
        <v>CFELEC</v>
      </c>
      <c r="G166" s="7" t="str">
        <f>IF('Port Bloomberg'!G166="","",'Port Bloomberg'!G166)</f>
        <v>1016Z MM</v>
      </c>
      <c r="H166" s="7" t="str">
        <f>IF('Port Bloomberg'!H166="","",'Port Bloomberg'!H166)</f>
        <v>Electric</v>
      </c>
      <c r="I166" s="7" t="str">
        <f>IF('Port Bloomberg'!I166="","",'Port Bloomberg'!I166)</f>
        <v>FOA</v>
      </c>
      <c r="J166" s="7" t="str">
        <f>IF('Port Bloomberg'!J166="","",'Port Bloomberg'!J166)</f>
        <v>Electric-Distribution</v>
      </c>
      <c r="K166" s="7" t="str">
        <f>IF('Port Bloomberg'!K166="","",'Port Bloomberg'!K166)</f>
        <v>MX</v>
      </c>
      <c r="L166" s="7" t="str">
        <f>IF('Port Bloomberg'!L166="","",'Port Bloomberg'!L166)</f>
        <v>MX</v>
      </c>
      <c r="M166" s="7" t="str">
        <f>IF('Port Bloomberg'!M166="","",'Port Bloomberg'!M166)</f>
        <v>USD</v>
      </c>
      <c r="N166" s="7">
        <f>IF('Port Bloomberg'!N166="","",'Port Bloomberg'!N166)</f>
        <v>500000</v>
      </c>
      <c r="O166" s="7" t="str">
        <f>IF('Port Bloomberg'!O166="","",'Port Bloomberg'!O166)</f>
        <v>SINGLE</v>
      </c>
      <c r="P166" s="7">
        <f>IF('Port Bloomberg'!P166="","",'Port Bloomberg'!P166)</f>
        <v>6.5</v>
      </c>
      <c r="Q166" s="7" t="str">
        <f>IF('Port Bloomberg'!Q166="","",'Port Bloomberg'!Q166)</f>
        <v>BBB-</v>
      </c>
      <c r="R166" s="7" t="str">
        <f>IF('Port Bloomberg'!R166="","",'Port Bloomberg'!R166)</f>
        <v>01/28/2051</v>
      </c>
      <c r="S166" s="5">
        <f>IF(E166="","",IFERROR(IF(MATCH(E166,[1]Instrumentos!$D:$D,0)&gt;0,1,0),0))</f>
        <v>1</v>
      </c>
      <c r="T166" s="5">
        <f>IF(E166="","",IFERROR(IF(MATCH(E166,'Lista de excepciones'!$E:$E,0)&gt;0,1,0),0))</f>
        <v>0</v>
      </c>
      <c r="U166" s="6" t="str">
        <f t="shared" si="3"/>
        <v>NO</v>
      </c>
    </row>
    <row r="167" spans="1:21" hidden="1" x14ac:dyDescent="0.25">
      <c r="A167" s="7" t="str">
        <f>IF('Port Bloomberg'!A167="","",'Port Bloomberg'!A167)</f>
        <v>CFELEC 6 ⅛ 06/16/45</v>
      </c>
      <c r="B167" s="7" t="str">
        <f>IF('Port Bloomberg'!B167="","",'Port Bloomberg'!B167)</f>
        <v>Comision Federal de Electricidad</v>
      </c>
      <c r="C167" s="7" t="str">
        <f>IF('Port Bloomberg'!C167="","",'Port Bloomberg'!C167)</f>
        <v>COMISION FEDERAL</v>
      </c>
      <c r="D167" s="7" t="str">
        <f>IF('Port Bloomberg'!D167="","",'Port Bloomberg'!D167)</f>
        <v>COMISION FEDERAL DE ELEC</v>
      </c>
      <c r="E167" s="7" t="str">
        <f>IF('Port Bloomberg'!E167="","",'Port Bloomberg'!E167)</f>
        <v>USP30179AR95</v>
      </c>
      <c r="F167" s="7" t="str">
        <f>IF('Port Bloomberg'!F167="","",'Port Bloomberg'!F167)</f>
        <v>CFELEC</v>
      </c>
      <c r="G167" s="7" t="str">
        <f>IF('Port Bloomberg'!G167="","",'Port Bloomberg'!G167)</f>
        <v>1016Z MM</v>
      </c>
      <c r="H167" s="7" t="str">
        <f>IF('Port Bloomberg'!H167="","",'Port Bloomberg'!H167)</f>
        <v>Electric</v>
      </c>
      <c r="I167" s="7" t="str">
        <f>IF('Port Bloomberg'!I167="","",'Port Bloomberg'!I167)</f>
        <v>FOA</v>
      </c>
      <c r="J167" s="7" t="str">
        <f>IF('Port Bloomberg'!J167="","",'Port Bloomberg'!J167)</f>
        <v>Electric-Distribution</v>
      </c>
      <c r="K167" s="7" t="str">
        <f>IF('Port Bloomberg'!K167="","",'Port Bloomberg'!K167)</f>
        <v>MX</v>
      </c>
      <c r="L167" s="7" t="str">
        <f>IF('Port Bloomberg'!L167="","",'Port Bloomberg'!L167)</f>
        <v>MX</v>
      </c>
      <c r="M167" s="7" t="str">
        <f>IF('Port Bloomberg'!M167="","",'Port Bloomberg'!M167)</f>
        <v>USD</v>
      </c>
      <c r="N167" s="7">
        <f>IF('Port Bloomberg'!N167="","",'Port Bloomberg'!N167)</f>
        <v>700000</v>
      </c>
      <c r="O167" s="7" t="str">
        <f>IF('Port Bloomberg'!O167="","",'Port Bloomberg'!O167)</f>
        <v>SINGLE</v>
      </c>
      <c r="P167" s="7">
        <f>IF('Port Bloomberg'!P167="","",'Port Bloomberg'!P167)</f>
        <v>6.125</v>
      </c>
      <c r="Q167" s="7" t="str">
        <f>IF('Port Bloomberg'!Q167="","",'Port Bloomberg'!Q167)</f>
        <v>BBB-</v>
      </c>
      <c r="R167" s="7" t="str">
        <f>IF('Port Bloomberg'!R167="","",'Port Bloomberg'!R167)</f>
        <v>06/16/2045</v>
      </c>
      <c r="S167" s="5">
        <f>IF(E167="","",IFERROR(IF(MATCH(E167,[1]Instrumentos!$D:$D,0)&gt;0,1,0),0))</f>
        <v>1</v>
      </c>
      <c r="T167" s="5">
        <f>IF(E167="","",IFERROR(IF(MATCH(E167,'Lista de excepciones'!$E:$E,0)&gt;0,1,0),0))</f>
        <v>0</v>
      </c>
      <c r="U167" s="6" t="str">
        <f t="shared" si="3"/>
        <v>NO</v>
      </c>
    </row>
    <row r="168" spans="1:21" hidden="1" x14ac:dyDescent="0.25">
      <c r="A168" s="7" t="str">
        <f>IF('Port Bloomberg'!A168="","",'Port Bloomberg'!A168)</f>
        <v>CFELEC 6.045 01/28/34</v>
      </c>
      <c r="B168" s="7" t="str">
        <f>IF('Port Bloomberg'!B168="","",'Port Bloomberg'!B168)</f>
        <v>Comision Federal de Electricidad</v>
      </c>
      <c r="C168" s="7" t="str">
        <f>IF('Port Bloomberg'!C168="","",'Port Bloomberg'!C168)</f>
        <v>COMISION FEDERAL</v>
      </c>
      <c r="D168" s="7" t="str">
        <f>IF('Port Bloomberg'!D168="","",'Port Bloomberg'!D168)</f>
        <v>COMISION FEDERAL DE ELEC</v>
      </c>
      <c r="E168" s="7" t="str">
        <f>IF('Port Bloomberg'!E168="","",'Port Bloomberg'!E168)</f>
        <v>USP29595AF55</v>
      </c>
      <c r="F168" s="7" t="str">
        <f>IF('Port Bloomberg'!F168="","",'Port Bloomberg'!F168)</f>
        <v>CFELEC</v>
      </c>
      <c r="G168" s="7" t="str">
        <f>IF('Port Bloomberg'!G168="","",'Port Bloomberg'!G168)</f>
        <v>1016Z MM</v>
      </c>
      <c r="H168" s="7" t="str">
        <f>IF('Port Bloomberg'!H168="","",'Port Bloomberg'!H168)</f>
        <v>Electric</v>
      </c>
      <c r="I168" s="7" t="str">
        <f>IF('Port Bloomberg'!I168="","",'Port Bloomberg'!I168)</f>
        <v>FOA</v>
      </c>
      <c r="J168" s="7" t="str">
        <f>IF('Port Bloomberg'!J168="","",'Port Bloomberg'!J168)</f>
        <v>Electric-Distribution</v>
      </c>
      <c r="K168" s="7" t="str">
        <f>IF('Port Bloomberg'!K168="","",'Port Bloomberg'!K168)</f>
        <v>MX</v>
      </c>
      <c r="L168" s="7" t="str">
        <f>IF('Port Bloomberg'!L168="","",'Port Bloomberg'!L168)</f>
        <v>MX</v>
      </c>
      <c r="M168" s="7" t="str">
        <f>IF('Port Bloomberg'!M168="","",'Port Bloomberg'!M168)</f>
        <v>USD</v>
      </c>
      <c r="N168" s="7">
        <f>IF('Port Bloomberg'!N168="","",'Port Bloomberg'!N168)</f>
        <v>1000000</v>
      </c>
      <c r="O168" s="7" t="str">
        <f>IF('Port Bloomberg'!O168="","",'Port Bloomberg'!O168)</f>
        <v>SINGLE</v>
      </c>
      <c r="P168" s="7">
        <f>IF('Port Bloomberg'!P168="","",'Port Bloomberg'!P168)</f>
        <v>6.0449999999999999</v>
      </c>
      <c r="Q168" s="7" t="str">
        <f>IF('Port Bloomberg'!Q168="","",'Port Bloomberg'!Q168)</f>
        <v>BBB-</v>
      </c>
      <c r="R168" s="7" t="str">
        <f>IF('Port Bloomberg'!R168="","",'Port Bloomberg'!R168)</f>
        <v>01/28/2034</v>
      </c>
      <c r="S168" s="5">
        <f>IF(E168="","",IFERROR(IF(MATCH(E168,[1]Instrumentos!$D:$D,0)&gt;0,1,0),0))</f>
        <v>1</v>
      </c>
      <c r="T168" s="5">
        <f>IF(E168="","",IFERROR(IF(MATCH(E168,'Lista de excepciones'!$E:$E,0)&gt;0,1,0),0))</f>
        <v>0</v>
      </c>
      <c r="U168" s="6" t="str">
        <f t="shared" si="3"/>
        <v>NO</v>
      </c>
    </row>
    <row r="169" spans="1:21" hidden="1" x14ac:dyDescent="0.25">
      <c r="A169" s="7" t="str">
        <f>IF('Port Bloomberg'!A169="","",'Port Bloomberg'!A169)</f>
        <v>CFELEC 6.264 02/15/52</v>
      </c>
      <c r="B169" s="7" t="str">
        <f>IF('Port Bloomberg'!B169="","",'Port Bloomberg'!B169)</f>
        <v>Comision Federal de Electricidad</v>
      </c>
      <c r="C169" s="7" t="str">
        <f>IF('Port Bloomberg'!C169="","",'Port Bloomberg'!C169)</f>
        <v>COMISION FEDERAL</v>
      </c>
      <c r="D169" s="7" t="str">
        <f>IF('Port Bloomberg'!D169="","",'Port Bloomberg'!D169)</f>
        <v>COMISION FEDERAL DE ELEC</v>
      </c>
      <c r="E169" s="7" t="str">
        <f>IF('Port Bloomberg'!E169="","",'Port Bloomberg'!E169)</f>
        <v>USP30179BR86</v>
      </c>
      <c r="F169" s="7" t="str">
        <f>IF('Port Bloomberg'!F169="","",'Port Bloomberg'!F169)</f>
        <v>CFELEC</v>
      </c>
      <c r="G169" s="7" t="str">
        <f>IF('Port Bloomberg'!G169="","",'Port Bloomberg'!G169)</f>
        <v>1016Z MM</v>
      </c>
      <c r="H169" s="7" t="str">
        <f>IF('Port Bloomberg'!H169="","",'Port Bloomberg'!H169)</f>
        <v>Electric</v>
      </c>
      <c r="I169" s="7" t="str">
        <f>IF('Port Bloomberg'!I169="","",'Port Bloomberg'!I169)</f>
        <v>FOA</v>
      </c>
      <c r="J169" s="7" t="str">
        <f>IF('Port Bloomberg'!J169="","",'Port Bloomberg'!J169)</f>
        <v>Electric-Distribution</v>
      </c>
      <c r="K169" s="7" t="str">
        <f>IF('Port Bloomberg'!K169="","",'Port Bloomberg'!K169)</f>
        <v>MX</v>
      </c>
      <c r="L169" s="7" t="str">
        <f>IF('Port Bloomberg'!L169="","",'Port Bloomberg'!L169)</f>
        <v>MX</v>
      </c>
      <c r="M169" s="7" t="str">
        <f>IF('Port Bloomberg'!M169="","",'Port Bloomberg'!M169)</f>
        <v>USD</v>
      </c>
      <c r="N169" s="7">
        <f>IF('Port Bloomberg'!N169="","",'Port Bloomberg'!N169)</f>
        <v>500000</v>
      </c>
      <c r="O169" s="7" t="str">
        <f>IF('Port Bloomberg'!O169="","",'Port Bloomberg'!O169)</f>
        <v>SINGLE</v>
      </c>
      <c r="P169" s="7">
        <f>IF('Port Bloomberg'!P169="","",'Port Bloomberg'!P169)</f>
        <v>6.2640000000000002</v>
      </c>
      <c r="Q169" s="7" t="str">
        <f>IF('Port Bloomberg'!Q169="","",'Port Bloomberg'!Q169)</f>
        <v>BBB-</v>
      </c>
      <c r="R169" s="7" t="str">
        <f>IF('Port Bloomberg'!R169="","",'Port Bloomberg'!R169)</f>
        <v>02/15/2052</v>
      </c>
      <c r="S169" s="5">
        <f>IF(E169="","",IFERROR(IF(MATCH(E169,[1]Instrumentos!$D:$D,0)&gt;0,1,0),0))</f>
        <v>1</v>
      </c>
      <c r="T169" s="5">
        <f>IF(E169="","",IFERROR(IF(MATCH(E169,'Lista de excepciones'!$E:$E,0)&gt;0,1,0),0))</f>
        <v>0</v>
      </c>
      <c r="U169" s="6" t="str">
        <f t="shared" si="3"/>
        <v>NO</v>
      </c>
    </row>
    <row r="170" spans="1:21" hidden="1" x14ac:dyDescent="0.25">
      <c r="A170" s="7" t="str">
        <f>IF('Port Bloomberg'!A170="","",'Port Bloomberg'!A170)</f>
        <v>CFELEC 6.45 01/24/35</v>
      </c>
      <c r="B170" s="7" t="str">
        <f>IF('Port Bloomberg'!B170="","",'Port Bloomberg'!B170)</f>
        <v>Comision Federal de Electricidad</v>
      </c>
      <c r="C170" s="7" t="str">
        <f>IF('Port Bloomberg'!C170="","",'Port Bloomberg'!C170)</f>
        <v>COMISION FEDERAL</v>
      </c>
      <c r="D170" s="7" t="str">
        <f>IF('Port Bloomberg'!D170="","",'Port Bloomberg'!D170)</f>
        <v>COMISION FEDERAL DE ELEC</v>
      </c>
      <c r="E170" s="7" t="str">
        <f>IF('Port Bloomberg'!E170="","",'Port Bloomberg'!E170)</f>
        <v>USP30179CR77</v>
      </c>
      <c r="F170" s="7" t="str">
        <f>IF('Port Bloomberg'!F170="","",'Port Bloomberg'!F170)</f>
        <v>CFELEC</v>
      </c>
      <c r="G170" s="7" t="str">
        <f>IF('Port Bloomberg'!G170="","",'Port Bloomberg'!G170)</f>
        <v>1016Z MM</v>
      </c>
      <c r="H170" s="7" t="str">
        <f>IF('Port Bloomberg'!H170="","",'Port Bloomberg'!H170)</f>
        <v>Electric</v>
      </c>
      <c r="I170" s="7" t="str">
        <f>IF('Port Bloomberg'!I170="","",'Port Bloomberg'!I170)</f>
        <v>FOA</v>
      </c>
      <c r="J170" s="7" t="str">
        <f>IF('Port Bloomberg'!J170="","",'Port Bloomberg'!J170)</f>
        <v>Electric-Distribution</v>
      </c>
      <c r="K170" s="7" t="str">
        <f>IF('Port Bloomberg'!K170="","",'Port Bloomberg'!K170)</f>
        <v>MX</v>
      </c>
      <c r="L170" s="7" t="str">
        <f>IF('Port Bloomberg'!L170="","",'Port Bloomberg'!L170)</f>
        <v>MX</v>
      </c>
      <c r="M170" s="7" t="str">
        <f>IF('Port Bloomberg'!M170="","",'Port Bloomberg'!M170)</f>
        <v>USD</v>
      </c>
      <c r="N170" s="7">
        <f>IF('Port Bloomberg'!N170="","",'Port Bloomberg'!N170)</f>
        <v>1000000</v>
      </c>
      <c r="O170" s="7" t="str">
        <f>IF('Port Bloomberg'!O170="","",'Port Bloomberg'!O170)</f>
        <v>SINGLE</v>
      </c>
      <c r="P170" s="7">
        <f>IF('Port Bloomberg'!P170="","",'Port Bloomberg'!P170)</f>
        <v>6.45</v>
      </c>
      <c r="Q170" s="7" t="str">
        <f>IF('Port Bloomberg'!Q170="","",'Port Bloomberg'!Q170)</f>
        <v>BBB-</v>
      </c>
      <c r="R170" s="7" t="str">
        <f>IF('Port Bloomberg'!R170="","",'Port Bloomberg'!R170)</f>
        <v>01/24/2035</v>
      </c>
      <c r="S170" s="5">
        <f>IF(E170="","",IFERROR(IF(MATCH(E170,[1]Instrumentos!$D:$D,0)&gt;0,1,0),0))</f>
        <v>1</v>
      </c>
      <c r="T170" s="5">
        <f>IF(E170="","",IFERROR(IF(MATCH(E170,'Lista de excepciones'!$E:$E,0)&gt;0,1,0),0))</f>
        <v>0</v>
      </c>
      <c r="U170" s="6" t="str">
        <f t="shared" si="3"/>
        <v>NO</v>
      </c>
    </row>
    <row r="171" spans="1:21" hidden="1" x14ac:dyDescent="0.25">
      <c r="A171" s="7" t="str">
        <f>IF('Port Bloomberg'!A171="","",'Port Bloomberg'!A171)</f>
        <v>CHLELC 6.01 01/20/33</v>
      </c>
      <c r="B171" s="7" t="str">
        <f>IF('Port Bloomberg'!B171="","",'Port Bloomberg'!B171)</f>
        <v>Chile Electricity Lux MPC Sarl</v>
      </c>
      <c r="C171" s="7" t="str">
        <f>IF('Port Bloomberg'!C171="","",'Port Bloomberg'!C171)</f>
        <v>CHILE ELECTR LUX</v>
      </c>
      <c r="D171" s="7" t="str">
        <f>IF('Port Bloomberg'!D171="","",'Port Bloomberg'!D171)</f>
        <v>CHILE ELECTRICITY LUX</v>
      </c>
      <c r="E171" s="7" t="str">
        <f>IF('Port Bloomberg'!E171="","",'Port Bloomberg'!E171)</f>
        <v>USL15669AA91</v>
      </c>
      <c r="F171" s="7" t="str">
        <f>IF('Port Bloomberg'!F171="","",'Port Bloomberg'!F171)</f>
        <v>CHLELC</v>
      </c>
      <c r="G171" s="7" t="str">
        <f>IF('Port Bloomberg'!G171="","",'Port Bloomberg'!G171)</f>
        <v/>
      </c>
      <c r="H171" s="7" t="str">
        <f>IF('Port Bloomberg'!H171="","",'Port Bloomberg'!H171)</f>
        <v>Electric</v>
      </c>
      <c r="I171" s="7" t="str">
        <f>IF('Port Bloomberg'!I171="","",'Port Bloomberg'!I171)</f>
        <v>FOA</v>
      </c>
      <c r="J171" s="7" t="str">
        <f>IF('Port Bloomberg'!J171="","",'Port Bloomberg'!J171)</f>
        <v>Electric-Distribution</v>
      </c>
      <c r="K171" s="7" t="str">
        <f>IF('Port Bloomberg'!K171="","",'Port Bloomberg'!K171)</f>
        <v>LU</v>
      </c>
      <c r="L171" s="7" t="str">
        <f>IF('Port Bloomberg'!L171="","",'Port Bloomberg'!L171)</f>
        <v>CL</v>
      </c>
      <c r="M171" s="7" t="str">
        <f>IF('Port Bloomberg'!M171="","",'Port Bloomberg'!M171)</f>
        <v>USD</v>
      </c>
      <c r="N171" s="7">
        <f>IF('Port Bloomberg'!N171="","",'Port Bloomberg'!N171)</f>
        <v>784250</v>
      </c>
      <c r="O171" s="7" t="str">
        <f>IF('Port Bloomberg'!O171="","",'Port Bloomberg'!O171)</f>
        <v>SINGLE</v>
      </c>
      <c r="P171" s="7">
        <f>IF('Port Bloomberg'!P171="","",'Port Bloomberg'!P171)</f>
        <v>6.01</v>
      </c>
      <c r="Q171" s="7" t="str">
        <f>IF('Port Bloomberg'!Q171="","",'Port Bloomberg'!Q171)</f>
        <v>A</v>
      </c>
      <c r="R171" s="7" t="str">
        <f>IF('Port Bloomberg'!R171="","",'Port Bloomberg'!R171)</f>
        <v>01/20/2033</v>
      </c>
      <c r="S171" s="5">
        <f>IF(E171="","",IFERROR(IF(MATCH(E171,[1]Instrumentos!$D:$D,0)&gt;0,1,0),0))</f>
        <v>0</v>
      </c>
      <c r="T171" s="5">
        <f>IF(E171="","",IFERROR(IF(MATCH(E171,'Lista de excepciones'!$E:$E,0)&gt;0,1,0),0))</f>
        <v>1</v>
      </c>
      <c r="U171" s="6" t="str">
        <f t="shared" si="3"/>
        <v>NO</v>
      </c>
    </row>
    <row r="172" spans="1:21" hidden="1" x14ac:dyDescent="0.25">
      <c r="A172" s="7" t="str">
        <f>IF('Port Bloomberg'!A172="","",'Port Bloomberg'!A172)</f>
        <v>CHLMPC 5.58 10/20/35</v>
      </c>
      <c r="B172" s="7" t="str">
        <f>IF('Port Bloomberg'!B172="","",'Port Bloomberg'!B172)</f>
        <v>Chile Electricity Lux Mpc II Sarl</v>
      </c>
      <c r="C172" s="7" t="str">
        <f>IF('Port Bloomberg'!C172="","",'Port Bloomberg'!C172)</f>
        <v>CL ELECTRICITY</v>
      </c>
      <c r="D172" s="7" t="str">
        <f>IF('Port Bloomberg'!D172="","",'Port Bloomberg'!D172)</f>
        <v>CHILE ELECTRICITY LUX</v>
      </c>
      <c r="E172" s="7" t="str">
        <f>IF('Port Bloomberg'!E172="","",'Port Bloomberg'!E172)</f>
        <v>USL1567LAA19</v>
      </c>
      <c r="F172" s="7" t="str">
        <f>IF('Port Bloomberg'!F172="","",'Port Bloomberg'!F172)</f>
        <v>CHLMPC</v>
      </c>
      <c r="G172" s="7" t="str">
        <f>IF('Port Bloomberg'!G172="","",'Port Bloomberg'!G172)</f>
        <v/>
      </c>
      <c r="H172" s="7" t="str">
        <f>IF('Port Bloomberg'!H172="","",'Port Bloomberg'!H172)</f>
        <v>Electric</v>
      </c>
      <c r="I172" s="7" t="str">
        <f>IF('Port Bloomberg'!I172="","",'Port Bloomberg'!I172)</f>
        <v>FOA</v>
      </c>
      <c r="J172" s="7" t="str">
        <f>IF('Port Bloomberg'!J172="","",'Port Bloomberg'!J172)</f>
        <v>Electric-Distribution</v>
      </c>
      <c r="K172" s="7" t="str">
        <f>IF('Port Bloomberg'!K172="","",'Port Bloomberg'!K172)</f>
        <v>LU</v>
      </c>
      <c r="L172" s="7" t="str">
        <f>IF('Port Bloomberg'!L172="","",'Port Bloomberg'!L172)</f>
        <v>CL</v>
      </c>
      <c r="M172" s="7" t="str">
        <f>IF('Port Bloomberg'!M172="","",'Port Bloomberg'!M172)</f>
        <v>USD</v>
      </c>
      <c r="N172" s="7">
        <f>IF('Port Bloomberg'!N172="","",'Port Bloomberg'!N172)</f>
        <v>1436670</v>
      </c>
      <c r="O172" s="7" t="str">
        <f>IF('Port Bloomberg'!O172="","",'Port Bloomberg'!O172)</f>
        <v>SINGLE</v>
      </c>
      <c r="P172" s="7">
        <f>IF('Port Bloomberg'!P172="","",'Port Bloomberg'!P172)</f>
        <v>5.58</v>
      </c>
      <c r="Q172" s="7" t="str">
        <f>IF('Port Bloomberg'!Q172="","",'Port Bloomberg'!Q172)</f>
        <v>A-</v>
      </c>
      <c r="R172" s="7" t="str">
        <f>IF('Port Bloomberg'!R172="","",'Port Bloomberg'!R172)</f>
        <v>10/20/2035</v>
      </c>
      <c r="S172" s="5">
        <f>IF(E172="","",IFERROR(IF(MATCH(E172,[1]Instrumentos!$D:$D,0)&gt;0,1,0),0))</f>
        <v>0</v>
      </c>
      <c r="T172" s="5">
        <f>IF(E172="","",IFERROR(IF(MATCH(E172,'Lista de excepciones'!$E:$E,0)&gt;0,1,0),0))</f>
        <v>1</v>
      </c>
      <c r="U172" s="6" t="str">
        <f t="shared" si="3"/>
        <v>NO</v>
      </c>
    </row>
    <row r="173" spans="1:21" hidden="1" x14ac:dyDescent="0.25">
      <c r="A173" s="7" t="str">
        <f>IF('Port Bloomberg'!A173="","",'Port Bloomberg'!A173)</f>
        <v>CHLMPC 5.672 10/20/35</v>
      </c>
      <c r="B173" s="7" t="str">
        <f>IF('Port Bloomberg'!B173="","",'Port Bloomberg'!B173)</f>
        <v>Chile Electricity Lux Mpc II Sarl</v>
      </c>
      <c r="C173" s="7" t="str">
        <f>IF('Port Bloomberg'!C173="","",'Port Bloomberg'!C173)</f>
        <v>CL ELECTRICITY</v>
      </c>
      <c r="D173" s="7" t="str">
        <f>IF('Port Bloomberg'!D173="","",'Port Bloomberg'!D173)</f>
        <v>CHILE ELECTRICITY LUX</v>
      </c>
      <c r="E173" s="7" t="str">
        <f>IF('Port Bloomberg'!E173="","",'Port Bloomberg'!E173)</f>
        <v>USL1567LAB91</v>
      </c>
      <c r="F173" s="7" t="str">
        <f>IF('Port Bloomberg'!F173="","",'Port Bloomberg'!F173)</f>
        <v>CHLMPC</v>
      </c>
      <c r="G173" s="7" t="str">
        <f>IF('Port Bloomberg'!G173="","",'Port Bloomberg'!G173)</f>
        <v/>
      </c>
      <c r="H173" s="7" t="str">
        <f>IF('Port Bloomberg'!H173="","",'Port Bloomberg'!H173)</f>
        <v>Electric</v>
      </c>
      <c r="I173" s="7" t="str">
        <f>IF('Port Bloomberg'!I173="","",'Port Bloomberg'!I173)</f>
        <v>FOA</v>
      </c>
      <c r="J173" s="7" t="str">
        <f>IF('Port Bloomberg'!J173="","",'Port Bloomberg'!J173)</f>
        <v>Electric-Distribution</v>
      </c>
      <c r="K173" s="7" t="str">
        <f>IF('Port Bloomberg'!K173="","",'Port Bloomberg'!K173)</f>
        <v>LU</v>
      </c>
      <c r="L173" s="7" t="str">
        <f>IF('Port Bloomberg'!L173="","",'Port Bloomberg'!L173)</f>
        <v>CL</v>
      </c>
      <c r="M173" s="7" t="str">
        <f>IF('Port Bloomberg'!M173="","",'Port Bloomberg'!M173)</f>
        <v>USD</v>
      </c>
      <c r="N173" s="7">
        <f>IF('Port Bloomberg'!N173="","",'Port Bloomberg'!N173)</f>
        <v>562156</v>
      </c>
      <c r="O173" s="7" t="str">
        <f>IF('Port Bloomberg'!O173="","",'Port Bloomberg'!O173)</f>
        <v>SINGLE</v>
      </c>
      <c r="P173" s="7">
        <f>IF('Port Bloomberg'!P173="","",'Port Bloomberg'!P173)</f>
        <v>5.6719999999999997</v>
      </c>
      <c r="Q173" s="7" t="str">
        <f>IF('Port Bloomberg'!Q173="","",'Port Bloomberg'!Q173)</f>
        <v>A-</v>
      </c>
      <c r="R173" s="7" t="str">
        <f>IF('Port Bloomberg'!R173="","",'Port Bloomberg'!R173)</f>
        <v>10/20/2035</v>
      </c>
      <c r="S173" s="5">
        <f>IF(E173="","",IFERROR(IF(MATCH(E173,[1]Instrumentos!$D:$D,0)&gt;0,1,0),0))</f>
        <v>0</v>
      </c>
      <c r="T173" s="5">
        <f>IF(E173="","",IFERROR(IF(MATCH(E173,'Lista de excepciones'!$E:$E,0)&gt;0,1,0),0))</f>
        <v>1</v>
      </c>
      <c r="U173" s="6" t="str">
        <f t="shared" si="3"/>
        <v>NO</v>
      </c>
    </row>
    <row r="174" spans="1:21" hidden="1" x14ac:dyDescent="0.25">
      <c r="A174" s="7" t="str">
        <f>IF('Port Bloomberg'!A174="","",'Port Bloomberg'!A174)</f>
        <v>CMPCCI 3 04/06/31</v>
      </c>
      <c r="B174" s="7" t="str">
        <f>IF('Port Bloomberg'!B174="","",'Port Bloomberg'!B174)</f>
        <v>Inversiones CMPC SA</v>
      </c>
      <c r="C174" s="7" t="str">
        <f>IF('Port Bloomberg'!C174="","",'Port Bloomberg'!C174)</f>
        <v>INVERSIONES CMPC</v>
      </c>
      <c r="D174" s="7" t="str">
        <f>IF('Port Bloomberg'!D174="","",'Port Bloomberg'!D174)</f>
        <v>INVERSIONES CMPC SA</v>
      </c>
      <c r="E174" s="7" t="str">
        <f>IF('Port Bloomberg'!E174="","",'Port Bloomberg'!E174)</f>
        <v>USP58072AT92</v>
      </c>
      <c r="F174" s="7" t="str">
        <f>IF('Port Bloomberg'!F174="","",'Port Bloomberg'!F174)</f>
        <v>CMPCCI</v>
      </c>
      <c r="G174" s="7" t="str">
        <f>IF('Port Bloomberg'!G174="","",'Port Bloomberg'!G174)</f>
        <v>1013Z CI</v>
      </c>
      <c r="H174" s="7" t="str">
        <f>IF('Port Bloomberg'!H174="","",'Port Bloomberg'!H174)</f>
        <v>Forest Products&amp;Paper</v>
      </c>
      <c r="I174" s="7" t="str">
        <f>IF('Port Bloomberg'!I174="","",'Port Bloomberg'!I174)</f>
        <v>IND</v>
      </c>
      <c r="J174" s="7" t="str">
        <f>IF('Port Bloomberg'!J174="","",'Port Bloomberg'!J174)</f>
        <v>Paper&amp;Related Products</v>
      </c>
      <c r="K174" s="7" t="str">
        <f>IF('Port Bloomberg'!K174="","",'Port Bloomberg'!K174)</f>
        <v>CL</v>
      </c>
      <c r="L174" s="7" t="str">
        <f>IF('Port Bloomberg'!L174="","",'Port Bloomberg'!L174)</f>
        <v>CL</v>
      </c>
      <c r="M174" s="7" t="str">
        <f>IF('Port Bloomberg'!M174="","",'Port Bloomberg'!M174)</f>
        <v>USD</v>
      </c>
      <c r="N174" s="7">
        <f>IF('Port Bloomberg'!N174="","",'Port Bloomberg'!N174)</f>
        <v>500000</v>
      </c>
      <c r="O174" s="7" t="str">
        <f>IF('Port Bloomberg'!O174="","",'Port Bloomberg'!O174)</f>
        <v>SINGLE</v>
      </c>
      <c r="P174" s="7">
        <f>IF('Port Bloomberg'!P174="","",'Port Bloomberg'!P174)</f>
        <v>3</v>
      </c>
      <c r="Q174" s="7" t="str">
        <f>IF('Port Bloomberg'!Q174="","",'Port Bloomberg'!Q174)</f>
        <v>BBB-</v>
      </c>
      <c r="R174" s="7" t="str">
        <f>IF('Port Bloomberg'!R174="","",'Port Bloomberg'!R174)</f>
        <v>04/06/2031</v>
      </c>
      <c r="S174" s="5">
        <f>IF(E174="","",IFERROR(IF(MATCH(E174,[1]Instrumentos!$D:$D,0)&gt;0,1,0),0))</f>
        <v>1</v>
      </c>
      <c r="T174" s="5">
        <f>IF(E174="","",IFERROR(IF(MATCH(E174,'Lista de excepciones'!$E:$E,0)&gt;0,1,0),0))</f>
        <v>0</v>
      </c>
      <c r="U174" s="6" t="str">
        <f t="shared" si="3"/>
        <v>NO</v>
      </c>
    </row>
    <row r="175" spans="1:21" hidden="1" x14ac:dyDescent="0.25">
      <c r="A175" s="7" t="str">
        <f>IF('Port Bloomberg'!A175="","",'Port Bloomberg'!A175)</f>
        <v>CMPCCI 3.85 01/13/30</v>
      </c>
      <c r="B175" s="7" t="str">
        <f>IF('Port Bloomberg'!B175="","",'Port Bloomberg'!B175)</f>
        <v>Inversiones CMPC SA</v>
      </c>
      <c r="C175" s="7" t="str">
        <f>IF('Port Bloomberg'!C175="","",'Port Bloomberg'!C175)</f>
        <v>INVERSIONES CMPC</v>
      </c>
      <c r="D175" s="7" t="str">
        <f>IF('Port Bloomberg'!D175="","",'Port Bloomberg'!D175)</f>
        <v>INVERSIONES CMPC SA</v>
      </c>
      <c r="E175" s="7" t="str">
        <f>IF('Port Bloomberg'!E175="","",'Port Bloomberg'!E175)</f>
        <v>USP58072AS10</v>
      </c>
      <c r="F175" s="7" t="str">
        <f>IF('Port Bloomberg'!F175="","",'Port Bloomberg'!F175)</f>
        <v>CMPCCI</v>
      </c>
      <c r="G175" s="7" t="str">
        <f>IF('Port Bloomberg'!G175="","",'Port Bloomberg'!G175)</f>
        <v>1013Z CI</v>
      </c>
      <c r="H175" s="7" t="str">
        <f>IF('Port Bloomberg'!H175="","",'Port Bloomberg'!H175)</f>
        <v>Forest Products&amp;Paper</v>
      </c>
      <c r="I175" s="7" t="str">
        <f>IF('Port Bloomberg'!I175="","",'Port Bloomberg'!I175)</f>
        <v>IND</v>
      </c>
      <c r="J175" s="7" t="str">
        <f>IF('Port Bloomberg'!J175="","",'Port Bloomberg'!J175)</f>
        <v>Paper&amp;Related Products</v>
      </c>
      <c r="K175" s="7" t="str">
        <f>IF('Port Bloomberg'!K175="","",'Port Bloomberg'!K175)</f>
        <v>CL</v>
      </c>
      <c r="L175" s="7" t="str">
        <f>IF('Port Bloomberg'!L175="","",'Port Bloomberg'!L175)</f>
        <v>CL</v>
      </c>
      <c r="M175" s="7" t="str">
        <f>IF('Port Bloomberg'!M175="","",'Port Bloomberg'!M175)</f>
        <v>USD</v>
      </c>
      <c r="N175" s="7">
        <f>IF('Port Bloomberg'!N175="","",'Port Bloomberg'!N175)</f>
        <v>500000</v>
      </c>
      <c r="O175" s="7" t="str">
        <f>IF('Port Bloomberg'!O175="","",'Port Bloomberg'!O175)</f>
        <v>SINGLE</v>
      </c>
      <c r="P175" s="7">
        <f>IF('Port Bloomberg'!P175="","",'Port Bloomberg'!P175)</f>
        <v>3.85</v>
      </c>
      <c r="Q175" s="7" t="str">
        <f>IF('Port Bloomberg'!Q175="","",'Port Bloomberg'!Q175)</f>
        <v>BBB-</v>
      </c>
      <c r="R175" s="7" t="str">
        <f>IF('Port Bloomberg'!R175="","",'Port Bloomberg'!R175)</f>
        <v>01/13/2030</v>
      </c>
      <c r="S175" s="5">
        <f>IF(E175="","",IFERROR(IF(MATCH(E175,[1]Instrumentos!$D:$D,0)&gt;0,1,0),0))</f>
        <v>1</v>
      </c>
      <c r="T175" s="5">
        <f>IF(E175="","",IFERROR(IF(MATCH(E175,'Lista de excepciones'!$E:$E,0)&gt;0,1,0),0))</f>
        <v>0</v>
      </c>
      <c r="U175" s="6" t="str">
        <f t="shared" si="3"/>
        <v>NO</v>
      </c>
    </row>
    <row r="176" spans="1:21" hidden="1" x14ac:dyDescent="0.25">
      <c r="A176" s="7" t="str">
        <f>IF('Port Bloomberg'!A176="","",'Port Bloomberg'!A176)</f>
        <v>CMPCCI 6 ⅛ 02/26/34</v>
      </c>
      <c r="B176" s="7" t="str">
        <f>IF('Port Bloomberg'!B176="","",'Port Bloomberg'!B176)</f>
        <v>Inversiones CMPC SA</v>
      </c>
      <c r="C176" s="7" t="str">
        <f>IF('Port Bloomberg'!C176="","",'Port Bloomberg'!C176)</f>
        <v>INVERSIONES CMPC</v>
      </c>
      <c r="D176" s="7" t="str">
        <f>IF('Port Bloomberg'!D176="","",'Port Bloomberg'!D176)</f>
        <v>INVERSIONES CMPC SA</v>
      </c>
      <c r="E176" s="7" t="str">
        <f>IF('Port Bloomberg'!E176="","",'Port Bloomberg'!E176)</f>
        <v>USP58072AY87</v>
      </c>
      <c r="F176" s="7" t="str">
        <f>IF('Port Bloomberg'!F176="","",'Port Bloomberg'!F176)</f>
        <v>CMPCCI</v>
      </c>
      <c r="G176" s="7" t="str">
        <f>IF('Port Bloomberg'!G176="","",'Port Bloomberg'!G176)</f>
        <v>1013Z CI</v>
      </c>
      <c r="H176" s="7" t="str">
        <f>IF('Port Bloomberg'!H176="","",'Port Bloomberg'!H176)</f>
        <v>Forest Products&amp;Paper</v>
      </c>
      <c r="I176" s="7" t="str">
        <f>IF('Port Bloomberg'!I176="","",'Port Bloomberg'!I176)</f>
        <v>IND</v>
      </c>
      <c r="J176" s="7" t="str">
        <f>IF('Port Bloomberg'!J176="","",'Port Bloomberg'!J176)</f>
        <v>Paper&amp;Related Products</v>
      </c>
      <c r="K176" s="7" t="str">
        <f>IF('Port Bloomberg'!K176="","",'Port Bloomberg'!K176)</f>
        <v>CL</v>
      </c>
      <c r="L176" s="7" t="str">
        <f>IF('Port Bloomberg'!L176="","",'Port Bloomberg'!L176)</f>
        <v>CL</v>
      </c>
      <c r="M176" s="7" t="str">
        <f>IF('Port Bloomberg'!M176="","",'Port Bloomberg'!M176)</f>
        <v>USD</v>
      </c>
      <c r="N176" s="7">
        <f>IF('Port Bloomberg'!N176="","",'Port Bloomberg'!N176)</f>
        <v>500000</v>
      </c>
      <c r="O176" s="7" t="str">
        <f>IF('Port Bloomberg'!O176="","",'Port Bloomberg'!O176)</f>
        <v>SINGLE</v>
      </c>
      <c r="P176" s="7">
        <f>IF('Port Bloomberg'!P176="","",'Port Bloomberg'!P176)</f>
        <v>6.125</v>
      </c>
      <c r="Q176" s="7" t="str">
        <f>IF('Port Bloomberg'!Q176="","",'Port Bloomberg'!Q176)</f>
        <v>BBB-</v>
      </c>
      <c r="R176" s="7" t="str">
        <f>IF('Port Bloomberg'!R176="","",'Port Bloomberg'!R176)</f>
        <v>02/26/2034</v>
      </c>
      <c r="S176" s="5">
        <f>IF(E176="","",IFERROR(IF(MATCH(E176,[1]Instrumentos!$D:$D,0)&gt;0,1,0),0))</f>
        <v>1</v>
      </c>
      <c r="T176" s="5">
        <f>IF(E176="","",IFERROR(IF(MATCH(E176,'Lista de excepciones'!$E:$E,0)&gt;0,1,0),0))</f>
        <v>0</v>
      </c>
      <c r="U176" s="6" t="str">
        <f t="shared" si="3"/>
        <v>NO</v>
      </c>
    </row>
    <row r="177" spans="1:21" hidden="1" x14ac:dyDescent="0.25">
      <c r="A177" s="7" t="str">
        <f>IF('Port Bloomberg'!A177="","",'Port Bloomberg'!A177)</f>
        <v>CMPCCI 6 ⅛ 06/23/33</v>
      </c>
      <c r="B177" s="7" t="str">
        <f>IF('Port Bloomberg'!B177="","",'Port Bloomberg'!B177)</f>
        <v>Inversiones CMPC SA</v>
      </c>
      <c r="C177" s="7" t="str">
        <f>IF('Port Bloomberg'!C177="","",'Port Bloomberg'!C177)</f>
        <v>INVERSIONES CMPC</v>
      </c>
      <c r="D177" s="7" t="str">
        <f>IF('Port Bloomberg'!D177="","",'Port Bloomberg'!D177)</f>
        <v>INVERSIONES CMPC SA</v>
      </c>
      <c r="E177" s="7" t="str">
        <f>IF('Port Bloomberg'!E177="","",'Port Bloomberg'!E177)</f>
        <v>USP58072AX05</v>
      </c>
      <c r="F177" s="7" t="str">
        <f>IF('Port Bloomberg'!F177="","",'Port Bloomberg'!F177)</f>
        <v>CMPCCI</v>
      </c>
      <c r="G177" s="7" t="str">
        <f>IF('Port Bloomberg'!G177="","",'Port Bloomberg'!G177)</f>
        <v>1013Z CI</v>
      </c>
      <c r="H177" s="7" t="str">
        <f>IF('Port Bloomberg'!H177="","",'Port Bloomberg'!H177)</f>
        <v>Forest Products&amp;Paper</v>
      </c>
      <c r="I177" s="7" t="str">
        <f>IF('Port Bloomberg'!I177="","",'Port Bloomberg'!I177)</f>
        <v>IND</v>
      </c>
      <c r="J177" s="7" t="str">
        <f>IF('Port Bloomberg'!J177="","",'Port Bloomberg'!J177)</f>
        <v>Paper&amp;Related Products</v>
      </c>
      <c r="K177" s="7" t="str">
        <f>IF('Port Bloomberg'!K177="","",'Port Bloomberg'!K177)</f>
        <v>CL</v>
      </c>
      <c r="L177" s="7" t="str">
        <f>IF('Port Bloomberg'!L177="","",'Port Bloomberg'!L177)</f>
        <v>CL</v>
      </c>
      <c r="M177" s="7" t="str">
        <f>IF('Port Bloomberg'!M177="","",'Port Bloomberg'!M177)</f>
        <v>USD</v>
      </c>
      <c r="N177" s="7">
        <f>IF('Port Bloomberg'!N177="","",'Port Bloomberg'!N177)</f>
        <v>500000</v>
      </c>
      <c r="O177" s="7" t="str">
        <f>IF('Port Bloomberg'!O177="","",'Port Bloomberg'!O177)</f>
        <v>SINGLE</v>
      </c>
      <c r="P177" s="7">
        <f>IF('Port Bloomberg'!P177="","",'Port Bloomberg'!P177)</f>
        <v>6.125</v>
      </c>
      <c r="Q177" s="7" t="str">
        <f>IF('Port Bloomberg'!Q177="","",'Port Bloomberg'!Q177)</f>
        <v>BBB-</v>
      </c>
      <c r="R177" s="7" t="str">
        <f>IF('Port Bloomberg'!R177="","",'Port Bloomberg'!R177)</f>
        <v>06/23/2033</v>
      </c>
      <c r="S177" s="5">
        <f>IF(E177="","",IFERROR(IF(MATCH(E177,[1]Instrumentos!$D:$D,0)&gt;0,1,0),0))</f>
        <v>1</v>
      </c>
      <c r="T177" s="5">
        <f>IF(E177="","",IFERROR(IF(MATCH(E177,'Lista de excepciones'!$E:$E,0)&gt;0,1,0),0))</f>
        <v>0</v>
      </c>
      <c r="U177" s="6" t="str">
        <f t="shared" si="3"/>
        <v>NO</v>
      </c>
    </row>
    <row r="178" spans="1:21" hidden="1" x14ac:dyDescent="0.25">
      <c r="A178" s="7" t="str">
        <f>IF('Port Bloomberg'!A178="","",'Port Bloomberg'!A178)</f>
        <v>CMPCCI 6.7 12/09/57</v>
      </c>
      <c r="B178" s="7" t="str">
        <f>IF('Port Bloomberg'!B178="","",'Port Bloomberg'!B178)</f>
        <v>Inversiones CMPC SA</v>
      </c>
      <c r="C178" s="7" t="str">
        <f>IF('Port Bloomberg'!C178="","",'Port Bloomberg'!C178)</f>
        <v>INVERSIONES CMPC</v>
      </c>
      <c r="D178" s="7" t="str">
        <f>IF('Port Bloomberg'!D178="","",'Port Bloomberg'!D178)</f>
        <v>INVERSIONES CMPC SA</v>
      </c>
      <c r="E178" s="7" t="str">
        <f>IF('Port Bloomberg'!E178="","",'Port Bloomberg'!E178)</f>
        <v>USP58072BA92</v>
      </c>
      <c r="F178" s="7" t="str">
        <f>IF('Port Bloomberg'!F178="","",'Port Bloomberg'!F178)</f>
        <v>CMPCCI</v>
      </c>
      <c r="G178" s="7" t="str">
        <f>IF('Port Bloomberg'!G178="","",'Port Bloomberg'!G178)</f>
        <v>1013Z CI</v>
      </c>
      <c r="H178" s="7" t="str">
        <f>IF('Port Bloomberg'!H178="","",'Port Bloomberg'!H178)</f>
        <v>Forest Products&amp;Paper</v>
      </c>
      <c r="I178" s="7" t="str">
        <f>IF('Port Bloomberg'!I178="","",'Port Bloomberg'!I178)</f>
        <v>IND</v>
      </c>
      <c r="J178" s="7" t="str">
        <f>IF('Port Bloomberg'!J178="","",'Port Bloomberg'!J178)</f>
        <v>Paper&amp;Related Products</v>
      </c>
      <c r="K178" s="7" t="str">
        <f>IF('Port Bloomberg'!K178="","",'Port Bloomberg'!K178)</f>
        <v>CL</v>
      </c>
      <c r="L178" s="7" t="str">
        <f>IF('Port Bloomberg'!L178="","",'Port Bloomberg'!L178)</f>
        <v>CL</v>
      </c>
      <c r="M178" s="7" t="str">
        <f>IF('Port Bloomberg'!M178="","",'Port Bloomberg'!M178)</f>
        <v>USD</v>
      </c>
      <c r="N178" s="7">
        <f>IF('Port Bloomberg'!N178="","",'Port Bloomberg'!N178)</f>
        <v>600000</v>
      </c>
      <c r="O178" s="7" t="str">
        <f>IF('Port Bloomberg'!O178="","",'Port Bloomberg'!O178)</f>
        <v>SINGLE</v>
      </c>
      <c r="P178" s="7">
        <f>IF('Port Bloomberg'!P178="","",'Port Bloomberg'!P178)</f>
        <v>6.7</v>
      </c>
      <c r="Q178" s="7" t="str">
        <f>IF('Port Bloomberg'!Q178="","",'Port Bloomberg'!Q178)</f>
        <v>BB</v>
      </c>
      <c r="R178" s="7" t="str">
        <f>IF('Port Bloomberg'!R178="","",'Port Bloomberg'!R178)</f>
        <v>12/09/2057</v>
      </c>
      <c r="S178" s="5">
        <f>IF(E178="","",IFERROR(IF(MATCH(E178,[1]Instrumentos!$D:$D,0)&gt;0,1,0),0))</f>
        <v>1</v>
      </c>
      <c r="T178" s="5">
        <f>IF(E178="","",IFERROR(IF(MATCH(E178,'Lista de excepciones'!$E:$E,0)&gt;0,1,0),0))</f>
        <v>0</v>
      </c>
      <c r="U178" s="6" t="str">
        <f t="shared" si="3"/>
        <v>NO</v>
      </c>
    </row>
    <row r="179" spans="1:21" hidden="1" x14ac:dyDescent="0.25">
      <c r="A179" s="7" t="str">
        <f>IF('Port Bloomberg'!A179="","",'Port Bloomberg'!A179)</f>
        <v>COFIDE 5 ½ 05/06/30</v>
      </c>
      <c r="B179" s="7" t="str">
        <f>IF('Port Bloomberg'!B179="","",'Port Bloomberg'!B179)</f>
        <v>Corp Financiera de Desarrollo SA</v>
      </c>
      <c r="C179" s="7" t="str">
        <f>IF('Port Bloomberg'!C179="","",'Port Bloomberg'!C179)</f>
        <v>COFIDE</v>
      </c>
      <c r="D179" s="7" t="str">
        <f>IF('Port Bloomberg'!D179="","",'Port Bloomberg'!D179)</f>
        <v>CORP FINANCIERA DE DESAR</v>
      </c>
      <c r="E179" s="7" t="str">
        <f>IF('Port Bloomberg'!E179="","",'Port Bloomberg'!E179)</f>
        <v>USP3R94GBP32</v>
      </c>
      <c r="F179" s="7" t="str">
        <f>IF('Port Bloomberg'!F179="","",'Port Bloomberg'!F179)</f>
        <v>COFIDE</v>
      </c>
      <c r="G179" s="7" t="str">
        <f>IF('Port Bloomberg'!G179="","",'Port Bloomberg'!G179)</f>
        <v>COFIDCC1 PE</v>
      </c>
      <c r="H179" s="7" t="str">
        <f>IF('Port Bloomberg'!H179="","",'Port Bloomberg'!H179)</f>
        <v>Banks</v>
      </c>
      <c r="I179" s="7" t="str">
        <f>IF('Port Bloomberg'!I179="","",'Port Bloomberg'!I179)</f>
        <v>FOA</v>
      </c>
      <c r="J179" s="7" t="str">
        <f>IF('Port Bloomberg'!J179="","",'Port Bloomberg'!J179)</f>
        <v>Special Purpose Banks</v>
      </c>
      <c r="K179" s="7" t="str">
        <f>IF('Port Bloomberg'!K179="","",'Port Bloomberg'!K179)</f>
        <v>PE</v>
      </c>
      <c r="L179" s="7" t="str">
        <f>IF('Port Bloomberg'!L179="","",'Port Bloomberg'!L179)</f>
        <v>PE</v>
      </c>
      <c r="M179" s="7" t="str">
        <f>IF('Port Bloomberg'!M179="","",'Port Bloomberg'!M179)</f>
        <v>USD</v>
      </c>
      <c r="N179" s="7">
        <f>IF('Port Bloomberg'!N179="","",'Port Bloomberg'!N179)</f>
        <v>400000</v>
      </c>
      <c r="O179" s="7" t="str">
        <f>IF('Port Bloomberg'!O179="","",'Port Bloomberg'!O179)</f>
        <v>SINGLE</v>
      </c>
      <c r="P179" s="7">
        <f>IF('Port Bloomberg'!P179="","",'Port Bloomberg'!P179)</f>
        <v>5.5</v>
      </c>
      <c r="Q179" s="7" t="str">
        <f>IF('Port Bloomberg'!Q179="","",'Port Bloomberg'!Q179)</f>
        <v>BBB-</v>
      </c>
      <c r="R179" s="7" t="str">
        <f>IF('Port Bloomberg'!R179="","",'Port Bloomberg'!R179)</f>
        <v>05/06/2030</v>
      </c>
      <c r="S179" s="5">
        <f>IF(E179="","",IFERROR(IF(MATCH(E179,[1]Instrumentos!$D:$D,0)&gt;0,1,0),0))</f>
        <v>1</v>
      </c>
      <c r="T179" s="5">
        <f>IF(E179="","",IFERROR(IF(MATCH(E179,'Lista de excepciones'!$E:$E,0)&gt;0,1,0),0))</f>
        <v>0</v>
      </c>
      <c r="U179" s="6" t="str">
        <f t="shared" si="3"/>
        <v>NO</v>
      </c>
    </row>
    <row r="180" spans="1:21" hidden="1" x14ac:dyDescent="0.25">
      <c r="A180" s="7" t="str">
        <f>IF('Port Bloomberg'!A180="","",'Port Bloomberg'!A180)</f>
        <v>COFIDE 5.95 04/30/29</v>
      </c>
      <c r="B180" s="7" t="str">
        <f>IF('Port Bloomberg'!B180="","",'Port Bloomberg'!B180)</f>
        <v>Corp Financiera de Desarrollo SA</v>
      </c>
      <c r="C180" s="7" t="str">
        <f>IF('Port Bloomberg'!C180="","",'Port Bloomberg'!C180)</f>
        <v>COFIDE</v>
      </c>
      <c r="D180" s="7" t="str">
        <f>IF('Port Bloomberg'!D180="","",'Port Bloomberg'!D180)</f>
        <v>CORP FINANCIERA DE DESAR</v>
      </c>
      <c r="E180" s="7" t="str">
        <f>IF('Port Bloomberg'!E180="","",'Port Bloomberg'!E180)</f>
        <v>USP3R94GBM01</v>
      </c>
      <c r="F180" s="7" t="str">
        <f>IF('Port Bloomberg'!F180="","",'Port Bloomberg'!F180)</f>
        <v>COFIDE</v>
      </c>
      <c r="G180" s="7" t="str">
        <f>IF('Port Bloomberg'!G180="","",'Port Bloomberg'!G180)</f>
        <v>COFIDCC1 PE</v>
      </c>
      <c r="H180" s="7" t="str">
        <f>IF('Port Bloomberg'!H180="","",'Port Bloomberg'!H180)</f>
        <v>Banks</v>
      </c>
      <c r="I180" s="7" t="str">
        <f>IF('Port Bloomberg'!I180="","",'Port Bloomberg'!I180)</f>
        <v>FOA</v>
      </c>
      <c r="J180" s="7" t="str">
        <f>IF('Port Bloomberg'!J180="","",'Port Bloomberg'!J180)</f>
        <v>Special Purpose Banks</v>
      </c>
      <c r="K180" s="7" t="str">
        <f>IF('Port Bloomberg'!K180="","",'Port Bloomberg'!K180)</f>
        <v>PE</v>
      </c>
      <c r="L180" s="7" t="str">
        <f>IF('Port Bloomberg'!L180="","",'Port Bloomberg'!L180)</f>
        <v>PE</v>
      </c>
      <c r="M180" s="7" t="str">
        <f>IF('Port Bloomberg'!M180="","",'Port Bloomberg'!M180)</f>
        <v>USD</v>
      </c>
      <c r="N180" s="7">
        <f>IF('Port Bloomberg'!N180="","",'Port Bloomberg'!N180)</f>
        <v>300000</v>
      </c>
      <c r="O180" s="7" t="str">
        <f>IF('Port Bloomberg'!O180="","",'Port Bloomberg'!O180)</f>
        <v>SINGLE</v>
      </c>
      <c r="P180" s="7">
        <f>IF('Port Bloomberg'!P180="","",'Port Bloomberg'!P180)</f>
        <v>5.95</v>
      </c>
      <c r="Q180" s="7" t="str">
        <f>IF('Port Bloomberg'!Q180="","",'Port Bloomberg'!Q180)</f>
        <v>BBB-</v>
      </c>
      <c r="R180" s="7" t="str">
        <f>IF('Port Bloomberg'!R180="","",'Port Bloomberg'!R180)</f>
        <v>04/30/2029</v>
      </c>
      <c r="S180" s="5">
        <f>IF(E180="","",IFERROR(IF(MATCH(E180,[1]Instrumentos!$D:$D,0)&gt;0,1,0),0))</f>
        <v>1</v>
      </c>
      <c r="T180" s="5">
        <f>IF(E180="","",IFERROR(IF(MATCH(E180,'Lista de excepciones'!$E:$E,0)&gt;0,1,0),0))</f>
        <v>0</v>
      </c>
      <c r="U180" s="6" t="str">
        <f t="shared" si="3"/>
        <v>NO</v>
      </c>
    </row>
    <row r="181" spans="1:21" hidden="1" x14ac:dyDescent="0.25">
      <c r="A181" s="7" t="str">
        <f>IF('Port Bloomberg'!A181="","",'Port Bloomberg'!A181)</f>
        <v>COLBUN 3.15 01/19/32</v>
      </c>
      <c r="B181" s="7" t="str">
        <f>IF('Port Bloomberg'!B181="","",'Port Bloomberg'!B181)</f>
        <v>Colbun SA</v>
      </c>
      <c r="C181" s="7" t="str">
        <f>IF('Port Bloomberg'!C181="","",'Port Bloomberg'!C181)</f>
        <v>COLBUN SA</v>
      </c>
      <c r="D181" s="7" t="str">
        <f>IF('Port Bloomberg'!D181="","",'Port Bloomberg'!D181)</f>
        <v>COLBUN SA</v>
      </c>
      <c r="E181" s="7" t="str">
        <f>IF('Port Bloomberg'!E181="","",'Port Bloomberg'!E181)</f>
        <v>USP2867KAL00</v>
      </c>
      <c r="F181" s="7" t="str">
        <f>IF('Port Bloomberg'!F181="","",'Port Bloomberg'!F181)</f>
        <v>COLBUN</v>
      </c>
      <c r="G181" s="7" t="str">
        <f>IF('Port Bloomberg'!G181="","",'Port Bloomberg'!G181)</f>
        <v>COLBUN CI</v>
      </c>
      <c r="H181" s="7" t="str">
        <f>IF('Port Bloomberg'!H181="","",'Port Bloomberg'!H181)</f>
        <v>Electric</v>
      </c>
      <c r="I181" s="7" t="str">
        <f>IF('Port Bloomberg'!I181="","",'Port Bloomberg'!I181)</f>
        <v>UTL</v>
      </c>
      <c r="J181" s="7" t="str">
        <f>IF('Port Bloomberg'!J181="","",'Port Bloomberg'!J181)</f>
        <v>Electric-Generation</v>
      </c>
      <c r="K181" s="7" t="str">
        <f>IF('Port Bloomberg'!K181="","",'Port Bloomberg'!K181)</f>
        <v>CL</v>
      </c>
      <c r="L181" s="7" t="str">
        <f>IF('Port Bloomberg'!L181="","",'Port Bloomberg'!L181)</f>
        <v>CL</v>
      </c>
      <c r="M181" s="7" t="str">
        <f>IF('Port Bloomberg'!M181="","",'Port Bloomberg'!M181)</f>
        <v>USD</v>
      </c>
      <c r="N181" s="7">
        <f>IF('Port Bloomberg'!N181="","",'Port Bloomberg'!N181)</f>
        <v>600000</v>
      </c>
      <c r="O181" s="7" t="str">
        <f>IF('Port Bloomberg'!O181="","",'Port Bloomberg'!O181)</f>
        <v>SINGLE</v>
      </c>
      <c r="P181" s="7">
        <f>IF('Port Bloomberg'!P181="","",'Port Bloomberg'!P181)</f>
        <v>3.15</v>
      </c>
      <c r="Q181" s="7" t="str">
        <f>IF('Port Bloomberg'!Q181="","",'Port Bloomberg'!Q181)</f>
        <v>BBB</v>
      </c>
      <c r="R181" s="7" t="str">
        <f>IF('Port Bloomberg'!R181="","",'Port Bloomberg'!R181)</f>
        <v>01/19/2032</v>
      </c>
      <c r="S181" s="5">
        <f>IF(E181="","",IFERROR(IF(MATCH(E181,[1]Instrumentos!$D:$D,0)&gt;0,1,0),0))</f>
        <v>1</v>
      </c>
      <c r="T181" s="5">
        <f>IF(E181="","",IFERROR(IF(MATCH(E181,'Lista de excepciones'!$E:$E,0)&gt;0,1,0),0))</f>
        <v>0</v>
      </c>
      <c r="U181" s="6" t="str">
        <f t="shared" si="3"/>
        <v>NO</v>
      </c>
    </row>
    <row r="182" spans="1:21" hidden="1" x14ac:dyDescent="0.25">
      <c r="A182" s="7" t="str">
        <f>IF('Port Bloomberg'!A182="","",'Port Bloomberg'!A182)</f>
        <v>COLBUN 3.15 03/06/30</v>
      </c>
      <c r="B182" s="7" t="str">
        <f>IF('Port Bloomberg'!B182="","",'Port Bloomberg'!B182)</f>
        <v>Colbun SA</v>
      </c>
      <c r="C182" s="7" t="str">
        <f>IF('Port Bloomberg'!C182="","",'Port Bloomberg'!C182)</f>
        <v>COLBUN SA</v>
      </c>
      <c r="D182" s="7" t="str">
        <f>IF('Port Bloomberg'!D182="","",'Port Bloomberg'!D182)</f>
        <v>COLBUN SA</v>
      </c>
      <c r="E182" s="7" t="str">
        <f>IF('Port Bloomberg'!E182="","",'Port Bloomberg'!E182)</f>
        <v>USP2867KAK27</v>
      </c>
      <c r="F182" s="7" t="str">
        <f>IF('Port Bloomberg'!F182="","",'Port Bloomberg'!F182)</f>
        <v>COLBUN</v>
      </c>
      <c r="G182" s="7" t="str">
        <f>IF('Port Bloomberg'!G182="","",'Port Bloomberg'!G182)</f>
        <v>COLBUN CI</v>
      </c>
      <c r="H182" s="7" t="str">
        <f>IF('Port Bloomberg'!H182="","",'Port Bloomberg'!H182)</f>
        <v>Electric</v>
      </c>
      <c r="I182" s="7" t="str">
        <f>IF('Port Bloomberg'!I182="","",'Port Bloomberg'!I182)</f>
        <v>UTL</v>
      </c>
      <c r="J182" s="7" t="str">
        <f>IF('Port Bloomberg'!J182="","",'Port Bloomberg'!J182)</f>
        <v>Electric-Generation</v>
      </c>
      <c r="K182" s="7" t="str">
        <f>IF('Port Bloomberg'!K182="","",'Port Bloomberg'!K182)</f>
        <v>CL</v>
      </c>
      <c r="L182" s="7" t="str">
        <f>IF('Port Bloomberg'!L182="","",'Port Bloomberg'!L182)</f>
        <v>CL</v>
      </c>
      <c r="M182" s="7" t="str">
        <f>IF('Port Bloomberg'!M182="","",'Port Bloomberg'!M182)</f>
        <v>USD</v>
      </c>
      <c r="N182" s="7">
        <f>IF('Port Bloomberg'!N182="","",'Port Bloomberg'!N182)</f>
        <v>500000</v>
      </c>
      <c r="O182" s="7" t="str">
        <f>IF('Port Bloomberg'!O182="","",'Port Bloomberg'!O182)</f>
        <v>SINGLE</v>
      </c>
      <c r="P182" s="7">
        <f>IF('Port Bloomberg'!P182="","",'Port Bloomberg'!P182)</f>
        <v>3.15</v>
      </c>
      <c r="Q182" s="7" t="str">
        <f>IF('Port Bloomberg'!Q182="","",'Port Bloomberg'!Q182)</f>
        <v>BBB</v>
      </c>
      <c r="R182" s="7" t="str">
        <f>IF('Port Bloomberg'!R182="","",'Port Bloomberg'!R182)</f>
        <v>03/06/2030</v>
      </c>
      <c r="S182" s="5">
        <f>IF(E182="","",IFERROR(IF(MATCH(E182,[1]Instrumentos!$D:$D,0)&gt;0,1,0),0))</f>
        <v>1</v>
      </c>
      <c r="T182" s="5">
        <f>IF(E182="","",IFERROR(IF(MATCH(E182,'Lista de excepciones'!$E:$E,0)&gt;0,1,0),0))</f>
        <v>0</v>
      </c>
      <c r="U182" s="6" t="str">
        <f t="shared" si="3"/>
        <v>NO</v>
      </c>
    </row>
    <row r="183" spans="1:21" hidden="1" x14ac:dyDescent="0.25">
      <c r="A183" s="7" t="str">
        <f>IF('Port Bloomberg'!A183="","",'Port Bloomberg'!A183)</f>
        <v>COLBUN 5 ⅜ 09/11/35</v>
      </c>
      <c r="B183" s="7" t="str">
        <f>IF('Port Bloomberg'!B183="","",'Port Bloomberg'!B183)</f>
        <v>Colbun SA</v>
      </c>
      <c r="C183" s="7" t="str">
        <f>IF('Port Bloomberg'!C183="","",'Port Bloomberg'!C183)</f>
        <v>COLBUN SA</v>
      </c>
      <c r="D183" s="7" t="str">
        <f>IF('Port Bloomberg'!D183="","",'Port Bloomberg'!D183)</f>
        <v>COLBUN SA</v>
      </c>
      <c r="E183" s="7" t="str">
        <f>IF('Port Bloomberg'!E183="","",'Port Bloomberg'!E183)</f>
        <v>USP2867KAM82</v>
      </c>
      <c r="F183" s="7" t="str">
        <f>IF('Port Bloomberg'!F183="","",'Port Bloomberg'!F183)</f>
        <v>COLBUN</v>
      </c>
      <c r="G183" s="7" t="str">
        <f>IF('Port Bloomberg'!G183="","",'Port Bloomberg'!G183)</f>
        <v>COLBUN CI</v>
      </c>
      <c r="H183" s="7" t="str">
        <f>IF('Port Bloomberg'!H183="","",'Port Bloomberg'!H183)</f>
        <v>Electric</v>
      </c>
      <c r="I183" s="7" t="str">
        <f>IF('Port Bloomberg'!I183="","",'Port Bloomberg'!I183)</f>
        <v>UTL</v>
      </c>
      <c r="J183" s="7" t="str">
        <f>IF('Port Bloomberg'!J183="","",'Port Bloomberg'!J183)</f>
        <v>Electric-Generation</v>
      </c>
      <c r="K183" s="7" t="str">
        <f>IF('Port Bloomberg'!K183="","",'Port Bloomberg'!K183)</f>
        <v>CL</v>
      </c>
      <c r="L183" s="7" t="str">
        <f>IF('Port Bloomberg'!L183="","",'Port Bloomberg'!L183)</f>
        <v>CL</v>
      </c>
      <c r="M183" s="7" t="str">
        <f>IF('Port Bloomberg'!M183="","",'Port Bloomberg'!M183)</f>
        <v>USD</v>
      </c>
      <c r="N183" s="7">
        <f>IF('Port Bloomberg'!N183="","",'Port Bloomberg'!N183)</f>
        <v>500000</v>
      </c>
      <c r="O183" s="7" t="str">
        <f>IF('Port Bloomberg'!O183="","",'Port Bloomberg'!O183)</f>
        <v>SINGLE</v>
      </c>
      <c r="P183" s="7">
        <f>IF('Port Bloomberg'!P183="","",'Port Bloomberg'!P183)</f>
        <v>5.375</v>
      </c>
      <c r="Q183" s="7" t="str">
        <f>IF('Port Bloomberg'!Q183="","",'Port Bloomberg'!Q183)</f>
        <v>BBB</v>
      </c>
      <c r="R183" s="7" t="str">
        <f>IF('Port Bloomberg'!R183="","",'Port Bloomberg'!R183)</f>
        <v>09/11/2035</v>
      </c>
      <c r="S183" s="5">
        <f>IF(E183="","",IFERROR(IF(MATCH(E183,[1]Instrumentos!$D:$D,0)&gt;0,1,0),0))</f>
        <v>1</v>
      </c>
      <c r="T183" s="5">
        <f>IF(E183="","",IFERROR(IF(MATCH(E183,'Lista de excepciones'!$E:$E,0)&gt;0,1,0),0))</f>
        <v>0</v>
      </c>
      <c r="U183" s="6" t="str">
        <f t="shared" si="3"/>
        <v>NO</v>
      </c>
    </row>
    <row r="184" spans="1:21" hidden="1" x14ac:dyDescent="0.25">
      <c r="A184" s="7" t="str">
        <f>IF('Port Bloomberg'!A184="","",'Port Bloomberg'!A184)</f>
        <v>COLTEL 4.95 07/17/30</v>
      </c>
      <c r="B184" s="7" t="str">
        <f>IF('Port Bloomberg'!B184="","",'Port Bloomberg'!B184)</f>
        <v>Colombia Telecomunicaciones SA ESP</v>
      </c>
      <c r="C184" s="7" t="str">
        <f>IF('Port Bloomberg'!C184="","",'Port Bloomberg'!C184)</f>
        <v>COLOMBIA TELECOM</v>
      </c>
      <c r="D184" s="7" t="str">
        <f>IF('Port Bloomberg'!D184="","",'Port Bloomberg'!D184)</f>
        <v>COLOMBIA TELECOMUNICACIO</v>
      </c>
      <c r="E184" s="7" t="str">
        <f>IF('Port Bloomberg'!E184="","",'Port Bloomberg'!E184)</f>
        <v>USP28768AC69</v>
      </c>
      <c r="F184" s="7" t="str">
        <f>IF('Port Bloomberg'!F184="","",'Port Bloomberg'!F184)</f>
        <v>COLTEL</v>
      </c>
      <c r="G184" s="7" t="str">
        <f>IF('Port Bloomberg'!G184="","",'Port Bloomberg'!G184)</f>
        <v>611992Z CB</v>
      </c>
      <c r="H184" s="7" t="str">
        <f>IF('Port Bloomberg'!H184="","",'Port Bloomberg'!H184)</f>
        <v>Telecommunications</v>
      </c>
      <c r="I184" s="7" t="str">
        <f>IF('Port Bloomberg'!I184="","",'Port Bloomberg'!I184)</f>
        <v>IND</v>
      </c>
      <c r="J184" s="7" t="str">
        <f>IF('Port Bloomberg'!J184="","",'Port Bloomberg'!J184)</f>
        <v>Cellular Telecom</v>
      </c>
      <c r="K184" s="7" t="str">
        <f>IF('Port Bloomberg'!K184="","",'Port Bloomberg'!K184)</f>
        <v>CO</v>
      </c>
      <c r="L184" s="7" t="str">
        <f>IF('Port Bloomberg'!L184="","",'Port Bloomberg'!L184)</f>
        <v>CO</v>
      </c>
      <c r="M184" s="7" t="str">
        <f>IF('Port Bloomberg'!M184="","",'Port Bloomberg'!M184)</f>
        <v>USD</v>
      </c>
      <c r="N184" s="7">
        <f>IF('Port Bloomberg'!N184="","",'Port Bloomberg'!N184)</f>
        <v>500000</v>
      </c>
      <c r="O184" s="7" t="str">
        <f>IF('Port Bloomberg'!O184="","",'Port Bloomberg'!O184)</f>
        <v>SINGLE</v>
      </c>
      <c r="P184" s="7">
        <f>IF('Port Bloomberg'!P184="","",'Port Bloomberg'!P184)</f>
        <v>4.95</v>
      </c>
      <c r="Q184" s="7" t="str">
        <f>IF('Port Bloomberg'!Q184="","",'Port Bloomberg'!Q184)</f>
        <v>BB</v>
      </c>
      <c r="R184" s="7" t="str">
        <f>IF('Port Bloomberg'!R184="","",'Port Bloomberg'!R184)</f>
        <v>07/17/2030</v>
      </c>
      <c r="S184" s="5">
        <f>IF(E184="","",IFERROR(IF(MATCH(E184,[1]Instrumentos!$D:$D,0)&gt;0,1,0),0))</f>
        <v>1</v>
      </c>
      <c r="T184" s="5">
        <f>IF(E184="","",IFERROR(IF(MATCH(E184,'Lista de excepciones'!$E:$E,0)&gt;0,1,0),0))</f>
        <v>0</v>
      </c>
      <c r="U184" s="6" t="str">
        <f t="shared" si="3"/>
        <v>NO</v>
      </c>
    </row>
    <row r="185" spans="1:21" hidden="1" x14ac:dyDescent="0.25">
      <c r="A185" s="7" t="str">
        <f>IF('Port Bloomberg'!A185="","",'Port Bloomberg'!A185)</f>
        <v>COMENG 6 ⅜ 04/24/35</v>
      </c>
      <c r="B185" s="7" t="str">
        <f>IF('Port Bloomberg'!B185="","",'Port Bloomberg'!B185)</f>
        <v>Cometa Energia SA de CV</v>
      </c>
      <c r="C185" s="7" t="str">
        <f>IF('Port Bloomberg'!C185="","",'Port Bloomberg'!C185)</f>
        <v>COMETA ENERGIA</v>
      </c>
      <c r="D185" s="7" t="str">
        <f>IF('Port Bloomberg'!D185="","",'Port Bloomberg'!D185)</f>
        <v>COMETA ENERGIA SA</v>
      </c>
      <c r="E185" s="7" t="str">
        <f>IF('Port Bloomberg'!E185="","",'Port Bloomberg'!E185)</f>
        <v>USP29853AA99</v>
      </c>
      <c r="F185" s="7" t="str">
        <f>IF('Port Bloomberg'!F185="","",'Port Bloomberg'!F185)</f>
        <v>COMENG</v>
      </c>
      <c r="G185" s="7" t="str">
        <f>IF('Port Bloomberg'!G185="","",'Port Bloomberg'!G185)</f>
        <v/>
      </c>
      <c r="H185" s="7" t="str">
        <f>IF('Port Bloomberg'!H185="","",'Port Bloomberg'!H185)</f>
        <v>Electric</v>
      </c>
      <c r="I185" s="7" t="str">
        <f>IF('Port Bloomberg'!I185="","",'Port Bloomberg'!I185)</f>
        <v>UTL</v>
      </c>
      <c r="J185" s="7" t="str">
        <f>IF('Port Bloomberg'!J185="","",'Port Bloomberg'!J185)</f>
        <v>Independ Power Producer</v>
      </c>
      <c r="K185" s="7" t="str">
        <f>IF('Port Bloomberg'!K185="","",'Port Bloomberg'!K185)</f>
        <v>MX</v>
      </c>
      <c r="L185" s="7" t="str">
        <f>IF('Port Bloomberg'!L185="","",'Port Bloomberg'!L185)</f>
        <v>MX</v>
      </c>
      <c r="M185" s="7" t="str">
        <f>IF('Port Bloomberg'!M185="","",'Port Bloomberg'!M185)</f>
        <v>USD</v>
      </c>
      <c r="N185" s="7">
        <f>IF('Port Bloomberg'!N185="","",'Port Bloomberg'!N185)</f>
        <v>860000</v>
      </c>
      <c r="O185" s="7" t="str">
        <f>IF('Port Bloomberg'!O185="","",'Port Bloomberg'!O185)</f>
        <v>SINGLE</v>
      </c>
      <c r="P185" s="7">
        <f>IF('Port Bloomberg'!P185="","",'Port Bloomberg'!P185)</f>
        <v>6.375</v>
      </c>
      <c r="Q185" s="7" t="str">
        <f>IF('Port Bloomberg'!Q185="","",'Port Bloomberg'!Q185)</f>
        <v>BBB-</v>
      </c>
      <c r="R185" s="7" t="str">
        <f>IF('Port Bloomberg'!R185="","",'Port Bloomberg'!R185)</f>
        <v>04/24/2035</v>
      </c>
      <c r="S185" s="5">
        <f>IF(E185="","",IFERROR(IF(MATCH(E185,[1]Instrumentos!$D:$D,0)&gt;0,1,0),0))</f>
        <v>1</v>
      </c>
      <c r="T185" s="5">
        <f>IF(E185="","",IFERROR(IF(MATCH(E185,'Lista de excepciones'!$E:$E,0)&gt;0,1,0),0))</f>
        <v>0</v>
      </c>
      <c r="U185" s="6" t="str">
        <f t="shared" si="3"/>
        <v>NO</v>
      </c>
    </row>
    <row r="186" spans="1:21" hidden="1" x14ac:dyDescent="0.25">
      <c r="A186" s="7" t="str">
        <f>IF('Port Bloomberg'!A186="","",'Port Bloomberg'!A186)</f>
        <v>COXMEX 7 ¾ 05/08/36</v>
      </c>
      <c r="B186" s="7" t="str">
        <f>IF('Port Bloomberg'!B186="","",'Port Bloomberg'!B186)</f>
        <v>COX Asset Mexico SA de CV</v>
      </c>
      <c r="C186" s="7" t="str">
        <f>IF('Port Bloomberg'!C186="","",'Port Bloomberg'!C186)</f>
        <v>COX ASSET MEX CV</v>
      </c>
      <c r="D186" s="7" t="str">
        <f>IF('Port Bloomberg'!D186="","",'Port Bloomberg'!D186)</f>
        <v>COX ASSET MEXICO SA CV</v>
      </c>
      <c r="E186" s="7" t="str">
        <f>IF('Port Bloomberg'!E186="","",'Port Bloomberg'!E186)</f>
        <v>USP3172AAB28</v>
      </c>
      <c r="F186" s="7" t="str">
        <f>IF('Port Bloomberg'!F186="","",'Port Bloomberg'!F186)</f>
        <v>COXMEX</v>
      </c>
      <c r="G186" s="7" t="str">
        <f>IF('Port Bloomberg'!G186="","",'Port Bloomberg'!G186)</f>
        <v>COXG SM</v>
      </c>
      <c r="H186" s="7" t="str">
        <f>IF('Port Bloomberg'!H186="","",'Port Bloomberg'!H186)</f>
        <v>Electric</v>
      </c>
      <c r="I186" s="7" t="str">
        <f>IF('Port Bloomberg'!I186="","",'Port Bloomberg'!I186)</f>
        <v>UTL</v>
      </c>
      <c r="J186" s="7" t="str">
        <f>IF('Port Bloomberg'!J186="","",'Port Bloomberg'!J186)</f>
        <v>Electric-Generation</v>
      </c>
      <c r="K186" s="7" t="str">
        <f>IF('Port Bloomberg'!K186="","",'Port Bloomberg'!K186)</f>
        <v>MX</v>
      </c>
      <c r="L186" s="7" t="str">
        <f>IF('Port Bloomberg'!L186="","",'Port Bloomberg'!L186)</f>
        <v>MX</v>
      </c>
      <c r="M186" s="7" t="str">
        <f>IF('Port Bloomberg'!M186="","",'Port Bloomberg'!M186)</f>
        <v>USD</v>
      </c>
      <c r="N186" s="7">
        <f>IF('Port Bloomberg'!N186="","",'Port Bloomberg'!N186)</f>
        <v>1000000</v>
      </c>
      <c r="O186" s="7" t="str">
        <f>IF('Port Bloomberg'!O186="","",'Port Bloomberg'!O186)</f>
        <v>SINGLE</v>
      </c>
      <c r="P186" s="7">
        <f>IF('Port Bloomberg'!P186="","",'Port Bloomberg'!P186)</f>
        <v>7.75</v>
      </c>
      <c r="Q186" s="7" t="str">
        <f>IF('Port Bloomberg'!Q186="","",'Port Bloomberg'!Q186)</f>
        <v>BB+</v>
      </c>
      <c r="R186" s="7" t="str">
        <f>IF('Port Bloomberg'!R186="","",'Port Bloomberg'!R186)</f>
        <v>05/08/2036</v>
      </c>
      <c r="S186" s="5">
        <f>IF(E186="","",IFERROR(IF(MATCH(E186,[1]Instrumentos!$D:$D,0)&gt;0,1,0),0))</f>
        <v>0</v>
      </c>
      <c r="T186" s="5">
        <f>IF(E186="","",IFERROR(IF(MATCH(E186,'Lista de excepciones'!$E:$E,0)&gt;0,1,0),0))</f>
        <v>1</v>
      </c>
      <c r="U186" s="6" t="str">
        <f t="shared" si="3"/>
        <v>NO</v>
      </c>
    </row>
    <row r="187" spans="1:21" hidden="1" x14ac:dyDescent="0.25">
      <c r="A187" s="7" t="str">
        <f>IF('Port Bloomberg'!A187="","",'Port Bloomberg'!A187)</f>
        <v>COXMEX 7 ⅛ 01/08/32</v>
      </c>
      <c r="B187" s="7" t="str">
        <f>IF('Port Bloomberg'!B187="","",'Port Bloomberg'!B187)</f>
        <v>COX Asset Mexico SA de CV</v>
      </c>
      <c r="C187" s="7" t="str">
        <f>IF('Port Bloomberg'!C187="","",'Port Bloomberg'!C187)</f>
        <v>COX ASSET MEX CV</v>
      </c>
      <c r="D187" s="7" t="str">
        <f>IF('Port Bloomberg'!D187="","",'Port Bloomberg'!D187)</f>
        <v>COX ASSET MEXICO SA CV</v>
      </c>
      <c r="E187" s="7" t="str">
        <f>IF('Port Bloomberg'!E187="","",'Port Bloomberg'!E187)</f>
        <v>USP3172AAA45</v>
      </c>
      <c r="F187" s="7" t="str">
        <f>IF('Port Bloomberg'!F187="","",'Port Bloomberg'!F187)</f>
        <v>COXMEX</v>
      </c>
      <c r="G187" s="7" t="str">
        <f>IF('Port Bloomberg'!G187="","",'Port Bloomberg'!G187)</f>
        <v>COXG SM</v>
      </c>
      <c r="H187" s="7" t="str">
        <f>IF('Port Bloomberg'!H187="","",'Port Bloomberg'!H187)</f>
        <v>Electric</v>
      </c>
      <c r="I187" s="7" t="str">
        <f>IF('Port Bloomberg'!I187="","",'Port Bloomberg'!I187)</f>
        <v>UTL</v>
      </c>
      <c r="J187" s="7" t="str">
        <f>IF('Port Bloomberg'!J187="","",'Port Bloomberg'!J187)</f>
        <v>Electric-Generation</v>
      </c>
      <c r="K187" s="7" t="str">
        <f>IF('Port Bloomberg'!K187="","",'Port Bloomberg'!K187)</f>
        <v>MX</v>
      </c>
      <c r="L187" s="7" t="str">
        <f>IF('Port Bloomberg'!L187="","",'Port Bloomberg'!L187)</f>
        <v>MX</v>
      </c>
      <c r="M187" s="7" t="str">
        <f>IF('Port Bloomberg'!M187="","",'Port Bloomberg'!M187)</f>
        <v>USD</v>
      </c>
      <c r="N187" s="7">
        <f>IF('Port Bloomberg'!N187="","",'Port Bloomberg'!N187)</f>
        <v>1000000</v>
      </c>
      <c r="O187" s="7" t="str">
        <f>IF('Port Bloomberg'!O187="","",'Port Bloomberg'!O187)</f>
        <v>SINGLE</v>
      </c>
      <c r="P187" s="7">
        <f>IF('Port Bloomberg'!P187="","",'Port Bloomberg'!P187)</f>
        <v>7.125</v>
      </c>
      <c r="Q187" s="7" t="str">
        <f>IF('Port Bloomberg'!Q187="","",'Port Bloomberg'!Q187)</f>
        <v>BB+</v>
      </c>
      <c r="R187" s="7" t="str">
        <f>IF('Port Bloomberg'!R187="","",'Port Bloomberg'!R187)</f>
        <v>01/08/2032</v>
      </c>
      <c r="S187" s="5">
        <f>IF(E187="","",IFERROR(IF(MATCH(E187,[1]Instrumentos!$D:$D,0)&gt;0,1,0),0))</f>
        <v>0</v>
      </c>
      <c r="T187" s="5">
        <f>IF(E187="","",IFERROR(IF(MATCH(E187,'Lista de excepciones'!$E:$E,0)&gt;0,1,0),0))</f>
        <v>1</v>
      </c>
      <c r="U187" s="6" t="str">
        <f t="shared" si="3"/>
        <v>NO</v>
      </c>
    </row>
    <row r="188" spans="1:21" hidden="1" x14ac:dyDescent="0.25">
      <c r="A188" s="7" t="str">
        <f>IF('Port Bloomberg'!A188="","",'Port Bloomberg'!A188)</f>
        <v>CSANBZ 8 ¼ PERP</v>
      </c>
      <c r="B188" s="7" t="str">
        <f>IF('Port Bloomberg'!B188="","",'Port Bloomberg'!B188)</f>
        <v>Cosan Overseas Ltd</v>
      </c>
      <c r="C188" s="7" t="str">
        <f>IF('Port Bloomberg'!C188="","",'Port Bloomberg'!C188)</f>
        <v>COSAN OVERSEAS</v>
      </c>
      <c r="D188" s="7" t="str">
        <f>IF('Port Bloomberg'!D188="","",'Port Bloomberg'!D188)</f>
        <v>COSAN OVERSEAS LTD</v>
      </c>
      <c r="E188" s="7" t="str">
        <f>IF('Port Bloomberg'!E188="","",'Port Bloomberg'!E188)</f>
        <v>XS0556373347</v>
      </c>
      <c r="F188" s="7" t="str">
        <f>IF('Port Bloomberg'!F188="","",'Port Bloomberg'!F188)</f>
        <v>CSANBZ</v>
      </c>
      <c r="G188" s="7" t="str">
        <f>IF('Port Bloomberg'!G188="","",'Port Bloomberg'!G188)</f>
        <v>CSAN3 BZ</v>
      </c>
      <c r="H188" s="7" t="str">
        <f>IF('Port Bloomberg'!H188="","",'Port Bloomberg'!H188)</f>
        <v>Oil&amp;Gas</v>
      </c>
      <c r="I188" s="7" t="str">
        <f>IF('Port Bloomberg'!I188="","",'Port Bloomberg'!I188)</f>
        <v>IND</v>
      </c>
      <c r="J188" s="7" t="str">
        <f>IF('Port Bloomberg'!J188="","",'Port Bloomberg'!J188)</f>
        <v>Oil Refining&amp;Marketing</v>
      </c>
      <c r="K188" s="7" t="str">
        <f>IF('Port Bloomberg'!K188="","",'Port Bloomberg'!K188)</f>
        <v>KY</v>
      </c>
      <c r="L188" s="7" t="str">
        <f>IF('Port Bloomberg'!L188="","",'Port Bloomberg'!L188)</f>
        <v>BR</v>
      </c>
      <c r="M188" s="7" t="str">
        <f>IF('Port Bloomberg'!M188="","",'Port Bloomberg'!M188)</f>
        <v>USD</v>
      </c>
      <c r="N188" s="7">
        <f>IF('Port Bloomberg'!N188="","",'Port Bloomberg'!N188)</f>
        <v>500000</v>
      </c>
      <c r="O188" s="7" t="str">
        <f>IF('Port Bloomberg'!O188="","",'Port Bloomberg'!O188)</f>
        <v>SINGLE</v>
      </c>
      <c r="P188" s="7">
        <f>IF('Port Bloomberg'!P188="","",'Port Bloomberg'!P188)</f>
        <v>8.25</v>
      </c>
      <c r="Q188" s="7" t="str">
        <f>IF('Port Bloomberg'!Q188="","",'Port Bloomberg'!Q188)</f>
        <v>B+</v>
      </c>
      <c r="R188" s="7" t="str">
        <f>IF('Port Bloomberg'!R188="","",'Port Bloomberg'!R188)</f>
        <v/>
      </c>
      <c r="S188" s="5">
        <f>IF(E188="","",IFERROR(IF(MATCH(E188,[1]Instrumentos!$D:$D,0)&gt;0,1,0),0))</f>
        <v>0</v>
      </c>
      <c r="T188" s="5">
        <f>IF(E188="","",IFERROR(IF(MATCH(E188,'Lista de excepciones'!$E:$E,0)&gt;0,1,0),0))</f>
        <v>1</v>
      </c>
      <c r="U188" s="6" t="str">
        <f t="shared" si="3"/>
        <v>NO</v>
      </c>
    </row>
    <row r="189" spans="1:21" hidden="1" x14ac:dyDescent="0.25">
      <c r="A189" s="7" t="str">
        <f>IF('Port Bloomberg'!A189="","",'Port Bloomberg'!A189)</f>
        <v>CSNABZ 4 ⅝ 06/10/31</v>
      </c>
      <c r="B189" s="7" t="str">
        <f>IF('Port Bloomberg'!B189="","",'Port Bloomberg'!B189)</f>
        <v>CSN Resources SA</v>
      </c>
      <c r="C189" s="7" t="str">
        <f>IF('Port Bloomberg'!C189="","",'Port Bloomberg'!C189)</f>
        <v>CSN RESOURCES</v>
      </c>
      <c r="D189" s="7" t="str">
        <f>IF('Port Bloomberg'!D189="","",'Port Bloomberg'!D189)</f>
        <v>CSN RESOURCES SA</v>
      </c>
      <c r="E189" s="7" t="str">
        <f>IF('Port Bloomberg'!E189="","",'Port Bloomberg'!E189)</f>
        <v>USL21779AJ97</v>
      </c>
      <c r="F189" s="7" t="str">
        <f>IF('Port Bloomberg'!F189="","",'Port Bloomberg'!F189)</f>
        <v>CSNABZ</v>
      </c>
      <c r="G189" s="7" t="str">
        <f>IF('Port Bloomberg'!G189="","",'Port Bloomberg'!G189)</f>
        <v>CSNA3 BZ</v>
      </c>
      <c r="H189" s="7" t="str">
        <f>IF('Port Bloomberg'!H189="","",'Port Bloomberg'!H189)</f>
        <v>Iron/Steel</v>
      </c>
      <c r="I189" s="7" t="str">
        <f>IF('Port Bloomberg'!I189="","",'Port Bloomberg'!I189)</f>
        <v>IND</v>
      </c>
      <c r="J189" s="7" t="str">
        <f>IF('Port Bloomberg'!J189="","",'Port Bloomberg'!J189)</f>
        <v>Steel-Producers</v>
      </c>
      <c r="K189" s="7" t="str">
        <f>IF('Port Bloomberg'!K189="","",'Port Bloomberg'!K189)</f>
        <v>LU</v>
      </c>
      <c r="L189" s="7" t="str">
        <f>IF('Port Bloomberg'!L189="","",'Port Bloomberg'!L189)</f>
        <v>BR</v>
      </c>
      <c r="M189" s="7" t="str">
        <f>IF('Port Bloomberg'!M189="","",'Port Bloomberg'!M189)</f>
        <v>USD</v>
      </c>
      <c r="N189" s="7">
        <f>IF('Port Bloomberg'!N189="","",'Port Bloomberg'!N189)</f>
        <v>850000</v>
      </c>
      <c r="O189" s="7" t="str">
        <f>IF('Port Bloomberg'!O189="","",'Port Bloomberg'!O189)</f>
        <v>SINGLE</v>
      </c>
      <c r="P189" s="7">
        <f>IF('Port Bloomberg'!P189="","",'Port Bloomberg'!P189)</f>
        <v>4.625</v>
      </c>
      <c r="Q189" s="7" t="str">
        <f>IF('Port Bloomberg'!Q189="","",'Port Bloomberg'!Q189)</f>
        <v>B-</v>
      </c>
      <c r="R189" s="7" t="str">
        <f>IF('Port Bloomberg'!R189="","",'Port Bloomberg'!R189)</f>
        <v>06/10/2031</v>
      </c>
      <c r="S189" s="5">
        <f>IF(E189="","",IFERROR(IF(MATCH(E189,[1]Instrumentos!$D:$D,0)&gt;0,1,0),0))</f>
        <v>1</v>
      </c>
      <c r="T189" s="5">
        <f>IF(E189="","",IFERROR(IF(MATCH(E189,'Lista de excepciones'!$E:$E,0)&gt;0,1,0),0))</f>
        <v>0</v>
      </c>
      <c r="U189" s="6" t="str">
        <f t="shared" si="3"/>
        <v>NO</v>
      </c>
    </row>
    <row r="190" spans="1:21" hidden="1" x14ac:dyDescent="0.25">
      <c r="A190" s="7" t="str">
        <f>IF('Port Bloomberg'!A190="","",'Port Bloomberg'!A190)</f>
        <v>CSNABZ 5 ⅞ 04/08/32</v>
      </c>
      <c r="B190" s="7" t="str">
        <f>IF('Port Bloomberg'!B190="","",'Port Bloomberg'!B190)</f>
        <v>CSN Resources SA</v>
      </c>
      <c r="C190" s="7" t="str">
        <f>IF('Port Bloomberg'!C190="","",'Port Bloomberg'!C190)</f>
        <v>CSN RESOURCES</v>
      </c>
      <c r="D190" s="7" t="str">
        <f>IF('Port Bloomberg'!D190="","",'Port Bloomberg'!D190)</f>
        <v>CSN RESOURCES SA</v>
      </c>
      <c r="E190" s="7" t="str">
        <f>IF('Port Bloomberg'!E190="","",'Port Bloomberg'!E190)</f>
        <v>USL21779AK60</v>
      </c>
      <c r="F190" s="7" t="str">
        <f>IF('Port Bloomberg'!F190="","",'Port Bloomberg'!F190)</f>
        <v>CSNABZ</v>
      </c>
      <c r="G190" s="7" t="str">
        <f>IF('Port Bloomberg'!G190="","",'Port Bloomberg'!G190)</f>
        <v>CSNA3 BZ</v>
      </c>
      <c r="H190" s="7" t="str">
        <f>IF('Port Bloomberg'!H190="","",'Port Bloomberg'!H190)</f>
        <v>Iron/Steel</v>
      </c>
      <c r="I190" s="7" t="str">
        <f>IF('Port Bloomberg'!I190="","",'Port Bloomberg'!I190)</f>
        <v>IND</v>
      </c>
      <c r="J190" s="7" t="str">
        <f>IF('Port Bloomberg'!J190="","",'Port Bloomberg'!J190)</f>
        <v>Steel-Producers</v>
      </c>
      <c r="K190" s="7" t="str">
        <f>IF('Port Bloomberg'!K190="","",'Port Bloomberg'!K190)</f>
        <v>LU</v>
      </c>
      <c r="L190" s="7" t="str">
        <f>IF('Port Bloomberg'!L190="","",'Port Bloomberg'!L190)</f>
        <v>BR</v>
      </c>
      <c r="M190" s="7" t="str">
        <f>IF('Port Bloomberg'!M190="","",'Port Bloomberg'!M190)</f>
        <v>USD</v>
      </c>
      <c r="N190" s="7">
        <f>IF('Port Bloomberg'!N190="","",'Port Bloomberg'!N190)</f>
        <v>500000</v>
      </c>
      <c r="O190" s="7" t="str">
        <f>IF('Port Bloomberg'!O190="","",'Port Bloomberg'!O190)</f>
        <v>SINGLE</v>
      </c>
      <c r="P190" s="7">
        <f>IF('Port Bloomberg'!P190="","",'Port Bloomberg'!P190)</f>
        <v>5.875</v>
      </c>
      <c r="Q190" s="7" t="str">
        <f>IF('Port Bloomberg'!Q190="","",'Port Bloomberg'!Q190)</f>
        <v>B-</v>
      </c>
      <c r="R190" s="7" t="str">
        <f>IF('Port Bloomberg'!R190="","",'Port Bloomberg'!R190)</f>
        <v>04/08/2032</v>
      </c>
      <c r="S190" s="5">
        <f>IF(E190="","",IFERROR(IF(MATCH(E190,[1]Instrumentos!$D:$D,0)&gt;0,1,0),0))</f>
        <v>1</v>
      </c>
      <c r="T190" s="5">
        <f>IF(E190="","",IFERROR(IF(MATCH(E190,'Lista de excepciones'!$E:$E,0)&gt;0,1,0),0))</f>
        <v>0</v>
      </c>
      <c r="U190" s="6" t="str">
        <f t="shared" si="3"/>
        <v>NO</v>
      </c>
    </row>
    <row r="191" spans="1:21" hidden="1" x14ac:dyDescent="0.25">
      <c r="A191" s="7" t="str">
        <f>IF('Port Bloomberg'!A191="","",'Port Bloomberg'!A191)</f>
        <v>CSNABZ 8 ⅞ 12/05/30</v>
      </c>
      <c r="B191" s="7" t="str">
        <f>IF('Port Bloomberg'!B191="","",'Port Bloomberg'!B191)</f>
        <v>CSN Resources SA</v>
      </c>
      <c r="C191" s="7" t="str">
        <f>IF('Port Bloomberg'!C191="","",'Port Bloomberg'!C191)</f>
        <v>CSN RESOURCES</v>
      </c>
      <c r="D191" s="7" t="str">
        <f>IF('Port Bloomberg'!D191="","",'Port Bloomberg'!D191)</f>
        <v>CSN RESOURCES SA</v>
      </c>
      <c r="E191" s="7" t="str">
        <f>IF('Port Bloomberg'!E191="","",'Port Bloomberg'!E191)</f>
        <v>USL21779AL44</v>
      </c>
      <c r="F191" s="7" t="str">
        <f>IF('Port Bloomberg'!F191="","",'Port Bloomberg'!F191)</f>
        <v>CSNABZ</v>
      </c>
      <c r="G191" s="7" t="str">
        <f>IF('Port Bloomberg'!G191="","",'Port Bloomberg'!G191)</f>
        <v>CSNA3 BZ</v>
      </c>
      <c r="H191" s="7" t="str">
        <f>IF('Port Bloomberg'!H191="","",'Port Bloomberg'!H191)</f>
        <v>Iron/Steel</v>
      </c>
      <c r="I191" s="7" t="str">
        <f>IF('Port Bloomberg'!I191="","",'Port Bloomberg'!I191)</f>
        <v>IND</v>
      </c>
      <c r="J191" s="7" t="str">
        <f>IF('Port Bloomberg'!J191="","",'Port Bloomberg'!J191)</f>
        <v>Steel-Producers</v>
      </c>
      <c r="K191" s="7" t="str">
        <f>IF('Port Bloomberg'!K191="","",'Port Bloomberg'!K191)</f>
        <v>LU</v>
      </c>
      <c r="L191" s="7" t="str">
        <f>IF('Port Bloomberg'!L191="","",'Port Bloomberg'!L191)</f>
        <v>BR</v>
      </c>
      <c r="M191" s="7" t="str">
        <f>IF('Port Bloomberg'!M191="","",'Port Bloomberg'!M191)</f>
        <v>USD</v>
      </c>
      <c r="N191" s="7">
        <f>IF('Port Bloomberg'!N191="","",'Port Bloomberg'!N191)</f>
        <v>700000</v>
      </c>
      <c r="O191" s="7" t="str">
        <f>IF('Port Bloomberg'!O191="","",'Port Bloomberg'!O191)</f>
        <v>SINGLE</v>
      </c>
      <c r="P191" s="7">
        <f>IF('Port Bloomberg'!P191="","",'Port Bloomberg'!P191)</f>
        <v>8.875</v>
      </c>
      <c r="Q191" s="7" t="str">
        <f>IF('Port Bloomberg'!Q191="","",'Port Bloomberg'!Q191)</f>
        <v>B-</v>
      </c>
      <c r="R191" s="7" t="str">
        <f>IF('Port Bloomberg'!R191="","",'Port Bloomberg'!R191)</f>
        <v>12/05/2030</v>
      </c>
      <c r="S191" s="5">
        <f>IF(E191="","",IFERROR(IF(MATCH(E191,[1]Instrumentos!$D:$D,0)&gt;0,1,0),0))</f>
        <v>1</v>
      </c>
      <c r="T191" s="5">
        <f>IF(E191="","",IFERROR(IF(MATCH(E191,'Lista de excepciones'!$E:$E,0)&gt;0,1,0),0))</f>
        <v>0</v>
      </c>
      <c r="U191" s="6" t="str">
        <f t="shared" si="3"/>
        <v>NO</v>
      </c>
    </row>
    <row r="192" spans="1:21" hidden="1" x14ac:dyDescent="0.25">
      <c r="A192" s="7" t="str">
        <f>IF('Port Bloomberg'!A192="","",'Port Bloomberg'!A192)</f>
        <v>DAVIVI 6.65 PERP</v>
      </c>
      <c r="B192" s="7" t="str">
        <f>IF('Port Bloomberg'!B192="","",'Port Bloomberg'!B192)</f>
        <v>Banco Davivienda SA</v>
      </c>
      <c r="C192" s="7" t="str">
        <f>IF('Port Bloomberg'!C192="","",'Port Bloomberg'!C192)</f>
        <v>BANCO DAVIVIENDA</v>
      </c>
      <c r="D192" s="7" t="str">
        <f>IF('Port Bloomberg'!D192="","",'Port Bloomberg'!D192)</f>
        <v>BANCO DAVIVIENDA SA</v>
      </c>
      <c r="E192" s="7" t="str">
        <f>IF('Port Bloomberg'!E192="","",'Port Bloomberg'!E192)</f>
        <v>USP0R11WAG52</v>
      </c>
      <c r="F192" s="7" t="str">
        <f>IF('Port Bloomberg'!F192="","",'Port Bloomberg'!F192)</f>
        <v>DAVIVI</v>
      </c>
      <c r="G192" s="7" t="str">
        <f>IF('Port Bloomberg'!G192="","",'Port Bloomberg'!G192)</f>
        <v>PFDAVVND CB</v>
      </c>
      <c r="H192" s="7" t="str">
        <f>IF('Port Bloomberg'!H192="","",'Port Bloomberg'!H192)</f>
        <v>Banks</v>
      </c>
      <c r="I192" s="7" t="str">
        <f>IF('Port Bloomberg'!I192="","",'Port Bloomberg'!I192)</f>
        <v>FIN</v>
      </c>
      <c r="J192" s="7" t="str">
        <f>IF('Port Bloomberg'!J192="","",'Port Bloomberg'!J192)</f>
        <v>Commer Banks Non-US</v>
      </c>
      <c r="K192" s="7" t="str">
        <f>IF('Port Bloomberg'!K192="","",'Port Bloomberg'!K192)</f>
        <v>CO</v>
      </c>
      <c r="L192" s="7" t="str">
        <f>IF('Port Bloomberg'!L192="","",'Port Bloomberg'!L192)</f>
        <v>CO</v>
      </c>
      <c r="M192" s="7" t="str">
        <f>IF('Port Bloomberg'!M192="","",'Port Bloomberg'!M192)</f>
        <v>USD</v>
      </c>
      <c r="N192" s="7">
        <f>IF('Port Bloomberg'!N192="","",'Port Bloomberg'!N192)</f>
        <v>500000</v>
      </c>
      <c r="O192" s="7" t="str">
        <f>IF('Port Bloomberg'!O192="","",'Port Bloomberg'!O192)</f>
        <v>SINGLE</v>
      </c>
      <c r="P192" s="7">
        <f>IF('Port Bloomberg'!P192="","",'Port Bloomberg'!P192)</f>
        <v>6.65</v>
      </c>
      <c r="Q192" s="7" t="str">
        <f>IF('Port Bloomberg'!Q192="","",'Port Bloomberg'!Q192)</f>
        <v>B-</v>
      </c>
      <c r="R192" s="7" t="str">
        <f>IF('Port Bloomberg'!R192="","",'Port Bloomberg'!R192)</f>
        <v/>
      </c>
      <c r="S192" s="5">
        <f>IF(E192="","",IFERROR(IF(MATCH(E192,[1]Instrumentos!$D:$D,0)&gt;0,1,0),0))</f>
        <v>1</v>
      </c>
      <c r="T192" s="5">
        <f>IF(E192="","",IFERROR(IF(MATCH(E192,'Lista de excepciones'!$E:$E,0)&gt;0,1,0),0))</f>
        <v>0</v>
      </c>
      <c r="U192" s="6" t="str">
        <f t="shared" si="3"/>
        <v>NO</v>
      </c>
    </row>
    <row r="193" spans="1:21" hidden="1" x14ac:dyDescent="0.25">
      <c r="A193" s="7" t="str">
        <f>IF('Port Bloomberg'!A193="","",'Port Bloomberg'!A193)</f>
        <v>DAVIVI 8 ⅛ 07/02/35</v>
      </c>
      <c r="B193" s="7" t="str">
        <f>IF('Port Bloomberg'!B193="","",'Port Bloomberg'!B193)</f>
        <v>Banco Davivienda SA</v>
      </c>
      <c r="C193" s="7" t="str">
        <f>IF('Port Bloomberg'!C193="","",'Port Bloomberg'!C193)</f>
        <v>BANCO DAVIVIENDA</v>
      </c>
      <c r="D193" s="7" t="str">
        <f>IF('Port Bloomberg'!D193="","",'Port Bloomberg'!D193)</f>
        <v>BANCO DAVIVIENDA SA</v>
      </c>
      <c r="E193" s="7" t="str">
        <f>IF('Port Bloomberg'!E193="","",'Port Bloomberg'!E193)</f>
        <v>USP0R137PD99</v>
      </c>
      <c r="F193" s="7" t="str">
        <f>IF('Port Bloomberg'!F193="","",'Port Bloomberg'!F193)</f>
        <v>DAVIVI</v>
      </c>
      <c r="G193" s="7" t="str">
        <f>IF('Port Bloomberg'!G193="","",'Port Bloomberg'!G193)</f>
        <v>PFDAVVND CB</v>
      </c>
      <c r="H193" s="7" t="str">
        <f>IF('Port Bloomberg'!H193="","",'Port Bloomberg'!H193)</f>
        <v>Banks</v>
      </c>
      <c r="I193" s="7" t="str">
        <f>IF('Port Bloomberg'!I193="","",'Port Bloomberg'!I193)</f>
        <v>FIN</v>
      </c>
      <c r="J193" s="7" t="str">
        <f>IF('Port Bloomberg'!J193="","",'Port Bloomberg'!J193)</f>
        <v>Commer Banks Non-US</v>
      </c>
      <c r="K193" s="7" t="str">
        <f>IF('Port Bloomberg'!K193="","",'Port Bloomberg'!K193)</f>
        <v>CO</v>
      </c>
      <c r="L193" s="7" t="str">
        <f>IF('Port Bloomberg'!L193="","",'Port Bloomberg'!L193)</f>
        <v>CO</v>
      </c>
      <c r="M193" s="7" t="str">
        <f>IF('Port Bloomberg'!M193="","",'Port Bloomberg'!M193)</f>
        <v>USD</v>
      </c>
      <c r="N193" s="7">
        <f>IF('Port Bloomberg'!N193="","",'Port Bloomberg'!N193)</f>
        <v>500000</v>
      </c>
      <c r="O193" s="7" t="str">
        <f>IF('Port Bloomberg'!O193="","",'Port Bloomberg'!O193)</f>
        <v>SINGLE</v>
      </c>
      <c r="P193" s="7">
        <f>IF('Port Bloomberg'!P193="","",'Port Bloomberg'!P193)</f>
        <v>8.125</v>
      </c>
      <c r="Q193" s="7" t="str">
        <f>IF('Port Bloomberg'!Q193="","",'Port Bloomberg'!Q193)</f>
        <v>B+</v>
      </c>
      <c r="R193" s="7" t="str">
        <f>IF('Port Bloomberg'!R193="","",'Port Bloomberg'!R193)</f>
        <v>07/02/2035</v>
      </c>
      <c r="S193" s="5">
        <f>IF(E193="","",IFERROR(IF(MATCH(E193,[1]Instrumentos!$D:$D,0)&gt;0,1,0),0))</f>
        <v>1</v>
      </c>
      <c r="T193" s="5">
        <f>IF(E193="","",IFERROR(IF(MATCH(E193,'Lista de excepciones'!$E:$E,0)&gt;0,1,0),0))</f>
        <v>0</v>
      </c>
      <c r="U193" s="6" t="str">
        <f t="shared" si="3"/>
        <v>NO</v>
      </c>
    </row>
    <row r="194" spans="1:21" hidden="1" x14ac:dyDescent="0.25">
      <c r="A194" s="7" t="str">
        <f>IF('Port Bloomberg'!A194="","",'Port Bloomberg'!A194)</f>
        <v>ECELUP 8 ½ 12/01/32</v>
      </c>
      <c r="B194" s="7" t="str">
        <f>IF('Port Bloomberg'!B194="","",'Port Bloomberg'!B194)</f>
        <v>Eldorado Intl. Finance GmbH</v>
      </c>
      <c r="C194" s="7" t="str">
        <f>IF('Port Bloomberg'!C194="","",'Port Bloomberg'!C194)</f>
        <v>ELDORADO INTL FI</v>
      </c>
      <c r="D194" s="7" t="str">
        <f>IF('Port Bloomberg'!D194="","",'Port Bloomberg'!D194)</f>
        <v>ELDORADO INTL FIN GMBH</v>
      </c>
      <c r="E194" s="7" t="str">
        <f>IF('Port Bloomberg'!E194="","",'Port Bloomberg'!E194)</f>
        <v>USA18007AC71</v>
      </c>
      <c r="F194" s="7" t="str">
        <f>IF('Port Bloomberg'!F194="","",'Port Bloomberg'!F194)</f>
        <v>ECELUP</v>
      </c>
      <c r="G194" s="7" t="str">
        <f>IF('Port Bloomberg'!G194="","",'Port Bloomberg'!G194)</f>
        <v>0113756D BZ</v>
      </c>
      <c r="H194" s="7" t="str">
        <f>IF('Port Bloomberg'!H194="","",'Port Bloomberg'!H194)</f>
        <v>Forest Products&amp;Paper</v>
      </c>
      <c r="I194" s="7" t="str">
        <f>IF('Port Bloomberg'!I194="","",'Port Bloomberg'!I194)</f>
        <v>IND</v>
      </c>
      <c r="J194" s="7" t="str">
        <f>IF('Port Bloomberg'!J194="","",'Port Bloomberg'!J194)</f>
        <v>Paper&amp;Related Products</v>
      </c>
      <c r="K194" s="7" t="str">
        <f>IF('Port Bloomberg'!K194="","",'Port Bloomberg'!K194)</f>
        <v>AT</v>
      </c>
      <c r="L194" s="7" t="str">
        <f>IF('Port Bloomberg'!L194="","",'Port Bloomberg'!L194)</f>
        <v>BR</v>
      </c>
      <c r="M194" s="7" t="str">
        <f>IF('Port Bloomberg'!M194="","",'Port Bloomberg'!M194)</f>
        <v>USD</v>
      </c>
      <c r="N194" s="7">
        <f>IF('Port Bloomberg'!N194="","",'Port Bloomberg'!N194)</f>
        <v>500000</v>
      </c>
      <c r="O194" s="7" t="str">
        <f>IF('Port Bloomberg'!O194="","",'Port Bloomberg'!O194)</f>
        <v>SINGLE</v>
      </c>
      <c r="P194" s="7">
        <f>IF('Port Bloomberg'!P194="","",'Port Bloomberg'!P194)</f>
        <v>8.5</v>
      </c>
      <c r="Q194" s="7" t="str">
        <f>IF('Port Bloomberg'!Q194="","",'Port Bloomberg'!Q194)</f>
        <v>BB-</v>
      </c>
      <c r="R194" s="7" t="str">
        <f>IF('Port Bloomberg'!R194="","",'Port Bloomberg'!R194)</f>
        <v>12/01/2032</v>
      </c>
      <c r="S194" s="5">
        <f>IF(E194="","",IFERROR(IF(MATCH(E194,[1]Instrumentos!$D:$D,0)&gt;0,1,0),0))</f>
        <v>0</v>
      </c>
      <c r="T194" s="5">
        <f>IF(E194="","",IFERROR(IF(MATCH(E194,'Lista de excepciones'!$E:$E,0)&gt;0,1,0),0))</f>
        <v>1</v>
      </c>
      <c r="U194" s="6" t="str">
        <f t="shared" si="3"/>
        <v>NO</v>
      </c>
    </row>
    <row r="195" spans="1:21" hidden="1" x14ac:dyDescent="0.25">
      <c r="A195" s="7" t="str">
        <f>IF('Port Bloomberg'!A195="","",'Port Bloomberg'!A195)</f>
        <v>ECLCI 3.4 01/28/30</v>
      </c>
      <c r="B195" s="7" t="str">
        <f>IF('Port Bloomberg'!B195="","",'Port Bloomberg'!B195)</f>
        <v>Engie Energia Chile SA</v>
      </c>
      <c r="C195" s="7" t="str">
        <f>IF('Port Bloomberg'!C195="","",'Port Bloomberg'!C195)</f>
        <v>ENGIE ENERGIA</v>
      </c>
      <c r="D195" s="7" t="str">
        <f>IF('Port Bloomberg'!D195="","",'Port Bloomberg'!D195)</f>
        <v>ENGIE ENERGIA CHILE SA</v>
      </c>
      <c r="E195" s="7" t="str">
        <f>IF('Port Bloomberg'!E195="","",'Port Bloomberg'!E195)</f>
        <v>USP3762TAA99</v>
      </c>
      <c r="F195" s="7" t="str">
        <f>IF('Port Bloomberg'!F195="","",'Port Bloomberg'!F195)</f>
        <v>ECLCI</v>
      </c>
      <c r="G195" s="7" t="str">
        <f>IF('Port Bloomberg'!G195="","",'Port Bloomberg'!G195)</f>
        <v>ECL CI</v>
      </c>
      <c r="H195" s="7" t="str">
        <f>IF('Port Bloomberg'!H195="","",'Port Bloomberg'!H195)</f>
        <v>Electric</v>
      </c>
      <c r="I195" s="7" t="str">
        <f>IF('Port Bloomberg'!I195="","",'Port Bloomberg'!I195)</f>
        <v>UTL</v>
      </c>
      <c r="J195" s="7" t="str">
        <f>IF('Port Bloomberg'!J195="","",'Port Bloomberg'!J195)</f>
        <v>Electric-Integrated</v>
      </c>
      <c r="K195" s="7" t="str">
        <f>IF('Port Bloomberg'!K195="","",'Port Bloomberg'!K195)</f>
        <v>CL</v>
      </c>
      <c r="L195" s="7" t="str">
        <f>IF('Port Bloomberg'!L195="","",'Port Bloomberg'!L195)</f>
        <v>CL</v>
      </c>
      <c r="M195" s="7" t="str">
        <f>IF('Port Bloomberg'!M195="","",'Port Bloomberg'!M195)</f>
        <v>USD</v>
      </c>
      <c r="N195" s="7">
        <f>IF('Port Bloomberg'!N195="","",'Port Bloomberg'!N195)</f>
        <v>500000</v>
      </c>
      <c r="O195" s="7" t="str">
        <f>IF('Port Bloomberg'!O195="","",'Port Bloomberg'!O195)</f>
        <v>SINGLE</v>
      </c>
      <c r="P195" s="7">
        <f>IF('Port Bloomberg'!P195="","",'Port Bloomberg'!P195)</f>
        <v>3.4</v>
      </c>
      <c r="Q195" s="7" t="str">
        <f>IF('Port Bloomberg'!Q195="","",'Port Bloomberg'!Q195)</f>
        <v>BBB</v>
      </c>
      <c r="R195" s="7" t="str">
        <f>IF('Port Bloomberg'!R195="","",'Port Bloomberg'!R195)</f>
        <v>01/28/2030</v>
      </c>
      <c r="S195" s="5">
        <f>IF(E195="","",IFERROR(IF(MATCH(E195,[1]Instrumentos!$D:$D,0)&gt;0,1,0),0))</f>
        <v>1</v>
      </c>
      <c r="T195" s="5">
        <f>IF(E195="","",IFERROR(IF(MATCH(E195,'Lista de excepciones'!$E:$E,0)&gt;0,1,0),0))</f>
        <v>0</v>
      </c>
      <c r="U195" s="6" t="str">
        <f t="shared" ref="U195:U258" si="4">IF(E195="","",IF(S195+T195=0,"AGREGAR/REVISAR","NO"))</f>
        <v>NO</v>
      </c>
    </row>
    <row r="196" spans="1:21" hidden="1" x14ac:dyDescent="0.25">
      <c r="A196" s="7" t="str">
        <f>IF('Port Bloomberg'!A196="","",'Port Bloomberg'!A196)</f>
        <v>ECLCI 6 ⅜ 04/17/34</v>
      </c>
      <c r="B196" s="7" t="str">
        <f>IF('Port Bloomberg'!B196="","",'Port Bloomberg'!B196)</f>
        <v>Engie Energia Chile SA</v>
      </c>
      <c r="C196" s="7" t="str">
        <f>IF('Port Bloomberg'!C196="","",'Port Bloomberg'!C196)</f>
        <v>ENGIE ENERGIA</v>
      </c>
      <c r="D196" s="7" t="str">
        <f>IF('Port Bloomberg'!D196="","",'Port Bloomberg'!D196)</f>
        <v>ENGIE ENERGIA CHILE SA</v>
      </c>
      <c r="E196" s="7" t="str">
        <f>IF('Port Bloomberg'!E196="","",'Port Bloomberg'!E196)</f>
        <v>USP3762TAE12</v>
      </c>
      <c r="F196" s="7" t="str">
        <f>IF('Port Bloomberg'!F196="","",'Port Bloomberg'!F196)</f>
        <v>ECLCI</v>
      </c>
      <c r="G196" s="7" t="str">
        <f>IF('Port Bloomberg'!G196="","",'Port Bloomberg'!G196)</f>
        <v>ECL CI</v>
      </c>
      <c r="H196" s="7" t="str">
        <f>IF('Port Bloomberg'!H196="","",'Port Bloomberg'!H196)</f>
        <v>Electric</v>
      </c>
      <c r="I196" s="7" t="str">
        <f>IF('Port Bloomberg'!I196="","",'Port Bloomberg'!I196)</f>
        <v>UTL</v>
      </c>
      <c r="J196" s="7" t="str">
        <f>IF('Port Bloomberg'!J196="","",'Port Bloomberg'!J196)</f>
        <v>Electric-Integrated</v>
      </c>
      <c r="K196" s="7" t="str">
        <f>IF('Port Bloomberg'!K196="","",'Port Bloomberg'!K196)</f>
        <v>CL</v>
      </c>
      <c r="L196" s="7" t="str">
        <f>IF('Port Bloomberg'!L196="","",'Port Bloomberg'!L196)</f>
        <v>CL</v>
      </c>
      <c r="M196" s="7" t="str">
        <f>IF('Port Bloomberg'!M196="","",'Port Bloomberg'!M196)</f>
        <v>USD</v>
      </c>
      <c r="N196" s="7">
        <f>IF('Port Bloomberg'!N196="","",'Port Bloomberg'!N196)</f>
        <v>500000</v>
      </c>
      <c r="O196" s="7" t="str">
        <f>IF('Port Bloomberg'!O196="","",'Port Bloomberg'!O196)</f>
        <v>SINGLE</v>
      </c>
      <c r="P196" s="7">
        <f>IF('Port Bloomberg'!P196="","",'Port Bloomberg'!P196)</f>
        <v>6.375</v>
      </c>
      <c r="Q196" s="7" t="str">
        <f>IF('Port Bloomberg'!Q196="","",'Port Bloomberg'!Q196)</f>
        <v>BBB</v>
      </c>
      <c r="R196" s="7" t="str">
        <f>IF('Port Bloomberg'!R196="","",'Port Bloomberg'!R196)</f>
        <v>04/17/2034</v>
      </c>
      <c r="S196" s="5">
        <f>IF(E196="","",IFERROR(IF(MATCH(E196,[1]Instrumentos!$D:$D,0)&gt;0,1,0),0))</f>
        <v>1</v>
      </c>
      <c r="T196" s="5">
        <f>IF(E196="","",IFERROR(IF(MATCH(E196,'Lista de excepciones'!$E:$E,0)&gt;0,1,0),0))</f>
        <v>0</v>
      </c>
      <c r="U196" s="6" t="str">
        <f t="shared" si="4"/>
        <v>NO</v>
      </c>
    </row>
    <row r="197" spans="1:21" hidden="1" x14ac:dyDescent="0.25">
      <c r="A197" s="7" t="str">
        <f>IF('Port Bloomberg'!A197="","",'Port Bloomberg'!A197)</f>
        <v>ECOPET 4 ⅝ 11/02/31</v>
      </c>
      <c r="B197" s="7" t="str">
        <f>IF('Port Bloomberg'!B197="","",'Port Bloomberg'!B197)</f>
        <v>Ecopetrol SA</v>
      </c>
      <c r="C197" s="7" t="str">
        <f>IF('Port Bloomberg'!C197="","",'Port Bloomberg'!C197)</f>
        <v>ECOPETROL SA</v>
      </c>
      <c r="D197" s="7" t="str">
        <f>IF('Port Bloomberg'!D197="","",'Port Bloomberg'!D197)</f>
        <v>ECOPETROL SA</v>
      </c>
      <c r="E197" s="7" t="str">
        <f>IF('Port Bloomberg'!E197="","",'Port Bloomberg'!E197)</f>
        <v>US279158AP43</v>
      </c>
      <c r="F197" s="7" t="str">
        <f>IF('Port Bloomberg'!F197="","",'Port Bloomberg'!F197)</f>
        <v>ECOPET</v>
      </c>
      <c r="G197" s="7" t="str">
        <f>IF('Port Bloomberg'!G197="","",'Port Bloomberg'!G197)</f>
        <v>ECOPETL CB</v>
      </c>
      <c r="H197" s="7" t="str">
        <f>IF('Port Bloomberg'!H197="","",'Port Bloomberg'!H197)</f>
        <v>Oil&amp;Gas</v>
      </c>
      <c r="I197" s="7" t="str">
        <f>IF('Port Bloomberg'!I197="","",'Port Bloomberg'!I197)</f>
        <v>FOA</v>
      </c>
      <c r="J197" s="7" t="str">
        <f>IF('Port Bloomberg'!J197="","",'Port Bloomberg'!J197)</f>
        <v>Oil Comp-Integrated</v>
      </c>
      <c r="K197" s="7" t="str">
        <f>IF('Port Bloomberg'!K197="","",'Port Bloomberg'!K197)</f>
        <v>CO</v>
      </c>
      <c r="L197" s="7" t="str">
        <f>IF('Port Bloomberg'!L197="","",'Port Bloomberg'!L197)</f>
        <v>CO</v>
      </c>
      <c r="M197" s="7" t="str">
        <f>IF('Port Bloomberg'!M197="","",'Port Bloomberg'!M197)</f>
        <v>USD</v>
      </c>
      <c r="N197" s="7">
        <f>IF('Port Bloomberg'!N197="","",'Port Bloomberg'!N197)</f>
        <v>1250000</v>
      </c>
      <c r="O197" s="7" t="str">
        <f>IF('Port Bloomberg'!O197="","",'Port Bloomberg'!O197)</f>
        <v>SINGLE</v>
      </c>
      <c r="P197" s="7">
        <f>IF('Port Bloomberg'!P197="","",'Port Bloomberg'!P197)</f>
        <v>4.625</v>
      </c>
      <c r="Q197" s="7" t="str">
        <f>IF('Port Bloomberg'!Q197="","",'Port Bloomberg'!Q197)</f>
        <v>BB-</v>
      </c>
      <c r="R197" s="7" t="str">
        <f>IF('Port Bloomberg'!R197="","",'Port Bloomberg'!R197)</f>
        <v>11/02/2031</v>
      </c>
      <c r="S197" s="5">
        <f>IF(E197="","",IFERROR(IF(MATCH(E197,[1]Instrumentos!$D:$D,0)&gt;0,1,0),0))</f>
        <v>1</v>
      </c>
      <c r="T197" s="5">
        <f>IF(E197="","",IFERROR(IF(MATCH(E197,'Lista de excepciones'!$E:$E,0)&gt;0,1,0),0))</f>
        <v>0</v>
      </c>
      <c r="U197" s="6" t="str">
        <f t="shared" si="4"/>
        <v>NO</v>
      </c>
    </row>
    <row r="198" spans="1:21" hidden="1" x14ac:dyDescent="0.25">
      <c r="A198" s="7" t="str">
        <f>IF('Port Bloomberg'!A198="","",'Port Bloomberg'!A198)</f>
        <v>ECOPET 5 ⅞ 05/28/45</v>
      </c>
      <c r="B198" s="7" t="str">
        <f>IF('Port Bloomberg'!B198="","",'Port Bloomberg'!B198)</f>
        <v>Ecopetrol SA</v>
      </c>
      <c r="C198" s="7" t="str">
        <f>IF('Port Bloomberg'!C198="","",'Port Bloomberg'!C198)</f>
        <v>ECOPETROL SA</v>
      </c>
      <c r="D198" s="7" t="str">
        <f>IF('Port Bloomberg'!D198="","",'Port Bloomberg'!D198)</f>
        <v>ECOPETROL SA</v>
      </c>
      <c r="E198" s="7" t="str">
        <f>IF('Port Bloomberg'!E198="","",'Port Bloomberg'!E198)</f>
        <v>US279158AJ82</v>
      </c>
      <c r="F198" s="7" t="str">
        <f>IF('Port Bloomberg'!F198="","",'Port Bloomberg'!F198)</f>
        <v>ECOPET</v>
      </c>
      <c r="G198" s="7" t="str">
        <f>IF('Port Bloomberg'!G198="","",'Port Bloomberg'!G198)</f>
        <v>ECOPETL CB</v>
      </c>
      <c r="H198" s="7" t="str">
        <f>IF('Port Bloomberg'!H198="","",'Port Bloomberg'!H198)</f>
        <v>Oil&amp;Gas</v>
      </c>
      <c r="I198" s="7" t="str">
        <f>IF('Port Bloomberg'!I198="","",'Port Bloomberg'!I198)</f>
        <v>FOA</v>
      </c>
      <c r="J198" s="7" t="str">
        <f>IF('Port Bloomberg'!J198="","",'Port Bloomberg'!J198)</f>
        <v>Oil Comp-Integrated</v>
      </c>
      <c r="K198" s="7" t="str">
        <f>IF('Port Bloomberg'!K198="","",'Port Bloomberg'!K198)</f>
        <v>CO</v>
      </c>
      <c r="L198" s="7" t="str">
        <f>IF('Port Bloomberg'!L198="","",'Port Bloomberg'!L198)</f>
        <v>CO</v>
      </c>
      <c r="M198" s="7" t="str">
        <f>IF('Port Bloomberg'!M198="","",'Port Bloomberg'!M198)</f>
        <v>USD</v>
      </c>
      <c r="N198" s="7">
        <f>IF('Port Bloomberg'!N198="","",'Port Bloomberg'!N198)</f>
        <v>2000000</v>
      </c>
      <c r="O198" s="7" t="str">
        <f>IF('Port Bloomberg'!O198="","",'Port Bloomberg'!O198)</f>
        <v>SINGLE</v>
      </c>
      <c r="P198" s="7">
        <f>IF('Port Bloomberg'!P198="","",'Port Bloomberg'!P198)</f>
        <v>5.875</v>
      </c>
      <c r="Q198" s="7" t="str">
        <f>IF('Port Bloomberg'!Q198="","",'Port Bloomberg'!Q198)</f>
        <v>BB-</v>
      </c>
      <c r="R198" s="7" t="str">
        <f>IF('Port Bloomberg'!R198="","",'Port Bloomberg'!R198)</f>
        <v>05/28/2045</v>
      </c>
      <c r="S198" s="5">
        <f>IF(E198="","",IFERROR(IF(MATCH(E198,[1]Instrumentos!$D:$D,0)&gt;0,1,0),0))</f>
        <v>1</v>
      </c>
      <c r="T198" s="5">
        <f>IF(E198="","",IFERROR(IF(MATCH(E198,'Lista de excepciones'!$E:$E,0)&gt;0,1,0),0))</f>
        <v>0</v>
      </c>
      <c r="U198" s="6" t="str">
        <f t="shared" si="4"/>
        <v>NO</v>
      </c>
    </row>
    <row r="199" spans="1:21" hidden="1" x14ac:dyDescent="0.25">
      <c r="A199" s="7" t="str">
        <f>IF('Port Bloomberg'!A199="","",'Port Bloomberg'!A199)</f>
        <v>ECOPET 5 ⅞ 11/02/51</v>
      </c>
      <c r="B199" s="7" t="str">
        <f>IF('Port Bloomberg'!B199="","",'Port Bloomberg'!B199)</f>
        <v>Ecopetrol SA</v>
      </c>
      <c r="C199" s="7" t="str">
        <f>IF('Port Bloomberg'!C199="","",'Port Bloomberg'!C199)</f>
        <v>ECOPETROL SA</v>
      </c>
      <c r="D199" s="7" t="str">
        <f>IF('Port Bloomberg'!D199="","",'Port Bloomberg'!D199)</f>
        <v>ECOPETROL SA</v>
      </c>
      <c r="E199" s="7" t="str">
        <f>IF('Port Bloomberg'!E199="","",'Port Bloomberg'!E199)</f>
        <v>US279158AQ26</v>
      </c>
      <c r="F199" s="7" t="str">
        <f>IF('Port Bloomberg'!F199="","",'Port Bloomberg'!F199)</f>
        <v>ECOPET</v>
      </c>
      <c r="G199" s="7" t="str">
        <f>IF('Port Bloomberg'!G199="","",'Port Bloomberg'!G199)</f>
        <v>ECOPETL CB</v>
      </c>
      <c r="H199" s="7" t="str">
        <f>IF('Port Bloomberg'!H199="","",'Port Bloomberg'!H199)</f>
        <v>Oil&amp;Gas</v>
      </c>
      <c r="I199" s="7" t="str">
        <f>IF('Port Bloomberg'!I199="","",'Port Bloomberg'!I199)</f>
        <v>FOA</v>
      </c>
      <c r="J199" s="7" t="str">
        <f>IF('Port Bloomberg'!J199="","",'Port Bloomberg'!J199)</f>
        <v>Oil Comp-Integrated</v>
      </c>
      <c r="K199" s="7" t="str">
        <f>IF('Port Bloomberg'!K199="","",'Port Bloomberg'!K199)</f>
        <v>CO</v>
      </c>
      <c r="L199" s="7" t="str">
        <f>IF('Port Bloomberg'!L199="","",'Port Bloomberg'!L199)</f>
        <v>CO</v>
      </c>
      <c r="M199" s="7" t="str">
        <f>IF('Port Bloomberg'!M199="","",'Port Bloomberg'!M199)</f>
        <v>USD</v>
      </c>
      <c r="N199" s="7">
        <f>IF('Port Bloomberg'!N199="","",'Port Bloomberg'!N199)</f>
        <v>750000</v>
      </c>
      <c r="O199" s="7" t="str">
        <f>IF('Port Bloomberg'!O199="","",'Port Bloomberg'!O199)</f>
        <v>SINGLE</v>
      </c>
      <c r="P199" s="7">
        <f>IF('Port Bloomberg'!P199="","",'Port Bloomberg'!P199)</f>
        <v>5.875</v>
      </c>
      <c r="Q199" s="7" t="str">
        <f>IF('Port Bloomberg'!Q199="","",'Port Bloomberg'!Q199)</f>
        <v>BB-</v>
      </c>
      <c r="R199" s="7" t="str">
        <f>IF('Port Bloomberg'!R199="","",'Port Bloomberg'!R199)</f>
        <v>11/02/2051</v>
      </c>
      <c r="S199" s="5">
        <f>IF(E199="","",IFERROR(IF(MATCH(E199,[1]Instrumentos!$D:$D,0)&gt;0,1,0),0))</f>
        <v>1</v>
      </c>
      <c r="T199" s="5">
        <f>IF(E199="","",IFERROR(IF(MATCH(E199,'Lista de excepciones'!$E:$E,0)&gt;0,1,0),0))</f>
        <v>0</v>
      </c>
      <c r="U199" s="6" t="str">
        <f t="shared" si="4"/>
        <v>NO</v>
      </c>
    </row>
    <row r="200" spans="1:21" hidden="1" x14ac:dyDescent="0.25">
      <c r="A200" s="7" t="str">
        <f>IF('Port Bloomberg'!A200="","",'Port Bloomberg'!A200)</f>
        <v>ECOPET 6 ⅞ 04/29/30</v>
      </c>
      <c r="B200" s="7" t="str">
        <f>IF('Port Bloomberg'!B200="","",'Port Bloomberg'!B200)</f>
        <v>Ecopetrol SA</v>
      </c>
      <c r="C200" s="7" t="str">
        <f>IF('Port Bloomberg'!C200="","",'Port Bloomberg'!C200)</f>
        <v>ECOPETROL SA</v>
      </c>
      <c r="D200" s="7" t="str">
        <f>IF('Port Bloomberg'!D200="","",'Port Bloomberg'!D200)</f>
        <v>ECOPETROL SA</v>
      </c>
      <c r="E200" s="7" t="str">
        <f>IF('Port Bloomberg'!E200="","",'Port Bloomberg'!E200)</f>
        <v>US279158AN94</v>
      </c>
      <c r="F200" s="7" t="str">
        <f>IF('Port Bloomberg'!F200="","",'Port Bloomberg'!F200)</f>
        <v>ECOPET</v>
      </c>
      <c r="G200" s="7" t="str">
        <f>IF('Port Bloomberg'!G200="","",'Port Bloomberg'!G200)</f>
        <v>ECOPETL CB</v>
      </c>
      <c r="H200" s="7" t="str">
        <f>IF('Port Bloomberg'!H200="","",'Port Bloomberg'!H200)</f>
        <v>Oil&amp;Gas</v>
      </c>
      <c r="I200" s="7" t="str">
        <f>IF('Port Bloomberg'!I200="","",'Port Bloomberg'!I200)</f>
        <v>FOA</v>
      </c>
      <c r="J200" s="7" t="str">
        <f>IF('Port Bloomberg'!J200="","",'Port Bloomberg'!J200)</f>
        <v>Oil Comp-Integrated</v>
      </c>
      <c r="K200" s="7" t="str">
        <f>IF('Port Bloomberg'!K200="","",'Port Bloomberg'!K200)</f>
        <v>CO</v>
      </c>
      <c r="L200" s="7" t="str">
        <f>IF('Port Bloomberg'!L200="","",'Port Bloomberg'!L200)</f>
        <v>CO</v>
      </c>
      <c r="M200" s="7" t="str">
        <f>IF('Port Bloomberg'!M200="","",'Port Bloomberg'!M200)</f>
        <v>USD</v>
      </c>
      <c r="N200" s="7">
        <f>IF('Port Bloomberg'!N200="","",'Port Bloomberg'!N200)</f>
        <v>2000000</v>
      </c>
      <c r="O200" s="7" t="str">
        <f>IF('Port Bloomberg'!O200="","",'Port Bloomberg'!O200)</f>
        <v>SINGLE</v>
      </c>
      <c r="P200" s="7">
        <f>IF('Port Bloomberg'!P200="","",'Port Bloomberg'!P200)</f>
        <v>6.875</v>
      </c>
      <c r="Q200" s="7" t="str">
        <f>IF('Port Bloomberg'!Q200="","",'Port Bloomberg'!Q200)</f>
        <v>BB-</v>
      </c>
      <c r="R200" s="7" t="str">
        <f>IF('Port Bloomberg'!R200="","",'Port Bloomberg'!R200)</f>
        <v>04/29/2030</v>
      </c>
      <c r="S200" s="5">
        <f>IF(E200="","",IFERROR(IF(MATCH(E200,[1]Instrumentos!$D:$D,0)&gt;0,1,0),0))</f>
        <v>1</v>
      </c>
      <c r="T200" s="5">
        <f>IF(E200="","",IFERROR(IF(MATCH(E200,'Lista de excepciones'!$E:$E,0)&gt;0,1,0),0))</f>
        <v>0</v>
      </c>
      <c r="U200" s="6" t="str">
        <f t="shared" si="4"/>
        <v>NO</v>
      </c>
    </row>
    <row r="201" spans="1:21" hidden="1" x14ac:dyDescent="0.25">
      <c r="A201" s="7" t="str">
        <f>IF('Port Bloomberg'!A201="","",'Port Bloomberg'!A201)</f>
        <v>ECOPET 7 ¾ 02/01/32</v>
      </c>
      <c r="B201" s="7" t="str">
        <f>IF('Port Bloomberg'!B201="","",'Port Bloomberg'!B201)</f>
        <v>Ecopetrol SA</v>
      </c>
      <c r="C201" s="7" t="str">
        <f>IF('Port Bloomberg'!C201="","",'Port Bloomberg'!C201)</f>
        <v>ECOPETROL SA</v>
      </c>
      <c r="D201" s="7" t="str">
        <f>IF('Port Bloomberg'!D201="","",'Port Bloomberg'!D201)</f>
        <v>ECOPETROL SA</v>
      </c>
      <c r="E201" s="7" t="str">
        <f>IF('Port Bloomberg'!E201="","",'Port Bloomberg'!E201)</f>
        <v>US279158AW93</v>
      </c>
      <c r="F201" s="7" t="str">
        <f>IF('Port Bloomberg'!F201="","",'Port Bloomberg'!F201)</f>
        <v>ECOPET</v>
      </c>
      <c r="G201" s="7" t="str">
        <f>IF('Port Bloomberg'!G201="","",'Port Bloomberg'!G201)</f>
        <v>ECOPETL CB</v>
      </c>
      <c r="H201" s="7" t="str">
        <f>IF('Port Bloomberg'!H201="","",'Port Bloomberg'!H201)</f>
        <v>Oil&amp;Gas</v>
      </c>
      <c r="I201" s="7" t="str">
        <f>IF('Port Bloomberg'!I201="","",'Port Bloomberg'!I201)</f>
        <v>FOA</v>
      </c>
      <c r="J201" s="7" t="str">
        <f>IF('Port Bloomberg'!J201="","",'Port Bloomberg'!J201)</f>
        <v>Oil Comp-Integrated</v>
      </c>
      <c r="K201" s="7" t="str">
        <f>IF('Port Bloomberg'!K201="","",'Port Bloomberg'!K201)</f>
        <v>CO</v>
      </c>
      <c r="L201" s="7" t="str">
        <f>IF('Port Bloomberg'!L201="","",'Port Bloomberg'!L201)</f>
        <v>CO</v>
      </c>
      <c r="M201" s="7" t="str">
        <f>IF('Port Bloomberg'!M201="","",'Port Bloomberg'!M201)</f>
        <v>USD</v>
      </c>
      <c r="N201" s="7">
        <f>IF('Port Bloomberg'!N201="","",'Port Bloomberg'!N201)</f>
        <v>1750000</v>
      </c>
      <c r="O201" s="7" t="str">
        <f>IF('Port Bloomberg'!O201="","",'Port Bloomberg'!O201)</f>
        <v>SINGLE</v>
      </c>
      <c r="P201" s="7">
        <f>IF('Port Bloomberg'!P201="","",'Port Bloomberg'!P201)</f>
        <v>7.75</v>
      </c>
      <c r="Q201" s="7" t="str">
        <f>IF('Port Bloomberg'!Q201="","",'Port Bloomberg'!Q201)</f>
        <v>BB-</v>
      </c>
      <c r="R201" s="7" t="str">
        <f>IF('Port Bloomberg'!R201="","",'Port Bloomberg'!R201)</f>
        <v>02/01/2032</v>
      </c>
      <c r="S201" s="5">
        <f>IF(E201="","",IFERROR(IF(MATCH(E201,[1]Instrumentos!$D:$D,0)&gt;0,1,0),0))</f>
        <v>1</v>
      </c>
      <c r="T201" s="5">
        <f>IF(E201="","",IFERROR(IF(MATCH(E201,'Lista de excepciones'!$E:$E,0)&gt;0,1,0),0))</f>
        <v>0</v>
      </c>
      <c r="U201" s="6" t="str">
        <f t="shared" si="4"/>
        <v>NO</v>
      </c>
    </row>
    <row r="202" spans="1:21" hidden="1" x14ac:dyDescent="0.25">
      <c r="A202" s="7" t="str">
        <f>IF('Port Bloomberg'!A202="","",'Port Bloomberg'!A202)</f>
        <v>ECOPET 7 ⅜ 09/18/43</v>
      </c>
      <c r="B202" s="7" t="str">
        <f>IF('Port Bloomberg'!B202="","",'Port Bloomberg'!B202)</f>
        <v>Ecopetrol SA</v>
      </c>
      <c r="C202" s="7" t="str">
        <f>IF('Port Bloomberg'!C202="","",'Port Bloomberg'!C202)</f>
        <v>ECOPETROL SA</v>
      </c>
      <c r="D202" s="7" t="str">
        <f>IF('Port Bloomberg'!D202="","",'Port Bloomberg'!D202)</f>
        <v>ECOPETROL SA</v>
      </c>
      <c r="E202" s="7" t="str">
        <f>IF('Port Bloomberg'!E202="","",'Port Bloomberg'!E202)</f>
        <v>US279158AE95</v>
      </c>
      <c r="F202" s="7" t="str">
        <f>IF('Port Bloomberg'!F202="","",'Port Bloomberg'!F202)</f>
        <v>ECOPET</v>
      </c>
      <c r="G202" s="7" t="str">
        <f>IF('Port Bloomberg'!G202="","",'Port Bloomberg'!G202)</f>
        <v>ECOPETL CB</v>
      </c>
      <c r="H202" s="7" t="str">
        <f>IF('Port Bloomberg'!H202="","",'Port Bloomberg'!H202)</f>
        <v>Oil&amp;Gas</v>
      </c>
      <c r="I202" s="7" t="str">
        <f>IF('Port Bloomberg'!I202="","",'Port Bloomberg'!I202)</f>
        <v>FOA</v>
      </c>
      <c r="J202" s="7" t="str">
        <f>IF('Port Bloomberg'!J202="","",'Port Bloomberg'!J202)</f>
        <v>Oil Comp-Integrated</v>
      </c>
      <c r="K202" s="7" t="str">
        <f>IF('Port Bloomberg'!K202="","",'Port Bloomberg'!K202)</f>
        <v>CO</v>
      </c>
      <c r="L202" s="7" t="str">
        <f>IF('Port Bloomberg'!L202="","",'Port Bloomberg'!L202)</f>
        <v>CO</v>
      </c>
      <c r="M202" s="7" t="str">
        <f>IF('Port Bloomberg'!M202="","",'Port Bloomberg'!M202)</f>
        <v>USD</v>
      </c>
      <c r="N202" s="7">
        <f>IF('Port Bloomberg'!N202="","",'Port Bloomberg'!N202)</f>
        <v>850000</v>
      </c>
      <c r="O202" s="7" t="str">
        <f>IF('Port Bloomberg'!O202="","",'Port Bloomberg'!O202)</f>
        <v>SINGLE</v>
      </c>
      <c r="P202" s="7">
        <f>IF('Port Bloomberg'!P202="","",'Port Bloomberg'!P202)</f>
        <v>7.375</v>
      </c>
      <c r="Q202" s="7" t="str">
        <f>IF('Port Bloomberg'!Q202="","",'Port Bloomberg'!Q202)</f>
        <v>BB-</v>
      </c>
      <c r="R202" s="7" t="str">
        <f>IF('Port Bloomberg'!R202="","",'Port Bloomberg'!R202)</f>
        <v>09/18/2043</v>
      </c>
      <c r="S202" s="5">
        <f>IF(E202="","",IFERROR(IF(MATCH(E202,[1]Instrumentos!$D:$D,0)&gt;0,1,0),0))</f>
        <v>1</v>
      </c>
      <c r="T202" s="5">
        <f>IF(E202="","",IFERROR(IF(MATCH(E202,'Lista de excepciones'!$E:$E,0)&gt;0,1,0),0))</f>
        <v>0</v>
      </c>
      <c r="U202" s="6" t="str">
        <f t="shared" si="4"/>
        <v>NO</v>
      </c>
    </row>
    <row r="203" spans="1:21" hidden="1" x14ac:dyDescent="0.25">
      <c r="A203" s="7" t="str">
        <f>IF('Port Bloomberg'!A203="","",'Port Bloomberg'!A203)</f>
        <v>ECOPET 8 ⅜ 01/19/36</v>
      </c>
      <c r="B203" s="7" t="str">
        <f>IF('Port Bloomberg'!B203="","",'Port Bloomberg'!B203)</f>
        <v>Ecopetrol SA</v>
      </c>
      <c r="C203" s="7" t="str">
        <f>IF('Port Bloomberg'!C203="","",'Port Bloomberg'!C203)</f>
        <v>ECOPETROL SA</v>
      </c>
      <c r="D203" s="7" t="str">
        <f>IF('Port Bloomberg'!D203="","",'Port Bloomberg'!D203)</f>
        <v>ECOPETROL SA</v>
      </c>
      <c r="E203" s="7" t="str">
        <f>IF('Port Bloomberg'!E203="","",'Port Bloomberg'!E203)</f>
        <v>US279158AV11</v>
      </c>
      <c r="F203" s="7" t="str">
        <f>IF('Port Bloomberg'!F203="","",'Port Bloomberg'!F203)</f>
        <v>ECOPET</v>
      </c>
      <c r="G203" s="7" t="str">
        <f>IF('Port Bloomberg'!G203="","",'Port Bloomberg'!G203)</f>
        <v>ECOPETL CB</v>
      </c>
      <c r="H203" s="7" t="str">
        <f>IF('Port Bloomberg'!H203="","",'Port Bloomberg'!H203)</f>
        <v>Oil&amp;Gas</v>
      </c>
      <c r="I203" s="7" t="str">
        <f>IF('Port Bloomberg'!I203="","",'Port Bloomberg'!I203)</f>
        <v>FOA</v>
      </c>
      <c r="J203" s="7" t="str">
        <f>IF('Port Bloomberg'!J203="","",'Port Bloomberg'!J203)</f>
        <v>Oil Comp-Integrated</v>
      </c>
      <c r="K203" s="7" t="str">
        <f>IF('Port Bloomberg'!K203="","",'Port Bloomberg'!K203)</f>
        <v>CO</v>
      </c>
      <c r="L203" s="7" t="str">
        <f>IF('Port Bloomberg'!L203="","",'Port Bloomberg'!L203)</f>
        <v>CO</v>
      </c>
      <c r="M203" s="7" t="str">
        <f>IF('Port Bloomberg'!M203="","",'Port Bloomberg'!M203)</f>
        <v>USD</v>
      </c>
      <c r="N203" s="7">
        <f>IF('Port Bloomberg'!N203="","",'Port Bloomberg'!N203)</f>
        <v>1850000</v>
      </c>
      <c r="O203" s="7" t="str">
        <f>IF('Port Bloomberg'!O203="","",'Port Bloomberg'!O203)</f>
        <v>SINGLE</v>
      </c>
      <c r="P203" s="7">
        <f>IF('Port Bloomberg'!P203="","",'Port Bloomberg'!P203)</f>
        <v>8.375</v>
      </c>
      <c r="Q203" s="7" t="str">
        <f>IF('Port Bloomberg'!Q203="","",'Port Bloomberg'!Q203)</f>
        <v>BB-</v>
      </c>
      <c r="R203" s="7" t="str">
        <f>IF('Port Bloomberg'!R203="","",'Port Bloomberg'!R203)</f>
        <v>01/19/2036</v>
      </c>
      <c r="S203" s="5">
        <f>IF(E203="","",IFERROR(IF(MATCH(E203,[1]Instrumentos!$D:$D,0)&gt;0,1,0),0))</f>
        <v>1</v>
      </c>
      <c r="T203" s="5">
        <f>IF(E203="","",IFERROR(IF(MATCH(E203,'Lista de excepciones'!$E:$E,0)&gt;0,1,0),0))</f>
        <v>0</v>
      </c>
      <c r="U203" s="6" t="str">
        <f t="shared" si="4"/>
        <v>NO</v>
      </c>
    </row>
    <row r="204" spans="1:21" hidden="1" x14ac:dyDescent="0.25">
      <c r="A204" s="7" t="str">
        <f>IF('Port Bloomberg'!A204="","",'Port Bloomberg'!A204)</f>
        <v>ECOPET 8 ⅝ 01/19/29</v>
      </c>
      <c r="B204" s="7" t="str">
        <f>IF('Port Bloomberg'!B204="","",'Port Bloomberg'!B204)</f>
        <v>Ecopetrol SA</v>
      </c>
      <c r="C204" s="7" t="str">
        <f>IF('Port Bloomberg'!C204="","",'Port Bloomberg'!C204)</f>
        <v>ECOPETROL SA</v>
      </c>
      <c r="D204" s="7" t="str">
        <f>IF('Port Bloomberg'!D204="","",'Port Bloomberg'!D204)</f>
        <v>ECOPETROL SA</v>
      </c>
      <c r="E204" s="7" t="str">
        <f>IF('Port Bloomberg'!E204="","",'Port Bloomberg'!E204)</f>
        <v>US279158AT64</v>
      </c>
      <c r="F204" s="7" t="str">
        <f>IF('Port Bloomberg'!F204="","",'Port Bloomberg'!F204)</f>
        <v>ECOPET</v>
      </c>
      <c r="G204" s="7" t="str">
        <f>IF('Port Bloomberg'!G204="","",'Port Bloomberg'!G204)</f>
        <v>ECOPETL CB</v>
      </c>
      <c r="H204" s="7" t="str">
        <f>IF('Port Bloomberg'!H204="","",'Port Bloomberg'!H204)</f>
        <v>Oil&amp;Gas</v>
      </c>
      <c r="I204" s="7" t="str">
        <f>IF('Port Bloomberg'!I204="","",'Port Bloomberg'!I204)</f>
        <v>FOA</v>
      </c>
      <c r="J204" s="7" t="str">
        <f>IF('Port Bloomberg'!J204="","",'Port Bloomberg'!J204)</f>
        <v>Oil Comp-Integrated</v>
      </c>
      <c r="K204" s="7" t="str">
        <f>IF('Port Bloomberg'!K204="","",'Port Bloomberg'!K204)</f>
        <v>CO</v>
      </c>
      <c r="L204" s="7" t="str">
        <f>IF('Port Bloomberg'!L204="","",'Port Bloomberg'!L204)</f>
        <v>CO</v>
      </c>
      <c r="M204" s="7" t="str">
        <f>IF('Port Bloomberg'!M204="","",'Port Bloomberg'!M204)</f>
        <v>USD</v>
      </c>
      <c r="N204" s="7">
        <f>IF('Port Bloomberg'!N204="","",'Port Bloomberg'!N204)</f>
        <v>1200000</v>
      </c>
      <c r="O204" s="7" t="str">
        <f>IF('Port Bloomberg'!O204="","",'Port Bloomberg'!O204)</f>
        <v>SINGLE</v>
      </c>
      <c r="P204" s="7">
        <f>IF('Port Bloomberg'!P204="","",'Port Bloomberg'!P204)</f>
        <v>8.625</v>
      </c>
      <c r="Q204" s="7" t="str">
        <f>IF('Port Bloomberg'!Q204="","",'Port Bloomberg'!Q204)</f>
        <v>BB-</v>
      </c>
      <c r="R204" s="7" t="str">
        <f>IF('Port Bloomberg'!R204="","",'Port Bloomberg'!R204)</f>
        <v>01/19/2029</v>
      </c>
      <c r="S204" s="5">
        <f>IF(E204="","",IFERROR(IF(MATCH(E204,[1]Instrumentos!$D:$D,0)&gt;0,1,0),0))</f>
        <v>1</v>
      </c>
      <c r="T204" s="5">
        <f>IF(E204="","",IFERROR(IF(MATCH(E204,'Lista de excepciones'!$E:$E,0)&gt;0,1,0),0))</f>
        <v>0</v>
      </c>
      <c r="U204" s="6" t="str">
        <f t="shared" si="4"/>
        <v>NO</v>
      </c>
    </row>
    <row r="205" spans="1:21" hidden="1" x14ac:dyDescent="0.25">
      <c r="A205" s="7" t="str">
        <f>IF('Port Bloomberg'!A205="","",'Port Bloomberg'!A205)</f>
        <v>ECOPET 8 ⅞ 01/13/33</v>
      </c>
      <c r="B205" s="7" t="str">
        <f>IF('Port Bloomberg'!B205="","",'Port Bloomberg'!B205)</f>
        <v>Ecopetrol SA</v>
      </c>
      <c r="C205" s="7" t="str">
        <f>IF('Port Bloomberg'!C205="","",'Port Bloomberg'!C205)</f>
        <v>ECOPETROL SA</v>
      </c>
      <c r="D205" s="7" t="str">
        <f>IF('Port Bloomberg'!D205="","",'Port Bloomberg'!D205)</f>
        <v>ECOPETROL SA</v>
      </c>
      <c r="E205" s="7" t="str">
        <f>IF('Port Bloomberg'!E205="","",'Port Bloomberg'!E205)</f>
        <v>US279158AS81</v>
      </c>
      <c r="F205" s="7" t="str">
        <f>IF('Port Bloomberg'!F205="","",'Port Bloomberg'!F205)</f>
        <v>ECOPET</v>
      </c>
      <c r="G205" s="7" t="str">
        <f>IF('Port Bloomberg'!G205="","",'Port Bloomberg'!G205)</f>
        <v>ECOPETL CB</v>
      </c>
      <c r="H205" s="7" t="str">
        <f>IF('Port Bloomberg'!H205="","",'Port Bloomberg'!H205)</f>
        <v>Oil&amp;Gas</v>
      </c>
      <c r="I205" s="7" t="str">
        <f>IF('Port Bloomberg'!I205="","",'Port Bloomberg'!I205)</f>
        <v>FOA</v>
      </c>
      <c r="J205" s="7" t="str">
        <f>IF('Port Bloomberg'!J205="","",'Port Bloomberg'!J205)</f>
        <v>Oil Comp-Integrated</v>
      </c>
      <c r="K205" s="7" t="str">
        <f>IF('Port Bloomberg'!K205="","",'Port Bloomberg'!K205)</f>
        <v>CO</v>
      </c>
      <c r="L205" s="7" t="str">
        <f>IF('Port Bloomberg'!L205="","",'Port Bloomberg'!L205)</f>
        <v>CO</v>
      </c>
      <c r="M205" s="7" t="str">
        <f>IF('Port Bloomberg'!M205="","",'Port Bloomberg'!M205)</f>
        <v>USD</v>
      </c>
      <c r="N205" s="7">
        <f>IF('Port Bloomberg'!N205="","",'Port Bloomberg'!N205)</f>
        <v>2300000</v>
      </c>
      <c r="O205" s="7" t="str">
        <f>IF('Port Bloomberg'!O205="","",'Port Bloomberg'!O205)</f>
        <v>SINGLE</v>
      </c>
      <c r="P205" s="7">
        <f>IF('Port Bloomberg'!P205="","",'Port Bloomberg'!P205)</f>
        <v>8.875</v>
      </c>
      <c r="Q205" s="7" t="str">
        <f>IF('Port Bloomberg'!Q205="","",'Port Bloomberg'!Q205)</f>
        <v>BB-</v>
      </c>
      <c r="R205" s="7" t="str">
        <f>IF('Port Bloomberg'!R205="","",'Port Bloomberg'!R205)</f>
        <v>01/13/2033</v>
      </c>
      <c r="S205" s="5">
        <f>IF(E205="","",IFERROR(IF(MATCH(E205,[1]Instrumentos!$D:$D,0)&gt;0,1,0),0))</f>
        <v>1</v>
      </c>
      <c r="T205" s="5">
        <f>IF(E205="","",IFERROR(IF(MATCH(E205,'Lista de excepciones'!$E:$E,0)&gt;0,1,0),0))</f>
        <v>0</v>
      </c>
      <c r="U205" s="6" t="str">
        <f t="shared" si="4"/>
        <v>NO</v>
      </c>
    </row>
    <row r="206" spans="1:21" hidden="1" x14ac:dyDescent="0.25">
      <c r="A206" s="7" t="str">
        <f>IF('Port Bloomberg'!A206="","",'Port Bloomberg'!A206)</f>
        <v>EEPPME 4 ¼ 07/18/29</v>
      </c>
      <c r="B206" s="7" t="str">
        <f>IF('Port Bloomberg'!B206="","",'Port Bloomberg'!B206)</f>
        <v>Empresas Publicas de Medellin ESP</v>
      </c>
      <c r="C206" s="7" t="str">
        <f>IF('Port Bloomberg'!C206="","",'Port Bloomberg'!C206)</f>
        <v>EE. PP. MEDELLIN</v>
      </c>
      <c r="D206" s="7" t="str">
        <f>IF('Port Bloomberg'!D206="","",'Port Bloomberg'!D206)</f>
        <v>EMPRESAS PUBLIC MEDELLIN</v>
      </c>
      <c r="E206" s="7" t="str">
        <f>IF('Port Bloomberg'!E206="","",'Port Bloomberg'!E206)</f>
        <v>USP9379RBA43</v>
      </c>
      <c r="F206" s="7" t="str">
        <f>IF('Port Bloomberg'!F206="","",'Port Bloomberg'!F206)</f>
        <v>EEPPME</v>
      </c>
      <c r="G206" s="7" t="str">
        <f>IF('Port Bloomberg'!G206="","",'Port Bloomberg'!G206)</f>
        <v>1032Z CB</v>
      </c>
      <c r="H206" s="7" t="str">
        <f>IF('Port Bloomberg'!H206="","",'Port Bloomberg'!H206)</f>
        <v>Electric</v>
      </c>
      <c r="I206" s="7" t="str">
        <f>IF('Port Bloomberg'!I206="","",'Port Bloomberg'!I206)</f>
        <v>FLA</v>
      </c>
      <c r="J206" s="7" t="str">
        <f>IF('Port Bloomberg'!J206="","",'Port Bloomberg'!J206)</f>
        <v>Electric-Integrated</v>
      </c>
      <c r="K206" s="7" t="str">
        <f>IF('Port Bloomberg'!K206="","",'Port Bloomberg'!K206)</f>
        <v>CO</v>
      </c>
      <c r="L206" s="7" t="str">
        <f>IF('Port Bloomberg'!L206="","",'Port Bloomberg'!L206)</f>
        <v>CO</v>
      </c>
      <c r="M206" s="7" t="str">
        <f>IF('Port Bloomberg'!M206="","",'Port Bloomberg'!M206)</f>
        <v>USD</v>
      </c>
      <c r="N206" s="7">
        <f>IF('Port Bloomberg'!N206="","",'Port Bloomberg'!N206)</f>
        <v>1000000</v>
      </c>
      <c r="O206" s="7" t="str">
        <f>IF('Port Bloomberg'!O206="","",'Port Bloomberg'!O206)</f>
        <v>SINGLE</v>
      </c>
      <c r="P206" s="7">
        <f>IF('Port Bloomberg'!P206="","",'Port Bloomberg'!P206)</f>
        <v>4.25</v>
      </c>
      <c r="Q206" s="7" t="str">
        <f>IF('Port Bloomberg'!Q206="","",'Port Bloomberg'!Q206)</f>
        <v>BB+</v>
      </c>
      <c r="R206" s="7" t="str">
        <f>IF('Port Bloomberg'!R206="","",'Port Bloomberg'!R206)</f>
        <v>07/18/2029</v>
      </c>
      <c r="S206" s="5">
        <f>IF(E206="","",IFERROR(IF(MATCH(E206,[1]Instrumentos!$D:$D,0)&gt;0,1,0),0))</f>
        <v>1</v>
      </c>
      <c r="T206" s="5">
        <f>IF(E206="","",IFERROR(IF(MATCH(E206,'Lista de excepciones'!$E:$E,0)&gt;0,1,0),0))</f>
        <v>0</v>
      </c>
      <c r="U206" s="6" t="str">
        <f t="shared" si="4"/>
        <v>NO</v>
      </c>
    </row>
    <row r="207" spans="1:21" hidden="1" x14ac:dyDescent="0.25">
      <c r="A207" s="7" t="str">
        <f>IF('Port Bloomberg'!A207="","",'Port Bloomberg'!A207)</f>
        <v>EEPPME 4 ⅜ 02/15/31</v>
      </c>
      <c r="B207" s="7" t="str">
        <f>IF('Port Bloomberg'!B207="","",'Port Bloomberg'!B207)</f>
        <v>Empresas Publicas de Medellin ESP</v>
      </c>
      <c r="C207" s="7" t="str">
        <f>IF('Port Bloomberg'!C207="","",'Port Bloomberg'!C207)</f>
        <v>EE. PP. MEDELLIN</v>
      </c>
      <c r="D207" s="7" t="str">
        <f>IF('Port Bloomberg'!D207="","",'Port Bloomberg'!D207)</f>
        <v>EMPRESAS PUBLIC MEDELLIN</v>
      </c>
      <c r="E207" s="7" t="str">
        <f>IF('Port Bloomberg'!E207="","",'Port Bloomberg'!E207)</f>
        <v>USP9379RBC09</v>
      </c>
      <c r="F207" s="7" t="str">
        <f>IF('Port Bloomberg'!F207="","",'Port Bloomberg'!F207)</f>
        <v>EEPPME</v>
      </c>
      <c r="G207" s="7" t="str">
        <f>IF('Port Bloomberg'!G207="","",'Port Bloomberg'!G207)</f>
        <v>1032Z CB</v>
      </c>
      <c r="H207" s="7" t="str">
        <f>IF('Port Bloomberg'!H207="","",'Port Bloomberg'!H207)</f>
        <v>Electric</v>
      </c>
      <c r="I207" s="7" t="str">
        <f>IF('Port Bloomberg'!I207="","",'Port Bloomberg'!I207)</f>
        <v>FLA</v>
      </c>
      <c r="J207" s="7" t="str">
        <f>IF('Port Bloomberg'!J207="","",'Port Bloomberg'!J207)</f>
        <v>Electric-Integrated</v>
      </c>
      <c r="K207" s="7" t="str">
        <f>IF('Port Bloomberg'!K207="","",'Port Bloomberg'!K207)</f>
        <v>CO</v>
      </c>
      <c r="L207" s="7" t="str">
        <f>IF('Port Bloomberg'!L207="","",'Port Bloomberg'!L207)</f>
        <v>CO</v>
      </c>
      <c r="M207" s="7" t="str">
        <f>IF('Port Bloomberg'!M207="","",'Port Bloomberg'!M207)</f>
        <v>USD</v>
      </c>
      <c r="N207" s="7">
        <f>IF('Port Bloomberg'!N207="","",'Port Bloomberg'!N207)</f>
        <v>575000</v>
      </c>
      <c r="O207" s="7" t="str">
        <f>IF('Port Bloomberg'!O207="","",'Port Bloomberg'!O207)</f>
        <v>SINGLE</v>
      </c>
      <c r="P207" s="7">
        <f>IF('Port Bloomberg'!P207="","",'Port Bloomberg'!P207)</f>
        <v>4.375</v>
      </c>
      <c r="Q207" s="7" t="str">
        <f>IF('Port Bloomberg'!Q207="","",'Port Bloomberg'!Q207)</f>
        <v>BB+</v>
      </c>
      <c r="R207" s="7" t="str">
        <f>IF('Port Bloomberg'!R207="","",'Port Bloomberg'!R207)</f>
        <v>02/15/2031</v>
      </c>
      <c r="S207" s="5">
        <f>IF(E207="","",IFERROR(IF(MATCH(E207,[1]Instrumentos!$D:$D,0)&gt;0,1,0),0))</f>
        <v>1</v>
      </c>
      <c r="T207" s="5">
        <f>IF(E207="","",IFERROR(IF(MATCH(E207,'Lista de excepciones'!$E:$E,0)&gt;0,1,0),0))</f>
        <v>0</v>
      </c>
      <c r="U207" s="6" t="str">
        <f t="shared" si="4"/>
        <v>NO</v>
      </c>
    </row>
    <row r="208" spans="1:21" hidden="1" x14ac:dyDescent="0.25">
      <c r="A208" s="7" t="str">
        <f>IF('Port Bloomberg'!A208="","",'Port Bloomberg'!A208)</f>
        <v>EKT 12 ½ 10/15/31</v>
      </c>
      <c r="B208" s="7" t="str">
        <f>IF('Port Bloomberg'!B208="","",'Port Bloomberg'!B208)</f>
        <v>Mexico Remittances Funding Fiduciary Estate Management Sarl</v>
      </c>
      <c r="C208" s="7" t="str">
        <f>IF('Port Bloomberg'!C208="","",'Port Bloomberg'!C208)</f>
        <v>MX REMIT FUND</v>
      </c>
      <c r="D208" s="7" t="str">
        <f>IF('Port Bloomberg'!D208="","",'Port Bloomberg'!D208)</f>
        <v>MX REMIT FUND FIDUC EST</v>
      </c>
      <c r="E208" s="7" t="str">
        <f>IF('Port Bloomberg'!E208="","",'Port Bloomberg'!E208)</f>
        <v>USL6364EAB94</v>
      </c>
      <c r="F208" s="7" t="str">
        <f>IF('Port Bloomberg'!F208="","",'Port Bloomberg'!F208)</f>
        <v>EKT</v>
      </c>
      <c r="G208" s="7" t="str">
        <f>IF('Port Bloomberg'!G208="","",'Port Bloomberg'!G208)</f>
        <v/>
      </c>
      <c r="H208" s="7" t="str">
        <f>IF('Port Bloomberg'!H208="","",'Port Bloomberg'!H208)</f>
        <v>Diversified Finan Serv</v>
      </c>
      <c r="I208" s="7" t="str">
        <f>IF('Port Bloomberg'!I208="","",'Port Bloomberg'!I208)</f>
        <v>FIN</v>
      </c>
      <c r="J208" s="7" t="str">
        <f>IF('Port Bloomberg'!J208="","",'Port Bloomberg'!J208)</f>
        <v>Finance-Other Services</v>
      </c>
      <c r="K208" s="7" t="str">
        <f>IF('Port Bloomberg'!K208="","",'Port Bloomberg'!K208)</f>
        <v>LU</v>
      </c>
      <c r="L208" s="7" t="str">
        <f>IF('Port Bloomberg'!L208="","",'Port Bloomberg'!L208)</f>
        <v>MX</v>
      </c>
      <c r="M208" s="7" t="str">
        <f>IF('Port Bloomberg'!M208="","",'Port Bloomberg'!M208)</f>
        <v>USD</v>
      </c>
      <c r="N208" s="7">
        <f>IF('Port Bloomberg'!N208="","",'Port Bloomberg'!N208)</f>
        <v>350000</v>
      </c>
      <c r="O208" s="7" t="str">
        <f>IF('Port Bloomberg'!O208="","",'Port Bloomberg'!O208)</f>
        <v>SINGLE</v>
      </c>
      <c r="P208" s="7">
        <f>IF('Port Bloomberg'!P208="","",'Port Bloomberg'!P208)</f>
        <v>12.5</v>
      </c>
      <c r="Q208" s="7" t="str">
        <f>IF('Port Bloomberg'!Q208="","",'Port Bloomberg'!Q208)</f>
        <v>B+</v>
      </c>
      <c r="R208" s="7" t="str">
        <f>IF('Port Bloomberg'!R208="","",'Port Bloomberg'!R208)</f>
        <v>10/15/2031</v>
      </c>
      <c r="S208" s="5">
        <f>IF(E208="","",IFERROR(IF(MATCH(E208,[1]Instrumentos!$D:$D,0)&gt;0,1,0),0))</f>
        <v>0</v>
      </c>
      <c r="T208" s="5">
        <f>IF(E208="","",IFERROR(IF(MATCH(E208,'Lista de excepciones'!$E:$E,0)&gt;0,1,0),0))</f>
        <v>1</v>
      </c>
      <c r="U208" s="6" t="str">
        <f t="shared" si="4"/>
        <v>NO</v>
      </c>
    </row>
    <row r="209" spans="1:21" hidden="1" x14ac:dyDescent="0.25">
      <c r="A209" s="7" t="str">
        <f>IF('Port Bloomberg'!A209="","",'Port Bloomberg'!A209)</f>
        <v>ELEBRA 4 ⅝ 02/04/30</v>
      </c>
      <c r="B209" s="7" t="str">
        <f>IF('Port Bloomberg'!B209="","",'Port Bloomberg'!B209)</f>
        <v>Axia Energia SA</v>
      </c>
      <c r="C209" s="7" t="str">
        <f>IF('Port Bloomberg'!C209="","",'Port Bloomberg'!C209)</f>
        <v>AXIA ENERGIA SA</v>
      </c>
      <c r="D209" s="7" t="str">
        <f>IF('Port Bloomberg'!D209="","",'Port Bloomberg'!D209)</f>
        <v>AXIA ENERGIA SA</v>
      </c>
      <c r="E209" s="7" t="str">
        <f>IF('Port Bloomberg'!E209="","",'Port Bloomberg'!E209)</f>
        <v>USP22835AB13</v>
      </c>
      <c r="F209" s="7" t="str">
        <f>IF('Port Bloomberg'!F209="","",'Port Bloomberg'!F209)</f>
        <v>ELEBRA</v>
      </c>
      <c r="G209" s="7" t="str">
        <f>IF('Port Bloomberg'!G209="","",'Port Bloomberg'!G209)</f>
        <v>AXIA3 BZ</v>
      </c>
      <c r="H209" s="7" t="str">
        <f>IF('Port Bloomberg'!H209="","",'Port Bloomberg'!H209)</f>
        <v>Electric</v>
      </c>
      <c r="I209" s="7" t="str">
        <f>IF('Port Bloomberg'!I209="","",'Port Bloomberg'!I209)</f>
        <v>UTL</v>
      </c>
      <c r="J209" s="7" t="str">
        <f>IF('Port Bloomberg'!J209="","",'Port Bloomberg'!J209)</f>
        <v>Electric-Generation</v>
      </c>
      <c r="K209" s="7" t="str">
        <f>IF('Port Bloomberg'!K209="","",'Port Bloomberg'!K209)</f>
        <v>BR</v>
      </c>
      <c r="L209" s="7" t="str">
        <f>IF('Port Bloomberg'!L209="","",'Port Bloomberg'!L209)</f>
        <v>BR</v>
      </c>
      <c r="M209" s="7" t="str">
        <f>IF('Port Bloomberg'!M209="","",'Port Bloomberg'!M209)</f>
        <v>USD</v>
      </c>
      <c r="N209" s="7">
        <f>IF('Port Bloomberg'!N209="","",'Port Bloomberg'!N209)</f>
        <v>750000</v>
      </c>
      <c r="O209" s="7" t="str">
        <f>IF('Port Bloomberg'!O209="","",'Port Bloomberg'!O209)</f>
        <v>SINGLE</v>
      </c>
      <c r="P209" s="7">
        <f>IF('Port Bloomberg'!P209="","",'Port Bloomberg'!P209)</f>
        <v>4.625</v>
      </c>
      <c r="Q209" s="7" t="str">
        <f>IF('Port Bloomberg'!Q209="","",'Port Bloomberg'!Q209)</f>
        <v>BB-</v>
      </c>
      <c r="R209" s="7" t="str">
        <f>IF('Port Bloomberg'!R209="","",'Port Bloomberg'!R209)</f>
        <v>02/04/2030</v>
      </c>
      <c r="S209" s="5">
        <f>IF(E209="","",IFERROR(IF(MATCH(E209,[1]Instrumentos!$D:$D,0)&gt;0,1,0),0))</f>
        <v>1</v>
      </c>
      <c r="T209" s="5">
        <f>IF(E209="","",IFERROR(IF(MATCH(E209,'Lista de excepciones'!$E:$E,0)&gt;0,1,0),0))</f>
        <v>0</v>
      </c>
      <c r="U209" s="6" t="str">
        <f t="shared" si="4"/>
        <v>NO</v>
      </c>
    </row>
    <row r="210" spans="1:21" hidden="1" x14ac:dyDescent="0.25">
      <c r="A210" s="7" t="str">
        <f>IF('Port Bloomberg'!A210="","",'Port Bloomberg'!A210)</f>
        <v>ELEBRA 6 ½ 01/11/35</v>
      </c>
      <c r="B210" s="7" t="str">
        <f>IF('Port Bloomberg'!B210="","",'Port Bloomberg'!B210)</f>
        <v>Axia Energia SA</v>
      </c>
      <c r="C210" s="7" t="str">
        <f>IF('Port Bloomberg'!C210="","",'Port Bloomberg'!C210)</f>
        <v>AXIA ENERGIA SA</v>
      </c>
      <c r="D210" s="7" t="str">
        <f>IF('Port Bloomberg'!D210="","",'Port Bloomberg'!D210)</f>
        <v>AXIA ENERGIA SA</v>
      </c>
      <c r="E210" s="7" t="str">
        <f>IF('Port Bloomberg'!E210="","",'Port Bloomberg'!E210)</f>
        <v>USP2281VAA81</v>
      </c>
      <c r="F210" s="7" t="str">
        <f>IF('Port Bloomberg'!F210="","",'Port Bloomberg'!F210)</f>
        <v>ELEBRA</v>
      </c>
      <c r="G210" s="7" t="str">
        <f>IF('Port Bloomberg'!G210="","",'Port Bloomberg'!G210)</f>
        <v>AXIA3 BZ</v>
      </c>
      <c r="H210" s="7" t="str">
        <f>IF('Port Bloomberg'!H210="","",'Port Bloomberg'!H210)</f>
        <v>Electric</v>
      </c>
      <c r="I210" s="7" t="str">
        <f>IF('Port Bloomberg'!I210="","",'Port Bloomberg'!I210)</f>
        <v>UTL</v>
      </c>
      <c r="J210" s="7" t="str">
        <f>IF('Port Bloomberg'!J210="","",'Port Bloomberg'!J210)</f>
        <v>Electric-Generation</v>
      </c>
      <c r="K210" s="7" t="str">
        <f>IF('Port Bloomberg'!K210="","",'Port Bloomberg'!K210)</f>
        <v>BR</v>
      </c>
      <c r="L210" s="7" t="str">
        <f>IF('Port Bloomberg'!L210="","",'Port Bloomberg'!L210)</f>
        <v>BR</v>
      </c>
      <c r="M210" s="7" t="str">
        <f>IF('Port Bloomberg'!M210="","",'Port Bloomberg'!M210)</f>
        <v>USD</v>
      </c>
      <c r="N210" s="7">
        <f>IF('Port Bloomberg'!N210="","",'Port Bloomberg'!N210)</f>
        <v>750000</v>
      </c>
      <c r="O210" s="7" t="str">
        <f>IF('Port Bloomberg'!O210="","",'Port Bloomberg'!O210)</f>
        <v>SINGLE</v>
      </c>
      <c r="P210" s="7">
        <f>IF('Port Bloomberg'!P210="","",'Port Bloomberg'!P210)</f>
        <v>6.5</v>
      </c>
      <c r="Q210" s="7" t="str">
        <f>IF('Port Bloomberg'!Q210="","",'Port Bloomberg'!Q210)</f>
        <v>BB</v>
      </c>
      <c r="R210" s="7" t="str">
        <f>IF('Port Bloomberg'!R210="","",'Port Bloomberg'!R210)</f>
        <v>01/11/2035</v>
      </c>
      <c r="S210" s="5">
        <f>IF(E210="","",IFERROR(IF(MATCH(E210,[1]Instrumentos!$D:$D,0)&gt;0,1,0),0))</f>
        <v>1</v>
      </c>
      <c r="T210" s="5">
        <f>IF(E210="","",IFERROR(IF(MATCH(E210,'Lista de excepciones'!$E:$E,0)&gt;0,1,0),0))</f>
        <v>0</v>
      </c>
      <c r="U210" s="6" t="str">
        <f t="shared" si="4"/>
        <v>NO</v>
      </c>
    </row>
    <row r="211" spans="1:21" hidden="1" x14ac:dyDescent="0.25">
      <c r="A211" s="7" t="str">
        <f>IF('Port Bloomberg'!A211="","",'Port Bloomberg'!A211)</f>
        <v>EMBRBZ 5.4 01/09/38</v>
      </c>
      <c r="B211" s="7" t="str">
        <f>IF('Port Bloomberg'!B211="","",'Port Bloomberg'!B211)</f>
        <v>Embraer Netherlands Finance BV</v>
      </c>
      <c r="C211" s="7" t="str">
        <f>IF('Port Bloomberg'!C211="","",'Port Bloomberg'!C211)</f>
        <v>EMBRAER NL FINAN</v>
      </c>
      <c r="D211" s="7" t="str">
        <f>IF('Port Bloomberg'!D211="","",'Port Bloomberg'!D211)</f>
        <v>EMBRAER NETHERLANDS FINA</v>
      </c>
      <c r="E211" s="7" t="str">
        <f>IF('Port Bloomberg'!E211="","",'Port Bloomberg'!E211)</f>
        <v>US29082HAF91</v>
      </c>
      <c r="F211" s="7" t="str">
        <f>IF('Port Bloomberg'!F211="","",'Port Bloomberg'!F211)</f>
        <v>EMBRBZ</v>
      </c>
      <c r="G211" s="7" t="str">
        <f>IF('Port Bloomberg'!G211="","",'Port Bloomberg'!G211)</f>
        <v>1285447D NA</v>
      </c>
      <c r="H211" s="7" t="str">
        <f>IF('Port Bloomberg'!H211="","",'Port Bloomberg'!H211)</f>
        <v>Aerospace/Defense</v>
      </c>
      <c r="I211" s="7" t="str">
        <f>IF('Port Bloomberg'!I211="","",'Port Bloomberg'!I211)</f>
        <v>IND</v>
      </c>
      <c r="J211" s="7" t="str">
        <f>IF('Port Bloomberg'!J211="","",'Port Bloomberg'!J211)</f>
        <v>Aerospace/Defense</v>
      </c>
      <c r="K211" s="7" t="str">
        <f>IF('Port Bloomberg'!K211="","",'Port Bloomberg'!K211)</f>
        <v>NL</v>
      </c>
      <c r="L211" s="7" t="str">
        <f>IF('Port Bloomberg'!L211="","",'Port Bloomberg'!L211)</f>
        <v>BR</v>
      </c>
      <c r="M211" s="7" t="str">
        <f>IF('Port Bloomberg'!M211="","",'Port Bloomberg'!M211)</f>
        <v>USD</v>
      </c>
      <c r="N211" s="7">
        <f>IF('Port Bloomberg'!N211="","",'Port Bloomberg'!N211)</f>
        <v>1000000</v>
      </c>
      <c r="O211" s="7" t="str">
        <f>IF('Port Bloomberg'!O211="","",'Port Bloomberg'!O211)</f>
        <v>SINGLE</v>
      </c>
      <c r="P211" s="7">
        <f>IF('Port Bloomberg'!P211="","",'Port Bloomberg'!P211)</f>
        <v>5.4</v>
      </c>
      <c r="Q211" s="7" t="str">
        <f>IF('Port Bloomberg'!Q211="","",'Port Bloomberg'!Q211)</f>
        <v>BBB-</v>
      </c>
      <c r="R211" s="7" t="str">
        <f>IF('Port Bloomberg'!R211="","",'Port Bloomberg'!R211)</f>
        <v>01/09/2038</v>
      </c>
      <c r="S211" s="5">
        <f>IF(E211="","",IFERROR(IF(MATCH(E211,[1]Instrumentos!$D:$D,0)&gt;0,1,0),0))</f>
        <v>1</v>
      </c>
      <c r="T211" s="5">
        <f>IF(E211="","",IFERROR(IF(MATCH(E211,'Lista de excepciones'!$E:$E,0)&gt;0,1,0),0))</f>
        <v>0</v>
      </c>
      <c r="U211" s="6" t="str">
        <f t="shared" si="4"/>
        <v>NO</v>
      </c>
    </row>
    <row r="212" spans="1:21" hidden="1" x14ac:dyDescent="0.25">
      <c r="A212" s="7" t="str">
        <f>IF('Port Bloomberg'!A212="","",'Port Bloomberg'!A212)</f>
        <v>EMBRBZ 5.98 02/11/35</v>
      </c>
      <c r="B212" s="7" t="str">
        <f>IF('Port Bloomberg'!B212="","",'Port Bloomberg'!B212)</f>
        <v>Embraer Netherlands Finance BV</v>
      </c>
      <c r="C212" s="7" t="str">
        <f>IF('Port Bloomberg'!C212="","",'Port Bloomberg'!C212)</f>
        <v>EMBRAER NL FINAN</v>
      </c>
      <c r="D212" s="7" t="str">
        <f>IF('Port Bloomberg'!D212="","",'Port Bloomberg'!D212)</f>
        <v>EMBRAER NETHERLANDS FINA</v>
      </c>
      <c r="E212" s="7" t="str">
        <f>IF('Port Bloomberg'!E212="","",'Port Bloomberg'!E212)</f>
        <v>US29082HAE27</v>
      </c>
      <c r="F212" s="7" t="str">
        <f>IF('Port Bloomberg'!F212="","",'Port Bloomberg'!F212)</f>
        <v>EMBRBZ</v>
      </c>
      <c r="G212" s="7" t="str">
        <f>IF('Port Bloomberg'!G212="","",'Port Bloomberg'!G212)</f>
        <v>1285447D NA</v>
      </c>
      <c r="H212" s="7" t="str">
        <f>IF('Port Bloomberg'!H212="","",'Port Bloomberg'!H212)</f>
        <v>Aerospace/Defense</v>
      </c>
      <c r="I212" s="7" t="str">
        <f>IF('Port Bloomberg'!I212="","",'Port Bloomberg'!I212)</f>
        <v>IND</v>
      </c>
      <c r="J212" s="7" t="str">
        <f>IF('Port Bloomberg'!J212="","",'Port Bloomberg'!J212)</f>
        <v>Aerospace/Defense</v>
      </c>
      <c r="K212" s="7" t="str">
        <f>IF('Port Bloomberg'!K212="","",'Port Bloomberg'!K212)</f>
        <v>NL</v>
      </c>
      <c r="L212" s="7" t="str">
        <f>IF('Port Bloomberg'!L212="","",'Port Bloomberg'!L212)</f>
        <v>BR</v>
      </c>
      <c r="M212" s="7" t="str">
        <f>IF('Port Bloomberg'!M212="","",'Port Bloomberg'!M212)</f>
        <v>USD</v>
      </c>
      <c r="N212" s="7">
        <f>IF('Port Bloomberg'!N212="","",'Port Bloomberg'!N212)</f>
        <v>650000</v>
      </c>
      <c r="O212" s="7" t="str">
        <f>IF('Port Bloomberg'!O212="","",'Port Bloomberg'!O212)</f>
        <v>SINGLE</v>
      </c>
      <c r="P212" s="7">
        <f>IF('Port Bloomberg'!P212="","",'Port Bloomberg'!P212)</f>
        <v>5.98</v>
      </c>
      <c r="Q212" s="7" t="str">
        <f>IF('Port Bloomberg'!Q212="","",'Port Bloomberg'!Q212)</f>
        <v>BBB-</v>
      </c>
      <c r="R212" s="7" t="str">
        <f>IF('Port Bloomberg'!R212="","",'Port Bloomberg'!R212)</f>
        <v>02/11/2035</v>
      </c>
      <c r="S212" s="5">
        <f>IF(E212="","",IFERROR(IF(MATCH(E212,[1]Instrumentos!$D:$D,0)&gt;0,1,0),0))</f>
        <v>1</v>
      </c>
      <c r="T212" s="5">
        <f>IF(E212="","",IFERROR(IF(MATCH(E212,'Lista de excepciones'!$E:$E,0)&gt;0,1,0),0))</f>
        <v>0</v>
      </c>
      <c r="U212" s="6" t="str">
        <f t="shared" si="4"/>
        <v>NO</v>
      </c>
    </row>
    <row r="213" spans="1:21" hidden="1" x14ac:dyDescent="0.25">
      <c r="A213" s="7" t="str">
        <f>IF('Port Bloomberg'!A213="","",'Port Bloomberg'!A213)</f>
        <v>ENAPCL 3.45 09/16/31</v>
      </c>
      <c r="B213" s="7" t="str">
        <f>IF('Port Bloomberg'!B213="","",'Port Bloomberg'!B213)</f>
        <v>Empresa Nacional del Petroleo</v>
      </c>
      <c r="C213" s="7" t="str">
        <f>IF('Port Bloomberg'!C213="","",'Port Bloomberg'!C213)</f>
        <v>EMPRESA NACIONAL</v>
      </c>
      <c r="D213" s="7" t="str">
        <f>IF('Port Bloomberg'!D213="","",'Port Bloomberg'!D213)</f>
        <v>EMPRESA NACIONAL DEL PET</v>
      </c>
      <c r="E213" s="7" t="str">
        <f>IF('Port Bloomberg'!E213="","",'Port Bloomberg'!E213)</f>
        <v>USP37110AR76</v>
      </c>
      <c r="F213" s="7" t="str">
        <f>IF('Port Bloomberg'!F213="","",'Port Bloomberg'!F213)</f>
        <v>ENAPCL</v>
      </c>
      <c r="G213" s="7" t="str">
        <f>IF('Port Bloomberg'!G213="","",'Port Bloomberg'!G213)</f>
        <v>1030Z CI</v>
      </c>
      <c r="H213" s="7" t="str">
        <f>IF('Port Bloomberg'!H213="","",'Port Bloomberg'!H213)</f>
        <v>Oil&amp;Gas</v>
      </c>
      <c r="I213" s="7" t="str">
        <f>IF('Port Bloomberg'!I213="","",'Port Bloomberg'!I213)</f>
        <v>FOA</v>
      </c>
      <c r="J213" s="7" t="str">
        <f>IF('Port Bloomberg'!J213="","",'Port Bloomberg'!J213)</f>
        <v>Oil Refining&amp;Marketing</v>
      </c>
      <c r="K213" s="7" t="str">
        <f>IF('Port Bloomberg'!K213="","",'Port Bloomberg'!K213)</f>
        <v>CL</v>
      </c>
      <c r="L213" s="7" t="str">
        <f>IF('Port Bloomberg'!L213="","",'Port Bloomberg'!L213)</f>
        <v>CL</v>
      </c>
      <c r="M213" s="7" t="str">
        <f>IF('Port Bloomberg'!M213="","",'Port Bloomberg'!M213)</f>
        <v>USD</v>
      </c>
      <c r="N213" s="7">
        <f>IF('Port Bloomberg'!N213="","",'Port Bloomberg'!N213)</f>
        <v>560000</v>
      </c>
      <c r="O213" s="7" t="str">
        <f>IF('Port Bloomberg'!O213="","",'Port Bloomberg'!O213)</f>
        <v>SINGLE</v>
      </c>
      <c r="P213" s="7">
        <f>IF('Port Bloomberg'!P213="","",'Port Bloomberg'!P213)</f>
        <v>3.45</v>
      </c>
      <c r="Q213" s="7" t="str">
        <f>IF('Port Bloomberg'!Q213="","",'Port Bloomberg'!Q213)</f>
        <v>BBB</v>
      </c>
      <c r="R213" s="7" t="str">
        <f>IF('Port Bloomberg'!R213="","",'Port Bloomberg'!R213)</f>
        <v>09/16/2031</v>
      </c>
      <c r="S213" s="5">
        <f>IF(E213="","",IFERROR(IF(MATCH(E213,[1]Instrumentos!$D:$D,0)&gt;0,1,0),0))</f>
        <v>1</v>
      </c>
      <c r="T213" s="5">
        <f>IF(E213="","",IFERROR(IF(MATCH(E213,'Lista de excepciones'!$E:$E,0)&gt;0,1,0),0))</f>
        <v>0</v>
      </c>
      <c r="U213" s="6" t="str">
        <f t="shared" si="4"/>
        <v>NO</v>
      </c>
    </row>
    <row r="214" spans="1:21" hidden="1" x14ac:dyDescent="0.25">
      <c r="A214" s="7" t="str">
        <f>IF('Port Bloomberg'!A214="","",'Port Bloomberg'!A214)</f>
        <v>ENAPCL 4 ½ 09/14/47</v>
      </c>
      <c r="B214" s="7" t="str">
        <f>IF('Port Bloomberg'!B214="","",'Port Bloomberg'!B214)</f>
        <v>Empresa Nacional del Petroleo</v>
      </c>
      <c r="C214" s="7" t="str">
        <f>IF('Port Bloomberg'!C214="","",'Port Bloomberg'!C214)</f>
        <v>EMPRESA NACIONAL</v>
      </c>
      <c r="D214" s="7" t="str">
        <f>IF('Port Bloomberg'!D214="","",'Port Bloomberg'!D214)</f>
        <v>EMPRESA NACIONAL DEL PET</v>
      </c>
      <c r="E214" s="7" t="str">
        <f>IF('Port Bloomberg'!E214="","",'Port Bloomberg'!E214)</f>
        <v>USP37110AM89</v>
      </c>
      <c r="F214" s="7" t="str">
        <f>IF('Port Bloomberg'!F214="","",'Port Bloomberg'!F214)</f>
        <v>ENAPCL</v>
      </c>
      <c r="G214" s="7" t="str">
        <f>IF('Port Bloomberg'!G214="","",'Port Bloomberg'!G214)</f>
        <v>1030Z CI</v>
      </c>
      <c r="H214" s="7" t="str">
        <f>IF('Port Bloomberg'!H214="","",'Port Bloomberg'!H214)</f>
        <v>Oil&amp;Gas</v>
      </c>
      <c r="I214" s="7" t="str">
        <f>IF('Port Bloomberg'!I214="","",'Port Bloomberg'!I214)</f>
        <v>FOA</v>
      </c>
      <c r="J214" s="7" t="str">
        <f>IF('Port Bloomberg'!J214="","",'Port Bloomberg'!J214)</f>
        <v>Oil Refining&amp;Marketing</v>
      </c>
      <c r="K214" s="7" t="str">
        <f>IF('Port Bloomberg'!K214="","",'Port Bloomberg'!K214)</f>
        <v>CL</v>
      </c>
      <c r="L214" s="7" t="str">
        <f>IF('Port Bloomberg'!L214="","",'Port Bloomberg'!L214)</f>
        <v>CL</v>
      </c>
      <c r="M214" s="7" t="str">
        <f>IF('Port Bloomberg'!M214="","",'Port Bloomberg'!M214)</f>
        <v>USD</v>
      </c>
      <c r="N214" s="7">
        <f>IF('Port Bloomberg'!N214="","",'Port Bloomberg'!N214)</f>
        <v>600000</v>
      </c>
      <c r="O214" s="7" t="str">
        <f>IF('Port Bloomberg'!O214="","",'Port Bloomberg'!O214)</f>
        <v>SINGLE</v>
      </c>
      <c r="P214" s="7">
        <f>IF('Port Bloomberg'!P214="","",'Port Bloomberg'!P214)</f>
        <v>4.5</v>
      </c>
      <c r="Q214" s="7" t="str">
        <f>IF('Port Bloomberg'!Q214="","",'Port Bloomberg'!Q214)</f>
        <v>BBB</v>
      </c>
      <c r="R214" s="7" t="str">
        <f>IF('Port Bloomberg'!R214="","",'Port Bloomberg'!R214)</f>
        <v>09/14/2047</v>
      </c>
      <c r="S214" s="5">
        <f>IF(E214="","",IFERROR(IF(MATCH(E214,[1]Instrumentos!$D:$D,0)&gt;0,1,0),0))</f>
        <v>1</v>
      </c>
      <c r="T214" s="5">
        <f>IF(E214="","",IFERROR(IF(MATCH(E214,'Lista de excepciones'!$E:$E,0)&gt;0,1,0),0))</f>
        <v>0</v>
      </c>
      <c r="U214" s="6" t="str">
        <f t="shared" si="4"/>
        <v>NO</v>
      </c>
    </row>
    <row r="215" spans="1:21" hidden="1" x14ac:dyDescent="0.25">
      <c r="A215" s="7" t="str">
        <f>IF('Port Bloomberg'!A215="","",'Port Bloomberg'!A215)</f>
        <v>ENAPCL 5 ¼ 11/06/29</v>
      </c>
      <c r="B215" s="7" t="str">
        <f>IF('Port Bloomberg'!B215="","",'Port Bloomberg'!B215)</f>
        <v>Empresa Nacional del Petroleo</v>
      </c>
      <c r="C215" s="7" t="str">
        <f>IF('Port Bloomberg'!C215="","",'Port Bloomberg'!C215)</f>
        <v>EMPRESA NACIONAL</v>
      </c>
      <c r="D215" s="7" t="str">
        <f>IF('Port Bloomberg'!D215="","",'Port Bloomberg'!D215)</f>
        <v>EMPRESA NACIONAL DEL PET</v>
      </c>
      <c r="E215" s="7" t="str">
        <f>IF('Port Bloomberg'!E215="","",'Port Bloomberg'!E215)</f>
        <v>USP37110AN62</v>
      </c>
      <c r="F215" s="7" t="str">
        <f>IF('Port Bloomberg'!F215="","",'Port Bloomberg'!F215)</f>
        <v>ENAPCL</v>
      </c>
      <c r="G215" s="7" t="str">
        <f>IF('Port Bloomberg'!G215="","",'Port Bloomberg'!G215)</f>
        <v>1030Z CI</v>
      </c>
      <c r="H215" s="7" t="str">
        <f>IF('Port Bloomberg'!H215="","",'Port Bloomberg'!H215)</f>
        <v>Oil&amp;Gas</v>
      </c>
      <c r="I215" s="7" t="str">
        <f>IF('Port Bloomberg'!I215="","",'Port Bloomberg'!I215)</f>
        <v>FOA</v>
      </c>
      <c r="J215" s="7" t="str">
        <f>IF('Port Bloomberg'!J215="","",'Port Bloomberg'!J215)</f>
        <v>Oil Refining&amp;Marketing</v>
      </c>
      <c r="K215" s="7" t="str">
        <f>IF('Port Bloomberg'!K215="","",'Port Bloomberg'!K215)</f>
        <v>CL</v>
      </c>
      <c r="L215" s="7" t="str">
        <f>IF('Port Bloomberg'!L215="","",'Port Bloomberg'!L215)</f>
        <v>CL</v>
      </c>
      <c r="M215" s="7" t="str">
        <f>IF('Port Bloomberg'!M215="","",'Port Bloomberg'!M215)</f>
        <v>USD</v>
      </c>
      <c r="N215" s="7">
        <f>IF('Port Bloomberg'!N215="","",'Port Bloomberg'!N215)</f>
        <v>680000</v>
      </c>
      <c r="O215" s="7" t="str">
        <f>IF('Port Bloomberg'!O215="","",'Port Bloomberg'!O215)</f>
        <v>SINGLE</v>
      </c>
      <c r="P215" s="7">
        <f>IF('Port Bloomberg'!P215="","",'Port Bloomberg'!P215)</f>
        <v>5.25</v>
      </c>
      <c r="Q215" s="7" t="str">
        <f>IF('Port Bloomberg'!Q215="","",'Port Bloomberg'!Q215)</f>
        <v>BBB</v>
      </c>
      <c r="R215" s="7" t="str">
        <f>IF('Port Bloomberg'!R215="","",'Port Bloomberg'!R215)</f>
        <v>11/06/2029</v>
      </c>
      <c r="S215" s="5">
        <f>IF(E215="","",IFERROR(IF(MATCH(E215,[1]Instrumentos!$D:$D,0)&gt;0,1,0),0))</f>
        <v>1</v>
      </c>
      <c r="T215" s="5">
        <f>IF(E215="","",IFERROR(IF(MATCH(E215,'Lista de excepciones'!$E:$E,0)&gt;0,1,0),0))</f>
        <v>0</v>
      </c>
      <c r="U215" s="6" t="str">
        <f t="shared" si="4"/>
        <v>NO</v>
      </c>
    </row>
    <row r="216" spans="1:21" hidden="1" x14ac:dyDescent="0.25">
      <c r="A216" s="7" t="str">
        <f>IF('Port Bloomberg'!A216="","",'Port Bloomberg'!A216)</f>
        <v>ENAPCL 5.95 07/30/34</v>
      </c>
      <c r="B216" s="7" t="str">
        <f>IF('Port Bloomberg'!B216="","",'Port Bloomberg'!B216)</f>
        <v>Empresa Nacional del Petroleo</v>
      </c>
      <c r="C216" s="7" t="str">
        <f>IF('Port Bloomberg'!C216="","",'Port Bloomberg'!C216)</f>
        <v>EMPRESA NACIONAL</v>
      </c>
      <c r="D216" s="7" t="str">
        <f>IF('Port Bloomberg'!D216="","",'Port Bloomberg'!D216)</f>
        <v>EMPRESA NACIONAL DEL PET</v>
      </c>
      <c r="E216" s="7" t="str">
        <f>IF('Port Bloomberg'!E216="","",'Port Bloomberg'!E216)</f>
        <v>USP37110AT33</v>
      </c>
      <c r="F216" s="7" t="str">
        <f>IF('Port Bloomberg'!F216="","",'Port Bloomberg'!F216)</f>
        <v>ENAPCL</v>
      </c>
      <c r="G216" s="7" t="str">
        <f>IF('Port Bloomberg'!G216="","",'Port Bloomberg'!G216)</f>
        <v>1030Z CI</v>
      </c>
      <c r="H216" s="7" t="str">
        <f>IF('Port Bloomberg'!H216="","",'Port Bloomberg'!H216)</f>
        <v>Oil&amp;Gas</v>
      </c>
      <c r="I216" s="7" t="str">
        <f>IF('Port Bloomberg'!I216="","",'Port Bloomberg'!I216)</f>
        <v>FOA</v>
      </c>
      <c r="J216" s="7" t="str">
        <f>IF('Port Bloomberg'!J216="","",'Port Bloomberg'!J216)</f>
        <v>Oil Refining&amp;Marketing</v>
      </c>
      <c r="K216" s="7" t="str">
        <f>IF('Port Bloomberg'!K216="","",'Port Bloomberg'!K216)</f>
        <v>CL</v>
      </c>
      <c r="L216" s="7" t="str">
        <f>IF('Port Bloomberg'!L216="","",'Port Bloomberg'!L216)</f>
        <v>CL</v>
      </c>
      <c r="M216" s="7" t="str">
        <f>IF('Port Bloomberg'!M216="","",'Port Bloomberg'!M216)</f>
        <v>USD</v>
      </c>
      <c r="N216" s="7">
        <f>IF('Port Bloomberg'!N216="","",'Port Bloomberg'!N216)</f>
        <v>600000</v>
      </c>
      <c r="O216" s="7" t="str">
        <f>IF('Port Bloomberg'!O216="","",'Port Bloomberg'!O216)</f>
        <v>SINGLE</v>
      </c>
      <c r="P216" s="7">
        <f>IF('Port Bloomberg'!P216="","",'Port Bloomberg'!P216)</f>
        <v>5.95</v>
      </c>
      <c r="Q216" s="7" t="str">
        <f>IF('Port Bloomberg'!Q216="","",'Port Bloomberg'!Q216)</f>
        <v>BBB</v>
      </c>
      <c r="R216" s="7" t="str">
        <f>IF('Port Bloomberg'!R216="","",'Port Bloomberg'!R216)</f>
        <v>07/30/2034</v>
      </c>
      <c r="S216" s="5">
        <f>IF(E216="","",IFERROR(IF(MATCH(E216,[1]Instrumentos!$D:$D,0)&gt;0,1,0),0))</f>
        <v>1</v>
      </c>
      <c r="T216" s="5">
        <f>IF(E216="","",IFERROR(IF(MATCH(E216,'Lista de excepciones'!$E:$E,0)&gt;0,1,0),0))</f>
        <v>0</v>
      </c>
      <c r="U216" s="6" t="str">
        <f t="shared" si="4"/>
        <v>NO</v>
      </c>
    </row>
    <row r="217" spans="1:21" hidden="1" x14ac:dyDescent="0.25">
      <c r="A217" s="7" t="str">
        <f>IF('Port Bloomberg'!A217="","",'Port Bloomberg'!A217)</f>
        <v>ENAPCL 6.15 05/10/33</v>
      </c>
      <c r="B217" s="7" t="str">
        <f>IF('Port Bloomberg'!B217="","",'Port Bloomberg'!B217)</f>
        <v>Empresa Nacional del Petroleo</v>
      </c>
      <c r="C217" s="7" t="str">
        <f>IF('Port Bloomberg'!C217="","",'Port Bloomberg'!C217)</f>
        <v>EMPRESA NACIONAL</v>
      </c>
      <c r="D217" s="7" t="str">
        <f>IF('Port Bloomberg'!D217="","",'Port Bloomberg'!D217)</f>
        <v>EMPRESA NACIONAL DEL PET</v>
      </c>
      <c r="E217" s="7" t="str">
        <f>IF('Port Bloomberg'!E217="","",'Port Bloomberg'!E217)</f>
        <v>USP37110AS59</v>
      </c>
      <c r="F217" s="7" t="str">
        <f>IF('Port Bloomberg'!F217="","",'Port Bloomberg'!F217)</f>
        <v>ENAPCL</v>
      </c>
      <c r="G217" s="7" t="str">
        <f>IF('Port Bloomberg'!G217="","",'Port Bloomberg'!G217)</f>
        <v>1030Z CI</v>
      </c>
      <c r="H217" s="7" t="str">
        <f>IF('Port Bloomberg'!H217="","",'Port Bloomberg'!H217)</f>
        <v>Oil&amp;Gas</v>
      </c>
      <c r="I217" s="7" t="str">
        <f>IF('Port Bloomberg'!I217="","",'Port Bloomberg'!I217)</f>
        <v>FOA</v>
      </c>
      <c r="J217" s="7" t="str">
        <f>IF('Port Bloomberg'!J217="","",'Port Bloomberg'!J217)</f>
        <v>Oil Refining&amp;Marketing</v>
      </c>
      <c r="K217" s="7" t="str">
        <f>IF('Port Bloomberg'!K217="","",'Port Bloomberg'!K217)</f>
        <v>CL</v>
      </c>
      <c r="L217" s="7" t="str">
        <f>IF('Port Bloomberg'!L217="","",'Port Bloomberg'!L217)</f>
        <v>CL</v>
      </c>
      <c r="M217" s="7" t="str">
        <f>IF('Port Bloomberg'!M217="","",'Port Bloomberg'!M217)</f>
        <v>USD</v>
      </c>
      <c r="N217" s="7">
        <f>IF('Port Bloomberg'!N217="","",'Port Bloomberg'!N217)</f>
        <v>500000</v>
      </c>
      <c r="O217" s="7" t="str">
        <f>IF('Port Bloomberg'!O217="","",'Port Bloomberg'!O217)</f>
        <v>SINGLE</v>
      </c>
      <c r="P217" s="7">
        <f>IF('Port Bloomberg'!P217="","",'Port Bloomberg'!P217)</f>
        <v>6.15</v>
      </c>
      <c r="Q217" s="7" t="str">
        <f>IF('Port Bloomberg'!Q217="","",'Port Bloomberg'!Q217)</f>
        <v>BBB</v>
      </c>
      <c r="R217" s="7" t="str">
        <f>IF('Port Bloomberg'!R217="","",'Port Bloomberg'!R217)</f>
        <v>05/10/2033</v>
      </c>
      <c r="S217" s="5">
        <f>IF(E217="","",IFERROR(IF(MATCH(E217,[1]Instrumentos!$D:$D,0)&gt;0,1,0),0))</f>
        <v>1</v>
      </c>
      <c r="T217" s="5">
        <f>IF(E217="","",IFERROR(IF(MATCH(E217,'Lista de excepciones'!$E:$E,0)&gt;0,1,0),0))</f>
        <v>0</v>
      </c>
      <c r="U217" s="6" t="str">
        <f t="shared" si="4"/>
        <v>NO</v>
      </c>
    </row>
    <row r="218" spans="1:21" hidden="1" x14ac:dyDescent="0.25">
      <c r="A218" s="7" t="str">
        <f>IF('Port Bloomberg'!A218="","",'Port Bloomberg'!A218)</f>
        <v>ENFRAG 5 ⅜ 12/30/30</v>
      </c>
      <c r="B218" s="7" t="str">
        <f>IF('Port Bloomberg'!B218="","",'Port Bloomberg'!B218)</f>
        <v>EnfraGen Energia Sur SA / EnfraGen Spain SA / Prime Energia SpA</v>
      </c>
      <c r="C218" s="7" t="str">
        <f>IF('Port Bloomberg'!C218="","",'Port Bloomberg'!C218)</f>
        <v>ENFRAGEN ENERGIA</v>
      </c>
      <c r="D218" s="7" t="str">
        <f>IF('Port Bloomberg'!D218="","",'Port Bloomberg'!D218)</f>
        <v>ENFRAGEN ENERGIA SUR SA</v>
      </c>
      <c r="E218" s="7" t="str">
        <f>IF('Port Bloomberg'!E218="","",'Port Bloomberg'!E218)</f>
        <v>USE4181LAA91</v>
      </c>
      <c r="F218" s="7" t="str">
        <f>IF('Port Bloomberg'!F218="","",'Port Bloomberg'!F218)</f>
        <v>ENFRAG</v>
      </c>
      <c r="G218" s="7" t="str">
        <f>IF('Port Bloomberg'!G218="","",'Port Bloomberg'!G218)</f>
        <v/>
      </c>
      <c r="H218" s="7" t="str">
        <f>IF('Port Bloomberg'!H218="","",'Port Bloomberg'!H218)</f>
        <v>Electric</v>
      </c>
      <c r="I218" s="7" t="str">
        <f>IF('Port Bloomberg'!I218="","",'Port Bloomberg'!I218)</f>
        <v>UTL</v>
      </c>
      <c r="J218" s="7" t="str">
        <f>IF('Port Bloomberg'!J218="","",'Port Bloomberg'!J218)</f>
        <v>Electric-Generation</v>
      </c>
      <c r="K218" s="7" t="str">
        <f>IF('Port Bloomberg'!K218="","",'Port Bloomberg'!K218)</f>
        <v>ES</v>
      </c>
      <c r="L218" s="7" t="str">
        <f>IF('Port Bloomberg'!L218="","",'Port Bloomberg'!L218)</f>
        <v>CO</v>
      </c>
      <c r="M218" s="7" t="str">
        <f>IF('Port Bloomberg'!M218="","",'Port Bloomberg'!M218)</f>
        <v>USD</v>
      </c>
      <c r="N218" s="7">
        <f>IF('Port Bloomberg'!N218="","",'Port Bloomberg'!N218)</f>
        <v>710000</v>
      </c>
      <c r="O218" s="7" t="str">
        <f>IF('Port Bloomberg'!O218="","",'Port Bloomberg'!O218)</f>
        <v>SINGLE</v>
      </c>
      <c r="P218" s="7">
        <f>IF('Port Bloomberg'!P218="","",'Port Bloomberg'!P218)</f>
        <v>5.375</v>
      </c>
      <c r="Q218" s="7" t="str">
        <f>IF('Port Bloomberg'!Q218="","",'Port Bloomberg'!Q218)</f>
        <v>BB</v>
      </c>
      <c r="R218" s="7" t="str">
        <f>IF('Port Bloomberg'!R218="","",'Port Bloomberg'!R218)</f>
        <v>12/30/2030</v>
      </c>
      <c r="S218" s="5">
        <f>IF(E218="","",IFERROR(IF(MATCH(E218,[1]Instrumentos!$D:$D,0)&gt;0,1,0),0))</f>
        <v>1</v>
      </c>
      <c r="T218" s="5">
        <f>IF(E218="","",IFERROR(IF(MATCH(E218,'Lista de excepciones'!$E:$E,0)&gt;0,1,0),0))</f>
        <v>0</v>
      </c>
      <c r="U218" s="6" t="str">
        <f t="shared" si="4"/>
        <v>NO</v>
      </c>
    </row>
    <row r="219" spans="1:21" hidden="1" x14ac:dyDescent="0.25">
      <c r="A219" s="7" t="str">
        <f>IF('Port Bloomberg'!A219="","",'Port Bloomberg'!A219)</f>
        <v>ENFRAG 8.499 06/30/32</v>
      </c>
      <c r="B219" s="7" t="str">
        <f>IF('Port Bloomberg'!B219="","",'Port Bloomberg'!B219)</f>
        <v>EnfraGen Energia Sur SAU/ EnfraGen Chile SpA/ EnfraGen Spain SAU</v>
      </c>
      <c r="C219" s="7" t="str">
        <f>IF('Port Bloomberg'!C219="","",'Port Bloomberg'!C219)</f>
        <v>ENFRAGEN ENERGIA</v>
      </c>
      <c r="D219" s="7" t="str">
        <f>IF('Port Bloomberg'!D219="","",'Port Bloomberg'!D219)</f>
        <v>ENFRAGEN ENERGIA SUR SAU</v>
      </c>
      <c r="E219" s="7" t="str">
        <f>IF('Port Bloomberg'!E219="","",'Port Bloomberg'!E219)</f>
        <v>USE4181MAA74</v>
      </c>
      <c r="F219" s="7" t="str">
        <f>IF('Port Bloomberg'!F219="","",'Port Bloomberg'!F219)</f>
        <v>ENFRAG</v>
      </c>
      <c r="G219" s="7" t="str">
        <f>IF('Port Bloomberg'!G219="","",'Port Bloomberg'!G219)</f>
        <v/>
      </c>
      <c r="H219" s="7" t="str">
        <f>IF('Port Bloomberg'!H219="","",'Port Bloomberg'!H219)</f>
        <v>Electric</v>
      </c>
      <c r="I219" s="7" t="str">
        <f>IF('Port Bloomberg'!I219="","",'Port Bloomberg'!I219)</f>
        <v>UTL</v>
      </c>
      <c r="J219" s="7" t="str">
        <f>IF('Port Bloomberg'!J219="","",'Port Bloomberg'!J219)</f>
        <v>Electric-Generation</v>
      </c>
      <c r="K219" s="7" t="str">
        <f>IF('Port Bloomberg'!K219="","",'Port Bloomberg'!K219)</f>
        <v>ES</v>
      </c>
      <c r="L219" s="7" t="str">
        <f>IF('Port Bloomberg'!L219="","",'Port Bloomberg'!L219)</f>
        <v>CO</v>
      </c>
      <c r="M219" s="7" t="str">
        <f>IF('Port Bloomberg'!M219="","",'Port Bloomberg'!M219)</f>
        <v>USD</v>
      </c>
      <c r="N219" s="7">
        <f>IF('Port Bloomberg'!N219="","",'Port Bloomberg'!N219)</f>
        <v>400000</v>
      </c>
      <c r="O219" s="7" t="str">
        <f>IF('Port Bloomberg'!O219="","",'Port Bloomberg'!O219)</f>
        <v>SINGLE</v>
      </c>
      <c r="P219" s="7">
        <f>IF('Port Bloomberg'!P219="","",'Port Bloomberg'!P219)</f>
        <v>8.4990000000000006</v>
      </c>
      <c r="Q219" s="7" t="str">
        <f>IF('Port Bloomberg'!Q219="","",'Port Bloomberg'!Q219)</f>
        <v>BB</v>
      </c>
      <c r="R219" s="7" t="str">
        <f>IF('Port Bloomberg'!R219="","",'Port Bloomberg'!R219)</f>
        <v>06/30/2032</v>
      </c>
      <c r="S219" s="5">
        <f>IF(E219="","",IFERROR(IF(MATCH(E219,[1]Instrumentos!$D:$D,0)&gt;0,1,0),0))</f>
        <v>1</v>
      </c>
      <c r="T219" s="5">
        <f>IF(E219="","",IFERROR(IF(MATCH(E219,'Lista de excepciones'!$E:$E,0)&gt;0,1,0),0))</f>
        <v>0</v>
      </c>
      <c r="U219" s="6" t="str">
        <f t="shared" si="4"/>
        <v>NO</v>
      </c>
    </row>
    <row r="220" spans="1:21" hidden="1" x14ac:dyDescent="0.25">
      <c r="A220" s="7" t="str">
        <f>IF('Port Bloomberg'!A220="","",'Port Bloomberg'!A220)</f>
        <v>ENTEL 3.05 09/14/32</v>
      </c>
      <c r="B220" s="7" t="str">
        <f>IF('Port Bloomberg'!B220="","",'Port Bloomberg'!B220)</f>
        <v>Empresa Nacional de Telecomunicaciones SA</v>
      </c>
      <c r="C220" s="7" t="str">
        <f>IF('Port Bloomberg'!C220="","",'Port Bloomberg'!C220)</f>
        <v>ENTEL CHILE SA</v>
      </c>
      <c r="D220" s="7" t="str">
        <f>IF('Port Bloomberg'!D220="","",'Port Bloomberg'!D220)</f>
        <v>ENTEL CHILE SA</v>
      </c>
      <c r="E220" s="7" t="str">
        <f>IF('Port Bloomberg'!E220="","",'Port Bloomberg'!E220)</f>
        <v>USP37115AH81</v>
      </c>
      <c r="F220" s="7" t="str">
        <f>IF('Port Bloomberg'!F220="","",'Port Bloomberg'!F220)</f>
        <v>ENTEL</v>
      </c>
      <c r="G220" s="7" t="str">
        <f>IF('Port Bloomberg'!G220="","",'Port Bloomberg'!G220)</f>
        <v>ENTEL CI</v>
      </c>
      <c r="H220" s="7" t="str">
        <f>IF('Port Bloomberg'!H220="","",'Port Bloomberg'!H220)</f>
        <v>Telecommunications</v>
      </c>
      <c r="I220" s="7" t="str">
        <f>IF('Port Bloomberg'!I220="","",'Port Bloomberg'!I220)</f>
        <v>IND</v>
      </c>
      <c r="J220" s="7" t="str">
        <f>IF('Port Bloomberg'!J220="","",'Port Bloomberg'!J220)</f>
        <v>Cellular Telecom</v>
      </c>
      <c r="K220" s="7" t="str">
        <f>IF('Port Bloomberg'!K220="","",'Port Bloomberg'!K220)</f>
        <v>CL</v>
      </c>
      <c r="L220" s="7" t="str">
        <f>IF('Port Bloomberg'!L220="","",'Port Bloomberg'!L220)</f>
        <v>CL</v>
      </c>
      <c r="M220" s="7" t="str">
        <f>IF('Port Bloomberg'!M220="","",'Port Bloomberg'!M220)</f>
        <v>USD</v>
      </c>
      <c r="N220" s="7">
        <f>IF('Port Bloomberg'!N220="","",'Port Bloomberg'!N220)</f>
        <v>800000</v>
      </c>
      <c r="O220" s="7" t="str">
        <f>IF('Port Bloomberg'!O220="","",'Port Bloomberg'!O220)</f>
        <v>SINGLE</v>
      </c>
      <c r="P220" s="7">
        <f>IF('Port Bloomberg'!P220="","",'Port Bloomberg'!P220)</f>
        <v>3.05</v>
      </c>
      <c r="Q220" s="7" t="str">
        <f>IF('Port Bloomberg'!Q220="","",'Port Bloomberg'!Q220)</f>
        <v>BBB-</v>
      </c>
      <c r="R220" s="7" t="str">
        <f>IF('Port Bloomberg'!R220="","",'Port Bloomberg'!R220)</f>
        <v>09/14/2032</v>
      </c>
      <c r="S220" s="5">
        <f>IF(E220="","",IFERROR(IF(MATCH(E220,[1]Instrumentos!$D:$D,0)&gt;0,1,0),0))</f>
        <v>1</v>
      </c>
      <c r="T220" s="5">
        <f>IF(E220="","",IFERROR(IF(MATCH(E220,'Lista de excepciones'!$E:$E,0)&gt;0,1,0),0))</f>
        <v>0</v>
      </c>
      <c r="U220" s="6" t="str">
        <f t="shared" si="4"/>
        <v>NO</v>
      </c>
    </row>
    <row r="221" spans="1:21" hidden="1" x14ac:dyDescent="0.25">
      <c r="A221" s="7" t="str">
        <f>IF('Port Bloomberg'!A221="","",'Port Bloomberg'!A221)</f>
        <v>ESENMX 6 ½ 07/30/38</v>
      </c>
      <c r="B221" s="7" t="str">
        <f>IF('Port Bloomberg'!B221="","",'Port Bloomberg'!B221)</f>
        <v>Esentia Energy Development SAB de CV</v>
      </c>
      <c r="C221" s="7" t="str">
        <f>IF('Port Bloomberg'!C221="","",'Port Bloomberg'!C221)</f>
        <v>ESENTIA ENERGY</v>
      </c>
      <c r="D221" s="7" t="str">
        <f>IF('Port Bloomberg'!D221="","",'Port Bloomberg'!D221)</f>
        <v>ESENTIA ENERGY DEV SAB</v>
      </c>
      <c r="E221" s="7" t="str">
        <f>IF('Port Bloomberg'!E221="","",'Port Bloomberg'!E221)</f>
        <v>USP3757EAB76</v>
      </c>
      <c r="F221" s="7" t="str">
        <f>IF('Port Bloomberg'!F221="","",'Port Bloomberg'!F221)</f>
        <v>ESENMX</v>
      </c>
      <c r="G221" s="7" t="str">
        <f>IF('Port Bloomberg'!G221="","",'Port Bloomberg'!G221)</f>
        <v>ESENTIAI MM</v>
      </c>
      <c r="H221" s="7" t="str">
        <f>IF('Port Bloomberg'!H221="","",'Port Bloomberg'!H221)</f>
        <v>Pipelines</v>
      </c>
      <c r="I221" s="7" t="str">
        <f>IF('Port Bloomberg'!I221="","",'Port Bloomberg'!I221)</f>
        <v>IND</v>
      </c>
      <c r="J221" s="7" t="str">
        <f>IF('Port Bloomberg'!J221="","",'Port Bloomberg'!J221)</f>
        <v>Pipelines</v>
      </c>
      <c r="K221" s="7" t="str">
        <f>IF('Port Bloomberg'!K221="","",'Port Bloomberg'!K221)</f>
        <v>MX</v>
      </c>
      <c r="L221" s="7" t="str">
        <f>IF('Port Bloomberg'!L221="","",'Port Bloomberg'!L221)</f>
        <v>MX</v>
      </c>
      <c r="M221" s="7" t="str">
        <f>IF('Port Bloomberg'!M221="","",'Port Bloomberg'!M221)</f>
        <v>USD</v>
      </c>
      <c r="N221" s="7">
        <f>IF('Port Bloomberg'!N221="","",'Port Bloomberg'!N221)</f>
        <v>1000000</v>
      </c>
      <c r="O221" s="7" t="str">
        <f>IF('Port Bloomberg'!O221="","",'Port Bloomberg'!O221)</f>
        <v>SINGLE</v>
      </c>
      <c r="P221" s="7">
        <f>IF('Port Bloomberg'!P221="","",'Port Bloomberg'!P221)</f>
        <v>6.5</v>
      </c>
      <c r="Q221" s="7" t="str">
        <f>IF('Port Bloomberg'!Q221="","",'Port Bloomberg'!Q221)</f>
        <v>BBB-</v>
      </c>
      <c r="R221" s="7" t="str">
        <f>IF('Port Bloomberg'!R221="","",'Port Bloomberg'!R221)</f>
        <v>07/30/2038</v>
      </c>
      <c r="S221" s="5">
        <f>IF(E221="","",IFERROR(IF(MATCH(E221,[1]Instrumentos!$D:$D,0)&gt;0,1,0),0))</f>
        <v>1</v>
      </c>
      <c r="T221" s="5">
        <f>IF(E221="","",IFERROR(IF(MATCH(E221,'Lista de excepciones'!$E:$E,0)&gt;0,1,0),0))</f>
        <v>0</v>
      </c>
      <c r="U221" s="6" t="str">
        <f t="shared" si="4"/>
        <v>NO</v>
      </c>
    </row>
    <row r="222" spans="1:21" hidden="1" x14ac:dyDescent="0.25">
      <c r="A222" s="7" t="str">
        <f>IF('Port Bloomberg'!A222="","",'Port Bloomberg'!A222)</f>
        <v>ESENMX 6 ⅛ 07/30/33</v>
      </c>
      <c r="B222" s="7" t="str">
        <f>IF('Port Bloomberg'!B222="","",'Port Bloomberg'!B222)</f>
        <v>Esentia Energy Development SAB de CV</v>
      </c>
      <c r="C222" s="7" t="str">
        <f>IF('Port Bloomberg'!C222="","",'Port Bloomberg'!C222)</f>
        <v>ESENTIA ENERGY</v>
      </c>
      <c r="D222" s="7" t="str">
        <f>IF('Port Bloomberg'!D222="","",'Port Bloomberg'!D222)</f>
        <v>ESENTIA ENERGY DEV SAB</v>
      </c>
      <c r="E222" s="7" t="str">
        <f>IF('Port Bloomberg'!E222="","",'Port Bloomberg'!E222)</f>
        <v>USP3757EAA93</v>
      </c>
      <c r="F222" s="7" t="str">
        <f>IF('Port Bloomberg'!F222="","",'Port Bloomberg'!F222)</f>
        <v>ESENMX</v>
      </c>
      <c r="G222" s="7" t="str">
        <f>IF('Port Bloomberg'!G222="","",'Port Bloomberg'!G222)</f>
        <v>ESENTIAI MM</v>
      </c>
      <c r="H222" s="7" t="str">
        <f>IF('Port Bloomberg'!H222="","",'Port Bloomberg'!H222)</f>
        <v>Pipelines</v>
      </c>
      <c r="I222" s="7" t="str">
        <f>IF('Port Bloomberg'!I222="","",'Port Bloomberg'!I222)</f>
        <v>IND</v>
      </c>
      <c r="J222" s="7" t="str">
        <f>IF('Port Bloomberg'!J222="","",'Port Bloomberg'!J222)</f>
        <v>Pipelines</v>
      </c>
      <c r="K222" s="7" t="str">
        <f>IF('Port Bloomberg'!K222="","",'Port Bloomberg'!K222)</f>
        <v>MX</v>
      </c>
      <c r="L222" s="7" t="str">
        <f>IF('Port Bloomberg'!L222="","",'Port Bloomberg'!L222)</f>
        <v>MX</v>
      </c>
      <c r="M222" s="7" t="str">
        <f>IF('Port Bloomberg'!M222="","",'Port Bloomberg'!M222)</f>
        <v>USD</v>
      </c>
      <c r="N222" s="7">
        <f>IF('Port Bloomberg'!N222="","",'Port Bloomberg'!N222)</f>
        <v>1000000</v>
      </c>
      <c r="O222" s="7" t="str">
        <f>IF('Port Bloomberg'!O222="","",'Port Bloomberg'!O222)</f>
        <v>SINGLE</v>
      </c>
      <c r="P222" s="7">
        <f>IF('Port Bloomberg'!P222="","",'Port Bloomberg'!P222)</f>
        <v>6.125</v>
      </c>
      <c r="Q222" s="7" t="str">
        <f>IF('Port Bloomberg'!Q222="","",'Port Bloomberg'!Q222)</f>
        <v>BBB-</v>
      </c>
      <c r="R222" s="7" t="str">
        <f>IF('Port Bloomberg'!R222="","",'Port Bloomberg'!R222)</f>
        <v>07/30/2033</v>
      </c>
      <c r="S222" s="5">
        <f>IF(E222="","",IFERROR(IF(MATCH(E222,[1]Instrumentos!$D:$D,0)&gt;0,1,0),0))</f>
        <v>1</v>
      </c>
      <c r="T222" s="5">
        <f>IF(E222="","",IFERROR(IF(MATCH(E222,'Lista de excepciones'!$E:$E,0)&gt;0,1,0),0))</f>
        <v>0</v>
      </c>
      <c r="U222" s="6" t="str">
        <f t="shared" si="4"/>
        <v>NO</v>
      </c>
    </row>
    <row r="223" spans="1:21" hidden="1" x14ac:dyDescent="0.25">
      <c r="A223" s="7" t="str">
        <f>IF('Port Bloomberg'!A223="","",'Port Bloomberg'!A223)</f>
        <v>FCFEMM 5 ⅞ 09/23/40</v>
      </c>
      <c r="B223" s="7" t="str">
        <f>IF('Port Bloomberg'!B223="","",'Port Bloomberg'!B223)</f>
        <v>CFE Fibra E</v>
      </c>
      <c r="C223" s="7" t="str">
        <f>IF('Port Bloomberg'!C223="","",'Port Bloomberg'!C223)</f>
        <v>CFE FIBRA E</v>
      </c>
      <c r="D223" s="7" t="str">
        <f>IF('Port Bloomberg'!D223="","",'Port Bloomberg'!D223)</f>
        <v>CFE FIBRA E</v>
      </c>
      <c r="E223" s="7" t="str">
        <f>IF('Port Bloomberg'!E223="","",'Port Bloomberg'!E223)</f>
        <v>USP24038AA23</v>
      </c>
      <c r="F223" s="7" t="str">
        <f>IF('Port Bloomberg'!F223="","",'Port Bloomberg'!F223)</f>
        <v>FCFEMM</v>
      </c>
      <c r="G223" s="7" t="str">
        <f>IF('Port Bloomberg'!G223="","",'Port Bloomberg'!G223)</f>
        <v/>
      </c>
      <c r="H223" s="7" t="str">
        <f>IF('Port Bloomberg'!H223="","",'Port Bloomberg'!H223)</f>
        <v>REITS</v>
      </c>
      <c r="I223" s="7" t="str">
        <f>IF('Port Bloomberg'!I223="","",'Port Bloomberg'!I223)</f>
        <v>UTL</v>
      </c>
      <c r="J223" s="7" t="str">
        <f>IF('Port Bloomberg'!J223="","",'Port Bloomberg'!J223)</f>
        <v>REITS-Diversified</v>
      </c>
      <c r="K223" s="7" t="str">
        <f>IF('Port Bloomberg'!K223="","",'Port Bloomberg'!K223)</f>
        <v>MX</v>
      </c>
      <c r="L223" s="7" t="str">
        <f>IF('Port Bloomberg'!L223="","",'Port Bloomberg'!L223)</f>
        <v>MX</v>
      </c>
      <c r="M223" s="7" t="str">
        <f>IF('Port Bloomberg'!M223="","",'Port Bloomberg'!M223)</f>
        <v>USD</v>
      </c>
      <c r="N223" s="7">
        <f>IF('Port Bloomberg'!N223="","",'Port Bloomberg'!N223)</f>
        <v>725000</v>
      </c>
      <c r="O223" s="7" t="str">
        <f>IF('Port Bloomberg'!O223="","",'Port Bloomberg'!O223)</f>
        <v>SINGLE</v>
      </c>
      <c r="P223" s="7">
        <f>IF('Port Bloomberg'!P223="","",'Port Bloomberg'!P223)</f>
        <v>5.875</v>
      </c>
      <c r="Q223" s="7" t="str">
        <f>IF('Port Bloomberg'!Q223="","",'Port Bloomberg'!Q223)</f>
        <v>BBB-</v>
      </c>
      <c r="R223" s="7" t="str">
        <f>IF('Port Bloomberg'!R223="","",'Port Bloomberg'!R223)</f>
        <v>09/23/2040</v>
      </c>
      <c r="S223" s="5">
        <f>IF(E223="","",IFERROR(IF(MATCH(E223,[1]Instrumentos!$D:$D,0)&gt;0,1,0),0))</f>
        <v>0</v>
      </c>
      <c r="T223" s="5">
        <f>IF(E223="","",IFERROR(IF(MATCH(E223,'Lista de excepciones'!$E:$E,0)&gt;0,1,0),0))</f>
        <v>1</v>
      </c>
      <c r="U223" s="6" t="str">
        <f t="shared" si="4"/>
        <v>NO</v>
      </c>
    </row>
    <row r="224" spans="1:21" hidden="1" x14ac:dyDescent="0.25">
      <c r="A224" s="7" t="str">
        <f>IF('Port Bloomberg'!A224="","",'Port Bloomberg'!A224)</f>
        <v>FEMSA 3 ½ 01/16/50</v>
      </c>
      <c r="B224" s="7" t="str">
        <f>IF('Port Bloomberg'!B224="","",'Port Bloomberg'!B224)</f>
        <v>Fomento Economico Mexicano SAB de CV</v>
      </c>
      <c r="C224" s="7" t="str">
        <f>IF('Port Bloomberg'!C224="","",'Port Bloomberg'!C224)</f>
        <v>FEMSA</v>
      </c>
      <c r="D224" s="7" t="str">
        <f>IF('Port Bloomberg'!D224="","",'Port Bloomberg'!D224)</f>
        <v>FOMENTO ECONOMICO MEX</v>
      </c>
      <c r="E224" s="7" t="str">
        <f>IF('Port Bloomberg'!E224="","",'Port Bloomberg'!E224)</f>
        <v>US344419AC03</v>
      </c>
      <c r="F224" s="7" t="str">
        <f>IF('Port Bloomberg'!F224="","",'Port Bloomberg'!F224)</f>
        <v>FEMSA</v>
      </c>
      <c r="G224" s="7" t="str">
        <f>IF('Port Bloomberg'!G224="","",'Port Bloomberg'!G224)</f>
        <v>FEMSAUBD MM</v>
      </c>
      <c r="H224" s="7" t="str">
        <f>IF('Port Bloomberg'!H224="","",'Port Bloomberg'!H224)</f>
        <v>Beverages</v>
      </c>
      <c r="I224" s="7" t="str">
        <f>IF('Port Bloomberg'!I224="","",'Port Bloomberg'!I224)</f>
        <v>IND</v>
      </c>
      <c r="J224" s="7" t="str">
        <f>IF('Port Bloomberg'!J224="","",'Port Bloomberg'!J224)</f>
        <v>Beverages-Non-alcoholic</v>
      </c>
      <c r="K224" s="7" t="str">
        <f>IF('Port Bloomberg'!K224="","",'Port Bloomberg'!K224)</f>
        <v>MX</v>
      </c>
      <c r="L224" s="7" t="str">
        <f>IF('Port Bloomberg'!L224="","",'Port Bloomberg'!L224)</f>
        <v>MX</v>
      </c>
      <c r="M224" s="7" t="str">
        <f>IF('Port Bloomberg'!M224="","",'Port Bloomberg'!M224)</f>
        <v>USD</v>
      </c>
      <c r="N224" s="7">
        <f>IF('Port Bloomberg'!N224="","",'Port Bloomberg'!N224)</f>
        <v>2500000</v>
      </c>
      <c r="O224" s="7" t="str">
        <f>IF('Port Bloomberg'!O224="","",'Port Bloomberg'!O224)</f>
        <v>SINGLE</v>
      </c>
      <c r="P224" s="7">
        <f>IF('Port Bloomberg'!P224="","",'Port Bloomberg'!P224)</f>
        <v>3.5</v>
      </c>
      <c r="Q224" s="7" t="str">
        <f>IF('Port Bloomberg'!Q224="","",'Port Bloomberg'!Q224)</f>
        <v>A-</v>
      </c>
      <c r="R224" s="7" t="str">
        <f>IF('Port Bloomberg'!R224="","",'Port Bloomberg'!R224)</f>
        <v>01/16/2050</v>
      </c>
      <c r="S224" s="5">
        <f>IF(E224="","",IFERROR(IF(MATCH(E224,[1]Instrumentos!$D:$D,0)&gt;0,1,0),0))</f>
        <v>1</v>
      </c>
      <c r="T224" s="5">
        <f>IF(E224="","",IFERROR(IF(MATCH(E224,'Lista de excepciones'!$E:$E,0)&gt;0,1,0),0))</f>
        <v>0</v>
      </c>
      <c r="U224" s="6" t="str">
        <f t="shared" si="4"/>
        <v>NO</v>
      </c>
    </row>
    <row r="225" spans="1:21" hidden="1" x14ac:dyDescent="0.25">
      <c r="A225" s="7" t="str">
        <f>IF('Port Bloomberg'!A225="","",'Port Bloomberg'!A225)</f>
        <v>FEMSA 4 ⅜ 05/10/43</v>
      </c>
      <c r="B225" s="7" t="str">
        <f>IF('Port Bloomberg'!B225="","",'Port Bloomberg'!B225)</f>
        <v>Fomento Economico Mexicano SAB de CV</v>
      </c>
      <c r="C225" s="7" t="str">
        <f>IF('Port Bloomberg'!C225="","",'Port Bloomberg'!C225)</f>
        <v>FEMSA</v>
      </c>
      <c r="D225" s="7" t="str">
        <f>IF('Port Bloomberg'!D225="","",'Port Bloomberg'!D225)</f>
        <v>FOMENTO ECONOMICO MEX</v>
      </c>
      <c r="E225" s="7" t="str">
        <f>IF('Port Bloomberg'!E225="","",'Port Bloomberg'!E225)</f>
        <v>US344419AB20</v>
      </c>
      <c r="F225" s="7" t="str">
        <f>IF('Port Bloomberg'!F225="","",'Port Bloomberg'!F225)</f>
        <v>FEMSA</v>
      </c>
      <c r="G225" s="7" t="str">
        <f>IF('Port Bloomberg'!G225="","",'Port Bloomberg'!G225)</f>
        <v>FEMSAUBD MM</v>
      </c>
      <c r="H225" s="7" t="str">
        <f>IF('Port Bloomberg'!H225="","",'Port Bloomberg'!H225)</f>
        <v>Beverages</v>
      </c>
      <c r="I225" s="7" t="str">
        <f>IF('Port Bloomberg'!I225="","",'Port Bloomberg'!I225)</f>
        <v>IND</v>
      </c>
      <c r="J225" s="7" t="str">
        <f>IF('Port Bloomberg'!J225="","",'Port Bloomberg'!J225)</f>
        <v>Beverages-Non-alcoholic</v>
      </c>
      <c r="K225" s="7" t="str">
        <f>IF('Port Bloomberg'!K225="","",'Port Bloomberg'!K225)</f>
        <v>MX</v>
      </c>
      <c r="L225" s="7" t="str">
        <f>IF('Port Bloomberg'!L225="","",'Port Bloomberg'!L225)</f>
        <v>MX</v>
      </c>
      <c r="M225" s="7" t="str">
        <f>IF('Port Bloomberg'!M225="","",'Port Bloomberg'!M225)</f>
        <v>USD</v>
      </c>
      <c r="N225" s="7">
        <f>IF('Port Bloomberg'!N225="","",'Port Bloomberg'!N225)</f>
        <v>700000</v>
      </c>
      <c r="O225" s="7" t="str">
        <f>IF('Port Bloomberg'!O225="","",'Port Bloomberg'!O225)</f>
        <v>SINGLE</v>
      </c>
      <c r="P225" s="7">
        <f>IF('Port Bloomberg'!P225="","",'Port Bloomberg'!P225)</f>
        <v>4.375</v>
      </c>
      <c r="Q225" s="7" t="str">
        <f>IF('Port Bloomberg'!Q225="","",'Port Bloomberg'!Q225)</f>
        <v>A-</v>
      </c>
      <c r="R225" s="7" t="str">
        <f>IF('Port Bloomberg'!R225="","",'Port Bloomberg'!R225)</f>
        <v>05/10/2043</v>
      </c>
      <c r="S225" s="5">
        <f>IF(E225="","",IFERROR(IF(MATCH(E225,[1]Instrumentos!$D:$D,0)&gt;0,1,0),0))</f>
        <v>1</v>
      </c>
      <c r="T225" s="5">
        <f>IF(E225="","",IFERROR(IF(MATCH(E225,'Lista de excepciones'!$E:$E,0)&gt;0,1,0),0))</f>
        <v>0</v>
      </c>
      <c r="U225" s="6" t="str">
        <f t="shared" si="4"/>
        <v>NO</v>
      </c>
    </row>
    <row r="226" spans="1:21" hidden="1" x14ac:dyDescent="0.25">
      <c r="A226" s="7" t="str">
        <f>IF('Port Bloomberg'!A226="","",'Port Bloomberg'!A226)</f>
        <v>FERMCA 6 ⅜ 03/30/38</v>
      </c>
      <c r="B226" s="7" t="str">
        <f>IF('Port Bloomberg'!B226="","",'Port Bloomberg'!B226)</f>
        <v>Fermaca Enterprises S de RL de CV</v>
      </c>
      <c r="C226" s="7" t="str">
        <f>IF('Port Bloomberg'!C226="","",'Port Bloomberg'!C226)</f>
        <v>FERMACA ENTERPR</v>
      </c>
      <c r="D226" s="7" t="str">
        <f>IF('Port Bloomberg'!D226="","",'Port Bloomberg'!D226)</f>
        <v>FERMACA ENTERPRISES S RL</v>
      </c>
      <c r="E226" s="7" t="str">
        <f>IF('Port Bloomberg'!E226="","",'Port Bloomberg'!E226)</f>
        <v>USP39198AA76</v>
      </c>
      <c r="F226" s="7" t="str">
        <f>IF('Port Bloomberg'!F226="","",'Port Bloomberg'!F226)</f>
        <v>FERMCA</v>
      </c>
      <c r="G226" s="7" t="str">
        <f>IF('Port Bloomberg'!G226="","",'Port Bloomberg'!G226)</f>
        <v>PGHN SW</v>
      </c>
      <c r="H226" s="7" t="str">
        <f>IF('Port Bloomberg'!H226="","",'Port Bloomberg'!H226)</f>
        <v>Pipelines</v>
      </c>
      <c r="I226" s="7" t="str">
        <f>IF('Port Bloomberg'!I226="","",'Port Bloomberg'!I226)</f>
        <v>IND</v>
      </c>
      <c r="J226" s="7" t="str">
        <f>IF('Port Bloomberg'!J226="","",'Port Bloomberg'!J226)</f>
        <v>Pipelines</v>
      </c>
      <c r="K226" s="7" t="str">
        <f>IF('Port Bloomberg'!K226="","",'Port Bloomberg'!K226)</f>
        <v>MX</v>
      </c>
      <c r="L226" s="7" t="str">
        <f>IF('Port Bloomberg'!L226="","",'Port Bloomberg'!L226)</f>
        <v>MX</v>
      </c>
      <c r="M226" s="7" t="str">
        <f>IF('Port Bloomberg'!M226="","",'Port Bloomberg'!M226)</f>
        <v>USD</v>
      </c>
      <c r="N226" s="7">
        <f>IF('Port Bloomberg'!N226="","",'Port Bloomberg'!N226)</f>
        <v>550000</v>
      </c>
      <c r="O226" s="7" t="str">
        <f>IF('Port Bloomberg'!O226="","",'Port Bloomberg'!O226)</f>
        <v>SINGLE</v>
      </c>
      <c r="P226" s="7">
        <f>IF('Port Bloomberg'!P226="","",'Port Bloomberg'!P226)</f>
        <v>6.375</v>
      </c>
      <c r="Q226" s="7" t="str">
        <f>IF('Port Bloomberg'!Q226="","",'Port Bloomberg'!Q226)</f>
        <v>NR</v>
      </c>
      <c r="R226" s="7" t="str">
        <f>IF('Port Bloomberg'!R226="","",'Port Bloomberg'!R226)</f>
        <v>03/30/2038</v>
      </c>
      <c r="S226" s="5">
        <f>IF(E226="","",IFERROR(IF(MATCH(E226,[1]Instrumentos!$D:$D,0)&gt;0,1,0),0))</f>
        <v>1</v>
      </c>
      <c r="T226" s="5">
        <f>IF(E226="","",IFERROR(IF(MATCH(E226,'Lista de excepciones'!$E:$E,0)&gt;0,1,0),0))</f>
        <v>0</v>
      </c>
      <c r="U226" s="6" t="str">
        <f t="shared" si="4"/>
        <v>NO</v>
      </c>
    </row>
    <row r="227" spans="1:21" hidden="1" x14ac:dyDescent="0.25">
      <c r="A227" s="7" t="str">
        <f>IF('Port Bloomberg'!A227="","",'Port Bloomberg'!A227)</f>
        <v>FIBRAP 4.12 11/23/32</v>
      </c>
      <c r="B227" s="7" t="str">
        <f>IF('Port Bloomberg'!B227="","",'Port Bloomberg'!B227)</f>
        <v>FIBRA Prologis</v>
      </c>
      <c r="C227" s="7" t="str">
        <f>IF('Port Bloomberg'!C227="","",'Port Bloomberg'!C227)</f>
        <v>FIBRA PROLOGIS</v>
      </c>
      <c r="D227" s="7" t="str">
        <f>IF('Port Bloomberg'!D227="","",'Port Bloomberg'!D227)</f>
        <v>FIBRA PROLOGIS</v>
      </c>
      <c r="E227" s="7" t="str">
        <f>IF('Port Bloomberg'!E227="","",'Port Bloomberg'!E227)</f>
        <v>MX91FI170009</v>
      </c>
      <c r="F227" s="7" t="str">
        <f>IF('Port Bloomberg'!F227="","",'Port Bloomberg'!F227)</f>
        <v>FIBRAP</v>
      </c>
      <c r="G227" s="7" t="str">
        <f>IF('Port Bloomberg'!G227="","",'Port Bloomberg'!G227)</f>
        <v>1226069D MM</v>
      </c>
      <c r="H227" s="7" t="str">
        <f>IF('Port Bloomberg'!H227="","",'Port Bloomberg'!H227)</f>
        <v>REITS</v>
      </c>
      <c r="I227" s="7" t="str">
        <f>IF('Port Bloomberg'!I227="","",'Port Bloomberg'!I227)</f>
        <v>FIN</v>
      </c>
      <c r="J227" s="7" t="str">
        <f>IF('Port Bloomberg'!J227="","",'Port Bloomberg'!J227)</f>
        <v>REITS-Warehouse/Industr</v>
      </c>
      <c r="K227" s="7" t="str">
        <f>IF('Port Bloomberg'!K227="","",'Port Bloomberg'!K227)</f>
        <v>MX</v>
      </c>
      <c r="L227" s="7" t="str">
        <f>IF('Port Bloomberg'!L227="","",'Port Bloomberg'!L227)</f>
        <v>MX</v>
      </c>
      <c r="M227" s="7" t="str">
        <f>IF('Port Bloomberg'!M227="","",'Port Bloomberg'!M227)</f>
        <v>USD</v>
      </c>
      <c r="N227" s="7">
        <f>IF('Port Bloomberg'!N227="","",'Port Bloomberg'!N227)</f>
        <v>375000</v>
      </c>
      <c r="O227" s="7" t="str">
        <f>IF('Port Bloomberg'!O227="","",'Port Bloomberg'!O227)</f>
        <v>SINGLE</v>
      </c>
      <c r="P227" s="7">
        <f>IF('Port Bloomberg'!P227="","",'Port Bloomberg'!P227)</f>
        <v>4.12</v>
      </c>
      <c r="Q227" s="7" t="str">
        <f>IF('Port Bloomberg'!Q227="","",'Port Bloomberg'!Q227)</f>
        <v>NR</v>
      </c>
      <c r="R227" s="7" t="str">
        <f>IF('Port Bloomberg'!R227="","",'Port Bloomberg'!R227)</f>
        <v>11/23/2032</v>
      </c>
      <c r="S227" s="5">
        <f>IF(E227="","",IFERROR(IF(MATCH(E227,[1]Instrumentos!$D:$D,0)&gt;0,1,0),0))</f>
        <v>1</v>
      </c>
      <c r="T227" s="5">
        <f>IF(E227="","",IFERROR(IF(MATCH(E227,'Lista de excepciones'!$E:$E,0)&gt;0,1,0),0))</f>
        <v>0</v>
      </c>
      <c r="U227" s="6" t="str">
        <f t="shared" si="4"/>
        <v>NO</v>
      </c>
    </row>
    <row r="228" spans="1:21" hidden="1" x14ac:dyDescent="0.25">
      <c r="A228" s="7" t="str">
        <f>IF('Port Bloomberg'!A228="","",'Port Bloomberg'!A228)</f>
        <v>FIBRAP 5 ½ 11/26/35</v>
      </c>
      <c r="B228" s="7" t="str">
        <f>IF('Port Bloomberg'!B228="","",'Port Bloomberg'!B228)</f>
        <v>FIBRA Prologis</v>
      </c>
      <c r="C228" s="7" t="str">
        <f>IF('Port Bloomberg'!C228="","",'Port Bloomberg'!C228)</f>
        <v>FIBRA PROLOGIS</v>
      </c>
      <c r="D228" s="7" t="str">
        <f>IF('Port Bloomberg'!D228="","",'Port Bloomberg'!D228)</f>
        <v>FIBRA PROLOGIS</v>
      </c>
      <c r="E228" s="7" t="str">
        <f>IF('Port Bloomberg'!E228="","",'Port Bloomberg'!E228)</f>
        <v>USP40692AA67</v>
      </c>
      <c r="F228" s="7" t="str">
        <f>IF('Port Bloomberg'!F228="","",'Port Bloomberg'!F228)</f>
        <v>FIBRAP</v>
      </c>
      <c r="G228" s="7" t="str">
        <f>IF('Port Bloomberg'!G228="","",'Port Bloomberg'!G228)</f>
        <v>1226069D MM</v>
      </c>
      <c r="H228" s="7" t="str">
        <f>IF('Port Bloomberg'!H228="","",'Port Bloomberg'!H228)</f>
        <v>REITS</v>
      </c>
      <c r="I228" s="7" t="str">
        <f>IF('Port Bloomberg'!I228="","",'Port Bloomberg'!I228)</f>
        <v>FIN</v>
      </c>
      <c r="J228" s="7" t="str">
        <f>IF('Port Bloomberg'!J228="","",'Port Bloomberg'!J228)</f>
        <v>REITS-Warehouse/Industr</v>
      </c>
      <c r="K228" s="7" t="str">
        <f>IF('Port Bloomberg'!K228="","",'Port Bloomberg'!K228)</f>
        <v>MX</v>
      </c>
      <c r="L228" s="7" t="str">
        <f>IF('Port Bloomberg'!L228="","",'Port Bloomberg'!L228)</f>
        <v>MX</v>
      </c>
      <c r="M228" s="7" t="str">
        <f>IF('Port Bloomberg'!M228="","",'Port Bloomberg'!M228)</f>
        <v>USD</v>
      </c>
      <c r="N228" s="7">
        <f>IF('Port Bloomberg'!N228="","",'Port Bloomberg'!N228)</f>
        <v>500000</v>
      </c>
      <c r="O228" s="7" t="str">
        <f>IF('Port Bloomberg'!O228="","",'Port Bloomberg'!O228)</f>
        <v>SINGLE</v>
      </c>
      <c r="P228" s="7">
        <f>IF('Port Bloomberg'!P228="","",'Port Bloomberg'!P228)</f>
        <v>5.5</v>
      </c>
      <c r="Q228" s="7" t="str">
        <f>IF('Port Bloomberg'!Q228="","",'Port Bloomberg'!Q228)</f>
        <v>BBB</v>
      </c>
      <c r="R228" s="7" t="str">
        <f>IF('Port Bloomberg'!R228="","",'Port Bloomberg'!R228)</f>
        <v>11/26/2035</v>
      </c>
      <c r="S228" s="5">
        <f>IF(E228="","",IFERROR(IF(MATCH(E228,[1]Instrumentos!$D:$D,0)&gt;0,1,0),0))</f>
        <v>1</v>
      </c>
      <c r="T228" s="5">
        <f>IF(E228="","",IFERROR(IF(MATCH(E228,'Lista de excepciones'!$E:$E,0)&gt;0,1,0),0))</f>
        <v>0</v>
      </c>
      <c r="U228" s="6" t="str">
        <f t="shared" si="4"/>
        <v>NO</v>
      </c>
    </row>
    <row r="229" spans="1:21" hidden="1" x14ac:dyDescent="0.25">
      <c r="A229" s="7" t="str">
        <f>IF('Port Bloomberg'!A229="","",'Port Bloomberg'!A229)</f>
        <v>FIBRAP 5 ⅝ 01/14/38</v>
      </c>
      <c r="B229" s="7" t="str">
        <f>IF('Port Bloomberg'!B229="","",'Port Bloomberg'!B229)</f>
        <v>FIBRA Prologis</v>
      </c>
      <c r="C229" s="7" t="str">
        <f>IF('Port Bloomberg'!C229="","",'Port Bloomberg'!C229)</f>
        <v>FIBRA PROLOGIS</v>
      </c>
      <c r="D229" s="7" t="str">
        <f>IF('Port Bloomberg'!D229="","",'Port Bloomberg'!D229)</f>
        <v>FIBRA PROLOGIS</v>
      </c>
      <c r="E229" s="7" t="str">
        <f>IF('Port Bloomberg'!E229="","",'Port Bloomberg'!E229)</f>
        <v>USP40692AB41</v>
      </c>
      <c r="F229" s="7" t="str">
        <f>IF('Port Bloomberg'!F229="","",'Port Bloomberg'!F229)</f>
        <v>FIBRAP</v>
      </c>
      <c r="G229" s="7" t="str">
        <f>IF('Port Bloomberg'!G229="","",'Port Bloomberg'!G229)</f>
        <v>1226069D MM</v>
      </c>
      <c r="H229" s="7" t="str">
        <f>IF('Port Bloomberg'!H229="","",'Port Bloomberg'!H229)</f>
        <v>REITS</v>
      </c>
      <c r="I229" s="7" t="str">
        <f>IF('Port Bloomberg'!I229="","",'Port Bloomberg'!I229)</f>
        <v>FIN</v>
      </c>
      <c r="J229" s="7" t="str">
        <f>IF('Port Bloomberg'!J229="","",'Port Bloomberg'!J229)</f>
        <v>REITS-Warehouse/Industr</v>
      </c>
      <c r="K229" s="7" t="str">
        <f>IF('Port Bloomberg'!K229="","",'Port Bloomberg'!K229)</f>
        <v>MX</v>
      </c>
      <c r="L229" s="7" t="str">
        <f>IF('Port Bloomberg'!L229="","",'Port Bloomberg'!L229)</f>
        <v>MX</v>
      </c>
      <c r="M229" s="7" t="str">
        <f>IF('Port Bloomberg'!M229="","",'Port Bloomberg'!M229)</f>
        <v>USD</v>
      </c>
      <c r="N229" s="7">
        <f>IF('Port Bloomberg'!N229="","",'Port Bloomberg'!N229)</f>
        <v>500000</v>
      </c>
      <c r="O229" s="7" t="str">
        <f>IF('Port Bloomberg'!O229="","",'Port Bloomberg'!O229)</f>
        <v>SINGLE</v>
      </c>
      <c r="P229" s="7">
        <f>IF('Port Bloomberg'!P229="","",'Port Bloomberg'!P229)</f>
        <v>5.625</v>
      </c>
      <c r="Q229" s="7" t="str">
        <f>IF('Port Bloomberg'!Q229="","",'Port Bloomberg'!Q229)</f>
        <v>BBB</v>
      </c>
      <c r="R229" s="7" t="str">
        <f>IF('Port Bloomberg'!R229="","",'Port Bloomberg'!R229)</f>
        <v>01/14/2038</v>
      </c>
      <c r="S229" s="5">
        <f>IF(E229="","",IFERROR(IF(MATCH(E229,[1]Instrumentos!$D:$D,0)&gt;0,1,0),0))</f>
        <v>1</v>
      </c>
      <c r="T229" s="5">
        <f>IF(E229="","",IFERROR(IF(MATCH(E229,'Lista de excepciones'!$E:$E,0)&gt;0,1,0),0))</f>
        <v>0</v>
      </c>
      <c r="U229" s="6" t="str">
        <f t="shared" si="4"/>
        <v>NO</v>
      </c>
    </row>
    <row r="230" spans="1:21" hidden="1" x14ac:dyDescent="0.25">
      <c r="A230" s="7" t="str">
        <f>IF('Port Bloomberg'!A230="","",'Port Bloomberg'!A230)</f>
        <v>FIEMEX 7 ¼ 01/31/41</v>
      </c>
      <c r="B230" s="7" t="str">
        <f>IF('Port Bloomberg'!B230="","",'Port Bloomberg'!B230)</f>
        <v>FIEMEX Energia - Banco Actinver SA Institucion de Banca Multiple</v>
      </c>
      <c r="C230" s="7" t="str">
        <f>IF('Port Bloomberg'!C230="","",'Port Bloomberg'!C230)</f>
        <v>FIEMEX ENERGI-BA</v>
      </c>
      <c r="D230" s="7" t="str">
        <f>IF('Port Bloomberg'!D230="","",'Port Bloomberg'!D230)</f>
        <v>FIEMEX ENERGIA - BANC AC</v>
      </c>
      <c r="E230" s="7" t="str">
        <f>IF('Port Bloomberg'!E230="","",'Port Bloomberg'!E230)</f>
        <v>USP0R12RAA88</v>
      </c>
      <c r="F230" s="7" t="str">
        <f>IF('Port Bloomberg'!F230="","",'Port Bloomberg'!F230)</f>
        <v>FIEMEX</v>
      </c>
      <c r="G230" s="7" t="str">
        <f>IF('Port Bloomberg'!G230="","",'Port Bloomberg'!G230)</f>
        <v>2472986D MM</v>
      </c>
      <c r="H230" s="7" t="str">
        <f>IF('Port Bloomberg'!H230="","",'Port Bloomberg'!H230)</f>
        <v>Electric</v>
      </c>
      <c r="I230" s="7" t="str">
        <f>IF('Port Bloomberg'!I230="","",'Port Bloomberg'!I230)</f>
        <v>FOA</v>
      </c>
      <c r="J230" s="7" t="str">
        <f>IF('Port Bloomberg'!J230="","",'Port Bloomberg'!J230)</f>
        <v>Independ Power Producer</v>
      </c>
      <c r="K230" s="7" t="str">
        <f>IF('Port Bloomberg'!K230="","",'Port Bloomberg'!K230)</f>
        <v>MX</v>
      </c>
      <c r="L230" s="7" t="str">
        <f>IF('Port Bloomberg'!L230="","",'Port Bloomberg'!L230)</f>
        <v>MX</v>
      </c>
      <c r="M230" s="7" t="str">
        <f>IF('Port Bloomberg'!M230="","",'Port Bloomberg'!M230)</f>
        <v>USD</v>
      </c>
      <c r="N230" s="7">
        <f>IF('Port Bloomberg'!N230="","",'Port Bloomberg'!N230)</f>
        <v>1490000</v>
      </c>
      <c r="O230" s="7" t="str">
        <f>IF('Port Bloomberg'!O230="","",'Port Bloomberg'!O230)</f>
        <v>SINGLE</v>
      </c>
      <c r="P230" s="7">
        <f>IF('Port Bloomberg'!P230="","",'Port Bloomberg'!P230)</f>
        <v>7.25</v>
      </c>
      <c r="Q230" s="7" t="str">
        <f>IF('Port Bloomberg'!Q230="","",'Port Bloomberg'!Q230)</f>
        <v>BBB-</v>
      </c>
      <c r="R230" s="7" t="str">
        <f>IF('Port Bloomberg'!R230="","",'Port Bloomberg'!R230)</f>
        <v>01/31/2041</v>
      </c>
      <c r="S230" s="5">
        <f>IF(E230="","",IFERROR(IF(MATCH(E230,[1]Instrumentos!$D:$D,0)&gt;0,1,0),0))</f>
        <v>0</v>
      </c>
      <c r="T230" s="5">
        <f>IF(E230="","",IFERROR(IF(MATCH(E230,'Lista de excepciones'!$E:$E,0)&gt;0,1,0),0))</f>
        <v>1</v>
      </c>
      <c r="U230" s="6" t="str">
        <f t="shared" si="4"/>
        <v>NO</v>
      </c>
    </row>
    <row r="231" spans="1:21" hidden="1" x14ac:dyDescent="0.25">
      <c r="A231" s="7" t="str">
        <f>IF('Port Bloomberg'!A231="","",'Port Bloomberg'!A231)</f>
        <v>FISOMA 4 ⅜ 07/22/31</v>
      </c>
      <c r="B231" s="7" t="str">
        <f>IF('Port Bloomberg'!B231="","",'Port Bloomberg'!B231)</f>
        <v>Fibra SOMA Trust F/6185</v>
      </c>
      <c r="C231" s="7" t="str">
        <f>IF('Port Bloomberg'!C231="","",'Port Bloomberg'!C231)</f>
        <v>FIBRA SOMA 6185</v>
      </c>
      <c r="D231" s="7" t="str">
        <f>IF('Port Bloomberg'!D231="","",'Port Bloomberg'!D231)</f>
        <v>FIBRA SOMA TRUST F/6185</v>
      </c>
      <c r="E231" s="7" t="str">
        <f>IF('Port Bloomberg'!E231="","",'Port Bloomberg'!E231)</f>
        <v>USP26064AA66</v>
      </c>
      <c r="F231" s="7" t="str">
        <f>IF('Port Bloomberg'!F231="","",'Port Bloomberg'!F231)</f>
        <v>FISOMA</v>
      </c>
      <c r="G231" s="7" t="str">
        <f>IF('Port Bloomberg'!G231="","",'Port Bloomberg'!G231)</f>
        <v>SOMA21 MM</v>
      </c>
      <c r="H231" s="7" t="str">
        <f>IF('Port Bloomberg'!H231="","",'Port Bloomberg'!H231)</f>
        <v>REITS</v>
      </c>
      <c r="I231" s="7" t="str">
        <f>IF('Port Bloomberg'!I231="","",'Port Bloomberg'!I231)</f>
        <v>FIN</v>
      </c>
      <c r="J231" s="7" t="str">
        <f>IF('Port Bloomberg'!J231="","",'Port Bloomberg'!J231)</f>
        <v>REITS-Diversified</v>
      </c>
      <c r="K231" s="7" t="str">
        <f>IF('Port Bloomberg'!K231="","",'Port Bloomberg'!K231)</f>
        <v>MX</v>
      </c>
      <c r="L231" s="7" t="str">
        <f>IF('Port Bloomberg'!L231="","",'Port Bloomberg'!L231)</f>
        <v>MX</v>
      </c>
      <c r="M231" s="7" t="str">
        <f>IF('Port Bloomberg'!M231="","",'Port Bloomberg'!M231)</f>
        <v>USD</v>
      </c>
      <c r="N231" s="7">
        <f>IF('Port Bloomberg'!N231="","",'Port Bloomberg'!N231)</f>
        <v>600000</v>
      </c>
      <c r="O231" s="7" t="str">
        <f>IF('Port Bloomberg'!O231="","",'Port Bloomberg'!O231)</f>
        <v>SINGLE</v>
      </c>
      <c r="P231" s="7">
        <f>IF('Port Bloomberg'!P231="","",'Port Bloomberg'!P231)</f>
        <v>4.375</v>
      </c>
      <c r="Q231" s="7" t="str">
        <f>IF('Port Bloomberg'!Q231="","",'Port Bloomberg'!Q231)</f>
        <v>BB+</v>
      </c>
      <c r="R231" s="7" t="str">
        <f>IF('Port Bloomberg'!R231="","",'Port Bloomberg'!R231)</f>
        <v>07/22/2031</v>
      </c>
      <c r="S231" s="5">
        <f>IF(E231="","",IFERROR(IF(MATCH(E231,[1]Instrumentos!$D:$D,0)&gt;0,1,0),0))</f>
        <v>0</v>
      </c>
      <c r="T231" s="5">
        <f>IF(E231="","",IFERROR(IF(MATCH(E231,'Lista de excepciones'!$E:$E,0)&gt;0,1,0),0))</f>
        <v>1</v>
      </c>
      <c r="U231" s="6" t="str">
        <f t="shared" si="4"/>
        <v>NO</v>
      </c>
    </row>
    <row r="232" spans="1:21" hidden="1" x14ac:dyDescent="0.25">
      <c r="A232" s="7" t="str">
        <f>IF('Port Bloomberg'!A232="","",'Port Bloomberg'!A232)</f>
        <v>FISOMA 7 ⅛ 05/28/36</v>
      </c>
      <c r="B232" s="7" t="str">
        <f>IF('Port Bloomberg'!B232="","",'Port Bloomberg'!B232)</f>
        <v>Fibra SOMA Trust F/6185</v>
      </c>
      <c r="C232" s="7" t="str">
        <f>IF('Port Bloomberg'!C232="","",'Port Bloomberg'!C232)</f>
        <v>FIBRA SOMA 6185</v>
      </c>
      <c r="D232" s="7" t="str">
        <f>IF('Port Bloomberg'!D232="","",'Port Bloomberg'!D232)</f>
        <v>FIBRA SOMA TRUST F/6185</v>
      </c>
      <c r="E232" s="7" t="str">
        <f>IF('Port Bloomberg'!E232="","",'Port Bloomberg'!E232)</f>
        <v>USP3990QAA96</v>
      </c>
      <c r="F232" s="7" t="str">
        <f>IF('Port Bloomberg'!F232="","",'Port Bloomberg'!F232)</f>
        <v>FISOMA</v>
      </c>
      <c r="G232" s="7" t="str">
        <f>IF('Port Bloomberg'!G232="","",'Port Bloomberg'!G232)</f>
        <v>SOMA21 MM</v>
      </c>
      <c r="H232" s="7" t="str">
        <f>IF('Port Bloomberg'!H232="","",'Port Bloomberg'!H232)</f>
        <v>REITS</v>
      </c>
      <c r="I232" s="7" t="str">
        <f>IF('Port Bloomberg'!I232="","",'Port Bloomberg'!I232)</f>
        <v>FIN</v>
      </c>
      <c r="J232" s="7" t="str">
        <f>IF('Port Bloomberg'!J232="","",'Port Bloomberg'!J232)</f>
        <v>REITS-Diversified</v>
      </c>
      <c r="K232" s="7" t="str">
        <f>IF('Port Bloomberg'!K232="","",'Port Bloomberg'!K232)</f>
        <v>MX</v>
      </c>
      <c r="L232" s="7" t="str">
        <f>IF('Port Bloomberg'!L232="","",'Port Bloomberg'!L232)</f>
        <v>MX</v>
      </c>
      <c r="M232" s="7" t="str">
        <f>IF('Port Bloomberg'!M232="","",'Port Bloomberg'!M232)</f>
        <v>USD</v>
      </c>
      <c r="N232" s="7">
        <f>IF('Port Bloomberg'!N232="","",'Port Bloomberg'!N232)</f>
        <v>800000</v>
      </c>
      <c r="O232" s="7" t="str">
        <f>IF('Port Bloomberg'!O232="","",'Port Bloomberg'!O232)</f>
        <v>SINGLE</v>
      </c>
      <c r="P232" s="7">
        <f>IF('Port Bloomberg'!P232="","",'Port Bloomberg'!P232)</f>
        <v>7.125</v>
      </c>
      <c r="Q232" s="7" t="str">
        <f>IF('Port Bloomberg'!Q232="","",'Port Bloomberg'!Q232)</f>
        <v>BB+</v>
      </c>
      <c r="R232" s="7" t="str">
        <f>IF('Port Bloomberg'!R232="","",'Port Bloomberg'!R232)</f>
        <v>05/28/2036</v>
      </c>
      <c r="S232" s="5">
        <f>IF(E232="","",IFERROR(IF(MATCH(E232,[1]Instrumentos!$D:$D,0)&gt;0,1,0),0))</f>
        <v>0</v>
      </c>
      <c r="T232" s="5">
        <f>IF(E232="","",IFERROR(IF(MATCH(E232,'Lista de excepciones'!$E:$E,0)&gt;0,1,0),0))</f>
        <v>1</v>
      </c>
      <c r="U232" s="6" t="str">
        <f t="shared" si="4"/>
        <v>NO</v>
      </c>
    </row>
    <row r="233" spans="1:21" hidden="1" x14ac:dyDescent="0.25">
      <c r="A233" s="7" t="str">
        <f>IF('Port Bloomberg'!A233="","",'Port Bloomberg'!A233)</f>
        <v>FRESLN 4 ¼ 10/02/50</v>
      </c>
      <c r="B233" s="7" t="str">
        <f>IF('Port Bloomberg'!B233="","",'Port Bloomberg'!B233)</f>
        <v>Fresnillo PLC</v>
      </c>
      <c r="C233" s="7" t="str">
        <f>IF('Port Bloomberg'!C233="","",'Port Bloomberg'!C233)</f>
        <v>FRESNILLO PLC</v>
      </c>
      <c r="D233" s="7" t="str">
        <f>IF('Port Bloomberg'!D233="","",'Port Bloomberg'!D233)</f>
        <v>FRESNILLO PLC</v>
      </c>
      <c r="E233" s="7" t="str">
        <f>IF('Port Bloomberg'!E233="","",'Port Bloomberg'!E233)</f>
        <v>USG371E72B25</v>
      </c>
      <c r="F233" s="7" t="str">
        <f>IF('Port Bloomberg'!F233="","",'Port Bloomberg'!F233)</f>
        <v>FRESLN</v>
      </c>
      <c r="G233" s="7" t="str">
        <f>IF('Port Bloomberg'!G233="","",'Port Bloomberg'!G233)</f>
        <v>FRES LN</v>
      </c>
      <c r="H233" s="7" t="str">
        <f>IF('Port Bloomberg'!H233="","",'Port Bloomberg'!H233)</f>
        <v>Mining</v>
      </c>
      <c r="I233" s="7" t="str">
        <f>IF('Port Bloomberg'!I233="","",'Port Bloomberg'!I233)</f>
        <v>IND</v>
      </c>
      <c r="J233" s="7" t="str">
        <f>IF('Port Bloomberg'!J233="","",'Port Bloomberg'!J233)</f>
        <v>Silver Mining</v>
      </c>
      <c r="K233" s="7" t="str">
        <f>IF('Port Bloomberg'!K233="","",'Port Bloomberg'!K233)</f>
        <v>MX</v>
      </c>
      <c r="L233" s="7" t="str">
        <f>IF('Port Bloomberg'!L233="","",'Port Bloomberg'!L233)</f>
        <v>MX</v>
      </c>
      <c r="M233" s="7" t="str">
        <f>IF('Port Bloomberg'!M233="","",'Port Bloomberg'!M233)</f>
        <v>USD</v>
      </c>
      <c r="N233" s="7">
        <f>IF('Port Bloomberg'!N233="","",'Port Bloomberg'!N233)</f>
        <v>850000</v>
      </c>
      <c r="O233" s="7" t="str">
        <f>IF('Port Bloomberg'!O233="","",'Port Bloomberg'!O233)</f>
        <v>SINGLE</v>
      </c>
      <c r="P233" s="7">
        <f>IF('Port Bloomberg'!P233="","",'Port Bloomberg'!P233)</f>
        <v>4.25</v>
      </c>
      <c r="Q233" s="7" t="str">
        <f>IF('Port Bloomberg'!Q233="","",'Port Bloomberg'!Q233)</f>
        <v>BBB</v>
      </c>
      <c r="R233" s="7" t="str">
        <f>IF('Port Bloomberg'!R233="","",'Port Bloomberg'!R233)</f>
        <v>10/02/2050</v>
      </c>
      <c r="S233" s="5">
        <f>IF(E233="","",IFERROR(IF(MATCH(E233,[1]Instrumentos!$D:$D,0)&gt;0,1,0),0))</f>
        <v>1</v>
      </c>
      <c r="T233" s="5">
        <f>IF(E233="","",IFERROR(IF(MATCH(E233,'Lista de excepciones'!$E:$E,0)&gt;0,1,0),0))</f>
        <v>0</v>
      </c>
      <c r="U233" s="6" t="str">
        <f t="shared" si="4"/>
        <v>NO</v>
      </c>
    </row>
    <row r="234" spans="1:21" hidden="1" x14ac:dyDescent="0.25">
      <c r="A234" s="7" t="str">
        <f>IF('Port Bloomberg'!A234="","",'Port Bloomberg'!A234)</f>
        <v>FSBIOE 8 ⅛ 02/11/36</v>
      </c>
      <c r="B234" s="7" t="str">
        <f>IF('Port Bloomberg'!B234="","",'Port Bloomberg'!B234)</f>
        <v>FS Luxembourg Sarl</v>
      </c>
      <c r="C234" s="7" t="str">
        <f>IF('Port Bloomberg'!C234="","",'Port Bloomberg'!C234)</f>
        <v>FS LUX SARL</v>
      </c>
      <c r="D234" s="7" t="str">
        <f>IF('Port Bloomberg'!D234="","",'Port Bloomberg'!D234)</f>
        <v>FS LUXEMBOURG SARL</v>
      </c>
      <c r="E234" s="7" t="str">
        <f>IF('Port Bloomberg'!E234="","",'Port Bloomberg'!E234)</f>
        <v>USL40756AH88</v>
      </c>
      <c r="F234" s="7" t="str">
        <f>IF('Port Bloomberg'!F234="","",'Port Bloomberg'!F234)</f>
        <v>FSBIOE</v>
      </c>
      <c r="G234" s="7" t="str">
        <f>IF('Port Bloomberg'!G234="","",'Port Bloomberg'!G234)</f>
        <v>1833273D BZ</v>
      </c>
      <c r="H234" s="7" t="str">
        <f>IF('Port Bloomberg'!H234="","",'Port Bloomberg'!H234)</f>
        <v>Energy-Alternate Sources</v>
      </c>
      <c r="I234" s="7" t="str">
        <f>IF('Port Bloomberg'!I234="","",'Port Bloomberg'!I234)</f>
        <v>IND</v>
      </c>
      <c r="J234" s="7" t="str">
        <f>IF('Port Bloomberg'!J234="","",'Port Bloomberg'!J234)</f>
        <v>Energy-Alternate Sources</v>
      </c>
      <c r="K234" s="7" t="str">
        <f>IF('Port Bloomberg'!K234="","",'Port Bloomberg'!K234)</f>
        <v>LU</v>
      </c>
      <c r="L234" s="7" t="str">
        <f>IF('Port Bloomberg'!L234="","",'Port Bloomberg'!L234)</f>
        <v>BR</v>
      </c>
      <c r="M234" s="7" t="str">
        <f>IF('Port Bloomberg'!M234="","",'Port Bloomberg'!M234)</f>
        <v>USD</v>
      </c>
      <c r="N234" s="7">
        <f>IF('Port Bloomberg'!N234="","",'Port Bloomberg'!N234)</f>
        <v>500000</v>
      </c>
      <c r="O234" s="7" t="str">
        <f>IF('Port Bloomberg'!O234="","",'Port Bloomberg'!O234)</f>
        <v>SINGLE</v>
      </c>
      <c r="P234" s="7">
        <f>IF('Port Bloomberg'!P234="","",'Port Bloomberg'!P234)</f>
        <v>8.125</v>
      </c>
      <c r="Q234" s="7" t="str">
        <f>IF('Port Bloomberg'!Q234="","",'Port Bloomberg'!Q234)</f>
        <v>B+</v>
      </c>
      <c r="R234" s="7" t="str">
        <f>IF('Port Bloomberg'!R234="","",'Port Bloomberg'!R234)</f>
        <v>02/11/2036</v>
      </c>
      <c r="S234" s="5">
        <f>IF(E234="","",IFERROR(IF(MATCH(E234,[1]Instrumentos!$D:$D,0)&gt;0,1,0),0))</f>
        <v>0</v>
      </c>
      <c r="T234" s="5">
        <f>IF(E234="","",IFERROR(IF(MATCH(E234,'Lista de excepciones'!$E:$E,0)&gt;0,1,0),0))</f>
        <v>1</v>
      </c>
      <c r="U234" s="6" t="str">
        <f t="shared" si="4"/>
        <v>NO</v>
      </c>
    </row>
    <row r="235" spans="1:21" hidden="1" x14ac:dyDescent="0.25">
      <c r="A235" s="7" t="str">
        <f>IF('Port Bloomberg'!A235="","",'Port Bloomberg'!A235)</f>
        <v>FSBIOE 8 ⅝ 06/25/33</v>
      </c>
      <c r="B235" s="7" t="str">
        <f>IF('Port Bloomberg'!B235="","",'Port Bloomberg'!B235)</f>
        <v>FS Luxembourg Sarl</v>
      </c>
      <c r="C235" s="7" t="str">
        <f>IF('Port Bloomberg'!C235="","",'Port Bloomberg'!C235)</f>
        <v>FS LUX SARL</v>
      </c>
      <c r="D235" s="7" t="str">
        <f>IF('Port Bloomberg'!D235="","",'Port Bloomberg'!D235)</f>
        <v>FS LUXEMBOURG SARL</v>
      </c>
      <c r="E235" s="7" t="str">
        <f>IF('Port Bloomberg'!E235="","",'Port Bloomberg'!E235)</f>
        <v>USL40756AG06</v>
      </c>
      <c r="F235" s="7" t="str">
        <f>IF('Port Bloomberg'!F235="","",'Port Bloomberg'!F235)</f>
        <v>FSBIOE</v>
      </c>
      <c r="G235" s="7" t="str">
        <f>IF('Port Bloomberg'!G235="","",'Port Bloomberg'!G235)</f>
        <v>1833273D BZ</v>
      </c>
      <c r="H235" s="7" t="str">
        <f>IF('Port Bloomberg'!H235="","",'Port Bloomberg'!H235)</f>
        <v>Energy-Alternate Sources</v>
      </c>
      <c r="I235" s="7" t="str">
        <f>IF('Port Bloomberg'!I235="","",'Port Bloomberg'!I235)</f>
        <v>IND</v>
      </c>
      <c r="J235" s="7" t="str">
        <f>IF('Port Bloomberg'!J235="","",'Port Bloomberg'!J235)</f>
        <v>Energy-Alternate Sources</v>
      </c>
      <c r="K235" s="7" t="str">
        <f>IF('Port Bloomberg'!K235="","",'Port Bloomberg'!K235)</f>
        <v>LU</v>
      </c>
      <c r="L235" s="7" t="str">
        <f>IF('Port Bloomberg'!L235="","",'Port Bloomberg'!L235)</f>
        <v>BR</v>
      </c>
      <c r="M235" s="7" t="str">
        <f>IF('Port Bloomberg'!M235="","",'Port Bloomberg'!M235)</f>
        <v>USD</v>
      </c>
      <c r="N235" s="7">
        <f>IF('Port Bloomberg'!N235="","",'Port Bloomberg'!N235)</f>
        <v>500000</v>
      </c>
      <c r="O235" s="7" t="str">
        <f>IF('Port Bloomberg'!O235="","",'Port Bloomberg'!O235)</f>
        <v>SINGLE</v>
      </c>
      <c r="P235" s="7">
        <f>IF('Port Bloomberg'!P235="","",'Port Bloomberg'!P235)</f>
        <v>8.625</v>
      </c>
      <c r="Q235" s="7" t="str">
        <f>IF('Port Bloomberg'!Q235="","",'Port Bloomberg'!Q235)</f>
        <v>B+</v>
      </c>
      <c r="R235" s="7" t="str">
        <f>IF('Port Bloomberg'!R235="","",'Port Bloomberg'!R235)</f>
        <v>06/25/2033</v>
      </c>
      <c r="S235" s="5">
        <f>IF(E235="","",IFERROR(IF(MATCH(E235,[1]Instrumentos!$D:$D,0)&gt;0,1,0),0))</f>
        <v>0</v>
      </c>
      <c r="T235" s="5">
        <f>IF(E235="","",IFERROR(IF(MATCH(E235,'Lista de excepciones'!$E:$E,0)&gt;0,1,0),0))</f>
        <v>1</v>
      </c>
      <c r="U235" s="6" t="str">
        <f t="shared" si="4"/>
        <v>NO</v>
      </c>
    </row>
    <row r="236" spans="1:21" hidden="1" x14ac:dyDescent="0.25">
      <c r="A236" s="7" t="str">
        <f>IF('Port Bloomberg'!A236="","",'Port Bloomberg'!A236)</f>
        <v>FSBIOE 8 ⅞ 02/12/31</v>
      </c>
      <c r="B236" s="7" t="str">
        <f>IF('Port Bloomberg'!B236="","",'Port Bloomberg'!B236)</f>
        <v>FS Luxembourg Sarl</v>
      </c>
      <c r="C236" s="7" t="str">
        <f>IF('Port Bloomberg'!C236="","",'Port Bloomberg'!C236)</f>
        <v>FS LUX SARL</v>
      </c>
      <c r="D236" s="7" t="str">
        <f>IF('Port Bloomberg'!D236="","",'Port Bloomberg'!D236)</f>
        <v>FS LUXEMBOURG SARL</v>
      </c>
      <c r="E236" s="7" t="str">
        <f>IF('Port Bloomberg'!E236="","",'Port Bloomberg'!E236)</f>
        <v>USL40756AE57</v>
      </c>
      <c r="F236" s="7" t="str">
        <f>IF('Port Bloomberg'!F236="","",'Port Bloomberg'!F236)</f>
        <v>FSBIOE</v>
      </c>
      <c r="G236" s="7" t="str">
        <f>IF('Port Bloomberg'!G236="","",'Port Bloomberg'!G236)</f>
        <v>1833273D BZ</v>
      </c>
      <c r="H236" s="7" t="str">
        <f>IF('Port Bloomberg'!H236="","",'Port Bloomberg'!H236)</f>
        <v>Energy-Alternate Sources</v>
      </c>
      <c r="I236" s="7" t="str">
        <f>IF('Port Bloomberg'!I236="","",'Port Bloomberg'!I236)</f>
        <v>IND</v>
      </c>
      <c r="J236" s="7" t="str">
        <f>IF('Port Bloomberg'!J236="","",'Port Bloomberg'!J236)</f>
        <v>Energy-Alternate Sources</v>
      </c>
      <c r="K236" s="7" t="str">
        <f>IF('Port Bloomberg'!K236="","",'Port Bloomberg'!K236)</f>
        <v>LU</v>
      </c>
      <c r="L236" s="7" t="str">
        <f>IF('Port Bloomberg'!L236="","",'Port Bloomberg'!L236)</f>
        <v>BR</v>
      </c>
      <c r="M236" s="7" t="str">
        <f>IF('Port Bloomberg'!M236="","",'Port Bloomberg'!M236)</f>
        <v>USD</v>
      </c>
      <c r="N236" s="7">
        <f>IF('Port Bloomberg'!N236="","",'Port Bloomberg'!N236)</f>
        <v>600000</v>
      </c>
      <c r="O236" s="7" t="str">
        <f>IF('Port Bloomberg'!O236="","",'Port Bloomberg'!O236)</f>
        <v>SINGLE</v>
      </c>
      <c r="P236" s="7">
        <f>IF('Port Bloomberg'!P236="","",'Port Bloomberg'!P236)</f>
        <v>8.875</v>
      </c>
      <c r="Q236" s="7" t="str">
        <f>IF('Port Bloomberg'!Q236="","",'Port Bloomberg'!Q236)</f>
        <v>B+</v>
      </c>
      <c r="R236" s="7" t="str">
        <f>IF('Port Bloomberg'!R236="","",'Port Bloomberg'!R236)</f>
        <v>02/12/2031</v>
      </c>
      <c r="S236" s="5">
        <f>IF(E236="","",IFERROR(IF(MATCH(E236,[1]Instrumentos!$D:$D,0)&gt;0,1,0),0))</f>
        <v>0</v>
      </c>
      <c r="T236" s="5">
        <f>IF(E236="","",IFERROR(IF(MATCH(E236,'Lista de excepciones'!$E:$E,0)&gt;0,1,0),0))</f>
        <v>1</v>
      </c>
      <c r="U236" s="6" t="str">
        <f t="shared" si="4"/>
        <v>NO</v>
      </c>
    </row>
    <row r="237" spans="1:21" hidden="1" x14ac:dyDescent="0.25">
      <c r="A237" s="7" t="str">
        <f>IF('Port Bloomberg'!A237="","",'Port Bloomberg'!A237)</f>
        <v>FUNOTR 4.869 01/15/30</v>
      </c>
      <c r="B237" s="7" t="str">
        <f>IF('Port Bloomberg'!B237="","",'Port Bloomberg'!B237)</f>
        <v>Trust Fibra Uno</v>
      </c>
      <c r="C237" s="7" t="str">
        <f>IF('Port Bloomberg'!C237="","",'Port Bloomberg'!C237)</f>
        <v>TRUST FIBRA1</v>
      </c>
      <c r="D237" s="7" t="str">
        <f>IF('Port Bloomberg'!D237="","",'Port Bloomberg'!D237)</f>
        <v>TRUST FIBRAUNO</v>
      </c>
      <c r="E237" s="7" t="str">
        <f>IF('Port Bloomberg'!E237="","",'Port Bloomberg'!E237)</f>
        <v>USP9401CAA01</v>
      </c>
      <c r="F237" s="7" t="str">
        <f>IF('Port Bloomberg'!F237="","",'Port Bloomberg'!F237)</f>
        <v>FUNOTR</v>
      </c>
      <c r="G237" s="7" t="str">
        <f>IF('Port Bloomberg'!G237="","",'Port Bloomberg'!G237)</f>
        <v>0943974D MM</v>
      </c>
      <c r="H237" s="7" t="str">
        <f>IF('Port Bloomberg'!H237="","",'Port Bloomberg'!H237)</f>
        <v>REITS</v>
      </c>
      <c r="I237" s="7" t="str">
        <f>IF('Port Bloomberg'!I237="","",'Port Bloomberg'!I237)</f>
        <v>FIN</v>
      </c>
      <c r="J237" s="7" t="str">
        <f>IF('Port Bloomberg'!J237="","",'Port Bloomberg'!J237)</f>
        <v>REITS-Diversified</v>
      </c>
      <c r="K237" s="7" t="str">
        <f>IF('Port Bloomberg'!K237="","",'Port Bloomberg'!K237)</f>
        <v>MX</v>
      </c>
      <c r="L237" s="7" t="str">
        <f>IF('Port Bloomberg'!L237="","",'Port Bloomberg'!L237)</f>
        <v>MX</v>
      </c>
      <c r="M237" s="7" t="str">
        <f>IF('Port Bloomberg'!M237="","",'Port Bloomberg'!M237)</f>
        <v>USD</v>
      </c>
      <c r="N237" s="7">
        <f>IF('Port Bloomberg'!N237="","",'Port Bloomberg'!N237)</f>
        <v>775000</v>
      </c>
      <c r="O237" s="7" t="str">
        <f>IF('Port Bloomberg'!O237="","",'Port Bloomberg'!O237)</f>
        <v>SINGLE</v>
      </c>
      <c r="P237" s="7">
        <f>IF('Port Bloomberg'!P237="","",'Port Bloomberg'!P237)</f>
        <v>4.8689999999999998</v>
      </c>
      <c r="Q237" s="7" t="str">
        <f>IF('Port Bloomberg'!Q237="","",'Port Bloomberg'!Q237)</f>
        <v>BBB-</v>
      </c>
      <c r="R237" s="7" t="str">
        <f>IF('Port Bloomberg'!R237="","",'Port Bloomberg'!R237)</f>
        <v>01/15/2030</v>
      </c>
      <c r="S237" s="5">
        <f>IF(E237="","",IFERROR(IF(MATCH(E237,[1]Instrumentos!$D:$D,0)&gt;0,1,0),0))</f>
        <v>1</v>
      </c>
      <c r="T237" s="5">
        <f>IF(E237="","",IFERROR(IF(MATCH(E237,'Lista de excepciones'!$E:$E,0)&gt;0,1,0),0))</f>
        <v>0</v>
      </c>
      <c r="U237" s="6" t="str">
        <f t="shared" si="4"/>
        <v>NO</v>
      </c>
    </row>
    <row r="238" spans="1:21" hidden="1" x14ac:dyDescent="0.25">
      <c r="A238" s="7" t="str">
        <f>IF('Port Bloomberg'!A238="","",'Port Bloomberg'!A238)</f>
        <v>FUNOTR 6.39 01/15/50</v>
      </c>
      <c r="B238" s="7" t="str">
        <f>IF('Port Bloomberg'!B238="","",'Port Bloomberg'!B238)</f>
        <v>Trust Fibra Uno</v>
      </c>
      <c r="C238" s="7" t="str">
        <f>IF('Port Bloomberg'!C238="","",'Port Bloomberg'!C238)</f>
        <v>TRUST FIBRA1</v>
      </c>
      <c r="D238" s="7" t="str">
        <f>IF('Port Bloomberg'!D238="","",'Port Bloomberg'!D238)</f>
        <v>TRUST FIBRAUNO</v>
      </c>
      <c r="E238" s="7" t="str">
        <f>IF('Port Bloomberg'!E238="","",'Port Bloomberg'!E238)</f>
        <v>USP9401CAB83</v>
      </c>
      <c r="F238" s="7" t="str">
        <f>IF('Port Bloomberg'!F238="","",'Port Bloomberg'!F238)</f>
        <v>FUNOTR</v>
      </c>
      <c r="G238" s="7" t="str">
        <f>IF('Port Bloomberg'!G238="","",'Port Bloomberg'!G238)</f>
        <v>0943974D MM</v>
      </c>
      <c r="H238" s="7" t="str">
        <f>IF('Port Bloomberg'!H238="","",'Port Bloomberg'!H238)</f>
        <v>REITS</v>
      </c>
      <c r="I238" s="7" t="str">
        <f>IF('Port Bloomberg'!I238="","",'Port Bloomberg'!I238)</f>
        <v>FIN</v>
      </c>
      <c r="J238" s="7" t="str">
        <f>IF('Port Bloomberg'!J238="","",'Port Bloomberg'!J238)</f>
        <v>REITS-Diversified</v>
      </c>
      <c r="K238" s="7" t="str">
        <f>IF('Port Bloomberg'!K238="","",'Port Bloomberg'!K238)</f>
        <v>MX</v>
      </c>
      <c r="L238" s="7" t="str">
        <f>IF('Port Bloomberg'!L238="","",'Port Bloomberg'!L238)</f>
        <v>MX</v>
      </c>
      <c r="M238" s="7" t="str">
        <f>IF('Port Bloomberg'!M238="","",'Port Bloomberg'!M238)</f>
        <v>USD</v>
      </c>
      <c r="N238" s="7">
        <f>IF('Port Bloomberg'!N238="","",'Port Bloomberg'!N238)</f>
        <v>875000</v>
      </c>
      <c r="O238" s="7" t="str">
        <f>IF('Port Bloomberg'!O238="","",'Port Bloomberg'!O238)</f>
        <v>SINGLE</v>
      </c>
      <c r="P238" s="7">
        <f>IF('Port Bloomberg'!P238="","",'Port Bloomberg'!P238)</f>
        <v>6.39</v>
      </c>
      <c r="Q238" s="7" t="str">
        <f>IF('Port Bloomberg'!Q238="","",'Port Bloomberg'!Q238)</f>
        <v>BBB-</v>
      </c>
      <c r="R238" s="7" t="str">
        <f>IF('Port Bloomberg'!R238="","",'Port Bloomberg'!R238)</f>
        <v>01/15/2050</v>
      </c>
      <c r="S238" s="5">
        <f>IF(E238="","",IFERROR(IF(MATCH(E238,[1]Instrumentos!$D:$D,0)&gt;0,1,0),0))</f>
        <v>1</v>
      </c>
      <c r="T238" s="5">
        <f>IF(E238="","",IFERROR(IF(MATCH(E238,'Lista de excepciones'!$E:$E,0)&gt;0,1,0),0))</f>
        <v>0</v>
      </c>
      <c r="U238" s="6" t="str">
        <f t="shared" si="4"/>
        <v>NO</v>
      </c>
    </row>
    <row r="239" spans="1:21" hidden="1" x14ac:dyDescent="0.25">
      <c r="A239" s="7" t="str">
        <f>IF('Port Bloomberg'!A239="","",'Port Bloomberg'!A239)</f>
        <v>FUNOTR 6.95 01/30/44</v>
      </c>
      <c r="B239" s="7" t="str">
        <f>IF('Port Bloomberg'!B239="","",'Port Bloomberg'!B239)</f>
        <v>Trust Fibra Uno</v>
      </c>
      <c r="C239" s="7" t="str">
        <f>IF('Port Bloomberg'!C239="","",'Port Bloomberg'!C239)</f>
        <v>TRUST F/1401</v>
      </c>
      <c r="D239" s="7" t="str">
        <f>IF('Port Bloomberg'!D239="","",'Port Bloomberg'!D239)</f>
        <v>TRUST FIBRAUNO</v>
      </c>
      <c r="E239" s="7" t="str">
        <f>IF('Port Bloomberg'!E239="","",'Port Bloomberg'!E239)</f>
        <v>USP9406GAB43</v>
      </c>
      <c r="F239" s="7" t="str">
        <f>IF('Port Bloomberg'!F239="","",'Port Bloomberg'!F239)</f>
        <v>FUNOTR</v>
      </c>
      <c r="G239" s="7" t="str">
        <f>IF('Port Bloomberg'!G239="","",'Port Bloomberg'!G239)</f>
        <v>0943974D MM</v>
      </c>
      <c r="H239" s="7" t="str">
        <f>IF('Port Bloomberg'!H239="","",'Port Bloomberg'!H239)</f>
        <v>REITS</v>
      </c>
      <c r="I239" s="7" t="str">
        <f>IF('Port Bloomberg'!I239="","",'Port Bloomberg'!I239)</f>
        <v>FIN</v>
      </c>
      <c r="J239" s="7" t="str">
        <f>IF('Port Bloomberg'!J239="","",'Port Bloomberg'!J239)</f>
        <v>REITS-Diversified</v>
      </c>
      <c r="K239" s="7" t="str">
        <f>IF('Port Bloomberg'!K239="","",'Port Bloomberg'!K239)</f>
        <v>MX</v>
      </c>
      <c r="L239" s="7" t="str">
        <f>IF('Port Bloomberg'!L239="","",'Port Bloomberg'!L239)</f>
        <v>MX</v>
      </c>
      <c r="M239" s="7" t="str">
        <f>IF('Port Bloomberg'!M239="","",'Port Bloomberg'!M239)</f>
        <v>USD</v>
      </c>
      <c r="N239" s="7">
        <f>IF('Port Bloomberg'!N239="","",'Port Bloomberg'!N239)</f>
        <v>700000</v>
      </c>
      <c r="O239" s="7" t="str">
        <f>IF('Port Bloomberg'!O239="","",'Port Bloomberg'!O239)</f>
        <v>SINGLE</v>
      </c>
      <c r="P239" s="7">
        <f>IF('Port Bloomberg'!P239="","",'Port Bloomberg'!P239)</f>
        <v>6.95</v>
      </c>
      <c r="Q239" s="7" t="str">
        <f>IF('Port Bloomberg'!Q239="","",'Port Bloomberg'!Q239)</f>
        <v>BBB-</v>
      </c>
      <c r="R239" s="7" t="str">
        <f>IF('Port Bloomberg'!R239="","",'Port Bloomberg'!R239)</f>
        <v>01/30/2044</v>
      </c>
      <c r="S239" s="5">
        <f>IF(E239="","",IFERROR(IF(MATCH(E239,[1]Instrumentos!$D:$D,0)&gt;0,1,0),0))</f>
        <v>1</v>
      </c>
      <c r="T239" s="5">
        <f>IF(E239="","",IFERROR(IF(MATCH(E239,'Lista de excepciones'!$E:$E,0)&gt;0,1,0),0))</f>
        <v>0</v>
      </c>
      <c r="U239" s="6" t="str">
        <f t="shared" si="4"/>
        <v>NO</v>
      </c>
    </row>
    <row r="240" spans="1:21" hidden="1" x14ac:dyDescent="0.25">
      <c r="A240" s="7" t="str">
        <f>IF('Port Bloomberg'!A240="","",'Port Bloomberg'!A240)</f>
        <v>FUNOTR 7 ⅜ 02/13/34</v>
      </c>
      <c r="B240" s="7" t="str">
        <f>IF('Port Bloomberg'!B240="","",'Port Bloomberg'!B240)</f>
        <v>Trust Fibra Uno</v>
      </c>
      <c r="C240" s="7" t="str">
        <f>IF('Port Bloomberg'!C240="","",'Port Bloomberg'!C240)</f>
        <v>TRUST FIBRA1</v>
      </c>
      <c r="D240" s="7" t="str">
        <f>IF('Port Bloomberg'!D240="","",'Port Bloomberg'!D240)</f>
        <v>TRUST FIBRAUNO</v>
      </c>
      <c r="E240" s="7" t="str">
        <f>IF('Port Bloomberg'!E240="","",'Port Bloomberg'!E240)</f>
        <v>USP9401JAA53</v>
      </c>
      <c r="F240" s="7" t="str">
        <f>IF('Port Bloomberg'!F240="","",'Port Bloomberg'!F240)</f>
        <v>FUNOTR</v>
      </c>
      <c r="G240" s="7" t="str">
        <f>IF('Port Bloomberg'!G240="","",'Port Bloomberg'!G240)</f>
        <v>0943974D MM</v>
      </c>
      <c r="H240" s="7" t="str">
        <f>IF('Port Bloomberg'!H240="","",'Port Bloomberg'!H240)</f>
        <v>REITS</v>
      </c>
      <c r="I240" s="7" t="str">
        <f>IF('Port Bloomberg'!I240="","",'Port Bloomberg'!I240)</f>
        <v>FIN</v>
      </c>
      <c r="J240" s="7" t="str">
        <f>IF('Port Bloomberg'!J240="","",'Port Bloomberg'!J240)</f>
        <v>REITS-Diversified</v>
      </c>
      <c r="K240" s="7" t="str">
        <f>IF('Port Bloomberg'!K240="","",'Port Bloomberg'!K240)</f>
        <v>MX</v>
      </c>
      <c r="L240" s="7" t="str">
        <f>IF('Port Bloomberg'!L240="","",'Port Bloomberg'!L240)</f>
        <v>MX</v>
      </c>
      <c r="M240" s="7" t="str">
        <f>IF('Port Bloomberg'!M240="","",'Port Bloomberg'!M240)</f>
        <v>USD</v>
      </c>
      <c r="N240" s="7">
        <f>IF('Port Bloomberg'!N240="","",'Port Bloomberg'!N240)</f>
        <v>600000</v>
      </c>
      <c r="O240" s="7" t="str">
        <f>IF('Port Bloomberg'!O240="","",'Port Bloomberg'!O240)</f>
        <v>SINGLE</v>
      </c>
      <c r="P240" s="7">
        <f>IF('Port Bloomberg'!P240="","",'Port Bloomberg'!P240)</f>
        <v>7.375</v>
      </c>
      <c r="Q240" s="7" t="str">
        <f>IF('Port Bloomberg'!Q240="","",'Port Bloomberg'!Q240)</f>
        <v>BBB-</v>
      </c>
      <c r="R240" s="7" t="str">
        <f>IF('Port Bloomberg'!R240="","",'Port Bloomberg'!R240)</f>
        <v>02/13/2034</v>
      </c>
      <c r="S240" s="5">
        <f>IF(E240="","",IFERROR(IF(MATCH(E240,[1]Instrumentos!$D:$D,0)&gt;0,1,0),0))</f>
        <v>1</v>
      </c>
      <c r="T240" s="5">
        <f>IF(E240="","",IFERROR(IF(MATCH(E240,'Lista de excepciones'!$E:$E,0)&gt;0,1,0),0))</f>
        <v>0</v>
      </c>
      <c r="U240" s="6" t="str">
        <f t="shared" si="4"/>
        <v>NO</v>
      </c>
    </row>
    <row r="241" spans="1:21" hidden="1" x14ac:dyDescent="0.25">
      <c r="A241" s="7" t="str">
        <f>IF('Port Bloomberg'!A241="","",'Port Bloomberg'!A241)</f>
        <v>FUNOTR 7.7 01/23/32</v>
      </c>
      <c r="B241" s="7" t="str">
        <f>IF('Port Bloomberg'!B241="","",'Port Bloomberg'!B241)</f>
        <v>Trust Fibra Uno</v>
      </c>
      <c r="C241" s="7" t="str">
        <f>IF('Port Bloomberg'!C241="","",'Port Bloomberg'!C241)</f>
        <v>TRUST FIBRA1</v>
      </c>
      <c r="D241" s="7" t="str">
        <f>IF('Port Bloomberg'!D241="","",'Port Bloomberg'!D241)</f>
        <v>TRUST FIBRAUNO</v>
      </c>
      <c r="E241" s="7" t="str">
        <f>IF('Port Bloomberg'!E241="","",'Port Bloomberg'!E241)</f>
        <v>USP9401JAB37</v>
      </c>
      <c r="F241" s="7" t="str">
        <f>IF('Port Bloomberg'!F241="","",'Port Bloomberg'!F241)</f>
        <v>FUNOTR</v>
      </c>
      <c r="G241" s="7" t="str">
        <f>IF('Port Bloomberg'!G241="","",'Port Bloomberg'!G241)</f>
        <v>0943974D MM</v>
      </c>
      <c r="H241" s="7" t="str">
        <f>IF('Port Bloomberg'!H241="","",'Port Bloomberg'!H241)</f>
        <v>REITS</v>
      </c>
      <c r="I241" s="7" t="str">
        <f>IF('Port Bloomberg'!I241="","",'Port Bloomberg'!I241)</f>
        <v>FIN</v>
      </c>
      <c r="J241" s="7" t="str">
        <f>IF('Port Bloomberg'!J241="","",'Port Bloomberg'!J241)</f>
        <v>REITS-Diversified</v>
      </c>
      <c r="K241" s="7" t="str">
        <f>IF('Port Bloomberg'!K241="","",'Port Bloomberg'!K241)</f>
        <v>MX</v>
      </c>
      <c r="L241" s="7" t="str">
        <f>IF('Port Bloomberg'!L241="","",'Port Bloomberg'!L241)</f>
        <v>MX</v>
      </c>
      <c r="M241" s="7" t="str">
        <f>IF('Port Bloomberg'!M241="","",'Port Bloomberg'!M241)</f>
        <v>USD</v>
      </c>
      <c r="N241" s="7">
        <f>IF('Port Bloomberg'!N241="","",'Port Bloomberg'!N241)</f>
        <v>500000</v>
      </c>
      <c r="O241" s="7" t="str">
        <f>IF('Port Bloomberg'!O241="","",'Port Bloomberg'!O241)</f>
        <v>SINGLE</v>
      </c>
      <c r="P241" s="7">
        <f>IF('Port Bloomberg'!P241="","",'Port Bloomberg'!P241)</f>
        <v>7.7</v>
      </c>
      <c r="Q241" s="7" t="str">
        <f>IF('Port Bloomberg'!Q241="","",'Port Bloomberg'!Q241)</f>
        <v>BBB-</v>
      </c>
      <c r="R241" s="7" t="str">
        <f>IF('Port Bloomberg'!R241="","",'Port Bloomberg'!R241)</f>
        <v>01/23/2032</v>
      </c>
      <c r="S241" s="5">
        <f>IF(E241="","",IFERROR(IF(MATCH(E241,[1]Instrumentos!$D:$D,0)&gt;0,1,0),0))</f>
        <v>1</v>
      </c>
      <c r="T241" s="5">
        <f>IF(E241="","",IFERROR(IF(MATCH(E241,'Lista de excepciones'!$E:$E,0)&gt;0,1,0),0))</f>
        <v>0</v>
      </c>
      <c r="U241" s="6" t="str">
        <f t="shared" si="4"/>
        <v>NO</v>
      </c>
    </row>
    <row r="242" spans="1:21" hidden="1" x14ac:dyDescent="0.25">
      <c r="A242" s="7" t="str">
        <f>IF('Port Bloomberg'!A242="","",'Port Bloomberg'!A242)</f>
        <v>FUNOTR 8 ¼ 01/23/37</v>
      </c>
      <c r="B242" s="7" t="str">
        <f>IF('Port Bloomberg'!B242="","",'Port Bloomberg'!B242)</f>
        <v>Trust Fibra Uno</v>
      </c>
      <c r="C242" s="7" t="str">
        <f>IF('Port Bloomberg'!C242="","",'Port Bloomberg'!C242)</f>
        <v>TRUST FIBRA1</v>
      </c>
      <c r="D242" s="7" t="str">
        <f>IF('Port Bloomberg'!D242="","",'Port Bloomberg'!D242)</f>
        <v>TRUST FIBRAUNO</v>
      </c>
      <c r="E242" s="7" t="str">
        <f>IF('Port Bloomberg'!E242="","",'Port Bloomberg'!E242)</f>
        <v>USP9401JAC10</v>
      </c>
      <c r="F242" s="7" t="str">
        <f>IF('Port Bloomberg'!F242="","",'Port Bloomberg'!F242)</f>
        <v>FUNOTR</v>
      </c>
      <c r="G242" s="7" t="str">
        <f>IF('Port Bloomberg'!G242="","",'Port Bloomberg'!G242)</f>
        <v>0943974D MM</v>
      </c>
      <c r="H242" s="7" t="str">
        <f>IF('Port Bloomberg'!H242="","",'Port Bloomberg'!H242)</f>
        <v>REITS</v>
      </c>
      <c r="I242" s="7" t="str">
        <f>IF('Port Bloomberg'!I242="","",'Port Bloomberg'!I242)</f>
        <v>FIN</v>
      </c>
      <c r="J242" s="7" t="str">
        <f>IF('Port Bloomberg'!J242="","",'Port Bloomberg'!J242)</f>
        <v>REITS-Diversified</v>
      </c>
      <c r="K242" s="7" t="str">
        <f>IF('Port Bloomberg'!K242="","",'Port Bloomberg'!K242)</f>
        <v>MX</v>
      </c>
      <c r="L242" s="7" t="str">
        <f>IF('Port Bloomberg'!L242="","",'Port Bloomberg'!L242)</f>
        <v>MX</v>
      </c>
      <c r="M242" s="7" t="str">
        <f>IF('Port Bloomberg'!M242="","",'Port Bloomberg'!M242)</f>
        <v>USD</v>
      </c>
      <c r="N242" s="7">
        <f>IF('Port Bloomberg'!N242="","",'Port Bloomberg'!N242)</f>
        <v>300000</v>
      </c>
      <c r="O242" s="7" t="str">
        <f>IF('Port Bloomberg'!O242="","",'Port Bloomberg'!O242)</f>
        <v>SINGLE</v>
      </c>
      <c r="P242" s="7">
        <f>IF('Port Bloomberg'!P242="","",'Port Bloomberg'!P242)</f>
        <v>8.25</v>
      </c>
      <c r="Q242" s="7" t="str">
        <f>IF('Port Bloomberg'!Q242="","",'Port Bloomberg'!Q242)</f>
        <v>BBB-</v>
      </c>
      <c r="R242" s="7" t="str">
        <f>IF('Port Bloomberg'!R242="","",'Port Bloomberg'!R242)</f>
        <v>01/23/2037</v>
      </c>
      <c r="S242" s="5">
        <f>IF(E242="","",IFERROR(IF(MATCH(E242,[1]Instrumentos!$D:$D,0)&gt;0,1,0),0))</f>
        <v>1</v>
      </c>
      <c r="T242" s="5">
        <f>IF(E242="","",IFERROR(IF(MATCH(E242,'Lista de excepciones'!$E:$E,0)&gt;0,1,0),0))</f>
        <v>0</v>
      </c>
      <c r="U242" s="6" t="str">
        <f t="shared" si="4"/>
        <v>NO</v>
      </c>
    </row>
    <row r="243" spans="1:21" hidden="1" x14ac:dyDescent="0.25">
      <c r="A243" s="7" t="str">
        <f>IF('Port Bloomberg'!A243="","",'Port Bloomberg'!A243)</f>
        <v>GEBCB 4 ⅞ 05/15/30</v>
      </c>
      <c r="B243" s="7" t="str">
        <f>IF('Port Bloomberg'!B243="","",'Port Bloomberg'!B243)</f>
        <v>Grupo Energia Bogota SA ESP</v>
      </c>
      <c r="C243" s="7" t="str">
        <f>IF('Port Bloomberg'!C243="","",'Port Bloomberg'!C243)</f>
        <v>GRUPO ENERGIA B</v>
      </c>
      <c r="D243" s="7" t="str">
        <f>IF('Port Bloomberg'!D243="","",'Port Bloomberg'!D243)</f>
        <v>GRUPO ENERGIA BOGOTA</v>
      </c>
      <c r="E243" s="7" t="str">
        <f>IF('Port Bloomberg'!E243="","",'Port Bloomberg'!E243)</f>
        <v>USP4R53VAA13</v>
      </c>
      <c r="F243" s="7" t="str">
        <f>IF('Port Bloomberg'!F243="","",'Port Bloomberg'!F243)</f>
        <v>GEBCB</v>
      </c>
      <c r="G243" s="7" t="str">
        <f>IF('Port Bloomberg'!G243="","",'Port Bloomberg'!G243)</f>
        <v>GEB CB</v>
      </c>
      <c r="H243" s="7" t="str">
        <f>IF('Port Bloomberg'!H243="","",'Port Bloomberg'!H243)</f>
        <v>Gas</v>
      </c>
      <c r="I243" s="7" t="str">
        <f>IF('Port Bloomberg'!I243="","",'Port Bloomberg'!I243)</f>
        <v>FLA</v>
      </c>
      <c r="J243" s="7" t="str">
        <f>IF('Port Bloomberg'!J243="","",'Port Bloomberg'!J243)</f>
        <v>Gas-Distribution</v>
      </c>
      <c r="K243" s="7" t="str">
        <f>IF('Port Bloomberg'!K243="","",'Port Bloomberg'!K243)</f>
        <v>CO</v>
      </c>
      <c r="L243" s="7" t="str">
        <f>IF('Port Bloomberg'!L243="","",'Port Bloomberg'!L243)</f>
        <v>CO</v>
      </c>
      <c r="M243" s="7" t="str">
        <f>IF('Port Bloomberg'!M243="","",'Port Bloomberg'!M243)</f>
        <v>USD</v>
      </c>
      <c r="N243" s="7">
        <f>IF('Port Bloomberg'!N243="","",'Port Bloomberg'!N243)</f>
        <v>400000</v>
      </c>
      <c r="O243" s="7" t="str">
        <f>IF('Port Bloomberg'!O243="","",'Port Bloomberg'!O243)</f>
        <v>SINGLE</v>
      </c>
      <c r="P243" s="7">
        <f>IF('Port Bloomberg'!P243="","",'Port Bloomberg'!P243)</f>
        <v>4.875</v>
      </c>
      <c r="Q243" s="7" t="str">
        <f>IF('Port Bloomberg'!Q243="","",'Port Bloomberg'!Q243)</f>
        <v>BBB-</v>
      </c>
      <c r="R243" s="7" t="str">
        <f>IF('Port Bloomberg'!R243="","",'Port Bloomberg'!R243)</f>
        <v>05/15/2030</v>
      </c>
      <c r="S243" s="5">
        <f>IF(E243="","",IFERROR(IF(MATCH(E243,[1]Instrumentos!$D:$D,0)&gt;0,1,0),0))</f>
        <v>1</v>
      </c>
      <c r="T243" s="5">
        <f>IF(E243="","",IFERROR(IF(MATCH(E243,'Lista de excepciones'!$E:$E,0)&gt;0,1,0),0))</f>
        <v>0</v>
      </c>
      <c r="U243" s="6" t="str">
        <f t="shared" si="4"/>
        <v>NO</v>
      </c>
    </row>
    <row r="244" spans="1:21" hidden="1" x14ac:dyDescent="0.25">
      <c r="A244" s="7" t="str">
        <f>IF('Port Bloomberg'!A244="","",'Port Bloomberg'!A244)</f>
        <v>GEBCB 5 ¾ 10/22/35</v>
      </c>
      <c r="B244" s="7" t="str">
        <f>IF('Port Bloomberg'!B244="","",'Port Bloomberg'!B244)</f>
        <v>Grupo Energia Bogota SA ESP</v>
      </c>
      <c r="C244" s="7" t="str">
        <f>IF('Port Bloomberg'!C244="","",'Port Bloomberg'!C244)</f>
        <v>GRUPO ENERGIA B</v>
      </c>
      <c r="D244" s="7" t="str">
        <f>IF('Port Bloomberg'!D244="","",'Port Bloomberg'!D244)</f>
        <v>GRUPO ENERGIA BOGOTA</v>
      </c>
      <c r="E244" s="7" t="str">
        <f>IF('Port Bloomberg'!E244="","",'Port Bloomberg'!E244)</f>
        <v>USP4R53VAC78</v>
      </c>
      <c r="F244" s="7" t="str">
        <f>IF('Port Bloomberg'!F244="","",'Port Bloomberg'!F244)</f>
        <v>GEBCB</v>
      </c>
      <c r="G244" s="7" t="str">
        <f>IF('Port Bloomberg'!G244="","",'Port Bloomberg'!G244)</f>
        <v>GEB CB</v>
      </c>
      <c r="H244" s="7" t="str">
        <f>IF('Port Bloomberg'!H244="","",'Port Bloomberg'!H244)</f>
        <v>Gas</v>
      </c>
      <c r="I244" s="7" t="str">
        <f>IF('Port Bloomberg'!I244="","",'Port Bloomberg'!I244)</f>
        <v>FLA</v>
      </c>
      <c r="J244" s="7" t="str">
        <f>IF('Port Bloomberg'!J244="","",'Port Bloomberg'!J244)</f>
        <v>Gas-Distribution</v>
      </c>
      <c r="K244" s="7" t="str">
        <f>IF('Port Bloomberg'!K244="","",'Port Bloomberg'!K244)</f>
        <v>CO</v>
      </c>
      <c r="L244" s="7" t="str">
        <f>IF('Port Bloomberg'!L244="","",'Port Bloomberg'!L244)</f>
        <v>CO</v>
      </c>
      <c r="M244" s="7" t="str">
        <f>IF('Port Bloomberg'!M244="","",'Port Bloomberg'!M244)</f>
        <v>USD</v>
      </c>
      <c r="N244" s="7">
        <f>IF('Port Bloomberg'!N244="","",'Port Bloomberg'!N244)</f>
        <v>500000</v>
      </c>
      <c r="O244" s="7" t="str">
        <f>IF('Port Bloomberg'!O244="","",'Port Bloomberg'!O244)</f>
        <v>SINGLE</v>
      </c>
      <c r="P244" s="7">
        <f>IF('Port Bloomberg'!P244="","",'Port Bloomberg'!P244)</f>
        <v>5.75</v>
      </c>
      <c r="Q244" s="7" t="str">
        <f>IF('Port Bloomberg'!Q244="","",'Port Bloomberg'!Q244)</f>
        <v>BBB-</v>
      </c>
      <c r="R244" s="7" t="str">
        <f>IF('Port Bloomberg'!R244="","",'Port Bloomberg'!R244)</f>
        <v>10/22/2035</v>
      </c>
      <c r="S244" s="5">
        <f>IF(E244="","",IFERROR(IF(MATCH(E244,[1]Instrumentos!$D:$D,0)&gt;0,1,0),0))</f>
        <v>1</v>
      </c>
      <c r="T244" s="5">
        <f>IF(E244="","",IFERROR(IF(MATCH(E244,'Lista de excepciones'!$E:$E,0)&gt;0,1,0),0))</f>
        <v>0</v>
      </c>
      <c r="U244" s="6" t="str">
        <f t="shared" si="4"/>
        <v>NO</v>
      </c>
    </row>
    <row r="245" spans="1:21" hidden="1" x14ac:dyDescent="0.25">
      <c r="A245" s="7" t="str">
        <f>IF('Port Bloomberg'!A245="","",'Port Bloomberg'!A245)</f>
        <v>GEBCB 7.85 11/09/33</v>
      </c>
      <c r="B245" s="7" t="str">
        <f>IF('Port Bloomberg'!B245="","",'Port Bloomberg'!B245)</f>
        <v>Grupo Energia Bogota SA ESP</v>
      </c>
      <c r="C245" s="7" t="str">
        <f>IF('Port Bloomberg'!C245="","",'Port Bloomberg'!C245)</f>
        <v>GRUPO ENERGIA B</v>
      </c>
      <c r="D245" s="7" t="str">
        <f>IF('Port Bloomberg'!D245="","",'Port Bloomberg'!D245)</f>
        <v>GRUPO ENERGIA BOGOTA</v>
      </c>
      <c r="E245" s="7" t="str">
        <f>IF('Port Bloomberg'!E245="","",'Port Bloomberg'!E245)</f>
        <v>USP4R53VAB95</v>
      </c>
      <c r="F245" s="7" t="str">
        <f>IF('Port Bloomberg'!F245="","",'Port Bloomberg'!F245)</f>
        <v>GEBCB</v>
      </c>
      <c r="G245" s="7" t="str">
        <f>IF('Port Bloomberg'!G245="","",'Port Bloomberg'!G245)</f>
        <v>GEB CB</v>
      </c>
      <c r="H245" s="7" t="str">
        <f>IF('Port Bloomberg'!H245="","",'Port Bloomberg'!H245)</f>
        <v>Gas</v>
      </c>
      <c r="I245" s="7" t="str">
        <f>IF('Port Bloomberg'!I245="","",'Port Bloomberg'!I245)</f>
        <v>FLA</v>
      </c>
      <c r="J245" s="7" t="str">
        <f>IF('Port Bloomberg'!J245="","",'Port Bloomberg'!J245)</f>
        <v>Gas-Distribution</v>
      </c>
      <c r="K245" s="7" t="str">
        <f>IF('Port Bloomberg'!K245="","",'Port Bloomberg'!K245)</f>
        <v>CO</v>
      </c>
      <c r="L245" s="7" t="str">
        <f>IF('Port Bloomberg'!L245="","",'Port Bloomberg'!L245)</f>
        <v>CO</v>
      </c>
      <c r="M245" s="7" t="str">
        <f>IF('Port Bloomberg'!M245="","",'Port Bloomberg'!M245)</f>
        <v>USD</v>
      </c>
      <c r="N245" s="7">
        <f>IF('Port Bloomberg'!N245="","",'Port Bloomberg'!N245)</f>
        <v>400000</v>
      </c>
      <c r="O245" s="7" t="str">
        <f>IF('Port Bloomberg'!O245="","",'Port Bloomberg'!O245)</f>
        <v>SINGLE</v>
      </c>
      <c r="P245" s="7">
        <f>IF('Port Bloomberg'!P245="","",'Port Bloomberg'!P245)</f>
        <v>7.85</v>
      </c>
      <c r="Q245" s="7" t="str">
        <f>IF('Port Bloomberg'!Q245="","",'Port Bloomberg'!Q245)</f>
        <v>BBB-</v>
      </c>
      <c r="R245" s="7" t="str">
        <f>IF('Port Bloomberg'!R245="","",'Port Bloomberg'!R245)</f>
        <v>11/09/2033</v>
      </c>
      <c r="S245" s="5">
        <f>IF(E245="","",IFERROR(IF(MATCH(E245,[1]Instrumentos!$D:$D,0)&gt;0,1,0),0))</f>
        <v>1</v>
      </c>
      <c r="T245" s="5">
        <f>IF(E245="","",IFERROR(IF(MATCH(E245,'Lista de excepciones'!$E:$E,0)&gt;0,1,0),0))</f>
        <v>0</v>
      </c>
      <c r="U245" s="6" t="str">
        <f t="shared" si="4"/>
        <v>NO</v>
      </c>
    </row>
    <row r="246" spans="1:21" hidden="1" x14ac:dyDescent="0.25">
      <c r="A246" s="7" t="str">
        <f>IF('Port Bloomberg'!A246="","",'Port Bloomberg'!A246)</f>
        <v>GEOPAR 8 ¾ 01/31/30</v>
      </c>
      <c r="B246" s="7" t="str">
        <f>IF('Port Bloomberg'!B246="","",'Port Bloomberg'!B246)</f>
        <v>Geopark Ltd</v>
      </c>
      <c r="C246" s="7" t="str">
        <f>IF('Port Bloomberg'!C246="","",'Port Bloomberg'!C246)</f>
        <v>GEOPARK</v>
      </c>
      <c r="D246" s="7" t="str">
        <f>IF('Port Bloomberg'!D246="","",'Port Bloomberg'!D246)</f>
        <v>GEOPARK LTD</v>
      </c>
      <c r="E246" s="7" t="str">
        <f>IF('Port Bloomberg'!E246="","",'Port Bloomberg'!E246)</f>
        <v>USG38327AD78</v>
      </c>
      <c r="F246" s="7" t="str">
        <f>IF('Port Bloomberg'!F246="","",'Port Bloomberg'!F246)</f>
        <v>GEOPAR</v>
      </c>
      <c r="G246" s="7" t="str">
        <f>IF('Port Bloomberg'!G246="","",'Port Bloomberg'!G246)</f>
        <v>GPRK US</v>
      </c>
      <c r="H246" s="7" t="str">
        <f>IF('Port Bloomberg'!H246="","",'Port Bloomberg'!H246)</f>
        <v>Oil&amp;Gas</v>
      </c>
      <c r="I246" s="7" t="str">
        <f>IF('Port Bloomberg'!I246="","",'Port Bloomberg'!I246)</f>
        <v>IND</v>
      </c>
      <c r="J246" s="7" t="str">
        <f>IF('Port Bloomberg'!J246="","",'Port Bloomberg'!J246)</f>
        <v>Oil Comp-Explor&amp;Prodtn</v>
      </c>
      <c r="K246" s="7" t="str">
        <f>IF('Port Bloomberg'!K246="","",'Port Bloomberg'!K246)</f>
        <v>CO</v>
      </c>
      <c r="L246" s="7" t="str">
        <f>IF('Port Bloomberg'!L246="","",'Port Bloomberg'!L246)</f>
        <v>CO</v>
      </c>
      <c r="M246" s="7" t="str">
        <f>IF('Port Bloomberg'!M246="","",'Port Bloomberg'!M246)</f>
        <v>USD</v>
      </c>
      <c r="N246" s="7">
        <f>IF('Port Bloomberg'!N246="","",'Port Bloomberg'!N246)</f>
        <v>550000</v>
      </c>
      <c r="O246" s="7" t="str">
        <f>IF('Port Bloomberg'!O246="","",'Port Bloomberg'!O246)</f>
        <v>SINGLE</v>
      </c>
      <c r="P246" s="7">
        <f>IF('Port Bloomberg'!P246="","",'Port Bloomberg'!P246)</f>
        <v>8.75</v>
      </c>
      <c r="Q246" s="7" t="str">
        <f>IF('Port Bloomberg'!Q246="","",'Port Bloomberg'!Q246)</f>
        <v>B+</v>
      </c>
      <c r="R246" s="7" t="str">
        <f>IF('Port Bloomberg'!R246="","",'Port Bloomberg'!R246)</f>
        <v>01/31/2030</v>
      </c>
      <c r="S246" s="5">
        <f>IF(E246="","",IFERROR(IF(MATCH(E246,[1]Instrumentos!$D:$D,0)&gt;0,1,0),0))</f>
        <v>1</v>
      </c>
      <c r="T246" s="5">
        <f>IF(E246="","",IFERROR(IF(MATCH(E246,'Lista de excepciones'!$E:$E,0)&gt;0,1,0),0))</f>
        <v>0</v>
      </c>
      <c r="U246" s="6" t="str">
        <f t="shared" si="4"/>
        <v>NO</v>
      </c>
    </row>
    <row r="247" spans="1:21" hidden="1" x14ac:dyDescent="0.25">
      <c r="A247" s="7" t="str">
        <f>IF('Port Bloomberg'!A247="","",'Port Bloomberg'!A247)</f>
        <v>GGBRBZ 5 ¾ 06/09/35</v>
      </c>
      <c r="B247" s="7" t="str">
        <f>IF('Port Bloomberg'!B247="","",'Port Bloomberg'!B247)</f>
        <v>Gerdau Trade Inc</v>
      </c>
      <c r="C247" s="7" t="str">
        <f>IF('Port Bloomberg'!C247="","",'Port Bloomberg'!C247)</f>
        <v>GERDAU TRADE INC</v>
      </c>
      <c r="D247" s="7" t="str">
        <f>IF('Port Bloomberg'!D247="","",'Port Bloomberg'!D247)</f>
        <v>GERDAU TRADE INC</v>
      </c>
      <c r="E247" s="7" t="str">
        <f>IF('Port Bloomberg'!E247="","",'Port Bloomberg'!E247)</f>
        <v>US37373WAE03</v>
      </c>
      <c r="F247" s="7" t="str">
        <f>IF('Port Bloomberg'!F247="","",'Port Bloomberg'!F247)</f>
        <v>GGBRBZ</v>
      </c>
      <c r="G247" s="7" t="str">
        <f>IF('Port Bloomberg'!G247="","",'Port Bloomberg'!G247)</f>
        <v>GGBR4 BZ</v>
      </c>
      <c r="H247" s="7" t="str">
        <f>IF('Port Bloomberg'!H247="","",'Port Bloomberg'!H247)</f>
        <v>Iron/Steel</v>
      </c>
      <c r="I247" s="7" t="str">
        <f>IF('Port Bloomberg'!I247="","",'Port Bloomberg'!I247)</f>
        <v>IND</v>
      </c>
      <c r="J247" s="7" t="str">
        <f>IF('Port Bloomberg'!J247="","",'Port Bloomberg'!J247)</f>
        <v>Steel-Producers</v>
      </c>
      <c r="K247" s="7" t="str">
        <f>IF('Port Bloomberg'!K247="","",'Port Bloomberg'!K247)</f>
        <v>VG</v>
      </c>
      <c r="L247" s="7" t="str">
        <f>IF('Port Bloomberg'!L247="","",'Port Bloomberg'!L247)</f>
        <v>BR</v>
      </c>
      <c r="M247" s="7" t="str">
        <f>IF('Port Bloomberg'!M247="","",'Port Bloomberg'!M247)</f>
        <v>USD</v>
      </c>
      <c r="N247" s="7">
        <f>IF('Port Bloomberg'!N247="","",'Port Bloomberg'!N247)</f>
        <v>650000</v>
      </c>
      <c r="O247" s="7" t="str">
        <f>IF('Port Bloomberg'!O247="","",'Port Bloomberg'!O247)</f>
        <v>SINGLE</v>
      </c>
      <c r="P247" s="7">
        <f>IF('Port Bloomberg'!P247="","",'Port Bloomberg'!P247)</f>
        <v>5.75</v>
      </c>
      <c r="Q247" s="7" t="str">
        <f>IF('Port Bloomberg'!Q247="","",'Port Bloomberg'!Q247)</f>
        <v>BBB</v>
      </c>
      <c r="R247" s="7" t="str">
        <f>IF('Port Bloomberg'!R247="","",'Port Bloomberg'!R247)</f>
        <v>06/09/2035</v>
      </c>
      <c r="S247" s="5">
        <f>IF(E247="","",IFERROR(IF(MATCH(E247,[1]Instrumentos!$D:$D,0)&gt;0,1,0),0))</f>
        <v>1</v>
      </c>
      <c r="T247" s="5">
        <f>IF(E247="","",IFERROR(IF(MATCH(E247,'Lista de excepciones'!$E:$E,0)&gt;0,1,0),0))</f>
        <v>0</v>
      </c>
      <c r="U247" s="6" t="str">
        <f t="shared" si="4"/>
        <v>NO</v>
      </c>
    </row>
    <row r="248" spans="1:21" hidden="1" x14ac:dyDescent="0.25">
      <c r="A248" s="7" t="str">
        <f>IF('Port Bloomberg'!A248="","",'Port Bloomberg'!A248)</f>
        <v>GGBRBZ 7 ¼ 04/16/44</v>
      </c>
      <c r="B248" s="7" t="str">
        <f>IF('Port Bloomberg'!B248="","",'Port Bloomberg'!B248)</f>
        <v>GUSAP III LP</v>
      </c>
      <c r="C248" s="7" t="str">
        <f>IF('Port Bloomberg'!C248="","",'Port Bloomberg'!C248)</f>
        <v>GUSAP III LP</v>
      </c>
      <c r="D248" s="7" t="str">
        <f>IF('Port Bloomberg'!D248="","",'Port Bloomberg'!D248)</f>
        <v>GUSAP III LP</v>
      </c>
      <c r="E248" s="7" t="str">
        <f>IF('Port Bloomberg'!E248="","",'Port Bloomberg'!E248)</f>
        <v>USG2440JAG07</v>
      </c>
      <c r="F248" s="7" t="str">
        <f>IF('Port Bloomberg'!F248="","",'Port Bloomberg'!F248)</f>
        <v>GGBRBZ</v>
      </c>
      <c r="G248" s="7" t="str">
        <f>IF('Port Bloomberg'!G248="","",'Port Bloomberg'!G248)</f>
        <v>GGBR4 BZ</v>
      </c>
      <c r="H248" s="7" t="str">
        <f>IF('Port Bloomberg'!H248="","",'Port Bloomberg'!H248)</f>
        <v>Iron/Steel</v>
      </c>
      <c r="I248" s="7" t="str">
        <f>IF('Port Bloomberg'!I248="","",'Port Bloomberg'!I248)</f>
        <v>IND</v>
      </c>
      <c r="J248" s="7" t="str">
        <f>IF('Port Bloomberg'!J248="","",'Port Bloomberg'!J248)</f>
        <v>Steel-Producers</v>
      </c>
      <c r="K248" s="7" t="str">
        <f>IF('Port Bloomberg'!K248="","",'Port Bloomberg'!K248)</f>
        <v>US</v>
      </c>
      <c r="L248" s="7" t="str">
        <f>IF('Port Bloomberg'!L248="","",'Port Bloomberg'!L248)</f>
        <v>BR</v>
      </c>
      <c r="M248" s="7" t="str">
        <f>IF('Port Bloomberg'!M248="","",'Port Bloomberg'!M248)</f>
        <v>USD</v>
      </c>
      <c r="N248" s="7">
        <f>IF('Port Bloomberg'!N248="","",'Port Bloomberg'!N248)</f>
        <v>500000</v>
      </c>
      <c r="O248" s="7" t="str">
        <f>IF('Port Bloomberg'!O248="","",'Port Bloomberg'!O248)</f>
        <v>SINGLE</v>
      </c>
      <c r="P248" s="7">
        <f>IF('Port Bloomberg'!P248="","",'Port Bloomberg'!P248)</f>
        <v>7.25</v>
      </c>
      <c r="Q248" s="7" t="str">
        <f>IF('Port Bloomberg'!Q248="","",'Port Bloomberg'!Q248)</f>
        <v>BBB</v>
      </c>
      <c r="R248" s="7" t="str">
        <f>IF('Port Bloomberg'!R248="","",'Port Bloomberg'!R248)</f>
        <v>04/16/2044</v>
      </c>
      <c r="S248" s="5">
        <f>IF(E248="","",IFERROR(IF(MATCH(E248,[1]Instrumentos!$D:$D,0)&gt;0,1,0),0))</f>
        <v>1</v>
      </c>
      <c r="T248" s="5">
        <f>IF(E248="","",IFERROR(IF(MATCH(E248,'Lista de excepciones'!$E:$E,0)&gt;0,1,0),0))</f>
        <v>0</v>
      </c>
      <c r="U248" s="6" t="str">
        <f t="shared" si="4"/>
        <v>NO</v>
      </c>
    </row>
    <row r="249" spans="1:21" hidden="1" x14ac:dyDescent="0.25">
      <c r="A249" s="7" t="str">
        <f>IF('Port Bloomberg'!A249="","",'Port Bloomberg'!A249)</f>
        <v>GLOPAR 4 ⅞ 01/22/30</v>
      </c>
      <c r="B249" s="7" t="str">
        <f>IF('Port Bloomberg'!B249="","",'Port Bloomberg'!B249)</f>
        <v>Globo Comunicacao e Participacoes S/A</v>
      </c>
      <c r="C249" s="7" t="str">
        <f>IF('Port Bloomberg'!C249="","",'Port Bloomberg'!C249)</f>
        <v>GLOBO COMMUN PAR</v>
      </c>
      <c r="D249" s="7" t="str">
        <f>IF('Port Bloomberg'!D249="","",'Port Bloomberg'!D249)</f>
        <v>GLOBO COMMUNICACOES PART</v>
      </c>
      <c r="E249" s="7" t="str">
        <f>IF('Port Bloomberg'!E249="","",'Port Bloomberg'!E249)</f>
        <v>USP47777AB69</v>
      </c>
      <c r="F249" s="7" t="str">
        <f>IF('Port Bloomberg'!F249="","",'Port Bloomberg'!F249)</f>
        <v>GLOPAR</v>
      </c>
      <c r="G249" s="7" t="str">
        <f>IF('Port Bloomberg'!G249="","",'Port Bloomberg'!G249)</f>
        <v>1014Z BZ</v>
      </c>
      <c r="H249" s="7" t="str">
        <f>IF('Port Bloomberg'!H249="","",'Port Bloomberg'!H249)</f>
        <v>Media</v>
      </c>
      <c r="I249" s="7" t="str">
        <f>IF('Port Bloomberg'!I249="","",'Port Bloomberg'!I249)</f>
        <v>IND</v>
      </c>
      <c r="J249" s="7" t="str">
        <f>IF('Port Bloomberg'!J249="","",'Port Bloomberg'!J249)</f>
        <v>Multimedia</v>
      </c>
      <c r="K249" s="7" t="str">
        <f>IF('Port Bloomberg'!K249="","",'Port Bloomberg'!K249)</f>
        <v>BR</v>
      </c>
      <c r="L249" s="7" t="str">
        <f>IF('Port Bloomberg'!L249="","",'Port Bloomberg'!L249)</f>
        <v>BR</v>
      </c>
      <c r="M249" s="7" t="str">
        <f>IF('Port Bloomberg'!M249="","",'Port Bloomberg'!M249)</f>
        <v>USD</v>
      </c>
      <c r="N249" s="7">
        <f>IF('Port Bloomberg'!N249="","",'Port Bloomberg'!N249)</f>
        <v>500000</v>
      </c>
      <c r="O249" s="7" t="str">
        <f>IF('Port Bloomberg'!O249="","",'Port Bloomberg'!O249)</f>
        <v>SINGLE</v>
      </c>
      <c r="P249" s="7">
        <f>IF('Port Bloomberg'!P249="","",'Port Bloomberg'!P249)</f>
        <v>4.875</v>
      </c>
      <c r="Q249" s="7" t="str">
        <f>IF('Port Bloomberg'!Q249="","",'Port Bloomberg'!Q249)</f>
        <v>BB</v>
      </c>
      <c r="R249" s="7" t="str">
        <f>IF('Port Bloomberg'!R249="","",'Port Bloomberg'!R249)</f>
        <v>01/22/2030</v>
      </c>
      <c r="S249" s="5">
        <f>IF(E249="","",IFERROR(IF(MATCH(E249,[1]Instrumentos!$D:$D,0)&gt;0,1,0),0))</f>
        <v>1</v>
      </c>
      <c r="T249" s="5">
        <f>IF(E249="","",IFERROR(IF(MATCH(E249,'Lista de excepciones'!$E:$E,0)&gt;0,1,0),0))</f>
        <v>0</v>
      </c>
      <c r="U249" s="6" t="str">
        <f t="shared" si="4"/>
        <v>NO</v>
      </c>
    </row>
    <row r="250" spans="1:21" hidden="1" x14ac:dyDescent="0.25">
      <c r="A250" s="7" t="str">
        <f>IF('Port Bloomberg'!A250="","",'Port Bloomberg'!A250)</f>
        <v>GLOPAR 5 ½ 01/14/32</v>
      </c>
      <c r="B250" s="7" t="str">
        <f>IF('Port Bloomberg'!B250="","",'Port Bloomberg'!B250)</f>
        <v>Globo Comunicacao e Participacoes S/A</v>
      </c>
      <c r="C250" s="7" t="str">
        <f>IF('Port Bloomberg'!C250="","",'Port Bloomberg'!C250)</f>
        <v>GLOBO COMMUN PAR</v>
      </c>
      <c r="D250" s="7" t="str">
        <f>IF('Port Bloomberg'!D250="","",'Port Bloomberg'!D250)</f>
        <v>GLOBO COMMUNICACOES PART</v>
      </c>
      <c r="E250" s="7" t="str">
        <f>IF('Port Bloomberg'!E250="","",'Port Bloomberg'!E250)</f>
        <v>USP47777AC43</v>
      </c>
      <c r="F250" s="7" t="str">
        <f>IF('Port Bloomberg'!F250="","",'Port Bloomberg'!F250)</f>
        <v>GLOPAR</v>
      </c>
      <c r="G250" s="7" t="str">
        <f>IF('Port Bloomberg'!G250="","",'Port Bloomberg'!G250)</f>
        <v>1014Z BZ</v>
      </c>
      <c r="H250" s="7" t="str">
        <f>IF('Port Bloomberg'!H250="","",'Port Bloomberg'!H250)</f>
        <v>Media</v>
      </c>
      <c r="I250" s="7" t="str">
        <f>IF('Port Bloomberg'!I250="","",'Port Bloomberg'!I250)</f>
        <v>IND</v>
      </c>
      <c r="J250" s="7" t="str">
        <f>IF('Port Bloomberg'!J250="","",'Port Bloomberg'!J250)</f>
        <v>Multimedia</v>
      </c>
      <c r="K250" s="7" t="str">
        <f>IF('Port Bloomberg'!K250="","",'Port Bloomberg'!K250)</f>
        <v>BR</v>
      </c>
      <c r="L250" s="7" t="str">
        <f>IF('Port Bloomberg'!L250="","",'Port Bloomberg'!L250)</f>
        <v>BR</v>
      </c>
      <c r="M250" s="7" t="str">
        <f>IF('Port Bloomberg'!M250="","",'Port Bloomberg'!M250)</f>
        <v>USD</v>
      </c>
      <c r="N250" s="7">
        <f>IF('Port Bloomberg'!N250="","",'Port Bloomberg'!N250)</f>
        <v>400000</v>
      </c>
      <c r="O250" s="7" t="str">
        <f>IF('Port Bloomberg'!O250="","",'Port Bloomberg'!O250)</f>
        <v>SINGLE</v>
      </c>
      <c r="P250" s="7">
        <f>IF('Port Bloomberg'!P250="","",'Port Bloomberg'!P250)</f>
        <v>5.5</v>
      </c>
      <c r="Q250" s="7" t="str">
        <f>IF('Port Bloomberg'!Q250="","",'Port Bloomberg'!Q250)</f>
        <v>BB+</v>
      </c>
      <c r="R250" s="7" t="str">
        <f>IF('Port Bloomberg'!R250="","",'Port Bloomberg'!R250)</f>
        <v>01/14/2032</v>
      </c>
      <c r="S250" s="5">
        <f>IF(E250="","",IFERROR(IF(MATCH(E250,[1]Instrumentos!$D:$D,0)&gt;0,1,0),0))</f>
        <v>1</v>
      </c>
      <c r="T250" s="5">
        <f>IF(E250="","",IFERROR(IF(MATCH(E250,'Lista de excepciones'!$E:$E,0)&gt;0,1,0),0))</f>
        <v>0</v>
      </c>
      <c r="U250" s="6" t="str">
        <f t="shared" si="4"/>
        <v>NO</v>
      </c>
    </row>
    <row r="251" spans="1:21" hidden="1" x14ac:dyDescent="0.25">
      <c r="A251" s="7" t="str">
        <f>IF('Port Bloomberg'!A251="","",'Port Bloomberg'!A251)</f>
        <v>GMEXIB 5 ½ 12/06/32</v>
      </c>
      <c r="B251" s="7" t="str">
        <f>IF('Port Bloomberg'!B251="","",'Port Bloomberg'!B251)</f>
        <v>Mexico Generadora de Energia S de rl</v>
      </c>
      <c r="C251" s="7" t="str">
        <f>IF('Port Bloomberg'!C251="","",'Port Bloomberg'!C251)</f>
        <v>MEXICO GENERADOR</v>
      </c>
      <c r="D251" s="7" t="str">
        <f>IF('Port Bloomberg'!D251="","",'Port Bloomberg'!D251)</f>
        <v>MEXICO GENERADORA DE ENE</v>
      </c>
      <c r="E251" s="7" t="str">
        <f>IF('Port Bloomberg'!E251="","",'Port Bloomberg'!E251)</f>
        <v>USP66208AA02</v>
      </c>
      <c r="F251" s="7" t="str">
        <f>IF('Port Bloomberg'!F251="","",'Port Bloomberg'!F251)</f>
        <v>GMEXIB</v>
      </c>
      <c r="G251" s="7" t="str">
        <f>IF('Port Bloomberg'!G251="","",'Port Bloomberg'!G251)</f>
        <v>GMEXICOB MM</v>
      </c>
      <c r="H251" s="7" t="str">
        <f>IF('Port Bloomberg'!H251="","",'Port Bloomberg'!H251)</f>
        <v>Electric</v>
      </c>
      <c r="I251" s="7" t="str">
        <f>IF('Port Bloomberg'!I251="","",'Port Bloomberg'!I251)</f>
        <v>UTL</v>
      </c>
      <c r="J251" s="7" t="str">
        <f>IF('Port Bloomberg'!J251="","",'Port Bloomberg'!J251)</f>
        <v>Electric-Generation</v>
      </c>
      <c r="K251" s="7" t="str">
        <f>IF('Port Bloomberg'!K251="","",'Port Bloomberg'!K251)</f>
        <v>MX</v>
      </c>
      <c r="L251" s="7" t="str">
        <f>IF('Port Bloomberg'!L251="","",'Port Bloomberg'!L251)</f>
        <v>MX</v>
      </c>
      <c r="M251" s="7" t="str">
        <f>IF('Port Bloomberg'!M251="","",'Port Bloomberg'!M251)</f>
        <v>USD</v>
      </c>
      <c r="N251" s="7">
        <f>IF('Port Bloomberg'!N251="","",'Port Bloomberg'!N251)</f>
        <v>575000</v>
      </c>
      <c r="O251" s="7" t="str">
        <f>IF('Port Bloomberg'!O251="","",'Port Bloomberg'!O251)</f>
        <v>SINGLE</v>
      </c>
      <c r="P251" s="7">
        <f>IF('Port Bloomberg'!P251="","",'Port Bloomberg'!P251)</f>
        <v>5.5</v>
      </c>
      <c r="Q251" s="7" t="str">
        <f>IF('Port Bloomberg'!Q251="","",'Port Bloomberg'!Q251)</f>
        <v>BBB</v>
      </c>
      <c r="R251" s="7" t="str">
        <f>IF('Port Bloomberg'!R251="","",'Port Bloomberg'!R251)</f>
        <v>12/06/2032</v>
      </c>
      <c r="S251" s="5">
        <f>IF(E251="","",IFERROR(IF(MATCH(E251,[1]Instrumentos!$D:$D,0)&gt;0,1,0),0))</f>
        <v>1</v>
      </c>
      <c r="T251" s="5">
        <f>IF(E251="","",IFERROR(IF(MATCH(E251,'Lista de excepciones'!$E:$E,0)&gt;0,1,0),0))</f>
        <v>0</v>
      </c>
      <c r="U251" s="6" t="str">
        <f t="shared" si="4"/>
        <v>NO</v>
      </c>
    </row>
    <row r="252" spans="1:21" hidden="1" x14ac:dyDescent="0.25">
      <c r="A252" s="7" t="str">
        <f>IF('Port Bloomberg'!A252="","",'Port Bloomberg'!A252)</f>
        <v>GNFPSO 5.198 06/15/34</v>
      </c>
      <c r="B252" s="7" t="str">
        <f>IF('Port Bloomberg'!B252="","",'Port Bloomberg'!B252)</f>
        <v>Guara Norte Sarl</v>
      </c>
      <c r="C252" s="7" t="str">
        <f>IF('Port Bloomberg'!C252="","",'Port Bloomberg'!C252)</f>
        <v>GUARA NORTE SARL</v>
      </c>
      <c r="D252" s="7" t="str">
        <f>IF('Port Bloomberg'!D252="","",'Port Bloomberg'!D252)</f>
        <v>GUARA NORTE SARL</v>
      </c>
      <c r="E252" s="7" t="str">
        <f>IF('Port Bloomberg'!E252="","",'Port Bloomberg'!E252)</f>
        <v>USL4R02QAA86</v>
      </c>
      <c r="F252" s="7" t="str">
        <f>IF('Port Bloomberg'!F252="","",'Port Bloomberg'!F252)</f>
        <v>GNFPSO</v>
      </c>
      <c r="G252" s="7" t="str">
        <f>IF('Port Bloomberg'!G252="","",'Port Bloomberg'!G252)</f>
        <v>SBMO NA</v>
      </c>
      <c r="H252" s="7" t="str">
        <f>IF('Port Bloomberg'!H252="","",'Port Bloomberg'!H252)</f>
        <v>Oil&amp;Gas Services</v>
      </c>
      <c r="I252" s="7" t="str">
        <f>IF('Port Bloomberg'!I252="","",'Port Bloomberg'!I252)</f>
        <v>IND</v>
      </c>
      <c r="J252" s="7" t="str">
        <f>IF('Port Bloomberg'!J252="","",'Port Bloomberg'!J252)</f>
        <v>Oil-Field Services</v>
      </c>
      <c r="K252" s="7" t="str">
        <f>IF('Port Bloomberg'!K252="","",'Port Bloomberg'!K252)</f>
        <v>BR</v>
      </c>
      <c r="L252" s="7" t="str">
        <f>IF('Port Bloomberg'!L252="","",'Port Bloomberg'!L252)</f>
        <v>BR</v>
      </c>
      <c r="M252" s="7" t="str">
        <f>IF('Port Bloomberg'!M252="","",'Port Bloomberg'!M252)</f>
        <v>USD</v>
      </c>
      <c r="N252" s="7">
        <f>IF('Port Bloomberg'!N252="","",'Port Bloomberg'!N252)</f>
        <v>850000</v>
      </c>
      <c r="O252" s="7" t="str">
        <f>IF('Port Bloomberg'!O252="","",'Port Bloomberg'!O252)</f>
        <v>SINGLE</v>
      </c>
      <c r="P252" s="7">
        <f>IF('Port Bloomberg'!P252="","",'Port Bloomberg'!P252)</f>
        <v>5.1980000000000004</v>
      </c>
      <c r="Q252" s="7" t="str">
        <f>IF('Port Bloomberg'!Q252="","",'Port Bloomberg'!Q252)</f>
        <v>BBB-</v>
      </c>
      <c r="R252" s="7" t="str">
        <f>IF('Port Bloomberg'!R252="","",'Port Bloomberg'!R252)</f>
        <v>06/15/2034</v>
      </c>
      <c r="S252" s="5">
        <f>IF(E252="","",IFERROR(IF(MATCH(E252,[1]Instrumentos!$D:$D,0)&gt;0,1,0),0))</f>
        <v>0</v>
      </c>
      <c r="T252" s="5">
        <f>IF(E252="","",IFERROR(IF(MATCH(E252,'Lista de excepciones'!$E:$E,0)&gt;0,1,0),0))</f>
        <v>1</v>
      </c>
      <c r="U252" s="6" t="str">
        <f t="shared" si="4"/>
        <v>NO</v>
      </c>
    </row>
    <row r="253" spans="1:21" hidden="1" x14ac:dyDescent="0.25">
      <c r="A253" s="7" t="str">
        <f>IF('Port Bloomberg'!A253="","",'Port Bloomberg'!A253)</f>
        <v>GOLLBZ 14 ⅜ 06/06/30</v>
      </c>
      <c r="B253" s="7" t="str">
        <f>IF('Port Bloomberg'!B253="","",'Port Bloomberg'!B253)</f>
        <v>Gol Finance Inc</v>
      </c>
      <c r="C253" s="7" t="str">
        <f>IF('Port Bloomberg'!C253="","",'Port Bloomberg'!C253)</f>
        <v>GOL FINANCE</v>
      </c>
      <c r="D253" s="7" t="str">
        <f>IF('Port Bloomberg'!D253="","",'Port Bloomberg'!D253)</f>
        <v>GOL FINANCE</v>
      </c>
      <c r="E253" s="7" t="str">
        <f>IF('Port Bloomberg'!E253="","",'Port Bloomberg'!E253)</f>
        <v>USL4441RAL08</v>
      </c>
      <c r="F253" s="7" t="str">
        <f>IF('Port Bloomberg'!F253="","",'Port Bloomberg'!F253)</f>
        <v>GOLLBZ</v>
      </c>
      <c r="G253" s="7" t="str">
        <f>IF('Port Bloomberg'!G253="","",'Port Bloomberg'!G253)</f>
        <v>GOLL54 BZ</v>
      </c>
      <c r="H253" s="7" t="str">
        <f>IF('Port Bloomberg'!H253="","",'Port Bloomberg'!H253)</f>
        <v>Airlines</v>
      </c>
      <c r="I253" s="7" t="str">
        <f>IF('Port Bloomberg'!I253="","",'Port Bloomberg'!I253)</f>
        <v>IND</v>
      </c>
      <c r="J253" s="7" t="str">
        <f>IF('Port Bloomberg'!J253="","",'Port Bloomberg'!J253)</f>
        <v>Airlines</v>
      </c>
      <c r="K253" s="7" t="str">
        <f>IF('Port Bloomberg'!K253="","",'Port Bloomberg'!K253)</f>
        <v>BR</v>
      </c>
      <c r="L253" s="7" t="str">
        <f>IF('Port Bloomberg'!L253="","",'Port Bloomberg'!L253)</f>
        <v>BR</v>
      </c>
      <c r="M253" s="7" t="str">
        <f>IF('Port Bloomberg'!M253="","",'Port Bloomberg'!M253)</f>
        <v>USD</v>
      </c>
      <c r="N253" s="7">
        <f>IF('Port Bloomberg'!N253="","",'Port Bloomberg'!N253)</f>
        <v>2107060</v>
      </c>
      <c r="O253" s="7" t="str">
        <f>IF('Port Bloomberg'!O253="","",'Port Bloomberg'!O253)</f>
        <v>SINGLE</v>
      </c>
      <c r="P253" s="7">
        <f>IF('Port Bloomberg'!P253="","",'Port Bloomberg'!P253)</f>
        <v>14.375</v>
      </c>
      <c r="Q253" s="7" t="str">
        <f>IF('Port Bloomberg'!Q253="","",'Port Bloomberg'!Q253)</f>
        <v>CCC+</v>
      </c>
      <c r="R253" s="7" t="str">
        <f>IF('Port Bloomberg'!R253="","",'Port Bloomberg'!R253)</f>
        <v>06/06/2030</v>
      </c>
      <c r="S253" s="5">
        <f>IF(E253="","",IFERROR(IF(MATCH(E253,[1]Instrumentos!$D:$D,0)&gt;0,1,0),0))</f>
        <v>0</v>
      </c>
      <c r="T253" s="5">
        <f>IF(E253="","",IFERROR(IF(MATCH(E253,'Lista de excepciones'!$E:$E,0)&gt;0,1,0),0))</f>
        <v>1</v>
      </c>
      <c r="U253" s="6" t="str">
        <f t="shared" si="4"/>
        <v>NO</v>
      </c>
    </row>
    <row r="254" spans="1:21" hidden="1" x14ac:dyDescent="0.25">
      <c r="A254" s="7" t="str">
        <f>IF('Port Bloomberg'!A254="","",'Port Bloomberg'!A254)</f>
        <v>GOLLBZ 9 ½ 12/05/30</v>
      </c>
      <c r="B254" s="7" t="str">
        <f>IF('Port Bloomberg'!B254="","",'Port Bloomberg'!B254)</f>
        <v>GOL Equity Finance SA</v>
      </c>
      <c r="C254" s="7" t="str">
        <f>IF('Port Bloomberg'!C254="","",'Port Bloomberg'!C254)</f>
        <v>GOL EQUITY FIN</v>
      </c>
      <c r="D254" s="7" t="str">
        <f>IF('Port Bloomberg'!D254="","",'Port Bloomberg'!D254)</f>
        <v>GOL EQUITY FINANCE SA</v>
      </c>
      <c r="E254" s="7" t="str">
        <f>IF('Port Bloomberg'!E254="","",'Port Bloomberg'!E254)</f>
        <v>US379955AC17</v>
      </c>
      <c r="F254" s="7" t="str">
        <f>IF('Port Bloomberg'!F254="","",'Port Bloomberg'!F254)</f>
        <v>GOLLBZ</v>
      </c>
      <c r="G254" s="7" t="str">
        <f>IF('Port Bloomberg'!G254="","",'Port Bloomberg'!G254)</f>
        <v>GOLL54 BZ</v>
      </c>
      <c r="H254" s="7" t="str">
        <f>IF('Port Bloomberg'!H254="","",'Port Bloomberg'!H254)</f>
        <v>Airlines</v>
      </c>
      <c r="I254" s="7" t="str">
        <f>IF('Port Bloomberg'!I254="","",'Port Bloomberg'!I254)</f>
        <v>IND</v>
      </c>
      <c r="J254" s="7" t="str">
        <f>IF('Port Bloomberg'!J254="","",'Port Bloomberg'!J254)</f>
        <v>Airlines</v>
      </c>
      <c r="K254" s="7" t="str">
        <f>IF('Port Bloomberg'!K254="","",'Port Bloomberg'!K254)</f>
        <v>LU</v>
      </c>
      <c r="L254" s="7" t="str">
        <f>IF('Port Bloomberg'!L254="","",'Port Bloomberg'!L254)</f>
        <v>BR</v>
      </c>
      <c r="M254" s="7" t="str">
        <f>IF('Port Bloomberg'!M254="","",'Port Bloomberg'!M254)</f>
        <v>USD</v>
      </c>
      <c r="N254" s="7">
        <f>IF('Port Bloomberg'!N254="","",'Port Bloomberg'!N254)</f>
        <v>659025.86100000003</v>
      </c>
      <c r="O254" s="7" t="str">
        <f>IF('Port Bloomberg'!O254="","",'Port Bloomberg'!O254)</f>
        <v>PIK</v>
      </c>
      <c r="P254" s="7">
        <f>IF('Port Bloomberg'!P254="","",'Port Bloomberg'!P254)</f>
        <v>9.5</v>
      </c>
      <c r="Q254" s="7" t="str">
        <f>IF('Port Bloomberg'!Q254="","",'Port Bloomberg'!Q254)</f>
        <v/>
      </c>
      <c r="R254" s="7" t="str">
        <f>IF('Port Bloomberg'!R254="","",'Port Bloomberg'!R254)</f>
        <v>12/05/2030</v>
      </c>
      <c r="S254" s="5">
        <f>IF(E254="","",IFERROR(IF(MATCH(E254,[1]Instrumentos!$D:$D,0)&gt;0,1,0),0))</f>
        <v>0</v>
      </c>
      <c r="T254" s="5">
        <f>IF(E254="","",IFERROR(IF(MATCH(E254,'Lista de excepciones'!$E:$E,0)&gt;0,1,0),0))</f>
        <v>1</v>
      </c>
      <c r="U254" s="6" t="str">
        <f t="shared" si="4"/>
        <v>NO</v>
      </c>
    </row>
    <row r="255" spans="1:21" hidden="1" x14ac:dyDescent="0.25">
      <c r="A255" s="7" t="str">
        <f>IF('Port Bloomberg'!A255="","",'Port Bloomberg'!A255)</f>
        <v>GRUMAB 5.39 12/09/34</v>
      </c>
      <c r="B255" s="7" t="str">
        <f>IF('Port Bloomberg'!B255="","",'Port Bloomberg'!B255)</f>
        <v>Gruma SAB de CV</v>
      </c>
      <c r="C255" s="7" t="str">
        <f>IF('Port Bloomberg'!C255="","",'Port Bloomberg'!C255)</f>
        <v>GRUMA SAB DE CV</v>
      </c>
      <c r="D255" s="7" t="str">
        <f>IF('Port Bloomberg'!D255="","",'Port Bloomberg'!D255)</f>
        <v>GRUMA SAB DE CV</v>
      </c>
      <c r="E255" s="7" t="str">
        <f>IF('Port Bloomberg'!E255="","",'Port Bloomberg'!E255)</f>
        <v>USP4948KAH88</v>
      </c>
      <c r="F255" s="7" t="str">
        <f>IF('Port Bloomberg'!F255="","",'Port Bloomberg'!F255)</f>
        <v>GRUMAB</v>
      </c>
      <c r="G255" s="7" t="str">
        <f>IF('Port Bloomberg'!G255="","",'Port Bloomberg'!G255)</f>
        <v>GRUMAB MM</v>
      </c>
      <c r="H255" s="7" t="str">
        <f>IF('Port Bloomberg'!H255="","",'Port Bloomberg'!H255)</f>
        <v>Food</v>
      </c>
      <c r="I255" s="7" t="str">
        <f>IF('Port Bloomberg'!I255="","",'Port Bloomberg'!I255)</f>
        <v>IND</v>
      </c>
      <c r="J255" s="7" t="str">
        <f>IF('Port Bloomberg'!J255="","",'Port Bloomberg'!J255)</f>
        <v>Food-Misc/Diversified</v>
      </c>
      <c r="K255" s="7" t="str">
        <f>IF('Port Bloomberg'!K255="","",'Port Bloomberg'!K255)</f>
        <v>MX</v>
      </c>
      <c r="L255" s="7" t="str">
        <f>IF('Port Bloomberg'!L255="","",'Port Bloomberg'!L255)</f>
        <v>MX</v>
      </c>
      <c r="M255" s="7" t="str">
        <f>IF('Port Bloomberg'!M255="","",'Port Bloomberg'!M255)</f>
        <v>USD</v>
      </c>
      <c r="N255" s="7">
        <f>IF('Port Bloomberg'!N255="","",'Port Bloomberg'!N255)</f>
        <v>500000</v>
      </c>
      <c r="O255" s="7" t="str">
        <f>IF('Port Bloomberg'!O255="","",'Port Bloomberg'!O255)</f>
        <v>SINGLE</v>
      </c>
      <c r="P255" s="7">
        <f>IF('Port Bloomberg'!P255="","",'Port Bloomberg'!P255)</f>
        <v>5.39</v>
      </c>
      <c r="Q255" s="7" t="str">
        <f>IF('Port Bloomberg'!Q255="","",'Port Bloomberg'!Q255)</f>
        <v>BBB+</v>
      </c>
      <c r="R255" s="7" t="str">
        <f>IF('Port Bloomberg'!R255="","",'Port Bloomberg'!R255)</f>
        <v>12/09/2034</v>
      </c>
      <c r="S255" s="5">
        <f>IF(E255="","",IFERROR(IF(MATCH(E255,[1]Instrumentos!$D:$D,0)&gt;0,1,0),0))</f>
        <v>1</v>
      </c>
      <c r="T255" s="5">
        <f>IF(E255="","",IFERROR(IF(MATCH(E255,'Lista de excepciones'!$E:$E,0)&gt;0,1,0),0))</f>
        <v>0</v>
      </c>
      <c r="U255" s="6" t="str">
        <f t="shared" si="4"/>
        <v>NO</v>
      </c>
    </row>
    <row r="256" spans="1:21" hidden="1" x14ac:dyDescent="0.25">
      <c r="A256" s="7" t="str">
        <f>IF('Port Bloomberg'!A256="","",'Port Bloomberg'!A256)</f>
        <v>GRUMAB 5.761 12/09/54</v>
      </c>
      <c r="B256" s="7" t="str">
        <f>IF('Port Bloomberg'!B256="","",'Port Bloomberg'!B256)</f>
        <v>Gruma SAB de CV</v>
      </c>
      <c r="C256" s="7" t="str">
        <f>IF('Port Bloomberg'!C256="","",'Port Bloomberg'!C256)</f>
        <v>GRUMA SAB DE CV</v>
      </c>
      <c r="D256" s="7" t="str">
        <f>IF('Port Bloomberg'!D256="","",'Port Bloomberg'!D256)</f>
        <v>GRUMA SAB DE CV</v>
      </c>
      <c r="E256" s="7" t="str">
        <f>IF('Port Bloomberg'!E256="","",'Port Bloomberg'!E256)</f>
        <v>USP4948KAJ45</v>
      </c>
      <c r="F256" s="7" t="str">
        <f>IF('Port Bloomberg'!F256="","",'Port Bloomberg'!F256)</f>
        <v>GRUMAB</v>
      </c>
      <c r="G256" s="7" t="str">
        <f>IF('Port Bloomberg'!G256="","",'Port Bloomberg'!G256)</f>
        <v>GRUMAB MM</v>
      </c>
      <c r="H256" s="7" t="str">
        <f>IF('Port Bloomberg'!H256="","",'Port Bloomberg'!H256)</f>
        <v>Food</v>
      </c>
      <c r="I256" s="7" t="str">
        <f>IF('Port Bloomberg'!I256="","",'Port Bloomberg'!I256)</f>
        <v>IND</v>
      </c>
      <c r="J256" s="7" t="str">
        <f>IF('Port Bloomberg'!J256="","",'Port Bloomberg'!J256)</f>
        <v>Food-Misc/Diversified</v>
      </c>
      <c r="K256" s="7" t="str">
        <f>IF('Port Bloomberg'!K256="","",'Port Bloomberg'!K256)</f>
        <v>MX</v>
      </c>
      <c r="L256" s="7" t="str">
        <f>IF('Port Bloomberg'!L256="","",'Port Bloomberg'!L256)</f>
        <v>MX</v>
      </c>
      <c r="M256" s="7" t="str">
        <f>IF('Port Bloomberg'!M256="","",'Port Bloomberg'!M256)</f>
        <v>USD</v>
      </c>
      <c r="N256" s="7">
        <f>IF('Port Bloomberg'!N256="","",'Port Bloomberg'!N256)</f>
        <v>300000</v>
      </c>
      <c r="O256" s="7" t="str">
        <f>IF('Port Bloomberg'!O256="","",'Port Bloomberg'!O256)</f>
        <v>SINGLE</v>
      </c>
      <c r="P256" s="7">
        <f>IF('Port Bloomberg'!P256="","",'Port Bloomberg'!P256)</f>
        <v>5.7610000000000001</v>
      </c>
      <c r="Q256" s="7" t="str">
        <f>IF('Port Bloomberg'!Q256="","",'Port Bloomberg'!Q256)</f>
        <v>BBB+</v>
      </c>
      <c r="R256" s="7" t="str">
        <f>IF('Port Bloomberg'!R256="","",'Port Bloomberg'!R256)</f>
        <v>12/09/2054</v>
      </c>
      <c r="S256" s="5">
        <f>IF(E256="","",IFERROR(IF(MATCH(E256,[1]Instrumentos!$D:$D,0)&gt;0,1,0),0))</f>
        <v>1</v>
      </c>
      <c r="T256" s="5">
        <f>IF(E256="","",IFERROR(IF(MATCH(E256,'Lista de excepciones'!$E:$E,0)&gt;0,1,0),0))</f>
        <v>0</v>
      </c>
      <c r="U256" s="6" t="str">
        <f t="shared" si="4"/>
        <v>NO</v>
      </c>
    </row>
    <row r="257" spans="1:21" hidden="1" x14ac:dyDescent="0.25">
      <c r="A257" s="7" t="str">
        <f>IF('Port Bloomberg'!A257="","",'Port Bloomberg'!A257)</f>
        <v>GTE 9 ¾ 04/15/31</v>
      </c>
      <c r="B257" s="7" t="str">
        <f>IF('Port Bloomberg'!B257="","",'Port Bloomberg'!B257)</f>
        <v>Gran Tierra Energy Inc</v>
      </c>
      <c r="C257" s="7" t="str">
        <f>IF('Port Bloomberg'!C257="","",'Port Bloomberg'!C257)</f>
        <v>GRAN TIERRA</v>
      </c>
      <c r="D257" s="7" t="str">
        <f>IF('Port Bloomberg'!D257="","",'Port Bloomberg'!D257)</f>
        <v>GRAN TIERRA ENERGY INC</v>
      </c>
      <c r="E257" s="7" t="str">
        <f>IF('Port Bloomberg'!E257="","",'Port Bloomberg'!E257)</f>
        <v>USU37016AF67</v>
      </c>
      <c r="F257" s="7" t="str">
        <f>IF('Port Bloomberg'!F257="","",'Port Bloomberg'!F257)</f>
        <v>GTE</v>
      </c>
      <c r="G257" s="7" t="str">
        <f>IF('Port Bloomberg'!G257="","",'Port Bloomberg'!G257)</f>
        <v>GTE US</v>
      </c>
      <c r="H257" s="7" t="str">
        <f>IF('Port Bloomberg'!H257="","",'Port Bloomberg'!H257)</f>
        <v>Oil&amp;Gas</v>
      </c>
      <c r="I257" s="7" t="str">
        <f>IF('Port Bloomberg'!I257="","",'Port Bloomberg'!I257)</f>
        <v>IND</v>
      </c>
      <c r="J257" s="7" t="str">
        <f>IF('Port Bloomberg'!J257="","",'Port Bloomberg'!J257)</f>
        <v>Oil Comp-Explor&amp;Prodtn</v>
      </c>
      <c r="K257" s="7" t="str">
        <f>IF('Port Bloomberg'!K257="","",'Port Bloomberg'!K257)</f>
        <v>CA</v>
      </c>
      <c r="L257" s="7" t="str">
        <f>IF('Port Bloomberg'!L257="","",'Port Bloomberg'!L257)</f>
        <v>CO</v>
      </c>
      <c r="M257" s="7" t="str">
        <f>IF('Port Bloomberg'!M257="","",'Port Bloomberg'!M257)</f>
        <v>USD</v>
      </c>
      <c r="N257" s="7">
        <f>IF('Port Bloomberg'!N257="","",'Port Bloomberg'!N257)</f>
        <v>503570</v>
      </c>
      <c r="O257" s="7" t="str">
        <f>IF('Port Bloomberg'!O257="","",'Port Bloomberg'!O257)</f>
        <v>SINGLE</v>
      </c>
      <c r="P257" s="7">
        <f>IF('Port Bloomberg'!P257="","",'Port Bloomberg'!P257)</f>
        <v>9.75</v>
      </c>
      <c r="Q257" s="7" t="str">
        <f>IF('Port Bloomberg'!Q257="","",'Port Bloomberg'!Q257)</f>
        <v>NR</v>
      </c>
      <c r="R257" s="7" t="str">
        <f>IF('Port Bloomberg'!R257="","",'Port Bloomberg'!R257)</f>
        <v>04/15/2031</v>
      </c>
      <c r="S257" s="5">
        <f>IF(E257="","",IFERROR(IF(MATCH(E257,[1]Instrumentos!$D:$D,0)&gt;0,1,0),0))</f>
        <v>1</v>
      </c>
      <c r="T257" s="5">
        <f>IF(E257="","",IFERROR(IF(MATCH(E257,'Lista de excepciones'!$E:$E,0)&gt;0,1,0),0))</f>
        <v>0</v>
      </c>
      <c r="U257" s="6" t="str">
        <f t="shared" si="4"/>
        <v>NO</v>
      </c>
    </row>
    <row r="258" spans="1:21" hidden="1" x14ac:dyDescent="0.25">
      <c r="A258" s="7" t="str">
        <f>IF('Port Bloomberg'!A258="","",'Port Bloomberg'!A258)</f>
        <v>HIDRVS 4.95 02/08/31</v>
      </c>
      <c r="B258" s="7" t="str">
        <f>IF('Port Bloomberg'!B258="","",'Port Bloomberg'!B258)</f>
        <v>Hidrovias International Finance SARL</v>
      </c>
      <c r="C258" s="7" t="str">
        <f>IF('Port Bloomberg'!C258="","",'Port Bloomberg'!C258)</f>
        <v>HIDROVIAS INT</v>
      </c>
      <c r="D258" s="7" t="str">
        <f>IF('Port Bloomberg'!D258="","",'Port Bloomberg'!D258)</f>
        <v>HIDROVIAS INT FIN SARL</v>
      </c>
      <c r="E258" s="7" t="str">
        <f>IF('Port Bloomberg'!E258="","",'Port Bloomberg'!E258)</f>
        <v>USL48008AB91</v>
      </c>
      <c r="F258" s="7" t="str">
        <f>IF('Port Bloomberg'!F258="","",'Port Bloomberg'!F258)</f>
        <v>HIDRVS</v>
      </c>
      <c r="G258" s="7" t="str">
        <f>IF('Port Bloomberg'!G258="","",'Port Bloomberg'!G258)</f>
        <v>HBSA3 BZ</v>
      </c>
      <c r="H258" s="7" t="str">
        <f>IF('Port Bloomberg'!H258="","",'Port Bloomberg'!H258)</f>
        <v>Transportation</v>
      </c>
      <c r="I258" s="7" t="str">
        <f>IF('Port Bloomberg'!I258="","",'Port Bloomberg'!I258)</f>
        <v>IND</v>
      </c>
      <c r="J258" s="7" t="str">
        <f>IF('Port Bloomberg'!J258="","",'Port Bloomberg'!J258)</f>
        <v>Transport-Marine</v>
      </c>
      <c r="K258" s="7" t="str">
        <f>IF('Port Bloomberg'!K258="","",'Port Bloomberg'!K258)</f>
        <v>LU</v>
      </c>
      <c r="L258" s="7" t="str">
        <f>IF('Port Bloomberg'!L258="","",'Port Bloomberg'!L258)</f>
        <v>BR</v>
      </c>
      <c r="M258" s="7" t="str">
        <f>IF('Port Bloomberg'!M258="","",'Port Bloomberg'!M258)</f>
        <v>USD</v>
      </c>
      <c r="N258" s="7">
        <f>IF('Port Bloomberg'!N258="","",'Port Bloomberg'!N258)</f>
        <v>500000</v>
      </c>
      <c r="O258" s="7" t="str">
        <f>IF('Port Bloomberg'!O258="","",'Port Bloomberg'!O258)</f>
        <v>SINGLE</v>
      </c>
      <c r="P258" s="7">
        <f>IF('Port Bloomberg'!P258="","",'Port Bloomberg'!P258)</f>
        <v>4.95</v>
      </c>
      <c r="Q258" s="7" t="str">
        <f>IF('Port Bloomberg'!Q258="","",'Port Bloomberg'!Q258)</f>
        <v>BB</v>
      </c>
      <c r="R258" s="7" t="str">
        <f>IF('Port Bloomberg'!R258="","",'Port Bloomberg'!R258)</f>
        <v>02/08/2031</v>
      </c>
      <c r="S258" s="5">
        <f>IF(E258="","",IFERROR(IF(MATCH(E258,[1]Instrumentos!$D:$D,0)&gt;0,1,0),0))</f>
        <v>1</v>
      </c>
      <c r="T258" s="5">
        <f>IF(E258="","",IFERROR(IF(MATCH(E258,'Lista de excepciones'!$E:$E,0)&gt;0,1,0),0))</f>
        <v>0</v>
      </c>
      <c r="U258" s="6" t="str">
        <f t="shared" si="4"/>
        <v>NO</v>
      </c>
    </row>
    <row r="259" spans="1:21" hidden="1" x14ac:dyDescent="0.25">
      <c r="A259" s="7" t="str">
        <f>IF('Port Bloomberg'!A259="","",'Port Bloomberg'!A259)</f>
        <v>HNTOIL 7 ¾ 11/05/38</v>
      </c>
      <c r="B259" s="7" t="str">
        <f>IF('Port Bloomberg'!B259="","",'Port Bloomberg'!B259)</f>
        <v>Hunt Oil Co of Peru LLC Sucursal Del Peru</v>
      </c>
      <c r="C259" s="7" t="str">
        <f>IF('Port Bloomberg'!C259="","",'Port Bloomberg'!C259)</f>
        <v>HUNT OIL CO OF</v>
      </c>
      <c r="D259" s="7" t="str">
        <f>IF('Port Bloomberg'!D259="","",'Port Bloomberg'!D259)</f>
        <v>HUNT OIL CO OF PERU</v>
      </c>
      <c r="E259" s="7" t="str">
        <f>IF('Port Bloomberg'!E259="","",'Port Bloomberg'!E259)</f>
        <v>USP5300PAE36</v>
      </c>
      <c r="F259" s="7" t="str">
        <f>IF('Port Bloomberg'!F259="","",'Port Bloomberg'!F259)</f>
        <v>HNTOIL</v>
      </c>
      <c r="G259" s="7" t="str">
        <f>IF('Port Bloomberg'!G259="","",'Port Bloomberg'!G259)</f>
        <v/>
      </c>
      <c r="H259" s="7" t="str">
        <f>IF('Port Bloomberg'!H259="","",'Port Bloomberg'!H259)</f>
        <v>Oil&amp;Gas</v>
      </c>
      <c r="I259" s="7" t="str">
        <f>IF('Port Bloomberg'!I259="","",'Port Bloomberg'!I259)</f>
        <v>IND</v>
      </c>
      <c r="J259" s="7" t="str">
        <f>IF('Port Bloomberg'!J259="","",'Port Bloomberg'!J259)</f>
        <v>Oil Comp-Explor&amp;Prodtn</v>
      </c>
      <c r="K259" s="7" t="str">
        <f>IF('Port Bloomberg'!K259="","",'Port Bloomberg'!K259)</f>
        <v>PE</v>
      </c>
      <c r="L259" s="7" t="str">
        <f>IF('Port Bloomberg'!L259="","",'Port Bloomberg'!L259)</f>
        <v>PE</v>
      </c>
      <c r="M259" s="7" t="str">
        <f>IF('Port Bloomberg'!M259="","",'Port Bloomberg'!M259)</f>
        <v>USD</v>
      </c>
      <c r="N259" s="7">
        <f>IF('Port Bloomberg'!N259="","",'Port Bloomberg'!N259)</f>
        <v>630000</v>
      </c>
      <c r="O259" s="7" t="str">
        <f>IF('Port Bloomberg'!O259="","",'Port Bloomberg'!O259)</f>
        <v>SINGLE</v>
      </c>
      <c r="P259" s="7">
        <f>IF('Port Bloomberg'!P259="","",'Port Bloomberg'!P259)</f>
        <v>7.75</v>
      </c>
      <c r="Q259" s="7" t="str">
        <f>IF('Port Bloomberg'!Q259="","",'Port Bloomberg'!Q259)</f>
        <v>BBB-</v>
      </c>
      <c r="R259" s="7" t="str">
        <f>IF('Port Bloomberg'!R259="","",'Port Bloomberg'!R259)</f>
        <v>11/05/2038</v>
      </c>
      <c r="S259" s="5">
        <f>IF(E259="","",IFERROR(IF(MATCH(E259,[1]Instrumentos!$D:$D,0)&gt;0,1,0),0))</f>
        <v>1</v>
      </c>
      <c r="T259" s="5">
        <f>IF(E259="","",IFERROR(IF(MATCH(E259,'Lista de excepciones'!$E:$E,0)&gt;0,1,0),0))</f>
        <v>0</v>
      </c>
      <c r="U259" s="6" t="str">
        <f t="shared" ref="U259:U322" si="5">IF(E259="","",IF(S259+T259=0,"AGREGAR/REVISAR","NO"))</f>
        <v>NO</v>
      </c>
    </row>
    <row r="260" spans="1:21" hidden="1" x14ac:dyDescent="0.25">
      <c r="A260" s="7" t="str">
        <f>IF('Port Bloomberg'!A260="","",'Port Bloomberg'!A260)</f>
        <v>HNTOIL 8.55 09/18/33</v>
      </c>
      <c r="B260" s="7" t="str">
        <f>IF('Port Bloomberg'!B260="","",'Port Bloomberg'!B260)</f>
        <v>Hunt Oil Co of Peru LLC Sucursal Del Peru</v>
      </c>
      <c r="C260" s="7" t="str">
        <f>IF('Port Bloomberg'!C260="","",'Port Bloomberg'!C260)</f>
        <v>HUNT OIL CO</v>
      </c>
      <c r="D260" s="7" t="str">
        <f>IF('Port Bloomberg'!D260="","",'Port Bloomberg'!D260)</f>
        <v>HUNT OIL CO OF PERU</v>
      </c>
      <c r="E260" s="7" t="str">
        <f>IF('Port Bloomberg'!E260="","",'Port Bloomberg'!E260)</f>
        <v>USP5300PAC79</v>
      </c>
      <c r="F260" s="7" t="str">
        <f>IF('Port Bloomberg'!F260="","",'Port Bloomberg'!F260)</f>
        <v>HNTOIL</v>
      </c>
      <c r="G260" s="7" t="str">
        <f>IF('Port Bloomberg'!G260="","",'Port Bloomberg'!G260)</f>
        <v/>
      </c>
      <c r="H260" s="7" t="str">
        <f>IF('Port Bloomberg'!H260="","",'Port Bloomberg'!H260)</f>
        <v>Oil&amp;Gas</v>
      </c>
      <c r="I260" s="7" t="str">
        <f>IF('Port Bloomberg'!I260="","",'Port Bloomberg'!I260)</f>
        <v>IND</v>
      </c>
      <c r="J260" s="7" t="str">
        <f>IF('Port Bloomberg'!J260="","",'Port Bloomberg'!J260)</f>
        <v>Oil Comp-Explor&amp;Prodtn</v>
      </c>
      <c r="K260" s="7" t="str">
        <f>IF('Port Bloomberg'!K260="","",'Port Bloomberg'!K260)</f>
        <v>PE</v>
      </c>
      <c r="L260" s="7" t="str">
        <f>IF('Port Bloomberg'!L260="","",'Port Bloomberg'!L260)</f>
        <v>PE</v>
      </c>
      <c r="M260" s="7" t="str">
        <f>IF('Port Bloomberg'!M260="","",'Port Bloomberg'!M260)</f>
        <v>USD</v>
      </c>
      <c r="N260" s="7">
        <f>IF('Port Bloomberg'!N260="","",'Port Bloomberg'!N260)</f>
        <v>500000</v>
      </c>
      <c r="O260" s="7" t="str">
        <f>IF('Port Bloomberg'!O260="","",'Port Bloomberg'!O260)</f>
        <v>SINGLE</v>
      </c>
      <c r="P260" s="7">
        <f>IF('Port Bloomberg'!P260="","",'Port Bloomberg'!P260)</f>
        <v>8.5500000000000007</v>
      </c>
      <c r="Q260" s="7" t="str">
        <f>IF('Port Bloomberg'!Q260="","",'Port Bloomberg'!Q260)</f>
        <v>BBB-</v>
      </c>
      <c r="R260" s="7" t="str">
        <f>IF('Port Bloomberg'!R260="","",'Port Bloomberg'!R260)</f>
        <v>09/18/2033</v>
      </c>
      <c r="S260" s="5">
        <f>IF(E260="","",IFERROR(IF(MATCH(E260,[1]Instrumentos!$D:$D,0)&gt;0,1,0),0))</f>
        <v>1</v>
      </c>
      <c r="T260" s="5">
        <f>IF(E260="","",IFERROR(IF(MATCH(E260,'Lista de excepciones'!$E:$E,0)&gt;0,1,0),0))</f>
        <v>0</v>
      </c>
      <c r="U260" s="6" t="str">
        <f t="shared" si="5"/>
        <v>NO</v>
      </c>
    </row>
    <row r="261" spans="1:21" hidden="1" x14ac:dyDescent="0.25">
      <c r="A261" s="7" t="str">
        <f>IF('Port Bloomberg'!A261="","",'Port Bloomberg'!A261)</f>
        <v>IENOVA 4 ¾ 01/15/51</v>
      </c>
      <c r="B261" s="7" t="str">
        <f>IF('Port Bloomberg'!B261="","",'Port Bloomberg'!B261)</f>
        <v>Infraestructura Energetica Nova SAPI de CV</v>
      </c>
      <c r="C261" s="7" t="str">
        <f>IF('Port Bloomberg'!C261="","",'Port Bloomberg'!C261)</f>
        <v>INFRAESTRUCTURA</v>
      </c>
      <c r="D261" s="7" t="str">
        <f>IF('Port Bloomberg'!D261="","",'Port Bloomberg'!D261)</f>
        <v>INFRAESTRUCTURA ENERGETI</v>
      </c>
      <c r="E261" s="7" t="str">
        <f>IF('Port Bloomberg'!E261="","",'Port Bloomberg'!E261)</f>
        <v>USP56145AC23</v>
      </c>
      <c r="F261" s="7" t="str">
        <f>IF('Port Bloomberg'!F261="","",'Port Bloomberg'!F261)</f>
        <v>IENOVA</v>
      </c>
      <c r="G261" s="7" t="str">
        <f>IF('Port Bloomberg'!G261="","",'Port Bloomberg'!G261)</f>
        <v>SRE US</v>
      </c>
      <c r="H261" s="7" t="str">
        <f>IF('Port Bloomberg'!H261="","",'Port Bloomberg'!H261)</f>
        <v>Electric</v>
      </c>
      <c r="I261" s="7" t="str">
        <f>IF('Port Bloomberg'!I261="","",'Port Bloomberg'!I261)</f>
        <v>UTL</v>
      </c>
      <c r="J261" s="7" t="str">
        <f>IF('Port Bloomberg'!J261="","",'Port Bloomberg'!J261)</f>
        <v>Electric-Distribution</v>
      </c>
      <c r="K261" s="7" t="str">
        <f>IF('Port Bloomberg'!K261="","",'Port Bloomberg'!K261)</f>
        <v>MX</v>
      </c>
      <c r="L261" s="7" t="str">
        <f>IF('Port Bloomberg'!L261="","",'Port Bloomberg'!L261)</f>
        <v>MX</v>
      </c>
      <c r="M261" s="7" t="str">
        <f>IF('Port Bloomberg'!M261="","",'Port Bloomberg'!M261)</f>
        <v>USD</v>
      </c>
      <c r="N261" s="7">
        <f>IF('Port Bloomberg'!N261="","",'Port Bloomberg'!N261)</f>
        <v>800000</v>
      </c>
      <c r="O261" s="7" t="str">
        <f>IF('Port Bloomberg'!O261="","",'Port Bloomberg'!O261)</f>
        <v>SINGLE</v>
      </c>
      <c r="P261" s="7">
        <f>IF('Port Bloomberg'!P261="","",'Port Bloomberg'!P261)</f>
        <v>4.75</v>
      </c>
      <c r="Q261" s="7" t="str">
        <f>IF('Port Bloomberg'!Q261="","",'Port Bloomberg'!Q261)</f>
        <v>BBB-</v>
      </c>
      <c r="R261" s="7" t="str">
        <f>IF('Port Bloomberg'!R261="","",'Port Bloomberg'!R261)</f>
        <v>01/15/2051</v>
      </c>
      <c r="S261" s="5">
        <f>IF(E261="","",IFERROR(IF(MATCH(E261,[1]Instrumentos!$D:$D,0)&gt;0,1,0),0))</f>
        <v>1</v>
      </c>
      <c r="T261" s="5">
        <f>IF(E261="","",IFERROR(IF(MATCH(E261,'Lista de excepciones'!$E:$E,0)&gt;0,1,0),0))</f>
        <v>0</v>
      </c>
      <c r="U261" s="6" t="str">
        <f t="shared" si="5"/>
        <v>NO</v>
      </c>
    </row>
    <row r="262" spans="1:21" hidden="1" x14ac:dyDescent="0.25">
      <c r="A262" s="7" t="str">
        <f>IF('Port Bloomberg'!A262="","",'Port Bloomberg'!A262)</f>
        <v>IENOVA 4 ⅞ 01/14/48</v>
      </c>
      <c r="B262" s="7" t="str">
        <f>IF('Port Bloomberg'!B262="","",'Port Bloomberg'!B262)</f>
        <v>Infraestructura Energetica Nova SAPI de CV</v>
      </c>
      <c r="C262" s="7" t="str">
        <f>IF('Port Bloomberg'!C262="","",'Port Bloomberg'!C262)</f>
        <v>INFRAESTRUCTURA</v>
      </c>
      <c r="D262" s="7" t="str">
        <f>IF('Port Bloomberg'!D262="","",'Port Bloomberg'!D262)</f>
        <v>INFRAESTRUCTURA ENERGETI</v>
      </c>
      <c r="E262" s="7" t="str">
        <f>IF('Port Bloomberg'!E262="","",'Port Bloomberg'!E262)</f>
        <v>USP56145AB40</v>
      </c>
      <c r="F262" s="7" t="str">
        <f>IF('Port Bloomberg'!F262="","",'Port Bloomberg'!F262)</f>
        <v>IENOVA</v>
      </c>
      <c r="G262" s="7" t="str">
        <f>IF('Port Bloomberg'!G262="","",'Port Bloomberg'!G262)</f>
        <v>SRE US</v>
      </c>
      <c r="H262" s="7" t="str">
        <f>IF('Port Bloomberg'!H262="","",'Port Bloomberg'!H262)</f>
        <v>Electric</v>
      </c>
      <c r="I262" s="7" t="str">
        <f>IF('Port Bloomberg'!I262="","",'Port Bloomberg'!I262)</f>
        <v>UTL</v>
      </c>
      <c r="J262" s="7" t="str">
        <f>IF('Port Bloomberg'!J262="","",'Port Bloomberg'!J262)</f>
        <v>Electric-Distribution</v>
      </c>
      <c r="K262" s="7" t="str">
        <f>IF('Port Bloomberg'!K262="","",'Port Bloomberg'!K262)</f>
        <v>MX</v>
      </c>
      <c r="L262" s="7" t="str">
        <f>IF('Port Bloomberg'!L262="","",'Port Bloomberg'!L262)</f>
        <v>MX</v>
      </c>
      <c r="M262" s="7" t="str">
        <f>IF('Port Bloomberg'!M262="","",'Port Bloomberg'!M262)</f>
        <v>USD</v>
      </c>
      <c r="N262" s="7">
        <f>IF('Port Bloomberg'!N262="","",'Port Bloomberg'!N262)</f>
        <v>540000</v>
      </c>
      <c r="O262" s="7" t="str">
        <f>IF('Port Bloomberg'!O262="","",'Port Bloomberg'!O262)</f>
        <v>SINGLE</v>
      </c>
      <c r="P262" s="7">
        <f>IF('Port Bloomberg'!P262="","",'Port Bloomberg'!P262)</f>
        <v>4.875</v>
      </c>
      <c r="Q262" s="7" t="str">
        <f>IF('Port Bloomberg'!Q262="","",'Port Bloomberg'!Q262)</f>
        <v>BBB-</v>
      </c>
      <c r="R262" s="7" t="str">
        <f>IF('Port Bloomberg'!R262="","",'Port Bloomberg'!R262)</f>
        <v>01/14/2048</v>
      </c>
      <c r="S262" s="5">
        <f>IF(E262="","",IFERROR(IF(MATCH(E262,[1]Instrumentos!$D:$D,0)&gt;0,1,0),0))</f>
        <v>1</v>
      </c>
      <c r="T262" s="5">
        <f>IF(E262="","",IFERROR(IF(MATCH(E262,'Lista de excepciones'!$E:$E,0)&gt;0,1,0),0))</f>
        <v>0</v>
      </c>
      <c r="U262" s="6" t="str">
        <f t="shared" si="5"/>
        <v>NO</v>
      </c>
    </row>
    <row r="263" spans="1:21" hidden="1" x14ac:dyDescent="0.25">
      <c r="A263" s="7" t="str">
        <f>IF('Port Bloomberg'!A263="","",'Port Bloomberg'!A263)</f>
        <v>IFHBH 3 ⅞ 08/15/29</v>
      </c>
      <c r="B263" s="7" t="str">
        <f>IF('Port Bloomberg'!B263="","",'Port Bloomberg'!B263)</f>
        <v>Intercorp Peru Ltd</v>
      </c>
      <c r="C263" s="7" t="str">
        <f>IF('Port Bloomberg'!C263="","",'Port Bloomberg'!C263)</f>
        <v>INTERCORP PERU</v>
      </c>
      <c r="D263" s="7" t="str">
        <f>IF('Port Bloomberg'!D263="","",'Port Bloomberg'!D263)</f>
        <v>INTERCORP PERU LTD</v>
      </c>
      <c r="E263" s="7" t="str">
        <f>IF('Port Bloomberg'!E263="","",'Port Bloomberg'!E263)</f>
        <v>USP5625XAC85</v>
      </c>
      <c r="F263" s="7" t="str">
        <f>IF('Port Bloomberg'!F263="","",'Port Bloomberg'!F263)</f>
        <v>IFHBH</v>
      </c>
      <c r="G263" s="7" t="str">
        <f>IF('Port Bloomberg'!G263="","",'Port Bloomberg'!G263)</f>
        <v>INTCOBC1 PE</v>
      </c>
      <c r="H263" s="7" t="str">
        <f>IF('Port Bloomberg'!H263="","",'Port Bloomberg'!H263)</f>
        <v>Banks</v>
      </c>
      <c r="I263" s="7" t="str">
        <f>IF('Port Bloomberg'!I263="","",'Port Bloomberg'!I263)</f>
        <v>FIN</v>
      </c>
      <c r="J263" s="7" t="str">
        <f>IF('Port Bloomberg'!J263="","",'Port Bloomberg'!J263)</f>
        <v>Commer Banks Non-US</v>
      </c>
      <c r="K263" s="7" t="str">
        <f>IF('Port Bloomberg'!K263="","",'Port Bloomberg'!K263)</f>
        <v>PE</v>
      </c>
      <c r="L263" s="7" t="str">
        <f>IF('Port Bloomberg'!L263="","",'Port Bloomberg'!L263)</f>
        <v>PE</v>
      </c>
      <c r="M263" s="7" t="str">
        <f>IF('Port Bloomberg'!M263="","",'Port Bloomberg'!M263)</f>
        <v>USD</v>
      </c>
      <c r="N263" s="7">
        <f>IF('Port Bloomberg'!N263="","",'Port Bloomberg'!N263)</f>
        <v>325000</v>
      </c>
      <c r="O263" s="7" t="str">
        <f>IF('Port Bloomberg'!O263="","",'Port Bloomberg'!O263)</f>
        <v>SINGLE</v>
      </c>
      <c r="P263" s="7">
        <f>IF('Port Bloomberg'!P263="","",'Port Bloomberg'!P263)</f>
        <v>3.875</v>
      </c>
      <c r="Q263" s="7" t="str">
        <f>IF('Port Bloomberg'!Q263="","",'Port Bloomberg'!Q263)</f>
        <v>BBB-</v>
      </c>
      <c r="R263" s="7" t="str">
        <f>IF('Port Bloomberg'!R263="","",'Port Bloomberg'!R263)</f>
        <v>08/15/2029</v>
      </c>
      <c r="S263" s="5">
        <f>IF(E263="","",IFERROR(IF(MATCH(E263,[1]Instrumentos!$D:$D,0)&gt;0,1,0),0))</f>
        <v>1</v>
      </c>
      <c r="T263" s="5">
        <f>IF(E263="","",IFERROR(IF(MATCH(E263,'Lista de excepciones'!$E:$E,0)&gt;0,1,0),0))</f>
        <v>0</v>
      </c>
      <c r="U263" s="6" t="str">
        <f t="shared" si="5"/>
        <v>NO</v>
      </c>
    </row>
    <row r="264" spans="1:21" x14ac:dyDescent="0.25">
      <c r="A264" s="7" t="str">
        <f>IF('Port Bloomberg'!A264="","",'Port Bloomberg'!A264)</f>
        <v>IFHBH 5.6 07/16/33</v>
      </c>
      <c r="B264" s="7" t="str">
        <f>IF('Port Bloomberg'!B264="","",'Port Bloomberg'!B264)</f>
        <v>Intercorp Peru Ltd</v>
      </c>
      <c r="C264" s="7" t="str">
        <f>IF('Port Bloomberg'!C264="","",'Port Bloomberg'!C264)</f>
        <v>INTERCORP PERU</v>
      </c>
      <c r="D264" s="7" t="str">
        <f>IF('Port Bloomberg'!D264="","",'Port Bloomberg'!D264)</f>
        <v>INTERCORP PERU LTD</v>
      </c>
      <c r="E264" s="7" t="str">
        <f>IF('Port Bloomberg'!E264="","",'Port Bloomberg'!E264)</f>
        <v>USP5625XAD68</v>
      </c>
      <c r="F264" s="7" t="str">
        <f>IF('Port Bloomberg'!F264="","",'Port Bloomberg'!F264)</f>
        <v>IFHBH</v>
      </c>
      <c r="G264" s="7" t="str">
        <f>IF('Port Bloomberg'!G264="","",'Port Bloomberg'!G264)</f>
        <v>INTCOBC1 PE</v>
      </c>
      <c r="H264" s="7" t="str">
        <f>IF('Port Bloomberg'!H264="","",'Port Bloomberg'!H264)</f>
        <v>Banks</v>
      </c>
      <c r="I264" s="7" t="str">
        <f>IF('Port Bloomberg'!I264="","",'Port Bloomberg'!I264)</f>
        <v>FIN</v>
      </c>
      <c r="J264" s="7" t="str">
        <f>IF('Port Bloomberg'!J264="","",'Port Bloomberg'!J264)</f>
        <v>Commer Banks Non-US</v>
      </c>
      <c r="K264" s="7" t="str">
        <f>IF('Port Bloomberg'!K264="","",'Port Bloomberg'!K264)</f>
        <v>PE</v>
      </c>
      <c r="L264" s="7" t="str">
        <f>IF('Port Bloomberg'!L264="","",'Port Bloomberg'!L264)</f>
        <v>PE</v>
      </c>
      <c r="M264" s="7" t="str">
        <f>IF('Port Bloomberg'!M264="","",'Port Bloomberg'!M264)</f>
        <v>USD</v>
      </c>
      <c r="N264" s="7">
        <f>IF('Port Bloomberg'!N264="","",'Port Bloomberg'!N264)</f>
        <v>300000</v>
      </c>
      <c r="O264" s="7" t="str">
        <f>IF('Port Bloomberg'!O264="","",'Port Bloomberg'!O264)</f>
        <v>SINGLE</v>
      </c>
      <c r="P264" s="7">
        <f>IF('Port Bloomberg'!P264="","",'Port Bloomberg'!P264)</f>
        <v>5.6</v>
      </c>
      <c r="Q264" s="7" t="str">
        <f>IF('Port Bloomberg'!Q264="","",'Port Bloomberg'!Q264)</f>
        <v>BBB-</v>
      </c>
      <c r="R264" s="7" t="str">
        <f>IF('Port Bloomberg'!R264="","",'Port Bloomberg'!R264)</f>
        <v>07/16/2033</v>
      </c>
      <c r="S264" s="5">
        <f>IF(E264="","",IFERROR(IF(MATCH(E264,[1]Instrumentos!$D:$D,0)&gt;0,1,0),0))</f>
        <v>1</v>
      </c>
      <c r="T264" s="5">
        <f>IF(E264="","",IFERROR(IF(MATCH(E264,'Lista de excepciones'!$E:$E,0)&gt;0,1,0),0))</f>
        <v>0</v>
      </c>
      <c r="U264" s="6" t="str">
        <f t="shared" si="5"/>
        <v>NO</v>
      </c>
    </row>
    <row r="265" spans="1:21" hidden="1" x14ac:dyDescent="0.25">
      <c r="A265" s="7" t="str">
        <f>IF('Port Bloomberg'!A265="","",'Port Bloomberg'!A265)</f>
        <v>ILCCI 4 ¾ 02/07/32</v>
      </c>
      <c r="B265" s="7" t="str">
        <f>IF('Port Bloomberg'!B265="","",'Port Bloomberg'!B265)</f>
        <v>Inversiones La Construccion SA</v>
      </c>
      <c r="C265" s="7" t="str">
        <f>IF('Port Bloomberg'!C265="","",'Port Bloomberg'!C265)</f>
        <v>LA CONSTRUCCION</v>
      </c>
      <c r="D265" s="7" t="str">
        <f>IF('Port Bloomberg'!D265="","",'Port Bloomberg'!D265)</f>
        <v>LA CONSTRUCCION SA</v>
      </c>
      <c r="E265" s="7" t="str">
        <f>IF('Port Bloomberg'!E265="","",'Port Bloomberg'!E265)</f>
        <v>USP5817RAG04</v>
      </c>
      <c r="F265" s="7" t="str">
        <f>IF('Port Bloomberg'!F265="","",'Port Bloomberg'!F265)</f>
        <v>ILCCI</v>
      </c>
      <c r="G265" s="7" t="str">
        <f>IF('Port Bloomberg'!G265="","",'Port Bloomberg'!G265)</f>
        <v>ILC CI</v>
      </c>
      <c r="H265" s="7" t="str">
        <f>IF('Port Bloomberg'!H265="","",'Port Bloomberg'!H265)</f>
        <v>Holding Companies-Divers</v>
      </c>
      <c r="I265" s="7" t="str">
        <f>IF('Port Bloomberg'!I265="","",'Port Bloomberg'!I265)</f>
        <v>FIN</v>
      </c>
      <c r="J265" s="7" t="str">
        <f>IF('Port Bloomberg'!J265="","",'Port Bloomberg'!J265)</f>
        <v>Diversified Operations</v>
      </c>
      <c r="K265" s="7" t="str">
        <f>IF('Port Bloomberg'!K265="","",'Port Bloomberg'!K265)</f>
        <v>CL</v>
      </c>
      <c r="L265" s="7" t="str">
        <f>IF('Port Bloomberg'!L265="","",'Port Bloomberg'!L265)</f>
        <v>CL</v>
      </c>
      <c r="M265" s="7" t="str">
        <f>IF('Port Bloomberg'!M265="","",'Port Bloomberg'!M265)</f>
        <v>USD</v>
      </c>
      <c r="N265" s="7">
        <f>IF('Port Bloomberg'!N265="","",'Port Bloomberg'!N265)</f>
        <v>300000</v>
      </c>
      <c r="O265" s="7" t="str">
        <f>IF('Port Bloomberg'!O265="","",'Port Bloomberg'!O265)</f>
        <v>SINGLE</v>
      </c>
      <c r="P265" s="7">
        <f>IF('Port Bloomberg'!P265="","",'Port Bloomberg'!P265)</f>
        <v>4.75</v>
      </c>
      <c r="Q265" s="7" t="str">
        <f>IF('Port Bloomberg'!Q265="","",'Port Bloomberg'!Q265)</f>
        <v>BBB+</v>
      </c>
      <c r="R265" s="7" t="str">
        <f>IF('Port Bloomberg'!R265="","",'Port Bloomberg'!R265)</f>
        <v>02/07/2032</v>
      </c>
      <c r="S265" s="5">
        <f>IF(E265="","",IFERROR(IF(MATCH(E265,[1]Instrumentos!$D:$D,0)&gt;0,1,0),0))</f>
        <v>1</v>
      </c>
      <c r="T265" s="5">
        <f>IF(E265="","",IFERROR(IF(MATCH(E265,'Lista de excepciones'!$E:$E,0)&gt;0,1,0),0))</f>
        <v>0</v>
      </c>
      <c r="U265" s="6" t="str">
        <f t="shared" si="5"/>
        <v>NO</v>
      </c>
    </row>
    <row r="266" spans="1:21" hidden="1" x14ac:dyDescent="0.25">
      <c r="A266" s="7" t="str">
        <f>IF('Port Bloomberg'!A266="","",'Port Bloomberg'!A266)</f>
        <v>INRSHM 5.65 10/16/32</v>
      </c>
      <c r="B266" s="7" t="str">
        <f>IF('Port Bloomberg'!B266="","",'Port Bloomberg'!B266)</f>
        <v>InRetail Shopping Malls</v>
      </c>
      <c r="C266" s="7" t="str">
        <f>IF('Port Bloomberg'!C266="","",'Port Bloomberg'!C266)</f>
        <v>INRETAIL SHOP MA</v>
      </c>
      <c r="D266" s="7" t="str">
        <f>IF('Port Bloomberg'!D266="","",'Port Bloomberg'!D266)</f>
        <v>INRETAIL SHOPPING MALLS</v>
      </c>
      <c r="E266" s="7" t="str">
        <f>IF('Port Bloomberg'!E266="","",'Port Bloomberg'!E266)</f>
        <v>USP56243AE14</v>
      </c>
      <c r="F266" s="7" t="str">
        <f>IF('Port Bloomberg'!F266="","",'Port Bloomberg'!F266)</f>
        <v>INRSHM</v>
      </c>
      <c r="G266" s="7" t="str">
        <f>IF('Port Bloomberg'!G266="","",'Port Bloomberg'!G266)</f>
        <v>INRETC1 PE</v>
      </c>
      <c r="H266" s="7" t="str">
        <f>IF('Port Bloomberg'!H266="","",'Port Bloomberg'!H266)</f>
        <v>Real Estate</v>
      </c>
      <c r="I266" s="7" t="str">
        <f>IF('Port Bloomberg'!I266="","",'Port Bloomberg'!I266)</f>
        <v>FIN</v>
      </c>
      <c r="J266" s="7" t="str">
        <f>IF('Port Bloomberg'!J266="","",'Port Bloomberg'!J266)</f>
        <v>Real Estate Oper/Develop</v>
      </c>
      <c r="K266" s="7" t="str">
        <f>IF('Port Bloomberg'!K266="","",'Port Bloomberg'!K266)</f>
        <v>PE</v>
      </c>
      <c r="L266" s="7" t="str">
        <f>IF('Port Bloomberg'!L266="","",'Port Bloomberg'!L266)</f>
        <v>PE</v>
      </c>
      <c r="M266" s="7" t="str">
        <f>IF('Port Bloomberg'!M266="","",'Port Bloomberg'!M266)</f>
        <v>USD</v>
      </c>
      <c r="N266" s="7">
        <f>IF('Port Bloomberg'!N266="","",'Port Bloomberg'!N266)</f>
        <v>375000</v>
      </c>
      <c r="O266" s="7" t="str">
        <f>IF('Port Bloomberg'!O266="","",'Port Bloomberg'!O266)</f>
        <v>SINGLE</v>
      </c>
      <c r="P266" s="7">
        <f>IF('Port Bloomberg'!P266="","",'Port Bloomberg'!P266)</f>
        <v>5.65</v>
      </c>
      <c r="Q266" s="7" t="str">
        <f>IF('Port Bloomberg'!Q266="","",'Port Bloomberg'!Q266)</f>
        <v>BB+</v>
      </c>
      <c r="R266" s="7" t="str">
        <f>IF('Port Bloomberg'!R266="","",'Port Bloomberg'!R266)</f>
        <v>10/16/2032</v>
      </c>
      <c r="S266" s="5">
        <f>IF(E266="","",IFERROR(IF(MATCH(E266,[1]Instrumentos!$D:$D,0)&gt;0,1,0),0))</f>
        <v>1</v>
      </c>
      <c r="T266" s="5">
        <f>IF(E266="","",IFERROR(IF(MATCH(E266,'Lista de excepciones'!$E:$E,0)&gt;0,1,0),0))</f>
        <v>0</v>
      </c>
      <c r="U266" s="6" t="str">
        <f t="shared" si="5"/>
        <v>NO</v>
      </c>
    </row>
    <row r="267" spans="1:21" hidden="1" x14ac:dyDescent="0.25">
      <c r="A267" s="7" t="str">
        <f>IF('Port Bloomberg'!A267="","",'Port Bloomberg'!A267)</f>
        <v>INTERC 4 ½ 06/30/56</v>
      </c>
      <c r="B267" s="7" t="str">
        <f>IF('Port Bloomberg'!B267="","",'Port Bloomberg'!B267)</f>
        <v>Interchile SA</v>
      </c>
      <c r="C267" s="7" t="str">
        <f>IF('Port Bloomberg'!C267="","",'Port Bloomberg'!C267)</f>
        <v>INTERCHILE</v>
      </c>
      <c r="D267" s="7" t="str">
        <f>IF('Port Bloomberg'!D267="","",'Port Bloomberg'!D267)</f>
        <v>INTERCHILE SA</v>
      </c>
      <c r="E267" s="7" t="str">
        <f>IF('Port Bloomberg'!E267="","",'Port Bloomberg'!E267)</f>
        <v>USP5R70LAA96</v>
      </c>
      <c r="F267" s="7" t="str">
        <f>IF('Port Bloomberg'!F267="","",'Port Bloomberg'!F267)</f>
        <v>INTERC</v>
      </c>
      <c r="G267" s="7" t="str">
        <f>IF('Port Bloomberg'!G267="","",'Port Bloomberg'!G267)</f>
        <v>1385351D CI</v>
      </c>
      <c r="H267" s="7" t="str">
        <f>IF('Port Bloomberg'!H267="","",'Port Bloomberg'!H267)</f>
        <v>Electric</v>
      </c>
      <c r="I267" s="7" t="str">
        <f>IF('Port Bloomberg'!I267="","",'Port Bloomberg'!I267)</f>
        <v>FOA</v>
      </c>
      <c r="J267" s="7" t="str">
        <f>IF('Port Bloomberg'!J267="","",'Port Bloomberg'!J267)</f>
        <v>Electric-Transmission</v>
      </c>
      <c r="K267" s="7" t="str">
        <f>IF('Port Bloomberg'!K267="","",'Port Bloomberg'!K267)</f>
        <v>CL</v>
      </c>
      <c r="L267" s="7" t="str">
        <f>IF('Port Bloomberg'!L267="","",'Port Bloomberg'!L267)</f>
        <v>CL</v>
      </c>
      <c r="M267" s="7" t="str">
        <f>IF('Port Bloomberg'!M267="","",'Port Bloomberg'!M267)</f>
        <v>USD</v>
      </c>
      <c r="N267" s="7">
        <f>IF('Port Bloomberg'!N267="","",'Port Bloomberg'!N267)</f>
        <v>1200000</v>
      </c>
      <c r="O267" s="7" t="str">
        <f>IF('Port Bloomberg'!O267="","",'Port Bloomberg'!O267)</f>
        <v>SINGLE</v>
      </c>
      <c r="P267" s="7">
        <f>IF('Port Bloomberg'!P267="","",'Port Bloomberg'!P267)</f>
        <v>4.5</v>
      </c>
      <c r="Q267" s="7" t="str">
        <f>IF('Port Bloomberg'!Q267="","",'Port Bloomberg'!Q267)</f>
        <v>BBB+</v>
      </c>
      <c r="R267" s="7" t="str">
        <f>IF('Port Bloomberg'!R267="","",'Port Bloomberg'!R267)</f>
        <v>06/30/2056</v>
      </c>
      <c r="S267" s="5">
        <f>IF(E267="","",IFERROR(IF(MATCH(E267,[1]Instrumentos!$D:$D,0)&gt;0,1,0),0))</f>
        <v>1</v>
      </c>
      <c r="T267" s="5">
        <f>IF(E267="","",IFERROR(IF(MATCH(E267,'Lista de excepciones'!$E:$E,0)&gt;0,1,0),0))</f>
        <v>0</v>
      </c>
      <c r="U267" s="6" t="str">
        <f t="shared" si="5"/>
        <v>NO</v>
      </c>
    </row>
    <row r="268" spans="1:21" hidden="1" x14ac:dyDescent="0.25">
      <c r="A268" s="7" t="str">
        <f>IF('Port Bloomberg'!A268="","",'Port Bloomberg'!A268)</f>
        <v>ISACB 3.825 11/26/33</v>
      </c>
      <c r="B268" s="7" t="str">
        <f>IF('Port Bloomberg'!B268="","",'Port Bloomberg'!B268)</f>
        <v>Interconexion Electrica SA ESP</v>
      </c>
      <c r="C268" s="7" t="str">
        <f>IF('Port Bloomberg'!C268="","",'Port Bloomberg'!C268)</f>
        <v>ISA</v>
      </c>
      <c r="D268" s="7" t="str">
        <f>IF('Port Bloomberg'!D268="","",'Port Bloomberg'!D268)</f>
        <v>INTERCONEXION ELECTRICA</v>
      </c>
      <c r="E268" s="7" t="str">
        <f>IF('Port Bloomberg'!E268="","",'Port Bloomberg'!E268)</f>
        <v>USP5626NAA39</v>
      </c>
      <c r="F268" s="7" t="str">
        <f>IF('Port Bloomberg'!F268="","",'Port Bloomberg'!F268)</f>
        <v>ISACB</v>
      </c>
      <c r="G268" s="7" t="str">
        <f>IF('Port Bloomberg'!G268="","",'Port Bloomberg'!G268)</f>
        <v>ISA CB</v>
      </c>
      <c r="H268" s="7" t="str">
        <f>IF('Port Bloomberg'!H268="","",'Port Bloomberg'!H268)</f>
        <v>Electric</v>
      </c>
      <c r="I268" s="7" t="str">
        <f>IF('Port Bloomberg'!I268="","",'Port Bloomberg'!I268)</f>
        <v>FOA</v>
      </c>
      <c r="J268" s="7" t="str">
        <f>IF('Port Bloomberg'!J268="","",'Port Bloomberg'!J268)</f>
        <v>Electric-Transmission</v>
      </c>
      <c r="K268" s="7" t="str">
        <f>IF('Port Bloomberg'!K268="","",'Port Bloomberg'!K268)</f>
        <v>CO</v>
      </c>
      <c r="L268" s="7" t="str">
        <f>IF('Port Bloomberg'!L268="","",'Port Bloomberg'!L268)</f>
        <v>CO</v>
      </c>
      <c r="M268" s="7" t="str">
        <f>IF('Port Bloomberg'!M268="","",'Port Bloomberg'!M268)</f>
        <v>USD</v>
      </c>
      <c r="N268" s="7">
        <f>IF('Port Bloomberg'!N268="","",'Port Bloomberg'!N268)</f>
        <v>330000</v>
      </c>
      <c r="O268" s="7" t="str">
        <f>IF('Port Bloomberg'!O268="","",'Port Bloomberg'!O268)</f>
        <v>SINGLE</v>
      </c>
      <c r="P268" s="7">
        <f>IF('Port Bloomberg'!P268="","",'Port Bloomberg'!P268)</f>
        <v>3.8250000000000002</v>
      </c>
      <c r="Q268" s="7" t="str">
        <f>IF('Port Bloomberg'!Q268="","",'Port Bloomberg'!Q268)</f>
        <v>BBB-</v>
      </c>
      <c r="R268" s="7" t="str">
        <f>IF('Port Bloomberg'!R268="","",'Port Bloomberg'!R268)</f>
        <v>11/26/2033</v>
      </c>
      <c r="S268" s="5">
        <f>IF(E268="","",IFERROR(IF(MATCH(E268,[1]Instrumentos!$D:$D,0)&gt;0,1,0),0))</f>
        <v>1</v>
      </c>
      <c r="T268" s="5">
        <f>IF(E268="","",IFERROR(IF(MATCH(E268,'Lista de excepciones'!$E:$E,0)&gt;0,1,0),0))</f>
        <v>0</v>
      </c>
      <c r="U268" s="6" t="str">
        <f t="shared" si="5"/>
        <v>NO</v>
      </c>
    </row>
    <row r="269" spans="1:21" hidden="1" x14ac:dyDescent="0.25">
      <c r="A269" s="7" t="str">
        <f>IF('Port Bloomberg'!A269="","",'Port Bloomberg'!A269)</f>
        <v>ITAU 6 02/27/30</v>
      </c>
      <c r="B269" s="7" t="str">
        <f>IF('Port Bloomberg'!B269="","",'Port Bloomberg'!B269)</f>
        <v>Itau Unibanco Holding SA/Cayman Island</v>
      </c>
      <c r="C269" s="7" t="str">
        <f>IF('Port Bloomberg'!C269="","",'Port Bloomberg'!C269)</f>
        <v>ITAU UNIBANCO/KY</v>
      </c>
      <c r="D269" s="7" t="str">
        <f>IF('Port Bloomberg'!D269="","",'Port Bloomberg'!D269)</f>
        <v>ITAU UNIBANCO HLDG SA/KY</v>
      </c>
      <c r="E269" s="7" t="str">
        <f>IF('Port Bloomberg'!E269="","",'Port Bloomberg'!E269)</f>
        <v>US46556W2E95</v>
      </c>
      <c r="F269" s="7" t="str">
        <f>IF('Port Bloomberg'!F269="","",'Port Bloomberg'!F269)</f>
        <v>ITAU</v>
      </c>
      <c r="G269" s="7" t="str">
        <f>IF('Port Bloomberg'!G269="","",'Port Bloomberg'!G269)</f>
        <v>ITUB4 BZ</v>
      </c>
      <c r="H269" s="7" t="str">
        <f>IF('Port Bloomberg'!H269="","",'Port Bloomberg'!H269)</f>
        <v>Banks</v>
      </c>
      <c r="I269" s="7" t="str">
        <f>IF('Port Bloomberg'!I269="","",'Port Bloomberg'!I269)</f>
        <v>FIN</v>
      </c>
      <c r="J269" s="7" t="str">
        <f>IF('Port Bloomberg'!J269="","",'Port Bloomberg'!J269)</f>
        <v>Commer Banks Non-US</v>
      </c>
      <c r="K269" s="7" t="str">
        <f>IF('Port Bloomberg'!K269="","",'Port Bloomberg'!K269)</f>
        <v>KY</v>
      </c>
      <c r="L269" s="7" t="str">
        <f>IF('Port Bloomberg'!L269="","",'Port Bloomberg'!L269)</f>
        <v>BR</v>
      </c>
      <c r="M269" s="7" t="str">
        <f>IF('Port Bloomberg'!M269="","",'Port Bloomberg'!M269)</f>
        <v>USD</v>
      </c>
      <c r="N269" s="7">
        <f>IF('Port Bloomberg'!N269="","",'Port Bloomberg'!N269)</f>
        <v>1000000</v>
      </c>
      <c r="O269" s="7" t="str">
        <f>IF('Port Bloomberg'!O269="","",'Port Bloomberg'!O269)</f>
        <v>SINGLE</v>
      </c>
      <c r="P269" s="7">
        <f>IF('Port Bloomberg'!P269="","",'Port Bloomberg'!P269)</f>
        <v>6</v>
      </c>
      <c r="Q269" s="7" t="str">
        <f>IF('Port Bloomberg'!Q269="","",'Port Bloomberg'!Q269)</f>
        <v>BB</v>
      </c>
      <c r="R269" s="7" t="str">
        <f>IF('Port Bloomberg'!R269="","",'Port Bloomberg'!R269)</f>
        <v>02/27/2030</v>
      </c>
      <c r="S269" s="5">
        <f>IF(E269="","",IFERROR(IF(MATCH(E269,[1]Instrumentos!$D:$D,0)&gt;0,1,0),0))</f>
        <v>1</v>
      </c>
      <c r="T269" s="5">
        <f>IF(E269="","",IFERROR(IF(MATCH(E269,'Lista de excepciones'!$E:$E,0)&gt;0,1,0),0))</f>
        <v>0</v>
      </c>
      <c r="U269" s="6" t="str">
        <f t="shared" si="5"/>
        <v>NO</v>
      </c>
    </row>
    <row r="270" spans="1:21" hidden="1" x14ac:dyDescent="0.25">
      <c r="A270" s="7" t="str">
        <f>IF('Port Bloomberg'!A270="","",'Port Bloomberg'!A270)</f>
        <v>JBYCMX 2 ½ 10/14/31</v>
      </c>
      <c r="B270" s="7" t="str">
        <f>IF('Port Bloomberg'!B270="","",'Port Bloomberg'!B270)</f>
        <v>Becle SAB de CV</v>
      </c>
      <c r="C270" s="7" t="str">
        <f>IF('Port Bloomberg'!C270="","",'Port Bloomberg'!C270)</f>
        <v>BECLE SA DE CV</v>
      </c>
      <c r="D270" s="7" t="str">
        <f>IF('Port Bloomberg'!D270="","",'Port Bloomberg'!D270)</f>
        <v>BECLE SA DE CV</v>
      </c>
      <c r="E270" s="7" t="str">
        <f>IF('Port Bloomberg'!E270="","",'Port Bloomberg'!E270)</f>
        <v>USP0929YAA49</v>
      </c>
      <c r="F270" s="7" t="str">
        <f>IF('Port Bloomberg'!F270="","",'Port Bloomberg'!F270)</f>
        <v>JBYCMX</v>
      </c>
      <c r="G270" s="7" t="str">
        <f>IF('Port Bloomberg'!G270="","",'Port Bloomberg'!G270)</f>
        <v>CUERVO* MM</v>
      </c>
      <c r="H270" s="7" t="str">
        <f>IF('Port Bloomberg'!H270="","",'Port Bloomberg'!H270)</f>
        <v>Beverages</v>
      </c>
      <c r="I270" s="7" t="str">
        <f>IF('Port Bloomberg'!I270="","",'Port Bloomberg'!I270)</f>
        <v>IND</v>
      </c>
      <c r="J270" s="7" t="str">
        <f>IF('Port Bloomberg'!J270="","",'Port Bloomberg'!J270)</f>
        <v>Beverages-Wine/Spirits</v>
      </c>
      <c r="K270" s="7" t="str">
        <f>IF('Port Bloomberg'!K270="","",'Port Bloomberg'!K270)</f>
        <v>MX</v>
      </c>
      <c r="L270" s="7" t="str">
        <f>IF('Port Bloomberg'!L270="","",'Port Bloomberg'!L270)</f>
        <v>MX</v>
      </c>
      <c r="M270" s="7" t="str">
        <f>IF('Port Bloomberg'!M270="","",'Port Bloomberg'!M270)</f>
        <v>USD</v>
      </c>
      <c r="N270" s="7">
        <f>IF('Port Bloomberg'!N270="","",'Port Bloomberg'!N270)</f>
        <v>800000</v>
      </c>
      <c r="O270" s="7" t="str">
        <f>IF('Port Bloomberg'!O270="","",'Port Bloomberg'!O270)</f>
        <v>SINGLE</v>
      </c>
      <c r="P270" s="7">
        <f>IF('Port Bloomberg'!P270="","",'Port Bloomberg'!P270)</f>
        <v>2.5</v>
      </c>
      <c r="Q270" s="7" t="str">
        <f>IF('Port Bloomberg'!Q270="","",'Port Bloomberg'!Q270)</f>
        <v>BBB-</v>
      </c>
      <c r="R270" s="7" t="str">
        <f>IF('Port Bloomberg'!R270="","",'Port Bloomberg'!R270)</f>
        <v>10/14/2031</v>
      </c>
      <c r="S270" s="5">
        <f>IF(E270="","",IFERROR(IF(MATCH(E270,[1]Instrumentos!$D:$D,0)&gt;0,1,0),0))</f>
        <v>1</v>
      </c>
      <c r="T270" s="5">
        <f>IF(E270="","",IFERROR(IF(MATCH(E270,'Lista de excepciones'!$E:$E,0)&gt;0,1,0),0))</f>
        <v>0</v>
      </c>
      <c r="U270" s="6" t="str">
        <f t="shared" si="5"/>
        <v>NO</v>
      </c>
    </row>
    <row r="271" spans="1:21" hidden="1" x14ac:dyDescent="0.25">
      <c r="A271" s="7" t="str">
        <f>IF('Port Bloomberg'!A271="","",'Port Bloomberg'!A271)</f>
        <v>KALLPA 5 ½ 09/11/35</v>
      </c>
      <c r="B271" s="7" t="str">
        <f>IF('Port Bloomberg'!B271="","",'Port Bloomberg'!B271)</f>
        <v>Kallpa Generacion SA</v>
      </c>
      <c r="C271" s="7" t="str">
        <f>IF('Port Bloomberg'!C271="","",'Port Bloomberg'!C271)</f>
        <v>KALLPA GENERACIO</v>
      </c>
      <c r="D271" s="7" t="str">
        <f>IF('Port Bloomberg'!D271="","",'Port Bloomberg'!D271)</f>
        <v>KALLPA GENERACION SA</v>
      </c>
      <c r="E271" s="7" t="str">
        <f>IF('Port Bloomberg'!E271="","",'Port Bloomberg'!E271)</f>
        <v>USP6040KAD92</v>
      </c>
      <c r="F271" s="7" t="str">
        <f>IF('Port Bloomberg'!F271="","",'Port Bloomberg'!F271)</f>
        <v>KALLPA</v>
      </c>
      <c r="G271" s="7" t="str">
        <f>IF('Port Bloomberg'!G271="","",'Port Bloomberg'!G271)</f>
        <v/>
      </c>
      <c r="H271" s="7" t="str">
        <f>IF('Port Bloomberg'!H271="","",'Port Bloomberg'!H271)</f>
        <v>Electric</v>
      </c>
      <c r="I271" s="7" t="str">
        <f>IF('Port Bloomberg'!I271="","",'Port Bloomberg'!I271)</f>
        <v>UTL</v>
      </c>
      <c r="J271" s="7" t="str">
        <f>IF('Port Bloomberg'!J271="","",'Port Bloomberg'!J271)</f>
        <v>Electric-Generation</v>
      </c>
      <c r="K271" s="7" t="str">
        <f>IF('Port Bloomberg'!K271="","",'Port Bloomberg'!K271)</f>
        <v>PE</v>
      </c>
      <c r="L271" s="7" t="str">
        <f>IF('Port Bloomberg'!L271="","",'Port Bloomberg'!L271)</f>
        <v>PE</v>
      </c>
      <c r="M271" s="7" t="str">
        <f>IF('Port Bloomberg'!M271="","",'Port Bloomberg'!M271)</f>
        <v>USD</v>
      </c>
      <c r="N271" s="7">
        <f>IF('Port Bloomberg'!N271="","",'Port Bloomberg'!N271)</f>
        <v>700000</v>
      </c>
      <c r="O271" s="7" t="str">
        <f>IF('Port Bloomberg'!O271="","",'Port Bloomberg'!O271)</f>
        <v>SINGLE</v>
      </c>
      <c r="P271" s="7">
        <f>IF('Port Bloomberg'!P271="","",'Port Bloomberg'!P271)</f>
        <v>5.5</v>
      </c>
      <c r="Q271" s="7" t="str">
        <f>IF('Port Bloomberg'!Q271="","",'Port Bloomberg'!Q271)</f>
        <v>BBB-</v>
      </c>
      <c r="R271" s="7" t="str">
        <f>IF('Port Bloomberg'!R271="","",'Port Bloomberg'!R271)</f>
        <v>09/11/2035</v>
      </c>
      <c r="S271" s="5">
        <f>IF(E271="","",IFERROR(IF(MATCH(E271,[1]Instrumentos!$D:$D,0)&gt;0,1,0),0))</f>
        <v>1</v>
      </c>
      <c r="T271" s="5">
        <f>IF(E271="","",IFERROR(IF(MATCH(E271,'Lista de excepciones'!$E:$E,0)&gt;0,1,0),0))</f>
        <v>0</v>
      </c>
      <c r="U271" s="6" t="str">
        <f t="shared" si="5"/>
        <v>NO</v>
      </c>
    </row>
    <row r="272" spans="1:21" hidden="1" x14ac:dyDescent="0.25">
      <c r="A272" s="7" t="str">
        <f>IF('Port Bloomberg'!A272="","",'Port Bloomberg'!A272)</f>
        <v>KALLPA 5 ⅞ 01/30/32</v>
      </c>
      <c r="B272" s="7" t="str">
        <f>IF('Port Bloomberg'!B272="","",'Port Bloomberg'!B272)</f>
        <v>Kallpa Generacion SA</v>
      </c>
      <c r="C272" s="7" t="str">
        <f>IF('Port Bloomberg'!C272="","",'Port Bloomberg'!C272)</f>
        <v>KALLPA GENERACIO</v>
      </c>
      <c r="D272" s="7" t="str">
        <f>IF('Port Bloomberg'!D272="","",'Port Bloomberg'!D272)</f>
        <v>KALLPA GENERACION SA</v>
      </c>
      <c r="E272" s="7" t="str">
        <f>IF('Port Bloomberg'!E272="","",'Port Bloomberg'!E272)</f>
        <v>USP6040KAC10</v>
      </c>
      <c r="F272" s="7" t="str">
        <f>IF('Port Bloomberg'!F272="","",'Port Bloomberg'!F272)</f>
        <v>KALLPA</v>
      </c>
      <c r="G272" s="7" t="str">
        <f>IF('Port Bloomberg'!G272="","",'Port Bloomberg'!G272)</f>
        <v/>
      </c>
      <c r="H272" s="7" t="str">
        <f>IF('Port Bloomberg'!H272="","",'Port Bloomberg'!H272)</f>
        <v>Electric</v>
      </c>
      <c r="I272" s="7" t="str">
        <f>IF('Port Bloomberg'!I272="","",'Port Bloomberg'!I272)</f>
        <v>UTL</v>
      </c>
      <c r="J272" s="7" t="str">
        <f>IF('Port Bloomberg'!J272="","",'Port Bloomberg'!J272)</f>
        <v>Electric-Generation</v>
      </c>
      <c r="K272" s="7" t="str">
        <f>IF('Port Bloomberg'!K272="","",'Port Bloomberg'!K272)</f>
        <v>PE</v>
      </c>
      <c r="L272" s="7" t="str">
        <f>IF('Port Bloomberg'!L272="","",'Port Bloomberg'!L272)</f>
        <v>PE</v>
      </c>
      <c r="M272" s="7" t="str">
        <f>IF('Port Bloomberg'!M272="","",'Port Bloomberg'!M272)</f>
        <v>USD</v>
      </c>
      <c r="N272" s="7">
        <f>IF('Port Bloomberg'!N272="","",'Port Bloomberg'!N272)</f>
        <v>500000</v>
      </c>
      <c r="O272" s="7" t="str">
        <f>IF('Port Bloomberg'!O272="","",'Port Bloomberg'!O272)</f>
        <v>SINGLE</v>
      </c>
      <c r="P272" s="7">
        <f>IF('Port Bloomberg'!P272="","",'Port Bloomberg'!P272)</f>
        <v>5.875</v>
      </c>
      <c r="Q272" s="7" t="str">
        <f>IF('Port Bloomberg'!Q272="","",'Port Bloomberg'!Q272)</f>
        <v>BBB-</v>
      </c>
      <c r="R272" s="7" t="str">
        <f>IF('Port Bloomberg'!R272="","",'Port Bloomberg'!R272)</f>
        <v>01/30/2032</v>
      </c>
      <c r="S272" s="5">
        <f>IF(E272="","",IFERROR(IF(MATCH(E272,[1]Instrumentos!$D:$D,0)&gt;0,1,0),0))</f>
        <v>1</v>
      </c>
      <c r="T272" s="5">
        <f>IF(E272="","",IFERROR(IF(MATCH(E272,'Lista de excepciones'!$E:$E,0)&gt;0,1,0),0))</f>
        <v>0</v>
      </c>
      <c r="U272" s="6" t="str">
        <f t="shared" si="5"/>
        <v>NO</v>
      </c>
    </row>
    <row r="273" spans="1:24" hidden="1" x14ac:dyDescent="0.25">
      <c r="A273" s="7" t="str">
        <f>IF('Port Bloomberg'!A273="","",'Port Bloomberg'!A273)</f>
        <v>KCMA 2.431 07/01/31</v>
      </c>
      <c r="B273" s="7" t="str">
        <f>IF('Port Bloomberg'!B273="","",'Port Bloomberg'!B273)</f>
        <v>Kimberly-Clark de Mexico SAB de CV</v>
      </c>
      <c r="C273" s="7" t="str">
        <f>IF('Port Bloomberg'!C273="","",'Port Bloomberg'!C273)</f>
        <v>KIMBERLY-CLA MEX</v>
      </c>
      <c r="D273" s="7" t="str">
        <f>IF('Port Bloomberg'!D273="","",'Port Bloomberg'!D273)</f>
        <v>KIMBERLY-CLARK DE MEXICO</v>
      </c>
      <c r="E273" s="7" t="str">
        <f>IF('Port Bloomberg'!E273="","",'Port Bloomberg'!E273)</f>
        <v>USP60694AF68</v>
      </c>
      <c r="F273" s="7" t="str">
        <f>IF('Port Bloomberg'!F273="","",'Port Bloomberg'!F273)</f>
        <v>KCMA</v>
      </c>
      <c r="G273" s="7" t="str">
        <f>IF('Port Bloomberg'!G273="","",'Port Bloomberg'!G273)</f>
        <v>KIMBERA MM</v>
      </c>
      <c r="H273" s="7" t="str">
        <f>IF('Port Bloomberg'!H273="","",'Port Bloomberg'!H273)</f>
        <v>Household Products/Wares</v>
      </c>
      <c r="I273" s="7" t="str">
        <f>IF('Port Bloomberg'!I273="","",'Port Bloomberg'!I273)</f>
        <v>IND</v>
      </c>
      <c r="J273" s="7" t="str">
        <f>IF('Port Bloomberg'!J273="","",'Port Bloomberg'!J273)</f>
        <v>Consumer Products-Misc</v>
      </c>
      <c r="K273" s="7" t="str">
        <f>IF('Port Bloomberg'!K273="","",'Port Bloomberg'!K273)</f>
        <v>MX</v>
      </c>
      <c r="L273" s="7" t="str">
        <f>IF('Port Bloomberg'!L273="","",'Port Bloomberg'!L273)</f>
        <v>MX</v>
      </c>
      <c r="M273" s="7" t="str">
        <f>IF('Port Bloomberg'!M273="","",'Port Bloomberg'!M273)</f>
        <v>USD</v>
      </c>
      <c r="N273" s="7">
        <f>IF('Port Bloomberg'!N273="","",'Port Bloomberg'!N273)</f>
        <v>500000</v>
      </c>
      <c r="O273" s="7" t="str">
        <f>IF('Port Bloomberg'!O273="","",'Port Bloomberg'!O273)</f>
        <v>SINGLE</v>
      </c>
      <c r="P273" s="7">
        <f>IF('Port Bloomberg'!P273="","",'Port Bloomberg'!P273)</f>
        <v>2.431</v>
      </c>
      <c r="Q273" s="7" t="str">
        <f>IF('Port Bloomberg'!Q273="","",'Port Bloomberg'!Q273)</f>
        <v>A-</v>
      </c>
      <c r="R273" s="7" t="str">
        <f>IF('Port Bloomberg'!R273="","",'Port Bloomberg'!R273)</f>
        <v>07/01/2031</v>
      </c>
      <c r="S273" s="5">
        <f>IF(E273="","",IFERROR(IF(MATCH(E273,[1]Instrumentos!$D:$D,0)&gt;0,1,0),0))</f>
        <v>1</v>
      </c>
      <c r="T273" s="5">
        <f>IF(E273="","",IFERROR(IF(MATCH(E273,'Lista de excepciones'!$E:$E,0)&gt;0,1,0),0))</f>
        <v>0</v>
      </c>
      <c r="U273" s="6" t="str">
        <f t="shared" si="5"/>
        <v>NO</v>
      </c>
      <c r="W273" s="9"/>
      <c r="X273" s="9"/>
    </row>
    <row r="274" spans="1:24" hidden="1" x14ac:dyDescent="0.25">
      <c r="A274" s="7" t="str">
        <f>IF('Port Bloomberg'!A274="","",'Port Bloomberg'!A274)</f>
        <v>KLAB 3.2 01/12/31</v>
      </c>
      <c r="B274" s="7" t="str">
        <f>IF('Port Bloomberg'!B274="","",'Port Bloomberg'!B274)</f>
        <v>Klabin Austria GmbH</v>
      </c>
      <c r="C274" s="7" t="str">
        <f>IF('Port Bloomberg'!C274="","",'Port Bloomberg'!C274)</f>
        <v>KLABIN AUSTRIA</v>
      </c>
      <c r="D274" s="7" t="str">
        <f>IF('Port Bloomberg'!D274="","",'Port Bloomberg'!D274)</f>
        <v>KLABIN AUSTRIA GMBH</v>
      </c>
      <c r="E274" s="7" t="str">
        <f>IF('Port Bloomberg'!E274="","",'Port Bloomberg'!E274)</f>
        <v>USA35155AE99</v>
      </c>
      <c r="F274" s="7" t="str">
        <f>IF('Port Bloomberg'!F274="","",'Port Bloomberg'!F274)</f>
        <v>KLAB</v>
      </c>
      <c r="G274" s="7" t="str">
        <f>IF('Port Bloomberg'!G274="","",'Port Bloomberg'!G274)</f>
        <v>KLBN3 BZ</v>
      </c>
      <c r="H274" s="7" t="str">
        <f>IF('Port Bloomberg'!H274="","",'Port Bloomberg'!H274)</f>
        <v>Packaging&amp;Containers</v>
      </c>
      <c r="I274" s="7" t="str">
        <f>IF('Port Bloomberg'!I274="","",'Port Bloomberg'!I274)</f>
        <v>IND</v>
      </c>
      <c r="J274" s="7" t="str">
        <f>IF('Port Bloomberg'!J274="","",'Port Bloomberg'!J274)</f>
        <v>Containers-Paper/Plastic</v>
      </c>
      <c r="K274" s="7" t="str">
        <f>IF('Port Bloomberg'!K274="","",'Port Bloomberg'!K274)</f>
        <v>AT</v>
      </c>
      <c r="L274" s="7" t="str">
        <f>IF('Port Bloomberg'!L274="","",'Port Bloomberg'!L274)</f>
        <v>BR</v>
      </c>
      <c r="M274" s="7" t="str">
        <f>IF('Port Bloomberg'!M274="","",'Port Bloomberg'!M274)</f>
        <v>USD</v>
      </c>
      <c r="N274" s="7">
        <f>IF('Port Bloomberg'!N274="","",'Port Bloomberg'!N274)</f>
        <v>500000</v>
      </c>
      <c r="O274" s="7" t="str">
        <f>IF('Port Bloomberg'!O274="","",'Port Bloomberg'!O274)</f>
        <v>SINGLE</v>
      </c>
      <c r="P274" s="7">
        <f>IF('Port Bloomberg'!P274="","",'Port Bloomberg'!P274)</f>
        <v>3.2</v>
      </c>
      <c r="Q274" s="7" t="str">
        <f>IF('Port Bloomberg'!Q274="","",'Port Bloomberg'!Q274)</f>
        <v>BB+</v>
      </c>
      <c r="R274" s="7" t="str">
        <f>IF('Port Bloomberg'!R274="","",'Port Bloomberg'!R274)</f>
        <v>01/12/2031</v>
      </c>
      <c r="S274" s="5">
        <f>IF(E274="","",IFERROR(IF(MATCH(E274,[1]Instrumentos!$D:$D,0)&gt;0,1,0),0))</f>
        <v>1</v>
      </c>
      <c r="T274" s="5">
        <f>IF(E274="","",IFERROR(IF(MATCH(E274,'Lista de excepciones'!$E:$E,0)&gt;0,1,0),0))</f>
        <v>0</v>
      </c>
      <c r="U274" s="6" t="str">
        <f t="shared" si="5"/>
        <v>NO</v>
      </c>
      <c r="W274" s="9"/>
      <c r="X274" s="9"/>
    </row>
    <row r="275" spans="1:24" hidden="1" x14ac:dyDescent="0.25">
      <c r="A275" s="7" t="str">
        <f>IF('Port Bloomberg'!A275="","",'Port Bloomberg'!A275)</f>
        <v>KLAB 5 ¾ 04/03/29</v>
      </c>
      <c r="B275" s="7" t="str">
        <f>IF('Port Bloomberg'!B275="","",'Port Bloomberg'!B275)</f>
        <v>Klabin Austria GmbH</v>
      </c>
      <c r="C275" s="7" t="str">
        <f>IF('Port Bloomberg'!C275="","",'Port Bloomberg'!C275)</f>
        <v>KLABIN AUSTRIA</v>
      </c>
      <c r="D275" s="7" t="str">
        <f>IF('Port Bloomberg'!D275="","",'Port Bloomberg'!D275)</f>
        <v>KLABIN AUSTRIA GMBH</v>
      </c>
      <c r="E275" s="7" t="str">
        <f>IF('Port Bloomberg'!E275="","",'Port Bloomberg'!E275)</f>
        <v>USA35155AA77</v>
      </c>
      <c r="F275" s="7" t="str">
        <f>IF('Port Bloomberg'!F275="","",'Port Bloomberg'!F275)</f>
        <v>KLAB</v>
      </c>
      <c r="G275" s="7" t="str">
        <f>IF('Port Bloomberg'!G275="","",'Port Bloomberg'!G275)</f>
        <v>KLBN3 BZ</v>
      </c>
      <c r="H275" s="7" t="str">
        <f>IF('Port Bloomberg'!H275="","",'Port Bloomberg'!H275)</f>
        <v>Packaging&amp;Containers</v>
      </c>
      <c r="I275" s="7" t="str">
        <f>IF('Port Bloomberg'!I275="","",'Port Bloomberg'!I275)</f>
        <v>IND</v>
      </c>
      <c r="J275" s="7" t="str">
        <f>IF('Port Bloomberg'!J275="","",'Port Bloomberg'!J275)</f>
        <v>Containers-Paper/Plastic</v>
      </c>
      <c r="K275" s="7" t="str">
        <f>IF('Port Bloomberg'!K275="","",'Port Bloomberg'!K275)</f>
        <v>AT</v>
      </c>
      <c r="L275" s="7" t="str">
        <f>IF('Port Bloomberg'!L275="","",'Port Bloomberg'!L275)</f>
        <v>BR</v>
      </c>
      <c r="M275" s="7" t="str">
        <f>IF('Port Bloomberg'!M275="","",'Port Bloomberg'!M275)</f>
        <v>USD</v>
      </c>
      <c r="N275" s="7">
        <f>IF('Port Bloomberg'!N275="","",'Port Bloomberg'!N275)</f>
        <v>750000</v>
      </c>
      <c r="O275" s="7" t="str">
        <f>IF('Port Bloomberg'!O275="","",'Port Bloomberg'!O275)</f>
        <v>SINGLE</v>
      </c>
      <c r="P275" s="7">
        <f>IF('Port Bloomberg'!P275="","",'Port Bloomberg'!P275)</f>
        <v>5.75</v>
      </c>
      <c r="Q275" s="7" t="str">
        <f>IF('Port Bloomberg'!Q275="","",'Port Bloomberg'!Q275)</f>
        <v>BB+</v>
      </c>
      <c r="R275" s="7" t="str">
        <f>IF('Port Bloomberg'!R275="","",'Port Bloomberg'!R275)</f>
        <v>04/03/2029</v>
      </c>
      <c r="S275" s="5">
        <f>IF(E275="","",IFERROR(IF(MATCH(E275,[1]Instrumentos!$D:$D,0)&gt;0,1,0),0))</f>
        <v>1</v>
      </c>
      <c r="T275" s="5">
        <f>IF(E275="","",IFERROR(IF(MATCH(E275,'Lista de excepciones'!$E:$E,0)&gt;0,1,0),0))</f>
        <v>0</v>
      </c>
      <c r="U275" s="6" t="str">
        <f t="shared" si="5"/>
        <v>NO</v>
      </c>
    </row>
    <row r="276" spans="1:24" hidden="1" x14ac:dyDescent="0.25">
      <c r="A276" s="7" t="str">
        <f>IF('Port Bloomberg'!A276="","",'Port Bloomberg'!A276)</f>
        <v>KLAB 7 04/03/49</v>
      </c>
      <c r="B276" s="7" t="str">
        <f>IF('Port Bloomberg'!B276="","",'Port Bloomberg'!B276)</f>
        <v>Klabin Austria GmbH</v>
      </c>
      <c r="C276" s="7" t="str">
        <f>IF('Port Bloomberg'!C276="","",'Port Bloomberg'!C276)</f>
        <v>KLABIN AUSTRIA</v>
      </c>
      <c r="D276" s="7" t="str">
        <f>IF('Port Bloomberg'!D276="","",'Port Bloomberg'!D276)</f>
        <v>KLABIN AUSTRIA GMBH</v>
      </c>
      <c r="E276" s="7" t="str">
        <f>IF('Port Bloomberg'!E276="","",'Port Bloomberg'!E276)</f>
        <v>USA35155AB50</v>
      </c>
      <c r="F276" s="7" t="str">
        <f>IF('Port Bloomberg'!F276="","",'Port Bloomberg'!F276)</f>
        <v>KLAB</v>
      </c>
      <c r="G276" s="7" t="str">
        <f>IF('Port Bloomberg'!G276="","",'Port Bloomberg'!G276)</f>
        <v>KLBN3 BZ</v>
      </c>
      <c r="H276" s="7" t="str">
        <f>IF('Port Bloomberg'!H276="","",'Port Bloomberg'!H276)</f>
        <v>Packaging&amp;Containers</v>
      </c>
      <c r="I276" s="7" t="str">
        <f>IF('Port Bloomberg'!I276="","",'Port Bloomberg'!I276)</f>
        <v>IND</v>
      </c>
      <c r="J276" s="7" t="str">
        <f>IF('Port Bloomberg'!J276="","",'Port Bloomberg'!J276)</f>
        <v>Containers-Paper/Plastic</v>
      </c>
      <c r="K276" s="7" t="str">
        <f>IF('Port Bloomberg'!K276="","",'Port Bloomberg'!K276)</f>
        <v>AT</v>
      </c>
      <c r="L276" s="7" t="str">
        <f>IF('Port Bloomberg'!L276="","",'Port Bloomberg'!L276)</f>
        <v>BR</v>
      </c>
      <c r="M276" s="7" t="str">
        <f>IF('Port Bloomberg'!M276="","",'Port Bloomberg'!M276)</f>
        <v>USD</v>
      </c>
      <c r="N276" s="7">
        <f>IF('Port Bloomberg'!N276="","",'Port Bloomberg'!N276)</f>
        <v>700000</v>
      </c>
      <c r="O276" s="7" t="str">
        <f>IF('Port Bloomberg'!O276="","",'Port Bloomberg'!O276)</f>
        <v>SINGLE</v>
      </c>
      <c r="P276" s="7">
        <f>IF('Port Bloomberg'!P276="","",'Port Bloomberg'!P276)</f>
        <v>7</v>
      </c>
      <c r="Q276" s="7" t="str">
        <f>IF('Port Bloomberg'!Q276="","",'Port Bloomberg'!Q276)</f>
        <v>BB+</v>
      </c>
      <c r="R276" s="7" t="str">
        <f>IF('Port Bloomberg'!R276="","",'Port Bloomberg'!R276)</f>
        <v>04/03/2049</v>
      </c>
      <c r="S276" s="5">
        <f>IF(E276="","",IFERROR(IF(MATCH(E276,[1]Instrumentos!$D:$D,0)&gt;0,1,0),0))</f>
        <v>1</v>
      </c>
      <c r="T276" s="5">
        <f>IF(E276="","",IFERROR(IF(MATCH(E276,'Lista de excepciones'!$E:$E,0)&gt;0,1,0),0))</f>
        <v>0</v>
      </c>
      <c r="U276" s="6" t="str">
        <f t="shared" si="5"/>
        <v>NO</v>
      </c>
    </row>
    <row r="277" spans="1:24" hidden="1" x14ac:dyDescent="0.25">
      <c r="A277" s="7" t="str">
        <f>IF('Port Bloomberg'!A277="","",'Port Bloomberg'!A277)</f>
        <v>KOF 1.85 09/01/32</v>
      </c>
      <c r="B277" s="7" t="str">
        <f>IF('Port Bloomberg'!B277="","",'Port Bloomberg'!B277)</f>
        <v>Coca-Cola Femsa SAB de CV</v>
      </c>
      <c r="C277" s="7" t="str">
        <f>IF('Port Bloomberg'!C277="","",'Port Bloomberg'!C277)</f>
        <v>COCA-COLA FEMSA</v>
      </c>
      <c r="D277" s="7" t="str">
        <f>IF('Port Bloomberg'!D277="","",'Port Bloomberg'!D277)</f>
        <v>COCA-COLA FEMSA SAB CV</v>
      </c>
      <c r="E277" s="7" t="str">
        <f>IF('Port Bloomberg'!E277="","",'Port Bloomberg'!E277)</f>
        <v>US191241AJ70</v>
      </c>
      <c r="F277" s="7" t="str">
        <f>IF('Port Bloomberg'!F277="","",'Port Bloomberg'!F277)</f>
        <v>KOF</v>
      </c>
      <c r="G277" s="7" t="str">
        <f>IF('Port Bloomberg'!G277="","",'Port Bloomberg'!G277)</f>
        <v>KOFUBL MM</v>
      </c>
      <c r="H277" s="7" t="str">
        <f>IF('Port Bloomberg'!H277="","",'Port Bloomberg'!H277)</f>
        <v>Beverages</v>
      </c>
      <c r="I277" s="7" t="str">
        <f>IF('Port Bloomberg'!I277="","",'Port Bloomberg'!I277)</f>
        <v>IND</v>
      </c>
      <c r="J277" s="7" t="str">
        <f>IF('Port Bloomberg'!J277="","",'Port Bloomberg'!J277)</f>
        <v>Beverages-Non-alcoholic</v>
      </c>
      <c r="K277" s="7" t="str">
        <f>IF('Port Bloomberg'!K277="","",'Port Bloomberg'!K277)</f>
        <v>MX</v>
      </c>
      <c r="L277" s="7" t="str">
        <f>IF('Port Bloomberg'!L277="","",'Port Bloomberg'!L277)</f>
        <v>MX</v>
      </c>
      <c r="M277" s="7" t="str">
        <f>IF('Port Bloomberg'!M277="","",'Port Bloomberg'!M277)</f>
        <v>USD</v>
      </c>
      <c r="N277" s="7">
        <f>IF('Port Bloomberg'!N277="","",'Port Bloomberg'!N277)</f>
        <v>705000</v>
      </c>
      <c r="O277" s="7" t="str">
        <f>IF('Port Bloomberg'!O277="","",'Port Bloomberg'!O277)</f>
        <v>SINGLE</v>
      </c>
      <c r="P277" s="7">
        <f>IF('Port Bloomberg'!P277="","",'Port Bloomberg'!P277)</f>
        <v>1.85</v>
      </c>
      <c r="Q277" s="7" t="str">
        <f>IF('Port Bloomberg'!Q277="","",'Port Bloomberg'!Q277)</f>
        <v>A-</v>
      </c>
      <c r="R277" s="7" t="str">
        <f>IF('Port Bloomberg'!R277="","",'Port Bloomberg'!R277)</f>
        <v>09/01/2032</v>
      </c>
      <c r="S277" s="5">
        <f>IF(E277="","",IFERROR(IF(MATCH(E277,[1]Instrumentos!$D:$D,0)&gt;0,1,0),0))</f>
        <v>1</v>
      </c>
      <c r="T277" s="5">
        <f>IF(E277="","",IFERROR(IF(MATCH(E277,'Lista de excepciones'!$E:$E,0)&gt;0,1,0),0))</f>
        <v>0</v>
      </c>
      <c r="U277" s="6" t="str">
        <f t="shared" si="5"/>
        <v>NO</v>
      </c>
    </row>
    <row r="278" spans="1:24" hidden="1" x14ac:dyDescent="0.25">
      <c r="A278" s="7" t="str">
        <f>IF('Port Bloomberg'!A278="","",'Port Bloomberg'!A278)</f>
        <v>KOF 2 ¾ 01/22/30</v>
      </c>
      <c r="B278" s="7" t="str">
        <f>IF('Port Bloomberg'!B278="","",'Port Bloomberg'!B278)</f>
        <v>Coca-Cola Femsa SAB de CV</v>
      </c>
      <c r="C278" s="7" t="str">
        <f>IF('Port Bloomberg'!C278="","",'Port Bloomberg'!C278)</f>
        <v>COCA-COLA FEMSA</v>
      </c>
      <c r="D278" s="7" t="str">
        <f>IF('Port Bloomberg'!D278="","",'Port Bloomberg'!D278)</f>
        <v>COCA-COLA FEMSA SAB CV</v>
      </c>
      <c r="E278" s="7" t="str">
        <f>IF('Port Bloomberg'!E278="","",'Port Bloomberg'!E278)</f>
        <v>US191241AH15</v>
      </c>
      <c r="F278" s="7" t="str">
        <f>IF('Port Bloomberg'!F278="","",'Port Bloomberg'!F278)</f>
        <v>KOF</v>
      </c>
      <c r="G278" s="7" t="str">
        <f>IF('Port Bloomberg'!G278="","",'Port Bloomberg'!G278)</f>
        <v>KOFUBL MM</v>
      </c>
      <c r="H278" s="7" t="str">
        <f>IF('Port Bloomberg'!H278="","",'Port Bloomberg'!H278)</f>
        <v>Beverages</v>
      </c>
      <c r="I278" s="7" t="str">
        <f>IF('Port Bloomberg'!I278="","",'Port Bloomberg'!I278)</f>
        <v>IND</v>
      </c>
      <c r="J278" s="7" t="str">
        <f>IF('Port Bloomberg'!J278="","",'Port Bloomberg'!J278)</f>
        <v>Beverages-Non-alcoholic</v>
      </c>
      <c r="K278" s="7" t="str">
        <f>IF('Port Bloomberg'!K278="","",'Port Bloomberg'!K278)</f>
        <v>MX</v>
      </c>
      <c r="L278" s="7" t="str">
        <f>IF('Port Bloomberg'!L278="","",'Port Bloomberg'!L278)</f>
        <v>MX</v>
      </c>
      <c r="M278" s="7" t="str">
        <f>IF('Port Bloomberg'!M278="","",'Port Bloomberg'!M278)</f>
        <v>USD</v>
      </c>
      <c r="N278" s="7">
        <f>IF('Port Bloomberg'!N278="","",'Port Bloomberg'!N278)</f>
        <v>1250000</v>
      </c>
      <c r="O278" s="7" t="str">
        <f>IF('Port Bloomberg'!O278="","",'Port Bloomberg'!O278)</f>
        <v>SINGLE</v>
      </c>
      <c r="P278" s="7">
        <f>IF('Port Bloomberg'!P278="","",'Port Bloomberg'!P278)</f>
        <v>2.75</v>
      </c>
      <c r="Q278" s="7" t="str">
        <f>IF('Port Bloomberg'!Q278="","",'Port Bloomberg'!Q278)</f>
        <v>A-</v>
      </c>
      <c r="R278" s="7" t="str">
        <f>IF('Port Bloomberg'!R278="","",'Port Bloomberg'!R278)</f>
        <v>01/22/2030</v>
      </c>
      <c r="S278" s="5">
        <f>IF(E278="","",IFERROR(IF(MATCH(E278,[1]Instrumentos!$D:$D,0)&gt;0,1,0),0))</f>
        <v>1</v>
      </c>
      <c r="T278" s="5">
        <f>IF(E278="","",IFERROR(IF(MATCH(E278,'Lista de excepciones'!$E:$E,0)&gt;0,1,0),0))</f>
        <v>0</v>
      </c>
      <c r="U278" s="6" t="str">
        <f t="shared" si="5"/>
        <v>NO</v>
      </c>
    </row>
    <row r="279" spans="1:24" hidden="1" x14ac:dyDescent="0.25">
      <c r="A279" s="7" t="str">
        <f>IF('Port Bloomberg'!A279="","",'Port Bloomberg'!A279)</f>
        <v>KOF 5 ¼ 11/26/43</v>
      </c>
      <c r="B279" s="7" t="str">
        <f>IF('Port Bloomberg'!B279="","",'Port Bloomberg'!B279)</f>
        <v>Coca-Cola Femsa SAB de CV</v>
      </c>
      <c r="C279" s="7" t="str">
        <f>IF('Port Bloomberg'!C279="","",'Port Bloomberg'!C279)</f>
        <v>COCA-COLA FEMSA</v>
      </c>
      <c r="D279" s="7" t="str">
        <f>IF('Port Bloomberg'!D279="","",'Port Bloomberg'!D279)</f>
        <v>COCA-COLA FEMSA SAB CV</v>
      </c>
      <c r="E279" s="7" t="str">
        <f>IF('Port Bloomberg'!E279="","",'Port Bloomberg'!E279)</f>
        <v>US191241AF58</v>
      </c>
      <c r="F279" s="7" t="str">
        <f>IF('Port Bloomberg'!F279="","",'Port Bloomberg'!F279)</f>
        <v>KOF</v>
      </c>
      <c r="G279" s="7" t="str">
        <f>IF('Port Bloomberg'!G279="","",'Port Bloomberg'!G279)</f>
        <v>KOFUBL MM</v>
      </c>
      <c r="H279" s="7" t="str">
        <f>IF('Port Bloomberg'!H279="","",'Port Bloomberg'!H279)</f>
        <v>Beverages</v>
      </c>
      <c r="I279" s="7" t="str">
        <f>IF('Port Bloomberg'!I279="","",'Port Bloomberg'!I279)</f>
        <v>IND</v>
      </c>
      <c r="J279" s="7" t="str">
        <f>IF('Port Bloomberg'!J279="","",'Port Bloomberg'!J279)</f>
        <v>Beverages-Non-alcoholic</v>
      </c>
      <c r="K279" s="7" t="str">
        <f>IF('Port Bloomberg'!K279="","",'Port Bloomberg'!K279)</f>
        <v>MX</v>
      </c>
      <c r="L279" s="7" t="str">
        <f>IF('Port Bloomberg'!L279="","",'Port Bloomberg'!L279)</f>
        <v>MX</v>
      </c>
      <c r="M279" s="7" t="str">
        <f>IF('Port Bloomberg'!M279="","",'Port Bloomberg'!M279)</f>
        <v>USD</v>
      </c>
      <c r="N279" s="7">
        <f>IF('Port Bloomberg'!N279="","",'Port Bloomberg'!N279)</f>
        <v>600000</v>
      </c>
      <c r="O279" s="7" t="str">
        <f>IF('Port Bloomberg'!O279="","",'Port Bloomberg'!O279)</f>
        <v>SINGLE</v>
      </c>
      <c r="P279" s="7">
        <f>IF('Port Bloomberg'!P279="","",'Port Bloomberg'!P279)</f>
        <v>5.25</v>
      </c>
      <c r="Q279" s="7" t="str">
        <f>IF('Port Bloomberg'!Q279="","",'Port Bloomberg'!Q279)</f>
        <v>A-</v>
      </c>
      <c r="R279" s="7" t="str">
        <f>IF('Port Bloomberg'!R279="","",'Port Bloomberg'!R279)</f>
        <v>11/26/2043</v>
      </c>
      <c r="S279" s="5">
        <f>IF(E279="","",IFERROR(IF(MATCH(E279,[1]Instrumentos!$D:$D,0)&gt;0,1,0),0))</f>
        <v>1</v>
      </c>
      <c r="T279" s="5">
        <f>IF(E279="","",IFERROR(IF(MATCH(E279,'Lista de excepciones'!$E:$E,0)&gt;0,1,0),0))</f>
        <v>0</v>
      </c>
      <c r="U279" s="6" t="str">
        <f t="shared" si="5"/>
        <v>NO</v>
      </c>
    </row>
    <row r="280" spans="1:24" hidden="1" x14ac:dyDescent="0.25">
      <c r="A280" s="7" t="str">
        <f>IF('Port Bloomberg'!A280="","",'Port Bloomberg'!A280)</f>
        <v>KOF 5.1 05/06/35</v>
      </c>
      <c r="B280" s="7" t="str">
        <f>IF('Port Bloomberg'!B280="","",'Port Bloomberg'!B280)</f>
        <v>Coca-Cola Femsa SAB de CV</v>
      </c>
      <c r="C280" s="7" t="str">
        <f>IF('Port Bloomberg'!C280="","",'Port Bloomberg'!C280)</f>
        <v>COCA-COLA FEMSA</v>
      </c>
      <c r="D280" s="7" t="str">
        <f>IF('Port Bloomberg'!D280="","",'Port Bloomberg'!D280)</f>
        <v>COCA-COLA FEMSA SAB CV</v>
      </c>
      <c r="E280" s="7" t="str">
        <f>IF('Port Bloomberg'!E280="","",'Port Bloomberg'!E280)</f>
        <v>US191241AK44</v>
      </c>
      <c r="F280" s="7" t="str">
        <f>IF('Port Bloomberg'!F280="","",'Port Bloomberg'!F280)</f>
        <v>KOF</v>
      </c>
      <c r="G280" s="7" t="str">
        <f>IF('Port Bloomberg'!G280="","",'Port Bloomberg'!G280)</f>
        <v>KOFUBL MM</v>
      </c>
      <c r="H280" s="7" t="str">
        <f>IF('Port Bloomberg'!H280="","",'Port Bloomberg'!H280)</f>
        <v>Beverages</v>
      </c>
      <c r="I280" s="7" t="str">
        <f>IF('Port Bloomberg'!I280="","",'Port Bloomberg'!I280)</f>
        <v>IND</v>
      </c>
      <c r="J280" s="7" t="str">
        <f>IF('Port Bloomberg'!J280="","",'Port Bloomberg'!J280)</f>
        <v>Beverages-Non-alcoholic</v>
      </c>
      <c r="K280" s="7" t="str">
        <f>IF('Port Bloomberg'!K280="","",'Port Bloomberg'!K280)</f>
        <v>MX</v>
      </c>
      <c r="L280" s="7" t="str">
        <f>IF('Port Bloomberg'!L280="","",'Port Bloomberg'!L280)</f>
        <v>MX</v>
      </c>
      <c r="M280" s="7" t="str">
        <f>IF('Port Bloomberg'!M280="","",'Port Bloomberg'!M280)</f>
        <v>USD</v>
      </c>
      <c r="N280" s="7">
        <f>IF('Port Bloomberg'!N280="","",'Port Bloomberg'!N280)</f>
        <v>500000</v>
      </c>
      <c r="O280" s="7" t="str">
        <f>IF('Port Bloomberg'!O280="","",'Port Bloomberg'!O280)</f>
        <v>SINGLE</v>
      </c>
      <c r="P280" s="7">
        <f>IF('Port Bloomberg'!P280="","",'Port Bloomberg'!P280)</f>
        <v>5.0999999999999996</v>
      </c>
      <c r="Q280" s="7" t="str">
        <f>IF('Port Bloomberg'!Q280="","",'Port Bloomberg'!Q280)</f>
        <v>A-</v>
      </c>
      <c r="R280" s="7" t="str">
        <f>IF('Port Bloomberg'!R280="","",'Port Bloomberg'!R280)</f>
        <v>05/06/2035</v>
      </c>
      <c r="S280" s="5">
        <f>IF(E280="","",IFERROR(IF(MATCH(E280,[1]Instrumentos!$D:$D,0)&gt;0,1,0),0))</f>
        <v>1</v>
      </c>
      <c r="T280" s="5">
        <f>IF(E280="","",IFERROR(IF(MATCH(E280,'Lista de excepciones'!$E:$E,0)&gt;0,1,0),0))</f>
        <v>0</v>
      </c>
      <c r="U280" s="6" t="str">
        <f t="shared" si="5"/>
        <v>NO</v>
      </c>
    </row>
    <row r="281" spans="1:24" hidden="1" x14ac:dyDescent="0.25">
      <c r="A281" s="7" t="str">
        <f>IF('Port Bloomberg'!A281="","",'Port Bloomberg'!A281)</f>
        <v>LIMAMT 4.35 04/05/36</v>
      </c>
      <c r="B281" s="7" t="str">
        <f>IF('Port Bloomberg'!B281="","",'Port Bloomberg'!B281)</f>
        <v>Lima Metro Line 2 Finance Ltd</v>
      </c>
      <c r="C281" s="7" t="str">
        <f>IF('Port Bloomberg'!C281="","",'Port Bloomberg'!C281)</f>
        <v>LIMA METRO LINE</v>
      </c>
      <c r="D281" s="7" t="str">
        <f>IF('Port Bloomberg'!D281="","",'Port Bloomberg'!D281)</f>
        <v>LIMA METRO LINE 2 FIN LT</v>
      </c>
      <c r="E281" s="7" t="str">
        <f>IF('Port Bloomberg'!E281="","",'Port Bloomberg'!E281)</f>
        <v>USG54897AB28</v>
      </c>
      <c r="F281" s="7" t="str">
        <f>IF('Port Bloomberg'!F281="","",'Port Bloomberg'!F281)</f>
        <v>LIMAMT</v>
      </c>
      <c r="G281" s="7" t="str">
        <f>IF('Port Bloomberg'!G281="","",'Port Bloomberg'!G281)</f>
        <v/>
      </c>
      <c r="H281" s="7" t="str">
        <f>IF('Port Bloomberg'!H281="","",'Port Bloomberg'!H281)</f>
        <v>Transportation</v>
      </c>
      <c r="I281" s="7" t="str">
        <f>IF('Port Bloomberg'!I281="","",'Port Bloomberg'!I281)</f>
        <v>IND</v>
      </c>
      <c r="J281" s="7" t="str">
        <f>IF('Port Bloomberg'!J281="","",'Port Bloomberg'!J281)</f>
        <v>Transport-Rail</v>
      </c>
      <c r="K281" s="7" t="str">
        <f>IF('Port Bloomberg'!K281="","",'Port Bloomberg'!K281)</f>
        <v>KY</v>
      </c>
      <c r="L281" s="7" t="str">
        <f>IF('Port Bloomberg'!L281="","",'Port Bloomberg'!L281)</f>
        <v>PE</v>
      </c>
      <c r="M281" s="7" t="str">
        <f>IF('Port Bloomberg'!M281="","",'Port Bloomberg'!M281)</f>
        <v>USD</v>
      </c>
      <c r="N281" s="7">
        <f>IF('Port Bloomberg'!N281="","",'Port Bloomberg'!N281)</f>
        <v>563175</v>
      </c>
      <c r="O281" s="7" t="str">
        <f>IF('Port Bloomberg'!O281="","",'Port Bloomberg'!O281)</f>
        <v>SINGLE</v>
      </c>
      <c r="P281" s="7">
        <f>IF('Port Bloomberg'!P281="","",'Port Bloomberg'!P281)</f>
        <v>4.3499999999999996</v>
      </c>
      <c r="Q281" s="7" t="str">
        <f>IF('Port Bloomberg'!Q281="","",'Port Bloomberg'!Q281)</f>
        <v>BBB-</v>
      </c>
      <c r="R281" s="7" t="str">
        <f>IF('Port Bloomberg'!R281="","",'Port Bloomberg'!R281)</f>
        <v>04/05/2036</v>
      </c>
      <c r="S281" s="5">
        <f>IF(E281="","",IFERROR(IF(MATCH(E281,[1]Instrumentos!$D:$D,0)&gt;0,1,0),0))</f>
        <v>0</v>
      </c>
      <c r="T281" s="5">
        <f>IF(E281="","",IFERROR(IF(MATCH(E281,'Lista de excepciones'!$E:$E,0)&gt;0,1,0),0))</f>
        <v>1</v>
      </c>
      <c r="U281" s="6" t="str">
        <f t="shared" si="5"/>
        <v>NO</v>
      </c>
    </row>
    <row r="282" spans="1:24" hidden="1" x14ac:dyDescent="0.25">
      <c r="A282" s="7" t="str">
        <f>IF('Port Bloomberg'!A282="","",'Port Bloomberg'!A282)</f>
        <v>LIMAMT 5 ⅞ 07/05/34</v>
      </c>
      <c r="B282" s="7" t="str">
        <f>IF('Port Bloomberg'!B282="","",'Port Bloomberg'!B282)</f>
        <v>Lima Metro Line 2 Finance Ltd</v>
      </c>
      <c r="C282" s="7" t="str">
        <f>IF('Port Bloomberg'!C282="","",'Port Bloomberg'!C282)</f>
        <v>LIMA METRO LINE</v>
      </c>
      <c r="D282" s="7" t="str">
        <f>IF('Port Bloomberg'!D282="","",'Port Bloomberg'!D282)</f>
        <v>LIMA METRO LINE 2 FIN LT</v>
      </c>
      <c r="E282" s="7" t="str">
        <f>IF('Port Bloomberg'!E282="","",'Port Bloomberg'!E282)</f>
        <v>USG54897AA45</v>
      </c>
      <c r="F282" s="7" t="str">
        <f>IF('Port Bloomberg'!F282="","",'Port Bloomberg'!F282)</f>
        <v>LIMAMT</v>
      </c>
      <c r="G282" s="7" t="str">
        <f>IF('Port Bloomberg'!G282="","",'Port Bloomberg'!G282)</f>
        <v/>
      </c>
      <c r="H282" s="7" t="str">
        <f>IF('Port Bloomberg'!H282="","",'Port Bloomberg'!H282)</f>
        <v>Transportation</v>
      </c>
      <c r="I282" s="7" t="str">
        <f>IF('Port Bloomberg'!I282="","",'Port Bloomberg'!I282)</f>
        <v>IND</v>
      </c>
      <c r="J282" s="7" t="str">
        <f>IF('Port Bloomberg'!J282="","",'Port Bloomberg'!J282)</f>
        <v>Transport-Rail</v>
      </c>
      <c r="K282" s="7" t="str">
        <f>IF('Port Bloomberg'!K282="","",'Port Bloomberg'!K282)</f>
        <v>KY</v>
      </c>
      <c r="L282" s="7" t="str">
        <f>IF('Port Bloomberg'!L282="","",'Port Bloomberg'!L282)</f>
        <v>PE</v>
      </c>
      <c r="M282" s="7" t="str">
        <f>IF('Port Bloomberg'!M282="","",'Port Bloomberg'!M282)</f>
        <v>USD</v>
      </c>
      <c r="N282" s="7">
        <f>IF('Port Bloomberg'!N282="","",'Port Bloomberg'!N282)</f>
        <v>1154923</v>
      </c>
      <c r="O282" s="7" t="str">
        <f>IF('Port Bloomberg'!O282="","",'Port Bloomberg'!O282)</f>
        <v>SINGLE</v>
      </c>
      <c r="P282" s="7">
        <f>IF('Port Bloomberg'!P282="","",'Port Bloomberg'!P282)</f>
        <v>5.875</v>
      </c>
      <c r="Q282" s="7" t="str">
        <f>IF('Port Bloomberg'!Q282="","",'Port Bloomberg'!Q282)</f>
        <v>BBB-</v>
      </c>
      <c r="R282" s="7" t="str">
        <f>IF('Port Bloomberg'!R282="","",'Port Bloomberg'!R282)</f>
        <v>07/05/2034</v>
      </c>
      <c r="S282" s="5">
        <f>IF(E282="","",IFERROR(IF(MATCH(E282,[1]Instrumentos!$D:$D,0)&gt;0,1,0),0))</f>
        <v>0</v>
      </c>
      <c r="T282" s="5">
        <f>IF(E282="","",IFERROR(IF(MATCH(E282,'Lista de excepciones'!$E:$E,0)&gt;0,1,0),0))</f>
        <v>1</v>
      </c>
      <c r="U282" s="6" t="str">
        <f t="shared" si="5"/>
        <v>NO</v>
      </c>
    </row>
    <row r="283" spans="1:24" hidden="1" x14ac:dyDescent="0.25">
      <c r="A283" s="7" t="str">
        <f>IF('Port Bloomberg'!A283="","",'Port Bloomberg'!A283)</f>
        <v>LIVEPL 5 ¾ 02/10/38</v>
      </c>
      <c r="B283" s="7" t="str">
        <f>IF('Port Bloomberg'!B283="","",'Port Bloomberg'!B283)</f>
        <v>El Puerto de Liverpool SAB de CV</v>
      </c>
      <c r="C283" s="7" t="str">
        <f>IF('Port Bloomberg'!C283="","",'Port Bloomberg'!C283)</f>
        <v>EL PUERTO LIVERP</v>
      </c>
      <c r="D283" s="7" t="str">
        <f>IF('Port Bloomberg'!D283="","",'Port Bloomberg'!D283)</f>
        <v>EL PUERTO DE LIVERPOOL</v>
      </c>
      <c r="E283" s="7" t="str">
        <f>IF('Port Bloomberg'!E283="","",'Port Bloomberg'!E283)</f>
        <v>USP3691NBN95</v>
      </c>
      <c r="F283" s="7" t="str">
        <f>IF('Port Bloomberg'!F283="","",'Port Bloomberg'!F283)</f>
        <v>LIVEPL</v>
      </c>
      <c r="G283" s="7" t="str">
        <f>IF('Port Bloomberg'!G283="","",'Port Bloomberg'!G283)</f>
        <v>LIVEPOLC MM</v>
      </c>
      <c r="H283" s="7" t="str">
        <f>IF('Port Bloomberg'!H283="","",'Port Bloomberg'!H283)</f>
        <v>Retail</v>
      </c>
      <c r="I283" s="7" t="str">
        <f>IF('Port Bloomberg'!I283="","",'Port Bloomberg'!I283)</f>
        <v>IND</v>
      </c>
      <c r="J283" s="7" t="str">
        <f>IF('Port Bloomberg'!J283="","",'Port Bloomberg'!J283)</f>
        <v>Retail-Major Dept Store</v>
      </c>
      <c r="K283" s="7" t="str">
        <f>IF('Port Bloomberg'!K283="","",'Port Bloomberg'!K283)</f>
        <v>MX</v>
      </c>
      <c r="L283" s="7" t="str">
        <f>IF('Port Bloomberg'!L283="","",'Port Bloomberg'!L283)</f>
        <v>MX</v>
      </c>
      <c r="M283" s="7" t="str">
        <f>IF('Port Bloomberg'!M283="","",'Port Bloomberg'!M283)</f>
        <v>USD</v>
      </c>
      <c r="N283" s="7">
        <f>IF('Port Bloomberg'!N283="","",'Port Bloomberg'!N283)</f>
        <v>500000</v>
      </c>
      <c r="O283" s="7" t="str">
        <f>IF('Port Bloomberg'!O283="","",'Port Bloomberg'!O283)</f>
        <v>SINGLE</v>
      </c>
      <c r="P283" s="7">
        <f>IF('Port Bloomberg'!P283="","",'Port Bloomberg'!P283)</f>
        <v>5.75</v>
      </c>
      <c r="Q283" s="7" t="str">
        <f>IF('Port Bloomberg'!Q283="","",'Port Bloomberg'!Q283)</f>
        <v>BBB</v>
      </c>
      <c r="R283" s="7" t="str">
        <f>IF('Port Bloomberg'!R283="","",'Port Bloomberg'!R283)</f>
        <v>02/10/2038</v>
      </c>
      <c r="S283" s="5">
        <f>IF(E283="","",IFERROR(IF(MATCH(E283,[1]Instrumentos!$D:$D,0)&gt;0,1,0),0))</f>
        <v>1</v>
      </c>
      <c r="T283" s="5">
        <f>IF(E283="","",IFERROR(IF(MATCH(E283,'Lista de excepciones'!$E:$E,0)&gt;0,1,0),0))</f>
        <v>0</v>
      </c>
      <c r="U283" s="6" t="str">
        <f t="shared" si="5"/>
        <v>NO</v>
      </c>
    </row>
    <row r="284" spans="1:24" hidden="1" x14ac:dyDescent="0.25">
      <c r="A284" s="7" t="str">
        <f>IF('Port Bloomberg'!A284="","",'Port Bloomberg'!A284)</f>
        <v>LIVEPL 6.255 01/22/32</v>
      </c>
      <c r="B284" s="7" t="str">
        <f>IF('Port Bloomberg'!B284="","",'Port Bloomberg'!B284)</f>
        <v>El Puerto de Liverpool SAB de CV</v>
      </c>
      <c r="C284" s="7" t="str">
        <f>IF('Port Bloomberg'!C284="","",'Port Bloomberg'!C284)</f>
        <v>EL PUERTO LIVERP</v>
      </c>
      <c r="D284" s="7" t="str">
        <f>IF('Port Bloomberg'!D284="","",'Port Bloomberg'!D284)</f>
        <v>EL PUERTO DE LIVERPOOL</v>
      </c>
      <c r="E284" s="7" t="str">
        <f>IF('Port Bloomberg'!E284="","",'Port Bloomberg'!E284)</f>
        <v>USP3691NBL30</v>
      </c>
      <c r="F284" s="7" t="str">
        <f>IF('Port Bloomberg'!F284="","",'Port Bloomberg'!F284)</f>
        <v>LIVEPL</v>
      </c>
      <c r="G284" s="7" t="str">
        <f>IF('Port Bloomberg'!G284="","",'Port Bloomberg'!G284)</f>
        <v>LIVEPOLC MM</v>
      </c>
      <c r="H284" s="7" t="str">
        <f>IF('Port Bloomberg'!H284="","",'Port Bloomberg'!H284)</f>
        <v>Retail</v>
      </c>
      <c r="I284" s="7" t="str">
        <f>IF('Port Bloomberg'!I284="","",'Port Bloomberg'!I284)</f>
        <v>IND</v>
      </c>
      <c r="J284" s="7" t="str">
        <f>IF('Port Bloomberg'!J284="","",'Port Bloomberg'!J284)</f>
        <v>Retail-Major Dept Store</v>
      </c>
      <c r="K284" s="7" t="str">
        <f>IF('Port Bloomberg'!K284="","",'Port Bloomberg'!K284)</f>
        <v>MX</v>
      </c>
      <c r="L284" s="7" t="str">
        <f>IF('Port Bloomberg'!L284="","",'Port Bloomberg'!L284)</f>
        <v>MX</v>
      </c>
      <c r="M284" s="7" t="str">
        <f>IF('Port Bloomberg'!M284="","",'Port Bloomberg'!M284)</f>
        <v>USD</v>
      </c>
      <c r="N284" s="7">
        <f>IF('Port Bloomberg'!N284="","",'Port Bloomberg'!N284)</f>
        <v>500000</v>
      </c>
      <c r="O284" s="7" t="str">
        <f>IF('Port Bloomberg'!O284="","",'Port Bloomberg'!O284)</f>
        <v>SINGLE</v>
      </c>
      <c r="P284" s="7">
        <f>IF('Port Bloomberg'!P284="","",'Port Bloomberg'!P284)</f>
        <v>6.2549999999999999</v>
      </c>
      <c r="Q284" s="7" t="str">
        <f>IF('Port Bloomberg'!Q284="","",'Port Bloomberg'!Q284)</f>
        <v>BBB</v>
      </c>
      <c r="R284" s="7" t="str">
        <f>IF('Port Bloomberg'!R284="","",'Port Bloomberg'!R284)</f>
        <v>01/22/2032</v>
      </c>
      <c r="S284" s="5">
        <f>IF(E284="","",IFERROR(IF(MATCH(E284,[1]Instrumentos!$D:$D,0)&gt;0,1,0),0))</f>
        <v>1</v>
      </c>
      <c r="T284" s="5">
        <f>IF(E284="","",IFERROR(IF(MATCH(E284,'Lista de excepciones'!$E:$E,0)&gt;0,1,0),0))</f>
        <v>0</v>
      </c>
      <c r="U284" s="6" t="str">
        <f t="shared" si="5"/>
        <v>NO</v>
      </c>
    </row>
    <row r="285" spans="1:24" hidden="1" x14ac:dyDescent="0.25">
      <c r="A285" s="7" t="str">
        <f>IF('Port Bloomberg'!A285="","",'Port Bloomberg'!A285)</f>
        <v>LIVEPL 6.658 01/22/37</v>
      </c>
      <c r="B285" s="7" t="str">
        <f>IF('Port Bloomberg'!B285="","",'Port Bloomberg'!B285)</f>
        <v>El Puerto de Liverpool SAB de CV</v>
      </c>
      <c r="C285" s="7" t="str">
        <f>IF('Port Bloomberg'!C285="","",'Port Bloomberg'!C285)</f>
        <v>EL PUERTO LIVERP</v>
      </c>
      <c r="D285" s="7" t="str">
        <f>IF('Port Bloomberg'!D285="","",'Port Bloomberg'!D285)</f>
        <v>EL PUERTO DE LIVERPOOL</v>
      </c>
      <c r="E285" s="7" t="str">
        <f>IF('Port Bloomberg'!E285="","",'Port Bloomberg'!E285)</f>
        <v>USP3691NBM13</v>
      </c>
      <c r="F285" s="7" t="str">
        <f>IF('Port Bloomberg'!F285="","",'Port Bloomberg'!F285)</f>
        <v>LIVEPL</v>
      </c>
      <c r="G285" s="7" t="str">
        <f>IF('Port Bloomberg'!G285="","",'Port Bloomberg'!G285)</f>
        <v>LIVEPOLC MM</v>
      </c>
      <c r="H285" s="7" t="str">
        <f>IF('Port Bloomberg'!H285="","",'Port Bloomberg'!H285)</f>
        <v>Retail</v>
      </c>
      <c r="I285" s="7" t="str">
        <f>IF('Port Bloomberg'!I285="","",'Port Bloomberg'!I285)</f>
        <v>IND</v>
      </c>
      <c r="J285" s="7" t="str">
        <f>IF('Port Bloomberg'!J285="","",'Port Bloomberg'!J285)</f>
        <v>Retail-Major Dept Store</v>
      </c>
      <c r="K285" s="7" t="str">
        <f>IF('Port Bloomberg'!K285="","",'Port Bloomberg'!K285)</f>
        <v>MX</v>
      </c>
      <c r="L285" s="7" t="str">
        <f>IF('Port Bloomberg'!L285="","",'Port Bloomberg'!L285)</f>
        <v>MX</v>
      </c>
      <c r="M285" s="7" t="str">
        <f>IF('Port Bloomberg'!M285="","",'Port Bloomberg'!M285)</f>
        <v>USD</v>
      </c>
      <c r="N285" s="7">
        <f>IF('Port Bloomberg'!N285="","",'Port Bloomberg'!N285)</f>
        <v>500000</v>
      </c>
      <c r="O285" s="7" t="str">
        <f>IF('Port Bloomberg'!O285="","",'Port Bloomberg'!O285)</f>
        <v>SINGLE</v>
      </c>
      <c r="P285" s="7">
        <f>IF('Port Bloomberg'!P285="","",'Port Bloomberg'!P285)</f>
        <v>6.6580000000000004</v>
      </c>
      <c r="Q285" s="7" t="str">
        <f>IF('Port Bloomberg'!Q285="","",'Port Bloomberg'!Q285)</f>
        <v>BBB</v>
      </c>
      <c r="R285" s="7" t="str">
        <f>IF('Port Bloomberg'!R285="","",'Port Bloomberg'!R285)</f>
        <v>01/22/2037</v>
      </c>
      <c r="S285" s="5">
        <f>IF(E285="","",IFERROR(IF(MATCH(E285,[1]Instrumentos!$D:$D,0)&gt;0,1,0),0))</f>
        <v>1</v>
      </c>
      <c r="T285" s="5">
        <f>IF(E285="","",IFERROR(IF(MATCH(E285,'Lista de excepciones'!$E:$E,0)&gt;0,1,0),0))</f>
        <v>0</v>
      </c>
      <c r="U285" s="6" t="str">
        <f t="shared" si="5"/>
        <v>NO</v>
      </c>
    </row>
    <row r="286" spans="1:24" hidden="1" x14ac:dyDescent="0.25">
      <c r="A286" s="7" t="str">
        <f>IF('Port Bloomberg'!A286="","",'Port Bloomberg'!A286)</f>
        <v>LNZAV 7.95 01/26/32</v>
      </c>
      <c r="B286" s="7" t="str">
        <f>IF('Port Bloomberg'!B286="","",'Port Bloomberg'!B286)</f>
        <v>LD Celulose International GmbH</v>
      </c>
      <c r="C286" s="7" t="str">
        <f>IF('Port Bloomberg'!C286="","",'Port Bloomberg'!C286)</f>
        <v>LD CELULOSE INTE</v>
      </c>
      <c r="D286" s="7" t="str">
        <f>IF('Port Bloomberg'!D286="","",'Port Bloomberg'!D286)</f>
        <v>LD CELULOSE INTERNATIONA</v>
      </c>
      <c r="E286" s="7" t="str">
        <f>IF('Port Bloomberg'!E286="","",'Port Bloomberg'!E286)</f>
        <v>USA4S42PAA32</v>
      </c>
      <c r="F286" s="7" t="str">
        <f>IF('Port Bloomberg'!F286="","",'Port Bloomberg'!F286)</f>
        <v>LNZAV</v>
      </c>
      <c r="G286" s="7" t="str">
        <f>IF('Port Bloomberg'!G286="","",'Port Bloomberg'!G286)</f>
        <v>LNZ AV</v>
      </c>
      <c r="H286" s="7" t="str">
        <f>IF('Port Bloomberg'!H286="","",'Port Bloomberg'!H286)</f>
        <v>Forest Products&amp;Paper</v>
      </c>
      <c r="I286" s="7" t="str">
        <f>IF('Port Bloomberg'!I286="","",'Port Bloomberg'!I286)</f>
        <v>IND</v>
      </c>
      <c r="J286" s="7" t="str">
        <f>IF('Port Bloomberg'!J286="","",'Port Bloomberg'!J286)</f>
        <v>Paper&amp;Related Products</v>
      </c>
      <c r="K286" s="7" t="str">
        <f>IF('Port Bloomberg'!K286="","",'Port Bloomberg'!K286)</f>
        <v>AT</v>
      </c>
      <c r="L286" s="7" t="str">
        <f>IF('Port Bloomberg'!L286="","",'Port Bloomberg'!L286)</f>
        <v>BR</v>
      </c>
      <c r="M286" s="7" t="str">
        <f>IF('Port Bloomberg'!M286="","",'Port Bloomberg'!M286)</f>
        <v>USD</v>
      </c>
      <c r="N286" s="7">
        <f>IF('Port Bloomberg'!N286="","",'Port Bloomberg'!N286)</f>
        <v>650000</v>
      </c>
      <c r="O286" s="7" t="str">
        <f>IF('Port Bloomberg'!O286="","",'Port Bloomberg'!O286)</f>
        <v>SINGLE</v>
      </c>
      <c r="P286" s="7">
        <f>IF('Port Bloomberg'!P286="","",'Port Bloomberg'!P286)</f>
        <v>7.95</v>
      </c>
      <c r="Q286" s="7" t="str">
        <f>IF('Port Bloomberg'!Q286="","",'Port Bloomberg'!Q286)</f>
        <v>BB-</v>
      </c>
      <c r="R286" s="7" t="str">
        <f>IF('Port Bloomberg'!R286="","",'Port Bloomberg'!R286)</f>
        <v>01/26/2032</v>
      </c>
      <c r="S286" s="5">
        <f>IF(E286="","",IFERROR(IF(MATCH(E286,[1]Instrumentos!$D:$D,0)&gt;0,1,0),0))</f>
        <v>0</v>
      </c>
      <c r="T286" s="5">
        <f>IF(E286="","",IFERROR(IF(MATCH(E286,'Lista de excepciones'!$E:$E,0)&gt;0,1,0),0))</f>
        <v>1</v>
      </c>
      <c r="U286" s="6" t="str">
        <f t="shared" si="5"/>
        <v>NO</v>
      </c>
    </row>
    <row r="287" spans="1:24" hidden="1" x14ac:dyDescent="0.25">
      <c r="A287" s="7" t="str">
        <f>IF('Port Bloomberg'!A287="","",'Port Bloomberg'!A287)</f>
        <v>LTMCI 7 ⅝ 01/07/31</v>
      </c>
      <c r="B287" s="7" t="str">
        <f>IF('Port Bloomberg'!B287="","",'Port Bloomberg'!B287)</f>
        <v>Latam Airlines Group SA</v>
      </c>
      <c r="C287" s="7" t="str">
        <f>IF('Port Bloomberg'!C287="","",'Port Bloomberg'!C287)</f>
        <v>LATAM AIR</v>
      </c>
      <c r="D287" s="7" t="str">
        <f>IF('Port Bloomberg'!D287="","",'Port Bloomberg'!D287)</f>
        <v>LATAM AIRLINES GROUP SA</v>
      </c>
      <c r="E287" s="7" t="str">
        <f>IF('Port Bloomberg'!E287="","",'Port Bloomberg'!E287)</f>
        <v>USP62138AC95</v>
      </c>
      <c r="F287" s="7" t="str">
        <f>IF('Port Bloomberg'!F287="","",'Port Bloomberg'!F287)</f>
        <v>LTMCI</v>
      </c>
      <c r="G287" s="7" t="str">
        <f>IF('Port Bloomberg'!G287="","",'Port Bloomberg'!G287)</f>
        <v>LTM CI</v>
      </c>
      <c r="H287" s="7" t="str">
        <f>IF('Port Bloomberg'!H287="","",'Port Bloomberg'!H287)</f>
        <v>Airlines</v>
      </c>
      <c r="I287" s="7" t="str">
        <f>IF('Port Bloomberg'!I287="","",'Port Bloomberg'!I287)</f>
        <v>IND</v>
      </c>
      <c r="J287" s="7" t="str">
        <f>IF('Port Bloomberg'!J287="","",'Port Bloomberg'!J287)</f>
        <v>Airlines</v>
      </c>
      <c r="K287" s="7" t="str">
        <f>IF('Port Bloomberg'!K287="","",'Port Bloomberg'!K287)</f>
        <v>CL</v>
      </c>
      <c r="L287" s="7" t="str">
        <f>IF('Port Bloomberg'!L287="","",'Port Bloomberg'!L287)</f>
        <v>CL</v>
      </c>
      <c r="M287" s="7" t="str">
        <f>IF('Port Bloomberg'!M287="","",'Port Bloomberg'!M287)</f>
        <v>USD</v>
      </c>
      <c r="N287" s="7">
        <f>IF('Port Bloomberg'!N287="","",'Port Bloomberg'!N287)</f>
        <v>800000</v>
      </c>
      <c r="O287" s="7" t="str">
        <f>IF('Port Bloomberg'!O287="","",'Port Bloomberg'!O287)</f>
        <v>SINGLE</v>
      </c>
      <c r="P287" s="7">
        <f>IF('Port Bloomberg'!P287="","",'Port Bloomberg'!P287)</f>
        <v>7.625</v>
      </c>
      <c r="Q287" s="7" t="str">
        <f>IF('Port Bloomberg'!Q287="","",'Port Bloomberg'!Q287)</f>
        <v>BB+</v>
      </c>
      <c r="R287" s="7" t="str">
        <f>IF('Port Bloomberg'!R287="","",'Port Bloomberg'!R287)</f>
        <v>01/07/2031</v>
      </c>
      <c r="S287" s="5">
        <f>IF(E287="","",IFERROR(IF(MATCH(E287,[1]Instrumentos!$D:$D,0)&gt;0,1,0),0))</f>
        <v>1</v>
      </c>
      <c r="T287" s="5">
        <f>IF(E287="","",IFERROR(IF(MATCH(E287,'Lista de excepciones'!$E:$E,0)&gt;0,1,0),0))</f>
        <v>0</v>
      </c>
      <c r="U287" s="6" t="str">
        <f t="shared" si="5"/>
        <v>NO</v>
      </c>
    </row>
    <row r="288" spans="1:24" hidden="1" x14ac:dyDescent="0.25">
      <c r="A288" s="7" t="str">
        <f>IF('Port Bloomberg'!A288="","",'Port Bloomberg'!A288)</f>
        <v>MABEMX 5.6 10/23/28</v>
      </c>
      <c r="B288" s="7" t="str">
        <f>IF('Port Bloomberg'!B288="","",'Port Bloomberg'!B288)</f>
        <v>Controladora Mabe SA de CV</v>
      </c>
      <c r="C288" s="7" t="str">
        <f>IF('Port Bloomberg'!C288="","",'Port Bloomberg'!C288)</f>
        <v>CONTROLADORA MAB</v>
      </c>
      <c r="D288" s="7" t="str">
        <f>IF('Port Bloomberg'!D288="","",'Port Bloomberg'!D288)</f>
        <v>CONTROLADORA MABE SA CV</v>
      </c>
      <c r="E288" s="7" t="str">
        <f>IF('Port Bloomberg'!E288="","",'Port Bloomberg'!E288)</f>
        <v>USP3100SAC81</v>
      </c>
      <c r="F288" s="7" t="str">
        <f>IF('Port Bloomberg'!F288="","",'Port Bloomberg'!F288)</f>
        <v>MABEMX</v>
      </c>
      <c r="G288" s="7" t="str">
        <f>IF('Port Bloomberg'!G288="","",'Port Bloomberg'!G288)</f>
        <v>1122Z MM</v>
      </c>
      <c r="H288" s="7" t="str">
        <f>IF('Port Bloomberg'!H288="","",'Port Bloomberg'!H288)</f>
        <v>Home Furnishings</v>
      </c>
      <c r="I288" s="7" t="str">
        <f>IF('Port Bloomberg'!I288="","",'Port Bloomberg'!I288)</f>
        <v>IND</v>
      </c>
      <c r="J288" s="7" t="str">
        <f>IF('Port Bloomberg'!J288="","",'Port Bloomberg'!J288)</f>
        <v>Appliances</v>
      </c>
      <c r="K288" s="7" t="str">
        <f>IF('Port Bloomberg'!K288="","",'Port Bloomberg'!K288)</f>
        <v>MX</v>
      </c>
      <c r="L288" s="7" t="str">
        <f>IF('Port Bloomberg'!L288="","",'Port Bloomberg'!L288)</f>
        <v>MX</v>
      </c>
      <c r="M288" s="7" t="str">
        <f>IF('Port Bloomberg'!M288="","",'Port Bloomberg'!M288)</f>
        <v>USD</v>
      </c>
      <c r="N288" s="7">
        <f>IF('Port Bloomberg'!N288="","",'Port Bloomberg'!N288)</f>
        <v>370000</v>
      </c>
      <c r="O288" s="7" t="str">
        <f>IF('Port Bloomberg'!O288="","",'Port Bloomberg'!O288)</f>
        <v>SINGLE</v>
      </c>
      <c r="P288" s="7">
        <f>IF('Port Bloomberg'!P288="","",'Port Bloomberg'!P288)</f>
        <v>5.6</v>
      </c>
      <c r="Q288" s="7" t="str">
        <f>IF('Port Bloomberg'!Q288="","",'Port Bloomberg'!Q288)</f>
        <v>BBB</v>
      </c>
      <c r="R288" s="7" t="str">
        <f>IF('Port Bloomberg'!R288="","",'Port Bloomberg'!R288)</f>
        <v>10/23/2028</v>
      </c>
      <c r="S288" s="5">
        <f>IF(E288="","",IFERROR(IF(MATCH(E288,[1]Instrumentos!$D:$D,0)&gt;0,1,0),0))</f>
        <v>0</v>
      </c>
      <c r="T288" s="5">
        <f>IF(E288="","",IFERROR(IF(MATCH(E288,'Lista de excepciones'!$E:$E,0)&gt;0,1,0),0))</f>
        <v>1</v>
      </c>
      <c r="U288" s="6" t="str">
        <f t="shared" si="5"/>
        <v>NO</v>
      </c>
    </row>
    <row r="289" spans="1:21" hidden="1" x14ac:dyDescent="0.25">
      <c r="A289" s="7" t="str">
        <f>IF('Port Bloomberg'!A289="","",'Port Bloomberg'!A289)</f>
        <v>MARSAC 5 ¾ 01/22/36</v>
      </c>
      <c r="B289" s="7" t="str">
        <f>IF('Port Bloomberg'!B289="","",'Port Bloomberg'!B289)</f>
        <v>Marcobre SAC</v>
      </c>
      <c r="C289" s="7" t="str">
        <f>IF('Port Bloomberg'!C289="","",'Port Bloomberg'!C289)</f>
        <v>MARCOBRE SAC</v>
      </c>
      <c r="D289" s="7" t="str">
        <f>IF('Port Bloomberg'!D289="","",'Port Bloomberg'!D289)</f>
        <v>MARCOBRE SAC</v>
      </c>
      <c r="E289" s="7" t="str">
        <f>IF('Port Bloomberg'!E289="","",'Port Bloomberg'!E289)</f>
        <v>USP6432AAA36</v>
      </c>
      <c r="F289" s="7" t="str">
        <f>IF('Port Bloomberg'!F289="","",'Port Bloomberg'!F289)</f>
        <v>MARSAC</v>
      </c>
      <c r="G289" s="7" t="str">
        <f>IF('Port Bloomberg'!G289="","",'Port Bloomberg'!G289)</f>
        <v>MINSURI1 PE</v>
      </c>
      <c r="H289" s="7" t="str">
        <f>IF('Port Bloomberg'!H289="","",'Port Bloomberg'!H289)</f>
        <v>Mining</v>
      </c>
      <c r="I289" s="7" t="str">
        <f>IF('Port Bloomberg'!I289="","",'Port Bloomberg'!I289)</f>
        <v>IND</v>
      </c>
      <c r="J289" s="7" t="str">
        <f>IF('Port Bloomberg'!J289="","",'Port Bloomberg'!J289)</f>
        <v>Metal-Copper</v>
      </c>
      <c r="K289" s="7" t="str">
        <f>IF('Port Bloomberg'!K289="","",'Port Bloomberg'!K289)</f>
        <v>PE</v>
      </c>
      <c r="L289" s="7" t="str">
        <f>IF('Port Bloomberg'!L289="","",'Port Bloomberg'!L289)</f>
        <v>PE</v>
      </c>
      <c r="M289" s="7" t="str">
        <f>IF('Port Bloomberg'!M289="","",'Port Bloomberg'!M289)</f>
        <v>USD</v>
      </c>
      <c r="N289" s="7">
        <f>IF('Port Bloomberg'!N289="","",'Port Bloomberg'!N289)</f>
        <v>400000</v>
      </c>
      <c r="O289" s="7" t="str">
        <f>IF('Port Bloomberg'!O289="","",'Port Bloomberg'!O289)</f>
        <v>SINGLE</v>
      </c>
      <c r="P289" s="7">
        <f>IF('Port Bloomberg'!P289="","",'Port Bloomberg'!P289)</f>
        <v>5.75</v>
      </c>
      <c r="Q289" s="7" t="str">
        <f>IF('Port Bloomberg'!Q289="","",'Port Bloomberg'!Q289)</f>
        <v>BB+</v>
      </c>
      <c r="R289" s="7" t="str">
        <f>IF('Port Bloomberg'!R289="","",'Port Bloomberg'!R289)</f>
        <v>01/22/2036</v>
      </c>
      <c r="S289" s="5">
        <f>IF(E289="","",IFERROR(IF(MATCH(E289,[1]Instrumentos!$D:$D,0)&gt;0,1,0),0))</f>
        <v>1</v>
      </c>
      <c r="T289" s="5">
        <f>IF(E289="","",IFERROR(IF(MATCH(E289,'Lista de excepciones'!$E:$E,0)&gt;0,1,0),0))</f>
        <v>0</v>
      </c>
      <c r="U289" s="6" t="str">
        <f t="shared" si="5"/>
        <v>NO</v>
      </c>
    </row>
    <row r="290" spans="1:21" hidden="1" x14ac:dyDescent="0.25">
      <c r="A290" s="7" t="str">
        <f>IF('Port Bloomberg'!A290="","",'Port Bloomberg'!A290)</f>
        <v>MCBRAC 7 ¼ 06/30/31</v>
      </c>
      <c r="B290" s="7" t="str">
        <f>IF('Port Bloomberg'!B290="","",'Port Bloomberg'!B290)</f>
        <v>MC Brazil Downstream Trading SARL</v>
      </c>
      <c r="C290" s="7" t="str">
        <f>IF('Port Bloomberg'!C290="","",'Port Bloomberg'!C290)</f>
        <v>MC BRAZIL</v>
      </c>
      <c r="D290" s="7" t="str">
        <f>IF('Port Bloomberg'!D290="","",'Port Bloomberg'!D290)</f>
        <v>MC BRAZIL DWNSTRM</v>
      </c>
      <c r="E290" s="7" t="str">
        <f>IF('Port Bloomberg'!E290="","",'Port Bloomberg'!E290)</f>
        <v>USL626A6AA24</v>
      </c>
      <c r="F290" s="7" t="str">
        <f>IF('Port Bloomberg'!F290="","",'Port Bloomberg'!F290)</f>
        <v>MCBRAC</v>
      </c>
      <c r="G290" s="7" t="str">
        <f>IF('Port Bloomberg'!G290="","",'Port Bloomberg'!G290)</f>
        <v>2409655D BZ</v>
      </c>
      <c r="H290" s="7" t="str">
        <f>IF('Port Bloomberg'!H290="","",'Port Bloomberg'!H290)</f>
        <v>Oil&amp;Gas</v>
      </c>
      <c r="I290" s="7" t="str">
        <f>IF('Port Bloomberg'!I290="","",'Port Bloomberg'!I290)</f>
        <v>IND</v>
      </c>
      <c r="J290" s="7" t="str">
        <f>IF('Port Bloomberg'!J290="","",'Port Bloomberg'!J290)</f>
        <v>Oil Refining&amp;Marketing</v>
      </c>
      <c r="K290" s="7" t="str">
        <f>IF('Port Bloomberg'!K290="","",'Port Bloomberg'!K290)</f>
        <v>LU</v>
      </c>
      <c r="L290" s="7" t="str">
        <f>IF('Port Bloomberg'!L290="","",'Port Bloomberg'!L290)</f>
        <v>BR</v>
      </c>
      <c r="M290" s="7" t="str">
        <f>IF('Port Bloomberg'!M290="","",'Port Bloomberg'!M290)</f>
        <v>USD</v>
      </c>
      <c r="N290" s="7">
        <f>IF('Port Bloomberg'!N290="","",'Port Bloomberg'!N290)</f>
        <v>1800000</v>
      </c>
      <c r="O290" s="7" t="str">
        <f>IF('Port Bloomberg'!O290="","",'Port Bloomberg'!O290)</f>
        <v>SINGLE</v>
      </c>
      <c r="P290" s="7">
        <f>IF('Port Bloomberg'!P290="","",'Port Bloomberg'!P290)</f>
        <v>7.25</v>
      </c>
      <c r="Q290" s="7" t="str">
        <f>IF('Port Bloomberg'!Q290="","",'Port Bloomberg'!Q290)</f>
        <v>B+</v>
      </c>
      <c r="R290" s="7" t="str">
        <f>IF('Port Bloomberg'!R290="","",'Port Bloomberg'!R290)</f>
        <v>06/30/2031</v>
      </c>
      <c r="S290" s="5">
        <f>IF(E290="","",IFERROR(IF(MATCH(E290,[1]Instrumentos!$D:$D,0)&gt;0,1,0),0))</f>
        <v>0</v>
      </c>
      <c r="T290" s="5">
        <f>IF(E290="","",IFERROR(IF(MATCH(E290,'Lista de excepciones'!$E:$E,0)&gt;0,1,0),0))</f>
        <v>1</v>
      </c>
      <c r="U290" s="6" t="str">
        <f t="shared" si="5"/>
        <v>NO</v>
      </c>
    </row>
    <row r="291" spans="1:21" hidden="1" x14ac:dyDescent="0.25">
      <c r="A291" s="7" t="str">
        <f>IF('Port Bloomberg'!A291="","",'Port Bloomberg'!A291)</f>
        <v>MELI 3 ⅛ 01/14/31</v>
      </c>
      <c r="B291" s="7" t="str">
        <f>IF('Port Bloomberg'!B291="","",'Port Bloomberg'!B291)</f>
        <v>MercadoLibre Inc</v>
      </c>
      <c r="C291" s="7" t="str">
        <f>IF('Port Bloomberg'!C291="","",'Port Bloomberg'!C291)</f>
        <v>MERCADOLIBRE INC</v>
      </c>
      <c r="D291" s="7" t="str">
        <f>IF('Port Bloomberg'!D291="","",'Port Bloomberg'!D291)</f>
        <v>MERCADOLIBRE INC</v>
      </c>
      <c r="E291" s="7" t="str">
        <f>IF('Port Bloomberg'!E291="","",'Port Bloomberg'!E291)</f>
        <v>US58733RAF91</v>
      </c>
      <c r="F291" s="7" t="str">
        <f>IF('Port Bloomberg'!F291="","",'Port Bloomberg'!F291)</f>
        <v>MELI</v>
      </c>
      <c r="G291" s="7" t="str">
        <f>IF('Port Bloomberg'!G291="","",'Port Bloomberg'!G291)</f>
        <v>MELI US</v>
      </c>
      <c r="H291" s="7" t="str">
        <f>IF('Port Bloomberg'!H291="","",'Port Bloomberg'!H291)</f>
        <v>Internet</v>
      </c>
      <c r="I291" s="7" t="str">
        <f>IF('Port Bloomberg'!I291="","",'Port Bloomberg'!I291)</f>
        <v>IND</v>
      </c>
      <c r="J291" s="7" t="str">
        <f>IF('Port Bloomberg'!J291="","",'Port Bloomberg'!J291)</f>
        <v>E-Commerce/Services</v>
      </c>
      <c r="K291" s="7" t="str">
        <f>IF('Port Bloomberg'!K291="","",'Port Bloomberg'!K291)</f>
        <v>UY</v>
      </c>
      <c r="L291" s="7" t="str">
        <f>IF('Port Bloomberg'!L291="","",'Port Bloomberg'!L291)</f>
        <v>BR</v>
      </c>
      <c r="M291" s="7" t="str">
        <f>IF('Port Bloomberg'!M291="","",'Port Bloomberg'!M291)</f>
        <v>USD</v>
      </c>
      <c r="N291" s="7">
        <f>IF('Port Bloomberg'!N291="","",'Port Bloomberg'!N291)</f>
        <v>700000</v>
      </c>
      <c r="O291" s="7" t="str">
        <f>IF('Port Bloomberg'!O291="","",'Port Bloomberg'!O291)</f>
        <v>SINGLE</v>
      </c>
      <c r="P291" s="7">
        <f>IF('Port Bloomberg'!P291="","",'Port Bloomberg'!P291)</f>
        <v>3.125</v>
      </c>
      <c r="Q291" s="7" t="str">
        <f>IF('Port Bloomberg'!Q291="","",'Port Bloomberg'!Q291)</f>
        <v>BBB-</v>
      </c>
      <c r="R291" s="7" t="str">
        <f>IF('Port Bloomberg'!R291="","",'Port Bloomberg'!R291)</f>
        <v>01/14/2031</v>
      </c>
      <c r="S291" s="5">
        <f>IF(E291="","",IFERROR(IF(MATCH(E291,[1]Instrumentos!$D:$D,0)&gt;0,1,0),0))</f>
        <v>1</v>
      </c>
      <c r="T291" s="5">
        <f>IF(E291="","",IFERROR(IF(MATCH(E291,'Lista de excepciones'!$E:$E,0)&gt;0,1,0),0))</f>
        <v>0</v>
      </c>
      <c r="U291" s="6" t="str">
        <f t="shared" si="5"/>
        <v>NO</v>
      </c>
    </row>
    <row r="292" spans="1:21" hidden="1" x14ac:dyDescent="0.25">
      <c r="A292" s="7" t="str">
        <f>IF('Port Bloomberg'!A292="","",'Port Bloomberg'!A292)</f>
        <v>MELI 4.9 01/15/33</v>
      </c>
      <c r="B292" s="7" t="str">
        <f>IF('Port Bloomberg'!B292="","",'Port Bloomberg'!B292)</f>
        <v>MercadoLibre Inc</v>
      </c>
      <c r="C292" s="7" t="str">
        <f>IF('Port Bloomberg'!C292="","",'Port Bloomberg'!C292)</f>
        <v>MERCADOLIBRE INC</v>
      </c>
      <c r="D292" s="7" t="str">
        <f>IF('Port Bloomberg'!D292="","",'Port Bloomberg'!D292)</f>
        <v>MERCADOLIBRE INC</v>
      </c>
      <c r="E292" s="7" t="str">
        <f>IF('Port Bloomberg'!E292="","",'Port Bloomberg'!E292)</f>
        <v>US58733RAG74</v>
      </c>
      <c r="F292" s="7" t="str">
        <f>IF('Port Bloomberg'!F292="","",'Port Bloomberg'!F292)</f>
        <v>MELI</v>
      </c>
      <c r="G292" s="7" t="str">
        <f>IF('Port Bloomberg'!G292="","",'Port Bloomberg'!G292)</f>
        <v>MELI US</v>
      </c>
      <c r="H292" s="7" t="str">
        <f>IF('Port Bloomberg'!H292="","",'Port Bloomberg'!H292)</f>
        <v>Internet</v>
      </c>
      <c r="I292" s="7" t="str">
        <f>IF('Port Bloomberg'!I292="","",'Port Bloomberg'!I292)</f>
        <v>IND</v>
      </c>
      <c r="J292" s="7" t="str">
        <f>IF('Port Bloomberg'!J292="","",'Port Bloomberg'!J292)</f>
        <v>E-Commerce/Services</v>
      </c>
      <c r="K292" s="7" t="str">
        <f>IF('Port Bloomberg'!K292="","",'Port Bloomberg'!K292)</f>
        <v>UY</v>
      </c>
      <c r="L292" s="7" t="str">
        <f>IF('Port Bloomberg'!L292="","",'Port Bloomberg'!L292)</f>
        <v>BR</v>
      </c>
      <c r="M292" s="7" t="str">
        <f>IF('Port Bloomberg'!M292="","",'Port Bloomberg'!M292)</f>
        <v>USD</v>
      </c>
      <c r="N292" s="7">
        <f>IF('Port Bloomberg'!N292="","",'Port Bloomberg'!N292)</f>
        <v>750000</v>
      </c>
      <c r="O292" s="7" t="str">
        <f>IF('Port Bloomberg'!O292="","",'Port Bloomberg'!O292)</f>
        <v>SINGLE</v>
      </c>
      <c r="P292" s="7">
        <f>IF('Port Bloomberg'!P292="","",'Port Bloomberg'!P292)</f>
        <v>4.9000000000000004</v>
      </c>
      <c r="Q292" s="7" t="str">
        <f>IF('Port Bloomberg'!Q292="","",'Port Bloomberg'!Q292)</f>
        <v>BBB-</v>
      </c>
      <c r="R292" s="7" t="str">
        <f>IF('Port Bloomberg'!R292="","",'Port Bloomberg'!R292)</f>
        <v>01/15/2033</v>
      </c>
      <c r="S292" s="5">
        <f>IF(E292="","",IFERROR(IF(MATCH(E292,[1]Instrumentos!$D:$D,0)&gt;0,1,0),0))</f>
        <v>1</v>
      </c>
      <c r="T292" s="5">
        <f>IF(E292="","",IFERROR(IF(MATCH(E292,'Lista de excepciones'!$E:$E,0)&gt;0,1,0),0))</f>
        <v>0</v>
      </c>
      <c r="U292" s="6" t="str">
        <f t="shared" si="5"/>
        <v>NO</v>
      </c>
    </row>
    <row r="293" spans="1:21" hidden="1" x14ac:dyDescent="0.25">
      <c r="A293" s="7" t="str">
        <f>IF('Port Bloomberg'!A293="","",'Port Bloomberg'!A293)</f>
        <v>METLSA 3 ¾ 05/04/31</v>
      </c>
      <c r="B293" s="7" t="str">
        <f>IF('Port Bloomberg'!B293="","",'Port Bloomberg'!B293)</f>
        <v>Metalsa Sapi De Cv</v>
      </c>
      <c r="C293" s="7" t="str">
        <f>IF('Port Bloomberg'!C293="","",'Port Bloomberg'!C293)</f>
        <v>METALSA SA DE CV</v>
      </c>
      <c r="D293" s="7" t="str">
        <f>IF('Port Bloomberg'!D293="","",'Port Bloomberg'!D293)</f>
        <v>METALSA SA DE CV</v>
      </c>
      <c r="E293" s="7" t="str">
        <f>IF('Port Bloomberg'!E293="","",'Port Bloomberg'!E293)</f>
        <v>USP6638MAB74</v>
      </c>
      <c r="F293" s="7" t="str">
        <f>IF('Port Bloomberg'!F293="","",'Port Bloomberg'!F293)</f>
        <v>METLSA</v>
      </c>
      <c r="G293" s="7" t="str">
        <f>IF('Port Bloomberg'!G293="","",'Port Bloomberg'!G293)</f>
        <v/>
      </c>
      <c r="H293" s="7" t="str">
        <f>IF('Port Bloomberg'!H293="","",'Port Bloomberg'!H293)</f>
        <v>Auto Parts&amp;Equipment</v>
      </c>
      <c r="I293" s="7" t="str">
        <f>IF('Port Bloomberg'!I293="","",'Port Bloomberg'!I293)</f>
        <v>IND</v>
      </c>
      <c r="J293" s="7" t="str">
        <f>IF('Port Bloomberg'!J293="","",'Port Bloomberg'!J293)</f>
        <v>Auto/Trk Prts&amp;Equip-Orig</v>
      </c>
      <c r="K293" s="7" t="str">
        <f>IF('Port Bloomberg'!K293="","",'Port Bloomberg'!K293)</f>
        <v>MX</v>
      </c>
      <c r="L293" s="7" t="str">
        <f>IF('Port Bloomberg'!L293="","",'Port Bloomberg'!L293)</f>
        <v>MX</v>
      </c>
      <c r="M293" s="7" t="str">
        <f>IF('Port Bloomberg'!M293="","",'Port Bloomberg'!M293)</f>
        <v>USD</v>
      </c>
      <c r="N293" s="7">
        <f>IF('Port Bloomberg'!N293="","",'Port Bloomberg'!N293)</f>
        <v>300000</v>
      </c>
      <c r="O293" s="7" t="str">
        <f>IF('Port Bloomberg'!O293="","",'Port Bloomberg'!O293)</f>
        <v>SINGLE</v>
      </c>
      <c r="P293" s="7">
        <f>IF('Port Bloomberg'!P293="","",'Port Bloomberg'!P293)</f>
        <v>3.75</v>
      </c>
      <c r="Q293" s="7" t="str">
        <f>IF('Port Bloomberg'!Q293="","",'Port Bloomberg'!Q293)</f>
        <v>BB+</v>
      </c>
      <c r="R293" s="7" t="str">
        <f>IF('Port Bloomberg'!R293="","",'Port Bloomberg'!R293)</f>
        <v>05/04/2031</v>
      </c>
      <c r="S293" s="5">
        <f>IF(E293="","",IFERROR(IF(MATCH(E293,[1]Instrumentos!$D:$D,0)&gt;0,1,0),0))</f>
        <v>1</v>
      </c>
      <c r="T293" s="5">
        <f>IF(E293="","",IFERROR(IF(MATCH(E293,'Lista de excepciones'!$E:$E,0)&gt;0,1,0),0))</f>
        <v>0</v>
      </c>
      <c r="U293" s="6" t="str">
        <f t="shared" si="5"/>
        <v>NO</v>
      </c>
    </row>
    <row r="294" spans="1:21" hidden="1" x14ac:dyDescent="0.25">
      <c r="A294" s="7" t="str">
        <f>IF('Port Bloomberg'!A294="","",'Port Bloomberg'!A294)</f>
        <v>MEXCAT 5 ½ 07/31/47</v>
      </c>
      <c r="B294" s="7" t="str">
        <f>IF('Port Bloomberg'!B294="","",'Port Bloomberg'!B294)</f>
        <v>Mexico City Airport Trust</v>
      </c>
      <c r="C294" s="7" t="str">
        <f>IF('Port Bloomberg'!C294="","",'Port Bloomberg'!C294)</f>
        <v>MEXICO CITY ARPT</v>
      </c>
      <c r="D294" s="7" t="str">
        <f>IF('Port Bloomberg'!D294="","",'Port Bloomberg'!D294)</f>
        <v>MEXICO CITY ARPT TRUST</v>
      </c>
      <c r="E294" s="7" t="str">
        <f>IF('Port Bloomberg'!E294="","",'Port Bloomberg'!E294)</f>
        <v>USP6629MAD40</v>
      </c>
      <c r="F294" s="7" t="str">
        <f>IF('Port Bloomberg'!F294="","",'Port Bloomberg'!F294)</f>
        <v>MEXCAT</v>
      </c>
      <c r="G294" s="7" t="str">
        <f>IF('Port Bloomberg'!G294="","",'Port Bloomberg'!G294)</f>
        <v>1441130D MM</v>
      </c>
      <c r="H294" s="7" t="str">
        <f>IF('Port Bloomberg'!H294="","",'Port Bloomberg'!H294)</f>
        <v>Engineering&amp;Construction</v>
      </c>
      <c r="I294" s="7" t="str">
        <f>IF('Port Bloomberg'!I294="","",'Port Bloomberg'!I294)</f>
        <v>FOA</v>
      </c>
      <c r="J294" s="7" t="str">
        <f>IF('Port Bloomberg'!J294="","",'Port Bloomberg'!J294)</f>
        <v>Airport Develop/Maint</v>
      </c>
      <c r="K294" s="7" t="str">
        <f>IF('Port Bloomberg'!K294="","",'Port Bloomberg'!K294)</f>
        <v>MX</v>
      </c>
      <c r="L294" s="7" t="str">
        <f>IF('Port Bloomberg'!L294="","",'Port Bloomberg'!L294)</f>
        <v>MX</v>
      </c>
      <c r="M294" s="7" t="str">
        <f>IF('Port Bloomberg'!M294="","",'Port Bloomberg'!M294)</f>
        <v>USD</v>
      </c>
      <c r="N294" s="7">
        <f>IF('Port Bloomberg'!N294="","",'Port Bloomberg'!N294)</f>
        <v>3000000</v>
      </c>
      <c r="O294" s="7" t="str">
        <f>IF('Port Bloomberg'!O294="","",'Port Bloomberg'!O294)</f>
        <v>SINGLE</v>
      </c>
      <c r="P294" s="7">
        <f>IF('Port Bloomberg'!P294="","",'Port Bloomberg'!P294)</f>
        <v>5.5</v>
      </c>
      <c r="Q294" s="7" t="str">
        <f>IF('Port Bloomberg'!Q294="","",'Port Bloomberg'!Q294)</f>
        <v>BBB-</v>
      </c>
      <c r="R294" s="7" t="str">
        <f>IF('Port Bloomberg'!R294="","",'Port Bloomberg'!R294)</f>
        <v>07/31/2047</v>
      </c>
      <c r="S294" s="5">
        <f>IF(E294="","",IFERROR(IF(MATCH(E294,[1]Instrumentos!$D:$D,0)&gt;0,1,0),0))</f>
        <v>1</v>
      </c>
      <c r="T294" s="5">
        <f>IF(E294="","",IFERROR(IF(MATCH(E294,'Lista de excepciones'!$E:$E,0)&gt;0,1,0),0))</f>
        <v>0</v>
      </c>
      <c r="U294" s="6" t="str">
        <f t="shared" si="5"/>
        <v>NO</v>
      </c>
    </row>
    <row r="295" spans="1:21" hidden="1" x14ac:dyDescent="0.25">
      <c r="A295" s="7" t="str">
        <f>IF('Port Bloomberg'!A295="","",'Port Bloomberg'!A295)</f>
        <v>MEXCAT 5 ½ 10/31/46</v>
      </c>
      <c r="B295" s="7" t="str">
        <f>IF('Port Bloomberg'!B295="","",'Port Bloomberg'!B295)</f>
        <v>Mexico City Airport Trust</v>
      </c>
      <c r="C295" s="7" t="str">
        <f>IF('Port Bloomberg'!C295="","",'Port Bloomberg'!C295)</f>
        <v>MEXICO CITY ARPT</v>
      </c>
      <c r="D295" s="7" t="str">
        <f>IF('Port Bloomberg'!D295="","",'Port Bloomberg'!D295)</f>
        <v>MEXICO CITY ARPT TRUST</v>
      </c>
      <c r="E295" s="7" t="str">
        <f>IF('Port Bloomberg'!E295="","",'Port Bloomberg'!E295)</f>
        <v>USP6629MAB83</v>
      </c>
      <c r="F295" s="7" t="str">
        <f>IF('Port Bloomberg'!F295="","",'Port Bloomberg'!F295)</f>
        <v>MEXCAT</v>
      </c>
      <c r="G295" s="7" t="str">
        <f>IF('Port Bloomberg'!G295="","",'Port Bloomberg'!G295)</f>
        <v>1441130D MM</v>
      </c>
      <c r="H295" s="7" t="str">
        <f>IF('Port Bloomberg'!H295="","",'Port Bloomberg'!H295)</f>
        <v>Engineering&amp;Construction</v>
      </c>
      <c r="I295" s="7" t="str">
        <f>IF('Port Bloomberg'!I295="","",'Port Bloomberg'!I295)</f>
        <v>FOA</v>
      </c>
      <c r="J295" s="7" t="str">
        <f>IF('Port Bloomberg'!J295="","",'Port Bloomberg'!J295)</f>
        <v>Airport Develop/Maint</v>
      </c>
      <c r="K295" s="7" t="str">
        <f>IF('Port Bloomberg'!K295="","",'Port Bloomberg'!K295)</f>
        <v>MX</v>
      </c>
      <c r="L295" s="7" t="str">
        <f>IF('Port Bloomberg'!L295="","",'Port Bloomberg'!L295)</f>
        <v>MX</v>
      </c>
      <c r="M295" s="7" t="str">
        <f>IF('Port Bloomberg'!M295="","",'Port Bloomberg'!M295)</f>
        <v>USD</v>
      </c>
      <c r="N295" s="7">
        <f>IF('Port Bloomberg'!N295="","",'Port Bloomberg'!N295)</f>
        <v>1000000</v>
      </c>
      <c r="O295" s="7" t="str">
        <f>IF('Port Bloomberg'!O295="","",'Port Bloomberg'!O295)</f>
        <v>SINGLE</v>
      </c>
      <c r="P295" s="7">
        <f>IF('Port Bloomberg'!P295="","",'Port Bloomberg'!P295)</f>
        <v>5.5</v>
      </c>
      <c r="Q295" s="7" t="str">
        <f>IF('Port Bloomberg'!Q295="","",'Port Bloomberg'!Q295)</f>
        <v>BBB-</v>
      </c>
      <c r="R295" s="7" t="str">
        <f>IF('Port Bloomberg'!R295="","",'Port Bloomberg'!R295)</f>
        <v>10/31/2046</v>
      </c>
      <c r="S295" s="5">
        <f>IF(E295="","",IFERROR(IF(MATCH(E295,[1]Instrumentos!$D:$D,0)&gt;0,1,0),0))</f>
        <v>1</v>
      </c>
      <c r="T295" s="5">
        <f>IF(E295="","",IFERROR(IF(MATCH(E295,'Lista de excepciones'!$E:$E,0)&gt;0,1,0),0))</f>
        <v>0</v>
      </c>
      <c r="U295" s="6" t="str">
        <f t="shared" si="5"/>
        <v>NO</v>
      </c>
    </row>
    <row r="296" spans="1:21" hidden="1" x14ac:dyDescent="0.25">
      <c r="A296" s="7" t="str">
        <f>IF('Port Bloomberg'!A296="","",'Port Bloomberg'!A296)</f>
        <v>MIFEL 9 ¼ PERP</v>
      </c>
      <c r="B296" s="7" t="str">
        <f>IF('Port Bloomberg'!B296="","",'Port Bloomberg'!B296)</f>
        <v>Banca Mifel SA</v>
      </c>
      <c r="C296" s="7" t="str">
        <f>IF('Port Bloomberg'!C296="","",'Port Bloomberg'!C296)</f>
        <v>BANCA MIFEL SA</v>
      </c>
      <c r="D296" s="7" t="str">
        <f>IF('Port Bloomberg'!D296="","",'Port Bloomberg'!D296)</f>
        <v>BANCA MIFEL SA</v>
      </c>
      <c r="E296" s="7" t="str">
        <f>IF('Port Bloomberg'!E296="","",'Port Bloomberg'!E296)</f>
        <v>USP07409AC27</v>
      </c>
      <c r="F296" s="7" t="str">
        <f>IF('Port Bloomberg'!F296="","",'Port Bloomberg'!F296)</f>
        <v>MIFEL</v>
      </c>
      <c r="G296" s="7" t="str">
        <f>IF('Port Bloomberg'!G296="","",'Port Bloomberg'!G296)</f>
        <v>1192Z MM</v>
      </c>
      <c r="H296" s="7" t="str">
        <f>IF('Port Bloomberg'!H296="","",'Port Bloomberg'!H296)</f>
        <v>Banks</v>
      </c>
      <c r="I296" s="7" t="str">
        <f>IF('Port Bloomberg'!I296="","",'Port Bloomberg'!I296)</f>
        <v>FIN</v>
      </c>
      <c r="J296" s="7" t="str">
        <f>IF('Port Bloomberg'!J296="","",'Port Bloomberg'!J296)</f>
        <v>Commer Banks Non-US</v>
      </c>
      <c r="K296" s="7" t="str">
        <f>IF('Port Bloomberg'!K296="","",'Port Bloomberg'!K296)</f>
        <v>MX</v>
      </c>
      <c r="L296" s="7" t="str">
        <f>IF('Port Bloomberg'!L296="","",'Port Bloomberg'!L296)</f>
        <v>MX</v>
      </c>
      <c r="M296" s="7" t="str">
        <f>IF('Port Bloomberg'!M296="","",'Port Bloomberg'!M296)</f>
        <v>USD</v>
      </c>
      <c r="N296" s="7">
        <f>IF('Port Bloomberg'!N296="","",'Port Bloomberg'!N296)</f>
        <v>300000</v>
      </c>
      <c r="O296" s="7" t="str">
        <f>IF('Port Bloomberg'!O296="","",'Port Bloomberg'!O296)</f>
        <v>SINGLE</v>
      </c>
      <c r="P296" s="7">
        <f>IF('Port Bloomberg'!P296="","",'Port Bloomberg'!P296)</f>
        <v>9.25</v>
      </c>
      <c r="Q296" s="7" t="str">
        <f>IF('Port Bloomberg'!Q296="","",'Port Bloomberg'!Q296)</f>
        <v>B-</v>
      </c>
      <c r="R296" s="7" t="str">
        <f>IF('Port Bloomberg'!R296="","",'Port Bloomberg'!R296)</f>
        <v/>
      </c>
      <c r="S296" s="5">
        <f>IF(E296="","",IFERROR(IF(MATCH(E296,[1]Instrumentos!$D:$D,0)&gt;0,1,0),0))</f>
        <v>1</v>
      </c>
      <c r="T296" s="5">
        <f>IF(E296="","",IFERROR(IF(MATCH(E296,'Lista de excepciones'!$E:$E,0)&gt;0,1,0),0))</f>
        <v>0</v>
      </c>
      <c r="U296" s="6" t="str">
        <f t="shared" si="5"/>
        <v>NO</v>
      </c>
    </row>
    <row r="297" spans="1:21" hidden="1" x14ac:dyDescent="0.25">
      <c r="A297" s="7" t="str">
        <f>IF('Port Bloomberg'!A297="","",'Port Bloomberg'!A297)</f>
        <v>MINSUR 4 ½ 10/28/31</v>
      </c>
      <c r="B297" s="7" t="str">
        <f>IF('Port Bloomberg'!B297="","",'Port Bloomberg'!B297)</f>
        <v>Minsur SA</v>
      </c>
      <c r="C297" s="7" t="str">
        <f>IF('Port Bloomberg'!C297="","",'Port Bloomberg'!C297)</f>
        <v>MINSUR SA</v>
      </c>
      <c r="D297" s="7" t="str">
        <f>IF('Port Bloomberg'!D297="","",'Port Bloomberg'!D297)</f>
        <v>MINSUR SA</v>
      </c>
      <c r="E297" s="7" t="str">
        <f>IF('Port Bloomberg'!E297="","",'Port Bloomberg'!E297)</f>
        <v>USP6811TAB19</v>
      </c>
      <c r="F297" s="7" t="str">
        <f>IF('Port Bloomberg'!F297="","",'Port Bloomberg'!F297)</f>
        <v>MINSUR</v>
      </c>
      <c r="G297" s="7" t="str">
        <f>IF('Port Bloomberg'!G297="","",'Port Bloomberg'!G297)</f>
        <v>MINSURI1 PE</v>
      </c>
      <c r="H297" s="7" t="str">
        <f>IF('Port Bloomberg'!H297="","",'Port Bloomberg'!H297)</f>
        <v>Mining</v>
      </c>
      <c r="I297" s="7" t="str">
        <f>IF('Port Bloomberg'!I297="","",'Port Bloomberg'!I297)</f>
        <v>IND</v>
      </c>
      <c r="J297" s="7" t="str">
        <f>IF('Port Bloomberg'!J297="","",'Port Bloomberg'!J297)</f>
        <v>Non-Ferrous Metals</v>
      </c>
      <c r="K297" s="7" t="str">
        <f>IF('Port Bloomberg'!K297="","",'Port Bloomberg'!K297)</f>
        <v>PE</v>
      </c>
      <c r="L297" s="7" t="str">
        <f>IF('Port Bloomberg'!L297="","",'Port Bloomberg'!L297)</f>
        <v>PE</v>
      </c>
      <c r="M297" s="7" t="str">
        <f>IF('Port Bloomberg'!M297="","",'Port Bloomberg'!M297)</f>
        <v>USD</v>
      </c>
      <c r="N297" s="7">
        <f>IF('Port Bloomberg'!N297="","",'Port Bloomberg'!N297)</f>
        <v>500000</v>
      </c>
      <c r="O297" s="7" t="str">
        <f>IF('Port Bloomberg'!O297="","",'Port Bloomberg'!O297)</f>
        <v>SINGLE</v>
      </c>
      <c r="P297" s="7">
        <f>IF('Port Bloomberg'!P297="","",'Port Bloomberg'!P297)</f>
        <v>4.5</v>
      </c>
      <c r="Q297" s="7" t="str">
        <f>IF('Port Bloomberg'!Q297="","",'Port Bloomberg'!Q297)</f>
        <v>BB+</v>
      </c>
      <c r="R297" s="7" t="str">
        <f>IF('Port Bloomberg'!R297="","",'Port Bloomberg'!R297)</f>
        <v>10/28/2031</v>
      </c>
      <c r="S297" s="5">
        <f>IF(E297="","",IFERROR(IF(MATCH(E297,[1]Instrumentos!$D:$D,0)&gt;0,1,0),0))</f>
        <v>1</v>
      </c>
      <c r="T297" s="5">
        <f>IF(E297="","",IFERROR(IF(MATCH(E297,'Lista de excepciones'!$E:$E,0)&gt;0,1,0),0))</f>
        <v>0</v>
      </c>
      <c r="U297" s="6" t="str">
        <f t="shared" si="5"/>
        <v>NO</v>
      </c>
    </row>
    <row r="298" spans="1:21" hidden="1" x14ac:dyDescent="0.25">
      <c r="A298" s="7" t="str">
        <f>IF('Port Bloomberg'!A298="","",'Port Bloomberg'!A298)</f>
        <v>MIVIVI 5.4 03/31/31</v>
      </c>
      <c r="B298" s="7" t="str">
        <f>IF('Port Bloomberg'!B298="","",'Port Bloomberg'!B298)</f>
        <v>Fondo MIVIVIENDA SA</v>
      </c>
      <c r="C298" s="7" t="str">
        <f>IF('Port Bloomberg'!C298="","",'Port Bloomberg'!C298)</f>
        <v>FONDO MIVIVIE SA</v>
      </c>
      <c r="D298" s="7" t="str">
        <f>IF('Port Bloomberg'!D298="","",'Port Bloomberg'!D298)</f>
        <v>FONDO MIVIVIENDA SA</v>
      </c>
      <c r="E298" s="7" t="str">
        <f>IF('Port Bloomberg'!E298="","",'Port Bloomberg'!E298)</f>
        <v>USP42009AF09</v>
      </c>
      <c r="F298" s="7" t="str">
        <f>IF('Port Bloomberg'!F298="","",'Port Bloomberg'!F298)</f>
        <v>MIVIVI</v>
      </c>
      <c r="G298" s="7" t="str">
        <f>IF('Port Bloomberg'!G298="","",'Port Bloomberg'!G298)</f>
        <v>109992Z PE</v>
      </c>
      <c r="H298" s="7" t="str">
        <f>IF('Port Bloomberg'!H298="","",'Port Bloomberg'!H298)</f>
        <v>Diversified Finan Serv</v>
      </c>
      <c r="I298" s="7" t="str">
        <f>IF('Port Bloomberg'!I298="","",'Port Bloomberg'!I298)</f>
        <v>FOA</v>
      </c>
      <c r="J298" s="7" t="str">
        <f>IF('Port Bloomberg'!J298="","",'Port Bloomberg'!J298)</f>
        <v>Finance-Other Services</v>
      </c>
      <c r="K298" s="7" t="str">
        <f>IF('Port Bloomberg'!K298="","",'Port Bloomberg'!K298)</f>
        <v>PE</v>
      </c>
      <c r="L298" s="7" t="str">
        <f>IF('Port Bloomberg'!L298="","",'Port Bloomberg'!L298)</f>
        <v>PE</v>
      </c>
      <c r="M298" s="7" t="str">
        <f>IF('Port Bloomberg'!M298="","",'Port Bloomberg'!M298)</f>
        <v>USD</v>
      </c>
      <c r="N298" s="7">
        <f>IF('Port Bloomberg'!N298="","",'Port Bloomberg'!N298)</f>
        <v>400000</v>
      </c>
      <c r="O298" s="7" t="str">
        <f>IF('Port Bloomberg'!O298="","",'Port Bloomberg'!O298)</f>
        <v>SINGLE</v>
      </c>
      <c r="P298" s="7">
        <f>IF('Port Bloomberg'!P298="","",'Port Bloomberg'!P298)</f>
        <v>5.4</v>
      </c>
      <c r="Q298" s="7" t="str">
        <f>IF('Port Bloomberg'!Q298="","",'Port Bloomberg'!Q298)</f>
        <v>BBB</v>
      </c>
      <c r="R298" s="7" t="str">
        <f>IF('Port Bloomberg'!R298="","",'Port Bloomberg'!R298)</f>
        <v>03/31/2031</v>
      </c>
      <c r="S298" s="5">
        <f>IF(E298="","",IFERROR(IF(MATCH(E298,[1]Instrumentos!$D:$D,0)&gt;0,1,0),0))</f>
        <v>1</v>
      </c>
      <c r="T298" s="5">
        <f>IF(E298="","",IFERROR(IF(MATCH(E298,'Lista de excepciones'!$E:$E,0)&gt;0,1,0),0))</f>
        <v>0</v>
      </c>
      <c r="U298" s="6" t="str">
        <f t="shared" si="5"/>
        <v>NO</v>
      </c>
    </row>
    <row r="299" spans="1:21" hidden="1" x14ac:dyDescent="0.25">
      <c r="A299" s="7" t="str">
        <f>IF('Port Bloomberg'!A299="","",'Port Bloomberg'!A299)</f>
        <v>MOVCHI 3.537 11/18/31</v>
      </c>
      <c r="B299" s="7" t="str">
        <f>IF('Port Bloomberg'!B299="","",'Port Bloomberg'!B299)</f>
        <v>Telefonica Moviles Chile SA</v>
      </c>
      <c r="C299" s="7" t="str">
        <f>IF('Port Bloomberg'!C299="","",'Port Bloomberg'!C299)</f>
        <v>TELEFONICA MOVIL</v>
      </c>
      <c r="D299" s="7" t="str">
        <f>IF('Port Bloomberg'!D299="","",'Port Bloomberg'!D299)</f>
        <v>TELEFONICA MOVILES CHILE</v>
      </c>
      <c r="E299" s="7" t="str">
        <f>IF('Port Bloomberg'!E299="","",'Port Bloomberg'!E299)</f>
        <v>USP90375AV12</v>
      </c>
      <c r="F299" s="7" t="str">
        <f>IF('Port Bloomberg'!F299="","",'Port Bloomberg'!F299)</f>
        <v>MOVCHI</v>
      </c>
      <c r="G299" s="7" t="str">
        <f>IF('Port Bloomberg'!G299="","",'Port Bloomberg'!G299)</f>
        <v>1194707D CI</v>
      </c>
      <c r="H299" s="7" t="str">
        <f>IF('Port Bloomberg'!H299="","",'Port Bloomberg'!H299)</f>
        <v>Telecommunications</v>
      </c>
      <c r="I299" s="7" t="str">
        <f>IF('Port Bloomberg'!I299="","",'Port Bloomberg'!I299)</f>
        <v>IND</v>
      </c>
      <c r="J299" s="7" t="str">
        <f>IF('Port Bloomberg'!J299="","",'Port Bloomberg'!J299)</f>
        <v>Cellular Telecom</v>
      </c>
      <c r="K299" s="7" t="str">
        <f>IF('Port Bloomberg'!K299="","",'Port Bloomberg'!K299)</f>
        <v>CL</v>
      </c>
      <c r="L299" s="7" t="str">
        <f>IF('Port Bloomberg'!L299="","",'Port Bloomberg'!L299)</f>
        <v>CL</v>
      </c>
      <c r="M299" s="7" t="str">
        <f>IF('Port Bloomberg'!M299="","",'Port Bloomberg'!M299)</f>
        <v>USD</v>
      </c>
      <c r="N299" s="7">
        <f>IF('Port Bloomberg'!N299="","",'Port Bloomberg'!N299)</f>
        <v>500000</v>
      </c>
      <c r="O299" s="7" t="str">
        <f>IF('Port Bloomberg'!O299="","",'Port Bloomberg'!O299)</f>
        <v>SINGLE</v>
      </c>
      <c r="P299" s="7">
        <f>IF('Port Bloomberg'!P299="","",'Port Bloomberg'!P299)</f>
        <v>3.5369999999999999</v>
      </c>
      <c r="Q299" s="7" t="str">
        <f>IF('Port Bloomberg'!Q299="","",'Port Bloomberg'!Q299)</f>
        <v>BB-</v>
      </c>
      <c r="R299" s="7" t="str">
        <f>IF('Port Bloomberg'!R299="","",'Port Bloomberg'!R299)</f>
        <v>11/18/2031</v>
      </c>
      <c r="S299" s="5">
        <f>IF(E299="","",IFERROR(IF(MATCH(E299,[1]Instrumentos!$D:$D,0)&gt;0,1,0),0))</f>
        <v>1</v>
      </c>
      <c r="T299" s="5">
        <f>IF(E299="","",IFERROR(IF(MATCH(E299,'Lista de excepciones'!$E:$E,0)&gt;0,1,0),0))</f>
        <v>0</v>
      </c>
      <c r="U299" s="6" t="str">
        <f t="shared" si="5"/>
        <v>NO</v>
      </c>
    </row>
    <row r="300" spans="1:21" hidden="1" x14ac:dyDescent="0.25">
      <c r="A300" s="7" t="str">
        <f>IF('Port Bloomberg'!A300="","",'Port Bloomberg'!A300)</f>
        <v>MOVIBZ 5 ¼ 02/08/31</v>
      </c>
      <c r="B300" s="7" t="str">
        <f>IF('Port Bloomberg'!B300="","",'Port Bloomberg'!B300)</f>
        <v>Movida Europe SA</v>
      </c>
      <c r="C300" s="7" t="str">
        <f>IF('Port Bloomberg'!C300="","",'Port Bloomberg'!C300)</f>
        <v>MOVIDA EUROPE SA</v>
      </c>
      <c r="D300" s="7" t="str">
        <f>IF('Port Bloomberg'!D300="","",'Port Bloomberg'!D300)</f>
        <v>MOVIDA EUROPE SA</v>
      </c>
      <c r="E300" s="7" t="str">
        <f>IF('Port Bloomberg'!E300="","",'Port Bloomberg'!E300)</f>
        <v>USL65266AA36</v>
      </c>
      <c r="F300" s="7" t="str">
        <f>IF('Port Bloomberg'!F300="","",'Port Bloomberg'!F300)</f>
        <v>MOVIBZ</v>
      </c>
      <c r="G300" s="7" t="str">
        <f>IF('Port Bloomberg'!G300="","",'Port Bloomberg'!G300)</f>
        <v>MOVI3 BZ</v>
      </c>
      <c r="H300" s="7" t="str">
        <f>IF('Port Bloomberg'!H300="","",'Port Bloomberg'!H300)</f>
        <v>Commercial Services</v>
      </c>
      <c r="I300" s="7" t="str">
        <f>IF('Port Bloomberg'!I300="","",'Port Bloomberg'!I300)</f>
        <v>IND</v>
      </c>
      <c r="J300" s="7" t="str">
        <f>IF('Port Bloomberg'!J300="","",'Port Bloomberg'!J300)</f>
        <v>Rental Auto/Equipment</v>
      </c>
      <c r="K300" s="7" t="str">
        <f>IF('Port Bloomberg'!K300="","",'Port Bloomberg'!K300)</f>
        <v>LU</v>
      </c>
      <c r="L300" s="7" t="str">
        <f>IF('Port Bloomberg'!L300="","",'Port Bloomberg'!L300)</f>
        <v>BR</v>
      </c>
      <c r="M300" s="7" t="str">
        <f>IF('Port Bloomberg'!M300="","",'Port Bloomberg'!M300)</f>
        <v>USD</v>
      </c>
      <c r="N300" s="7">
        <f>IF('Port Bloomberg'!N300="","",'Port Bloomberg'!N300)</f>
        <v>800000</v>
      </c>
      <c r="O300" s="7" t="str">
        <f>IF('Port Bloomberg'!O300="","",'Port Bloomberg'!O300)</f>
        <v>SINGLE</v>
      </c>
      <c r="P300" s="7">
        <f>IF('Port Bloomberg'!P300="","",'Port Bloomberg'!P300)</f>
        <v>5.25</v>
      </c>
      <c r="Q300" s="7" t="str">
        <f>IF('Port Bloomberg'!Q300="","",'Port Bloomberg'!Q300)</f>
        <v>BB-</v>
      </c>
      <c r="R300" s="7" t="str">
        <f>IF('Port Bloomberg'!R300="","",'Port Bloomberg'!R300)</f>
        <v>02/08/2031</v>
      </c>
      <c r="S300" s="5">
        <f>IF(E300="","",IFERROR(IF(MATCH(E300,[1]Instrumentos!$D:$D,0)&gt;0,1,0),0))</f>
        <v>1</v>
      </c>
      <c r="T300" s="5">
        <f>IF(E300="","",IFERROR(IF(MATCH(E300,'Lista de excepciones'!$E:$E,0)&gt;0,1,0),0))</f>
        <v>0</v>
      </c>
      <c r="U300" s="6" t="str">
        <f t="shared" si="5"/>
        <v>NO</v>
      </c>
    </row>
    <row r="301" spans="1:21" hidden="1" x14ac:dyDescent="0.25">
      <c r="A301" s="7" t="str">
        <f>IF('Port Bloomberg'!A301="","",'Port Bloomberg'!A301)</f>
        <v>MOVIBZ 7.85 04/11/29</v>
      </c>
      <c r="B301" s="7" t="str">
        <f>IF('Port Bloomberg'!B301="","",'Port Bloomberg'!B301)</f>
        <v>Movida Europe SA</v>
      </c>
      <c r="C301" s="7" t="str">
        <f>IF('Port Bloomberg'!C301="","",'Port Bloomberg'!C301)</f>
        <v>MOVIDA EUROPE SA</v>
      </c>
      <c r="D301" s="7" t="str">
        <f>IF('Port Bloomberg'!D301="","",'Port Bloomberg'!D301)</f>
        <v>MOVIDA EUROPE SA</v>
      </c>
      <c r="E301" s="7" t="str">
        <f>IF('Port Bloomberg'!E301="","",'Port Bloomberg'!E301)</f>
        <v>USL65266AC91</v>
      </c>
      <c r="F301" s="7" t="str">
        <f>IF('Port Bloomberg'!F301="","",'Port Bloomberg'!F301)</f>
        <v>MOVIBZ</v>
      </c>
      <c r="G301" s="7" t="str">
        <f>IF('Port Bloomberg'!G301="","",'Port Bloomberg'!G301)</f>
        <v>MOVI3 BZ</v>
      </c>
      <c r="H301" s="7" t="str">
        <f>IF('Port Bloomberg'!H301="","",'Port Bloomberg'!H301)</f>
        <v>Commercial Services</v>
      </c>
      <c r="I301" s="7" t="str">
        <f>IF('Port Bloomberg'!I301="","",'Port Bloomberg'!I301)</f>
        <v>IND</v>
      </c>
      <c r="J301" s="7" t="str">
        <f>IF('Port Bloomberg'!J301="","",'Port Bloomberg'!J301)</f>
        <v>Rental Auto/Equipment</v>
      </c>
      <c r="K301" s="7" t="str">
        <f>IF('Port Bloomberg'!K301="","",'Port Bloomberg'!K301)</f>
        <v>LU</v>
      </c>
      <c r="L301" s="7" t="str">
        <f>IF('Port Bloomberg'!L301="","",'Port Bloomberg'!L301)</f>
        <v>BR</v>
      </c>
      <c r="M301" s="7" t="str">
        <f>IF('Port Bloomberg'!M301="","",'Port Bloomberg'!M301)</f>
        <v>USD</v>
      </c>
      <c r="N301" s="7">
        <f>IF('Port Bloomberg'!N301="","",'Port Bloomberg'!N301)</f>
        <v>500000</v>
      </c>
      <c r="O301" s="7" t="str">
        <f>IF('Port Bloomberg'!O301="","",'Port Bloomberg'!O301)</f>
        <v>SINGLE</v>
      </c>
      <c r="P301" s="7">
        <f>IF('Port Bloomberg'!P301="","",'Port Bloomberg'!P301)</f>
        <v>7.85</v>
      </c>
      <c r="Q301" s="7" t="str">
        <f>IF('Port Bloomberg'!Q301="","",'Port Bloomberg'!Q301)</f>
        <v>BB-</v>
      </c>
      <c r="R301" s="7" t="str">
        <f>IF('Port Bloomberg'!R301="","",'Port Bloomberg'!R301)</f>
        <v>04/11/2029</v>
      </c>
      <c r="S301" s="5">
        <f>IF(E301="","",IFERROR(IF(MATCH(E301,[1]Instrumentos!$D:$D,0)&gt;0,1,0),0))</f>
        <v>1</v>
      </c>
      <c r="T301" s="5">
        <f>IF(E301="","",IFERROR(IF(MATCH(E301,'Lista de excepciones'!$E:$E,0)&gt;0,1,0),0))</f>
        <v>0</v>
      </c>
      <c r="U301" s="6" t="str">
        <f t="shared" si="5"/>
        <v>NO</v>
      </c>
    </row>
    <row r="302" spans="1:21" hidden="1" x14ac:dyDescent="0.25">
      <c r="A302" s="7" t="str">
        <f>IF('Port Bloomberg'!A302="","",'Port Bloomberg'!A302)</f>
        <v>MOVIBZ 9.7 10/11/33</v>
      </c>
      <c r="B302" s="7" t="str">
        <f>IF('Port Bloomberg'!B302="","",'Port Bloomberg'!B302)</f>
        <v>Movida Europe SA</v>
      </c>
      <c r="C302" s="7" t="str">
        <f>IF('Port Bloomberg'!C302="","",'Port Bloomberg'!C302)</f>
        <v>MOVIDA EUROPE SA</v>
      </c>
      <c r="D302" s="7" t="str">
        <f>IF('Port Bloomberg'!D302="","",'Port Bloomberg'!D302)</f>
        <v>MOVIDA EUROPE SA</v>
      </c>
      <c r="E302" s="7" t="str">
        <f>IF('Port Bloomberg'!E302="","",'Port Bloomberg'!E302)</f>
        <v>USL65266AD74</v>
      </c>
      <c r="F302" s="7" t="str">
        <f>IF('Port Bloomberg'!F302="","",'Port Bloomberg'!F302)</f>
        <v>MOVIBZ</v>
      </c>
      <c r="G302" s="7" t="str">
        <f>IF('Port Bloomberg'!G302="","",'Port Bloomberg'!G302)</f>
        <v>MOVI3 BZ</v>
      </c>
      <c r="H302" s="7" t="str">
        <f>IF('Port Bloomberg'!H302="","",'Port Bloomberg'!H302)</f>
        <v>Commercial Services</v>
      </c>
      <c r="I302" s="7" t="str">
        <f>IF('Port Bloomberg'!I302="","",'Port Bloomberg'!I302)</f>
        <v>IND</v>
      </c>
      <c r="J302" s="7" t="str">
        <f>IF('Port Bloomberg'!J302="","",'Port Bloomberg'!J302)</f>
        <v>Rental Auto/Equipment</v>
      </c>
      <c r="K302" s="7" t="str">
        <f>IF('Port Bloomberg'!K302="","",'Port Bloomberg'!K302)</f>
        <v>LU</v>
      </c>
      <c r="L302" s="7" t="str">
        <f>IF('Port Bloomberg'!L302="","",'Port Bloomberg'!L302)</f>
        <v>BR</v>
      </c>
      <c r="M302" s="7" t="str">
        <f>IF('Port Bloomberg'!M302="","",'Port Bloomberg'!M302)</f>
        <v>USD</v>
      </c>
      <c r="N302" s="7">
        <f>IF('Port Bloomberg'!N302="","",'Port Bloomberg'!N302)</f>
        <v>350000</v>
      </c>
      <c r="O302" s="7" t="str">
        <f>IF('Port Bloomberg'!O302="","",'Port Bloomberg'!O302)</f>
        <v>SINGLE</v>
      </c>
      <c r="P302" s="7">
        <f>IF('Port Bloomberg'!P302="","",'Port Bloomberg'!P302)</f>
        <v>9.6999999999999993</v>
      </c>
      <c r="Q302" s="7" t="str">
        <f>IF('Port Bloomberg'!Q302="","",'Port Bloomberg'!Q302)</f>
        <v>BB-</v>
      </c>
      <c r="R302" s="7" t="str">
        <f>IF('Port Bloomberg'!R302="","",'Port Bloomberg'!R302)</f>
        <v>10/11/2033</v>
      </c>
      <c r="S302" s="5">
        <f>IF(E302="","",IFERROR(IF(MATCH(E302,[1]Instrumentos!$D:$D,0)&gt;0,1,0),0))</f>
        <v>1</v>
      </c>
      <c r="T302" s="5">
        <f>IF(E302="","",IFERROR(IF(MATCH(E302,'Lista de excepciones'!$E:$E,0)&gt;0,1,0),0))</f>
        <v>0</v>
      </c>
      <c r="U302" s="6" t="str">
        <f t="shared" si="5"/>
        <v>NO</v>
      </c>
    </row>
    <row r="303" spans="1:21" hidden="1" x14ac:dyDescent="0.25">
      <c r="A303" s="7" t="str">
        <f>IF('Port Bloomberg'!A303="","",'Port Bloomberg'!A303)</f>
        <v>MRFGBZ 3.95 01/29/31</v>
      </c>
      <c r="B303" s="7" t="str">
        <f>IF('Port Bloomberg'!B303="","",'Port Bloomberg'!B303)</f>
        <v>MARB BondCo PLC</v>
      </c>
      <c r="C303" s="7" t="str">
        <f>IF('Port Bloomberg'!C303="","",'Port Bloomberg'!C303)</f>
        <v>MARB BONDCO PLC</v>
      </c>
      <c r="D303" s="7" t="str">
        <f>IF('Port Bloomberg'!D303="","",'Port Bloomberg'!D303)</f>
        <v>MARB BONDCO PLC</v>
      </c>
      <c r="E303" s="7" t="str">
        <f>IF('Port Bloomberg'!E303="","",'Port Bloomberg'!E303)</f>
        <v>USG5825AAC65</v>
      </c>
      <c r="F303" s="7" t="str">
        <f>IF('Port Bloomberg'!F303="","",'Port Bloomberg'!F303)</f>
        <v>MRFGBZ</v>
      </c>
      <c r="G303" s="7" t="str">
        <f>IF('Port Bloomberg'!G303="","",'Port Bloomberg'!G303)</f>
        <v>1493938D LN</v>
      </c>
      <c r="H303" s="7" t="str">
        <f>IF('Port Bloomberg'!H303="","",'Port Bloomberg'!H303)</f>
        <v>Food</v>
      </c>
      <c r="I303" s="7" t="str">
        <f>IF('Port Bloomberg'!I303="","",'Port Bloomberg'!I303)</f>
        <v>IND</v>
      </c>
      <c r="J303" s="7" t="str">
        <f>IF('Port Bloomberg'!J303="","",'Port Bloomberg'!J303)</f>
        <v>Food-Meat Products</v>
      </c>
      <c r="K303" s="7" t="str">
        <f>IF('Port Bloomberg'!K303="","",'Port Bloomberg'!K303)</f>
        <v>GB</v>
      </c>
      <c r="L303" s="7" t="str">
        <f>IF('Port Bloomberg'!L303="","",'Port Bloomberg'!L303)</f>
        <v>BR</v>
      </c>
      <c r="M303" s="7" t="str">
        <f>IF('Port Bloomberg'!M303="","",'Port Bloomberg'!M303)</f>
        <v>USD</v>
      </c>
      <c r="N303" s="7">
        <f>IF('Port Bloomberg'!N303="","",'Port Bloomberg'!N303)</f>
        <v>1500000</v>
      </c>
      <c r="O303" s="7" t="str">
        <f>IF('Port Bloomberg'!O303="","",'Port Bloomberg'!O303)</f>
        <v>SINGLE</v>
      </c>
      <c r="P303" s="7">
        <f>IF('Port Bloomberg'!P303="","",'Port Bloomberg'!P303)</f>
        <v>3.95</v>
      </c>
      <c r="Q303" s="7" t="str">
        <f>IF('Port Bloomberg'!Q303="","",'Port Bloomberg'!Q303)</f>
        <v>BB+</v>
      </c>
      <c r="R303" s="7" t="str">
        <f>IF('Port Bloomberg'!R303="","",'Port Bloomberg'!R303)</f>
        <v>01/29/2031</v>
      </c>
      <c r="S303" s="5">
        <f>IF(E303="","",IFERROR(IF(MATCH(E303,[1]Instrumentos!$D:$D,0)&gt;0,1,0),0))</f>
        <v>1</v>
      </c>
      <c r="T303" s="5">
        <f>IF(E303="","",IFERROR(IF(MATCH(E303,'Lista de excepciones'!$E:$E,0)&gt;0,1,0),0))</f>
        <v>0</v>
      </c>
      <c r="U303" s="6" t="str">
        <f t="shared" si="5"/>
        <v>NO</v>
      </c>
    </row>
    <row r="304" spans="1:21" hidden="1" x14ac:dyDescent="0.25">
      <c r="A304" s="7" t="str">
        <f>IF('Port Bloomberg'!A304="","",'Port Bloomberg'!A304)</f>
        <v>MUNDOX 7.95 04/20/31</v>
      </c>
      <c r="B304" s="7" t="str">
        <f>IF('Port Bloomberg'!B304="","",'Port Bloomberg'!B304)</f>
        <v>DB Terra Chile HoldCo SpA</v>
      </c>
      <c r="C304" s="7" t="str">
        <f>IF('Port Bloomberg'!C304="","",'Port Bloomberg'!C304)</f>
        <v>DB TERRA CHILE H</v>
      </c>
      <c r="D304" s="7" t="str">
        <f>IF('Port Bloomberg'!D304="","",'Port Bloomberg'!D304)</f>
        <v>DB TERRA CHILE HOLDCO SP</v>
      </c>
      <c r="E304" s="7" t="str">
        <f>IF('Port Bloomberg'!E304="","",'Port Bloomberg'!E304)</f>
        <v>USP3R80FAA52</v>
      </c>
      <c r="F304" s="7" t="str">
        <f>IF('Port Bloomberg'!F304="","",'Port Bloomberg'!F304)</f>
        <v>MUNDOX</v>
      </c>
      <c r="G304" s="7" t="str">
        <f>IF('Port Bloomberg'!G304="","",'Port Bloomberg'!G304)</f>
        <v/>
      </c>
      <c r="H304" s="7" t="str">
        <f>IF('Port Bloomberg'!H304="","",'Port Bloomberg'!H304)</f>
        <v>Telecommunications</v>
      </c>
      <c r="I304" s="7" t="str">
        <f>IF('Port Bloomberg'!I304="","",'Port Bloomberg'!I304)</f>
        <v>IND</v>
      </c>
      <c r="J304" s="7" t="str">
        <f>IF('Port Bloomberg'!J304="","",'Port Bloomberg'!J304)</f>
        <v>Telecom Services</v>
      </c>
      <c r="K304" s="7" t="str">
        <f>IF('Port Bloomberg'!K304="","",'Port Bloomberg'!K304)</f>
        <v>CL</v>
      </c>
      <c r="L304" s="7" t="str">
        <f>IF('Port Bloomberg'!L304="","",'Port Bloomberg'!L304)</f>
        <v>CL</v>
      </c>
      <c r="M304" s="7" t="str">
        <f>IF('Port Bloomberg'!M304="","",'Port Bloomberg'!M304)</f>
        <v>USD</v>
      </c>
      <c r="N304" s="7">
        <f>IF('Port Bloomberg'!N304="","",'Port Bloomberg'!N304)</f>
        <v>435000</v>
      </c>
      <c r="O304" s="7" t="str">
        <f>IF('Port Bloomberg'!O304="","",'Port Bloomberg'!O304)</f>
        <v>SINGLE</v>
      </c>
      <c r="P304" s="7">
        <f>IF('Port Bloomberg'!P304="","",'Port Bloomberg'!P304)</f>
        <v>7.95</v>
      </c>
      <c r="Q304" s="7" t="str">
        <f>IF('Port Bloomberg'!Q304="","",'Port Bloomberg'!Q304)</f>
        <v>BB-</v>
      </c>
      <c r="R304" s="7" t="str">
        <f>IF('Port Bloomberg'!R304="","",'Port Bloomberg'!R304)</f>
        <v>04/20/2031</v>
      </c>
      <c r="S304" s="5">
        <f>IF(E304="","",IFERROR(IF(MATCH(E304,[1]Instrumentos!$D:$D,0)&gt;0,1,0),0))</f>
        <v>0</v>
      </c>
      <c r="T304" s="5">
        <f>IF(E304="","",IFERROR(IF(MATCH(E304,'Lista de excepciones'!$E:$E,0)&gt;0,1,0),0))</f>
        <v>1</v>
      </c>
      <c r="U304" s="6" t="str">
        <f t="shared" si="5"/>
        <v>NO</v>
      </c>
    </row>
    <row r="305" spans="1:21" hidden="1" x14ac:dyDescent="0.25">
      <c r="A305" s="7" t="str">
        <f>IF('Port Bloomberg'!A305="","",'Port Bloomberg'!A305)</f>
        <v>MVFPSO 6.748 06/01/34</v>
      </c>
      <c r="B305" s="7" t="str">
        <f>IF('Port Bloomberg'!B305="","",'Port Bloomberg'!B305)</f>
        <v>MV24 Capital BV</v>
      </c>
      <c r="C305" s="7" t="str">
        <f>IF('Port Bloomberg'!C305="","",'Port Bloomberg'!C305)</f>
        <v>MV24 CAPITAL BV</v>
      </c>
      <c r="D305" s="7" t="str">
        <f>IF('Port Bloomberg'!D305="","",'Port Bloomberg'!D305)</f>
        <v>MV24 CAPITAL BV</v>
      </c>
      <c r="E305" s="7" t="str">
        <f>IF('Port Bloomberg'!E305="","",'Port Bloomberg'!E305)</f>
        <v>USN53766AA41</v>
      </c>
      <c r="F305" s="7" t="str">
        <f>IF('Port Bloomberg'!F305="","",'Port Bloomberg'!F305)</f>
        <v>MVFPSO</v>
      </c>
      <c r="G305" s="7" t="str">
        <f>IF('Port Bloomberg'!G305="","",'Port Bloomberg'!G305)</f>
        <v/>
      </c>
      <c r="H305" s="7" t="str">
        <f>IF('Port Bloomberg'!H305="","",'Port Bloomberg'!H305)</f>
        <v>Transportation</v>
      </c>
      <c r="I305" s="7" t="str">
        <f>IF('Port Bloomberg'!I305="","",'Port Bloomberg'!I305)</f>
        <v>IND</v>
      </c>
      <c r="J305" s="7" t="str">
        <f>IF('Port Bloomberg'!J305="","",'Port Bloomberg'!J305)</f>
        <v>Transport-Marine</v>
      </c>
      <c r="K305" s="7" t="str">
        <f>IF('Port Bloomberg'!K305="","",'Port Bloomberg'!K305)</f>
        <v>NL</v>
      </c>
      <c r="L305" s="7" t="str">
        <f>IF('Port Bloomberg'!L305="","",'Port Bloomberg'!L305)</f>
        <v>BR</v>
      </c>
      <c r="M305" s="7" t="str">
        <f>IF('Port Bloomberg'!M305="","",'Port Bloomberg'!M305)</f>
        <v>USD</v>
      </c>
      <c r="N305" s="7">
        <f>IF('Port Bloomberg'!N305="","",'Port Bloomberg'!N305)</f>
        <v>1100000</v>
      </c>
      <c r="O305" s="7" t="str">
        <f>IF('Port Bloomberg'!O305="","",'Port Bloomberg'!O305)</f>
        <v>SINGLE</v>
      </c>
      <c r="P305" s="7">
        <f>IF('Port Bloomberg'!P305="","",'Port Bloomberg'!P305)</f>
        <v>6.7480000000000002</v>
      </c>
      <c r="Q305" s="7" t="str">
        <f>IF('Port Bloomberg'!Q305="","",'Port Bloomberg'!Q305)</f>
        <v>BBB-</v>
      </c>
      <c r="R305" s="7" t="str">
        <f>IF('Port Bloomberg'!R305="","",'Port Bloomberg'!R305)</f>
        <v>06/01/2034</v>
      </c>
      <c r="S305" s="5">
        <f>IF(E305="","",IFERROR(IF(MATCH(E305,[1]Instrumentos!$D:$D,0)&gt;0,1,0),0))</f>
        <v>0</v>
      </c>
      <c r="T305" s="5">
        <f>IF(E305="","",IFERROR(IF(MATCH(E305,'Lista de excepciones'!$E:$E,0)&gt;0,1,0),0))</f>
        <v>1</v>
      </c>
      <c r="U305" s="6" t="str">
        <f t="shared" si="5"/>
        <v>NO</v>
      </c>
    </row>
    <row r="306" spans="1:21" hidden="1" x14ac:dyDescent="0.25">
      <c r="A306" s="7" t="str">
        <f>IF('Port Bloomberg'!A306="","",'Port Bloomberg'!A306)</f>
        <v>NATURA 6 04/19/29</v>
      </c>
      <c r="B306" s="7" t="str">
        <f>IF('Port Bloomberg'!B306="","",'Port Bloomberg'!B306)</f>
        <v>Natura &amp;Co Luxembourg Holdings Sarl</v>
      </c>
      <c r="C306" s="7" t="str">
        <f>IF('Port Bloomberg'!C306="","",'Port Bloomberg'!C306)</f>
        <v>NATURA &amp;CO LUX</v>
      </c>
      <c r="D306" s="7" t="str">
        <f>IF('Port Bloomberg'!D306="","",'Port Bloomberg'!D306)</f>
        <v>NATURA &amp;CO LUX HLD SARL</v>
      </c>
      <c r="E306" s="7" t="str">
        <f>IF('Port Bloomberg'!E306="","",'Port Bloomberg'!E306)</f>
        <v>USL6S52VAA02</v>
      </c>
      <c r="F306" s="7" t="str">
        <f>IF('Port Bloomberg'!F306="","",'Port Bloomberg'!F306)</f>
        <v>NATURA</v>
      </c>
      <c r="G306" s="7" t="str">
        <f>IF('Port Bloomberg'!G306="","",'Port Bloomberg'!G306)</f>
        <v>NATU3 BZ</v>
      </c>
      <c r="H306" s="7" t="str">
        <f>IF('Port Bloomberg'!H306="","",'Port Bloomberg'!H306)</f>
        <v>Cosmetics/Personal Care</v>
      </c>
      <c r="I306" s="7" t="str">
        <f>IF('Port Bloomberg'!I306="","",'Port Bloomberg'!I306)</f>
        <v>IND</v>
      </c>
      <c r="J306" s="7" t="str">
        <f>IF('Port Bloomberg'!J306="","",'Port Bloomberg'!J306)</f>
        <v>Cosmetics&amp;Toiletries</v>
      </c>
      <c r="K306" s="7" t="str">
        <f>IF('Port Bloomberg'!K306="","",'Port Bloomberg'!K306)</f>
        <v>LU</v>
      </c>
      <c r="L306" s="7" t="str">
        <f>IF('Port Bloomberg'!L306="","",'Port Bloomberg'!L306)</f>
        <v>BR</v>
      </c>
      <c r="M306" s="7" t="str">
        <f>IF('Port Bloomberg'!M306="","",'Port Bloomberg'!M306)</f>
        <v>USD</v>
      </c>
      <c r="N306" s="7">
        <f>IF('Port Bloomberg'!N306="","",'Port Bloomberg'!N306)</f>
        <v>600000</v>
      </c>
      <c r="O306" s="7" t="str">
        <f>IF('Port Bloomberg'!O306="","",'Port Bloomberg'!O306)</f>
        <v>SINGLE</v>
      </c>
      <c r="P306" s="7">
        <f>IF('Port Bloomberg'!P306="","",'Port Bloomberg'!P306)</f>
        <v>6</v>
      </c>
      <c r="Q306" s="7" t="str">
        <f>IF('Port Bloomberg'!Q306="","",'Port Bloomberg'!Q306)</f>
        <v>BB</v>
      </c>
      <c r="R306" s="7" t="str">
        <f>IF('Port Bloomberg'!R306="","",'Port Bloomberg'!R306)</f>
        <v>04/19/2029</v>
      </c>
      <c r="S306" s="5">
        <f>IF(E306="","",IFERROR(IF(MATCH(E306,[1]Instrumentos!$D:$D,0)&gt;0,1,0),0))</f>
        <v>1</v>
      </c>
      <c r="T306" s="5">
        <f>IF(E306="","",IFERROR(IF(MATCH(E306,'Lista de excepciones'!$E:$E,0)&gt;0,1,0),0))</f>
        <v>0</v>
      </c>
      <c r="U306" s="6" t="str">
        <f t="shared" si="5"/>
        <v>NO</v>
      </c>
    </row>
    <row r="307" spans="1:21" hidden="1" x14ac:dyDescent="0.25">
      <c r="A307" s="7" t="str">
        <f>IF('Port Bloomberg'!A307="","",'Port Bloomberg'!A307)</f>
        <v>NEXA 6 ¾ 04/09/34</v>
      </c>
      <c r="B307" s="7" t="str">
        <f>IF('Port Bloomberg'!B307="","",'Port Bloomberg'!B307)</f>
        <v>Nexa Resources SA</v>
      </c>
      <c r="C307" s="7" t="str">
        <f>IF('Port Bloomberg'!C307="","",'Port Bloomberg'!C307)</f>
        <v>NEXA RESOURCES</v>
      </c>
      <c r="D307" s="7" t="str">
        <f>IF('Port Bloomberg'!D307="","",'Port Bloomberg'!D307)</f>
        <v>NEXA RESOURCES SA</v>
      </c>
      <c r="E307" s="7" t="str">
        <f>IF('Port Bloomberg'!E307="","",'Port Bloomberg'!E307)</f>
        <v>USL67359AB21</v>
      </c>
      <c r="F307" s="7" t="str">
        <f>IF('Port Bloomberg'!F307="","",'Port Bloomberg'!F307)</f>
        <v>NEXA</v>
      </c>
      <c r="G307" s="7" t="str">
        <f>IF('Port Bloomberg'!G307="","",'Port Bloomberg'!G307)</f>
        <v>NEXA US</v>
      </c>
      <c r="H307" s="7" t="str">
        <f>IF('Port Bloomberg'!H307="","",'Port Bloomberg'!H307)</f>
        <v>Mining</v>
      </c>
      <c r="I307" s="7" t="str">
        <f>IF('Port Bloomberg'!I307="","",'Port Bloomberg'!I307)</f>
        <v>IND</v>
      </c>
      <c r="J307" s="7" t="str">
        <f>IF('Port Bloomberg'!J307="","",'Port Bloomberg'!J307)</f>
        <v>Non-Ferrous Metals</v>
      </c>
      <c r="K307" s="7" t="str">
        <f>IF('Port Bloomberg'!K307="","",'Port Bloomberg'!K307)</f>
        <v>BR</v>
      </c>
      <c r="L307" s="7" t="str">
        <f>IF('Port Bloomberg'!L307="","",'Port Bloomberg'!L307)</f>
        <v>BR</v>
      </c>
      <c r="M307" s="7" t="str">
        <f>IF('Port Bloomberg'!M307="","",'Port Bloomberg'!M307)</f>
        <v>USD</v>
      </c>
      <c r="N307" s="7">
        <f>IF('Port Bloomberg'!N307="","",'Port Bloomberg'!N307)</f>
        <v>600000</v>
      </c>
      <c r="O307" s="7" t="str">
        <f>IF('Port Bloomberg'!O307="","",'Port Bloomberg'!O307)</f>
        <v>SINGLE</v>
      </c>
      <c r="P307" s="7">
        <f>IF('Port Bloomberg'!P307="","",'Port Bloomberg'!P307)</f>
        <v>6.75</v>
      </c>
      <c r="Q307" s="7" t="str">
        <f>IF('Port Bloomberg'!Q307="","",'Port Bloomberg'!Q307)</f>
        <v>BBB-</v>
      </c>
      <c r="R307" s="7" t="str">
        <f>IF('Port Bloomberg'!R307="","",'Port Bloomberg'!R307)</f>
        <v>04/09/2034</v>
      </c>
      <c r="S307" s="5">
        <f>IF(E307="","",IFERROR(IF(MATCH(E307,[1]Instrumentos!$D:$D,0)&gt;0,1,0),0))</f>
        <v>1</v>
      </c>
      <c r="T307" s="5">
        <f>IF(E307="","",IFERROR(IF(MATCH(E307,'Lista de excepciones'!$E:$E,0)&gt;0,1,0),0))</f>
        <v>0</v>
      </c>
      <c r="U307" s="6" t="str">
        <f t="shared" si="5"/>
        <v>NO</v>
      </c>
    </row>
    <row r="308" spans="1:21" hidden="1" x14ac:dyDescent="0.25">
      <c r="A308" s="7" t="str">
        <f>IF('Port Bloomberg'!A308="","",'Port Bloomberg'!A308)</f>
        <v>NEXA 6.6 04/08/37</v>
      </c>
      <c r="B308" s="7" t="str">
        <f>IF('Port Bloomberg'!B308="","",'Port Bloomberg'!B308)</f>
        <v>Nexa Resources SA</v>
      </c>
      <c r="C308" s="7" t="str">
        <f>IF('Port Bloomberg'!C308="","",'Port Bloomberg'!C308)</f>
        <v>NEXA RESOURCES</v>
      </c>
      <c r="D308" s="7" t="str">
        <f>IF('Port Bloomberg'!D308="","",'Port Bloomberg'!D308)</f>
        <v>NEXA RESOURCES SA</v>
      </c>
      <c r="E308" s="7" t="str">
        <f>IF('Port Bloomberg'!E308="","",'Port Bloomberg'!E308)</f>
        <v>USL67359AC04</v>
      </c>
      <c r="F308" s="7" t="str">
        <f>IF('Port Bloomberg'!F308="","",'Port Bloomberg'!F308)</f>
        <v>NEXA</v>
      </c>
      <c r="G308" s="7" t="str">
        <f>IF('Port Bloomberg'!G308="","",'Port Bloomberg'!G308)</f>
        <v>NEXA US</v>
      </c>
      <c r="H308" s="7" t="str">
        <f>IF('Port Bloomberg'!H308="","",'Port Bloomberg'!H308)</f>
        <v>Mining</v>
      </c>
      <c r="I308" s="7" t="str">
        <f>IF('Port Bloomberg'!I308="","",'Port Bloomberg'!I308)</f>
        <v>IND</v>
      </c>
      <c r="J308" s="7" t="str">
        <f>IF('Port Bloomberg'!J308="","",'Port Bloomberg'!J308)</f>
        <v>Non-Ferrous Metals</v>
      </c>
      <c r="K308" s="7" t="str">
        <f>IF('Port Bloomberg'!K308="","",'Port Bloomberg'!K308)</f>
        <v>BR</v>
      </c>
      <c r="L308" s="7" t="str">
        <f>IF('Port Bloomberg'!L308="","",'Port Bloomberg'!L308)</f>
        <v>BR</v>
      </c>
      <c r="M308" s="7" t="str">
        <f>IF('Port Bloomberg'!M308="","",'Port Bloomberg'!M308)</f>
        <v>USD</v>
      </c>
      <c r="N308" s="7">
        <f>IF('Port Bloomberg'!N308="","",'Port Bloomberg'!N308)</f>
        <v>500000</v>
      </c>
      <c r="O308" s="7" t="str">
        <f>IF('Port Bloomberg'!O308="","",'Port Bloomberg'!O308)</f>
        <v>SINGLE</v>
      </c>
      <c r="P308" s="7">
        <f>IF('Port Bloomberg'!P308="","",'Port Bloomberg'!P308)</f>
        <v>6.6</v>
      </c>
      <c r="Q308" s="7" t="str">
        <f>IF('Port Bloomberg'!Q308="","",'Port Bloomberg'!Q308)</f>
        <v>BBB-</v>
      </c>
      <c r="R308" s="7" t="str">
        <f>IF('Port Bloomberg'!R308="","",'Port Bloomberg'!R308)</f>
        <v>04/08/2037</v>
      </c>
      <c r="S308" s="5">
        <f>IF(E308="","",IFERROR(IF(MATCH(E308,[1]Instrumentos!$D:$D,0)&gt;0,1,0),0))</f>
        <v>1</v>
      </c>
      <c r="T308" s="5">
        <f>IF(E308="","",IFERROR(IF(MATCH(E308,'Lista de excepciones'!$E:$E,0)&gt;0,1,0),0))</f>
        <v>0</v>
      </c>
      <c r="U308" s="6" t="str">
        <f t="shared" si="5"/>
        <v>NO</v>
      </c>
    </row>
    <row r="309" spans="1:21" hidden="1" x14ac:dyDescent="0.25">
      <c r="A309" s="7" t="str">
        <f>IF('Port Bloomberg'!A309="","",'Port Bloomberg'!A309)</f>
        <v>NEXTPR 4.869 01/15/30</v>
      </c>
      <c r="B309" s="7" t="str">
        <f>IF('Port Bloomberg'!B309="","",'Port Bloomberg'!B309)</f>
        <v>Trust 2401</v>
      </c>
      <c r="C309" s="7" t="str">
        <f>IF('Port Bloomberg'!C309="","",'Port Bloomberg'!C309)</f>
        <v>TRUST 2401</v>
      </c>
      <c r="D309" s="7" t="str">
        <f>IF('Port Bloomberg'!D309="","",'Port Bloomberg'!D309)</f>
        <v>TRUST 2401</v>
      </c>
      <c r="E309" s="7" t="str">
        <f>IF('Port Bloomberg'!E309="","",'Port Bloomberg'!E309)</f>
        <v>USP9402MAA73</v>
      </c>
      <c r="F309" s="7" t="str">
        <f>IF('Port Bloomberg'!F309="","",'Port Bloomberg'!F309)</f>
        <v>NEXTPR</v>
      </c>
      <c r="G309" s="7" t="str">
        <f>IF('Port Bloomberg'!G309="","",'Port Bloomberg'!G309)</f>
        <v/>
      </c>
      <c r="H309" s="7" t="str">
        <f>IF('Port Bloomberg'!H309="","",'Port Bloomberg'!H309)</f>
        <v>REITS</v>
      </c>
      <c r="I309" s="7" t="str">
        <f>IF('Port Bloomberg'!I309="","",'Port Bloomberg'!I309)</f>
        <v>FIN</v>
      </c>
      <c r="J309" s="7" t="str">
        <f>IF('Port Bloomberg'!J309="","",'Port Bloomberg'!J309)</f>
        <v>REITS-Warehouse/Industr</v>
      </c>
      <c r="K309" s="7" t="str">
        <f>IF('Port Bloomberg'!K309="","",'Port Bloomberg'!K309)</f>
        <v>MX</v>
      </c>
      <c r="L309" s="7" t="str">
        <f>IF('Port Bloomberg'!L309="","",'Port Bloomberg'!L309)</f>
        <v>MX</v>
      </c>
      <c r="M309" s="7" t="str">
        <f>IF('Port Bloomberg'!M309="","",'Port Bloomberg'!M309)</f>
        <v>USD</v>
      </c>
      <c r="N309" s="7">
        <f>IF('Port Bloomberg'!N309="","",'Port Bloomberg'!N309)</f>
        <v>387497</v>
      </c>
      <c r="O309" s="7" t="str">
        <f>IF('Port Bloomberg'!O309="","",'Port Bloomberg'!O309)</f>
        <v>SINGLE</v>
      </c>
      <c r="P309" s="7">
        <f>IF('Port Bloomberg'!P309="","",'Port Bloomberg'!P309)</f>
        <v>4.8689999999999998</v>
      </c>
      <c r="Q309" s="7" t="str">
        <f>IF('Port Bloomberg'!Q309="","",'Port Bloomberg'!Q309)</f>
        <v>BBB-</v>
      </c>
      <c r="R309" s="7" t="str">
        <f>IF('Port Bloomberg'!R309="","",'Port Bloomberg'!R309)</f>
        <v>01/15/2030</v>
      </c>
      <c r="S309" s="5">
        <f>IF(E309="","",IFERROR(IF(MATCH(E309,[1]Instrumentos!$D:$D,0)&gt;0,1,0),0))</f>
        <v>0</v>
      </c>
      <c r="T309" s="5">
        <f>IF(E309="","",IFERROR(IF(MATCH(E309,'Lista de excepciones'!$E:$E,0)&gt;0,1,0),0))</f>
        <v>1</v>
      </c>
      <c r="U309" s="6" t="str">
        <f t="shared" si="5"/>
        <v>NO</v>
      </c>
    </row>
    <row r="310" spans="1:21" hidden="1" x14ac:dyDescent="0.25">
      <c r="A310" s="7" t="str">
        <f>IF('Port Bloomberg'!A310="","",'Port Bloomberg'!A310)</f>
        <v>NEXTPR 6.39 01/15/50</v>
      </c>
      <c r="B310" s="7" t="str">
        <f>IF('Port Bloomberg'!B310="","",'Port Bloomberg'!B310)</f>
        <v>Trust 2401</v>
      </c>
      <c r="C310" s="7" t="str">
        <f>IF('Port Bloomberg'!C310="","",'Port Bloomberg'!C310)</f>
        <v>TRUST 2401</v>
      </c>
      <c r="D310" s="7" t="str">
        <f>IF('Port Bloomberg'!D310="","",'Port Bloomberg'!D310)</f>
        <v>TRUST 2401</v>
      </c>
      <c r="E310" s="7" t="str">
        <f>IF('Port Bloomberg'!E310="","",'Port Bloomberg'!E310)</f>
        <v>USP9402MAE95</v>
      </c>
      <c r="F310" s="7" t="str">
        <f>IF('Port Bloomberg'!F310="","",'Port Bloomberg'!F310)</f>
        <v>NEXTPR</v>
      </c>
      <c r="G310" s="7" t="str">
        <f>IF('Port Bloomberg'!G310="","",'Port Bloomberg'!G310)</f>
        <v/>
      </c>
      <c r="H310" s="7" t="str">
        <f>IF('Port Bloomberg'!H310="","",'Port Bloomberg'!H310)</f>
        <v>REITS</v>
      </c>
      <c r="I310" s="7" t="str">
        <f>IF('Port Bloomberg'!I310="","",'Port Bloomberg'!I310)</f>
        <v>FIN</v>
      </c>
      <c r="J310" s="7" t="str">
        <f>IF('Port Bloomberg'!J310="","",'Port Bloomberg'!J310)</f>
        <v>REITS-Warehouse/Industr</v>
      </c>
      <c r="K310" s="7" t="str">
        <f>IF('Port Bloomberg'!K310="","",'Port Bloomberg'!K310)</f>
        <v>MX</v>
      </c>
      <c r="L310" s="7" t="str">
        <f>IF('Port Bloomberg'!L310="","",'Port Bloomberg'!L310)</f>
        <v>MX</v>
      </c>
      <c r="M310" s="7" t="str">
        <f>IF('Port Bloomberg'!M310="","",'Port Bloomberg'!M310)</f>
        <v>USD</v>
      </c>
      <c r="N310" s="7">
        <f>IF('Port Bloomberg'!N310="","",'Port Bloomberg'!N310)</f>
        <v>437500</v>
      </c>
      <c r="O310" s="7" t="str">
        <f>IF('Port Bloomberg'!O310="","",'Port Bloomberg'!O310)</f>
        <v>SINGLE</v>
      </c>
      <c r="P310" s="7">
        <f>IF('Port Bloomberg'!P310="","",'Port Bloomberg'!P310)</f>
        <v>6.39</v>
      </c>
      <c r="Q310" s="7" t="str">
        <f>IF('Port Bloomberg'!Q310="","",'Port Bloomberg'!Q310)</f>
        <v>BBB-</v>
      </c>
      <c r="R310" s="7" t="str">
        <f>IF('Port Bloomberg'!R310="","",'Port Bloomberg'!R310)</f>
        <v>01/15/2050</v>
      </c>
      <c r="S310" s="5">
        <f>IF(E310="","",IFERROR(IF(MATCH(E310,[1]Instrumentos!$D:$D,0)&gt;0,1,0),0))</f>
        <v>0</v>
      </c>
      <c r="T310" s="5">
        <f>IF(E310="","",IFERROR(IF(MATCH(E310,'Lista de excepciones'!$E:$E,0)&gt;0,1,0),0))</f>
        <v>1</v>
      </c>
      <c r="U310" s="6" t="str">
        <f t="shared" si="5"/>
        <v>NO</v>
      </c>
    </row>
    <row r="311" spans="1:21" hidden="1" x14ac:dyDescent="0.25">
      <c r="A311" s="7" t="str">
        <f>IF('Port Bloomberg'!A311="","",'Port Bloomberg'!A311)</f>
        <v>NEXTPR 6.95 01/30/44</v>
      </c>
      <c r="B311" s="7" t="str">
        <f>IF('Port Bloomberg'!B311="","",'Port Bloomberg'!B311)</f>
        <v>Trust 2401</v>
      </c>
      <c r="C311" s="7" t="str">
        <f>IF('Port Bloomberg'!C311="","",'Port Bloomberg'!C311)</f>
        <v>TRUST 2401</v>
      </c>
      <c r="D311" s="7" t="str">
        <f>IF('Port Bloomberg'!D311="","",'Port Bloomberg'!D311)</f>
        <v>TRUST 2401</v>
      </c>
      <c r="E311" s="7" t="str">
        <f>IF('Port Bloomberg'!E311="","",'Port Bloomberg'!E311)</f>
        <v>USP9402MAD13</v>
      </c>
      <c r="F311" s="7" t="str">
        <f>IF('Port Bloomberg'!F311="","",'Port Bloomberg'!F311)</f>
        <v>NEXTPR</v>
      </c>
      <c r="G311" s="7" t="str">
        <f>IF('Port Bloomberg'!G311="","",'Port Bloomberg'!G311)</f>
        <v/>
      </c>
      <c r="H311" s="7" t="str">
        <f>IF('Port Bloomberg'!H311="","",'Port Bloomberg'!H311)</f>
        <v>REITS</v>
      </c>
      <c r="I311" s="7" t="str">
        <f>IF('Port Bloomberg'!I311="","",'Port Bloomberg'!I311)</f>
        <v>FIN</v>
      </c>
      <c r="J311" s="7" t="str">
        <f>IF('Port Bloomberg'!J311="","",'Port Bloomberg'!J311)</f>
        <v>REITS-Warehouse/Industr</v>
      </c>
      <c r="K311" s="7" t="str">
        <f>IF('Port Bloomberg'!K311="","",'Port Bloomberg'!K311)</f>
        <v>MX</v>
      </c>
      <c r="L311" s="7" t="str">
        <f>IF('Port Bloomberg'!L311="","",'Port Bloomberg'!L311)</f>
        <v>MX</v>
      </c>
      <c r="M311" s="7" t="str">
        <f>IF('Port Bloomberg'!M311="","",'Port Bloomberg'!M311)</f>
        <v>USD</v>
      </c>
      <c r="N311" s="7">
        <f>IF('Port Bloomberg'!N311="","",'Port Bloomberg'!N311)</f>
        <v>350000</v>
      </c>
      <c r="O311" s="7" t="str">
        <f>IF('Port Bloomberg'!O311="","",'Port Bloomberg'!O311)</f>
        <v>SINGLE</v>
      </c>
      <c r="P311" s="7">
        <f>IF('Port Bloomberg'!P311="","",'Port Bloomberg'!P311)</f>
        <v>6.95</v>
      </c>
      <c r="Q311" s="7" t="str">
        <f>IF('Port Bloomberg'!Q311="","",'Port Bloomberg'!Q311)</f>
        <v>BBB-</v>
      </c>
      <c r="R311" s="7" t="str">
        <f>IF('Port Bloomberg'!R311="","",'Port Bloomberg'!R311)</f>
        <v>01/30/2044</v>
      </c>
      <c r="S311" s="5">
        <f>IF(E311="","",IFERROR(IF(MATCH(E311,[1]Instrumentos!$D:$D,0)&gt;0,1,0),0))</f>
        <v>0</v>
      </c>
      <c r="T311" s="5">
        <f>IF(E311="","",IFERROR(IF(MATCH(E311,'Lista de excepciones'!$E:$E,0)&gt;0,1,0),0))</f>
        <v>1</v>
      </c>
      <c r="U311" s="6" t="str">
        <f t="shared" si="5"/>
        <v>NO</v>
      </c>
    </row>
    <row r="312" spans="1:21" hidden="1" x14ac:dyDescent="0.25">
      <c r="A312" s="7" t="str">
        <f>IF('Port Bloomberg'!A312="","",'Port Bloomberg'!A312)</f>
        <v>NEXTPR 7 ⅜ 02/13/34</v>
      </c>
      <c r="B312" s="7" t="str">
        <f>IF('Port Bloomberg'!B312="","",'Port Bloomberg'!B312)</f>
        <v>Trust 2401</v>
      </c>
      <c r="C312" s="7" t="str">
        <f>IF('Port Bloomberg'!C312="","",'Port Bloomberg'!C312)</f>
        <v>TRUST 2401</v>
      </c>
      <c r="D312" s="7" t="str">
        <f>IF('Port Bloomberg'!D312="","",'Port Bloomberg'!D312)</f>
        <v>TRUST 2401</v>
      </c>
      <c r="E312" s="7" t="str">
        <f>IF('Port Bloomberg'!E312="","",'Port Bloomberg'!E312)</f>
        <v>USP9402MAC30</v>
      </c>
      <c r="F312" s="7" t="str">
        <f>IF('Port Bloomberg'!F312="","",'Port Bloomberg'!F312)</f>
        <v>NEXTPR</v>
      </c>
      <c r="G312" s="7" t="str">
        <f>IF('Port Bloomberg'!G312="","",'Port Bloomberg'!G312)</f>
        <v/>
      </c>
      <c r="H312" s="7" t="str">
        <f>IF('Port Bloomberg'!H312="","",'Port Bloomberg'!H312)</f>
        <v>REITS</v>
      </c>
      <c r="I312" s="7" t="str">
        <f>IF('Port Bloomberg'!I312="","",'Port Bloomberg'!I312)</f>
        <v>FIN</v>
      </c>
      <c r="J312" s="7" t="str">
        <f>IF('Port Bloomberg'!J312="","",'Port Bloomberg'!J312)</f>
        <v>REITS-Warehouse/Industr</v>
      </c>
      <c r="K312" s="7" t="str">
        <f>IF('Port Bloomberg'!K312="","",'Port Bloomberg'!K312)</f>
        <v>MX</v>
      </c>
      <c r="L312" s="7" t="str">
        <f>IF('Port Bloomberg'!L312="","",'Port Bloomberg'!L312)</f>
        <v>MX</v>
      </c>
      <c r="M312" s="7" t="str">
        <f>IF('Port Bloomberg'!M312="","",'Port Bloomberg'!M312)</f>
        <v>USD</v>
      </c>
      <c r="N312" s="7">
        <f>IF('Port Bloomberg'!N312="","",'Port Bloomberg'!N312)</f>
        <v>300000</v>
      </c>
      <c r="O312" s="7" t="str">
        <f>IF('Port Bloomberg'!O312="","",'Port Bloomberg'!O312)</f>
        <v>SINGLE</v>
      </c>
      <c r="P312" s="7">
        <f>IF('Port Bloomberg'!P312="","",'Port Bloomberg'!P312)</f>
        <v>7.375</v>
      </c>
      <c r="Q312" s="7" t="str">
        <f>IF('Port Bloomberg'!Q312="","",'Port Bloomberg'!Q312)</f>
        <v>BBB-</v>
      </c>
      <c r="R312" s="7" t="str">
        <f>IF('Port Bloomberg'!R312="","",'Port Bloomberg'!R312)</f>
        <v>02/13/2034</v>
      </c>
      <c r="S312" s="5">
        <f>IF(E312="","",IFERROR(IF(MATCH(E312,[1]Instrumentos!$D:$D,0)&gt;0,1,0),0))</f>
        <v>0</v>
      </c>
      <c r="T312" s="5">
        <f>IF(E312="","",IFERROR(IF(MATCH(E312,'Lista de excepciones'!$E:$E,0)&gt;0,1,0),0))</f>
        <v>1</v>
      </c>
      <c r="U312" s="6" t="str">
        <f t="shared" si="5"/>
        <v>NO</v>
      </c>
    </row>
    <row r="313" spans="1:21" hidden="1" x14ac:dyDescent="0.25">
      <c r="A313" s="7" t="str">
        <f>IF('Port Bloomberg'!A313="","",'Port Bloomberg'!A313)</f>
        <v>NEXTPR 7.7 01/23/32</v>
      </c>
      <c r="B313" s="7" t="str">
        <f>IF('Port Bloomberg'!B313="","",'Port Bloomberg'!B313)</f>
        <v>Trust 2401</v>
      </c>
      <c r="C313" s="7" t="str">
        <f>IF('Port Bloomberg'!C313="","",'Port Bloomberg'!C313)</f>
        <v>TRUST 2401</v>
      </c>
      <c r="D313" s="7" t="str">
        <f>IF('Port Bloomberg'!D313="","",'Port Bloomberg'!D313)</f>
        <v>TRUST 2401</v>
      </c>
      <c r="E313" s="7" t="str">
        <f>IF('Port Bloomberg'!E313="","",'Port Bloomberg'!E313)</f>
        <v>USP9402MAB56</v>
      </c>
      <c r="F313" s="7" t="str">
        <f>IF('Port Bloomberg'!F313="","",'Port Bloomberg'!F313)</f>
        <v>NEXTPR</v>
      </c>
      <c r="G313" s="7" t="str">
        <f>IF('Port Bloomberg'!G313="","",'Port Bloomberg'!G313)</f>
        <v/>
      </c>
      <c r="H313" s="7" t="str">
        <f>IF('Port Bloomberg'!H313="","",'Port Bloomberg'!H313)</f>
        <v>REITS</v>
      </c>
      <c r="I313" s="7" t="str">
        <f>IF('Port Bloomberg'!I313="","",'Port Bloomberg'!I313)</f>
        <v>FIN</v>
      </c>
      <c r="J313" s="7" t="str">
        <f>IF('Port Bloomberg'!J313="","",'Port Bloomberg'!J313)</f>
        <v>REITS-Warehouse/Industr</v>
      </c>
      <c r="K313" s="7" t="str">
        <f>IF('Port Bloomberg'!K313="","",'Port Bloomberg'!K313)</f>
        <v>MX</v>
      </c>
      <c r="L313" s="7" t="str">
        <f>IF('Port Bloomberg'!L313="","",'Port Bloomberg'!L313)</f>
        <v>MX</v>
      </c>
      <c r="M313" s="7" t="str">
        <f>IF('Port Bloomberg'!M313="","",'Port Bloomberg'!M313)</f>
        <v>USD</v>
      </c>
      <c r="N313" s="7">
        <f>IF('Port Bloomberg'!N313="","",'Port Bloomberg'!N313)</f>
        <v>409781</v>
      </c>
      <c r="O313" s="7" t="str">
        <f>IF('Port Bloomberg'!O313="","",'Port Bloomberg'!O313)</f>
        <v>SINGLE</v>
      </c>
      <c r="P313" s="7">
        <f>IF('Port Bloomberg'!P313="","",'Port Bloomberg'!P313)</f>
        <v>7.7</v>
      </c>
      <c r="Q313" s="7" t="str">
        <f>IF('Port Bloomberg'!Q313="","",'Port Bloomberg'!Q313)</f>
        <v>BBB-</v>
      </c>
      <c r="R313" s="7" t="str">
        <f>IF('Port Bloomberg'!R313="","",'Port Bloomberg'!R313)</f>
        <v>01/23/2032</v>
      </c>
      <c r="S313" s="5">
        <f>IF(E313="","",IFERROR(IF(MATCH(E313,[1]Instrumentos!$D:$D,0)&gt;0,1,0),0))</f>
        <v>0</v>
      </c>
      <c r="T313" s="5">
        <f>IF(E313="","",IFERROR(IF(MATCH(E313,'Lista de excepciones'!$E:$E,0)&gt;0,1,0),0))</f>
        <v>1</v>
      </c>
      <c r="U313" s="6" t="str">
        <f t="shared" si="5"/>
        <v>NO</v>
      </c>
    </row>
    <row r="314" spans="1:21" hidden="1" x14ac:dyDescent="0.25">
      <c r="A314" s="7" t="str">
        <f>IF('Port Bloomberg'!A314="","",'Port Bloomberg'!A314)</f>
        <v>NIAENE 5.746 10/03/34</v>
      </c>
      <c r="B314" s="7" t="str">
        <f>IF('Port Bloomberg'!B314="","",'Port Bloomberg'!B314)</f>
        <v>Niagara Energy SAC</v>
      </c>
      <c r="C314" s="7" t="str">
        <f>IF('Port Bloomberg'!C314="","",'Port Bloomberg'!C314)</f>
        <v>NIAGARA ENERGY</v>
      </c>
      <c r="D314" s="7" t="str">
        <f>IF('Port Bloomberg'!D314="","",'Port Bloomberg'!D314)</f>
        <v>NIAGARA ENERGY SAC</v>
      </c>
      <c r="E314" s="7" t="str">
        <f>IF('Port Bloomberg'!E314="","",'Port Bloomberg'!E314)</f>
        <v>USP7200AAA18</v>
      </c>
      <c r="F314" s="7" t="str">
        <f>IF('Port Bloomberg'!F314="","",'Port Bloomberg'!F314)</f>
        <v>NIAENE</v>
      </c>
      <c r="G314" s="7" t="str">
        <f>IF('Port Bloomberg'!G314="","",'Port Bloomberg'!G314)</f>
        <v>2325235D PE</v>
      </c>
      <c r="H314" s="7" t="str">
        <f>IF('Port Bloomberg'!H314="","",'Port Bloomberg'!H314)</f>
        <v>Electric</v>
      </c>
      <c r="I314" s="7" t="str">
        <f>IF('Port Bloomberg'!I314="","",'Port Bloomberg'!I314)</f>
        <v>UTL</v>
      </c>
      <c r="J314" s="7" t="str">
        <f>IF('Port Bloomberg'!J314="","",'Port Bloomberg'!J314)</f>
        <v>Electric-Generation</v>
      </c>
      <c r="K314" s="7" t="str">
        <f>IF('Port Bloomberg'!K314="","",'Port Bloomberg'!K314)</f>
        <v>PE</v>
      </c>
      <c r="L314" s="7" t="str">
        <f>IF('Port Bloomberg'!L314="","",'Port Bloomberg'!L314)</f>
        <v>PE</v>
      </c>
      <c r="M314" s="7" t="str">
        <f>IF('Port Bloomberg'!M314="","",'Port Bloomberg'!M314)</f>
        <v>USD</v>
      </c>
      <c r="N314" s="7">
        <f>IF('Port Bloomberg'!N314="","",'Port Bloomberg'!N314)</f>
        <v>1200000</v>
      </c>
      <c r="O314" s="7" t="str">
        <f>IF('Port Bloomberg'!O314="","",'Port Bloomberg'!O314)</f>
        <v>SINGLE</v>
      </c>
      <c r="P314" s="7">
        <f>IF('Port Bloomberg'!P314="","",'Port Bloomberg'!P314)</f>
        <v>5.7460000000000004</v>
      </c>
      <c r="Q314" s="7" t="str">
        <f>IF('Port Bloomberg'!Q314="","",'Port Bloomberg'!Q314)</f>
        <v>BBB-</v>
      </c>
      <c r="R314" s="7" t="str">
        <f>IF('Port Bloomberg'!R314="","",'Port Bloomberg'!R314)</f>
        <v>10/03/2034</v>
      </c>
      <c r="S314" s="5">
        <f>IF(E314="","",IFERROR(IF(MATCH(E314,[1]Instrumentos!$D:$D,0)&gt;0,1,0),0))</f>
        <v>1</v>
      </c>
      <c r="T314" s="5">
        <f>IF(E314="","",IFERROR(IF(MATCH(E314,'Lista de excepciones'!$E:$E,0)&gt;0,1,0),0))</f>
        <v>0</v>
      </c>
      <c r="U314" s="6" t="str">
        <f t="shared" si="5"/>
        <v>NO</v>
      </c>
    </row>
    <row r="315" spans="1:21" hidden="1" x14ac:dyDescent="0.25">
      <c r="A315" s="7" t="str">
        <f>IF('Port Bloomberg'!A315="","",'Port Bloomberg'!A315)</f>
        <v>NUTRES 7 ⅞ PERP</v>
      </c>
      <c r="B315" s="7" t="str">
        <f>IF('Port Bloomberg'!B315="","",'Port Bloomberg'!B315)</f>
        <v>Grupo Nutresa SA</v>
      </c>
      <c r="C315" s="7" t="str">
        <f>IF('Port Bloomberg'!C315="","",'Port Bloomberg'!C315)</f>
        <v>GRUPO NUTRESA</v>
      </c>
      <c r="D315" s="7" t="str">
        <f>IF('Port Bloomberg'!D315="","",'Port Bloomberg'!D315)</f>
        <v>GRUPO NUTRESA SA</v>
      </c>
      <c r="E315" s="7" t="str">
        <f>IF('Port Bloomberg'!E315="","",'Port Bloomberg'!E315)</f>
        <v>USP5041CAA47</v>
      </c>
      <c r="F315" s="7" t="str">
        <f>IF('Port Bloomberg'!F315="","",'Port Bloomberg'!F315)</f>
        <v>NUTRES</v>
      </c>
      <c r="G315" s="7" t="str">
        <f>IF('Port Bloomberg'!G315="","",'Port Bloomberg'!G315)</f>
        <v>NUTRESA CB</v>
      </c>
      <c r="H315" s="7" t="str">
        <f>IF('Port Bloomberg'!H315="","",'Port Bloomberg'!H315)</f>
        <v>Food</v>
      </c>
      <c r="I315" s="7" t="str">
        <f>IF('Port Bloomberg'!I315="","",'Port Bloomberg'!I315)</f>
        <v>IND</v>
      </c>
      <c r="J315" s="7" t="str">
        <f>IF('Port Bloomberg'!J315="","",'Port Bloomberg'!J315)</f>
        <v>Food-Misc/Diversified</v>
      </c>
      <c r="K315" s="7" t="str">
        <f>IF('Port Bloomberg'!K315="","",'Port Bloomberg'!K315)</f>
        <v>CO</v>
      </c>
      <c r="L315" s="7" t="str">
        <f>IF('Port Bloomberg'!L315="","",'Port Bloomberg'!L315)</f>
        <v>CO</v>
      </c>
      <c r="M315" s="7" t="str">
        <f>IF('Port Bloomberg'!M315="","",'Port Bloomberg'!M315)</f>
        <v>USD</v>
      </c>
      <c r="N315" s="7">
        <f>IF('Port Bloomberg'!N315="","",'Port Bloomberg'!N315)</f>
        <v>1250000</v>
      </c>
      <c r="O315" s="7" t="str">
        <f>IF('Port Bloomberg'!O315="","",'Port Bloomberg'!O315)</f>
        <v>SINGLE</v>
      </c>
      <c r="P315" s="7">
        <f>IF('Port Bloomberg'!P315="","",'Port Bloomberg'!P315)</f>
        <v>7.875</v>
      </c>
      <c r="Q315" s="7" t="str">
        <f>IF('Port Bloomberg'!Q315="","",'Port Bloomberg'!Q315)</f>
        <v>BB</v>
      </c>
      <c r="R315" s="7" t="str">
        <f>IF('Port Bloomberg'!R315="","",'Port Bloomberg'!R315)</f>
        <v/>
      </c>
      <c r="S315" s="5">
        <f>IF(E315="","",IFERROR(IF(MATCH(E315,[1]Instrumentos!$D:$D,0)&gt;0,1,0),0))</f>
        <v>1</v>
      </c>
      <c r="T315" s="5">
        <f>IF(E315="","",IFERROR(IF(MATCH(E315,'Lista de excepciones'!$E:$E,0)&gt;0,1,0),0))</f>
        <v>0</v>
      </c>
      <c r="U315" s="6" t="str">
        <f t="shared" si="5"/>
        <v>NO</v>
      </c>
    </row>
    <row r="316" spans="1:21" hidden="1" x14ac:dyDescent="0.25">
      <c r="A316" s="7" t="str">
        <f>IF('Port Bloomberg'!A316="","",'Port Bloomberg'!A316)</f>
        <v>NUTRES 8 05/12/30</v>
      </c>
      <c r="B316" s="7" t="str">
        <f>IF('Port Bloomberg'!B316="","",'Port Bloomberg'!B316)</f>
        <v>Grupo Nutresa SA</v>
      </c>
      <c r="C316" s="7" t="str">
        <f>IF('Port Bloomberg'!C316="","",'Port Bloomberg'!C316)</f>
        <v>GRUPO NUTRESA</v>
      </c>
      <c r="D316" s="7" t="str">
        <f>IF('Port Bloomberg'!D316="","",'Port Bloomberg'!D316)</f>
        <v>GRUPO NUTRESA SA</v>
      </c>
      <c r="E316" s="7" t="str">
        <f>IF('Port Bloomberg'!E316="","",'Port Bloomberg'!E316)</f>
        <v>USP4R21KAA49</v>
      </c>
      <c r="F316" s="7" t="str">
        <f>IF('Port Bloomberg'!F316="","",'Port Bloomberg'!F316)</f>
        <v>NUTRES</v>
      </c>
      <c r="G316" s="7" t="str">
        <f>IF('Port Bloomberg'!G316="","",'Port Bloomberg'!G316)</f>
        <v>NUTRESA CB</v>
      </c>
      <c r="H316" s="7" t="str">
        <f>IF('Port Bloomberg'!H316="","",'Port Bloomberg'!H316)</f>
        <v>Food</v>
      </c>
      <c r="I316" s="7" t="str">
        <f>IF('Port Bloomberg'!I316="","",'Port Bloomberg'!I316)</f>
        <v>IND</v>
      </c>
      <c r="J316" s="7" t="str">
        <f>IF('Port Bloomberg'!J316="","",'Port Bloomberg'!J316)</f>
        <v>Food-Misc/Diversified</v>
      </c>
      <c r="K316" s="7" t="str">
        <f>IF('Port Bloomberg'!K316="","",'Port Bloomberg'!K316)</f>
        <v>CO</v>
      </c>
      <c r="L316" s="7" t="str">
        <f>IF('Port Bloomberg'!L316="","",'Port Bloomberg'!L316)</f>
        <v>CO</v>
      </c>
      <c r="M316" s="7" t="str">
        <f>IF('Port Bloomberg'!M316="","",'Port Bloomberg'!M316)</f>
        <v>USD</v>
      </c>
      <c r="N316" s="7">
        <f>IF('Port Bloomberg'!N316="","",'Port Bloomberg'!N316)</f>
        <v>1500000</v>
      </c>
      <c r="O316" s="7" t="str">
        <f>IF('Port Bloomberg'!O316="","",'Port Bloomberg'!O316)</f>
        <v>SINGLE</v>
      </c>
      <c r="P316" s="7">
        <f>IF('Port Bloomberg'!P316="","",'Port Bloomberg'!P316)</f>
        <v>8</v>
      </c>
      <c r="Q316" s="7" t="str">
        <f>IF('Port Bloomberg'!Q316="","",'Port Bloomberg'!Q316)</f>
        <v>BB+</v>
      </c>
      <c r="R316" s="7" t="str">
        <f>IF('Port Bloomberg'!R316="","",'Port Bloomberg'!R316)</f>
        <v>05/12/2030</v>
      </c>
      <c r="S316" s="5">
        <f>IF(E316="","",IFERROR(IF(MATCH(E316,[1]Instrumentos!$D:$D,0)&gt;0,1,0),0))</f>
        <v>1</v>
      </c>
      <c r="T316" s="5">
        <f>IF(E316="","",IFERROR(IF(MATCH(E316,'Lista de excepciones'!$E:$E,0)&gt;0,1,0),0))</f>
        <v>0</v>
      </c>
      <c r="U316" s="6" t="str">
        <f t="shared" si="5"/>
        <v>NO</v>
      </c>
    </row>
    <row r="317" spans="1:21" hidden="1" x14ac:dyDescent="0.25">
      <c r="A317" s="7" t="str">
        <f>IF('Port Bloomberg'!A317="","",'Port Bloomberg'!A317)</f>
        <v>NUTRES 9 05/12/35</v>
      </c>
      <c r="B317" s="7" t="str">
        <f>IF('Port Bloomberg'!B317="","",'Port Bloomberg'!B317)</f>
        <v>Grupo Nutresa SA</v>
      </c>
      <c r="C317" s="7" t="str">
        <f>IF('Port Bloomberg'!C317="","",'Port Bloomberg'!C317)</f>
        <v>GRUPO NUTRESA</v>
      </c>
      <c r="D317" s="7" t="str">
        <f>IF('Port Bloomberg'!D317="","",'Port Bloomberg'!D317)</f>
        <v>GRUPO NUTRESA SA</v>
      </c>
      <c r="E317" s="7" t="str">
        <f>IF('Port Bloomberg'!E317="","",'Port Bloomberg'!E317)</f>
        <v>USP4R21KAB22</v>
      </c>
      <c r="F317" s="7" t="str">
        <f>IF('Port Bloomberg'!F317="","",'Port Bloomberg'!F317)</f>
        <v>NUTRES</v>
      </c>
      <c r="G317" s="7" t="str">
        <f>IF('Port Bloomberg'!G317="","",'Port Bloomberg'!G317)</f>
        <v>NUTRESA CB</v>
      </c>
      <c r="H317" s="7" t="str">
        <f>IF('Port Bloomberg'!H317="","",'Port Bloomberg'!H317)</f>
        <v>Food</v>
      </c>
      <c r="I317" s="7" t="str">
        <f>IF('Port Bloomberg'!I317="","",'Port Bloomberg'!I317)</f>
        <v>IND</v>
      </c>
      <c r="J317" s="7" t="str">
        <f>IF('Port Bloomberg'!J317="","",'Port Bloomberg'!J317)</f>
        <v>Food-Misc/Diversified</v>
      </c>
      <c r="K317" s="7" t="str">
        <f>IF('Port Bloomberg'!K317="","",'Port Bloomberg'!K317)</f>
        <v>CO</v>
      </c>
      <c r="L317" s="7" t="str">
        <f>IF('Port Bloomberg'!L317="","",'Port Bloomberg'!L317)</f>
        <v>CO</v>
      </c>
      <c r="M317" s="7" t="str">
        <f>IF('Port Bloomberg'!M317="","",'Port Bloomberg'!M317)</f>
        <v>USD</v>
      </c>
      <c r="N317" s="7">
        <f>IF('Port Bloomberg'!N317="","",'Port Bloomberg'!N317)</f>
        <v>1500000</v>
      </c>
      <c r="O317" s="7" t="str">
        <f>IF('Port Bloomberg'!O317="","",'Port Bloomberg'!O317)</f>
        <v>SINGLE</v>
      </c>
      <c r="P317" s="7">
        <f>IF('Port Bloomberg'!P317="","",'Port Bloomberg'!P317)</f>
        <v>9</v>
      </c>
      <c r="Q317" s="7" t="str">
        <f>IF('Port Bloomberg'!Q317="","",'Port Bloomberg'!Q317)</f>
        <v>BB+</v>
      </c>
      <c r="R317" s="7" t="str">
        <f>IF('Port Bloomberg'!R317="","",'Port Bloomberg'!R317)</f>
        <v>05/12/2035</v>
      </c>
      <c r="S317" s="5">
        <f>IF(E317="","",IFERROR(IF(MATCH(E317,[1]Instrumentos!$D:$D,0)&gt;0,1,0),0))</f>
        <v>1</v>
      </c>
      <c r="T317" s="5">
        <f>IF(E317="","",IFERROR(IF(MATCH(E317,'Lista de excepciones'!$E:$E,0)&gt;0,1,0),0))</f>
        <v>0</v>
      </c>
      <c r="U317" s="6" t="str">
        <f t="shared" si="5"/>
        <v>NO</v>
      </c>
    </row>
    <row r="318" spans="1:21" hidden="1" x14ac:dyDescent="0.25">
      <c r="A318" s="7" t="str">
        <f>IF('Port Bloomberg'!A318="","",'Port Bloomberg'!A318)</f>
        <v>OENCBZ 11 ¼ 05/08/31</v>
      </c>
      <c r="B318" s="7" t="str">
        <f>IF('Port Bloomberg'!B318="","",'Port Bloomberg'!B318)</f>
        <v>Oceanica Lux</v>
      </c>
      <c r="C318" s="7" t="str">
        <f>IF('Port Bloomberg'!C318="","",'Port Bloomberg'!C318)</f>
        <v>OCEANICA LUX</v>
      </c>
      <c r="D318" s="7" t="str">
        <f>IF('Port Bloomberg'!D318="","",'Port Bloomberg'!D318)</f>
        <v>OCEANICA LUX</v>
      </c>
      <c r="E318" s="7" t="str">
        <f>IF('Port Bloomberg'!E318="","",'Port Bloomberg'!E318)</f>
        <v>USL7151AAC01</v>
      </c>
      <c r="F318" s="7" t="str">
        <f>IF('Port Bloomberg'!F318="","",'Port Bloomberg'!F318)</f>
        <v>OENCBZ</v>
      </c>
      <c r="G318" s="7" t="str">
        <f>IF('Port Bloomberg'!G318="","",'Port Bloomberg'!G318)</f>
        <v>0199274D BZ</v>
      </c>
      <c r="H318" s="7" t="str">
        <f>IF('Port Bloomberg'!H318="","",'Port Bloomberg'!H318)</f>
        <v>Oil&amp;Gas Services</v>
      </c>
      <c r="I318" s="7" t="str">
        <f>IF('Port Bloomberg'!I318="","",'Port Bloomberg'!I318)</f>
        <v>IND</v>
      </c>
      <c r="J318" s="7" t="str">
        <f>IF('Port Bloomberg'!J318="","",'Port Bloomberg'!J318)</f>
        <v>Oil-Field Services</v>
      </c>
      <c r="K318" s="7" t="str">
        <f>IF('Port Bloomberg'!K318="","",'Port Bloomberg'!K318)</f>
        <v>LU</v>
      </c>
      <c r="L318" s="7" t="str">
        <f>IF('Port Bloomberg'!L318="","",'Port Bloomberg'!L318)</f>
        <v>BR</v>
      </c>
      <c r="M318" s="7" t="str">
        <f>IF('Port Bloomberg'!M318="","",'Port Bloomberg'!M318)</f>
        <v>USD</v>
      </c>
      <c r="N318" s="7">
        <f>IF('Port Bloomberg'!N318="","",'Port Bloomberg'!N318)</f>
        <v>650000</v>
      </c>
      <c r="O318" s="7" t="str">
        <f>IF('Port Bloomberg'!O318="","",'Port Bloomberg'!O318)</f>
        <v>SINGLE</v>
      </c>
      <c r="P318" s="7">
        <f>IF('Port Bloomberg'!P318="","",'Port Bloomberg'!P318)</f>
        <v>11.25</v>
      </c>
      <c r="Q318" s="7" t="str">
        <f>IF('Port Bloomberg'!Q318="","",'Port Bloomberg'!Q318)</f>
        <v>B-</v>
      </c>
      <c r="R318" s="7" t="str">
        <f>IF('Port Bloomberg'!R318="","",'Port Bloomberg'!R318)</f>
        <v>05/08/2031</v>
      </c>
      <c r="S318" s="5">
        <f>IF(E318="","",IFERROR(IF(MATCH(E318,[1]Instrumentos!$D:$D,0)&gt;0,1,0),0))</f>
        <v>0</v>
      </c>
      <c r="T318" s="5">
        <f>IF(E318="","",IFERROR(IF(MATCH(E318,'Lista de excepciones'!$E:$E,0)&gt;0,1,0),0))</f>
        <v>1</v>
      </c>
      <c r="U318" s="6" t="str">
        <f t="shared" si="5"/>
        <v>NO</v>
      </c>
    </row>
    <row r="319" spans="1:21" hidden="1" x14ac:dyDescent="0.25">
      <c r="A319" s="7" t="str">
        <f>IF('Port Bloomberg'!A319="","",'Port Bloomberg'!A319)</f>
        <v>OENCBZ 13 10/02/29</v>
      </c>
      <c r="B319" s="7" t="str">
        <f>IF('Port Bloomberg'!B319="","",'Port Bloomberg'!B319)</f>
        <v>Oceanica Lux</v>
      </c>
      <c r="C319" s="7" t="str">
        <f>IF('Port Bloomberg'!C319="","",'Port Bloomberg'!C319)</f>
        <v>OCEANICA LUX</v>
      </c>
      <c r="D319" s="7" t="str">
        <f>IF('Port Bloomberg'!D319="","",'Port Bloomberg'!D319)</f>
        <v>OCEANICA LUX</v>
      </c>
      <c r="E319" s="7" t="str">
        <f>IF('Port Bloomberg'!E319="","",'Port Bloomberg'!E319)</f>
        <v>USL7151AAA45</v>
      </c>
      <c r="F319" s="7" t="str">
        <f>IF('Port Bloomberg'!F319="","",'Port Bloomberg'!F319)</f>
        <v>OENCBZ</v>
      </c>
      <c r="G319" s="7" t="str">
        <f>IF('Port Bloomberg'!G319="","",'Port Bloomberg'!G319)</f>
        <v>0199274D BZ</v>
      </c>
      <c r="H319" s="7" t="str">
        <f>IF('Port Bloomberg'!H319="","",'Port Bloomberg'!H319)</f>
        <v>Oil&amp;Gas Services</v>
      </c>
      <c r="I319" s="7" t="str">
        <f>IF('Port Bloomberg'!I319="","",'Port Bloomberg'!I319)</f>
        <v>IND</v>
      </c>
      <c r="J319" s="7" t="str">
        <f>IF('Port Bloomberg'!J319="","",'Port Bloomberg'!J319)</f>
        <v>Oil-Field Services</v>
      </c>
      <c r="K319" s="7" t="str">
        <f>IF('Port Bloomberg'!K319="","",'Port Bloomberg'!K319)</f>
        <v>LU</v>
      </c>
      <c r="L319" s="7" t="str">
        <f>IF('Port Bloomberg'!L319="","",'Port Bloomberg'!L319)</f>
        <v>BR</v>
      </c>
      <c r="M319" s="7" t="str">
        <f>IF('Port Bloomberg'!M319="","",'Port Bloomberg'!M319)</f>
        <v>USD</v>
      </c>
      <c r="N319" s="7">
        <f>IF('Port Bloomberg'!N319="","",'Port Bloomberg'!N319)</f>
        <v>525000</v>
      </c>
      <c r="O319" s="7" t="str">
        <f>IF('Port Bloomberg'!O319="","",'Port Bloomberg'!O319)</f>
        <v>SINGLE</v>
      </c>
      <c r="P319" s="7">
        <f>IF('Port Bloomberg'!P319="","",'Port Bloomberg'!P319)</f>
        <v>13</v>
      </c>
      <c r="Q319" s="7" t="str">
        <f>IF('Port Bloomberg'!Q319="","",'Port Bloomberg'!Q319)</f>
        <v>B-</v>
      </c>
      <c r="R319" s="7" t="str">
        <f>IF('Port Bloomberg'!R319="","",'Port Bloomberg'!R319)</f>
        <v>10/02/2029</v>
      </c>
      <c r="S319" s="5">
        <f>IF(E319="","",IFERROR(IF(MATCH(E319,[1]Instrumentos!$D:$D,0)&gt;0,1,0),0))</f>
        <v>0</v>
      </c>
      <c r="T319" s="5">
        <f>IF(E319="","",IFERROR(IF(MATCH(E319,'Lista de excepciones'!$E:$E,0)&gt;0,1,0),0))</f>
        <v>1</v>
      </c>
      <c r="U319" s="6" t="str">
        <f t="shared" si="5"/>
        <v>NO</v>
      </c>
    </row>
    <row r="320" spans="1:21" hidden="1" x14ac:dyDescent="0.25">
      <c r="A320" s="7" t="str">
        <f>IF('Port Bloomberg'!A320="","",'Port Bloomberg'!A320)</f>
        <v>OHIFLY 13 07/22/29</v>
      </c>
      <c r="B320" s="7" t="str">
        <f>IF('Port Bloomberg'!B320="","",'Port Bloomberg'!B320)</f>
        <v>OHI Group SA</v>
      </c>
      <c r="C320" s="7" t="str">
        <f>IF('Port Bloomberg'!C320="","",'Port Bloomberg'!C320)</f>
        <v>OHI GROUP SA</v>
      </c>
      <c r="D320" s="7" t="str">
        <f>IF('Port Bloomberg'!D320="","",'Port Bloomberg'!D320)</f>
        <v>OHI GROUP SA</v>
      </c>
      <c r="E320" s="7" t="str">
        <f>IF('Port Bloomberg'!E320="","",'Port Bloomberg'!E320)</f>
        <v>USL7S61MAB59</v>
      </c>
      <c r="F320" s="7" t="str">
        <f>IF('Port Bloomberg'!F320="","",'Port Bloomberg'!F320)</f>
        <v>OHIFLY</v>
      </c>
      <c r="G320" s="7" t="str">
        <f>IF('Port Bloomberg'!G320="","",'Port Bloomberg'!G320)</f>
        <v/>
      </c>
      <c r="H320" s="7" t="str">
        <f>IF('Port Bloomberg'!H320="","",'Port Bloomberg'!H320)</f>
        <v>Engineering&amp;Construction</v>
      </c>
      <c r="I320" s="7" t="str">
        <f>IF('Port Bloomberg'!I320="","",'Port Bloomberg'!I320)</f>
        <v>IND</v>
      </c>
      <c r="J320" s="7" t="str">
        <f>IF('Port Bloomberg'!J320="","",'Port Bloomberg'!J320)</f>
        <v>Airport Develop/Maint</v>
      </c>
      <c r="K320" s="7" t="str">
        <f>IF('Port Bloomberg'!K320="","",'Port Bloomberg'!K320)</f>
        <v>LU</v>
      </c>
      <c r="L320" s="7" t="str">
        <f>IF('Port Bloomberg'!L320="","",'Port Bloomberg'!L320)</f>
        <v>BR</v>
      </c>
      <c r="M320" s="7" t="str">
        <f>IF('Port Bloomberg'!M320="","",'Port Bloomberg'!M320)</f>
        <v>USD</v>
      </c>
      <c r="N320" s="7">
        <f>IF('Port Bloomberg'!N320="","",'Port Bloomberg'!N320)</f>
        <v>400000</v>
      </c>
      <c r="O320" s="7" t="str">
        <f>IF('Port Bloomberg'!O320="","",'Port Bloomberg'!O320)</f>
        <v>SINGLE</v>
      </c>
      <c r="P320" s="7">
        <f>IF('Port Bloomberg'!P320="","",'Port Bloomberg'!P320)</f>
        <v>13</v>
      </c>
      <c r="Q320" s="7" t="str">
        <f>IF('Port Bloomberg'!Q320="","",'Port Bloomberg'!Q320)</f>
        <v>B-</v>
      </c>
      <c r="R320" s="7" t="str">
        <f>IF('Port Bloomberg'!R320="","",'Port Bloomberg'!R320)</f>
        <v>07/22/2029</v>
      </c>
      <c r="S320" s="5">
        <f>IF(E320="","",IFERROR(IF(MATCH(E320,[1]Instrumentos!$D:$D,0)&gt;0,1,0),0))</f>
        <v>0</v>
      </c>
      <c r="T320" s="5">
        <f>IF(E320="","",IFERROR(IF(MATCH(E320,'Lista de excepciones'!$E:$E,0)&gt;0,1,0),0))</f>
        <v>1</v>
      </c>
      <c r="U320" s="6" t="str">
        <f t="shared" si="5"/>
        <v>NO</v>
      </c>
    </row>
    <row r="321" spans="1:21" hidden="1" x14ac:dyDescent="0.25">
      <c r="A321" s="7" t="str">
        <f>IF('Port Bloomberg'!A321="","",'Port Bloomberg'!A321)</f>
        <v>ORBIA 2 ⅞ 05/11/31</v>
      </c>
      <c r="B321" s="7" t="str">
        <f>IF('Port Bloomberg'!B321="","",'Port Bloomberg'!B321)</f>
        <v>Orbia Advance Corp SAB de CV</v>
      </c>
      <c r="C321" s="7" t="str">
        <f>IF('Port Bloomberg'!C321="","",'Port Bloomberg'!C321)</f>
        <v>ORBIA ADVANCE</v>
      </c>
      <c r="D321" s="7" t="str">
        <f>IF('Port Bloomberg'!D321="","",'Port Bloomberg'!D321)</f>
        <v>ORBIA ADVANCE CORP SAB</v>
      </c>
      <c r="E321" s="7" t="str">
        <f>IF('Port Bloomberg'!E321="","",'Port Bloomberg'!E321)</f>
        <v>USP7S81YAC93</v>
      </c>
      <c r="F321" s="7" t="str">
        <f>IF('Port Bloomberg'!F321="","",'Port Bloomberg'!F321)</f>
        <v>ORBIA</v>
      </c>
      <c r="G321" s="7" t="str">
        <f>IF('Port Bloomberg'!G321="","",'Port Bloomberg'!G321)</f>
        <v>ORBIA* MM</v>
      </c>
      <c r="H321" s="7" t="str">
        <f>IF('Port Bloomberg'!H321="","",'Port Bloomberg'!H321)</f>
        <v>Chemicals</v>
      </c>
      <c r="I321" s="7" t="str">
        <f>IF('Port Bloomberg'!I321="","",'Port Bloomberg'!I321)</f>
        <v>IND</v>
      </c>
      <c r="J321" s="7" t="str">
        <f>IF('Port Bloomberg'!J321="","",'Port Bloomberg'!J321)</f>
        <v>Chemicals-Plastics</v>
      </c>
      <c r="K321" s="7" t="str">
        <f>IF('Port Bloomberg'!K321="","",'Port Bloomberg'!K321)</f>
        <v>MX</v>
      </c>
      <c r="L321" s="7" t="str">
        <f>IF('Port Bloomberg'!L321="","",'Port Bloomberg'!L321)</f>
        <v>MX</v>
      </c>
      <c r="M321" s="7" t="str">
        <f>IF('Port Bloomberg'!M321="","",'Port Bloomberg'!M321)</f>
        <v>USD</v>
      </c>
      <c r="N321" s="7">
        <f>IF('Port Bloomberg'!N321="","",'Port Bloomberg'!N321)</f>
        <v>500000</v>
      </c>
      <c r="O321" s="7" t="str">
        <f>IF('Port Bloomberg'!O321="","",'Port Bloomberg'!O321)</f>
        <v>SINGLE</v>
      </c>
      <c r="P321" s="7">
        <f>IF('Port Bloomberg'!P321="","",'Port Bloomberg'!P321)</f>
        <v>2.875</v>
      </c>
      <c r="Q321" s="7" t="str">
        <f>IF('Port Bloomberg'!Q321="","",'Port Bloomberg'!Q321)</f>
        <v>BB+</v>
      </c>
      <c r="R321" s="7" t="str">
        <f>IF('Port Bloomberg'!R321="","",'Port Bloomberg'!R321)</f>
        <v>05/11/2031</v>
      </c>
      <c r="S321" s="5">
        <f>IF(E321="","",IFERROR(IF(MATCH(E321,[1]Instrumentos!$D:$D,0)&gt;0,1,0),0))</f>
        <v>1</v>
      </c>
      <c r="T321" s="5">
        <f>IF(E321="","",IFERROR(IF(MATCH(E321,'Lista de excepciones'!$E:$E,0)&gt;0,1,0),0))</f>
        <v>0</v>
      </c>
      <c r="U321" s="6" t="str">
        <f t="shared" si="5"/>
        <v>NO</v>
      </c>
    </row>
    <row r="322" spans="1:21" hidden="1" x14ac:dyDescent="0.25">
      <c r="A322" s="7" t="str">
        <f>IF('Port Bloomberg'!A322="","",'Port Bloomberg'!A322)</f>
        <v>ORBIA 5 ½ 01/15/48</v>
      </c>
      <c r="B322" s="7" t="str">
        <f>IF('Port Bloomberg'!B322="","",'Port Bloomberg'!B322)</f>
        <v>Orbia Advance Corp SAB de CV</v>
      </c>
      <c r="C322" s="7" t="str">
        <f>IF('Port Bloomberg'!C322="","",'Port Bloomberg'!C322)</f>
        <v>MEXICHEM SAB</v>
      </c>
      <c r="D322" s="7" t="str">
        <f>IF('Port Bloomberg'!D322="","",'Port Bloomberg'!D322)</f>
        <v>ORBIA ADVANCE CORP SAB</v>
      </c>
      <c r="E322" s="7" t="str">
        <f>IF('Port Bloomberg'!E322="","",'Port Bloomberg'!E322)</f>
        <v>USP57908AH15</v>
      </c>
      <c r="F322" s="7" t="str">
        <f>IF('Port Bloomberg'!F322="","",'Port Bloomberg'!F322)</f>
        <v>ORBIA</v>
      </c>
      <c r="G322" s="7" t="str">
        <f>IF('Port Bloomberg'!G322="","",'Port Bloomberg'!G322)</f>
        <v>ORBIA* MM</v>
      </c>
      <c r="H322" s="7" t="str">
        <f>IF('Port Bloomberg'!H322="","",'Port Bloomberg'!H322)</f>
        <v>Chemicals</v>
      </c>
      <c r="I322" s="7" t="str">
        <f>IF('Port Bloomberg'!I322="","",'Port Bloomberg'!I322)</f>
        <v>IND</v>
      </c>
      <c r="J322" s="7" t="str">
        <f>IF('Port Bloomberg'!J322="","",'Port Bloomberg'!J322)</f>
        <v>Chemicals-Plastics</v>
      </c>
      <c r="K322" s="7" t="str">
        <f>IF('Port Bloomberg'!K322="","",'Port Bloomberg'!K322)</f>
        <v>MX</v>
      </c>
      <c r="L322" s="7" t="str">
        <f>IF('Port Bloomberg'!L322="","",'Port Bloomberg'!L322)</f>
        <v>MX</v>
      </c>
      <c r="M322" s="7" t="str">
        <f>IF('Port Bloomberg'!M322="","",'Port Bloomberg'!M322)</f>
        <v>USD</v>
      </c>
      <c r="N322" s="7">
        <f>IF('Port Bloomberg'!N322="","",'Port Bloomberg'!N322)</f>
        <v>500000</v>
      </c>
      <c r="O322" s="7" t="str">
        <f>IF('Port Bloomberg'!O322="","",'Port Bloomberg'!O322)</f>
        <v>SINGLE</v>
      </c>
      <c r="P322" s="7">
        <f>IF('Port Bloomberg'!P322="","",'Port Bloomberg'!P322)</f>
        <v>5.5</v>
      </c>
      <c r="Q322" s="7" t="str">
        <f>IF('Port Bloomberg'!Q322="","",'Port Bloomberg'!Q322)</f>
        <v>BB+</v>
      </c>
      <c r="R322" s="7" t="str">
        <f>IF('Port Bloomberg'!R322="","",'Port Bloomberg'!R322)</f>
        <v>01/15/2048</v>
      </c>
      <c r="S322" s="5">
        <f>IF(E322="","",IFERROR(IF(MATCH(E322,[1]Instrumentos!$D:$D,0)&gt;0,1,0),0))</f>
        <v>1</v>
      </c>
      <c r="T322" s="5">
        <f>IF(E322="","",IFERROR(IF(MATCH(E322,'Lista de excepciones'!$E:$E,0)&gt;0,1,0),0))</f>
        <v>0</v>
      </c>
      <c r="U322" s="6" t="str">
        <f t="shared" si="5"/>
        <v>NO</v>
      </c>
    </row>
    <row r="323" spans="1:21" hidden="1" x14ac:dyDescent="0.25">
      <c r="A323" s="7" t="str">
        <f>IF('Port Bloomberg'!A323="","",'Port Bloomberg'!A323)</f>
        <v>ORBIA 5 ⅞ 09/17/44</v>
      </c>
      <c r="B323" s="7" t="str">
        <f>IF('Port Bloomberg'!B323="","",'Port Bloomberg'!B323)</f>
        <v>Orbia Advance Corp SAB de CV</v>
      </c>
      <c r="C323" s="7" t="str">
        <f>IF('Port Bloomberg'!C323="","",'Port Bloomberg'!C323)</f>
        <v>MEXICHEM SAB</v>
      </c>
      <c r="D323" s="7" t="str">
        <f>IF('Port Bloomberg'!D323="","",'Port Bloomberg'!D323)</f>
        <v>ORBIA ADVANCE CORP SAB</v>
      </c>
      <c r="E323" s="7" t="str">
        <f>IF('Port Bloomberg'!E323="","",'Port Bloomberg'!E323)</f>
        <v>USP57908AF58</v>
      </c>
      <c r="F323" s="7" t="str">
        <f>IF('Port Bloomberg'!F323="","",'Port Bloomberg'!F323)</f>
        <v>ORBIA</v>
      </c>
      <c r="G323" s="7" t="str">
        <f>IF('Port Bloomberg'!G323="","",'Port Bloomberg'!G323)</f>
        <v>ORBIA* MM</v>
      </c>
      <c r="H323" s="7" t="str">
        <f>IF('Port Bloomberg'!H323="","",'Port Bloomberg'!H323)</f>
        <v>Chemicals</v>
      </c>
      <c r="I323" s="7" t="str">
        <f>IF('Port Bloomberg'!I323="","",'Port Bloomberg'!I323)</f>
        <v>IND</v>
      </c>
      <c r="J323" s="7" t="str">
        <f>IF('Port Bloomberg'!J323="","",'Port Bloomberg'!J323)</f>
        <v>Chemicals-Plastics</v>
      </c>
      <c r="K323" s="7" t="str">
        <f>IF('Port Bloomberg'!K323="","",'Port Bloomberg'!K323)</f>
        <v>MX</v>
      </c>
      <c r="L323" s="7" t="str">
        <f>IF('Port Bloomberg'!L323="","",'Port Bloomberg'!L323)</f>
        <v>MX</v>
      </c>
      <c r="M323" s="7" t="str">
        <f>IF('Port Bloomberg'!M323="","",'Port Bloomberg'!M323)</f>
        <v>USD</v>
      </c>
      <c r="N323" s="7">
        <f>IF('Port Bloomberg'!N323="","",'Port Bloomberg'!N323)</f>
        <v>750000</v>
      </c>
      <c r="O323" s="7" t="str">
        <f>IF('Port Bloomberg'!O323="","",'Port Bloomberg'!O323)</f>
        <v>SINGLE</v>
      </c>
      <c r="P323" s="7">
        <f>IF('Port Bloomberg'!P323="","",'Port Bloomberg'!P323)</f>
        <v>5.875</v>
      </c>
      <c r="Q323" s="7" t="str">
        <f>IF('Port Bloomberg'!Q323="","",'Port Bloomberg'!Q323)</f>
        <v>BB+</v>
      </c>
      <c r="R323" s="7" t="str">
        <f>IF('Port Bloomberg'!R323="","",'Port Bloomberg'!R323)</f>
        <v>09/17/2044</v>
      </c>
      <c r="S323" s="5">
        <f>IF(E323="","",IFERROR(IF(MATCH(E323,[1]Instrumentos!$D:$D,0)&gt;0,1,0),0))</f>
        <v>1</v>
      </c>
      <c r="T323" s="5">
        <f>IF(E323="","",IFERROR(IF(MATCH(E323,'Lista de excepciones'!$E:$E,0)&gt;0,1,0),0))</f>
        <v>0</v>
      </c>
      <c r="U323" s="6" t="str">
        <f t="shared" ref="U323:U386" si="6">IF(E323="","",IF(S323+T323=0,"AGREGAR/REVISAR","NO"))</f>
        <v>NO</v>
      </c>
    </row>
    <row r="324" spans="1:21" hidden="1" x14ac:dyDescent="0.25">
      <c r="A324" s="7" t="str">
        <f>IF('Port Bloomberg'!A324="","",'Port Bloomberg'!A324)</f>
        <v>ORBIA 6 ¾ 09/19/42</v>
      </c>
      <c r="B324" s="7" t="str">
        <f>IF('Port Bloomberg'!B324="","",'Port Bloomberg'!B324)</f>
        <v>Orbia Advance Corp SAB de CV</v>
      </c>
      <c r="C324" s="7" t="str">
        <f>IF('Port Bloomberg'!C324="","",'Port Bloomberg'!C324)</f>
        <v>MEXICHEM SAB</v>
      </c>
      <c r="D324" s="7" t="str">
        <f>IF('Port Bloomberg'!D324="","",'Port Bloomberg'!D324)</f>
        <v>ORBIA ADVANCE CORP SAB</v>
      </c>
      <c r="E324" s="7" t="str">
        <f>IF('Port Bloomberg'!E324="","",'Port Bloomberg'!E324)</f>
        <v>USP57908AE83</v>
      </c>
      <c r="F324" s="7" t="str">
        <f>IF('Port Bloomberg'!F324="","",'Port Bloomberg'!F324)</f>
        <v>ORBIA</v>
      </c>
      <c r="G324" s="7" t="str">
        <f>IF('Port Bloomberg'!G324="","",'Port Bloomberg'!G324)</f>
        <v>ORBIA* MM</v>
      </c>
      <c r="H324" s="7" t="str">
        <f>IF('Port Bloomberg'!H324="","",'Port Bloomberg'!H324)</f>
        <v>Chemicals</v>
      </c>
      <c r="I324" s="7" t="str">
        <f>IF('Port Bloomberg'!I324="","",'Port Bloomberg'!I324)</f>
        <v>IND</v>
      </c>
      <c r="J324" s="7" t="str">
        <f>IF('Port Bloomberg'!J324="","",'Port Bloomberg'!J324)</f>
        <v>Chemicals-Plastics</v>
      </c>
      <c r="K324" s="7" t="str">
        <f>IF('Port Bloomberg'!K324="","",'Port Bloomberg'!K324)</f>
        <v>MX</v>
      </c>
      <c r="L324" s="7" t="str">
        <f>IF('Port Bloomberg'!L324="","",'Port Bloomberg'!L324)</f>
        <v>MX</v>
      </c>
      <c r="M324" s="7" t="str">
        <f>IF('Port Bloomberg'!M324="","",'Port Bloomberg'!M324)</f>
        <v>USD</v>
      </c>
      <c r="N324" s="7">
        <f>IF('Port Bloomberg'!N324="","",'Port Bloomberg'!N324)</f>
        <v>400000</v>
      </c>
      <c r="O324" s="7" t="str">
        <f>IF('Port Bloomberg'!O324="","",'Port Bloomberg'!O324)</f>
        <v>SINGLE</v>
      </c>
      <c r="P324" s="7">
        <f>IF('Port Bloomberg'!P324="","",'Port Bloomberg'!P324)</f>
        <v>6.75</v>
      </c>
      <c r="Q324" s="7" t="str">
        <f>IF('Port Bloomberg'!Q324="","",'Port Bloomberg'!Q324)</f>
        <v>BB+</v>
      </c>
      <c r="R324" s="7" t="str">
        <f>IF('Port Bloomberg'!R324="","",'Port Bloomberg'!R324)</f>
        <v>09/19/2042</v>
      </c>
      <c r="S324" s="5">
        <f>IF(E324="","",IFERROR(IF(MATCH(E324,[1]Instrumentos!$D:$D,0)&gt;0,1,0),0))</f>
        <v>1</v>
      </c>
      <c r="T324" s="5">
        <f>IF(E324="","",IFERROR(IF(MATCH(E324,'Lista de excepciones'!$E:$E,0)&gt;0,1,0),0))</f>
        <v>0</v>
      </c>
      <c r="U324" s="6" t="str">
        <f t="shared" si="6"/>
        <v>NO</v>
      </c>
    </row>
    <row r="325" spans="1:21" hidden="1" x14ac:dyDescent="0.25">
      <c r="A325" s="7" t="str">
        <f>IF('Port Bloomberg'!A325="","",'Port Bloomberg'!A325)</f>
        <v>ORBIA 6.8 05/13/30</v>
      </c>
      <c r="B325" s="7" t="str">
        <f>IF('Port Bloomberg'!B325="","",'Port Bloomberg'!B325)</f>
        <v>Orbia Advance Corp SAB de CV</v>
      </c>
      <c r="C325" s="7" t="str">
        <f>IF('Port Bloomberg'!C325="","",'Port Bloomberg'!C325)</f>
        <v>ORBIA ADVANCE</v>
      </c>
      <c r="D325" s="7" t="str">
        <f>IF('Port Bloomberg'!D325="","",'Port Bloomberg'!D325)</f>
        <v>ORBIA ADVANCE CORP SAB</v>
      </c>
      <c r="E325" s="7" t="str">
        <f>IF('Port Bloomberg'!E325="","",'Port Bloomberg'!E325)</f>
        <v>USP7S81YBJ38</v>
      </c>
      <c r="F325" s="7" t="str">
        <f>IF('Port Bloomberg'!F325="","",'Port Bloomberg'!F325)</f>
        <v>ORBIA</v>
      </c>
      <c r="G325" s="7" t="str">
        <f>IF('Port Bloomberg'!G325="","",'Port Bloomberg'!G325)</f>
        <v>ORBIA* MM</v>
      </c>
      <c r="H325" s="7" t="str">
        <f>IF('Port Bloomberg'!H325="","",'Port Bloomberg'!H325)</f>
        <v>Chemicals</v>
      </c>
      <c r="I325" s="7" t="str">
        <f>IF('Port Bloomberg'!I325="","",'Port Bloomberg'!I325)</f>
        <v>IND</v>
      </c>
      <c r="J325" s="7" t="str">
        <f>IF('Port Bloomberg'!J325="","",'Port Bloomberg'!J325)</f>
        <v>Chemicals-Plastics</v>
      </c>
      <c r="K325" s="7" t="str">
        <f>IF('Port Bloomberg'!K325="","",'Port Bloomberg'!K325)</f>
        <v>MX</v>
      </c>
      <c r="L325" s="7" t="str">
        <f>IF('Port Bloomberg'!L325="","",'Port Bloomberg'!L325)</f>
        <v>MX</v>
      </c>
      <c r="M325" s="7" t="str">
        <f>IF('Port Bloomberg'!M325="","",'Port Bloomberg'!M325)</f>
        <v>USD</v>
      </c>
      <c r="N325" s="7">
        <f>IF('Port Bloomberg'!N325="","",'Port Bloomberg'!N325)</f>
        <v>650000</v>
      </c>
      <c r="O325" s="7" t="str">
        <f>IF('Port Bloomberg'!O325="","",'Port Bloomberg'!O325)</f>
        <v>SINGLE</v>
      </c>
      <c r="P325" s="7">
        <f>IF('Port Bloomberg'!P325="","",'Port Bloomberg'!P325)</f>
        <v>6.8</v>
      </c>
      <c r="Q325" s="7" t="str">
        <f>IF('Port Bloomberg'!Q325="","",'Port Bloomberg'!Q325)</f>
        <v>BB+</v>
      </c>
      <c r="R325" s="7" t="str">
        <f>IF('Port Bloomberg'!R325="","",'Port Bloomberg'!R325)</f>
        <v>05/13/2030</v>
      </c>
      <c r="S325" s="5">
        <f>IF(E325="","",IFERROR(IF(MATCH(E325,[1]Instrumentos!$D:$D,0)&gt;0,1,0),0))</f>
        <v>1</v>
      </c>
      <c r="T325" s="5">
        <f>IF(E325="","",IFERROR(IF(MATCH(E325,'Lista de excepciones'!$E:$E,0)&gt;0,1,0),0))</f>
        <v>0</v>
      </c>
      <c r="U325" s="6" t="str">
        <f t="shared" si="6"/>
        <v>NO</v>
      </c>
    </row>
    <row r="326" spans="1:21" hidden="1" x14ac:dyDescent="0.25">
      <c r="A326" s="7" t="str">
        <f>IF('Port Bloomberg'!A326="","",'Port Bloomberg'!A326)</f>
        <v>ORBIA 7 ½ 05/13/35</v>
      </c>
      <c r="B326" s="7" t="str">
        <f>IF('Port Bloomberg'!B326="","",'Port Bloomberg'!B326)</f>
        <v>Orbia Advance Corp SAB de CV</v>
      </c>
      <c r="C326" s="7" t="str">
        <f>IF('Port Bloomberg'!C326="","",'Port Bloomberg'!C326)</f>
        <v>ORBIA ADVANCE</v>
      </c>
      <c r="D326" s="7" t="str">
        <f>IF('Port Bloomberg'!D326="","",'Port Bloomberg'!D326)</f>
        <v>ORBIA ADVANCE CORP SAB</v>
      </c>
      <c r="E326" s="7" t="str">
        <f>IF('Port Bloomberg'!E326="","",'Port Bloomberg'!E326)</f>
        <v>USP7S81YBK01</v>
      </c>
      <c r="F326" s="7" t="str">
        <f>IF('Port Bloomberg'!F326="","",'Port Bloomberg'!F326)</f>
        <v>ORBIA</v>
      </c>
      <c r="G326" s="7" t="str">
        <f>IF('Port Bloomberg'!G326="","",'Port Bloomberg'!G326)</f>
        <v>ORBIA* MM</v>
      </c>
      <c r="H326" s="7" t="str">
        <f>IF('Port Bloomberg'!H326="","",'Port Bloomberg'!H326)</f>
        <v>Chemicals</v>
      </c>
      <c r="I326" s="7" t="str">
        <f>IF('Port Bloomberg'!I326="","",'Port Bloomberg'!I326)</f>
        <v>IND</v>
      </c>
      <c r="J326" s="7" t="str">
        <f>IF('Port Bloomberg'!J326="","",'Port Bloomberg'!J326)</f>
        <v>Chemicals-Plastics</v>
      </c>
      <c r="K326" s="7" t="str">
        <f>IF('Port Bloomberg'!K326="","",'Port Bloomberg'!K326)</f>
        <v>MX</v>
      </c>
      <c r="L326" s="7" t="str">
        <f>IF('Port Bloomberg'!L326="","",'Port Bloomberg'!L326)</f>
        <v>MX</v>
      </c>
      <c r="M326" s="7" t="str">
        <f>IF('Port Bloomberg'!M326="","",'Port Bloomberg'!M326)</f>
        <v>USD</v>
      </c>
      <c r="N326" s="7">
        <f>IF('Port Bloomberg'!N326="","",'Port Bloomberg'!N326)</f>
        <v>450000</v>
      </c>
      <c r="O326" s="7" t="str">
        <f>IF('Port Bloomberg'!O326="","",'Port Bloomberg'!O326)</f>
        <v>SINGLE</v>
      </c>
      <c r="P326" s="7">
        <f>IF('Port Bloomberg'!P326="","",'Port Bloomberg'!P326)</f>
        <v>7.5</v>
      </c>
      <c r="Q326" s="7" t="str">
        <f>IF('Port Bloomberg'!Q326="","",'Port Bloomberg'!Q326)</f>
        <v>BB+</v>
      </c>
      <c r="R326" s="7" t="str">
        <f>IF('Port Bloomberg'!R326="","",'Port Bloomberg'!R326)</f>
        <v>05/13/2035</v>
      </c>
      <c r="S326" s="5">
        <f>IF(E326="","",IFERROR(IF(MATCH(E326,[1]Instrumentos!$D:$D,0)&gt;0,1,0),0))</f>
        <v>1</v>
      </c>
      <c r="T326" s="5">
        <f>IF(E326="","",IFERROR(IF(MATCH(E326,'Lista de excepciones'!$E:$E,0)&gt;0,1,0),0))</f>
        <v>0</v>
      </c>
      <c r="U326" s="6" t="str">
        <f t="shared" si="6"/>
        <v>NO</v>
      </c>
    </row>
    <row r="327" spans="1:21" hidden="1" x14ac:dyDescent="0.25">
      <c r="A327" s="7" t="str">
        <f>IF('Port Bloomberg'!A327="","",'Port Bloomberg'!A327)</f>
        <v>ORSAPE 6 ¼ 09/17/32</v>
      </c>
      <c r="B327" s="7" t="str">
        <f>IF('Port Bloomberg'!B327="","",'Port Bloomberg'!B327)</f>
        <v>Orazul Energy Peru SA</v>
      </c>
      <c r="C327" s="7" t="str">
        <f>IF('Port Bloomberg'!C327="","",'Port Bloomberg'!C327)</f>
        <v>ORAZUL ENERGY</v>
      </c>
      <c r="D327" s="7" t="str">
        <f>IF('Port Bloomberg'!D327="","",'Port Bloomberg'!D327)</f>
        <v>ORAZUL ENERGY PERU SA</v>
      </c>
      <c r="E327" s="7" t="str">
        <f>IF('Port Bloomberg'!E327="","",'Port Bloomberg'!E327)</f>
        <v>USP73906AA03</v>
      </c>
      <c r="F327" s="7" t="str">
        <f>IF('Port Bloomberg'!F327="","",'Port Bloomberg'!F327)</f>
        <v>ORSAPE</v>
      </c>
      <c r="G327" s="7" t="str">
        <f>IF('Port Bloomberg'!G327="","",'Port Bloomberg'!G327)</f>
        <v>1929519D LN</v>
      </c>
      <c r="H327" s="7" t="str">
        <f>IF('Port Bloomberg'!H327="","",'Port Bloomberg'!H327)</f>
        <v>Electric</v>
      </c>
      <c r="I327" s="7" t="str">
        <f>IF('Port Bloomberg'!I327="","",'Port Bloomberg'!I327)</f>
        <v>UTL</v>
      </c>
      <c r="J327" s="7" t="str">
        <f>IF('Port Bloomberg'!J327="","",'Port Bloomberg'!J327)</f>
        <v>Electric-Generation</v>
      </c>
      <c r="K327" s="7" t="str">
        <f>IF('Port Bloomberg'!K327="","",'Port Bloomberg'!K327)</f>
        <v>PE</v>
      </c>
      <c r="L327" s="7" t="str">
        <f>IF('Port Bloomberg'!L327="","",'Port Bloomberg'!L327)</f>
        <v>PE</v>
      </c>
      <c r="M327" s="7" t="str">
        <f>IF('Port Bloomberg'!M327="","",'Port Bloomberg'!M327)</f>
        <v>USD</v>
      </c>
      <c r="N327" s="7">
        <f>IF('Port Bloomberg'!N327="","",'Port Bloomberg'!N327)</f>
        <v>380000</v>
      </c>
      <c r="O327" s="7" t="str">
        <f>IF('Port Bloomberg'!O327="","",'Port Bloomberg'!O327)</f>
        <v>SINGLE</v>
      </c>
      <c r="P327" s="7">
        <f>IF('Port Bloomberg'!P327="","",'Port Bloomberg'!P327)</f>
        <v>6.25</v>
      </c>
      <c r="Q327" s="7" t="str">
        <f>IF('Port Bloomberg'!Q327="","",'Port Bloomberg'!Q327)</f>
        <v>BB</v>
      </c>
      <c r="R327" s="7" t="str">
        <f>IF('Port Bloomberg'!R327="","",'Port Bloomberg'!R327)</f>
        <v>09/17/2032</v>
      </c>
      <c r="S327" s="5">
        <f>IF(E327="","",IFERROR(IF(MATCH(E327,[1]Instrumentos!$D:$D,0)&gt;0,1,0),0))</f>
        <v>1</v>
      </c>
      <c r="T327" s="5">
        <f>IF(E327="","",IFERROR(IF(MATCH(E327,'Lista de excepciones'!$E:$E,0)&gt;0,1,0),0))</f>
        <v>0</v>
      </c>
      <c r="U327" s="6" t="str">
        <f t="shared" si="6"/>
        <v>NO</v>
      </c>
    </row>
    <row r="328" spans="1:21" hidden="1" x14ac:dyDescent="0.25">
      <c r="A328" s="7" t="str">
        <f>IF('Port Bloomberg'!A328="","",'Port Bloomberg'!A328)</f>
        <v>PEMEX 10 02/07/33</v>
      </c>
      <c r="B328" s="7" t="str">
        <f>IF('Port Bloomberg'!B328="","",'Port Bloomberg'!B328)</f>
        <v>Petroleos Mexicanos</v>
      </c>
      <c r="C328" s="7" t="str">
        <f>IF('Port Bloomberg'!C328="","",'Port Bloomberg'!C328)</f>
        <v>PETROLEOS MEXICA</v>
      </c>
      <c r="D328" s="7" t="str">
        <f>IF('Port Bloomberg'!D328="","",'Port Bloomberg'!D328)</f>
        <v>PETROLEOS MEXICANOS</v>
      </c>
      <c r="E328" s="7" t="str">
        <f>IF('Port Bloomberg'!E328="","",'Port Bloomberg'!E328)</f>
        <v>US71654QDP46</v>
      </c>
      <c r="F328" s="7" t="str">
        <f>IF('Port Bloomberg'!F328="","",'Port Bloomberg'!F328)</f>
        <v>PEMEX</v>
      </c>
      <c r="G328" s="7" t="str">
        <f>IF('Port Bloomberg'!G328="","",'Port Bloomberg'!G328)</f>
        <v>1232Z MM</v>
      </c>
      <c r="H328" s="7" t="str">
        <f>IF('Port Bloomberg'!H328="","",'Port Bloomberg'!H328)</f>
        <v>Oil&amp;Gas</v>
      </c>
      <c r="I328" s="7" t="str">
        <f>IF('Port Bloomberg'!I328="","",'Port Bloomberg'!I328)</f>
        <v>FOA</v>
      </c>
      <c r="J328" s="7" t="str">
        <f>IF('Port Bloomberg'!J328="","",'Port Bloomberg'!J328)</f>
        <v>Oil Comp-Integrated</v>
      </c>
      <c r="K328" s="7" t="str">
        <f>IF('Port Bloomberg'!K328="","",'Port Bloomberg'!K328)</f>
        <v>MX</v>
      </c>
      <c r="L328" s="7" t="str">
        <f>IF('Port Bloomberg'!L328="","",'Port Bloomberg'!L328)</f>
        <v>MX</v>
      </c>
      <c r="M328" s="7" t="str">
        <f>IF('Port Bloomberg'!M328="","",'Port Bloomberg'!M328)</f>
        <v>USD</v>
      </c>
      <c r="N328" s="7">
        <f>IF('Port Bloomberg'!N328="","",'Port Bloomberg'!N328)</f>
        <v>1972663</v>
      </c>
      <c r="O328" s="7" t="str">
        <f>IF('Port Bloomberg'!O328="","",'Port Bloomberg'!O328)</f>
        <v>SINGLE</v>
      </c>
      <c r="P328" s="7">
        <f>IF('Port Bloomberg'!P328="","",'Port Bloomberg'!P328)</f>
        <v>10</v>
      </c>
      <c r="Q328" s="7" t="str">
        <f>IF('Port Bloomberg'!Q328="","",'Port Bloomberg'!Q328)</f>
        <v>BB</v>
      </c>
      <c r="R328" s="7" t="str">
        <f>IF('Port Bloomberg'!R328="","",'Port Bloomberg'!R328)</f>
        <v>02/07/2033</v>
      </c>
      <c r="S328" s="5">
        <f>IF(E328="","",IFERROR(IF(MATCH(E328,[1]Instrumentos!$D:$D,0)&gt;0,1,0),0))</f>
        <v>1</v>
      </c>
      <c r="T328" s="5">
        <f>IF(E328="","",IFERROR(IF(MATCH(E328,'Lista de excepciones'!$E:$E,0)&gt;0,1,0),0))</f>
        <v>0</v>
      </c>
      <c r="U328" s="6" t="str">
        <f t="shared" si="6"/>
        <v>NO</v>
      </c>
    </row>
    <row r="329" spans="1:21" hidden="1" x14ac:dyDescent="0.25">
      <c r="A329" s="7" t="str">
        <f>IF('Port Bloomberg'!A329="","",'Port Bloomberg'!A329)</f>
        <v>PEMEX 10 02/07/33</v>
      </c>
      <c r="B329" s="7" t="str">
        <f>IF('Port Bloomberg'!B329="","",'Port Bloomberg'!B329)</f>
        <v>Petroleos Mexicanos</v>
      </c>
      <c r="C329" s="7" t="str">
        <f>IF('Port Bloomberg'!C329="","",'Port Bloomberg'!C329)</f>
        <v>PETROLEOS MEXICA</v>
      </c>
      <c r="D329" s="7" t="str">
        <f>IF('Port Bloomberg'!D329="","",'Port Bloomberg'!D329)</f>
        <v>PETROLEOS MEXICANOS</v>
      </c>
      <c r="E329" s="7" t="str">
        <f>IF('Port Bloomberg'!E329="","",'Port Bloomberg'!E329)</f>
        <v>USP78625ED13</v>
      </c>
      <c r="F329" s="7" t="str">
        <f>IF('Port Bloomberg'!F329="","",'Port Bloomberg'!F329)</f>
        <v>PEMEX</v>
      </c>
      <c r="G329" s="7" t="str">
        <f>IF('Port Bloomberg'!G329="","",'Port Bloomberg'!G329)</f>
        <v>1232Z MM</v>
      </c>
      <c r="H329" s="7" t="str">
        <f>IF('Port Bloomberg'!H329="","",'Port Bloomberg'!H329)</f>
        <v>Oil&amp;Gas</v>
      </c>
      <c r="I329" s="7" t="str">
        <f>IF('Port Bloomberg'!I329="","",'Port Bloomberg'!I329)</f>
        <v>FOA</v>
      </c>
      <c r="J329" s="7" t="str">
        <f>IF('Port Bloomberg'!J329="","",'Port Bloomberg'!J329)</f>
        <v>Oil Comp-Integrated</v>
      </c>
      <c r="K329" s="7" t="str">
        <f>IF('Port Bloomberg'!K329="","",'Port Bloomberg'!K329)</f>
        <v>MX</v>
      </c>
      <c r="L329" s="7" t="str">
        <f>IF('Port Bloomberg'!L329="","",'Port Bloomberg'!L329)</f>
        <v>MX</v>
      </c>
      <c r="M329" s="7" t="str">
        <f>IF('Port Bloomberg'!M329="","",'Port Bloomberg'!M329)</f>
        <v>USD</v>
      </c>
      <c r="N329" s="7">
        <f>IF('Port Bloomberg'!N329="","",'Port Bloomberg'!N329)</f>
        <v>2000000</v>
      </c>
      <c r="O329" s="7" t="str">
        <f>IF('Port Bloomberg'!O329="","",'Port Bloomberg'!O329)</f>
        <v>SINGLE</v>
      </c>
      <c r="P329" s="7">
        <f>IF('Port Bloomberg'!P329="","",'Port Bloomberg'!P329)</f>
        <v>10</v>
      </c>
      <c r="Q329" s="7" t="str">
        <f>IF('Port Bloomberg'!Q329="","",'Port Bloomberg'!Q329)</f>
        <v>BB</v>
      </c>
      <c r="R329" s="7" t="str">
        <f>IF('Port Bloomberg'!R329="","",'Port Bloomberg'!R329)</f>
        <v>02/07/2033</v>
      </c>
      <c r="S329" s="5">
        <f>IF(E329="","",IFERROR(IF(MATCH(E329,[1]Instrumentos!$D:$D,0)&gt;0,1,0),0))</f>
        <v>1</v>
      </c>
      <c r="T329" s="5">
        <f>IF(E329="","",IFERROR(IF(MATCH(E329,'Lista de excepciones'!$E:$E,0)&gt;0,1,0),0))</f>
        <v>0</v>
      </c>
      <c r="U329" s="6" t="str">
        <f t="shared" si="6"/>
        <v>NO</v>
      </c>
    </row>
    <row r="330" spans="1:21" hidden="1" x14ac:dyDescent="0.25">
      <c r="A330" s="7" t="str">
        <f>IF('Port Bloomberg'!A330="","",'Port Bloomberg'!A330)</f>
        <v>PEMEX 5 ½ 06/27/44</v>
      </c>
      <c r="B330" s="7" t="str">
        <f>IF('Port Bloomberg'!B330="","",'Port Bloomberg'!B330)</f>
        <v>Petroleos Mexicanos</v>
      </c>
      <c r="C330" s="7" t="str">
        <f>IF('Port Bloomberg'!C330="","",'Port Bloomberg'!C330)</f>
        <v>PETROLEOS MEXICA</v>
      </c>
      <c r="D330" s="7" t="str">
        <f>IF('Port Bloomberg'!D330="","",'Port Bloomberg'!D330)</f>
        <v>PETROLEOS MEXICANOS</v>
      </c>
      <c r="E330" s="7" t="str">
        <f>IF('Port Bloomberg'!E330="","",'Port Bloomberg'!E330)</f>
        <v>US71654QBE17</v>
      </c>
      <c r="F330" s="7" t="str">
        <f>IF('Port Bloomberg'!F330="","",'Port Bloomberg'!F330)</f>
        <v>PEMEX</v>
      </c>
      <c r="G330" s="7" t="str">
        <f>IF('Port Bloomberg'!G330="","",'Port Bloomberg'!G330)</f>
        <v>1232Z MM</v>
      </c>
      <c r="H330" s="7" t="str">
        <f>IF('Port Bloomberg'!H330="","",'Port Bloomberg'!H330)</f>
        <v>Oil&amp;Gas</v>
      </c>
      <c r="I330" s="7" t="str">
        <f>IF('Port Bloomberg'!I330="","",'Port Bloomberg'!I330)</f>
        <v>FOA</v>
      </c>
      <c r="J330" s="7" t="str">
        <f>IF('Port Bloomberg'!J330="","",'Port Bloomberg'!J330)</f>
        <v>Oil Comp-Integrated</v>
      </c>
      <c r="K330" s="7" t="str">
        <f>IF('Port Bloomberg'!K330="","",'Port Bloomberg'!K330)</f>
        <v>MX</v>
      </c>
      <c r="L330" s="7" t="str">
        <f>IF('Port Bloomberg'!L330="","",'Port Bloomberg'!L330)</f>
        <v>MX</v>
      </c>
      <c r="M330" s="7" t="str">
        <f>IF('Port Bloomberg'!M330="","",'Port Bloomberg'!M330)</f>
        <v>USD</v>
      </c>
      <c r="N330" s="7">
        <f>IF('Port Bloomberg'!N330="","",'Port Bloomberg'!N330)</f>
        <v>4244855</v>
      </c>
      <c r="O330" s="7" t="str">
        <f>IF('Port Bloomberg'!O330="","",'Port Bloomberg'!O330)</f>
        <v>SINGLE</v>
      </c>
      <c r="P330" s="7">
        <f>IF('Port Bloomberg'!P330="","",'Port Bloomberg'!P330)</f>
        <v>5.5</v>
      </c>
      <c r="Q330" s="7" t="str">
        <f>IF('Port Bloomberg'!Q330="","",'Port Bloomberg'!Q330)</f>
        <v>BB</v>
      </c>
      <c r="R330" s="7" t="str">
        <f>IF('Port Bloomberg'!R330="","",'Port Bloomberg'!R330)</f>
        <v>06/27/2044</v>
      </c>
      <c r="S330" s="5">
        <f>IF(E330="","",IFERROR(IF(MATCH(E330,[1]Instrumentos!$D:$D,0)&gt;0,1,0),0))</f>
        <v>1</v>
      </c>
      <c r="T330" s="5">
        <f>IF(E330="","",IFERROR(IF(MATCH(E330,'Lista de excepciones'!$E:$E,0)&gt;0,1,0),0))</f>
        <v>0</v>
      </c>
      <c r="U330" s="6" t="str">
        <f t="shared" si="6"/>
        <v>NO</v>
      </c>
    </row>
    <row r="331" spans="1:21" hidden="1" x14ac:dyDescent="0.25">
      <c r="A331" s="7" t="str">
        <f>IF('Port Bloomberg'!A331="","",'Port Bloomberg'!A331)</f>
        <v>PEMEX 5 ⅝ 01/23/46</v>
      </c>
      <c r="B331" s="7" t="str">
        <f>IF('Port Bloomberg'!B331="","",'Port Bloomberg'!B331)</f>
        <v>Petroleos Mexicanos</v>
      </c>
      <c r="C331" s="7" t="str">
        <f>IF('Port Bloomberg'!C331="","",'Port Bloomberg'!C331)</f>
        <v>PETROLEOS MEXICA</v>
      </c>
      <c r="D331" s="7" t="str">
        <f>IF('Port Bloomberg'!D331="","",'Port Bloomberg'!D331)</f>
        <v>PETROLEOS MEXICANOS</v>
      </c>
      <c r="E331" s="7" t="str">
        <f>IF('Port Bloomberg'!E331="","",'Port Bloomberg'!E331)</f>
        <v>US71654QBX97</v>
      </c>
      <c r="F331" s="7" t="str">
        <f>IF('Port Bloomberg'!F331="","",'Port Bloomberg'!F331)</f>
        <v>PEMEX</v>
      </c>
      <c r="G331" s="7" t="str">
        <f>IF('Port Bloomberg'!G331="","",'Port Bloomberg'!G331)</f>
        <v>1232Z MM</v>
      </c>
      <c r="H331" s="7" t="str">
        <f>IF('Port Bloomberg'!H331="","",'Port Bloomberg'!H331)</f>
        <v>Oil&amp;Gas</v>
      </c>
      <c r="I331" s="7" t="str">
        <f>IF('Port Bloomberg'!I331="","",'Port Bloomberg'!I331)</f>
        <v>FOA</v>
      </c>
      <c r="J331" s="7" t="str">
        <f>IF('Port Bloomberg'!J331="","",'Port Bloomberg'!J331)</f>
        <v>Oil Comp-Integrated</v>
      </c>
      <c r="K331" s="7" t="str">
        <f>IF('Port Bloomberg'!K331="","",'Port Bloomberg'!K331)</f>
        <v>MX</v>
      </c>
      <c r="L331" s="7" t="str">
        <f>IF('Port Bloomberg'!L331="","",'Port Bloomberg'!L331)</f>
        <v>MX</v>
      </c>
      <c r="M331" s="7" t="str">
        <f>IF('Port Bloomberg'!M331="","",'Port Bloomberg'!M331)</f>
        <v>USD</v>
      </c>
      <c r="N331" s="7">
        <f>IF('Port Bloomberg'!N331="","",'Port Bloomberg'!N331)</f>
        <v>2992861</v>
      </c>
      <c r="O331" s="7" t="str">
        <f>IF('Port Bloomberg'!O331="","",'Port Bloomberg'!O331)</f>
        <v>SINGLE</v>
      </c>
      <c r="P331" s="7">
        <f>IF('Port Bloomberg'!P331="","",'Port Bloomberg'!P331)</f>
        <v>5.625</v>
      </c>
      <c r="Q331" s="7" t="str">
        <f>IF('Port Bloomberg'!Q331="","",'Port Bloomberg'!Q331)</f>
        <v>BB</v>
      </c>
      <c r="R331" s="7" t="str">
        <f>IF('Port Bloomberg'!R331="","",'Port Bloomberg'!R331)</f>
        <v>01/23/2046</v>
      </c>
      <c r="S331" s="5">
        <f>IF(E331="","",IFERROR(IF(MATCH(E331,[1]Instrumentos!$D:$D,0)&gt;0,1,0),0))</f>
        <v>1</v>
      </c>
      <c r="T331" s="5">
        <f>IF(E331="","",IFERROR(IF(MATCH(E331,'Lista de excepciones'!$E:$E,0)&gt;0,1,0),0))</f>
        <v>0</v>
      </c>
      <c r="U331" s="6" t="str">
        <f t="shared" si="6"/>
        <v>NO</v>
      </c>
    </row>
    <row r="332" spans="1:21" hidden="1" x14ac:dyDescent="0.25">
      <c r="A332" s="7" t="str">
        <f>IF('Port Bloomberg'!A332="","",'Port Bloomberg'!A332)</f>
        <v>PEMEX 5 ⅝ 01/23/46</v>
      </c>
      <c r="B332" s="7" t="str">
        <f>IF('Port Bloomberg'!B332="","",'Port Bloomberg'!B332)</f>
        <v>Petroleos Mexicanos</v>
      </c>
      <c r="C332" s="7" t="str">
        <f>IF('Port Bloomberg'!C332="","",'Port Bloomberg'!C332)</f>
        <v>PETROLEOS MEXICA</v>
      </c>
      <c r="D332" s="7" t="str">
        <f>IF('Port Bloomberg'!D332="","",'Port Bloomberg'!D332)</f>
        <v>PETROLEOS MEXICANOS</v>
      </c>
      <c r="E332" s="7" t="str">
        <f>IF('Port Bloomberg'!E332="","",'Port Bloomberg'!E332)</f>
        <v>US71656MBE84</v>
      </c>
      <c r="F332" s="7" t="str">
        <f>IF('Port Bloomberg'!F332="","",'Port Bloomberg'!F332)</f>
        <v>PEMEX</v>
      </c>
      <c r="G332" s="7" t="str">
        <f>IF('Port Bloomberg'!G332="","",'Port Bloomberg'!G332)</f>
        <v>1232Z MM</v>
      </c>
      <c r="H332" s="7" t="str">
        <f>IF('Port Bloomberg'!H332="","",'Port Bloomberg'!H332)</f>
        <v>Oil&amp;Gas</v>
      </c>
      <c r="I332" s="7" t="str">
        <f>IF('Port Bloomberg'!I332="","",'Port Bloomberg'!I332)</f>
        <v>FOA</v>
      </c>
      <c r="J332" s="7" t="str">
        <f>IF('Port Bloomberg'!J332="","",'Port Bloomberg'!J332)</f>
        <v>Oil Comp-Integrated</v>
      </c>
      <c r="K332" s="7" t="str">
        <f>IF('Port Bloomberg'!K332="","",'Port Bloomberg'!K332)</f>
        <v>MX</v>
      </c>
      <c r="L332" s="7" t="str">
        <f>IF('Port Bloomberg'!L332="","",'Port Bloomberg'!L332)</f>
        <v>MX</v>
      </c>
      <c r="M332" s="7" t="str">
        <f>IF('Port Bloomberg'!M332="","",'Port Bloomberg'!M332)</f>
        <v>USD</v>
      </c>
      <c r="N332" s="7">
        <f>IF('Port Bloomberg'!N332="","",'Port Bloomberg'!N332)</f>
        <v>3000000</v>
      </c>
      <c r="O332" s="7" t="str">
        <f>IF('Port Bloomberg'!O332="","",'Port Bloomberg'!O332)</f>
        <v>SINGLE</v>
      </c>
      <c r="P332" s="7">
        <f>IF('Port Bloomberg'!P332="","",'Port Bloomberg'!P332)</f>
        <v>5.625</v>
      </c>
      <c r="Q332" s="7" t="str">
        <f>IF('Port Bloomberg'!Q332="","",'Port Bloomberg'!Q332)</f>
        <v>BB</v>
      </c>
      <c r="R332" s="7" t="str">
        <f>IF('Port Bloomberg'!R332="","",'Port Bloomberg'!R332)</f>
        <v>01/23/2046</v>
      </c>
      <c r="S332" s="5">
        <f>IF(E332="","",IFERROR(IF(MATCH(E332,[1]Instrumentos!$D:$D,0)&gt;0,1,0),0))</f>
        <v>1</v>
      </c>
      <c r="T332" s="5">
        <f>IF(E332="","",IFERROR(IF(MATCH(E332,'Lista de excepciones'!$E:$E,0)&gt;0,1,0),0))</f>
        <v>0</v>
      </c>
      <c r="U332" s="6" t="str">
        <f t="shared" si="6"/>
        <v>NO</v>
      </c>
    </row>
    <row r="333" spans="1:21" hidden="1" x14ac:dyDescent="0.25">
      <c r="A333" s="7" t="str">
        <f>IF('Port Bloomberg'!A333="","",'Port Bloomberg'!A333)</f>
        <v>PEMEX 5.95 01/28/31</v>
      </c>
      <c r="B333" s="7" t="str">
        <f>IF('Port Bloomberg'!B333="","",'Port Bloomberg'!B333)</f>
        <v>Petroleos Mexicanos</v>
      </c>
      <c r="C333" s="7" t="str">
        <f>IF('Port Bloomberg'!C333="","",'Port Bloomberg'!C333)</f>
        <v>PETROLEOS MEXICA</v>
      </c>
      <c r="D333" s="7" t="str">
        <f>IF('Port Bloomberg'!D333="","",'Port Bloomberg'!D333)</f>
        <v>PETROLEOS MEXICANOS</v>
      </c>
      <c r="E333" s="7" t="str">
        <f>IF('Port Bloomberg'!E333="","",'Port Bloomberg'!E333)</f>
        <v>US71654QDE98</v>
      </c>
      <c r="F333" s="7" t="str">
        <f>IF('Port Bloomberg'!F333="","",'Port Bloomberg'!F333)</f>
        <v>PEMEX</v>
      </c>
      <c r="G333" s="7" t="str">
        <f>IF('Port Bloomberg'!G333="","",'Port Bloomberg'!G333)</f>
        <v>1232Z MM</v>
      </c>
      <c r="H333" s="7" t="str">
        <f>IF('Port Bloomberg'!H333="","",'Port Bloomberg'!H333)</f>
        <v>Oil&amp;Gas</v>
      </c>
      <c r="I333" s="7" t="str">
        <f>IF('Port Bloomberg'!I333="","",'Port Bloomberg'!I333)</f>
        <v>FOA</v>
      </c>
      <c r="J333" s="7" t="str">
        <f>IF('Port Bloomberg'!J333="","",'Port Bloomberg'!J333)</f>
        <v>Oil Comp-Integrated</v>
      </c>
      <c r="K333" s="7" t="str">
        <f>IF('Port Bloomberg'!K333="","",'Port Bloomberg'!K333)</f>
        <v>MX</v>
      </c>
      <c r="L333" s="7" t="str">
        <f>IF('Port Bloomberg'!L333="","",'Port Bloomberg'!L333)</f>
        <v>MX</v>
      </c>
      <c r="M333" s="7" t="str">
        <f>IF('Port Bloomberg'!M333="","",'Port Bloomberg'!M333)</f>
        <v>USD</v>
      </c>
      <c r="N333" s="7">
        <f>IF('Port Bloomberg'!N333="","",'Port Bloomberg'!N333)</f>
        <v>3777381</v>
      </c>
      <c r="O333" s="7" t="str">
        <f>IF('Port Bloomberg'!O333="","",'Port Bloomberg'!O333)</f>
        <v>SINGLE</v>
      </c>
      <c r="P333" s="7">
        <f>IF('Port Bloomberg'!P333="","",'Port Bloomberg'!P333)</f>
        <v>5.95</v>
      </c>
      <c r="Q333" s="7" t="str">
        <f>IF('Port Bloomberg'!Q333="","",'Port Bloomberg'!Q333)</f>
        <v>BB</v>
      </c>
      <c r="R333" s="7" t="str">
        <f>IF('Port Bloomberg'!R333="","",'Port Bloomberg'!R333)</f>
        <v>01/28/2031</v>
      </c>
      <c r="S333" s="5">
        <f>IF(E333="","",IFERROR(IF(MATCH(E333,[1]Instrumentos!$D:$D,0)&gt;0,1,0),0))</f>
        <v>1</v>
      </c>
      <c r="T333" s="5">
        <f>IF(E333="","",IFERROR(IF(MATCH(E333,'Lista de excepciones'!$E:$E,0)&gt;0,1,0),0))</f>
        <v>0</v>
      </c>
      <c r="U333" s="6" t="str">
        <f t="shared" si="6"/>
        <v>NO</v>
      </c>
    </row>
    <row r="334" spans="1:21" hidden="1" x14ac:dyDescent="0.25">
      <c r="A334" s="7" t="str">
        <f>IF('Port Bloomberg'!A334="","",'Port Bloomberg'!A334)</f>
        <v>PEMEX 5.95 01/28/31</v>
      </c>
      <c r="B334" s="7" t="str">
        <f>IF('Port Bloomberg'!B334="","",'Port Bloomberg'!B334)</f>
        <v>Petroleos Mexicanos</v>
      </c>
      <c r="C334" s="7" t="str">
        <f>IF('Port Bloomberg'!C334="","",'Port Bloomberg'!C334)</f>
        <v>PETROLEOS MEXICA</v>
      </c>
      <c r="D334" s="7" t="str">
        <f>IF('Port Bloomberg'!D334="","",'Port Bloomberg'!D334)</f>
        <v>PETROLEOS MEXICANOS</v>
      </c>
      <c r="E334" s="7" t="str">
        <f>IF('Port Bloomberg'!E334="","",'Port Bloomberg'!E334)</f>
        <v>USP78625EA73</v>
      </c>
      <c r="F334" s="7" t="str">
        <f>IF('Port Bloomberg'!F334="","",'Port Bloomberg'!F334)</f>
        <v>PEMEX</v>
      </c>
      <c r="G334" s="7" t="str">
        <f>IF('Port Bloomberg'!G334="","",'Port Bloomberg'!G334)</f>
        <v>1232Z MM</v>
      </c>
      <c r="H334" s="7" t="str">
        <f>IF('Port Bloomberg'!H334="","",'Port Bloomberg'!H334)</f>
        <v>Oil&amp;Gas</v>
      </c>
      <c r="I334" s="7" t="str">
        <f>IF('Port Bloomberg'!I334="","",'Port Bloomberg'!I334)</f>
        <v>FOA</v>
      </c>
      <c r="J334" s="7" t="str">
        <f>IF('Port Bloomberg'!J334="","",'Port Bloomberg'!J334)</f>
        <v>Oil Comp-Integrated</v>
      </c>
      <c r="K334" s="7" t="str">
        <f>IF('Port Bloomberg'!K334="","",'Port Bloomberg'!K334)</f>
        <v>MX</v>
      </c>
      <c r="L334" s="7" t="str">
        <f>IF('Port Bloomberg'!L334="","",'Port Bloomberg'!L334)</f>
        <v>MX</v>
      </c>
      <c r="M334" s="7" t="str">
        <f>IF('Port Bloomberg'!M334="","",'Port Bloomberg'!M334)</f>
        <v>USD</v>
      </c>
      <c r="N334" s="7">
        <f>IF('Port Bloomberg'!N334="","",'Port Bloomberg'!N334)</f>
        <v>3800000</v>
      </c>
      <c r="O334" s="7" t="str">
        <f>IF('Port Bloomberg'!O334="","",'Port Bloomberg'!O334)</f>
        <v>SINGLE</v>
      </c>
      <c r="P334" s="7">
        <f>IF('Port Bloomberg'!P334="","",'Port Bloomberg'!P334)</f>
        <v>5.95</v>
      </c>
      <c r="Q334" s="7" t="str">
        <f>IF('Port Bloomberg'!Q334="","",'Port Bloomberg'!Q334)</f>
        <v>BB</v>
      </c>
      <c r="R334" s="7" t="str">
        <f>IF('Port Bloomberg'!R334="","",'Port Bloomberg'!R334)</f>
        <v>01/28/2031</v>
      </c>
      <c r="S334" s="5">
        <f>IF(E334="","",IFERROR(IF(MATCH(E334,[1]Instrumentos!$D:$D,0)&gt;0,1,0),0))</f>
        <v>1</v>
      </c>
      <c r="T334" s="5">
        <f>IF(E334="","",IFERROR(IF(MATCH(E334,'Lista de excepciones'!$E:$E,0)&gt;0,1,0),0))</f>
        <v>0</v>
      </c>
      <c r="U334" s="6" t="str">
        <f t="shared" si="6"/>
        <v>NO</v>
      </c>
    </row>
    <row r="335" spans="1:21" hidden="1" x14ac:dyDescent="0.25">
      <c r="A335" s="7" t="str">
        <f>IF('Port Bloomberg'!A335="","",'Port Bloomberg'!A335)</f>
        <v>PEMEX 6 ½ 01/23/29</v>
      </c>
      <c r="B335" s="7" t="str">
        <f>IF('Port Bloomberg'!B335="","",'Port Bloomberg'!B335)</f>
        <v>Petroleos Mexicanos</v>
      </c>
      <c r="C335" s="7" t="str">
        <f>IF('Port Bloomberg'!C335="","",'Port Bloomberg'!C335)</f>
        <v>PETROLEOS MEXICA</v>
      </c>
      <c r="D335" s="7" t="str">
        <f>IF('Port Bloomberg'!D335="","",'Port Bloomberg'!D335)</f>
        <v>PETROLEOS MEXICANOS</v>
      </c>
      <c r="E335" s="7" t="str">
        <f>IF('Port Bloomberg'!E335="","",'Port Bloomberg'!E335)</f>
        <v>US71654QCP54</v>
      </c>
      <c r="F335" s="7" t="str">
        <f>IF('Port Bloomberg'!F335="","",'Port Bloomberg'!F335)</f>
        <v>PEMEX</v>
      </c>
      <c r="G335" s="7" t="str">
        <f>IF('Port Bloomberg'!G335="","",'Port Bloomberg'!G335)</f>
        <v>1232Z MM</v>
      </c>
      <c r="H335" s="7" t="str">
        <f>IF('Port Bloomberg'!H335="","",'Port Bloomberg'!H335)</f>
        <v>Oil&amp;Gas</v>
      </c>
      <c r="I335" s="7" t="str">
        <f>IF('Port Bloomberg'!I335="","",'Port Bloomberg'!I335)</f>
        <v>FOA</v>
      </c>
      <c r="J335" s="7" t="str">
        <f>IF('Port Bloomberg'!J335="","",'Port Bloomberg'!J335)</f>
        <v>Oil Comp-Integrated</v>
      </c>
      <c r="K335" s="7" t="str">
        <f>IF('Port Bloomberg'!K335="","",'Port Bloomberg'!K335)</f>
        <v>MX</v>
      </c>
      <c r="L335" s="7" t="str">
        <f>IF('Port Bloomberg'!L335="","",'Port Bloomberg'!L335)</f>
        <v>MX</v>
      </c>
      <c r="M335" s="7" t="str">
        <f>IF('Port Bloomberg'!M335="","",'Port Bloomberg'!M335)</f>
        <v>USD</v>
      </c>
      <c r="N335" s="7">
        <f>IF('Port Bloomberg'!N335="","",'Port Bloomberg'!N335)</f>
        <v>1986963</v>
      </c>
      <c r="O335" s="7" t="str">
        <f>IF('Port Bloomberg'!O335="","",'Port Bloomberg'!O335)</f>
        <v>SINGLE</v>
      </c>
      <c r="P335" s="7">
        <f>IF('Port Bloomberg'!P335="","",'Port Bloomberg'!P335)</f>
        <v>6.5</v>
      </c>
      <c r="Q335" s="7" t="str">
        <f>IF('Port Bloomberg'!Q335="","",'Port Bloomberg'!Q335)</f>
        <v>BB</v>
      </c>
      <c r="R335" s="7" t="str">
        <f>IF('Port Bloomberg'!R335="","",'Port Bloomberg'!R335)</f>
        <v>01/23/2029</v>
      </c>
      <c r="S335" s="5">
        <f>IF(E335="","",IFERROR(IF(MATCH(E335,[1]Instrumentos!$D:$D,0)&gt;0,1,0),0))</f>
        <v>1</v>
      </c>
      <c r="T335" s="5">
        <f>IF(E335="","",IFERROR(IF(MATCH(E335,'Lista de excepciones'!$E:$E,0)&gt;0,1,0),0))</f>
        <v>0</v>
      </c>
      <c r="U335" s="6" t="str">
        <f t="shared" si="6"/>
        <v>NO</v>
      </c>
    </row>
    <row r="336" spans="1:21" hidden="1" x14ac:dyDescent="0.25">
      <c r="A336" s="7" t="str">
        <f>IF('Port Bloomberg'!A336="","",'Port Bloomberg'!A336)</f>
        <v>PEMEX 6 ½ 01/23/29</v>
      </c>
      <c r="B336" s="7" t="str">
        <f>IF('Port Bloomberg'!B336="","",'Port Bloomberg'!B336)</f>
        <v>Petroleos Mexicanos</v>
      </c>
      <c r="C336" s="7" t="str">
        <f>IF('Port Bloomberg'!C336="","",'Port Bloomberg'!C336)</f>
        <v>PETROLEOS MEXICA</v>
      </c>
      <c r="D336" s="7" t="str">
        <f>IF('Port Bloomberg'!D336="","",'Port Bloomberg'!D336)</f>
        <v>PETROLEOS MEXICANOS</v>
      </c>
      <c r="E336" s="7" t="str">
        <f>IF('Port Bloomberg'!E336="","",'Port Bloomberg'!E336)</f>
        <v>USP78625DV20</v>
      </c>
      <c r="F336" s="7" t="str">
        <f>IF('Port Bloomberg'!F336="","",'Port Bloomberg'!F336)</f>
        <v>PEMEX</v>
      </c>
      <c r="G336" s="7" t="str">
        <f>IF('Port Bloomberg'!G336="","",'Port Bloomberg'!G336)</f>
        <v>1232Z MM</v>
      </c>
      <c r="H336" s="7" t="str">
        <f>IF('Port Bloomberg'!H336="","",'Port Bloomberg'!H336)</f>
        <v>Oil&amp;Gas</v>
      </c>
      <c r="I336" s="7" t="str">
        <f>IF('Port Bloomberg'!I336="","",'Port Bloomberg'!I336)</f>
        <v>FOA</v>
      </c>
      <c r="J336" s="7" t="str">
        <f>IF('Port Bloomberg'!J336="","",'Port Bloomberg'!J336)</f>
        <v>Oil Comp-Integrated</v>
      </c>
      <c r="K336" s="7" t="str">
        <f>IF('Port Bloomberg'!K336="","",'Port Bloomberg'!K336)</f>
        <v>MX</v>
      </c>
      <c r="L336" s="7" t="str">
        <f>IF('Port Bloomberg'!L336="","",'Port Bloomberg'!L336)</f>
        <v>MX</v>
      </c>
      <c r="M336" s="7" t="str">
        <f>IF('Port Bloomberg'!M336="","",'Port Bloomberg'!M336)</f>
        <v>USD</v>
      </c>
      <c r="N336" s="7">
        <f>IF('Port Bloomberg'!N336="","",'Port Bloomberg'!N336)</f>
        <v>2000000</v>
      </c>
      <c r="O336" s="7" t="str">
        <f>IF('Port Bloomberg'!O336="","",'Port Bloomberg'!O336)</f>
        <v>SINGLE</v>
      </c>
      <c r="P336" s="7">
        <f>IF('Port Bloomberg'!P336="","",'Port Bloomberg'!P336)</f>
        <v>6.5</v>
      </c>
      <c r="Q336" s="7" t="str">
        <f>IF('Port Bloomberg'!Q336="","",'Port Bloomberg'!Q336)</f>
        <v>BB</v>
      </c>
      <c r="R336" s="7" t="str">
        <f>IF('Port Bloomberg'!R336="","",'Port Bloomberg'!R336)</f>
        <v>01/23/2029</v>
      </c>
      <c r="S336" s="5">
        <f>IF(E336="","",IFERROR(IF(MATCH(E336,[1]Instrumentos!$D:$D,0)&gt;0,1,0),0))</f>
        <v>1</v>
      </c>
      <c r="T336" s="5">
        <f>IF(E336="","",IFERROR(IF(MATCH(E336,'Lista de excepciones'!$E:$E,0)&gt;0,1,0),0))</f>
        <v>0</v>
      </c>
      <c r="U336" s="6" t="str">
        <f t="shared" si="6"/>
        <v>NO</v>
      </c>
    </row>
    <row r="337" spans="1:21" hidden="1" x14ac:dyDescent="0.25">
      <c r="A337" s="7" t="str">
        <f>IF('Port Bloomberg'!A337="","",'Port Bloomberg'!A337)</f>
        <v>PEMEX 6 ½ 06/02/41</v>
      </c>
      <c r="B337" s="7" t="str">
        <f>IF('Port Bloomberg'!B337="","",'Port Bloomberg'!B337)</f>
        <v>Petroleos Mexicanos</v>
      </c>
      <c r="C337" s="7" t="str">
        <f>IF('Port Bloomberg'!C337="","",'Port Bloomberg'!C337)</f>
        <v>PETROLEOS MEXICA</v>
      </c>
      <c r="D337" s="7" t="str">
        <f>IF('Port Bloomberg'!D337="","",'Port Bloomberg'!D337)</f>
        <v>PETROLEOS MEXICANOS</v>
      </c>
      <c r="E337" s="7" t="str">
        <f>IF('Port Bloomberg'!E337="","",'Port Bloomberg'!E337)</f>
        <v>US71654QAZ54</v>
      </c>
      <c r="F337" s="7" t="str">
        <f>IF('Port Bloomberg'!F337="","",'Port Bloomberg'!F337)</f>
        <v>PEMEX</v>
      </c>
      <c r="G337" s="7" t="str">
        <f>IF('Port Bloomberg'!G337="","",'Port Bloomberg'!G337)</f>
        <v>1232Z MM</v>
      </c>
      <c r="H337" s="7" t="str">
        <f>IF('Port Bloomberg'!H337="","",'Port Bloomberg'!H337)</f>
        <v>Oil&amp;Gas</v>
      </c>
      <c r="I337" s="7" t="str">
        <f>IF('Port Bloomberg'!I337="","",'Port Bloomberg'!I337)</f>
        <v>FOA</v>
      </c>
      <c r="J337" s="7" t="str">
        <f>IF('Port Bloomberg'!J337="","",'Port Bloomberg'!J337)</f>
        <v>Oil Comp-Integrated</v>
      </c>
      <c r="K337" s="7" t="str">
        <f>IF('Port Bloomberg'!K337="","",'Port Bloomberg'!K337)</f>
        <v>MX</v>
      </c>
      <c r="L337" s="7" t="str">
        <f>IF('Port Bloomberg'!L337="","",'Port Bloomberg'!L337)</f>
        <v>MX</v>
      </c>
      <c r="M337" s="7" t="str">
        <f>IF('Port Bloomberg'!M337="","",'Port Bloomberg'!M337)</f>
        <v>USD</v>
      </c>
      <c r="N337" s="7">
        <f>IF('Port Bloomberg'!N337="","",'Port Bloomberg'!N337)</f>
        <v>3000000</v>
      </c>
      <c r="O337" s="7" t="str">
        <f>IF('Port Bloomberg'!O337="","",'Port Bloomberg'!O337)</f>
        <v>SINGLE</v>
      </c>
      <c r="P337" s="7">
        <f>IF('Port Bloomberg'!P337="","",'Port Bloomberg'!P337)</f>
        <v>6.5</v>
      </c>
      <c r="Q337" s="7" t="str">
        <f>IF('Port Bloomberg'!Q337="","",'Port Bloomberg'!Q337)</f>
        <v>BB</v>
      </c>
      <c r="R337" s="7" t="str">
        <f>IF('Port Bloomberg'!R337="","",'Port Bloomberg'!R337)</f>
        <v>06/02/2041</v>
      </c>
      <c r="S337" s="5">
        <f>IF(E337="","",IFERROR(IF(MATCH(E337,[1]Instrumentos!$D:$D,0)&gt;0,1,0),0))</f>
        <v>1</v>
      </c>
      <c r="T337" s="5">
        <f>IF(E337="","",IFERROR(IF(MATCH(E337,'Lista de excepciones'!$E:$E,0)&gt;0,1,0),0))</f>
        <v>0</v>
      </c>
      <c r="U337" s="6" t="str">
        <f t="shared" si="6"/>
        <v>NO</v>
      </c>
    </row>
    <row r="338" spans="1:21" hidden="1" x14ac:dyDescent="0.25">
      <c r="A338" s="7" t="str">
        <f>IF('Port Bloomberg'!A338="","",'Port Bloomberg'!A338)</f>
        <v>PEMEX 6 ¾ 09/21/47</v>
      </c>
      <c r="B338" s="7" t="str">
        <f>IF('Port Bloomberg'!B338="","",'Port Bloomberg'!B338)</f>
        <v>Petroleos Mexicanos</v>
      </c>
      <c r="C338" s="7" t="str">
        <f>IF('Port Bloomberg'!C338="","",'Port Bloomberg'!C338)</f>
        <v>PETROLEOS MEXICA</v>
      </c>
      <c r="D338" s="7" t="str">
        <f>IF('Port Bloomberg'!D338="","",'Port Bloomberg'!D338)</f>
        <v>PETROLEOS MEXICANOS</v>
      </c>
      <c r="E338" s="7" t="str">
        <f>IF('Port Bloomberg'!E338="","",'Port Bloomberg'!E338)</f>
        <v>US71656MBM01</v>
      </c>
      <c r="F338" s="7" t="str">
        <f>IF('Port Bloomberg'!F338="","",'Port Bloomberg'!F338)</f>
        <v>PEMEX</v>
      </c>
      <c r="G338" s="7" t="str">
        <f>IF('Port Bloomberg'!G338="","",'Port Bloomberg'!G338)</f>
        <v>1232Z MM</v>
      </c>
      <c r="H338" s="7" t="str">
        <f>IF('Port Bloomberg'!H338="","",'Port Bloomberg'!H338)</f>
        <v>Oil&amp;Gas</v>
      </c>
      <c r="I338" s="7" t="str">
        <f>IF('Port Bloomberg'!I338="","",'Port Bloomberg'!I338)</f>
        <v>FOA</v>
      </c>
      <c r="J338" s="7" t="str">
        <f>IF('Port Bloomberg'!J338="","",'Port Bloomberg'!J338)</f>
        <v>Oil Comp-Integrated</v>
      </c>
      <c r="K338" s="7" t="str">
        <f>IF('Port Bloomberg'!K338="","",'Port Bloomberg'!K338)</f>
        <v>MX</v>
      </c>
      <c r="L338" s="7" t="str">
        <f>IF('Port Bloomberg'!L338="","",'Port Bloomberg'!L338)</f>
        <v>MX</v>
      </c>
      <c r="M338" s="7" t="str">
        <f>IF('Port Bloomberg'!M338="","",'Port Bloomberg'!M338)</f>
        <v>USD</v>
      </c>
      <c r="N338" s="7">
        <f>IF('Port Bloomberg'!N338="","",'Port Bloomberg'!N338)</f>
        <v>3500000</v>
      </c>
      <c r="O338" s="7" t="str">
        <f>IF('Port Bloomberg'!O338="","",'Port Bloomberg'!O338)</f>
        <v>SINGLE</v>
      </c>
      <c r="P338" s="7">
        <f>IF('Port Bloomberg'!P338="","",'Port Bloomberg'!P338)</f>
        <v>6.75</v>
      </c>
      <c r="Q338" s="7" t="str">
        <f>IF('Port Bloomberg'!Q338="","",'Port Bloomberg'!Q338)</f>
        <v>BB</v>
      </c>
      <c r="R338" s="7" t="str">
        <f>IF('Port Bloomberg'!R338="","",'Port Bloomberg'!R338)</f>
        <v>09/21/2047</v>
      </c>
      <c r="S338" s="5">
        <f>IF(E338="","",IFERROR(IF(MATCH(E338,[1]Instrumentos!$D:$D,0)&gt;0,1,0),0))</f>
        <v>1</v>
      </c>
      <c r="T338" s="5">
        <f>IF(E338="","",IFERROR(IF(MATCH(E338,'Lista de excepciones'!$E:$E,0)&gt;0,1,0),0))</f>
        <v>0</v>
      </c>
      <c r="U338" s="6" t="str">
        <f t="shared" si="6"/>
        <v>NO</v>
      </c>
    </row>
    <row r="339" spans="1:21" hidden="1" x14ac:dyDescent="0.25">
      <c r="A339" s="7" t="str">
        <f>IF('Port Bloomberg'!A339="","",'Port Bloomberg'!A339)</f>
        <v>PEMEX 6 ¾ 09/21/47</v>
      </c>
      <c r="B339" s="7" t="str">
        <f>IF('Port Bloomberg'!B339="","",'Port Bloomberg'!B339)</f>
        <v>Petroleos Mexicanos</v>
      </c>
      <c r="C339" s="7" t="str">
        <f>IF('Port Bloomberg'!C339="","",'Port Bloomberg'!C339)</f>
        <v>PETROLEOS MEXICA</v>
      </c>
      <c r="D339" s="7" t="str">
        <f>IF('Port Bloomberg'!D339="","",'Port Bloomberg'!D339)</f>
        <v>PETROLEOS MEXICANOS</v>
      </c>
      <c r="E339" s="7" t="str">
        <f>IF('Port Bloomberg'!E339="","",'Port Bloomberg'!E339)</f>
        <v>US71654QCC42</v>
      </c>
      <c r="F339" s="7" t="str">
        <f>IF('Port Bloomberg'!F339="","",'Port Bloomberg'!F339)</f>
        <v>PEMEX</v>
      </c>
      <c r="G339" s="7" t="str">
        <f>IF('Port Bloomberg'!G339="","",'Port Bloomberg'!G339)</f>
        <v>1232Z MM</v>
      </c>
      <c r="H339" s="7" t="str">
        <f>IF('Port Bloomberg'!H339="","",'Port Bloomberg'!H339)</f>
        <v>Oil&amp;Gas</v>
      </c>
      <c r="I339" s="7" t="str">
        <f>IF('Port Bloomberg'!I339="","",'Port Bloomberg'!I339)</f>
        <v>FOA</v>
      </c>
      <c r="J339" s="7" t="str">
        <f>IF('Port Bloomberg'!J339="","",'Port Bloomberg'!J339)</f>
        <v>Oil Comp-Integrated</v>
      </c>
      <c r="K339" s="7" t="str">
        <f>IF('Port Bloomberg'!K339="","",'Port Bloomberg'!K339)</f>
        <v>MX</v>
      </c>
      <c r="L339" s="7" t="str">
        <f>IF('Port Bloomberg'!L339="","",'Port Bloomberg'!L339)</f>
        <v>MX</v>
      </c>
      <c r="M339" s="7" t="str">
        <f>IF('Port Bloomberg'!M339="","",'Port Bloomberg'!M339)</f>
        <v>USD</v>
      </c>
      <c r="N339" s="7">
        <f>IF('Port Bloomberg'!N339="","",'Port Bloomberg'!N339)</f>
        <v>5998233</v>
      </c>
      <c r="O339" s="7" t="str">
        <f>IF('Port Bloomberg'!O339="","",'Port Bloomberg'!O339)</f>
        <v>SINGLE</v>
      </c>
      <c r="P339" s="7">
        <f>IF('Port Bloomberg'!P339="","",'Port Bloomberg'!P339)</f>
        <v>6.75</v>
      </c>
      <c r="Q339" s="7" t="str">
        <f>IF('Port Bloomberg'!Q339="","",'Port Bloomberg'!Q339)</f>
        <v>BB</v>
      </c>
      <c r="R339" s="7" t="str">
        <f>IF('Port Bloomberg'!R339="","",'Port Bloomberg'!R339)</f>
        <v>09/21/2047</v>
      </c>
      <c r="S339" s="5">
        <f>IF(E339="","",IFERROR(IF(MATCH(E339,[1]Instrumentos!$D:$D,0)&gt;0,1,0),0))</f>
        <v>1</v>
      </c>
      <c r="T339" s="5">
        <f>IF(E339="","",IFERROR(IF(MATCH(E339,'Lista de excepciones'!$E:$E,0)&gt;0,1,0),0))</f>
        <v>0</v>
      </c>
      <c r="U339" s="6" t="str">
        <f t="shared" si="6"/>
        <v>NO</v>
      </c>
    </row>
    <row r="340" spans="1:21" hidden="1" x14ac:dyDescent="0.25">
      <c r="A340" s="7" t="str">
        <f>IF('Port Bloomberg'!A340="","",'Port Bloomberg'!A340)</f>
        <v>PEMEX 6 ¾ 09/21/47</v>
      </c>
      <c r="B340" s="7" t="str">
        <f>IF('Port Bloomberg'!B340="","",'Port Bloomberg'!B340)</f>
        <v>Petroleos Mexicanos</v>
      </c>
      <c r="C340" s="7" t="str">
        <f>IF('Port Bloomberg'!C340="","",'Port Bloomberg'!C340)</f>
        <v>PETROLEOS MEXICA</v>
      </c>
      <c r="D340" s="7" t="str">
        <f>IF('Port Bloomberg'!D340="","",'Port Bloomberg'!D340)</f>
        <v>PETROLEOS MEXICANOS</v>
      </c>
      <c r="E340" s="7" t="str">
        <f>IF('Port Bloomberg'!E340="","",'Port Bloomberg'!E340)</f>
        <v>US71656MBT53</v>
      </c>
      <c r="F340" s="7" t="str">
        <f>IF('Port Bloomberg'!F340="","",'Port Bloomberg'!F340)</f>
        <v>PEMEX</v>
      </c>
      <c r="G340" s="7" t="str">
        <f>IF('Port Bloomberg'!G340="","",'Port Bloomberg'!G340)</f>
        <v>1232Z MM</v>
      </c>
      <c r="H340" s="7" t="str">
        <f>IF('Port Bloomberg'!H340="","",'Port Bloomberg'!H340)</f>
        <v>Oil&amp;Gas</v>
      </c>
      <c r="I340" s="7" t="str">
        <f>IF('Port Bloomberg'!I340="","",'Port Bloomberg'!I340)</f>
        <v>FOA</v>
      </c>
      <c r="J340" s="7" t="str">
        <f>IF('Port Bloomberg'!J340="","",'Port Bloomberg'!J340)</f>
        <v>Oil Comp-Integrated</v>
      </c>
      <c r="K340" s="7" t="str">
        <f>IF('Port Bloomberg'!K340="","",'Port Bloomberg'!K340)</f>
        <v>MX</v>
      </c>
      <c r="L340" s="7" t="str">
        <f>IF('Port Bloomberg'!L340="","",'Port Bloomberg'!L340)</f>
        <v>MX</v>
      </c>
      <c r="M340" s="7" t="str">
        <f>IF('Port Bloomberg'!M340="","",'Port Bloomberg'!M340)</f>
        <v>USD</v>
      </c>
      <c r="N340" s="7">
        <f>IF('Port Bloomberg'!N340="","",'Port Bloomberg'!N340)</f>
        <v>2500000</v>
      </c>
      <c r="O340" s="7" t="str">
        <f>IF('Port Bloomberg'!O340="","",'Port Bloomberg'!O340)</f>
        <v>SINGLE</v>
      </c>
      <c r="P340" s="7">
        <f>IF('Port Bloomberg'!P340="","",'Port Bloomberg'!P340)</f>
        <v>6.75</v>
      </c>
      <c r="Q340" s="7" t="str">
        <f>IF('Port Bloomberg'!Q340="","",'Port Bloomberg'!Q340)</f>
        <v>BBB-</v>
      </c>
      <c r="R340" s="7" t="str">
        <f>IF('Port Bloomberg'!R340="","",'Port Bloomberg'!R340)</f>
        <v>09/21/2047</v>
      </c>
      <c r="S340" s="5">
        <f>IF(E340="","",IFERROR(IF(MATCH(E340,[1]Instrumentos!$D:$D,0)&gt;0,1,0),0))</f>
        <v>1</v>
      </c>
      <c r="T340" s="5">
        <f>IF(E340="","",IFERROR(IF(MATCH(E340,'Lista de excepciones'!$E:$E,0)&gt;0,1,0),0))</f>
        <v>0</v>
      </c>
      <c r="U340" s="6" t="str">
        <f t="shared" si="6"/>
        <v>NO</v>
      </c>
    </row>
    <row r="341" spans="1:21" hidden="1" x14ac:dyDescent="0.25">
      <c r="A341" s="7" t="str">
        <f>IF('Port Bloomberg'!A341="","",'Port Bloomberg'!A341)</f>
        <v>PEMEX 6 ⅜ 01/23/45</v>
      </c>
      <c r="B341" s="7" t="str">
        <f>IF('Port Bloomberg'!B341="","",'Port Bloomberg'!B341)</f>
        <v>Petroleos Mexicanos</v>
      </c>
      <c r="C341" s="7" t="str">
        <f>IF('Port Bloomberg'!C341="","",'Port Bloomberg'!C341)</f>
        <v>PETROLEOS MEXICA</v>
      </c>
      <c r="D341" s="7" t="str">
        <f>IF('Port Bloomberg'!D341="","",'Port Bloomberg'!D341)</f>
        <v>PETROLEOS MEXICANOS</v>
      </c>
      <c r="E341" s="7" t="str">
        <f>IF('Port Bloomberg'!E341="","",'Port Bloomberg'!E341)</f>
        <v>US71654QBR20</v>
      </c>
      <c r="F341" s="7" t="str">
        <f>IF('Port Bloomberg'!F341="","",'Port Bloomberg'!F341)</f>
        <v>PEMEX</v>
      </c>
      <c r="G341" s="7" t="str">
        <f>IF('Port Bloomberg'!G341="","",'Port Bloomberg'!G341)</f>
        <v>1232Z MM</v>
      </c>
      <c r="H341" s="7" t="str">
        <f>IF('Port Bloomberg'!H341="","",'Port Bloomberg'!H341)</f>
        <v>Oil&amp;Gas</v>
      </c>
      <c r="I341" s="7" t="str">
        <f>IF('Port Bloomberg'!I341="","",'Port Bloomberg'!I341)</f>
        <v>FOA</v>
      </c>
      <c r="J341" s="7" t="str">
        <f>IF('Port Bloomberg'!J341="","",'Port Bloomberg'!J341)</f>
        <v>Oil Comp-Integrated</v>
      </c>
      <c r="K341" s="7" t="str">
        <f>IF('Port Bloomberg'!K341="","",'Port Bloomberg'!K341)</f>
        <v>MX</v>
      </c>
      <c r="L341" s="7" t="str">
        <f>IF('Port Bloomberg'!L341="","",'Port Bloomberg'!L341)</f>
        <v>MX</v>
      </c>
      <c r="M341" s="7" t="str">
        <f>IF('Port Bloomberg'!M341="","",'Port Bloomberg'!M341)</f>
        <v>USD</v>
      </c>
      <c r="N341" s="7">
        <f>IF('Port Bloomberg'!N341="","",'Port Bloomberg'!N341)</f>
        <v>3000000</v>
      </c>
      <c r="O341" s="7" t="str">
        <f>IF('Port Bloomberg'!O341="","",'Port Bloomberg'!O341)</f>
        <v>SINGLE</v>
      </c>
      <c r="P341" s="7">
        <f>IF('Port Bloomberg'!P341="","",'Port Bloomberg'!P341)</f>
        <v>6.375</v>
      </c>
      <c r="Q341" s="7" t="str">
        <f>IF('Port Bloomberg'!Q341="","",'Port Bloomberg'!Q341)</f>
        <v>BB</v>
      </c>
      <c r="R341" s="7" t="str">
        <f>IF('Port Bloomberg'!R341="","",'Port Bloomberg'!R341)</f>
        <v>01/23/2045</v>
      </c>
      <c r="S341" s="5">
        <f>IF(E341="","",IFERROR(IF(MATCH(E341,[1]Instrumentos!$D:$D,0)&gt;0,1,0),0))</f>
        <v>1</v>
      </c>
      <c r="T341" s="5">
        <f>IF(E341="","",IFERROR(IF(MATCH(E341,'Lista de excepciones'!$E:$E,0)&gt;0,1,0),0))</f>
        <v>0</v>
      </c>
      <c r="U341" s="6" t="str">
        <f t="shared" si="6"/>
        <v>NO</v>
      </c>
    </row>
    <row r="342" spans="1:21" hidden="1" x14ac:dyDescent="0.25">
      <c r="A342" s="7" t="str">
        <f>IF('Port Bloomberg'!A342="","",'Port Bloomberg'!A342)</f>
        <v>PEMEX 6 ⅝ 06/15/35</v>
      </c>
      <c r="B342" s="7" t="str">
        <f>IF('Port Bloomberg'!B342="","",'Port Bloomberg'!B342)</f>
        <v>Petroleos Mexicanos</v>
      </c>
      <c r="C342" s="7" t="str">
        <f>IF('Port Bloomberg'!C342="","",'Port Bloomberg'!C342)</f>
        <v>PETROLEOS MEXICA</v>
      </c>
      <c r="D342" s="7" t="str">
        <f>IF('Port Bloomberg'!D342="","",'Port Bloomberg'!D342)</f>
        <v>PETROLEOS MEXICANOS</v>
      </c>
      <c r="E342" s="7" t="str">
        <f>IF('Port Bloomberg'!E342="","",'Port Bloomberg'!E342)</f>
        <v>US706451BG56</v>
      </c>
      <c r="F342" s="7" t="str">
        <f>IF('Port Bloomberg'!F342="","",'Port Bloomberg'!F342)</f>
        <v>PEMEX</v>
      </c>
      <c r="G342" s="7" t="str">
        <f>IF('Port Bloomberg'!G342="","",'Port Bloomberg'!G342)</f>
        <v>1232Z MM</v>
      </c>
      <c r="H342" s="7" t="str">
        <f>IF('Port Bloomberg'!H342="","",'Port Bloomberg'!H342)</f>
        <v>Oil&amp;Gas</v>
      </c>
      <c r="I342" s="7" t="str">
        <f>IF('Port Bloomberg'!I342="","",'Port Bloomberg'!I342)</f>
        <v>FOA</v>
      </c>
      <c r="J342" s="7" t="str">
        <f>IF('Port Bloomberg'!J342="","",'Port Bloomberg'!J342)</f>
        <v>Oil Comp-Integrated</v>
      </c>
      <c r="K342" s="7" t="str">
        <f>IF('Port Bloomberg'!K342="","",'Port Bloomberg'!K342)</f>
        <v>MX</v>
      </c>
      <c r="L342" s="7" t="str">
        <f>IF('Port Bloomberg'!L342="","",'Port Bloomberg'!L342)</f>
        <v>MX</v>
      </c>
      <c r="M342" s="7" t="str">
        <f>IF('Port Bloomberg'!M342="","",'Port Bloomberg'!M342)</f>
        <v>USD</v>
      </c>
      <c r="N342" s="7">
        <f>IF('Port Bloomberg'!N342="","",'Port Bloomberg'!N342)</f>
        <v>2748500</v>
      </c>
      <c r="O342" s="7" t="str">
        <f>IF('Port Bloomberg'!O342="","",'Port Bloomberg'!O342)</f>
        <v>SINGLE</v>
      </c>
      <c r="P342" s="7">
        <f>IF('Port Bloomberg'!P342="","",'Port Bloomberg'!P342)</f>
        <v>6.625</v>
      </c>
      <c r="Q342" s="7" t="str">
        <f>IF('Port Bloomberg'!Q342="","",'Port Bloomberg'!Q342)</f>
        <v>BB</v>
      </c>
      <c r="R342" s="7" t="str">
        <f>IF('Port Bloomberg'!R342="","",'Port Bloomberg'!R342)</f>
        <v>06/15/2035</v>
      </c>
      <c r="S342" s="5">
        <f>IF(E342="","",IFERROR(IF(MATCH(E342,[1]Instrumentos!$D:$D,0)&gt;0,1,0),0))</f>
        <v>1</v>
      </c>
      <c r="T342" s="5">
        <f>IF(E342="","",IFERROR(IF(MATCH(E342,'Lista de excepciones'!$E:$E,0)&gt;0,1,0),0))</f>
        <v>0</v>
      </c>
      <c r="U342" s="6" t="str">
        <f t="shared" si="6"/>
        <v>NO</v>
      </c>
    </row>
    <row r="343" spans="1:21" hidden="1" x14ac:dyDescent="0.25">
      <c r="A343" s="7" t="str">
        <f>IF('Port Bloomberg'!A343="","",'Port Bloomberg'!A343)</f>
        <v>PEMEX 6 ⅝ 06/15/35</v>
      </c>
      <c r="B343" s="7" t="str">
        <f>IF('Port Bloomberg'!B343="","",'Port Bloomberg'!B343)</f>
        <v>Petroleos Mexicanos</v>
      </c>
      <c r="C343" s="7" t="str">
        <f>IF('Port Bloomberg'!C343="","",'Port Bloomberg'!C343)</f>
        <v>PETROLEOS MEXICA</v>
      </c>
      <c r="D343" s="7" t="str">
        <f>IF('Port Bloomberg'!D343="","",'Port Bloomberg'!D343)</f>
        <v>PETROLEOS MEXICANOS</v>
      </c>
      <c r="E343" s="7" t="str">
        <f>IF('Port Bloomberg'!E343="","",'Port Bloomberg'!E343)</f>
        <v>US71656MAE93</v>
      </c>
      <c r="F343" s="7" t="str">
        <f>IF('Port Bloomberg'!F343="","",'Port Bloomberg'!F343)</f>
        <v>PEMEX</v>
      </c>
      <c r="G343" s="7" t="str">
        <f>IF('Port Bloomberg'!G343="","",'Port Bloomberg'!G343)</f>
        <v>1232Z MM</v>
      </c>
      <c r="H343" s="7" t="str">
        <f>IF('Port Bloomberg'!H343="","",'Port Bloomberg'!H343)</f>
        <v>Oil&amp;Gas</v>
      </c>
      <c r="I343" s="7" t="str">
        <f>IF('Port Bloomberg'!I343="","",'Port Bloomberg'!I343)</f>
        <v>FOA</v>
      </c>
      <c r="J343" s="7" t="str">
        <f>IF('Port Bloomberg'!J343="","",'Port Bloomberg'!J343)</f>
        <v>Oil Comp-Integrated</v>
      </c>
      <c r="K343" s="7" t="str">
        <f>IF('Port Bloomberg'!K343="","",'Port Bloomberg'!K343)</f>
        <v>MX</v>
      </c>
      <c r="L343" s="7" t="str">
        <f>IF('Port Bloomberg'!L343="","",'Port Bloomberg'!L343)</f>
        <v>MX</v>
      </c>
      <c r="M343" s="7" t="str">
        <f>IF('Port Bloomberg'!M343="","",'Port Bloomberg'!M343)</f>
        <v>USD</v>
      </c>
      <c r="N343" s="7">
        <f>IF('Port Bloomberg'!N343="","",'Port Bloomberg'!N343)</f>
        <v>1000000</v>
      </c>
      <c r="O343" s="7" t="str">
        <f>IF('Port Bloomberg'!O343="","",'Port Bloomberg'!O343)</f>
        <v>SINGLE</v>
      </c>
      <c r="P343" s="7">
        <f>IF('Port Bloomberg'!P343="","",'Port Bloomberg'!P343)</f>
        <v>6.625</v>
      </c>
      <c r="Q343" s="7" t="str">
        <f>IF('Port Bloomberg'!Q343="","",'Port Bloomberg'!Q343)</f>
        <v>BB</v>
      </c>
      <c r="R343" s="7" t="str">
        <f>IF('Port Bloomberg'!R343="","",'Port Bloomberg'!R343)</f>
        <v>06/15/2035</v>
      </c>
      <c r="S343" s="5">
        <f>IF(E343="","",IFERROR(IF(MATCH(E343,[1]Instrumentos!$D:$D,0)&gt;0,1,0),0))</f>
        <v>1</v>
      </c>
      <c r="T343" s="5">
        <f>IF(E343="","",IFERROR(IF(MATCH(E343,'Lista de excepciones'!$E:$E,0)&gt;0,1,0),0))</f>
        <v>0</v>
      </c>
      <c r="U343" s="6" t="str">
        <f t="shared" si="6"/>
        <v>NO</v>
      </c>
    </row>
    <row r="344" spans="1:21" hidden="1" x14ac:dyDescent="0.25">
      <c r="A344" s="7" t="str">
        <f>IF('Port Bloomberg'!A344="","",'Port Bloomberg'!A344)</f>
        <v>PEMEX 6 ⅝ 06/15/38</v>
      </c>
      <c r="B344" s="7" t="str">
        <f>IF('Port Bloomberg'!B344="","",'Port Bloomberg'!B344)</f>
        <v>Petroleos Mexicanos</v>
      </c>
      <c r="C344" s="7" t="str">
        <f>IF('Port Bloomberg'!C344="","",'Port Bloomberg'!C344)</f>
        <v>PEMEX MASTER TR</v>
      </c>
      <c r="D344" s="7" t="str">
        <f>IF('Port Bloomberg'!D344="","",'Port Bloomberg'!D344)</f>
        <v>PETROLEOS MEXICANOS</v>
      </c>
      <c r="E344" s="7" t="str">
        <f>IF('Port Bloomberg'!E344="","",'Port Bloomberg'!E344)</f>
        <v>US706451BR12</v>
      </c>
      <c r="F344" s="7" t="str">
        <f>IF('Port Bloomberg'!F344="","",'Port Bloomberg'!F344)</f>
        <v>PEMEX</v>
      </c>
      <c r="G344" s="7" t="str">
        <f>IF('Port Bloomberg'!G344="","",'Port Bloomberg'!G344)</f>
        <v>1232Z MM</v>
      </c>
      <c r="H344" s="7" t="str">
        <f>IF('Port Bloomberg'!H344="","",'Port Bloomberg'!H344)</f>
        <v>Oil&amp;Gas</v>
      </c>
      <c r="I344" s="7" t="str">
        <f>IF('Port Bloomberg'!I344="","",'Port Bloomberg'!I344)</f>
        <v>FOA</v>
      </c>
      <c r="J344" s="7" t="str">
        <f>IF('Port Bloomberg'!J344="","",'Port Bloomberg'!J344)</f>
        <v>Oil Comp-Integrated</v>
      </c>
      <c r="K344" s="7" t="str">
        <f>IF('Port Bloomberg'!K344="","",'Port Bloomberg'!K344)</f>
        <v>MX</v>
      </c>
      <c r="L344" s="7" t="str">
        <f>IF('Port Bloomberg'!L344="","",'Port Bloomberg'!L344)</f>
        <v>MX</v>
      </c>
      <c r="M344" s="7" t="str">
        <f>IF('Port Bloomberg'!M344="","",'Port Bloomberg'!M344)</f>
        <v>USD</v>
      </c>
      <c r="N344" s="7">
        <f>IF('Port Bloomberg'!N344="","",'Port Bloomberg'!N344)</f>
        <v>491175</v>
      </c>
      <c r="O344" s="7" t="str">
        <f>IF('Port Bloomberg'!O344="","",'Port Bloomberg'!O344)</f>
        <v>SINGLE</v>
      </c>
      <c r="P344" s="7">
        <f>IF('Port Bloomberg'!P344="","",'Port Bloomberg'!P344)</f>
        <v>6.625</v>
      </c>
      <c r="Q344" s="7" t="str">
        <f>IF('Port Bloomberg'!Q344="","",'Port Bloomberg'!Q344)</f>
        <v>BB</v>
      </c>
      <c r="R344" s="7" t="str">
        <f>IF('Port Bloomberg'!R344="","",'Port Bloomberg'!R344)</f>
        <v>06/15/2038</v>
      </c>
      <c r="S344" s="5">
        <f>IF(E344="","",IFERROR(IF(MATCH(E344,[1]Instrumentos!$D:$D,0)&gt;0,1,0),0))</f>
        <v>1</v>
      </c>
      <c r="T344" s="5">
        <f>IF(E344="","",IFERROR(IF(MATCH(E344,'Lista de excepciones'!$E:$E,0)&gt;0,1,0),0))</f>
        <v>0</v>
      </c>
      <c r="U344" s="6" t="str">
        <f t="shared" si="6"/>
        <v>NO</v>
      </c>
    </row>
    <row r="345" spans="1:21" hidden="1" x14ac:dyDescent="0.25">
      <c r="A345" s="7" t="str">
        <f>IF('Port Bloomberg'!A345="","",'Port Bloomberg'!A345)</f>
        <v>PEMEX 6 ⅝ 06/15/38</v>
      </c>
      <c r="B345" s="7" t="str">
        <f>IF('Port Bloomberg'!B345="","",'Port Bloomberg'!B345)</f>
        <v>Petroleos Mexicanos</v>
      </c>
      <c r="C345" s="7" t="str">
        <f>IF('Port Bloomberg'!C345="","",'Port Bloomberg'!C345)</f>
        <v>PEMEX MASTER TR</v>
      </c>
      <c r="D345" s="7" t="str">
        <f>IF('Port Bloomberg'!D345="","",'Port Bloomberg'!D345)</f>
        <v>PETROLEOS MEXICANOS</v>
      </c>
      <c r="E345" s="7" t="str">
        <f>IF('Port Bloomberg'!E345="","",'Port Bloomberg'!E345)</f>
        <v>US70645KBM09</v>
      </c>
      <c r="F345" s="7" t="str">
        <f>IF('Port Bloomberg'!F345="","",'Port Bloomberg'!F345)</f>
        <v>PEMEX</v>
      </c>
      <c r="G345" s="7" t="str">
        <f>IF('Port Bloomberg'!G345="","",'Port Bloomberg'!G345)</f>
        <v>1232Z MM</v>
      </c>
      <c r="H345" s="7" t="str">
        <f>IF('Port Bloomberg'!H345="","",'Port Bloomberg'!H345)</f>
        <v>Oil&amp;Gas</v>
      </c>
      <c r="I345" s="7" t="str">
        <f>IF('Port Bloomberg'!I345="","",'Port Bloomberg'!I345)</f>
        <v>FOA</v>
      </c>
      <c r="J345" s="7" t="str">
        <f>IF('Port Bloomberg'!J345="","",'Port Bloomberg'!J345)</f>
        <v>Oil Comp-Integrated</v>
      </c>
      <c r="K345" s="7" t="str">
        <f>IF('Port Bloomberg'!K345="","",'Port Bloomberg'!K345)</f>
        <v>MX</v>
      </c>
      <c r="L345" s="7" t="str">
        <f>IF('Port Bloomberg'!L345="","",'Port Bloomberg'!L345)</f>
        <v>MX</v>
      </c>
      <c r="M345" s="7" t="str">
        <f>IF('Port Bloomberg'!M345="","",'Port Bloomberg'!M345)</f>
        <v>USD</v>
      </c>
      <c r="N345" s="7">
        <f>IF('Port Bloomberg'!N345="","",'Port Bloomberg'!N345)</f>
        <v>500000</v>
      </c>
      <c r="O345" s="7" t="str">
        <f>IF('Port Bloomberg'!O345="","",'Port Bloomberg'!O345)</f>
        <v>SINGLE</v>
      </c>
      <c r="P345" s="7">
        <f>IF('Port Bloomberg'!P345="","",'Port Bloomberg'!P345)</f>
        <v>6.625</v>
      </c>
      <c r="Q345" s="7" t="str">
        <f>IF('Port Bloomberg'!Q345="","",'Port Bloomberg'!Q345)</f>
        <v>BB</v>
      </c>
      <c r="R345" s="7" t="str">
        <f>IF('Port Bloomberg'!R345="","",'Port Bloomberg'!R345)</f>
        <v>06/15/2038</v>
      </c>
      <c r="S345" s="5">
        <f>IF(E345="","",IFERROR(IF(MATCH(E345,[1]Instrumentos!$D:$D,0)&gt;0,1,0),0))</f>
        <v>1</v>
      </c>
      <c r="T345" s="5">
        <f>IF(E345="","",IFERROR(IF(MATCH(E345,'Lista de excepciones'!$E:$E,0)&gt;0,1,0),0))</f>
        <v>0</v>
      </c>
      <c r="U345" s="6" t="str">
        <f t="shared" si="6"/>
        <v>NO</v>
      </c>
    </row>
    <row r="346" spans="1:21" hidden="1" x14ac:dyDescent="0.25">
      <c r="A346" s="7" t="str">
        <f>IF('Port Bloomberg'!A346="","",'Port Bloomberg'!A346)</f>
        <v>PEMEX 6 ⅝ PERP</v>
      </c>
      <c r="B346" s="7" t="str">
        <f>IF('Port Bloomberg'!B346="","",'Port Bloomberg'!B346)</f>
        <v>Petroleos Mexicanos</v>
      </c>
      <c r="C346" s="7" t="str">
        <f>IF('Port Bloomberg'!C346="","",'Port Bloomberg'!C346)</f>
        <v>PETROLEOS MEXICA</v>
      </c>
      <c r="D346" s="7" t="str">
        <f>IF('Port Bloomberg'!D346="","",'Port Bloomberg'!D346)</f>
        <v>PETROLEOS MEXICANOS</v>
      </c>
      <c r="E346" s="7" t="str">
        <f>IF('Port Bloomberg'!E346="","",'Port Bloomberg'!E346)</f>
        <v>US71656MAF68</v>
      </c>
      <c r="F346" s="7" t="str">
        <f>IF('Port Bloomberg'!F346="","",'Port Bloomberg'!F346)</f>
        <v>PEMEX</v>
      </c>
      <c r="G346" s="7" t="str">
        <f>IF('Port Bloomberg'!G346="","",'Port Bloomberg'!G346)</f>
        <v>1232Z MM</v>
      </c>
      <c r="H346" s="7" t="str">
        <f>IF('Port Bloomberg'!H346="","",'Port Bloomberg'!H346)</f>
        <v>Oil&amp;Gas</v>
      </c>
      <c r="I346" s="7" t="str">
        <f>IF('Port Bloomberg'!I346="","",'Port Bloomberg'!I346)</f>
        <v>FOA</v>
      </c>
      <c r="J346" s="7" t="str">
        <f>IF('Port Bloomberg'!J346="","",'Port Bloomberg'!J346)</f>
        <v>Oil Comp-Integrated</v>
      </c>
      <c r="K346" s="7" t="str">
        <f>IF('Port Bloomberg'!K346="","",'Port Bloomberg'!K346)</f>
        <v>MX</v>
      </c>
      <c r="L346" s="7" t="str">
        <f>IF('Port Bloomberg'!L346="","",'Port Bloomberg'!L346)</f>
        <v>MX</v>
      </c>
      <c r="M346" s="7" t="str">
        <f>IF('Port Bloomberg'!M346="","",'Port Bloomberg'!M346)</f>
        <v>USD</v>
      </c>
      <c r="N346" s="7">
        <f>IF('Port Bloomberg'!N346="","",'Port Bloomberg'!N346)</f>
        <v>1000000</v>
      </c>
      <c r="O346" s="7" t="str">
        <f>IF('Port Bloomberg'!O346="","",'Port Bloomberg'!O346)</f>
        <v>SINGLE</v>
      </c>
      <c r="P346" s="7">
        <f>IF('Port Bloomberg'!P346="","",'Port Bloomberg'!P346)</f>
        <v>6.625</v>
      </c>
      <c r="Q346" s="7" t="str">
        <f>IF('Port Bloomberg'!Q346="","",'Port Bloomberg'!Q346)</f>
        <v>BB</v>
      </c>
      <c r="R346" s="7" t="str">
        <f>IF('Port Bloomberg'!R346="","",'Port Bloomberg'!R346)</f>
        <v/>
      </c>
      <c r="S346" s="5">
        <f>IF(E346="","",IFERROR(IF(MATCH(E346,[1]Instrumentos!$D:$D,0)&gt;0,1,0),0))</f>
        <v>1</v>
      </c>
      <c r="T346" s="5">
        <f>IF(E346="","",IFERROR(IF(MATCH(E346,'Lista de excepciones'!$E:$E,0)&gt;0,1,0),0))</f>
        <v>0</v>
      </c>
      <c r="U346" s="6" t="str">
        <f t="shared" si="6"/>
        <v>NO</v>
      </c>
    </row>
    <row r="347" spans="1:21" hidden="1" x14ac:dyDescent="0.25">
      <c r="A347" s="7" t="str">
        <f>IF('Port Bloomberg'!A347="","",'Port Bloomberg'!A347)</f>
        <v>PEMEX 6.35 02/12/48</v>
      </c>
      <c r="B347" s="7" t="str">
        <f>IF('Port Bloomberg'!B347="","",'Port Bloomberg'!B347)</f>
        <v>Petroleos Mexicanos</v>
      </c>
      <c r="C347" s="7" t="str">
        <f>IF('Port Bloomberg'!C347="","",'Port Bloomberg'!C347)</f>
        <v>PETROLEOS MEXICA</v>
      </c>
      <c r="D347" s="7" t="str">
        <f>IF('Port Bloomberg'!D347="","",'Port Bloomberg'!D347)</f>
        <v>PETROLEOS MEXICANOS</v>
      </c>
      <c r="E347" s="7" t="str">
        <f>IF('Port Bloomberg'!E347="","",'Port Bloomberg'!E347)</f>
        <v>US71654QCL41</v>
      </c>
      <c r="F347" s="7" t="str">
        <f>IF('Port Bloomberg'!F347="","",'Port Bloomberg'!F347)</f>
        <v>PEMEX</v>
      </c>
      <c r="G347" s="7" t="str">
        <f>IF('Port Bloomberg'!G347="","",'Port Bloomberg'!G347)</f>
        <v>1232Z MM</v>
      </c>
      <c r="H347" s="7" t="str">
        <f>IF('Port Bloomberg'!H347="","",'Port Bloomberg'!H347)</f>
        <v>Oil&amp;Gas</v>
      </c>
      <c r="I347" s="7" t="str">
        <f>IF('Port Bloomberg'!I347="","",'Port Bloomberg'!I347)</f>
        <v>FOA</v>
      </c>
      <c r="J347" s="7" t="str">
        <f>IF('Port Bloomberg'!J347="","",'Port Bloomberg'!J347)</f>
        <v>Oil Comp-Integrated</v>
      </c>
      <c r="K347" s="7" t="str">
        <f>IF('Port Bloomberg'!K347="","",'Port Bloomberg'!K347)</f>
        <v>MX</v>
      </c>
      <c r="L347" s="7" t="str">
        <f>IF('Port Bloomberg'!L347="","",'Port Bloomberg'!L347)</f>
        <v>MX</v>
      </c>
      <c r="M347" s="7" t="str">
        <f>IF('Port Bloomberg'!M347="","",'Port Bloomberg'!M347)</f>
        <v>USD</v>
      </c>
      <c r="N347" s="7">
        <f>IF('Port Bloomberg'!N347="","",'Port Bloomberg'!N347)</f>
        <v>3323470</v>
      </c>
      <c r="O347" s="7" t="str">
        <f>IF('Port Bloomberg'!O347="","",'Port Bloomberg'!O347)</f>
        <v>SINGLE</v>
      </c>
      <c r="P347" s="7">
        <f>IF('Port Bloomberg'!P347="","",'Port Bloomberg'!P347)</f>
        <v>6.35</v>
      </c>
      <c r="Q347" s="7" t="str">
        <f>IF('Port Bloomberg'!Q347="","",'Port Bloomberg'!Q347)</f>
        <v>BB</v>
      </c>
      <c r="R347" s="7" t="str">
        <f>IF('Port Bloomberg'!R347="","",'Port Bloomberg'!R347)</f>
        <v>02/12/2048</v>
      </c>
      <c r="S347" s="5">
        <f>IF(E347="","",IFERROR(IF(MATCH(E347,[1]Instrumentos!$D:$D,0)&gt;0,1,0),0))</f>
        <v>1</v>
      </c>
      <c r="T347" s="5">
        <f>IF(E347="","",IFERROR(IF(MATCH(E347,'Lista de excepciones'!$E:$E,0)&gt;0,1,0),0))</f>
        <v>0</v>
      </c>
      <c r="U347" s="6" t="str">
        <f t="shared" si="6"/>
        <v>NO</v>
      </c>
    </row>
    <row r="348" spans="1:21" hidden="1" x14ac:dyDescent="0.25">
      <c r="A348" s="7" t="str">
        <f>IF('Port Bloomberg'!A348="","",'Port Bloomberg'!A348)</f>
        <v>PEMEX 6.35 02/12/48</v>
      </c>
      <c r="B348" s="7" t="str">
        <f>IF('Port Bloomberg'!B348="","",'Port Bloomberg'!B348)</f>
        <v>Petroleos Mexicanos</v>
      </c>
      <c r="C348" s="7" t="str">
        <f>IF('Port Bloomberg'!C348="","",'Port Bloomberg'!C348)</f>
        <v>PETROLEOS MEXICA</v>
      </c>
      <c r="D348" s="7" t="str">
        <f>IF('Port Bloomberg'!D348="","",'Port Bloomberg'!D348)</f>
        <v>PETROLEOS MEXICANOS</v>
      </c>
      <c r="E348" s="7" t="str">
        <f>IF('Port Bloomberg'!E348="","",'Port Bloomberg'!E348)</f>
        <v>USP78625DE05</v>
      </c>
      <c r="F348" s="7" t="str">
        <f>IF('Port Bloomberg'!F348="","",'Port Bloomberg'!F348)</f>
        <v>PEMEX</v>
      </c>
      <c r="G348" s="7" t="str">
        <f>IF('Port Bloomberg'!G348="","",'Port Bloomberg'!G348)</f>
        <v>1232Z MM</v>
      </c>
      <c r="H348" s="7" t="str">
        <f>IF('Port Bloomberg'!H348="","",'Port Bloomberg'!H348)</f>
        <v>Oil&amp;Gas</v>
      </c>
      <c r="I348" s="7" t="str">
        <f>IF('Port Bloomberg'!I348="","",'Port Bloomberg'!I348)</f>
        <v>FOA</v>
      </c>
      <c r="J348" s="7" t="str">
        <f>IF('Port Bloomberg'!J348="","",'Port Bloomberg'!J348)</f>
        <v>Oil Comp-Integrated</v>
      </c>
      <c r="K348" s="7" t="str">
        <f>IF('Port Bloomberg'!K348="","",'Port Bloomberg'!K348)</f>
        <v>MX</v>
      </c>
      <c r="L348" s="7" t="str">
        <f>IF('Port Bloomberg'!L348="","",'Port Bloomberg'!L348)</f>
        <v>MX</v>
      </c>
      <c r="M348" s="7" t="str">
        <f>IF('Port Bloomberg'!M348="","",'Port Bloomberg'!M348)</f>
        <v>USD</v>
      </c>
      <c r="N348" s="7">
        <f>IF('Port Bloomberg'!N348="","",'Port Bloomberg'!N348)</f>
        <v>3328663</v>
      </c>
      <c r="O348" s="7" t="str">
        <f>IF('Port Bloomberg'!O348="","",'Port Bloomberg'!O348)</f>
        <v>SINGLE</v>
      </c>
      <c r="P348" s="7">
        <f>IF('Port Bloomberg'!P348="","",'Port Bloomberg'!P348)</f>
        <v>6.35</v>
      </c>
      <c r="Q348" s="7" t="str">
        <f>IF('Port Bloomberg'!Q348="","",'Port Bloomberg'!Q348)</f>
        <v>BB</v>
      </c>
      <c r="R348" s="7" t="str">
        <f>IF('Port Bloomberg'!R348="","",'Port Bloomberg'!R348)</f>
        <v>02/12/2048</v>
      </c>
      <c r="S348" s="5">
        <f>IF(E348="","",IFERROR(IF(MATCH(E348,[1]Instrumentos!$D:$D,0)&gt;0,1,0),0))</f>
        <v>1</v>
      </c>
      <c r="T348" s="5">
        <f>IF(E348="","",IFERROR(IF(MATCH(E348,'Lista de excepciones'!$E:$E,0)&gt;0,1,0),0))</f>
        <v>0</v>
      </c>
      <c r="U348" s="6" t="str">
        <f t="shared" si="6"/>
        <v>NO</v>
      </c>
    </row>
    <row r="349" spans="1:21" hidden="1" x14ac:dyDescent="0.25">
      <c r="A349" s="7" t="str">
        <f>IF('Port Bloomberg'!A349="","",'Port Bloomberg'!A349)</f>
        <v>PEMEX 6.7 02/16/32</v>
      </c>
      <c r="B349" s="7" t="str">
        <f>IF('Port Bloomberg'!B349="","",'Port Bloomberg'!B349)</f>
        <v>Petroleos Mexicanos</v>
      </c>
      <c r="C349" s="7" t="str">
        <f>IF('Port Bloomberg'!C349="","",'Port Bloomberg'!C349)</f>
        <v>PETROLEOS MEXICA</v>
      </c>
      <c r="D349" s="7" t="str">
        <f>IF('Port Bloomberg'!D349="","",'Port Bloomberg'!D349)</f>
        <v>PETROLEOS MEXICANOS</v>
      </c>
      <c r="E349" s="7" t="str">
        <f>IF('Port Bloomberg'!E349="","",'Port Bloomberg'!E349)</f>
        <v>US71643VAB18</v>
      </c>
      <c r="F349" s="7" t="str">
        <f>IF('Port Bloomberg'!F349="","",'Port Bloomberg'!F349)</f>
        <v>PEMEX</v>
      </c>
      <c r="G349" s="7" t="str">
        <f>IF('Port Bloomberg'!G349="","",'Port Bloomberg'!G349)</f>
        <v>1232Z MM</v>
      </c>
      <c r="H349" s="7" t="str">
        <f>IF('Port Bloomberg'!H349="","",'Port Bloomberg'!H349)</f>
        <v>Oil&amp;Gas</v>
      </c>
      <c r="I349" s="7" t="str">
        <f>IF('Port Bloomberg'!I349="","",'Port Bloomberg'!I349)</f>
        <v>FOA</v>
      </c>
      <c r="J349" s="7" t="str">
        <f>IF('Port Bloomberg'!J349="","",'Port Bloomberg'!J349)</f>
        <v>Oil Comp-Integrated</v>
      </c>
      <c r="K349" s="7" t="str">
        <f>IF('Port Bloomberg'!K349="","",'Port Bloomberg'!K349)</f>
        <v>MX</v>
      </c>
      <c r="L349" s="7" t="str">
        <f>IF('Port Bloomberg'!L349="","",'Port Bloomberg'!L349)</f>
        <v>MX</v>
      </c>
      <c r="M349" s="7" t="str">
        <f>IF('Port Bloomberg'!M349="","",'Port Bloomberg'!M349)</f>
        <v>USD</v>
      </c>
      <c r="N349" s="7">
        <f>IF('Port Bloomberg'!N349="","",'Port Bloomberg'!N349)</f>
        <v>6779842</v>
      </c>
      <c r="O349" s="7" t="str">
        <f>IF('Port Bloomberg'!O349="","",'Port Bloomberg'!O349)</f>
        <v>SINGLE</v>
      </c>
      <c r="P349" s="7">
        <f>IF('Port Bloomberg'!P349="","",'Port Bloomberg'!P349)</f>
        <v>6.7</v>
      </c>
      <c r="Q349" s="7" t="str">
        <f>IF('Port Bloomberg'!Q349="","",'Port Bloomberg'!Q349)</f>
        <v>BB</v>
      </c>
      <c r="R349" s="7" t="str">
        <f>IF('Port Bloomberg'!R349="","",'Port Bloomberg'!R349)</f>
        <v>02/16/2032</v>
      </c>
      <c r="S349" s="5">
        <f>IF(E349="","",IFERROR(IF(MATCH(E349,[1]Instrumentos!$D:$D,0)&gt;0,1,0),0))</f>
        <v>1</v>
      </c>
      <c r="T349" s="5">
        <f>IF(E349="","",IFERROR(IF(MATCH(E349,'Lista de excepciones'!$E:$E,0)&gt;0,1,0),0))</f>
        <v>0</v>
      </c>
      <c r="U349" s="6" t="str">
        <f t="shared" si="6"/>
        <v>NO</v>
      </c>
    </row>
    <row r="350" spans="1:21" hidden="1" x14ac:dyDescent="0.25">
      <c r="A350" s="7" t="str">
        <f>IF('Port Bloomberg'!A350="","",'Port Bloomberg'!A350)</f>
        <v>PEMEX 6.7 02/16/32</v>
      </c>
      <c r="B350" s="7" t="str">
        <f>IF('Port Bloomberg'!B350="","",'Port Bloomberg'!B350)</f>
        <v>Petroleos Mexicanos</v>
      </c>
      <c r="C350" s="7" t="str">
        <f>IF('Port Bloomberg'!C350="","",'Port Bloomberg'!C350)</f>
        <v>PETROLEOS MEXICA</v>
      </c>
      <c r="D350" s="7" t="str">
        <f>IF('Port Bloomberg'!D350="","",'Port Bloomberg'!D350)</f>
        <v>PETROLEOS MEXICANOS</v>
      </c>
      <c r="E350" s="7" t="str">
        <f>IF('Port Bloomberg'!E350="","",'Port Bloomberg'!E350)</f>
        <v>USP8000UAA71</v>
      </c>
      <c r="F350" s="7" t="str">
        <f>IF('Port Bloomberg'!F350="","",'Port Bloomberg'!F350)</f>
        <v>PEMEX</v>
      </c>
      <c r="G350" s="7" t="str">
        <f>IF('Port Bloomberg'!G350="","",'Port Bloomberg'!G350)</f>
        <v>1232Z MM</v>
      </c>
      <c r="H350" s="7" t="str">
        <f>IF('Port Bloomberg'!H350="","",'Port Bloomberg'!H350)</f>
        <v>Oil&amp;Gas</v>
      </c>
      <c r="I350" s="7" t="str">
        <f>IF('Port Bloomberg'!I350="","",'Port Bloomberg'!I350)</f>
        <v>FOA</v>
      </c>
      <c r="J350" s="7" t="str">
        <f>IF('Port Bloomberg'!J350="","",'Port Bloomberg'!J350)</f>
        <v>Oil Comp-Integrated</v>
      </c>
      <c r="K350" s="7" t="str">
        <f>IF('Port Bloomberg'!K350="","",'Port Bloomberg'!K350)</f>
        <v>MX</v>
      </c>
      <c r="L350" s="7" t="str">
        <f>IF('Port Bloomberg'!L350="","",'Port Bloomberg'!L350)</f>
        <v>MX</v>
      </c>
      <c r="M350" s="7" t="str">
        <f>IF('Port Bloomberg'!M350="","",'Port Bloomberg'!M350)</f>
        <v>USD</v>
      </c>
      <c r="N350" s="7">
        <f>IF('Port Bloomberg'!N350="","",'Port Bloomberg'!N350)</f>
        <v>6813567</v>
      </c>
      <c r="O350" s="7" t="str">
        <f>IF('Port Bloomberg'!O350="","",'Port Bloomberg'!O350)</f>
        <v>SINGLE</v>
      </c>
      <c r="P350" s="7">
        <f>IF('Port Bloomberg'!P350="","",'Port Bloomberg'!P350)</f>
        <v>6.7</v>
      </c>
      <c r="Q350" s="7" t="str">
        <f>IF('Port Bloomberg'!Q350="","",'Port Bloomberg'!Q350)</f>
        <v>BB</v>
      </c>
      <c r="R350" s="7" t="str">
        <f>IF('Port Bloomberg'!R350="","",'Port Bloomberg'!R350)</f>
        <v>02/16/2032</v>
      </c>
      <c r="S350" s="5">
        <f>IF(E350="","",IFERROR(IF(MATCH(E350,[1]Instrumentos!$D:$D,0)&gt;0,1,0),0))</f>
        <v>1</v>
      </c>
      <c r="T350" s="5">
        <f>IF(E350="","",IFERROR(IF(MATCH(E350,'Lista de excepciones'!$E:$E,0)&gt;0,1,0),0))</f>
        <v>0</v>
      </c>
      <c r="U350" s="6" t="str">
        <f t="shared" si="6"/>
        <v>NO</v>
      </c>
    </row>
    <row r="351" spans="1:21" hidden="1" x14ac:dyDescent="0.25">
      <c r="A351" s="7" t="str">
        <f>IF('Port Bloomberg'!A351="","",'Port Bloomberg'!A351)</f>
        <v>PEMEX 6.84 01/23/30</v>
      </c>
      <c r="B351" s="7" t="str">
        <f>IF('Port Bloomberg'!B351="","",'Port Bloomberg'!B351)</f>
        <v>Petroleos Mexicanos</v>
      </c>
      <c r="C351" s="7" t="str">
        <f>IF('Port Bloomberg'!C351="","",'Port Bloomberg'!C351)</f>
        <v>PETROLEOS MEXICA</v>
      </c>
      <c r="D351" s="7" t="str">
        <f>IF('Port Bloomberg'!D351="","",'Port Bloomberg'!D351)</f>
        <v>PETROLEOS MEXICANOS</v>
      </c>
      <c r="E351" s="7" t="str">
        <f>IF('Port Bloomberg'!E351="","",'Port Bloomberg'!E351)</f>
        <v>US71654QDC33</v>
      </c>
      <c r="F351" s="7" t="str">
        <f>IF('Port Bloomberg'!F351="","",'Port Bloomberg'!F351)</f>
        <v>PEMEX</v>
      </c>
      <c r="G351" s="7" t="str">
        <f>IF('Port Bloomberg'!G351="","",'Port Bloomberg'!G351)</f>
        <v>1232Z MM</v>
      </c>
      <c r="H351" s="7" t="str">
        <f>IF('Port Bloomberg'!H351="","",'Port Bloomberg'!H351)</f>
        <v>Oil&amp;Gas</v>
      </c>
      <c r="I351" s="7" t="str">
        <f>IF('Port Bloomberg'!I351="","",'Port Bloomberg'!I351)</f>
        <v>FOA</v>
      </c>
      <c r="J351" s="7" t="str">
        <f>IF('Port Bloomberg'!J351="","",'Port Bloomberg'!J351)</f>
        <v>Oil Comp-Integrated</v>
      </c>
      <c r="K351" s="7" t="str">
        <f>IF('Port Bloomberg'!K351="","",'Port Bloomberg'!K351)</f>
        <v>MX</v>
      </c>
      <c r="L351" s="7" t="str">
        <f>IF('Port Bloomberg'!L351="","",'Port Bloomberg'!L351)</f>
        <v>MX</v>
      </c>
      <c r="M351" s="7" t="str">
        <f>IF('Port Bloomberg'!M351="","",'Port Bloomberg'!M351)</f>
        <v>USD</v>
      </c>
      <c r="N351" s="7">
        <f>IF('Port Bloomberg'!N351="","",'Port Bloomberg'!N351)</f>
        <v>4387135</v>
      </c>
      <c r="O351" s="7" t="str">
        <f>IF('Port Bloomberg'!O351="","",'Port Bloomberg'!O351)</f>
        <v>SINGLE</v>
      </c>
      <c r="P351" s="7">
        <f>IF('Port Bloomberg'!P351="","",'Port Bloomberg'!P351)</f>
        <v>6.84</v>
      </c>
      <c r="Q351" s="7" t="str">
        <f>IF('Port Bloomberg'!Q351="","",'Port Bloomberg'!Q351)</f>
        <v>BB</v>
      </c>
      <c r="R351" s="7" t="str">
        <f>IF('Port Bloomberg'!R351="","",'Port Bloomberg'!R351)</f>
        <v>01/23/2030</v>
      </c>
      <c r="S351" s="5">
        <f>IF(E351="","",IFERROR(IF(MATCH(E351,[1]Instrumentos!$D:$D,0)&gt;0,1,0),0))</f>
        <v>1</v>
      </c>
      <c r="T351" s="5">
        <f>IF(E351="","",IFERROR(IF(MATCH(E351,'Lista de excepciones'!$E:$E,0)&gt;0,1,0),0))</f>
        <v>0</v>
      </c>
      <c r="U351" s="6" t="str">
        <f t="shared" si="6"/>
        <v>NO</v>
      </c>
    </row>
    <row r="352" spans="1:21" hidden="1" x14ac:dyDescent="0.25">
      <c r="A352" s="7" t="str">
        <f>IF('Port Bloomberg'!A352="","",'Port Bloomberg'!A352)</f>
        <v>PEMEX 6.84 01/23/30</v>
      </c>
      <c r="B352" s="7" t="str">
        <f>IF('Port Bloomberg'!B352="","",'Port Bloomberg'!B352)</f>
        <v>Petroleos Mexicanos</v>
      </c>
      <c r="C352" s="7" t="str">
        <f>IF('Port Bloomberg'!C352="","",'Port Bloomberg'!C352)</f>
        <v>PETROLEOS MEXICA</v>
      </c>
      <c r="D352" s="7" t="str">
        <f>IF('Port Bloomberg'!D352="","",'Port Bloomberg'!D352)</f>
        <v>PETROLEOS MEXICANOS</v>
      </c>
      <c r="E352" s="7" t="str">
        <f>IF('Port Bloomberg'!E352="","",'Port Bloomberg'!E352)</f>
        <v>USP78625DX85</v>
      </c>
      <c r="F352" s="7" t="str">
        <f>IF('Port Bloomberg'!F352="","",'Port Bloomberg'!F352)</f>
        <v>PEMEX</v>
      </c>
      <c r="G352" s="7" t="str">
        <f>IF('Port Bloomberg'!G352="","",'Port Bloomberg'!G352)</f>
        <v>1232Z MM</v>
      </c>
      <c r="H352" s="7" t="str">
        <f>IF('Port Bloomberg'!H352="","",'Port Bloomberg'!H352)</f>
        <v>Oil&amp;Gas</v>
      </c>
      <c r="I352" s="7" t="str">
        <f>IF('Port Bloomberg'!I352="","",'Port Bloomberg'!I352)</f>
        <v>FOA</v>
      </c>
      <c r="J352" s="7" t="str">
        <f>IF('Port Bloomberg'!J352="","",'Port Bloomberg'!J352)</f>
        <v>Oil Comp-Integrated</v>
      </c>
      <c r="K352" s="7" t="str">
        <f>IF('Port Bloomberg'!K352="","",'Port Bloomberg'!K352)</f>
        <v>MX</v>
      </c>
      <c r="L352" s="7" t="str">
        <f>IF('Port Bloomberg'!L352="","",'Port Bloomberg'!L352)</f>
        <v>MX</v>
      </c>
      <c r="M352" s="7" t="str">
        <f>IF('Port Bloomberg'!M352="","",'Port Bloomberg'!M352)</f>
        <v>USD</v>
      </c>
      <c r="N352" s="7">
        <f>IF('Port Bloomberg'!N352="","",'Port Bloomberg'!N352)</f>
        <v>4420831</v>
      </c>
      <c r="O352" s="7" t="str">
        <f>IF('Port Bloomberg'!O352="","",'Port Bloomberg'!O352)</f>
        <v>SINGLE</v>
      </c>
      <c r="P352" s="7">
        <f>IF('Port Bloomberg'!P352="","",'Port Bloomberg'!P352)</f>
        <v>6.84</v>
      </c>
      <c r="Q352" s="7" t="str">
        <f>IF('Port Bloomberg'!Q352="","",'Port Bloomberg'!Q352)</f>
        <v>BB</v>
      </c>
      <c r="R352" s="7" t="str">
        <f>IF('Port Bloomberg'!R352="","",'Port Bloomberg'!R352)</f>
        <v>01/23/2030</v>
      </c>
      <c r="S352" s="5">
        <f>IF(E352="","",IFERROR(IF(MATCH(E352,[1]Instrumentos!$D:$D,0)&gt;0,1,0),0))</f>
        <v>1</v>
      </c>
      <c r="T352" s="5">
        <f>IF(E352="","",IFERROR(IF(MATCH(E352,'Lista de excepciones'!$E:$E,0)&gt;0,1,0),0))</f>
        <v>0</v>
      </c>
      <c r="U352" s="6" t="str">
        <f t="shared" si="6"/>
        <v>NO</v>
      </c>
    </row>
    <row r="353" spans="1:21" hidden="1" x14ac:dyDescent="0.25">
      <c r="A353" s="7" t="str">
        <f>IF('Port Bloomberg'!A353="","",'Port Bloomberg'!A353)</f>
        <v>PEMEX 6.95 01/28/60</v>
      </c>
      <c r="B353" s="7" t="str">
        <f>IF('Port Bloomberg'!B353="","",'Port Bloomberg'!B353)</f>
        <v>Petroleos Mexicanos</v>
      </c>
      <c r="C353" s="7" t="str">
        <f>IF('Port Bloomberg'!C353="","",'Port Bloomberg'!C353)</f>
        <v>PETROLEOS MEXICA</v>
      </c>
      <c r="D353" s="7" t="str">
        <f>IF('Port Bloomberg'!D353="","",'Port Bloomberg'!D353)</f>
        <v>PETROLEOS MEXICANOS</v>
      </c>
      <c r="E353" s="7" t="str">
        <f>IF('Port Bloomberg'!E353="","",'Port Bloomberg'!E353)</f>
        <v>USP78625EB56</v>
      </c>
      <c r="F353" s="7" t="str">
        <f>IF('Port Bloomberg'!F353="","",'Port Bloomberg'!F353)</f>
        <v>PEMEX</v>
      </c>
      <c r="G353" s="7" t="str">
        <f>IF('Port Bloomberg'!G353="","",'Port Bloomberg'!G353)</f>
        <v>1232Z MM</v>
      </c>
      <c r="H353" s="7" t="str">
        <f>IF('Port Bloomberg'!H353="","",'Port Bloomberg'!H353)</f>
        <v>Oil&amp;Gas</v>
      </c>
      <c r="I353" s="7" t="str">
        <f>IF('Port Bloomberg'!I353="","",'Port Bloomberg'!I353)</f>
        <v>FOA</v>
      </c>
      <c r="J353" s="7" t="str">
        <f>IF('Port Bloomberg'!J353="","",'Port Bloomberg'!J353)</f>
        <v>Oil Comp-Integrated</v>
      </c>
      <c r="K353" s="7" t="str">
        <f>IF('Port Bloomberg'!K353="","",'Port Bloomberg'!K353)</f>
        <v>MX</v>
      </c>
      <c r="L353" s="7" t="str">
        <f>IF('Port Bloomberg'!L353="","",'Port Bloomberg'!L353)</f>
        <v>MX</v>
      </c>
      <c r="M353" s="7" t="str">
        <f>IF('Port Bloomberg'!M353="","",'Port Bloomberg'!M353)</f>
        <v>USD</v>
      </c>
      <c r="N353" s="7">
        <f>IF('Port Bloomberg'!N353="","",'Port Bloomberg'!N353)</f>
        <v>3800000</v>
      </c>
      <c r="O353" s="7" t="str">
        <f>IF('Port Bloomberg'!O353="","",'Port Bloomberg'!O353)</f>
        <v>SINGLE</v>
      </c>
      <c r="P353" s="7">
        <f>IF('Port Bloomberg'!P353="","",'Port Bloomberg'!P353)</f>
        <v>6.95</v>
      </c>
      <c r="Q353" s="7" t="str">
        <f>IF('Port Bloomberg'!Q353="","",'Port Bloomberg'!Q353)</f>
        <v>BB</v>
      </c>
      <c r="R353" s="7" t="str">
        <f>IF('Port Bloomberg'!R353="","",'Port Bloomberg'!R353)</f>
        <v>01/28/2060</v>
      </c>
      <c r="S353" s="5">
        <f>IF(E353="","",IFERROR(IF(MATCH(E353,[1]Instrumentos!$D:$D,0)&gt;0,1,0),0))</f>
        <v>1</v>
      </c>
      <c r="T353" s="5">
        <f>IF(E353="","",IFERROR(IF(MATCH(E353,'Lista de excepciones'!$E:$E,0)&gt;0,1,0),0))</f>
        <v>0</v>
      </c>
      <c r="U353" s="6" t="str">
        <f t="shared" si="6"/>
        <v>NO</v>
      </c>
    </row>
    <row r="354" spans="1:21" hidden="1" x14ac:dyDescent="0.25">
      <c r="A354" s="7" t="str">
        <f>IF('Port Bloomberg'!A354="","",'Port Bloomberg'!A354)</f>
        <v>PEMEX 6.95 01/28/60</v>
      </c>
      <c r="B354" s="7" t="str">
        <f>IF('Port Bloomberg'!B354="","",'Port Bloomberg'!B354)</f>
        <v>Petroleos Mexicanos</v>
      </c>
      <c r="C354" s="7" t="str">
        <f>IF('Port Bloomberg'!C354="","",'Port Bloomberg'!C354)</f>
        <v>PETROLEOS MEXICA</v>
      </c>
      <c r="D354" s="7" t="str">
        <f>IF('Port Bloomberg'!D354="","",'Port Bloomberg'!D354)</f>
        <v>PETROLEOS MEXICANOS</v>
      </c>
      <c r="E354" s="7" t="str">
        <f>IF('Port Bloomberg'!E354="","",'Port Bloomberg'!E354)</f>
        <v>US71654QDF63</v>
      </c>
      <c r="F354" s="7" t="str">
        <f>IF('Port Bloomberg'!F354="","",'Port Bloomberg'!F354)</f>
        <v>PEMEX</v>
      </c>
      <c r="G354" s="7" t="str">
        <f>IF('Port Bloomberg'!G354="","",'Port Bloomberg'!G354)</f>
        <v>1232Z MM</v>
      </c>
      <c r="H354" s="7" t="str">
        <f>IF('Port Bloomberg'!H354="","",'Port Bloomberg'!H354)</f>
        <v>Oil&amp;Gas</v>
      </c>
      <c r="I354" s="7" t="str">
        <f>IF('Port Bloomberg'!I354="","",'Port Bloomberg'!I354)</f>
        <v>FOA</v>
      </c>
      <c r="J354" s="7" t="str">
        <f>IF('Port Bloomberg'!J354="","",'Port Bloomberg'!J354)</f>
        <v>Oil Comp-Integrated</v>
      </c>
      <c r="K354" s="7" t="str">
        <f>IF('Port Bloomberg'!K354="","",'Port Bloomberg'!K354)</f>
        <v>MX</v>
      </c>
      <c r="L354" s="7" t="str">
        <f>IF('Port Bloomberg'!L354="","",'Port Bloomberg'!L354)</f>
        <v>MX</v>
      </c>
      <c r="M354" s="7" t="str">
        <f>IF('Port Bloomberg'!M354="","",'Port Bloomberg'!M354)</f>
        <v>USD</v>
      </c>
      <c r="N354" s="7">
        <f>IF('Port Bloomberg'!N354="","",'Port Bloomberg'!N354)</f>
        <v>3796812</v>
      </c>
      <c r="O354" s="7" t="str">
        <f>IF('Port Bloomberg'!O354="","",'Port Bloomberg'!O354)</f>
        <v>SINGLE</v>
      </c>
      <c r="P354" s="7">
        <f>IF('Port Bloomberg'!P354="","",'Port Bloomberg'!P354)</f>
        <v>6.95</v>
      </c>
      <c r="Q354" s="7" t="str">
        <f>IF('Port Bloomberg'!Q354="","",'Port Bloomberg'!Q354)</f>
        <v>BB</v>
      </c>
      <c r="R354" s="7" t="str">
        <f>IF('Port Bloomberg'!R354="","",'Port Bloomberg'!R354)</f>
        <v>01/28/2060</v>
      </c>
      <c r="S354" s="5">
        <f>IF(E354="","",IFERROR(IF(MATCH(E354,[1]Instrumentos!$D:$D,0)&gt;0,1,0),0))</f>
        <v>1</v>
      </c>
      <c r="T354" s="5">
        <f>IF(E354="","",IFERROR(IF(MATCH(E354,'Lista de excepciones'!$E:$E,0)&gt;0,1,0),0))</f>
        <v>0</v>
      </c>
      <c r="U354" s="6" t="str">
        <f t="shared" si="6"/>
        <v>NO</v>
      </c>
    </row>
    <row r="355" spans="1:21" hidden="1" x14ac:dyDescent="0.25">
      <c r="A355" s="7" t="str">
        <f>IF('Port Bloomberg'!A355="","",'Port Bloomberg'!A355)</f>
        <v>PEMEX 7.69 01/23/50</v>
      </c>
      <c r="B355" s="7" t="str">
        <f>IF('Port Bloomberg'!B355="","",'Port Bloomberg'!B355)</f>
        <v>Petroleos Mexicanos</v>
      </c>
      <c r="C355" s="7" t="str">
        <f>IF('Port Bloomberg'!C355="","",'Port Bloomberg'!C355)</f>
        <v>PETROLEOS MEXICA</v>
      </c>
      <c r="D355" s="7" t="str">
        <f>IF('Port Bloomberg'!D355="","",'Port Bloomberg'!D355)</f>
        <v>PETROLEOS MEXICANOS</v>
      </c>
      <c r="E355" s="7" t="str">
        <f>IF('Port Bloomberg'!E355="","",'Port Bloomberg'!E355)</f>
        <v>US71654QDD16</v>
      </c>
      <c r="F355" s="7" t="str">
        <f>IF('Port Bloomberg'!F355="","",'Port Bloomberg'!F355)</f>
        <v>PEMEX</v>
      </c>
      <c r="G355" s="7" t="str">
        <f>IF('Port Bloomberg'!G355="","",'Port Bloomberg'!G355)</f>
        <v>1232Z MM</v>
      </c>
      <c r="H355" s="7" t="str">
        <f>IF('Port Bloomberg'!H355="","",'Port Bloomberg'!H355)</f>
        <v>Oil&amp;Gas</v>
      </c>
      <c r="I355" s="7" t="str">
        <f>IF('Port Bloomberg'!I355="","",'Port Bloomberg'!I355)</f>
        <v>FOA</v>
      </c>
      <c r="J355" s="7" t="str">
        <f>IF('Port Bloomberg'!J355="","",'Port Bloomberg'!J355)</f>
        <v>Oil Comp-Integrated</v>
      </c>
      <c r="K355" s="7" t="str">
        <f>IF('Port Bloomberg'!K355="","",'Port Bloomberg'!K355)</f>
        <v>MX</v>
      </c>
      <c r="L355" s="7" t="str">
        <f>IF('Port Bloomberg'!L355="","",'Port Bloomberg'!L355)</f>
        <v>MX</v>
      </c>
      <c r="M355" s="7" t="str">
        <f>IF('Port Bloomberg'!M355="","",'Port Bloomberg'!M355)</f>
        <v>USD</v>
      </c>
      <c r="N355" s="7">
        <f>IF('Port Bloomberg'!N355="","",'Port Bloomberg'!N355)</f>
        <v>8047831</v>
      </c>
      <c r="O355" s="7" t="str">
        <f>IF('Port Bloomberg'!O355="","",'Port Bloomberg'!O355)</f>
        <v>SINGLE</v>
      </c>
      <c r="P355" s="7">
        <f>IF('Port Bloomberg'!P355="","",'Port Bloomberg'!P355)</f>
        <v>7.69</v>
      </c>
      <c r="Q355" s="7" t="str">
        <f>IF('Port Bloomberg'!Q355="","",'Port Bloomberg'!Q355)</f>
        <v>BB</v>
      </c>
      <c r="R355" s="7" t="str">
        <f>IF('Port Bloomberg'!R355="","",'Port Bloomberg'!R355)</f>
        <v>01/23/2050</v>
      </c>
      <c r="S355" s="5">
        <f>IF(E355="","",IFERROR(IF(MATCH(E355,[1]Instrumentos!$D:$D,0)&gt;0,1,0),0))</f>
        <v>1</v>
      </c>
      <c r="T355" s="5">
        <f>IF(E355="","",IFERROR(IF(MATCH(E355,'Lista de excepciones'!$E:$E,0)&gt;0,1,0),0))</f>
        <v>0</v>
      </c>
      <c r="U355" s="6" t="str">
        <f t="shared" si="6"/>
        <v>NO</v>
      </c>
    </row>
    <row r="356" spans="1:21" hidden="1" x14ac:dyDescent="0.25">
      <c r="A356" s="7" t="str">
        <f>IF('Port Bloomberg'!A356="","",'Port Bloomberg'!A356)</f>
        <v>PEMEX 7.69 01/23/50</v>
      </c>
      <c r="B356" s="7" t="str">
        <f>IF('Port Bloomberg'!B356="","",'Port Bloomberg'!B356)</f>
        <v>Petroleos Mexicanos</v>
      </c>
      <c r="C356" s="7" t="str">
        <f>IF('Port Bloomberg'!C356="","",'Port Bloomberg'!C356)</f>
        <v>PETROLEOS MEXICA</v>
      </c>
      <c r="D356" s="7" t="str">
        <f>IF('Port Bloomberg'!D356="","",'Port Bloomberg'!D356)</f>
        <v>PETROLEOS MEXICANOS</v>
      </c>
      <c r="E356" s="7" t="str">
        <f>IF('Port Bloomberg'!E356="","",'Port Bloomberg'!E356)</f>
        <v>USP78625DY68</v>
      </c>
      <c r="F356" s="7" t="str">
        <f>IF('Port Bloomberg'!F356="","",'Port Bloomberg'!F356)</f>
        <v>PEMEX</v>
      </c>
      <c r="G356" s="7" t="str">
        <f>IF('Port Bloomberg'!G356="","",'Port Bloomberg'!G356)</f>
        <v>1232Z MM</v>
      </c>
      <c r="H356" s="7" t="str">
        <f>IF('Port Bloomberg'!H356="","",'Port Bloomberg'!H356)</f>
        <v>Oil&amp;Gas</v>
      </c>
      <c r="I356" s="7" t="str">
        <f>IF('Port Bloomberg'!I356="","",'Port Bloomberg'!I356)</f>
        <v>FOA</v>
      </c>
      <c r="J356" s="7" t="str">
        <f>IF('Port Bloomberg'!J356="","",'Port Bloomberg'!J356)</f>
        <v>Oil Comp-Integrated</v>
      </c>
      <c r="K356" s="7" t="str">
        <f>IF('Port Bloomberg'!K356="","",'Port Bloomberg'!K356)</f>
        <v>MX</v>
      </c>
      <c r="L356" s="7" t="str">
        <f>IF('Port Bloomberg'!L356="","",'Port Bloomberg'!L356)</f>
        <v>MX</v>
      </c>
      <c r="M356" s="7" t="str">
        <f>IF('Port Bloomberg'!M356="","",'Port Bloomberg'!M356)</f>
        <v>USD</v>
      </c>
      <c r="N356" s="7">
        <f>IF('Port Bloomberg'!N356="","",'Port Bloomberg'!N356)</f>
        <v>8066405</v>
      </c>
      <c r="O356" s="7" t="str">
        <f>IF('Port Bloomberg'!O356="","",'Port Bloomberg'!O356)</f>
        <v>SINGLE</v>
      </c>
      <c r="P356" s="7">
        <f>IF('Port Bloomberg'!P356="","",'Port Bloomberg'!P356)</f>
        <v>7.69</v>
      </c>
      <c r="Q356" s="7" t="str">
        <f>IF('Port Bloomberg'!Q356="","",'Port Bloomberg'!Q356)</f>
        <v>BB</v>
      </c>
      <c r="R356" s="7" t="str">
        <f>IF('Port Bloomberg'!R356="","",'Port Bloomberg'!R356)</f>
        <v>01/23/2050</v>
      </c>
      <c r="S356" s="5">
        <f>IF(E356="","",IFERROR(IF(MATCH(E356,[1]Instrumentos!$D:$D,0)&gt;0,1,0),0))</f>
        <v>1</v>
      </c>
      <c r="T356" s="5">
        <f>IF(E356="","",IFERROR(IF(MATCH(E356,'Lista de excepciones'!$E:$E,0)&gt;0,1,0),0))</f>
        <v>0</v>
      </c>
      <c r="U356" s="6" t="str">
        <f t="shared" si="6"/>
        <v>NO</v>
      </c>
    </row>
    <row r="357" spans="1:21" hidden="1" x14ac:dyDescent="0.25">
      <c r="A357" s="7" t="str">
        <f>IF('Port Bloomberg'!A357="","",'Port Bloomberg'!A357)</f>
        <v>PEMEX 8 ¾ 06/02/29</v>
      </c>
      <c r="B357" s="7" t="str">
        <f>IF('Port Bloomberg'!B357="","",'Port Bloomberg'!B357)</f>
        <v>Petroleos Mexicanos</v>
      </c>
      <c r="C357" s="7" t="str">
        <f>IF('Port Bloomberg'!C357="","",'Port Bloomberg'!C357)</f>
        <v>PETROLEOS MEXICA</v>
      </c>
      <c r="D357" s="7" t="str">
        <f>IF('Port Bloomberg'!D357="","",'Port Bloomberg'!D357)</f>
        <v>PETROLEOS MEXICANOS</v>
      </c>
      <c r="E357" s="7" t="str">
        <f>IF('Port Bloomberg'!E357="","",'Port Bloomberg'!E357)</f>
        <v>US71654QDK58</v>
      </c>
      <c r="F357" s="7" t="str">
        <f>IF('Port Bloomberg'!F357="","",'Port Bloomberg'!F357)</f>
        <v>PEMEX</v>
      </c>
      <c r="G357" s="7" t="str">
        <f>IF('Port Bloomberg'!G357="","",'Port Bloomberg'!G357)</f>
        <v>1232Z MM</v>
      </c>
      <c r="H357" s="7" t="str">
        <f>IF('Port Bloomberg'!H357="","",'Port Bloomberg'!H357)</f>
        <v>Oil&amp;Gas</v>
      </c>
      <c r="I357" s="7" t="str">
        <f>IF('Port Bloomberg'!I357="","",'Port Bloomberg'!I357)</f>
        <v>FOA</v>
      </c>
      <c r="J357" s="7" t="str">
        <f>IF('Port Bloomberg'!J357="","",'Port Bloomberg'!J357)</f>
        <v>Oil Comp-Integrated</v>
      </c>
      <c r="K357" s="7" t="str">
        <f>IF('Port Bloomberg'!K357="","",'Port Bloomberg'!K357)</f>
        <v>MX</v>
      </c>
      <c r="L357" s="7" t="str">
        <f>IF('Port Bloomberg'!L357="","",'Port Bloomberg'!L357)</f>
        <v>MX</v>
      </c>
      <c r="M357" s="7" t="str">
        <f>IF('Port Bloomberg'!M357="","",'Port Bloomberg'!M357)</f>
        <v>USD</v>
      </c>
      <c r="N357" s="7">
        <f>IF('Port Bloomberg'!N357="","",'Port Bloomberg'!N357)</f>
        <v>1984688.669</v>
      </c>
      <c r="O357" s="7" t="str">
        <f>IF('Port Bloomberg'!O357="","",'Port Bloomberg'!O357)</f>
        <v>SINGLE</v>
      </c>
      <c r="P357" s="7">
        <f>IF('Port Bloomberg'!P357="","",'Port Bloomberg'!P357)</f>
        <v>8.75</v>
      </c>
      <c r="Q357" s="7" t="str">
        <f>IF('Port Bloomberg'!Q357="","",'Port Bloomberg'!Q357)</f>
        <v>BB</v>
      </c>
      <c r="R357" s="7" t="str">
        <f>IF('Port Bloomberg'!R357="","",'Port Bloomberg'!R357)</f>
        <v>06/02/2029</v>
      </c>
      <c r="S357" s="5">
        <f>IF(E357="","",IFERROR(IF(MATCH(E357,[1]Instrumentos!$D:$D,0)&gt;0,1,0),0))</f>
        <v>0</v>
      </c>
      <c r="T357" s="5">
        <f>IF(E357="","",IFERROR(IF(MATCH(E357,'Lista de excepciones'!$E:$E,0)&gt;0,1,0),0))</f>
        <v>1</v>
      </c>
      <c r="U357" s="6" t="str">
        <f t="shared" si="6"/>
        <v>NO</v>
      </c>
    </row>
    <row r="358" spans="1:21" hidden="1" x14ac:dyDescent="0.25">
      <c r="A358" s="7" t="str">
        <f>IF('Port Bloomberg'!A358="","",'Port Bloomberg'!A358)</f>
        <v>PEMEX 8 ¾ 06/02/29</v>
      </c>
      <c r="B358" s="7" t="str">
        <f>IF('Port Bloomberg'!B358="","",'Port Bloomberg'!B358)</f>
        <v>Petroleos Mexicanos</v>
      </c>
      <c r="C358" s="7" t="str">
        <f>IF('Port Bloomberg'!C358="","",'Port Bloomberg'!C358)</f>
        <v>PETROLEOS MEXICA</v>
      </c>
      <c r="D358" s="7" t="str">
        <f>IF('Port Bloomberg'!D358="","",'Port Bloomberg'!D358)</f>
        <v>PETROLEOS MEXICANOS</v>
      </c>
      <c r="E358" s="7" t="str">
        <f>IF('Port Bloomberg'!E358="","",'Port Bloomberg'!E358)</f>
        <v>US71654QDL32</v>
      </c>
      <c r="F358" s="7" t="str">
        <f>IF('Port Bloomberg'!F358="","",'Port Bloomberg'!F358)</f>
        <v>PEMEX</v>
      </c>
      <c r="G358" s="7" t="str">
        <f>IF('Port Bloomberg'!G358="","",'Port Bloomberg'!G358)</f>
        <v>1232Z MM</v>
      </c>
      <c r="H358" s="7" t="str">
        <f>IF('Port Bloomberg'!H358="","",'Port Bloomberg'!H358)</f>
        <v>Oil&amp;Gas</v>
      </c>
      <c r="I358" s="7" t="str">
        <f>IF('Port Bloomberg'!I358="","",'Port Bloomberg'!I358)</f>
        <v>FOA</v>
      </c>
      <c r="J358" s="7" t="str">
        <f>IF('Port Bloomberg'!J358="","",'Port Bloomberg'!J358)</f>
        <v>Oil Comp-Integrated</v>
      </c>
      <c r="K358" s="7" t="str">
        <f>IF('Port Bloomberg'!K358="","",'Port Bloomberg'!K358)</f>
        <v>MX</v>
      </c>
      <c r="L358" s="7" t="str">
        <f>IF('Port Bloomberg'!L358="","",'Port Bloomberg'!L358)</f>
        <v>MX</v>
      </c>
      <c r="M358" s="7" t="str">
        <f>IF('Port Bloomberg'!M358="","",'Port Bloomberg'!M358)</f>
        <v>USD</v>
      </c>
      <c r="N358" s="7">
        <f>IF('Port Bloomberg'!N358="","",'Port Bloomberg'!N358)</f>
        <v>1908684.7050000001</v>
      </c>
      <c r="O358" s="7" t="str">
        <f>IF('Port Bloomberg'!O358="","",'Port Bloomberg'!O358)</f>
        <v>SINGLE</v>
      </c>
      <c r="P358" s="7">
        <f>IF('Port Bloomberg'!P358="","",'Port Bloomberg'!P358)</f>
        <v>8.75</v>
      </c>
      <c r="Q358" s="7" t="str">
        <f>IF('Port Bloomberg'!Q358="","",'Port Bloomberg'!Q358)</f>
        <v>BB</v>
      </c>
      <c r="R358" s="7" t="str">
        <f>IF('Port Bloomberg'!R358="","",'Port Bloomberg'!R358)</f>
        <v>06/02/2029</v>
      </c>
      <c r="S358" s="5">
        <f>IF(E358="","",IFERROR(IF(MATCH(E358,[1]Instrumentos!$D:$D,0)&gt;0,1,0),0))</f>
        <v>1</v>
      </c>
      <c r="T358" s="5">
        <f>IF(E358="","",IFERROR(IF(MATCH(E358,'Lista de excepciones'!$E:$E,0)&gt;0,1,0),0))</f>
        <v>0</v>
      </c>
      <c r="U358" s="6" t="str">
        <f t="shared" si="6"/>
        <v>NO</v>
      </c>
    </row>
    <row r="359" spans="1:21" hidden="1" x14ac:dyDescent="0.25">
      <c r="A359" s="7" t="str">
        <f>IF('Port Bloomberg'!A359="","",'Port Bloomberg'!A359)</f>
        <v>PEMEX 8 ¾ 06/02/29</v>
      </c>
      <c r="B359" s="7" t="str">
        <f>IF('Port Bloomberg'!B359="","",'Port Bloomberg'!B359)</f>
        <v>Petroleos Mexicanos</v>
      </c>
      <c r="C359" s="7" t="str">
        <f>IF('Port Bloomberg'!C359="","",'Port Bloomberg'!C359)</f>
        <v>PETROLEOS MEXICA</v>
      </c>
      <c r="D359" s="7" t="str">
        <f>IF('Port Bloomberg'!D359="","",'Port Bloomberg'!D359)</f>
        <v>PETROLEOS MEXICANOS</v>
      </c>
      <c r="E359" s="7" t="str">
        <f>IF('Port Bloomberg'!E359="","",'Port Bloomberg'!E359)</f>
        <v>USP7S08VCA70</v>
      </c>
      <c r="F359" s="7" t="str">
        <f>IF('Port Bloomberg'!F359="","",'Port Bloomberg'!F359)</f>
        <v>PEMEX</v>
      </c>
      <c r="G359" s="7" t="str">
        <f>IF('Port Bloomberg'!G359="","",'Port Bloomberg'!G359)</f>
        <v>1232Z MM</v>
      </c>
      <c r="H359" s="7" t="str">
        <f>IF('Port Bloomberg'!H359="","",'Port Bloomberg'!H359)</f>
        <v>Oil&amp;Gas</v>
      </c>
      <c r="I359" s="7" t="str">
        <f>IF('Port Bloomberg'!I359="","",'Port Bloomberg'!I359)</f>
        <v>FOA</v>
      </c>
      <c r="J359" s="7" t="str">
        <f>IF('Port Bloomberg'!J359="","",'Port Bloomberg'!J359)</f>
        <v>Oil Comp-Integrated</v>
      </c>
      <c r="K359" s="7" t="str">
        <f>IF('Port Bloomberg'!K359="","",'Port Bloomberg'!K359)</f>
        <v>MX</v>
      </c>
      <c r="L359" s="7" t="str">
        <f>IF('Port Bloomberg'!L359="","",'Port Bloomberg'!L359)</f>
        <v>MX</v>
      </c>
      <c r="M359" s="7" t="str">
        <f>IF('Port Bloomberg'!M359="","",'Port Bloomberg'!M359)</f>
        <v>USD</v>
      </c>
      <c r="N359" s="7">
        <f>IF('Port Bloomberg'!N359="","",'Port Bloomberg'!N359)</f>
        <v>1984688.669</v>
      </c>
      <c r="O359" s="7" t="str">
        <f>IF('Port Bloomberg'!O359="","",'Port Bloomberg'!O359)</f>
        <v>SINGLE</v>
      </c>
      <c r="P359" s="7">
        <f>IF('Port Bloomberg'!P359="","",'Port Bloomberg'!P359)</f>
        <v>8.75</v>
      </c>
      <c r="Q359" s="7" t="str">
        <f>IF('Port Bloomberg'!Q359="","",'Port Bloomberg'!Q359)</f>
        <v>BB</v>
      </c>
      <c r="R359" s="7" t="str">
        <f>IF('Port Bloomberg'!R359="","",'Port Bloomberg'!R359)</f>
        <v>06/02/2029</v>
      </c>
      <c r="S359" s="5">
        <f>IF(E359="","",IFERROR(IF(MATCH(E359,[1]Instrumentos!$D:$D,0)&gt;0,1,0),0))</f>
        <v>1</v>
      </c>
      <c r="T359" s="5">
        <f>IF(E359="","",IFERROR(IF(MATCH(E359,'Lista de excepciones'!$E:$E,0)&gt;0,1,0),0))</f>
        <v>0</v>
      </c>
      <c r="U359" s="6" t="str">
        <f t="shared" si="6"/>
        <v>NO</v>
      </c>
    </row>
    <row r="360" spans="1:21" hidden="1" x14ac:dyDescent="0.25">
      <c r="A360" s="7" t="str">
        <f>IF('Port Bloomberg'!A360="","",'Port Bloomberg'!A360)</f>
        <v>PENOMX 4 ¾ 08/06/50</v>
      </c>
      <c r="B360" s="7" t="str">
        <f>IF('Port Bloomberg'!B360="","",'Port Bloomberg'!B360)</f>
        <v>Industrias Penoles SAB de CV</v>
      </c>
      <c r="C360" s="7" t="str">
        <f>IF('Port Bloomberg'!C360="","",'Port Bloomberg'!C360)</f>
        <v>INDUSTRIAS PENOL</v>
      </c>
      <c r="D360" s="7" t="str">
        <f>IF('Port Bloomberg'!D360="","",'Port Bloomberg'!D360)</f>
        <v>INDUSTRIAS PENOLES SAB D</v>
      </c>
      <c r="E360" s="7" t="str">
        <f>IF('Port Bloomberg'!E360="","",'Port Bloomberg'!E360)</f>
        <v>USP55409AC34</v>
      </c>
      <c r="F360" s="7" t="str">
        <f>IF('Port Bloomberg'!F360="","",'Port Bloomberg'!F360)</f>
        <v>PENOMX</v>
      </c>
      <c r="G360" s="7" t="str">
        <f>IF('Port Bloomberg'!G360="","",'Port Bloomberg'!G360)</f>
        <v>PE&amp;OLES* MM</v>
      </c>
      <c r="H360" s="7" t="str">
        <f>IF('Port Bloomberg'!H360="","",'Port Bloomberg'!H360)</f>
        <v>Mining</v>
      </c>
      <c r="I360" s="7" t="str">
        <f>IF('Port Bloomberg'!I360="","",'Port Bloomberg'!I360)</f>
        <v>IND</v>
      </c>
      <c r="J360" s="7" t="str">
        <f>IF('Port Bloomberg'!J360="","",'Port Bloomberg'!J360)</f>
        <v>Non-Ferrous Metals</v>
      </c>
      <c r="K360" s="7" t="str">
        <f>IF('Port Bloomberg'!K360="","",'Port Bloomberg'!K360)</f>
        <v>MX</v>
      </c>
      <c r="L360" s="7" t="str">
        <f>IF('Port Bloomberg'!L360="","",'Port Bloomberg'!L360)</f>
        <v>MX</v>
      </c>
      <c r="M360" s="7" t="str">
        <f>IF('Port Bloomberg'!M360="","",'Port Bloomberg'!M360)</f>
        <v>USD</v>
      </c>
      <c r="N360" s="7">
        <f>IF('Port Bloomberg'!N360="","",'Port Bloomberg'!N360)</f>
        <v>500000</v>
      </c>
      <c r="O360" s="7" t="str">
        <f>IF('Port Bloomberg'!O360="","",'Port Bloomberg'!O360)</f>
        <v>SINGLE</v>
      </c>
      <c r="P360" s="7">
        <f>IF('Port Bloomberg'!P360="","",'Port Bloomberg'!P360)</f>
        <v>4.75</v>
      </c>
      <c r="Q360" s="7" t="str">
        <f>IF('Port Bloomberg'!Q360="","",'Port Bloomberg'!Q360)</f>
        <v>BBB</v>
      </c>
      <c r="R360" s="7" t="str">
        <f>IF('Port Bloomberg'!R360="","",'Port Bloomberg'!R360)</f>
        <v>08/06/2050</v>
      </c>
      <c r="S360" s="5">
        <f>IF(E360="","",IFERROR(IF(MATCH(E360,[1]Instrumentos!$D:$D,0)&gt;0,1,0),0))</f>
        <v>1</v>
      </c>
      <c r="T360" s="5">
        <f>IF(E360="","",IFERROR(IF(MATCH(E360,'Lista de excepciones'!$E:$E,0)&gt;0,1,0),0))</f>
        <v>0</v>
      </c>
      <c r="U360" s="6" t="str">
        <f t="shared" si="6"/>
        <v>NO</v>
      </c>
    </row>
    <row r="361" spans="1:21" hidden="1" x14ac:dyDescent="0.25">
      <c r="A361" s="7" t="str">
        <f>IF('Port Bloomberg'!A361="","",'Port Bloomberg'!A361)</f>
        <v>PENOMX 4.15 09/12/29</v>
      </c>
      <c r="B361" s="7" t="str">
        <f>IF('Port Bloomberg'!B361="","",'Port Bloomberg'!B361)</f>
        <v>Industrias Penoles SAB de CV</v>
      </c>
      <c r="C361" s="7" t="str">
        <f>IF('Port Bloomberg'!C361="","",'Port Bloomberg'!C361)</f>
        <v>INDUSTRIAS PENOL</v>
      </c>
      <c r="D361" s="7" t="str">
        <f>IF('Port Bloomberg'!D361="","",'Port Bloomberg'!D361)</f>
        <v>INDUSTRIAS PENOLES SAB D</v>
      </c>
      <c r="E361" s="7" t="str">
        <f>IF('Port Bloomberg'!E361="","",'Port Bloomberg'!E361)</f>
        <v>USP55409AA77</v>
      </c>
      <c r="F361" s="7" t="str">
        <f>IF('Port Bloomberg'!F361="","",'Port Bloomberg'!F361)</f>
        <v>PENOMX</v>
      </c>
      <c r="G361" s="7" t="str">
        <f>IF('Port Bloomberg'!G361="","",'Port Bloomberg'!G361)</f>
        <v>PE&amp;OLES* MM</v>
      </c>
      <c r="H361" s="7" t="str">
        <f>IF('Port Bloomberg'!H361="","",'Port Bloomberg'!H361)</f>
        <v>Mining</v>
      </c>
      <c r="I361" s="7" t="str">
        <f>IF('Port Bloomberg'!I361="","",'Port Bloomberg'!I361)</f>
        <v>IND</v>
      </c>
      <c r="J361" s="7" t="str">
        <f>IF('Port Bloomberg'!J361="","",'Port Bloomberg'!J361)</f>
        <v>Non-Ferrous Metals</v>
      </c>
      <c r="K361" s="7" t="str">
        <f>IF('Port Bloomberg'!K361="","",'Port Bloomberg'!K361)</f>
        <v>MX</v>
      </c>
      <c r="L361" s="7" t="str">
        <f>IF('Port Bloomberg'!L361="","",'Port Bloomberg'!L361)</f>
        <v>MX</v>
      </c>
      <c r="M361" s="7" t="str">
        <f>IF('Port Bloomberg'!M361="","",'Port Bloomberg'!M361)</f>
        <v>USD</v>
      </c>
      <c r="N361" s="7">
        <f>IF('Port Bloomberg'!N361="","",'Port Bloomberg'!N361)</f>
        <v>650000</v>
      </c>
      <c r="O361" s="7" t="str">
        <f>IF('Port Bloomberg'!O361="","",'Port Bloomberg'!O361)</f>
        <v>SINGLE</v>
      </c>
      <c r="P361" s="7">
        <f>IF('Port Bloomberg'!P361="","",'Port Bloomberg'!P361)</f>
        <v>4.1500000000000004</v>
      </c>
      <c r="Q361" s="7" t="str">
        <f>IF('Port Bloomberg'!Q361="","",'Port Bloomberg'!Q361)</f>
        <v>BBB</v>
      </c>
      <c r="R361" s="7" t="str">
        <f>IF('Port Bloomberg'!R361="","",'Port Bloomberg'!R361)</f>
        <v>09/12/2029</v>
      </c>
      <c r="S361" s="5">
        <f>IF(E361="","",IFERROR(IF(MATCH(E361,[1]Instrumentos!$D:$D,0)&gt;0,1,0),0))</f>
        <v>1</v>
      </c>
      <c r="T361" s="5">
        <f>IF(E361="","",IFERROR(IF(MATCH(E361,'Lista de excepciones'!$E:$E,0)&gt;0,1,0),0))</f>
        <v>0</v>
      </c>
      <c r="U361" s="6" t="str">
        <f t="shared" si="6"/>
        <v>NO</v>
      </c>
    </row>
    <row r="362" spans="1:21" hidden="1" x14ac:dyDescent="0.25">
      <c r="A362" s="7" t="str">
        <f>IF('Port Bloomberg'!A362="","",'Port Bloomberg'!A362)</f>
        <v>PENOMX 5.65 09/12/49</v>
      </c>
      <c r="B362" s="7" t="str">
        <f>IF('Port Bloomberg'!B362="","",'Port Bloomberg'!B362)</f>
        <v>Industrias Penoles SAB de CV</v>
      </c>
      <c r="C362" s="7" t="str">
        <f>IF('Port Bloomberg'!C362="","",'Port Bloomberg'!C362)</f>
        <v>INDUSTRIAS PENOL</v>
      </c>
      <c r="D362" s="7" t="str">
        <f>IF('Port Bloomberg'!D362="","",'Port Bloomberg'!D362)</f>
        <v>INDUSTRIAS PENOLES SAB D</v>
      </c>
      <c r="E362" s="7" t="str">
        <f>IF('Port Bloomberg'!E362="","",'Port Bloomberg'!E362)</f>
        <v>USP55409AB50</v>
      </c>
      <c r="F362" s="7" t="str">
        <f>IF('Port Bloomberg'!F362="","",'Port Bloomberg'!F362)</f>
        <v>PENOMX</v>
      </c>
      <c r="G362" s="7" t="str">
        <f>IF('Port Bloomberg'!G362="","",'Port Bloomberg'!G362)</f>
        <v>PE&amp;OLES* MM</v>
      </c>
      <c r="H362" s="7" t="str">
        <f>IF('Port Bloomberg'!H362="","",'Port Bloomberg'!H362)</f>
        <v>Mining</v>
      </c>
      <c r="I362" s="7" t="str">
        <f>IF('Port Bloomberg'!I362="","",'Port Bloomberg'!I362)</f>
        <v>IND</v>
      </c>
      <c r="J362" s="7" t="str">
        <f>IF('Port Bloomberg'!J362="","",'Port Bloomberg'!J362)</f>
        <v>Non-Ferrous Metals</v>
      </c>
      <c r="K362" s="7" t="str">
        <f>IF('Port Bloomberg'!K362="","",'Port Bloomberg'!K362)</f>
        <v>MX</v>
      </c>
      <c r="L362" s="7" t="str">
        <f>IF('Port Bloomberg'!L362="","",'Port Bloomberg'!L362)</f>
        <v>MX</v>
      </c>
      <c r="M362" s="7" t="str">
        <f>IF('Port Bloomberg'!M362="","",'Port Bloomberg'!M362)</f>
        <v>USD</v>
      </c>
      <c r="N362" s="7">
        <f>IF('Port Bloomberg'!N362="","",'Port Bloomberg'!N362)</f>
        <v>550000</v>
      </c>
      <c r="O362" s="7" t="str">
        <f>IF('Port Bloomberg'!O362="","",'Port Bloomberg'!O362)</f>
        <v>SINGLE</v>
      </c>
      <c r="P362" s="7">
        <f>IF('Port Bloomberg'!P362="","",'Port Bloomberg'!P362)</f>
        <v>5.65</v>
      </c>
      <c r="Q362" s="7" t="str">
        <f>IF('Port Bloomberg'!Q362="","",'Port Bloomberg'!Q362)</f>
        <v>BBB</v>
      </c>
      <c r="R362" s="7" t="str">
        <f>IF('Port Bloomberg'!R362="","",'Port Bloomberg'!R362)</f>
        <v>09/12/2049</v>
      </c>
      <c r="S362" s="5">
        <f>IF(E362="","",IFERROR(IF(MATCH(E362,[1]Instrumentos!$D:$D,0)&gt;0,1,0),0))</f>
        <v>1</v>
      </c>
      <c r="T362" s="5">
        <f>IF(E362="","",IFERROR(IF(MATCH(E362,'Lista de excepciones'!$E:$E,0)&gt;0,1,0),0))</f>
        <v>0</v>
      </c>
      <c r="U362" s="6" t="str">
        <f t="shared" si="6"/>
        <v>NO</v>
      </c>
    </row>
    <row r="363" spans="1:21" hidden="1" x14ac:dyDescent="0.25">
      <c r="A363" s="7" t="str">
        <f>IF('Port Bloomberg'!A363="","",'Port Bloomberg'!A363)</f>
        <v>PETBRA 5 ½ 06/10/51</v>
      </c>
      <c r="B363" s="7" t="str">
        <f>IF('Port Bloomberg'!B363="","",'Port Bloomberg'!B363)</f>
        <v>Petrobras Global Finance BV</v>
      </c>
      <c r="C363" s="7" t="str">
        <f>IF('Port Bloomberg'!C363="","",'Port Bloomberg'!C363)</f>
        <v>PETROBRAS GLOB</v>
      </c>
      <c r="D363" s="7" t="str">
        <f>IF('Port Bloomberg'!D363="","",'Port Bloomberg'!D363)</f>
        <v>PETROBRAS GLOBAL FINANCE</v>
      </c>
      <c r="E363" s="7" t="str">
        <f>IF('Port Bloomberg'!E363="","",'Port Bloomberg'!E363)</f>
        <v>US71647NBJ72</v>
      </c>
      <c r="F363" s="7" t="str">
        <f>IF('Port Bloomberg'!F363="","",'Port Bloomberg'!F363)</f>
        <v>PETBRA</v>
      </c>
      <c r="G363" s="7" t="str">
        <f>IF('Port Bloomberg'!G363="","",'Port Bloomberg'!G363)</f>
        <v>3617348Z BZ</v>
      </c>
      <c r="H363" s="7" t="str">
        <f>IF('Port Bloomberg'!H363="","",'Port Bloomberg'!H363)</f>
        <v>Oil&amp;Gas</v>
      </c>
      <c r="I363" s="7" t="str">
        <f>IF('Port Bloomberg'!I363="","",'Port Bloomberg'!I363)</f>
        <v>FOA</v>
      </c>
      <c r="J363" s="7" t="str">
        <f>IF('Port Bloomberg'!J363="","",'Port Bloomberg'!J363)</f>
        <v>Oil Comp-Integrated</v>
      </c>
      <c r="K363" s="7" t="str">
        <f>IF('Port Bloomberg'!K363="","",'Port Bloomberg'!K363)</f>
        <v>NL</v>
      </c>
      <c r="L363" s="7" t="str">
        <f>IF('Port Bloomberg'!L363="","",'Port Bloomberg'!L363)</f>
        <v>BR</v>
      </c>
      <c r="M363" s="7" t="str">
        <f>IF('Port Bloomberg'!M363="","",'Port Bloomberg'!M363)</f>
        <v>USD</v>
      </c>
      <c r="N363" s="7">
        <f>IF('Port Bloomberg'!N363="","",'Port Bloomberg'!N363)</f>
        <v>1500000</v>
      </c>
      <c r="O363" s="7" t="str">
        <f>IF('Port Bloomberg'!O363="","",'Port Bloomberg'!O363)</f>
        <v>SINGLE</v>
      </c>
      <c r="P363" s="7">
        <f>IF('Port Bloomberg'!P363="","",'Port Bloomberg'!P363)</f>
        <v>5.5</v>
      </c>
      <c r="Q363" s="7" t="str">
        <f>IF('Port Bloomberg'!Q363="","",'Port Bloomberg'!Q363)</f>
        <v>BB</v>
      </c>
      <c r="R363" s="7" t="str">
        <f>IF('Port Bloomberg'!R363="","",'Port Bloomberg'!R363)</f>
        <v>06/10/2051</v>
      </c>
      <c r="S363" s="5">
        <f>IF(E363="","",IFERROR(IF(MATCH(E363,[1]Instrumentos!$D:$D,0)&gt;0,1,0),0))</f>
        <v>1</v>
      </c>
      <c r="T363" s="5">
        <f>IF(E363="","",IFERROR(IF(MATCH(E363,'Lista de excepciones'!$E:$E,0)&gt;0,1,0),0))</f>
        <v>0</v>
      </c>
      <c r="U363" s="6" t="str">
        <f t="shared" si="6"/>
        <v>NO</v>
      </c>
    </row>
    <row r="364" spans="1:21" hidden="1" x14ac:dyDescent="0.25">
      <c r="A364" s="7" t="str">
        <f>IF('Port Bloomberg'!A364="","",'Port Bloomberg'!A364)</f>
        <v>PETBRA 5 ¾ 02/01/29</v>
      </c>
      <c r="B364" s="7" t="str">
        <f>IF('Port Bloomberg'!B364="","",'Port Bloomberg'!B364)</f>
        <v>Petrobras Global Finance BV</v>
      </c>
      <c r="C364" s="7" t="str">
        <f>IF('Port Bloomberg'!C364="","",'Port Bloomberg'!C364)</f>
        <v>PETROBRAS GLOB</v>
      </c>
      <c r="D364" s="7" t="str">
        <f>IF('Port Bloomberg'!D364="","",'Port Bloomberg'!D364)</f>
        <v>PETROBRAS GLOBAL FINANCE</v>
      </c>
      <c r="E364" s="7" t="str">
        <f>IF('Port Bloomberg'!E364="","",'Port Bloomberg'!E364)</f>
        <v>US71647NAZ24</v>
      </c>
      <c r="F364" s="7" t="str">
        <f>IF('Port Bloomberg'!F364="","",'Port Bloomberg'!F364)</f>
        <v>PETBRA</v>
      </c>
      <c r="G364" s="7" t="str">
        <f>IF('Port Bloomberg'!G364="","",'Port Bloomberg'!G364)</f>
        <v>3617348Z BZ</v>
      </c>
      <c r="H364" s="7" t="str">
        <f>IF('Port Bloomberg'!H364="","",'Port Bloomberg'!H364)</f>
        <v>Oil&amp;Gas</v>
      </c>
      <c r="I364" s="7" t="str">
        <f>IF('Port Bloomberg'!I364="","",'Port Bloomberg'!I364)</f>
        <v>FOA</v>
      </c>
      <c r="J364" s="7" t="str">
        <f>IF('Port Bloomberg'!J364="","",'Port Bloomberg'!J364)</f>
        <v>Oil Comp-Integrated</v>
      </c>
      <c r="K364" s="7" t="str">
        <f>IF('Port Bloomberg'!K364="","",'Port Bloomberg'!K364)</f>
        <v>NL</v>
      </c>
      <c r="L364" s="7" t="str">
        <f>IF('Port Bloomberg'!L364="","",'Port Bloomberg'!L364)</f>
        <v>BR</v>
      </c>
      <c r="M364" s="7" t="str">
        <f>IF('Port Bloomberg'!M364="","",'Port Bloomberg'!M364)</f>
        <v>USD</v>
      </c>
      <c r="N364" s="7">
        <f>IF('Port Bloomberg'!N364="","",'Port Bloomberg'!N364)</f>
        <v>2750000</v>
      </c>
      <c r="O364" s="7" t="str">
        <f>IF('Port Bloomberg'!O364="","",'Port Bloomberg'!O364)</f>
        <v>SINGLE</v>
      </c>
      <c r="P364" s="7">
        <f>IF('Port Bloomberg'!P364="","",'Port Bloomberg'!P364)</f>
        <v>5.75</v>
      </c>
      <c r="Q364" s="7" t="str">
        <f>IF('Port Bloomberg'!Q364="","",'Port Bloomberg'!Q364)</f>
        <v>BB</v>
      </c>
      <c r="R364" s="7" t="str">
        <f>IF('Port Bloomberg'!R364="","",'Port Bloomberg'!R364)</f>
        <v>02/01/2029</v>
      </c>
      <c r="S364" s="5">
        <f>IF(E364="","",IFERROR(IF(MATCH(E364,[1]Instrumentos!$D:$D,0)&gt;0,1,0),0))</f>
        <v>1</v>
      </c>
      <c r="T364" s="5">
        <f>IF(E364="","",IFERROR(IF(MATCH(E364,'Lista de excepciones'!$E:$E,0)&gt;0,1,0),0))</f>
        <v>0</v>
      </c>
      <c r="U364" s="6" t="str">
        <f t="shared" si="6"/>
        <v>NO</v>
      </c>
    </row>
    <row r="365" spans="1:21" hidden="1" x14ac:dyDescent="0.25">
      <c r="A365" s="7" t="str">
        <f>IF('Port Bloomberg'!A365="","",'Port Bloomberg'!A365)</f>
        <v>PETBRA 5 ⅛ 09/10/30</v>
      </c>
      <c r="B365" s="7" t="str">
        <f>IF('Port Bloomberg'!B365="","",'Port Bloomberg'!B365)</f>
        <v>Petrobras Global Finance BV</v>
      </c>
      <c r="C365" s="7" t="str">
        <f>IF('Port Bloomberg'!C365="","",'Port Bloomberg'!C365)</f>
        <v>PETROBRAS GLOB</v>
      </c>
      <c r="D365" s="7" t="str">
        <f>IF('Port Bloomberg'!D365="","",'Port Bloomberg'!D365)</f>
        <v>PETROBRAS GLOBAL FINANCE</v>
      </c>
      <c r="E365" s="7" t="str">
        <f>IF('Port Bloomberg'!E365="","",'Port Bloomberg'!E365)</f>
        <v>US71647NBM02</v>
      </c>
      <c r="F365" s="7" t="str">
        <f>IF('Port Bloomberg'!F365="","",'Port Bloomberg'!F365)</f>
        <v>PETBRA</v>
      </c>
      <c r="G365" s="7" t="str">
        <f>IF('Port Bloomberg'!G365="","",'Port Bloomberg'!G365)</f>
        <v>3617348Z BZ</v>
      </c>
      <c r="H365" s="7" t="str">
        <f>IF('Port Bloomberg'!H365="","",'Port Bloomberg'!H365)</f>
        <v>Oil&amp;Gas</v>
      </c>
      <c r="I365" s="7" t="str">
        <f>IF('Port Bloomberg'!I365="","",'Port Bloomberg'!I365)</f>
        <v>FOA</v>
      </c>
      <c r="J365" s="7" t="str">
        <f>IF('Port Bloomberg'!J365="","",'Port Bloomberg'!J365)</f>
        <v>Oil Comp-Integrated</v>
      </c>
      <c r="K365" s="7" t="str">
        <f>IF('Port Bloomberg'!K365="","",'Port Bloomberg'!K365)</f>
        <v>NL</v>
      </c>
      <c r="L365" s="7" t="str">
        <f>IF('Port Bloomberg'!L365="","",'Port Bloomberg'!L365)</f>
        <v>BR</v>
      </c>
      <c r="M365" s="7" t="str">
        <f>IF('Port Bloomberg'!M365="","",'Port Bloomberg'!M365)</f>
        <v>USD</v>
      </c>
      <c r="N365" s="7">
        <f>IF('Port Bloomberg'!N365="","",'Port Bloomberg'!N365)</f>
        <v>1000000</v>
      </c>
      <c r="O365" s="7" t="str">
        <f>IF('Port Bloomberg'!O365="","",'Port Bloomberg'!O365)</f>
        <v>SINGLE</v>
      </c>
      <c r="P365" s="7">
        <f>IF('Port Bloomberg'!P365="","",'Port Bloomberg'!P365)</f>
        <v>5.125</v>
      </c>
      <c r="Q365" s="7" t="str">
        <f>IF('Port Bloomberg'!Q365="","",'Port Bloomberg'!Q365)</f>
        <v>BB</v>
      </c>
      <c r="R365" s="7" t="str">
        <f>IF('Port Bloomberg'!R365="","",'Port Bloomberg'!R365)</f>
        <v>09/10/2030</v>
      </c>
      <c r="S365" s="5">
        <f>IF(E365="","",IFERROR(IF(MATCH(E365,[1]Instrumentos!$D:$D,0)&gt;0,1,0),0))</f>
        <v>1</v>
      </c>
      <c r="T365" s="5">
        <f>IF(E365="","",IFERROR(IF(MATCH(E365,'Lista de excepciones'!$E:$E,0)&gt;0,1,0),0))</f>
        <v>0</v>
      </c>
      <c r="U365" s="6" t="str">
        <f t="shared" si="6"/>
        <v>NO</v>
      </c>
    </row>
    <row r="366" spans="1:21" hidden="1" x14ac:dyDescent="0.25">
      <c r="A366" s="7" t="str">
        <f>IF('Port Bloomberg'!A366="","",'Port Bloomberg'!A366)</f>
        <v>PETBRA 5 ⅝ 05/20/43</v>
      </c>
      <c r="B366" s="7" t="str">
        <f>IF('Port Bloomberg'!B366="","",'Port Bloomberg'!B366)</f>
        <v>Petrobras Global Finance BV</v>
      </c>
      <c r="C366" s="7" t="str">
        <f>IF('Port Bloomberg'!C366="","",'Port Bloomberg'!C366)</f>
        <v>PETROBRAS</v>
      </c>
      <c r="D366" s="7" t="str">
        <f>IF('Port Bloomberg'!D366="","",'Port Bloomberg'!D366)</f>
        <v>PETROBRAS GLOBAL FINANCE</v>
      </c>
      <c r="E366" s="7" t="str">
        <f>IF('Port Bloomberg'!E366="","",'Port Bloomberg'!E366)</f>
        <v>US71647NAA72</v>
      </c>
      <c r="F366" s="7" t="str">
        <f>IF('Port Bloomberg'!F366="","",'Port Bloomberg'!F366)</f>
        <v>PETBRA</v>
      </c>
      <c r="G366" s="7" t="str">
        <f>IF('Port Bloomberg'!G366="","",'Port Bloomberg'!G366)</f>
        <v>3617348Z BZ</v>
      </c>
      <c r="H366" s="7" t="str">
        <f>IF('Port Bloomberg'!H366="","",'Port Bloomberg'!H366)</f>
        <v>Oil&amp;Gas</v>
      </c>
      <c r="I366" s="7" t="str">
        <f>IF('Port Bloomberg'!I366="","",'Port Bloomberg'!I366)</f>
        <v>FOA</v>
      </c>
      <c r="J366" s="7" t="str">
        <f>IF('Port Bloomberg'!J366="","",'Port Bloomberg'!J366)</f>
        <v>Oil Comp-Integrated</v>
      </c>
      <c r="K366" s="7" t="str">
        <f>IF('Port Bloomberg'!K366="","",'Port Bloomberg'!K366)</f>
        <v>NL</v>
      </c>
      <c r="L366" s="7" t="str">
        <f>IF('Port Bloomberg'!L366="","",'Port Bloomberg'!L366)</f>
        <v>BR</v>
      </c>
      <c r="M366" s="7" t="str">
        <f>IF('Port Bloomberg'!M366="","",'Port Bloomberg'!M366)</f>
        <v>USD</v>
      </c>
      <c r="N366" s="7">
        <f>IF('Port Bloomberg'!N366="","",'Port Bloomberg'!N366)</f>
        <v>1750000</v>
      </c>
      <c r="O366" s="7" t="str">
        <f>IF('Port Bloomberg'!O366="","",'Port Bloomberg'!O366)</f>
        <v>SINGLE</v>
      </c>
      <c r="P366" s="7">
        <f>IF('Port Bloomberg'!P366="","",'Port Bloomberg'!P366)</f>
        <v>5.625</v>
      </c>
      <c r="Q366" s="7" t="str">
        <f>IF('Port Bloomberg'!Q366="","",'Port Bloomberg'!Q366)</f>
        <v>BB</v>
      </c>
      <c r="R366" s="7" t="str">
        <f>IF('Port Bloomberg'!R366="","",'Port Bloomberg'!R366)</f>
        <v>05/20/2043</v>
      </c>
      <c r="S366" s="5">
        <f>IF(E366="","",IFERROR(IF(MATCH(E366,[1]Instrumentos!$D:$D,0)&gt;0,1,0),0))</f>
        <v>1</v>
      </c>
      <c r="T366" s="5">
        <f>IF(E366="","",IFERROR(IF(MATCH(E366,'Lista de excepciones'!$E:$E,0)&gt;0,1,0),0))</f>
        <v>0</v>
      </c>
      <c r="U366" s="6" t="str">
        <f t="shared" si="6"/>
        <v>NO</v>
      </c>
    </row>
    <row r="367" spans="1:21" hidden="1" x14ac:dyDescent="0.25">
      <c r="A367" s="7" t="str">
        <f>IF('Port Bloomberg'!A367="","",'Port Bloomberg'!A367)</f>
        <v>PETBRA 5.093 01/15/30</v>
      </c>
      <c r="B367" s="7" t="str">
        <f>IF('Port Bloomberg'!B367="","",'Port Bloomberg'!B367)</f>
        <v>Petrobras Global Finance BV</v>
      </c>
      <c r="C367" s="7" t="str">
        <f>IF('Port Bloomberg'!C367="","",'Port Bloomberg'!C367)</f>
        <v>PETROBRAS GLOB</v>
      </c>
      <c r="D367" s="7" t="str">
        <f>IF('Port Bloomberg'!D367="","",'Port Bloomberg'!D367)</f>
        <v>PETROBRAS GLOBAL FINANCE</v>
      </c>
      <c r="E367" s="7" t="str">
        <f>IF('Port Bloomberg'!E367="","",'Port Bloomberg'!E367)</f>
        <v>US71647NBE85</v>
      </c>
      <c r="F367" s="7" t="str">
        <f>IF('Port Bloomberg'!F367="","",'Port Bloomberg'!F367)</f>
        <v>PETBRA</v>
      </c>
      <c r="G367" s="7" t="str">
        <f>IF('Port Bloomberg'!G367="","",'Port Bloomberg'!G367)</f>
        <v>3617348Z BZ</v>
      </c>
      <c r="H367" s="7" t="str">
        <f>IF('Port Bloomberg'!H367="","",'Port Bloomberg'!H367)</f>
        <v>Oil&amp;Gas</v>
      </c>
      <c r="I367" s="7" t="str">
        <f>IF('Port Bloomberg'!I367="","",'Port Bloomberg'!I367)</f>
        <v>FOA</v>
      </c>
      <c r="J367" s="7" t="str">
        <f>IF('Port Bloomberg'!J367="","",'Port Bloomberg'!J367)</f>
        <v>Oil Comp-Integrated</v>
      </c>
      <c r="K367" s="7" t="str">
        <f>IF('Port Bloomberg'!K367="","",'Port Bloomberg'!K367)</f>
        <v>NL</v>
      </c>
      <c r="L367" s="7" t="str">
        <f>IF('Port Bloomberg'!L367="","",'Port Bloomberg'!L367)</f>
        <v>BR</v>
      </c>
      <c r="M367" s="7" t="str">
        <f>IF('Port Bloomberg'!M367="","",'Port Bloomberg'!M367)</f>
        <v>USD</v>
      </c>
      <c r="N367" s="7">
        <f>IF('Port Bloomberg'!N367="","",'Port Bloomberg'!N367)</f>
        <v>4037681</v>
      </c>
      <c r="O367" s="7" t="str">
        <f>IF('Port Bloomberg'!O367="","",'Port Bloomberg'!O367)</f>
        <v>SINGLE</v>
      </c>
      <c r="P367" s="7">
        <f>IF('Port Bloomberg'!P367="","",'Port Bloomberg'!P367)</f>
        <v>5.093</v>
      </c>
      <c r="Q367" s="7" t="str">
        <f>IF('Port Bloomberg'!Q367="","",'Port Bloomberg'!Q367)</f>
        <v>BB</v>
      </c>
      <c r="R367" s="7" t="str">
        <f>IF('Port Bloomberg'!R367="","",'Port Bloomberg'!R367)</f>
        <v>01/15/2030</v>
      </c>
      <c r="S367" s="5">
        <f>IF(E367="","",IFERROR(IF(MATCH(E367,[1]Instrumentos!$D:$D,0)&gt;0,1,0),0))</f>
        <v>1</v>
      </c>
      <c r="T367" s="5">
        <f>IF(E367="","",IFERROR(IF(MATCH(E367,'Lista de excepciones'!$E:$E,0)&gt;0,1,0),0))</f>
        <v>0</v>
      </c>
      <c r="U367" s="6" t="str">
        <f t="shared" si="6"/>
        <v>NO</v>
      </c>
    </row>
    <row r="368" spans="1:21" hidden="1" x14ac:dyDescent="0.25">
      <c r="A368" s="7" t="str">
        <f>IF('Port Bloomberg'!A368="","",'Port Bloomberg'!A368)</f>
        <v>PETBRA 5.093 01/15/30</v>
      </c>
      <c r="B368" s="7" t="str">
        <f>IF('Port Bloomberg'!B368="","",'Port Bloomberg'!B368)</f>
        <v>Petrobras Global Finance BV</v>
      </c>
      <c r="C368" s="7" t="str">
        <f>IF('Port Bloomberg'!C368="","",'Port Bloomberg'!C368)</f>
        <v>PETROBRAS GLOB</v>
      </c>
      <c r="D368" s="7" t="str">
        <f>IF('Port Bloomberg'!D368="","",'Port Bloomberg'!D368)</f>
        <v>PETROBRAS GLOBAL FINANCE</v>
      </c>
      <c r="E368" s="7" t="str">
        <f>IF('Port Bloomberg'!E368="","",'Port Bloomberg'!E368)</f>
        <v>USN6945AAL19</v>
      </c>
      <c r="F368" s="7" t="str">
        <f>IF('Port Bloomberg'!F368="","",'Port Bloomberg'!F368)</f>
        <v>PETBRA</v>
      </c>
      <c r="G368" s="7" t="str">
        <f>IF('Port Bloomberg'!G368="","",'Port Bloomberg'!G368)</f>
        <v>3617348Z BZ</v>
      </c>
      <c r="H368" s="7" t="str">
        <f>IF('Port Bloomberg'!H368="","",'Port Bloomberg'!H368)</f>
        <v>Oil&amp;Gas</v>
      </c>
      <c r="I368" s="7" t="str">
        <f>IF('Port Bloomberg'!I368="","",'Port Bloomberg'!I368)</f>
        <v>FOA</v>
      </c>
      <c r="J368" s="7" t="str">
        <f>IF('Port Bloomberg'!J368="","",'Port Bloomberg'!J368)</f>
        <v>Oil Comp-Integrated</v>
      </c>
      <c r="K368" s="7" t="str">
        <f>IF('Port Bloomberg'!K368="","",'Port Bloomberg'!K368)</f>
        <v>NL</v>
      </c>
      <c r="L368" s="7" t="str">
        <f>IF('Port Bloomberg'!L368="","",'Port Bloomberg'!L368)</f>
        <v>BR</v>
      </c>
      <c r="M368" s="7" t="str">
        <f>IF('Port Bloomberg'!M368="","",'Port Bloomberg'!M368)</f>
        <v>USD</v>
      </c>
      <c r="N368" s="7">
        <f>IF('Port Bloomberg'!N368="","",'Port Bloomberg'!N368)</f>
        <v>4115281</v>
      </c>
      <c r="O368" s="7" t="str">
        <f>IF('Port Bloomberg'!O368="","",'Port Bloomberg'!O368)</f>
        <v>SINGLE</v>
      </c>
      <c r="P368" s="7">
        <f>IF('Port Bloomberg'!P368="","",'Port Bloomberg'!P368)</f>
        <v>5.093</v>
      </c>
      <c r="Q368" s="7" t="str">
        <f>IF('Port Bloomberg'!Q368="","",'Port Bloomberg'!Q368)</f>
        <v>BB</v>
      </c>
      <c r="R368" s="7" t="str">
        <f>IF('Port Bloomberg'!R368="","",'Port Bloomberg'!R368)</f>
        <v>01/15/2030</v>
      </c>
      <c r="S368" s="5">
        <f>IF(E368="","",IFERROR(IF(MATCH(E368,[1]Instrumentos!$D:$D,0)&gt;0,1,0),0))</f>
        <v>1</v>
      </c>
      <c r="T368" s="5">
        <f>IF(E368="","",IFERROR(IF(MATCH(E368,'Lista de excepciones'!$E:$E,0)&gt;0,1,0),0))</f>
        <v>0</v>
      </c>
      <c r="U368" s="6" t="str">
        <f t="shared" si="6"/>
        <v>NO</v>
      </c>
    </row>
    <row r="369" spans="1:21" hidden="1" x14ac:dyDescent="0.25">
      <c r="A369" s="7" t="str">
        <f>IF('Port Bloomberg'!A369="","",'Port Bloomberg'!A369)</f>
        <v>PETBRA 5.6 01/03/31</v>
      </c>
      <c r="B369" s="7" t="str">
        <f>IF('Port Bloomberg'!B369="","",'Port Bloomberg'!B369)</f>
        <v>Petrobras Global Finance BV</v>
      </c>
      <c r="C369" s="7" t="str">
        <f>IF('Port Bloomberg'!C369="","",'Port Bloomberg'!C369)</f>
        <v>PETROBRAS GLOB</v>
      </c>
      <c r="D369" s="7" t="str">
        <f>IF('Port Bloomberg'!D369="","",'Port Bloomberg'!D369)</f>
        <v>PETROBRAS GLOBAL FINANCE</v>
      </c>
      <c r="E369" s="7" t="str">
        <f>IF('Port Bloomberg'!E369="","",'Port Bloomberg'!E369)</f>
        <v>US71647NBH17</v>
      </c>
      <c r="F369" s="7" t="str">
        <f>IF('Port Bloomberg'!F369="","",'Port Bloomberg'!F369)</f>
        <v>PETBRA</v>
      </c>
      <c r="G369" s="7" t="str">
        <f>IF('Port Bloomberg'!G369="","",'Port Bloomberg'!G369)</f>
        <v>3617348Z BZ</v>
      </c>
      <c r="H369" s="7" t="str">
        <f>IF('Port Bloomberg'!H369="","",'Port Bloomberg'!H369)</f>
        <v>Oil&amp;Gas</v>
      </c>
      <c r="I369" s="7" t="str">
        <f>IF('Port Bloomberg'!I369="","",'Port Bloomberg'!I369)</f>
        <v>FOA</v>
      </c>
      <c r="J369" s="7" t="str">
        <f>IF('Port Bloomberg'!J369="","",'Port Bloomberg'!J369)</f>
        <v>Oil Comp-Integrated</v>
      </c>
      <c r="K369" s="7" t="str">
        <f>IF('Port Bloomberg'!K369="","",'Port Bloomberg'!K369)</f>
        <v>NL</v>
      </c>
      <c r="L369" s="7" t="str">
        <f>IF('Port Bloomberg'!L369="","",'Port Bloomberg'!L369)</f>
        <v>BR</v>
      </c>
      <c r="M369" s="7" t="str">
        <f>IF('Port Bloomberg'!M369="","",'Port Bloomberg'!M369)</f>
        <v>USD</v>
      </c>
      <c r="N369" s="7">
        <f>IF('Port Bloomberg'!N369="","",'Port Bloomberg'!N369)</f>
        <v>2500000</v>
      </c>
      <c r="O369" s="7" t="str">
        <f>IF('Port Bloomberg'!O369="","",'Port Bloomberg'!O369)</f>
        <v>SINGLE</v>
      </c>
      <c r="P369" s="7">
        <f>IF('Port Bloomberg'!P369="","",'Port Bloomberg'!P369)</f>
        <v>5.6</v>
      </c>
      <c r="Q369" s="7" t="str">
        <f>IF('Port Bloomberg'!Q369="","",'Port Bloomberg'!Q369)</f>
        <v>BB</v>
      </c>
      <c r="R369" s="7" t="str">
        <f>IF('Port Bloomberg'!R369="","",'Port Bloomberg'!R369)</f>
        <v>01/03/2031</v>
      </c>
      <c r="S369" s="5">
        <f>IF(E369="","",IFERROR(IF(MATCH(E369,[1]Instrumentos!$D:$D,0)&gt;0,1,0),0))</f>
        <v>1</v>
      </c>
      <c r="T369" s="5">
        <f>IF(E369="","",IFERROR(IF(MATCH(E369,'Lista de excepciones'!$E:$E,0)&gt;0,1,0),0))</f>
        <v>0</v>
      </c>
      <c r="U369" s="6" t="str">
        <f t="shared" si="6"/>
        <v>NO</v>
      </c>
    </row>
    <row r="370" spans="1:21" hidden="1" x14ac:dyDescent="0.25">
      <c r="A370" s="7" t="str">
        <f>IF('Port Bloomberg'!A370="","",'Port Bloomberg'!A370)</f>
        <v>PETBRA 6 01/13/35</v>
      </c>
      <c r="B370" s="7" t="str">
        <f>IF('Port Bloomberg'!B370="","",'Port Bloomberg'!B370)</f>
        <v>Petrobras Global Finance BV</v>
      </c>
      <c r="C370" s="7" t="str">
        <f>IF('Port Bloomberg'!C370="","",'Port Bloomberg'!C370)</f>
        <v>PETROBRAS GLOB</v>
      </c>
      <c r="D370" s="7" t="str">
        <f>IF('Port Bloomberg'!D370="","",'Port Bloomberg'!D370)</f>
        <v>PETROBRAS GLOBAL FINANCE</v>
      </c>
      <c r="E370" s="7" t="str">
        <f>IF('Port Bloomberg'!E370="","",'Port Bloomberg'!E370)</f>
        <v>US71647NBL29</v>
      </c>
      <c r="F370" s="7" t="str">
        <f>IF('Port Bloomberg'!F370="","",'Port Bloomberg'!F370)</f>
        <v>PETBRA</v>
      </c>
      <c r="G370" s="7" t="str">
        <f>IF('Port Bloomberg'!G370="","",'Port Bloomberg'!G370)</f>
        <v>3617348Z BZ</v>
      </c>
      <c r="H370" s="7" t="str">
        <f>IF('Port Bloomberg'!H370="","",'Port Bloomberg'!H370)</f>
        <v>Oil&amp;Gas</v>
      </c>
      <c r="I370" s="7" t="str">
        <f>IF('Port Bloomberg'!I370="","",'Port Bloomberg'!I370)</f>
        <v>FOA</v>
      </c>
      <c r="J370" s="7" t="str">
        <f>IF('Port Bloomberg'!J370="","",'Port Bloomberg'!J370)</f>
        <v>Oil Comp-Integrated</v>
      </c>
      <c r="K370" s="7" t="str">
        <f>IF('Port Bloomberg'!K370="","",'Port Bloomberg'!K370)</f>
        <v>NL</v>
      </c>
      <c r="L370" s="7" t="str">
        <f>IF('Port Bloomberg'!L370="","",'Port Bloomberg'!L370)</f>
        <v>BR</v>
      </c>
      <c r="M370" s="7" t="str">
        <f>IF('Port Bloomberg'!M370="","",'Port Bloomberg'!M370)</f>
        <v>USD</v>
      </c>
      <c r="N370" s="7">
        <f>IF('Port Bloomberg'!N370="","",'Port Bloomberg'!N370)</f>
        <v>1000000</v>
      </c>
      <c r="O370" s="7" t="str">
        <f>IF('Port Bloomberg'!O370="","",'Port Bloomberg'!O370)</f>
        <v>SINGLE</v>
      </c>
      <c r="P370" s="7">
        <f>IF('Port Bloomberg'!P370="","",'Port Bloomberg'!P370)</f>
        <v>6</v>
      </c>
      <c r="Q370" s="7" t="str">
        <f>IF('Port Bloomberg'!Q370="","",'Port Bloomberg'!Q370)</f>
        <v>BB</v>
      </c>
      <c r="R370" s="7" t="str">
        <f>IF('Port Bloomberg'!R370="","",'Port Bloomberg'!R370)</f>
        <v>01/13/2035</v>
      </c>
      <c r="S370" s="5">
        <f>IF(E370="","",IFERROR(IF(MATCH(E370,[1]Instrumentos!$D:$D,0)&gt;0,1,0),0))</f>
        <v>1</v>
      </c>
      <c r="T370" s="5">
        <f>IF(E370="","",IFERROR(IF(MATCH(E370,'Lista de excepciones'!$E:$E,0)&gt;0,1,0),0))</f>
        <v>0</v>
      </c>
      <c r="U370" s="6" t="str">
        <f t="shared" si="6"/>
        <v>NO</v>
      </c>
    </row>
    <row r="371" spans="1:21" hidden="1" x14ac:dyDescent="0.25">
      <c r="A371" s="7" t="str">
        <f>IF('Port Bloomberg'!A371="","",'Port Bloomberg'!A371)</f>
        <v>PETBRA 6 ¼ 01/10/36</v>
      </c>
      <c r="B371" s="7" t="str">
        <f>IF('Port Bloomberg'!B371="","",'Port Bloomberg'!B371)</f>
        <v>Petrobras Global Finance BV</v>
      </c>
      <c r="C371" s="7" t="str">
        <f>IF('Port Bloomberg'!C371="","",'Port Bloomberg'!C371)</f>
        <v>PETROBRAS GLOB</v>
      </c>
      <c r="D371" s="7" t="str">
        <f>IF('Port Bloomberg'!D371="","",'Port Bloomberg'!D371)</f>
        <v>PETROBRAS GLOBAL FINANCE</v>
      </c>
      <c r="E371" s="7" t="str">
        <f>IF('Port Bloomberg'!E371="","",'Port Bloomberg'!E371)</f>
        <v>US71647NBN84</v>
      </c>
      <c r="F371" s="7" t="str">
        <f>IF('Port Bloomberg'!F371="","",'Port Bloomberg'!F371)</f>
        <v>PETBRA</v>
      </c>
      <c r="G371" s="7" t="str">
        <f>IF('Port Bloomberg'!G371="","",'Port Bloomberg'!G371)</f>
        <v>3617348Z BZ</v>
      </c>
      <c r="H371" s="7" t="str">
        <f>IF('Port Bloomberg'!H371="","",'Port Bloomberg'!H371)</f>
        <v>Oil&amp;Gas</v>
      </c>
      <c r="I371" s="7" t="str">
        <f>IF('Port Bloomberg'!I371="","",'Port Bloomberg'!I371)</f>
        <v>FOA</v>
      </c>
      <c r="J371" s="7" t="str">
        <f>IF('Port Bloomberg'!J371="","",'Port Bloomberg'!J371)</f>
        <v>Oil Comp-Integrated</v>
      </c>
      <c r="K371" s="7" t="str">
        <f>IF('Port Bloomberg'!K371="","",'Port Bloomberg'!K371)</f>
        <v>NL</v>
      </c>
      <c r="L371" s="7" t="str">
        <f>IF('Port Bloomberg'!L371="","",'Port Bloomberg'!L371)</f>
        <v>BR</v>
      </c>
      <c r="M371" s="7" t="str">
        <f>IF('Port Bloomberg'!M371="","",'Port Bloomberg'!M371)</f>
        <v>USD</v>
      </c>
      <c r="N371" s="7">
        <f>IF('Port Bloomberg'!N371="","",'Port Bloomberg'!N371)</f>
        <v>1000000</v>
      </c>
      <c r="O371" s="7" t="str">
        <f>IF('Port Bloomberg'!O371="","",'Port Bloomberg'!O371)</f>
        <v>SINGLE</v>
      </c>
      <c r="P371" s="7">
        <f>IF('Port Bloomberg'!P371="","",'Port Bloomberg'!P371)</f>
        <v>6.25</v>
      </c>
      <c r="Q371" s="7" t="str">
        <f>IF('Port Bloomberg'!Q371="","",'Port Bloomberg'!Q371)</f>
        <v>BB</v>
      </c>
      <c r="R371" s="7" t="str">
        <f>IF('Port Bloomberg'!R371="","",'Port Bloomberg'!R371)</f>
        <v>01/10/2036</v>
      </c>
      <c r="S371" s="5">
        <f>IF(E371="","",IFERROR(IF(MATCH(E371,[1]Instrumentos!$D:$D,0)&gt;0,1,0),0))</f>
        <v>1</v>
      </c>
      <c r="T371" s="5">
        <f>IF(E371="","",IFERROR(IF(MATCH(E371,'Lista de excepciones'!$E:$E,0)&gt;0,1,0),0))</f>
        <v>0</v>
      </c>
      <c r="U371" s="6" t="str">
        <f t="shared" si="6"/>
        <v>NO</v>
      </c>
    </row>
    <row r="372" spans="1:21" hidden="1" x14ac:dyDescent="0.25">
      <c r="A372" s="7" t="str">
        <f>IF('Port Bloomberg'!A372="","",'Port Bloomberg'!A372)</f>
        <v>PETBRA 6 ½ 07/03/33</v>
      </c>
      <c r="B372" s="7" t="str">
        <f>IF('Port Bloomberg'!B372="","",'Port Bloomberg'!B372)</f>
        <v>Petrobras Global Finance BV</v>
      </c>
      <c r="C372" s="7" t="str">
        <f>IF('Port Bloomberg'!C372="","",'Port Bloomberg'!C372)</f>
        <v>PETROBRAS GLOB</v>
      </c>
      <c r="D372" s="7" t="str">
        <f>IF('Port Bloomberg'!D372="","",'Port Bloomberg'!D372)</f>
        <v>PETROBRAS GLOBAL FINANCE</v>
      </c>
      <c r="E372" s="7" t="str">
        <f>IF('Port Bloomberg'!E372="","",'Port Bloomberg'!E372)</f>
        <v>US71647NBK46</v>
      </c>
      <c r="F372" s="7" t="str">
        <f>IF('Port Bloomberg'!F372="","",'Port Bloomberg'!F372)</f>
        <v>PETBRA</v>
      </c>
      <c r="G372" s="7" t="str">
        <f>IF('Port Bloomberg'!G372="","",'Port Bloomberg'!G372)</f>
        <v>3617348Z BZ</v>
      </c>
      <c r="H372" s="7" t="str">
        <f>IF('Port Bloomberg'!H372="","",'Port Bloomberg'!H372)</f>
        <v>Oil&amp;Gas</v>
      </c>
      <c r="I372" s="7" t="str">
        <f>IF('Port Bloomberg'!I372="","",'Port Bloomberg'!I372)</f>
        <v>FOA</v>
      </c>
      <c r="J372" s="7" t="str">
        <f>IF('Port Bloomberg'!J372="","",'Port Bloomberg'!J372)</f>
        <v>Oil Comp-Integrated</v>
      </c>
      <c r="K372" s="7" t="str">
        <f>IF('Port Bloomberg'!K372="","",'Port Bloomberg'!K372)</f>
        <v>NL</v>
      </c>
      <c r="L372" s="7" t="str">
        <f>IF('Port Bloomberg'!L372="","",'Port Bloomberg'!L372)</f>
        <v>BR</v>
      </c>
      <c r="M372" s="7" t="str">
        <f>IF('Port Bloomberg'!M372="","",'Port Bloomberg'!M372)</f>
        <v>USD</v>
      </c>
      <c r="N372" s="7">
        <f>IF('Port Bloomberg'!N372="","",'Port Bloomberg'!N372)</f>
        <v>1250000</v>
      </c>
      <c r="O372" s="7" t="str">
        <f>IF('Port Bloomberg'!O372="","",'Port Bloomberg'!O372)</f>
        <v>SINGLE</v>
      </c>
      <c r="P372" s="7">
        <f>IF('Port Bloomberg'!P372="","",'Port Bloomberg'!P372)</f>
        <v>6.5</v>
      </c>
      <c r="Q372" s="7" t="str">
        <f>IF('Port Bloomberg'!Q372="","",'Port Bloomberg'!Q372)</f>
        <v>BB</v>
      </c>
      <c r="R372" s="7" t="str">
        <f>IF('Port Bloomberg'!R372="","",'Port Bloomberg'!R372)</f>
        <v>07/03/2033</v>
      </c>
      <c r="S372" s="5">
        <f>IF(E372="","",IFERROR(IF(MATCH(E372,[1]Instrumentos!$D:$D,0)&gt;0,1,0),0))</f>
        <v>1</v>
      </c>
      <c r="T372" s="5">
        <f>IF(E372="","",IFERROR(IF(MATCH(E372,'Lista de excepciones'!$E:$E,0)&gt;0,1,0),0))</f>
        <v>0</v>
      </c>
      <c r="U372" s="6" t="str">
        <f t="shared" si="6"/>
        <v>NO</v>
      </c>
    </row>
    <row r="373" spans="1:21" hidden="1" x14ac:dyDescent="0.25">
      <c r="A373" s="7" t="str">
        <f>IF('Port Bloomberg'!A373="","",'Port Bloomberg'!A373)</f>
        <v>PETBRA 6 ¾ 01/27/41</v>
      </c>
      <c r="B373" s="7" t="str">
        <f>IF('Port Bloomberg'!B373="","",'Port Bloomberg'!B373)</f>
        <v>Petrobras Global Finance BV</v>
      </c>
      <c r="C373" s="7" t="str">
        <f>IF('Port Bloomberg'!C373="","",'Port Bloomberg'!C373)</f>
        <v>PETROBRAS GLOB</v>
      </c>
      <c r="D373" s="7" t="str">
        <f>IF('Port Bloomberg'!D373="","",'Port Bloomberg'!D373)</f>
        <v>PETROBRAS GLOBAL FINANCE</v>
      </c>
      <c r="E373" s="7" t="str">
        <f>IF('Port Bloomberg'!E373="","",'Port Bloomberg'!E373)</f>
        <v>US71645WAS08</v>
      </c>
      <c r="F373" s="7" t="str">
        <f>IF('Port Bloomberg'!F373="","",'Port Bloomberg'!F373)</f>
        <v>PETBRA</v>
      </c>
      <c r="G373" s="7" t="str">
        <f>IF('Port Bloomberg'!G373="","",'Port Bloomberg'!G373)</f>
        <v>3617348Z BZ</v>
      </c>
      <c r="H373" s="7" t="str">
        <f>IF('Port Bloomberg'!H373="","",'Port Bloomberg'!H373)</f>
        <v>Oil&amp;Gas</v>
      </c>
      <c r="I373" s="7" t="str">
        <f>IF('Port Bloomberg'!I373="","",'Port Bloomberg'!I373)</f>
        <v>FOA</v>
      </c>
      <c r="J373" s="7" t="str">
        <f>IF('Port Bloomberg'!J373="","",'Port Bloomberg'!J373)</f>
        <v>Oil Comp-Integrated</v>
      </c>
      <c r="K373" s="7" t="str">
        <f>IF('Port Bloomberg'!K373="","",'Port Bloomberg'!K373)</f>
        <v>NL</v>
      </c>
      <c r="L373" s="7" t="str">
        <f>IF('Port Bloomberg'!L373="","",'Port Bloomberg'!L373)</f>
        <v>BR</v>
      </c>
      <c r="M373" s="7" t="str">
        <f>IF('Port Bloomberg'!M373="","",'Port Bloomberg'!M373)</f>
        <v>USD</v>
      </c>
      <c r="N373" s="7">
        <f>IF('Port Bloomberg'!N373="","",'Port Bloomberg'!N373)</f>
        <v>2250000</v>
      </c>
      <c r="O373" s="7" t="str">
        <f>IF('Port Bloomberg'!O373="","",'Port Bloomberg'!O373)</f>
        <v>SINGLE</v>
      </c>
      <c r="P373" s="7">
        <f>IF('Port Bloomberg'!P373="","",'Port Bloomberg'!P373)</f>
        <v>6.75</v>
      </c>
      <c r="Q373" s="7" t="str">
        <f>IF('Port Bloomberg'!Q373="","",'Port Bloomberg'!Q373)</f>
        <v>BB</v>
      </c>
      <c r="R373" s="7" t="str">
        <f>IF('Port Bloomberg'!R373="","",'Port Bloomberg'!R373)</f>
        <v>01/27/2041</v>
      </c>
      <c r="S373" s="5">
        <f>IF(E373="","",IFERROR(IF(MATCH(E373,[1]Instrumentos!$D:$D,0)&gt;0,1,0),0))</f>
        <v>1</v>
      </c>
      <c r="T373" s="5">
        <f>IF(E373="","",IFERROR(IF(MATCH(E373,'Lista de excepciones'!$E:$E,0)&gt;0,1,0),0))</f>
        <v>0</v>
      </c>
      <c r="U373" s="6" t="str">
        <f t="shared" si="6"/>
        <v>NO</v>
      </c>
    </row>
    <row r="374" spans="1:21" hidden="1" x14ac:dyDescent="0.25">
      <c r="A374" s="7" t="str">
        <f>IF('Port Bloomberg'!A374="","",'Port Bloomberg'!A374)</f>
        <v>PETBRA 6 ¾ 06/03/50</v>
      </c>
      <c r="B374" s="7" t="str">
        <f>IF('Port Bloomberg'!B374="","",'Port Bloomberg'!B374)</f>
        <v>Petrobras Global Finance BV</v>
      </c>
      <c r="C374" s="7" t="str">
        <f>IF('Port Bloomberg'!C374="","",'Port Bloomberg'!C374)</f>
        <v>PETROBRAS GLOB</v>
      </c>
      <c r="D374" s="7" t="str">
        <f>IF('Port Bloomberg'!D374="","",'Port Bloomberg'!D374)</f>
        <v>PETROBRAS GLOBAL FINANCE</v>
      </c>
      <c r="E374" s="7" t="str">
        <f>IF('Port Bloomberg'!E374="","",'Port Bloomberg'!E374)</f>
        <v>US71647NBG34</v>
      </c>
      <c r="F374" s="7" t="str">
        <f>IF('Port Bloomberg'!F374="","",'Port Bloomberg'!F374)</f>
        <v>PETBRA</v>
      </c>
      <c r="G374" s="7" t="str">
        <f>IF('Port Bloomberg'!G374="","",'Port Bloomberg'!G374)</f>
        <v>3617348Z BZ</v>
      </c>
      <c r="H374" s="7" t="str">
        <f>IF('Port Bloomberg'!H374="","",'Port Bloomberg'!H374)</f>
        <v>Oil&amp;Gas</v>
      </c>
      <c r="I374" s="7" t="str">
        <f>IF('Port Bloomberg'!I374="","",'Port Bloomberg'!I374)</f>
        <v>FOA</v>
      </c>
      <c r="J374" s="7" t="str">
        <f>IF('Port Bloomberg'!J374="","",'Port Bloomberg'!J374)</f>
        <v>Oil Comp-Integrated</v>
      </c>
      <c r="K374" s="7" t="str">
        <f>IF('Port Bloomberg'!K374="","",'Port Bloomberg'!K374)</f>
        <v>NL</v>
      </c>
      <c r="L374" s="7" t="str">
        <f>IF('Port Bloomberg'!L374="","",'Port Bloomberg'!L374)</f>
        <v>BR</v>
      </c>
      <c r="M374" s="7" t="str">
        <f>IF('Port Bloomberg'!M374="","",'Port Bloomberg'!M374)</f>
        <v>USD</v>
      </c>
      <c r="N374" s="7">
        <f>IF('Port Bloomberg'!N374="","",'Port Bloomberg'!N374)</f>
        <v>1750000</v>
      </c>
      <c r="O374" s="7" t="str">
        <f>IF('Port Bloomberg'!O374="","",'Port Bloomberg'!O374)</f>
        <v>SINGLE</v>
      </c>
      <c r="P374" s="7">
        <f>IF('Port Bloomberg'!P374="","",'Port Bloomberg'!P374)</f>
        <v>6.75</v>
      </c>
      <c r="Q374" s="7" t="str">
        <f>IF('Port Bloomberg'!Q374="","",'Port Bloomberg'!Q374)</f>
        <v>BB</v>
      </c>
      <c r="R374" s="7" t="str">
        <f>IF('Port Bloomberg'!R374="","",'Port Bloomberg'!R374)</f>
        <v>06/03/2050</v>
      </c>
      <c r="S374" s="5">
        <f>IF(E374="","",IFERROR(IF(MATCH(E374,[1]Instrumentos!$D:$D,0)&gt;0,1,0),0))</f>
        <v>1</v>
      </c>
      <c r="T374" s="5">
        <f>IF(E374="","",IFERROR(IF(MATCH(E374,'Lista de excepciones'!$E:$E,0)&gt;0,1,0),0))</f>
        <v>0</v>
      </c>
      <c r="U374" s="6" t="str">
        <f t="shared" si="6"/>
        <v>NO</v>
      </c>
    </row>
    <row r="375" spans="1:21" hidden="1" x14ac:dyDescent="0.25">
      <c r="A375" s="7" t="str">
        <f>IF('Port Bloomberg'!A375="","",'Port Bloomberg'!A375)</f>
        <v>PETBRA 6 ⅞ 01/20/40</v>
      </c>
      <c r="B375" s="7" t="str">
        <f>IF('Port Bloomberg'!B375="","",'Port Bloomberg'!B375)</f>
        <v>Petrobras Global Finance BV</v>
      </c>
      <c r="C375" s="7" t="str">
        <f>IF('Port Bloomberg'!C375="","",'Port Bloomberg'!C375)</f>
        <v>PETROBRAS GLOB</v>
      </c>
      <c r="D375" s="7" t="str">
        <f>IF('Port Bloomberg'!D375="","",'Port Bloomberg'!D375)</f>
        <v>PETROBRAS GLOBAL FINANCE</v>
      </c>
      <c r="E375" s="7" t="str">
        <f>IF('Port Bloomberg'!E375="","",'Port Bloomberg'!E375)</f>
        <v>US71645WAQ42</v>
      </c>
      <c r="F375" s="7" t="str">
        <f>IF('Port Bloomberg'!F375="","",'Port Bloomberg'!F375)</f>
        <v>PETBRA</v>
      </c>
      <c r="G375" s="7" t="str">
        <f>IF('Port Bloomberg'!G375="","",'Port Bloomberg'!G375)</f>
        <v>3617348Z BZ</v>
      </c>
      <c r="H375" s="7" t="str">
        <f>IF('Port Bloomberg'!H375="","",'Port Bloomberg'!H375)</f>
        <v>Oil&amp;Gas</v>
      </c>
      <c r="I375" s="7" t="str">
        <f>IF('Port Bloomberg'!I375="","",'Port Bloomberg'!I375)</f>
        <v>FOA</v>
      </c>
      <c r="J375" s="7" t="str">
        <f>IF('Port Bloomberg'!J375="","",'Port Bloomberg'!J375)</f>
        <v>Oil Comp-Integrated</v>
      </c>
      <c r="K375" s="7" t="str">
        <f>IF('Port Bloomberg'!K375="","",'Port Bloomberg'!K375)</f>
        <v>NL</v>
      </c>
      <c r="L375" s="7" t="str">
        <f>IF('Port Bloomberg'!L375="","",'Port Bloomberg'!L375)</f>
        <v>BR</v>
      </c>
      <c r="M375" s="7" t="str">
        <f>IF('Port Bloomberg'!M375="","",'Port Bloomberg'!M375)</f>
        <v>USD</v>
      </c>
      <c r="N375" s="7">
        <f>IF('Port Bloomberg'!N375="","",'Port Bloomberg'!N375)</f>
        <v>1500000</v>
      </c>
      <c r="O375" s="7" t="str">
        <f>IF('Port Bloomberg'!O375="","",'Port Bloomberg'!O375)</f>
        <v>SINGLE</v>
      </c>
      <c r="P375" s="7">
        <f>IF('Port Bloomberg'!P375="","",'Port Bloomberg'!P375)</f>
        <v>6.875</v>
      </c>
      <c r="Q375" s="7" t="str">
        <f>IF('Port Bloomberg'!Q375="","",'Port Bloomberg'!Q375)</f>
        <v>BB</v>
      </c>
      <c r="R375" s="7" t="str">
        <f>IF('Port Bloomberg'!R375="","",'Port Bloomberg'!R375)</f>
        <v>01/20/2040</v>
      </c>
      <c r="S375" s="5">
        <f>IF(E375="","",IFERROR(IF(MATCH(E375,[1]Instrumentos!$D:$D,0)&gt;0,1,0),0))</f>
        <v>1</v>
      </c>
      <c r="T375" s="5">
        <f>IF(E375="","",IFERROR(IF(MATCH(E375,'Lista de excepciones'!$E:$E,0)&gt;0,1,0),0))</f>
        <v>0</v>
      </c>
      <c r="U375" s="6" t="str">
        <f t="shared" si="6"/>
        <v>NO</v>
      </c>
    </row>
    <row r="376" spans="1:21" hidden="1" x14ac:dyDescent="0.25">
      <c r="A376" s="7" t="str">
        <f>IF('Port Bloomberg'!A376="","",'Port Bloomberg'!A376)</f>
        <v>PETBRA 6.85 06/05/2115</v>
      </c>
      <c r="B376" s="7" t="str">
        <f>IF('Port Bloomberg'!B376="","",'Port Bloomberg'!B376)</f>
        <v>Petrobras Global Finance BV</v>
      </c>
      <c r="C376" s="7" t="str">
        <f>IF('Port Bloomberg'!C376="","",'Port Bloomberg'!C376)</f>
        <v>PETROBRAS GLOB</v>
      </c>
      <c r="D376" s="7" t="str">
        <f>IF('Port Bloomberg'!D376="","",'Port Bloomberg'!D376)</f>
        <v>PETROBRAS GLOBAL FINANCE</v>
      </c>
      <c r="E376" s="7" t="str">
        <f>IF('Port Bloomberg'!E376="","",'Port Bloomberg'!E376)</f>
        <v>US71647NAN93</v>
      </c>
      <c r="F376" s="7" t="str">
        <f>IF('Port Bloomberg'!F376="","",'Port Bloomberg'!F376)</f>
        <v>PETBRA</v>
      </c>
      <c r="G376" s="7" t="str">
        <f>IF('Port Bloomberg'!G376="","",'Port Bloomberg'!G376)</f>
        <v>3617348Z BZ</v>
      </c>
      <c r="H376" s="7" t="str">
        <f>IF('Port Bloomberg'!H376="","",'Port Bloomberg'!H376)</f>
        <v>Oil&amp;Gas</v>
      </c>
      <c r="I376" s="7" t="str">
        <f>IF('Port Bloomberg'!I376="","",'Port Bloomberg'!I376)</f>
        <v>FOA</v>
      </c>
      <c r="J376" s="7" t="str">
        <f>IF('Port Bloomberg'!J376="","",'Port Bloomberg'!J376)</f>
        <v>Oil Comp-Integrated</v>
      </c>
      <c r="K376" s="7" t="str">
        <f>IF('Port Bloomberg'!K376="","",'Port Bloomberg'!K376)</f>
        <v>NL</v>
      </c>
      <c r="L376" s="7" t="str">
        <f>IF('Port Bloomberg'!L376="","",'Port Bloomberg'!L376)</f>
        <v>BR</v>
      </c>
      <c r="M376" s="7" t="str">
        <f>IF('Port Bloomberg'!M376="","",'Port Bloomberg'!M376)</f>
        <v>USD</v>
      </c>
      <c r="N376" s="7">
        <f>IF('Port Bloomberg'!N376="","",'Port Bloomberg'!N376)</f>
        <v>2500000</v>
      </c>
      <c r="O376" s="7" t="str">
        <f>IF('Port Bloomberg'!O376="","",'Port Bloomberg'!O376)</f>
        <v>SINGLE</v>
      </c>
      <c r="P376" s="7">
        <f>IF('Port Bloomberg'!P376="","",'Port Bloomberg'!P376)</f>
        <v>6.85</v>
      </c>
      <c r="Q376" s="7" t="str">
        <f>IF('Port Bloomberg'!Q376="","",'Port Bloomberg'!Q376)</f>
        <v>BB</v>
      </c>
      <c r="R376" s="7" t="str">
        <f>IF('Port Bloomberg'!R376="","",'Port Bloomberg'!R376)</f>
        <v>06/05/2115</v>
      </c>
      <c r="S376" s="5">
        <f>IF(E376="","",IFERROR(IF(MATCH(E376,[1]Instrumentos!$D:$D,0)&gt;0,1,0),0))</f>
        <v>1</v>
      </c>
      <c r="T376" s="5">
        <f>IF(E376="","",IFERROR(IF(MATCH(E376,'Lista de excepciones'!$E:$E,0)&gt;0,1,0),0))</f>
        <v>0</v>
      </c>
      <c r="U376" s="6" t="str">
        <f t="shared" si="6"/>
        <v>NO</v>
      </c>
    </row>
    <row r="377" spans="1:21" hidden="1" x14ac:dyDescent="0.25">
      <c r="A377" s="7" t="str">
        <f>IF('Port Bloomberg'!A377="","",'Port Bloomberg'!A377)</f>
        <v>PETBRA 6.9 03/19/49</v>
      </c>
      <c r="B377" s="7" t="str">
        <f>IF('Port Bloomberg'!B377="","",'Port Bloomberg'!B377)</f>
        <v>Petrobras Global Finance BV</v>
      </c>
      <c r="C377" s="7" t="str">
        <f>IF('Port Bloomberg'!C377="","",'Port Bloomberg'!C377)</f>
        <v>PETROBRAS GLOB</v>
      </c>
      <c r="D377" s="7" t="str">
        <f>IF('Port Bloomberg'!D377="","",'Port Bloomberg'!D377)</f>
        <v>PETROBRAS GLOBAL FINANCE</v>
      </c>
      <c r="E377" s="7" t="str">
        <f>IF('Port Bloomberg'!E377="","",'Port Bloomberg'!E377)</f>
        <v>US71647NBD03</v>
      </c>
      <c r="F377" s="7" t="str">
        <f>IF('Port Bloomberg'!F377="","",'Port Bloomberg'!F377)</f>
        <v>PETBRA</v>
      </c>
      <c r="G377" s="7" t="str">
        <f>IF('Port Bloomberg'!G377="","",'Port Bloomberg'!G377)</f>
        <v>3617348Z BZ</v>
      </c>
      <c r="H377" s="7" t="str">
        <f>IF('Port Bloomberg'!H377="","",'Port Bloomberg'!H377)</f>
        <v>Oil&amp;Gas</v>
      </c>
      <c r="I377" s="7" t="str">
        <f>IF('Port Bloomberg'!I377="","",'Port Bloomberg'!I377)</f>
        <v>FOA</v>
      </c>
      <c r="J377" s="7" t="str">
        <f>IF('Port Bloomberg'!J377="","",'Port Bloomberg'!J377)</f>
        <v>Oil Comp-Integrated</v>
      </c>
      <c r="K377" s="7" t="str">
        <f>IF('Port Bloomberg'!K377="","",'Port Bloomberg'!K377)</f>
        <v>NL</v>
      </c>
      <c r="L377" s="7" t="str">
        <f>IF('Port Bloomberg'!L377="","",'Port Bloomberg'!L377)</f>
        <v>BR</v>
      </c>
      <c r="M377" s="7" t="str">
        <f>IF('Port Bloomberg'!M377="","",'Port Bloomberg'!M377)</f>
        <v>USD</v>
      </c>
      <c r="N377" s="7">
        <f>IF('Port Bloomberg'!N377="","",'Port Bloomberg'!N377)</f>
        <v>2250000</v>
      </c>
      <c r="O377" s="7" t="str">
        <f>IF('Port Bloomberg'!O377="","",'Port Bloomberg'!O377)</f>
        <v>SINGLE</v>
      </c>
      <c r="P377" s="7">
        <f>IF('Port Bloomberg'!P377="","",'Port Bloomberg'!P377)</f>
        <v>6.9</v>
      </c>
      <c r="Q377" s="7" t="str">
        <f>IF('Port Bloomberg'!Q377="","",'Port Bloomberg'!Q377)</f>
        <v>BB</v>
      </c>
      <c r="R377" s="7" t="str">
        <f>IF('Port Bloomberg'!R377="","",'Port Bloomberg'!R377)</f>
        <v>03/19/2049</v>
      </c>
      <c r="S377" s="5">
        <f>IF(E377="","",IFERROR(IF(MATCH(E377,[1]Instrumentos!$D:$D,0)&gt;0,1,0),0))</f>
        <v>1</v>
      </c>
      <c r="T377" s="5">
        <f>IF(E377="","",IFERROR(IF(MATCH(E377,'Lista de excepciones'!$E:$E,0)&gt;0,1,0),0))</f>
        <v>0</v>
      </c>
      <c r="U377" s="6" t="str">
        <f t="shared" si="6"/>
        <v>NO</v>
      </c>
    </row>
    <row r="378" spans="1:21" hidden="1" x14ac:dyDescent="0.25">
      <c r="A378" s="7" t="str">
        <f>IF('Port Bloomberg'!A378="","",'Port Bloomberg'!A378)</f>
        <v>PETBRA 7 ¼ 03/17/44</v>
      </c>
      <c r="B378" s="7" t="str">
        <f>IF('Port Bloomberg'!B378="","",'Port Bloomberg'!B378)</f>
        <v>Petrobras Global Finance BV</v>
      </c>
      <c r="C378" s="7" t="str">
        <f>IF('Port Bloomberg'!C378="","",'Port Bloomberg'!C378)</f>
        <v>PETROBRAS</v>
      </c>
      <c r="D378" s="7" t="str">
        <f>IF('Port Bloomberg'!D378="","",'Port Bloomberg'!D378)</f>
        <v>PETROBRAS GLOBAL FINANCE</v>
      </c>
      <c r="E378" s="7" t="str">
        <f>IF('Port Bloomberg'!E378="","",'Port Bloomberg'!E378)</f>
        <v>US71647NAK54</v>
      </c>
      <c r="F378" s="7" t="str">
        <f>IF('Port Bloomberg'!F378="","",'Port Bloomberg'!F378)</f>
        <v>PETBRA</v>
      </c>
      <c r="G378" s="7" t="str">
        <f>IF('Port Bloomberg'!G378="","",'Port Bloomberg'!G378)</f>
        <v>3617348Z BZ</v>
      </c>
      <c r="H378" s="7" t="str">
        <f>IF('Port Bloomberg'!H378="","",'Port Bloomberg'!H378)</f>
        <v>Oil&amp;Gas</v>
      </c>
      <c r="I378" s="7" t="str">
        <f>IF('Port Bloomberg'!I378="","",'Port Bloomberg'!I378)</f>
        <v>FOA</v>
      </c>
      <c r="J378" s="7" t="str">
        <f>IF('Port Bloomberg'!J378="","",'Port Bloomberg'!J378)</f>
        <v>Oil Comp-Integrated</v>
      </c>
      <c r="K378" s="7" t="str">
        <f>IF('Port Bloomberg'!K378="","",'Port Bloomberg'!K378)</f>
        <v>NL</v>
      </c>
      <c r="L378" s="7" t="str">
        <f>IF('Port Bloomberg'!L378="","",'Port Bloomberg'!L378)</f>
        <v>BR</v>
      </c>
      <c r="M378" s="7" t="str">
        <f>IF('Port Bloomberg'!M378="","",'Port Bloomberg'!M378)</f>
        <v>USD</v>
      </c>
      <c r="N378" s="7">
        <f>IF('Port Bloomberg'!N378="","",'Port Bloomberg'!N378)</f>
        <v>2000000</v>
      </c>
      <c r="O378" s="7" t="str">
        <f>IF('Port Bloomberg'!O378="","",'Port Bloomberg'!O378)</f>
        <v>SINGLE</v>
      </c>
      <c r="P378" s="7">
        <f>IF('Port Bloomberg'!P378="","",'Port Bloomberg'!P378)</f>
        <v>7.25</v>
      </c>
      <c r="Q378" s="7" t="str">
        <f>IF('Port Bloomberg'!Q378="","",'Port Bloomberg'!Q378)</f>
        <v>BB</v>
      </c>
      <c r="R378" s="7" t="str">
        <f>IF('Port Bloomberg'!R378="","",'Port Bloomberg'!R378)</f>
        <v>03/17/2044</v>
      </c>
      <c r="S378" s="5">
        <f>IF(E378="","",IFERROR(IF(MATCH(E378,[1]Instrumentos!$D:$D,0)&gt;0,1,0),0))</f>
        <v>1</v>
      </c>
      <c r="T378" s="5">
        <f>IF(E378="","",IFERROR(IF(MATCH(E378,'Lista de excepciones'!$E:$E,0)&gt;0,1,0),0))</f>
        <v>0</v>
      </c>
      <c r="U378" s="6" t="str">
        <f t="shared" si="6"/>
        <v>NO</v>
      </c>
    </row>
    <row r="379" spans="1:21" hidden="1" x14ac:dyDescent="0.25">
      <c r="A379" s="7" t="str">
        <f>IF('Port Bloomberg'!A379="","",'Port Bloomberg'!A379)</f>
        <v>PETRPE 4 ¾ 06/19/32</v>
      </c>
      <c r="B379" s="7" t="str">
        <f>IF('Port Bloomberg'!B379="","",'Port Bloomberg'!B379)</f>
        <v>Petroleos del Peru SA</v>
      </c>
      <c r="C379" s="7" t="str">
        <f>IF('Port Bloomberg'!C379="","",'Port Bloomberg'!C379)</f>
        <v>PETROLEOS DEL PE</v>
      </c>
      <c r="D379" s="7" t="str">
        <f>IF('Port Bloomberg'!D379="","",'Port Bloomberg'!D379)</f>
        <v>PETROLEOS DEL PERU SA</v>
      </c>
      <c r="E379" s="7" t="str">
        <f>IF('Port Bloomberg'!E379="","",'Port Bloomberg'!E379)</f>
        <v>USP7808BAA54</v>
      </c>
      <c r="F379" s="7" t="str">
        <f>IF('Port Bloomberg'!F379="","",'Port Bloomberg'!F379)</f>
        <v>PETRPE</v>
      </c>
      <c r="G379" s="7" t="str">
        <f>IF('Port Bloomberg'!G379="","",'Port Bloomberg'!G379)</f>
        <v>PETROBC1 PE</v>
      </c>
      <c r="H379" s="7" t="str">
        <f>IF('Port Bloomberg'!H379="","",'Port Bloomberg'!H379)</f>
        <v>Oil&amp;Gas</v>
      </c>
      <c r="I379" s="7" t="str">
        <f>IF('Port Bloomberg'!I379="","",'Port Bloomberg'!I379)</f>
        <v>FOA</v>
      </c>
      <c r="J379" s="7" t="str">
        <f>IF('Port Bloomberg'!J379="","",'Port Bloomberg'!J379)</f>
        <v>Oil Comp-Integrated</v>
      </c>
      <c r="K379" s="7" t="str">
        <f>IF('Port Bloomberg'!K379="","",'Port Bloomberg'!K379)</f>
        <v>PE</v>
      </c>
      <c r="L379" s="7" t="str">
        <f>IF('Port Bloomberg'!L379="","",'Port Bloomberg'!L379)</f>
        <v>PE</v>
      </c>
      <c r="M379" s="7" t="str">
        <f>IF('Port Bloomberg'!M379="","",'Port Bloomberg'!M379)</f>
        <v>USD</v>
      </c>
      <c r="N379" s="7">
        <f>IF('Port Bloomberg'!N379="","",'Port Bloomberg'!N379)</f>
        <v>1000000</v>
      </c>
      <c r="O379" s="7" t="str">
        <f>IF('Port Bloomberg'!O379="","",'Port Bloomberg'!O379)</f>
        <v>SINGLE</v>
      </c>
      <c r="P379" s="7">
        <f>IF('Port Bloomberg'!P379="","",'Port Bloomberg'!P379)</f>
        <v>4.75</v>
      </c>
      <c r="Q379" s="7" t="str">
        <f>IF('Port Bloomberg'!Q379="","",'Port Bloomberg'!Q379)</f>
        <v>CCC+</v>
      </c>
      <c r="R379" s="7" t="str">
        <f>IF('Port Bloomberg'!R379="","",'Port Bloomberg'!R379)</f>
        <v>06/19/2032</v>
      </c>
      <c r="S379" s="5">
        <f>IF(E379="","",IFERROR(IF(MATCH(E379,[1]Instrumentos!$D:$D,0)&gt;0,1,0),0))</f>
        <v>0</v>
      </c>
      <c r="T379" s="5">
        <f>IF(E379="","",IFERROR(IF(MATCH(E379,'Lista de excepciones'!$E:$E,0)&gt;0,1,0),0))</f>
        <v>1</v>
      </c>
      <c r="U379" s="6" t="str">
        <f t="shared" si="6"/>
        <v>NO</v>
      </c>
    </row>
    <row r="380" spans="1:21" hidden="1" x14ac:dyDescent="0.25">
      <c r="A380" s="7" t="str">
        <f>IF('Port Bloomberg'!A380="","",'Port Bloomberg'!A380)</f>
        <v>PETRPE 5 ⅝ 06/19/47</v>
      </c>
      <c r="B380" s="7" t="str">
        <f>IF('Port Bloomberg'!B380="","",'Port Bloomberg'!B380)</f>
        <v>Petroleos del Peru SA</v>
      </c>
      <c r="C380" s="7" t="str">
        <f>IF('Port Bloomberg'!C380="","",'Port Bloomberg'!C380)</f>
        <v>PETROLEOS DEL PE</v>
      </c>
      <c r="D380" s="7" t="str">
        <f>IF('Port Bloomberg'!D380="","",'Port Bloomberg'!D380)</f>
        <v>PETROLEOS DEL PERU SA</v>
      </c>
      <c r="E380" s="7" t="str">
        <f>IF('Port Bloomberg'!E380="","",'Port Bloomberg'!E380)</f>
        <v>USP7808BAB38</v>
      </c>
      <c r="F380" s="7" t="str">
        <f>IF('Port Bloomberg'!F380="","",'Port Bloomberg'!F380)</f>
        <v>PETRPE</v>
      </c>
      <c r="G380" s="7" t="str">
        <f>IF('Port Bloomberg'!G380="","",'Port Bloomberg'!G380)</f>
        <v>PETROBC1 PE</v>
      </c>
      <c r="H380" s="7" t="str">
        <f>IF('Port Bloomberg'!H380="","",'Port Bloomberg'!H380)</f>
        <v>Oil&amp;Gas</v>
      </c>
      <c r="I380" s="7" t="str">
        <f>IF('Port Bloomberg'!I380="","",'Port Bloomberg'!I380)</f>
        <v>FOA</v>
      </c>
      <c r="J380" s="7" t="str">
        <f>IF('Port Bloomberg'!J380="","",'Port Bloomberg'!J380)</f>
        <v>Oil Comp-Integrated</v>
      </c>
      <c r="K380" s="7" t="str">
        <f>IF('Port Bloomberg'!K380="","",'Port Bloomberg'!K380)</f>
        <v>PE</v>
      </c>
      <c r="L380" s="7" t="str">
        <f>IF('Port Bloomberg'!L380="","",'Port Bloomberg'!L380)</f>
        <v>PE</v>
      </c>
      <c r="M380" s="7" t="str">
        <f>IF('Port Bloomberg'!M380="","",'Port Bloomberg'!M380)</f>
        <v>USD</v>
      </c>
      <c r="N380" s="7">
        <f>IF('Port Bloomberg'!N380="","",'Port Bloomberg'!N380)</f>
        <v>2000000</v>
      </c>
      <c r="O380" s="7" t="str">
        <f>IF('Port Bloomberg'!O380="","",'Port Bloomberg'!O380)</f>
        <v>SINGLE</v>
      </c>
      <c r="P380" s="7">
        <f>IF('Port Bloomberg'!P380="","",'Port Bloomberg'!P380)</f>
        <v>5.625</v>
      </c>
      <c r="Q380" s="7" t="str">
        <f>IF('Port Bloomberg'!Q380="","",'Port Bloomberg'!Q380)</f>
        <v>CCC+</v>
      </c>
      <c r="R380" s="7" t="str">
        <f>IF('Port Bloomberg'!R380="","",'Port Bloomberg'!R380)</f>
        <v>06/19/2047</v>
      </c>
      <c r="S380" s="5">
        <f>IF(E380="","",IFERROR(IF(MATCH(E380,[1]Instrumentos!$D:$D,0)&gt;0,1,0),0))</f>
        <v>0</v>
      </c>
      <c r="T380" s="5">
        <f>IF(E380="","",IFERROR(IF(MATCH(E380,'Lista de excepciones'!$E:$E,0)&gt;0,1,0),0))</f>
        <v>1</v>
      </c>
      <c r="U380" s="6" t="str">
        <f t="shared" si="6"/>
        <v>NO</v>
      </c>
    </row>
    <row r="381" spans="1:21" hidden="1" x14ac:dyDescent="0.25">
      <c r="A381" s="7" t="str">
        <f>IF('Port Bloomberg'!A381="","",'Port Bloomberg'!A381)</f>
        <v>PLUSCM 6.24 07/03/36</v>
      </c>
      <c r="B381" s="7" t="str">
        <f>IF('Port Bloomberg'!B381="","",'Port Bloomberg'!B381)</f>
        <v>Pluspetrol Camisea SA / Pluspetrol Lote 56 SA</v>
      </c>
      <c r="C381" s="7" t="str">
        <f>IF('Port Bloomberg'!C381="","",'Port Bloomberg'!C381)</f>
        <v>PLUSPETROL</v>
      </c>
      <c r="D381" s="7" t="str">
        <f>IF('Port Bloomberg'!D381="","",'Port Bloomberg'!D381)</f>
        <v>PLUSPETROL CAM/PLUS LOTE</v>
      </c>
      <c r="E381" s="7" t="str">
        <f>IF('Port Bloomberg'!E381="","",'Port Bloomberg'!E381)</f>
        <v>USP8000LAA72</v>
      </c>
      <c r="F381" s="7" t="str">
        <f>IF('Port Bloomberg'!F381="","",'Port Bloomberg'!F381)</f>
        <v>PLUSCM</v>
      </c>
      <c r="G381" s="7" t="str">
        <f>IF('Port Bloomberg'!G381="","",'Port Bloomberg'!G381)</f>
        <v>1145Z AR</v>
      </c>
      <c r="H381" s="7" t="str">
        <f>IF('Port Bloomberg'!H381="","",'Port Bloomberg'!H381)</f>
        <v>Oil&amp;Gas</v>
      </c>
      <c r="I381" s="7" t="str">
        <f>IF('Port Bloomberg'!I381="","",'Port Bloomberg'!I381)</f>
        <v>IND</v>
      </c>
      <c r="J381" s="7" t="str">
        <f>IF('Port Bloomberg'!J381="","",'Port Bloomberg'!J381)</f>
        <v>Oil Comp-Explor&amp;Prodtn</v>
      </c>
      <c r="K381" s="7" t="str">
        <f>IF('Port Bloomberg'!K381="","",'Port Bloomberg'!K381)</f>
        <v>PE</v>
      </c>
      <c r="L381" s="7" t="str">
        <f>IF('Port Bloomberg'!L381="","",'Port Bloomberg'!L381)</f>
        <v>PE</v>
      </c>
      <c r="M381" s="7" t="str">
        <f>IF('Port Bloomberg'!M381="","",'Port Bloomberg'!M381)</f>
        <v>USD</v>
      </c>
      <c r="N381" s="7">
        <f>IF('Port Bloomberg'!N381="","",'Port Bloomberg'!N381)</f>
        <v>500000</v>
      </c>
      <c r="O381" s="7" t="str">
        <f>IF('Port Bloomberg'!O381="","",'Port Bloomberg'!O381)</f>
        <v>SINGLE</v>
      </c>
      <c r="P381" s="7">
        <f>IF('Port Bloomberg'!P381="","",'Port Bloomberg'!P381)</f>
        <v>6.24</v>
      </c>
      <c r="Q381" s="7" t="str">
        <f>IF('Port Bloomberg'!Q381="","",'Port Bloomberg'!Q381)</f>
        <v>BBB</v>
      </c>
      <c r="R381" s="7" t="str">
        <f>IF('Port Bloomberg'!R381="","",'Port Bloomberg'!R381)</f>
        <v>07/03/2036</v>
      </c>
      <c r="S381" s="5">
        <f>IF(E381="","",IFERROR(IF(MATCH(E381,[1]Instrumentos!$D:$D,0)&gt;0,1,0),0))</f>
        <v>1</v>
      </c>
      <c r="T381" s="5">
        <f>IF(E381="","",IFERROR(IF(MATCH(E381,'Lista de excepciones'!$E:$E,0)&gt;0,1,0),0))</f>
        <v>0</v>
      </c>
      <c r="U381" s="6" t="str">
        <f t="shared" si="6"/>
        <v>NO</v>
      </c>
    </row>
    <row r="382" spans="1:21" hidden="1" x14ac:dyDescent="0.25">
      <c r="A382" s="7" t="str">
        <f>IF('Port Bloomberg'!A382="","",'Port Bloomberg'!A382)</f>
        <v>PNSTTA 6 ⅝ 06/17/31</v>
      </c>
      <c r="B382" s="7" t="str">
        <f>IF('Port Bloomberg'!B382="","",'Port Bloomberg'!B382)</f>
        <v>Poinsettia Finance Ltd Sarl</v>
      </c>
      <c r="C382" s="7" t="str">
        <f>IF('Port Bloomberg'!C382="","",'Port Bloomberg'!C382)</f>
        <v>POINSETTIA FINAN</v>
      </c>
      <c r="D382" s="7" t="str">
        <f>IF('Port Bloomberg'!D382="","",'Port Bloomberg'!D382)</f>
        <v>POINSETTIA FINANCE LTD</v>
      </c>
      <c r="E382" s="7" t="str">
        <f>IF('Port Bloomberg'!E382="","",'Port Bloomberg'!E382)</f>
        <v>USG7150PAA87</v>
      </c>
      <c r="F382" s="7" t="str">
        <f>IF('Port Bloomberg'!F382="","",'Port Bloomberg'!F382)</f>
        <v>PNSTTA</v>
      </c>
      <c r="G382" s="7" t="str">
        <f>IF('Port Bloomberg'!G382="","",'Port Bloomberg'!G382)</f>
        <v>1412220D US</v>
      </c>
      <c r="H382" s="7" t="str">
        <f>IF('Port Bloomberg'!H382="","",'Port Bloomberg'!H382)</f>
        <v>Oil&amp;Gas Services</v>
      </c>
      <c r="I382" s="7" t="str">
        <f>IF('Port Bloomberg'!I382="","",'Port Bloomberg'!I382)</f>
        <v>FOA</v>
      </c>
      <c r="J382" s="7" t="str">
        <f>IF('Port Bloomberg'!J382="","",'Port Bloomberg'!J382)</f>
        <v>Oil-Field Services</v>
      </c>
      <c r="K382" s="7" t="str">
        <f>IF('Port Bloomberg'!K382="","",'Port Bloomberg'!K382)</f>
        <v>US</v>
      </c>
      <c r="L382" s="7" t="str">
        <f>IF('Port Bloomberg'!L382="","",'Port Bloomberg'!L382)</f>
        <v>MX</v>
      </c>
      <c r="M382" s="7" t="str">
        <f>IF('Port Bloomberg'!M382="","",'Port Bloomberg'!M382)</f>
        <v>USD</v>
      </c>
      <c r="N382" s="7">
        <f>IF('Port Bloomberg'!N382="","",'Port Bloomberg'!N382)</f>
        <v>530800</v>
      </c>
      <c r="O382" s="7" t="str">
        <f>IF('Port Bloomberg'!O382="","",'Port Bloomberg'!O382)</f>
        <v>SINGLE</v>
      </c>
      <c r="P382" s="7">
        <f>IF('Port Bloomberg'!P382="","",'Port Bloomberg'!P382)</f>
        <v>6.625</v>
      </c>
      <c r="Q382" s="7" t="str">
        <f>IF('Port Bloomberg'!Q382="","",'Port Bloomberg'!Q382)</f>
        <v>BB</v>
      </c>
      <c r="R382" s="7" t="str">
        <f>IF('Port Bloomberg'!R382="","",'Port Bloomberg'!R382)</f>
        <v>06/17/2031</v>
      </c>
      <c r="S382" s="5">
        <f>IF(E382="","",IFERROR(IF(MATCH(E382,[1]Instrumentos!$D:$D,0)&gt;0,1,0),0))</f>
        <v>0</v>
      </c>
      <c r="T382" s="5">
        <f>IF(E382="","",IFERROR(IF(MATCH(E382,'Lista de excepciones'!$E:$E,0)&gt;0,1,0),0))</f>
        <v>1</v>
      </c>
      <c r="U382" s="6" t="str">
        <f t="shared" si="6"/>
        <v>NO</v>
      </c>
    </row>
    <row r="383" spans="1:21" hidden="1" x14ac:dyDescent="0.25">
      <c r="A383" s="7" t="str">
        <f>IF('Port Bloomberg'!A383="","",'Port Bloomberg'!A383)</f>
        <v>PRIOBZ 6 ¾ 10/15/30</v>
      </c>
      <c r="B383" s="7" t="str">
        <f>IF('Port Bloomberg'!B383="","",'Port Bloomberg'!B383)</f>
        <v>PRIO Luxembourg Holding Sarl</v>
      </c>
      <c r="C383" s="7" t="str">
        <f>IF('Port Bloomberg'!C383="","",'Port Bloomberg'!C383)</f>
        <v>PRIO LUX HLD</v>
      </c>
      <c r="D383" s="7" t="str">
        <f>IF('Port Bloomberg'!D383="","",'Port Bloomberg'!D383)</f>
        <v>PRIO LUX HLD SARL</v>
      </c>
      <c r="E383" s="7" t="str">
        <f>IF('Port Bloomberg'!E383="","",'Port Bloomberg'!E383)</f>
        <v>USL7S62BAA03</v>
      </c>
      <c r="F383" s="7" t="str">
        <f>IF('Port Bloomberg'!F383="","",'Port Bloomberg'!F383)</f>
        <v>PRIOBZ</v>
      </c>
      <c r="G383" s="7" t="str">
        <f>IF('Port Bloomberg'!G383="","",'Port Bloomberg'!G383)</f>
        <v>PRIO3 BZ</v>
      </c>
      <c r="H383" s="7" t="str">
        <f>IF('Port Bloomberg'!H383="","",'Port Bloomberg'!H383)</f>
        <v>Oil&amp;Gas</v>
      </c>
      <c r="I383" s="7" t="str">
        <f>IF('Port Bloomberg'!I383="","",'Port Bloomberg'!I383)</f>
        <v>IND</v>
      </c>
      <c r="J383" s="7" t="str">
        <f>IF('Port Bloomberg'!J383="","",'Port Bloomberg'!J383)</f>
        <v>Oil Comp-Explor&amp;Prodtn</v>
      </c>
      <c r="K383" s="7" t="str">
        <f>IF('Port Bloomberg'!K383="","",'Port Bloomberg'!K383)</f>
        <v>LU</v>
      </c>
      <c r="L383" s="7" t="str">
        <f>IF('Port Bloomberg'!L383="","",'Port Bloomberg'!L383)</f>
        <v>BR</v>
      </c>
      <c r="M383" s="7" t="str">
        <f>IF('Port Bloomberg'!M383="","",'Port Bloomberg'!M383)</f>
        <v>USD</v>
      </c>
      <c r="N383" s="7">
        <f>IF('Port Bloomberg'!N383="","",'Port Bloomberg'!N383)</f>
        <v>700000</v>
      </c>
      <c r="O383" s="7" t="str">
        <f>IF('Port Bloomberg'!O383="","",'Port Bloomberg'!O383)</f>
        <v>SINGLE</v>
      </c>
      <c r="P383" s="7">
        <f>IF('Port Bloomberg'!P383="","",'Port Bloomberg'!P383)</f>
        <v>6.75</v>
      </c>
      <c r="Q383" s="7" t="str">
        <f>IF('Port Bloomberg'!Q383="","",'Port Bloomberg'!Q383)</f>
        <v>BB</v>
      </c>
      <c r="R383" s="7" t="str">
        <f>IF('Port Bloomberg'!R383="","",'Port Bloomberg'!R383)</f>
        <v>10/15/2030</v>
      </c>
      <c r="S383" s="5">
        <f>IF(E383="","",IFERROR(IF(MATCH(E383,[1]Instrumentos!$D:$D,0)&gt;0,1,0),0))</f>
        <v>0</v>
      </c>
      <c r="T383" s="5">
        <f>IF(E383="","",IFERROR(IF(MATCH(E383,'Lista de excepciones'!$E:$E,0)&gt;0,1,0),0))</f>
        <v>1</v>
      </c>
      <c r="U383" s="6" t="str">
        <f t="shared" si="6"/>
        <v>NO</v>
      </c>
    </row>
    <row r="384" spans="1:21" hidden="1" x14ac:dyDescent="0.25">
      <c r="A384" s="7" t="str">
        <f>IF('Port Bloomberg'!A384="","",'Port Bloomberg'!A384)</f>
        <v>PROMIG 3 ¾ 10/16/29</v>
      </c>
      <c r="B384" s="7" t="str">
        <f>IF('Port Bloomberg'!B384="","",'Port Bloomberg'!B384)</f>
        <v>Promigas SA ESP / Gases del Pacifico SAC</v>
      </c>
      <c r="C384" s="7" t="str">
        <f>IF('Port Bloomberg'!C384="","",'Port Bloomberg'!C384)</f>
        <v>PROMIGAS SA</v>
      </c>
      <c r="D384" s="7" t="str">
        <f>IF('Port Bloomberg'!D384="","",'Port Bloomberg'!D384)</f>
        <v>PROMIGAS/GASES PACIFICO</v>
      </c>
      <c r="E384" s="7" t="str">
        <f>IF('Port Bloomberg'!E384="","",'Port Bloomberg'!E384)</f>
        <v>USP7922TAA71</v>
      </c>
      <c r="F384" s="7" t="str">
        <f>IF('Port Bloomberg'!F384="","",'Port Bloomberg'!F384)</f>
        <v>PROMIG</v>
      </c>
      <c r="G384" s="7" t="str">
        <f>IF('Port Bloomberg'!G384="","",'Port Bloomberg'!G384)</f>
        <v>PROMIG CB</v>
      </c>
      <c r="H384" s="7" t="str">
        <f>IF('Port Bloomberg'!H384="","",'Port Bloomberg'!H384)</f>
        <v>Gas</v>
      </c>
      <c r="I384" s="7" t="str">
        <f>IF('Port Bloomberg'!I384="","",'Port Bloomberg'!I384)</f>
        <v>UTL</v>
      </c>
      <c r="J384" s="7" t="str">
        <f>IF('Port Bloomberg'!J384="","",'Port Bloomberg'!J384)</f>
        <v>Gas-Distribution</v>
      </c>
      <c r="K384" s="7" t="str">
        <f>IF('Port Bloomberg'!K384="","",'Port Bloomberg'!K384)</f>
        <v>CO</v>
      </c>
      <c r="L384" s="7" t="str">
        <f>IF('Port Bloomberg'!L384="","",'Port Bloomberg'!L384)</f>
        <v>CO</v>
      </c>
      <c r="M384" s="7" t="str">
        <f>IF('Port Bloomberg'!M384="","",'Port Bloomberg'!M384)</f>
        <v>USD</v>
      </c>
      <c r="N384" s="7">
        <f>IF('Port Bloomberg'!N384="","",'Port Bloomberg'!N384)</f>
        <v>520000</v>
      </c>
      <c r="O384" s="7" t="str">
        <f>IF('Port Bloomberg'!O384="","",'Port Bloomberg'!O384)</f>
        <v>SINGLE</v>
      </c>
      <c r="P384" s="7">
        <f>IF('Port Bloomberg'!P384="","",'Port Bloomberg'!P384)</f>
        <v>3.75</v>
      </c>
      <c r="Q384" s="7" t="str">
        <f>IF('Port Bloomberg'!Q384="","",'Port Bloomberg'!Q384)</f>
        <v>BBB-</v>
      </c>
      <c r="R384" s="7" t="str">
        <f>IF('Port Bloomberg'!R384="","",'Port Bloomberg'!R384)</f>
        <v>10/16/2029</v>
      </c>
      <c r="S384" s="5">
        <f>IF(E384="","",IFERROR(IF(MATCH(E384,[1]Instrumentos!$D:$D,0)&gt;0,1,0),0))</f>
        <v>1</v>
      </c>
      <c r="T384" s="5">
        <f>IF(E384="","",IFERROR(IF(MATCH(E384,'Lista de excepciones'!$E:$E,0)&gt;0,1,0),0))</f>
        <v>0</v>
      </c>
      <c r="U384" s="6" t="str">
        <f t="shared" si="6"/>
        <v>NO</v>
      </c>
    </row>
    <row r="385" spans="1:21" hidden="1" x14ac:dyDescent="0.25">
      <c r="A385" s="7" t="str">
        <f>IF('Port Bloomberg'!A385="","",'Port Bloomberg'!A385)</f>
        <v>PROMIG 7 ¾ 06/24/56</v>
      </c>
      <c r="B385" s="7" t="str">
        <f>IF('Port Bloomberg'!B385="","",'Port Bloomberg'!B385)</f>
        <v>Promigas SA ESP / Gases del Pacifico SAC</v>
      </c>
      <c r="C385" s="7" t="str">
        <f>IF('Port Bloomberg'!C385="","",'Port Bloomberg'!C385)</f>
        <v>PROMIGAS SA</v>
      </c>
      <c r="D385" s="7" t="str">
        <f>IF('Port Bloomberg'!D385="","",'Port Bloomberg'!D385)</f>
        <v>PROMIGAS/GASES PACIFICO</v>
      </c>
      <c r="E385" s="7" t="str">
        <f>IF('Port Bloomberg'!E385="","",'Port Bloomberg'!E385)</f>
        <v>USP7923WAA91</v>
      </c>
      <c r="F385" s="7" t="str">
        <f>IF('Port Bloomberg'!F385="","",'Port Bloomberg'!F385)</f>
        <v>PROMIG</v>
      </c>
      <c r="G385" s="7" t="str">
        <f>IF('Port Bloomberg'!G385="","",'Port Bloomberg'!G385)</f>
        <v>PROMIG CB</v>
      </c>
      <c r="H385" s="7" t="str">
        <f>IF('Port Bloomberg'!H385="","",'Port Bloomberg'!H385)</f>
        <v>Gas</v>
      </c>
      <c r="I385" s="7" t="str">
        <f>IF('Port Bloomberg'!I385="","",'Port Bloomberg'!I385)</f>
        <v>UTL</v>
      </c>
      <c r="J385" s="7" t="str">
        <f>IF('Port Bloomberg'!J385="","",'Port Bloomberg'!J385)</f>
        <v>Gas-Distribution</v>
      </c>
      <c r="K385" s="7" t="str">
        <f>IF('Port Bloomberg'!K385="","",'Port Bloomberg'!K385)</f>
        <v>CO</v>
      </c>
      <c r="L385" s="7" t="str">
        <f>IF('Port Bloomberg'!L385="","",'Port Bloomberg'!L385)</f>
        <v>CO</v>
      </c>
      <c r="M385" s="7" t="str">
        <f>IF('Port Bloomberg'!M385="","",'Port Bloomberg'!M385)</f>
        <v>USD</v>
      </c>
      <c r="N385" s="7">
        <f>IF('Port Bloomberg'!N385="","",'Port Bloomberg'!N385)</f>
        <v>920000</v>
      </c>
      <c r="O385" s="7" t="str">
        <f>IF('Port Bloomberg'!O385="","",'Port Bloomberg'!O385)</f>
        <v>SINGLE</v>
      </c>
      <c r="P385" s="7">
        <f>IF('Port Bloomberg'!P385="","",'Port Bloomberg'!P385)</f>
        <v>7.75</v>
      </c>
      <c r="Q385" s="7" t="str">
        <f>IF('Port Bloomberg'!Q385="","",'Port Bloomberg'!Q385)</f>
        <v>BB</v>
      </c>
      <c r="R385" s="7" t="str">
        <f>IF('Port Bloomberg'!R385="","",'Port Bloomberg'!R385)</f>
        <v>06/24/2056</v>
      </c>
      <c r="S385" s="5">
        <f>IF(E385="","",IFERROR(IF(MATCH(E385,[1]Instrumentos!$D:$D,0)&gt;0,1,0),0))</f>
        <v>1</v>
      </c>
      <c r="T385" s="5">
        <f>IF(E385="","",IFERROR(IF(MATCH(E385,'Lista de excepciones'!$E:$E,0)&gt;0,1,0),0))</f>
        <v>0</v>
      </c>
      <c r="U385" s="6" t="str">
        <f t="shared" si="6"/>
        <v>NO</v>
      </c>
    </row>
    <row r="386" spans="1:21" hidden="1" x14ac:dyDescent="0.25">
      <c r="A386" s="7" t="str">
        <f>IF('Port Bloomberg'!A386="","",'Port Bloomberg'!A386)</f>
        <v>PRUPAR 7 ½ 12/31/31</v>
      </c>
      <c r="B386" s="7" t="str">
        <f>IF('Port Bloomberg'!B386="","",'Port Bloomberg'!B386)</f>
        <v>Geometrica Par Investimentos SA</v>
      </c>
      <c r="C386" s="7" t="str">
        <f>IF('Port Bloomberg'!C386="","",'Port Bloomberg'!C386)</f>
        <v>GEOMETRICA INVT</v>
      </c>
      <c r="D386" s="7" t="str">
        <f>IF('Port Bloomberg'!D386="","",'Port Bloomberg'!D386)</f>
        <v>GEOMETRICA PAR INVEST SA</v>
      </c>
      <c r="E386" s="7" t="str">
        <f>IF('Port Bloomberg'!E386="","",'Port Bloomberg'!E386)</f>
        <v>USP7922DAB03</v>
      </c>
      <c r="F386" s="7" t="str">
        <f>IF('Port Bloomberg'!F386="","",'Port Bloomberg'!F386)</f>
        <v>PRUPAR</v>
      </c>
      <c r="G386" s="7" t="str">
        <f>IF('Port Bloomberg'!G386="","",'Port Bloomberg'!G386)</f>
        <v>1329535D BZ</v>
      </c>
      <c r="H386" s="7" t="str">
        <f>IF('Port Bloomberg'!H386="","",'Port Bloomberg'!H386)</f>
        <v>Commercial Services</v>
      </c>
      <c r="I386" s="7" t="str">
        <f>IF('Port Bloomberg'!I386="","",'Port Bloomberg'!I386)</f>
        <v>IND</v>
      </c>
      <c r="J386" s="7" t="str">
        <f>IF('Port Bloomberg'!J386="","",'Port Bloomberg'!J386)</f>
        <v>Whsing&amp;Harbor Trans Serv</v>
      </c>
      <c r="K386" s="7" t="str">
        <f>IF('Port Bloomberg'!K386="","",'Port Bloomberg'!K386)</f>
        <v>BR</v>
      </c>
      <c r="L386" s="7" t="str">
        <f>IF('Port Bloomberg'!L386="","",'Port Bloomberg'!L386)</f>
        <v>BR</v>
      </c>
      <c r="M386" s="7" t="str">
        <f>IF('Port Bloomberg'!M386="","",'Port Bloomberg'!M386)</f>
        <v>USD</v>
      </c>
      <c r="N386" s="7">
        <f>IF('Port Bloomberg'!N386="","",'Port Bloomberg'!N386)</f>
        <v>350000</v>
      </c>
      <c r="O386" s="7" t="str">
        <f>IF('Port Bloomberg'!O386="","",'Port Bloomberg'!O386)</f>
        <v>SINGLE</v>
      </c>
      <c r="P386" s="7">
        <f>IF('Port Bloomberg'!P386="","",'Port Bloomberg'!P386)</f>
        <v>7.5</v>
      </c>
      <c r="Q386" s="7" t="str">
        <f>IF('Port Bloomberg'!Q386="","",'Port Bloomberg'!Q386)</f>
        <v>BB</v>
      </c>
      <c r="R386" s="7" t="str">
        <f>IF('Port Bloomberg'!R386="","",'Port Bloomberg'!R386)</f>
        <v>12/31/2031</v>
      </c>
      <c r="S386" s="5">
        <f>IF(E386="","",IFERROR(IF(MATCH(E386,[1]Instrumentos!$D:$D,0)&gt;0,1,0),0))</f>
        <v>1</v>
      </c>
      <c r="T386" s="5">
        <f>IF(E386="","",IFERROR(IF(MATCH(E386,'Lista de excepciones'!$E:$E,0)&gt;0,1,0),0))</f>
        <v>0</v>
      </c>
      <c r="U386" s="6" t="str">
        <f t="shared" si="6"/>
        <v>NO</v>
      </c>
    </row>
    <row r="387" spans="1:21" hidden="1" x14ac:dyDescent="0.25">
      <c r="A387" s="7" t="str">
        <f>IF('Port Bloomberg'!A387="","",'Port Bloomberg'!A387)</f>
        <v>PXTCN 8 ½ 05/11/31</v>
      </c>
      <c r="B387" s="7" t="str">
        <f>IF('Port Bloomberg'!B387="","",'Port Bloomberg'!B387)</f>
        <v>Parex Resources Inc</v>
      </c>
      <c r="C387" s="7" t="str">
        <f>IF('Port Bloomberg'!C387="","",'Port Bloomberg'!C387)</f>
        <v>PAREX RESOURCES</v>
      </c>
      <c r="D387" s="7" t="str">
        <f>IF('Port Bloomberg'!D387="","",'Port Bloomberg'!D387)</f>
        <v>PAREX RESOURCES INC</v>
      </c>
      <c r="E387" s="7" t="str">
        <f>IF('Port Bloomberg'!E387="","",'Port Bloomberg'!E387)</f>
        <v>USC71952AA08</v>
      </c>
      <c r="F387" s="7" t="str">
        <f>IF('Port Bloomberg'!F387="","",'Port Bloomberg'!F387)</f>
        <v>PXTCN</v>
      </c>
      <c r="G387" s="7" t="str">
        <f>IF('Port Bloomberg'!G387="","",'Port Bloomberg'!G387)</f>
        <v>PXT CN</v>
      </c>
      <c r="H387" s="7" t="str">
        <f>IF('Port Bloomberg'!H387="","",'Port Bloomberg'!H387)</f>
        <v>Oil&amp;Gas</v>
      </c>
      <c r="I387" s="7" t="str">
        <f>IF('Port Bloomberg'!I387="","",'Port Bloomberg'!I387)</f>
        <v>IND</v>
      </c>
      <c r="J387" s="7" t="str">
        <f>IF('Port Bloomberg'!J387="","",'Port Bloomberg'!J387)</f>
        <v>Oil Comp-Explor&amp;Prodtn</v>
      </c>
      <c r="K387" s="7" t="str">
        <f>IF('Port Bloomberg'!K387="","",'Port Bloomberg'!K387)</f>
        <v>CA</v>
      </c>
      <c r="L387" s="7" t="str">
        <f>IF('Port Bloomberg'!L387="","",'Port Bloomberg'!L387)</f>
        <v>CO</v>
      </c>
      <c r="M387" s="7" t="str">
        <f>IF('Port Bloomberg'!M387="","",'Port Bloomberg'!M387)</f>
        <v>USD</v>
      </c>
      <c r="N387" s="7">
        <f>IF('Port Bloomberg'!N387="","",'Port Bloomberg'!N387)</f>
        <v>500000</v>
      </c>
      <c r="O387" s="7" t="str">
        <f>IF('Port Bloomberg'!O387="","",'Port Bloomberg'!O387)</f>
        <v>SINGLE</v>
      </c>
      <c r="P387" s="7">
        <f>IF('Port Bloomberg'!P387="","",'Port Bloomberg'!P387)</f>
        <v>8.5</v>
      </c>
      <c r="Q387" s="7" t="str">
        <f>IF('Port Bloomberg'!Q387="","",'Port Bloomberg'!Q387)</f>
        <v>B+</v>
      </c>
      <c r="R387" s="7" t="str">
        <f>IF('Port Bloomberg'!R387="","",'Port Bloomberg'!R387)</f>
        <v>05/11/2031</v>
      </c>
      <c r="S387" s="5">
        <f>IF(E387="","",IFERROR(IF(MATCH(E387,[1]Instrumentos!$D:$D,0)&gt;0,1,0),0))</f>
        <v>1</v>
      </c>
      <c r="T387" s="5">
        <f>IF(E387="","",IFERROR(IF(MATCH(E387,'Lista de excepciones'!$E:$E,0)&gt;0,1,0),0))</f>
        <v>0</v>
      </c>
      <c r="U387" s="6" t="str">
        <f t="shared" ref="U387:U450" si="7">IF(E387="","",IF(S387+T387=0,"AGREGAR/REVISAR","NO"))</f>
        <v>NO</v>
      </c>
    </row>
    <row r="388" spans="1:21" hidden="1" x14ac:dyDescent="0.25">
      <c r="A388" s="7" t="str">
        <f>IF('Port Bloomberg'!A388="","",'Port Bloomberg'!A388)</f>
        <v>RAILBZ 4.2 01/18/32</v>
      </c>
      <c r="B388" s="7" t="str">
        <f>IF('Port Bloomberg'!B388="","",'Port Bloomberg'!B388)</f>
        <v>Rumo Luxembourg Sarl</v>
      </c>
      <c r="C388" s="7" t="str">
        <f>IF('Port Bloomberg'!C388="","",'Port Bloomberg'!C388)</f>
        <v>RUMO LUX SARL</v>
      </c>
      <c r="D388" s="7" t="str">
        <f>IF('Port Bloomberg'!D388="","",'Port Bloomberg'!D388)</f>
        <v>RUMO LUXEMBOURG SARL</v>
      </c>
      <c r="E388" s="7" t="str">
        <f>IF('Port Bloomberg'!E388="","",'Port Bloomberg'!E388)</f>
        <v>USL79090AD51</v>
      </c>
      <c r="F388" s="7" t="str">
        <f>IF('Port Bloomberg'!F388="","",'Port Bloomberg'!F388)</f>
        <v>RAILBZ</v>
      </c>
      <c r="G388" s="7" t="str">
        <f>IF('Port Bloomberg'!G388="","",'Port Bloomberg'!G388)</f>
        <v>RAIL3 BZ</v>
      </c>
      <c r="H388" s="7" t="str">
        <f>IF('Port Bloomberg'!H388="","",'Port Bloomberg'!H388)</f>
        <v>Transportation</v>
      </c>
      <c r="I388" s="7" t="str">
        <f>IF('Port Bloomberg'!I388="","",'Port Bloomberg'!I388)</f>
        <v>IND</v>
      </c>
      <c r="J388" s="7" t="str">
        <f>IF('Port Bloomberg'!J388="","",'Port Bloomberg'!J388)</f>
        <v>Transport-Rail</v>
      </c>
      <c r="K388" s="7" t="str">
        <f>IF('Port Bloomberg'!K388="","",'Port Bloomberg'!K388)</f>
        <v>LU</v>
      </c>
      <c r="L388" s="7" t="str">
        <f>IF('Port Bloomberg'!L388="","",'Port Bloomberg'!L388)</f>
        <v>BR</v>
      </c>
      <c r="M388" s="7" t="str">
        <f>IF('Port Bloomberg'!M388="","",'Port Bloomberg'!M388)</f>
        <v>USD</v>
      </c>
      <c r="N388" s="7">
        <f>IF('Port Bloomberg'!N388="","",'Port Bloomberg'!N388)</f>
        <v>500000</v>
      </c>
      <c r="O388" s="7" t="str">
        <f>IF('Port Bloomberg'!O388="","",'Port Bloomberg'!O388)</f>
        <v>SINGLE</v>
      </c>
      <c r="P388" s="7">
        <f>IF('Port Bloomberg'!P388="","",'Port Bloomberg'!P388)</f>
        <v>4.2</v>
      </c>
      <c r="Q388" s="7" t="str">
        <f>IF('Port Bloomberg'!Q388="","",'Port Bloomberg'!Q388)</f>
        <v>BB</v>
      </c>
      <c r="R388" s="7" t="str">
        <f>IF('Port Bloomberg'!R388="","",'Port Bloomberg'!R388)</f>
        <v>01/18/2032</v>
      </c>
      <c r="S388" s="5">
        <f>IF(E388="","",IFERROR(IF(MATCH(E388,[1]Instrumentos!$D:$D,0)&gt;0,1,0),0))</f>
        <v>1</v>
      </c>
      <c r="T388" s="5">
        <f>IF(E388="","",IFERROR(IF(MATCH(E388,'Lista de excepciones'!$E:$E,0)&gt;0,1,0),0))</f>
        <v>0</v>
      </c>
      <c r="U388" s="6" t="str">
        <f t="shared" si="7"/>
        <v>NO</v>
      </c>
    </row>
    <row r="389" spans="1:21" hidden="1" x14ac:dyDescent="0.25">
      <c r="A389" s="7" t="str">
        <f>IF('Port Bloomberg'!A389="","",'Port Bloomberg'!A389)</f>
        <v>RAIZBZ 5.7 01/17/35</v>
      </c>
      <c r="B389" s="7" t="str">
        <f>IF('Port Bloomberg'!B389="","",'Port Bloomberg'!B389)</f>
        <v>Raizen Fuels Finance SA</v>
      </c>
      <c r="C389" s="7" t="str">
        <f>IF('Port Bloomberg'!C389="","",'Port Bloomberg'!C389)</f>
        <v>RAIZEN FUELS</v>
      </c>
      <c r="D389" s="7" t="str">
        <f>IF('Port Bloomberg'!D389="","",'Port Bloomberg'!D389)</f>
        <v>RAIZEN FUELS FINANCE</v>
      </c>
      <c r="E389" s="7" t="str">
        <f>IF('Port Bloomberg'!E389="","",'Port Bloomberg'!E389)</f>
        <v>USL7909CAE77</v>
      </c>
      <c r="F389" s="7" t="str">
        <f>IF('Port Bloomberg'!F389="","",'Port Bloomberg'!F389)</f>
        <v>RAIZBZ</v>
      </c>
      <c r="G389" s="7" t="str">
        <f>IF('Port Bloomberg'!G389="","",'Port Bloomberg'!G389)</f>
        <v>8180002Z BZ</v>
      </c>
      <c r="H389" s="7" t="str">
        <f>IF('Port Bloomberg'!H389="","",'Port Bloomberg'!H389)</f>
        <v>Oil&amp;Gas</v>
      </c>
      <c r="I389" s="7" t="str">
        <f>IF('Port Bloomberg'!I389="","",'Port Bloomberg'!I389)</f>
        <v>IND</v>
      </c>
      <c r="J389" s="7" t="str">
        <f>IF('Port Bloomberg'!J389="","",'Port Bloomberg'!J389)</f>
        <v>Oil Refining&amp;Marketing</v>
      </c>
      <c r="K389" s="7" t="str">
        <f>IF('Port Bloomberg'!K389="","",'Port Bloomberg'!K389)</f>
        <v>LU</v>
      </c>
      <c r="L389" s="7" t="str">
        <f>IF('Port Bloomberg'!L389="","",'Port Bloomberg'!L389)</f>
        <v>BR</v>
      </c>
      <c r="M389" s="7" t="str">
        <f>IF('Port Bloomberg'!M389="","",'Port Bloomberg'!M389)</f>
        <v>USD</v>
      </c>
      <c r="N389" s="7">
        <f>IF('Port Bloomberg'!N389="","",'Port Bloomberg'!N389)</f>
        <v>1000000</v>
      </c>
      <c r="O389" s="7" t="str">
        <f>IF('Port Bloomberg'!O389="","",'Port Bloomberg'!O389)</f>
        <v>SINGLE</v>
      </c>
      <c r="P389" s="7">
        <f>IF('Port Bloomberg'!P389="","",'Port Bloomberg'!P389)</f>
        <v>5.7</v>
      </c>
      <c r="Q389" s="7" t="str">
        <f>IF('Port Bloomberg'!Q389="","",'Port Bloomberg'!Q389)</f>
        <v>DD+</v>
      </c>
      <c r="R389" s="7" t="str">
        <f>IF('Port Bloomberg'!R389="","",'Port Bloomberg'!R389)</f>
        <v>01/17/2035</v>
      </c>
      <c r="S389" s="5">
        <f>IF(E389="","",IFERROR(IF(MATCH(E389,[1]Instrumentos!$D:$D,0)&gt;0,1,0),0))</f>
        <v>0</v>
      </c>
      <c r="T389" s="5">
        <f>IF(E389="","",IFERROR(IF(MATCH(E389,'Lista de excepciones'!$E:$E,0)&gt;0,1,0),0))</f>
        <v>1</v>
      </c>
      <c r="U389" s="6" t="str">
        <f t="shared" si="7"/>
        <v>NO</v>
      </c>
    </row>
    <row r="390" spans="1:21" hidden="1" x14ac:dyDescent="0.25">
      <c r="A390" s="7" t="str">
        <f>IF('Port Bloomberg'!A390="","",'Port Bloomberg'!A390)</f>
        <v>RAIZBZ 6 ¼ 07/08/32</v>
      </c>
      <c r="B390" s="7" t="str">
        <f>IF('Port Bloomberg'!B390="","",'Port Bloomberg'!B390)</f>
        <v>Raizen Fuels Finance SA</v>
      </c>
      <c r="C390" s="7" t="str">
        <f>IF('Port Bloomberg'!C390="","",'Port Bloomberg'!C390)</f>
        <v>RAIZEN FUELS</v>
      </c>
      <c r="D390" s="7" t="str">
        <f>IF('Port Bloomberg'!D390="","",'Port Bloomberg'!D390)</f>
        <v>RAIZEN FUELS FINANCE</v>
      </c>
      <c r="E390" s="7" t="str">
        <f>IF('Port Bloomberg'!E390="","",'Port Bloomberg'!E390)</f>
        <v>USL7909CAJ64</v>
      </c>
      <c r="F390" s="7" t="str">
        <f>IF('Port Bloomberg'!F390="","",'Port Bloomberg'!F390)</f>
        <v>RAIZBZ</v>
      </c>
      <c r="G390" s="7" t="str">
        <f>IF('Port Bloomberg'!G390="","",'Port Bloomberg'!G390)</f>
        <v>8180002Z BZ</v>
      </c>
      <c r="H390" s="7" t="str">
        <f>IF('Port Bloomberg'!H390="","",'Port Bloomberg'!H390)</f>
        <v>Oil&amp;Gas</v>
      </c>
      <c r="I390" s="7" t="str">
        <f>IF('Port Bloomberg'!I390="","",'Port Bloomberg'!I390)</f>
        <v>IND</v>
      </c>
      <c r="J390" s="7" t="str">
        <f>IF('Port Bloomberg'!J390="","",'Port Bloomberg'!J390)</f>
        <v>Oil Refining&amp;Marketing</v>
      </c>
      <c r="K390" s="7" t="str">
        <f>IF('Port Bloomberg'!K390="","",'Port Bloomberg'!K390)</f>
        <v>LU</v>
      </c>
      <c r="L390" s="7" t="str">
        <f>IF('Port Bloomberg'!L390="","",'Port Bloomberg'!L390)</f>
        <v>BR</v>
      </c>
      <c r="M390" s="7" t="str">
        <f>IF('Port Bloomberg'!M390="","",'Port Bloomberg'!M390)</f>
        <v>USD</v>
      </c>
      <c r="N390" s="7">
        <f>IF('Port Bloomberg'!N390="","",'Port Bloomberg'!N390)</f>
        <v>750000</v>
      </c>
      <c r="O390" s="7" t="str">
        <f>IF('Port Bloomberg'!O390="","",'Port Bloomberg'!O390)</f>
        <v>SINGLE</v>
      </c>
      <c r="P390" s="7">
        <f>IF('Port Bloomberg'!P390="","",'Port Bloomberg'!P390)</f>
        <v>6.25</v>
      </c>
      <c r="Q390" s="7" t="str">
        <f>IF('Port Bloomberg'!Q390="","",'Port Bloomberg'!Q390)</f>
        <v>DD+</v>
      </c>
      <c r="R390" s="7" t="str">
        <f>IF('Port Bloomberg'!R390="","",'Port Bloomberg'!R390)</f>
        <v>07/08/2032</v>
      </c>
      <c r="S390" s="5">
        <f>IF(E390="","",IFERROR(IF(MATCH(E390,[1]Instrumentos!$D:$D,0)&gt;0,1,0),0))</f>
        <v>0</v>
      </c>
      <c r="T390" s="5">
        <f>IF(E390="","",IFERROR(IF(MATCH(E390,'Lista de excepciones'!$E:$E,0)&gt;0,1,0),0))</f>
        <v>1</v>
      </c>
      <c r="U390" s="6" t="str">
        <f t="shared" si="7"/>
        <v>NO</v>
      </c>
    </row>
    <row r="391" spans="1:21" hidden="1" x14ac:dyDescent="0.25">
      <c r="A391" s="7" t="str">
        <f>IF('Port Bloomberg'!A391="","",'Port Bloomberg'!A391)</f>
        <v>RAIZBZ 6.45 03/05/34</v>
      </c>
      <c r="B391" s="7" t="str">
        <f>IF('Port Bloomberg'!B391="","",'Port Bloomberg'!B391)</f>
        <v>Raizen Fuels Finance SA</v>
      </c>
      <c r="C391" s="7" t="str">
        <f>IF('Port Bloomberg'!C391="","",'Port Bloomberg'!C391)</f>
        <v>RAIZEN FUELS</v>
      </c>
      <c r="D391" s="7" t="str">
        <f>IF('Port Bloomberg'!D391="","",'Port Bloomberg'!D391)</f>
        <v>RAIZEN FUELS FINANCE</v>
      </c>
      <c r="E391" s="7" t="str">
        <f>IF('Port Bloomberg'!E391="","",'Port Bloomberg'!E391)</f>
        <v>USL7909CAC12</v>
      </c>
      <c r="F391" s="7" t="str">
        <f>IF('Port Bloomberg'!F391="","",'Port Bloomberg'!F391)</f>
        <v>RAIZBZ</v>
      </c>
      <c r="G391" s="7" t="str">
        <f>IF('Port Bloomberg'!G391="","",'Port Bloomberg'!G391)</f>
        <v>8180002Z BZ</v>
      </c>
      <c r="H391" s="7" t="str">
        <f>IF('Port Bloomberg'!H391="","",'Port Bloomberg'!H391)</f>
        <v>Oil&amp;Gas</v>
      </c>
      <c r="I391" s="7" t="str">
        <f>IF('Port Bloomberg'!I391="","",'Port Bloomberg'!I391)</f>
        <v>IND</v>
      </c>
      <c r="J391" s="7" t="str">
        <f>IF('Port Bloomberg'!J391="","",'Port Bloomberg'!J391)</f>
        <v>Oil Refining&amp;Marketing</v>
      </c>
      <c r="K391" s="7" t="str">
        <f>IF('Port Bloomberg'!K391="","",'Port Bloomberg'!K391)</f>
        <v>LU</v>
      </c>
      <c r="L391" s="7" t="str">
        <f>IF('Port Bloomberg'!L391="","",'Port Bloomberg'!L391)</f>
        <v>BR</v>
      </c>
      <c r="M391" s="7" t="str">
        <f>IF('Port Bloomberg'!M391="","",'Port Bloomberg'!M391)</f>
        <v>USD</v>
      </c>
      <c r="N391" s="7">
        <f>IF('Port Bloomberg'!N391="","",'Port Bloomberg'!N391)</f>
        <v>1000000</v>
      </c>
      <c r="O391" s="7" t="str">
        <f>IF('Port Bloomberg'!O391="","",'Port Bloomberg'!O391)</f>
        <v>SINGLE</v>
      </c>
      <c r="P391" s="7">
        <f>IF('Port Bloomberg'!P391="","",'Port Bloomberg'!P391)</f>
        <v>6.45</v>
      </c>
      <c r="Q391" s="7" t="str">
        <f>IF('Port Bloomberg'!Q391="","",'Port Bloomberg'!Q391)</f>
        <v>DD+</v>
      </c>
      <c r="R391" s="7" t="str">
        <f>IF('Port Bloomberg'!R391="","",'Port Bloomberg'!R391)</f>
        <v>03/05/2034</v>
      </c>
      <c r="S391" s="5">
        <f>IF(E391="","",IFERROR(IF(MATCH(E391,[1]Instrumentos!$D:$D,0)&gt;0,1,0),0))</f>
        <v>0</v>
      </c>
      <c r="T391" s="5">
        <f>IF(E391="","",IFERROR(IF(MATCH(E391,'Lista de excepciones'!$E:$E,0)&gt;0,1,0),0))</f>
        <v>1</v>
      </c>
      <c r="U391" s="6" t="str">
        <f t="shared" si="7"/>
        <v>NO</v>
      </c>
    </row>
    <row r="392" spans="1:21" hidden="1" x14ac:dyDescent="0.25">
      <c r="A392" s="7" t="str">
        <f>IF('Port Bloomberg'!A392="","",'Port Bloomberg'!A392)</f>
        <v>RAIZBZ 6.7 02/25/37</v>
      </c>
      <c r="B392" s="7" t="str">
        <f>IF('Port Bloomberg'!B392="","",'Port Bloomberg'!B392)</f>
        <v>Raizen Fuels Finance SA</v>
      </c>
      <c r="C392" s="7" t="str">
        <f>IF('Port Bloomberg'!C392="","",'Port Bloomberg'!C392)</f>
        <v>RAIZEN FUELS</v>
      </c>
      <c r="D392" s="7" t="str">
        <f>IF('Port Bloomberg'!D392="","",'Port Bloomberg'!D392)</f>
        <v>RAIZEN FUELS FINANCE</v>
      </c>
      <c r="E392" s="7" t="str">
        <f>IF('Port Bloomberg'!E392="","",'Port Bloomberg'!E392)</f>
        <v>USL7909CAG26</v>
      </c>
      <c r="F392" s="7" t="str">
        <f>IF('Port Bloomberg'!F392="","",'Port Bloomberg'!F392)</f>
        <v>RAIZBZ</v>
      </c>
      <c r="G392" s="7" t="str">
        <f>IF('Port Bloomberg'!G392="","",'Port Bloomberg'!G392)</f>
        <v>8180002Z BZ</v>
      </c>
      <c r="H392" s="7" t="str">
        <f>IF('Port Bloomberg'!H392="","",'Port Bloomberg'!H392)</f>
        <v>Oil&amp;Gas</v>
      </c>
      <c r="I392" s="7" t="str">
        <f>IF('Port Bloomberg'!I392="","",'Port Bloomberg'!I392)</f>
        <v>IND</v>
      </c>
      <c r="J392" s="7" t="str">
        <f>IF('Port Bloomberg'!J392="","",'Port Bloomberg'!J392)</f>
        <v>Oil Refining&amp;Marketing</v>
      </c>
      <c r="K392" s="7" t="str">
        <f>IF('Port Bloomberg'!K392="","",'Port Bloomberg'!K392)</f>
        <v>LU</v>
      </c>
      <c r="L392" s="7" t="str">
        <f>IF('Port Bloomberg'!L392="","",'Port Bloomberg'!L392)</f>
        <v>BR</v>
      </c>
      <c r="M392" s="7" t="str">
        <f>IF('Port Bloomberg'!M392="","",'Port Bloomberg'!M392)</f>
        <v>USD</v>
      </c>
      <c r="N392" s="7">
        <f>IF('Port Bloomberg'!N392="","",'Port Bloomberg'!N392)</f>
        <v>1000000</v>
      </c>
      <c r="O392" s="7" t="str">
        <f>IF('Port Bloomberg'!O392="","",'Port Bloomberg'!O392)</f>
        <v>SINGLE</v>
      </c>
      <c r="P392" s="7">
        <f>IF('Port Bloomberg'!P392="","",'Port Bloomberg'!P392)</f>
        <v>6.7</v>
      </c>
      <c r="Q392" s="7" t="str">
        <f>IF('Port Bloomberg'!Q392="","",'Port Bloomberg'!Q392)</f>
        <v>DD+</v>
      </c>
      <c r="R392" s="7" t="str">
        <f>IF('Port Bloomberg'!R392="","",'Port Bloomberg'!R392)</f>
        <v>02/25/2037</v>
      </c>
      <c r="S392" s="5">
        <f>IF(E392="","",IFERROR(IF(MATCH(E392,[1]Instrumentos!$D:$D,0)&gt;0,1,0),0))</f>
        <v>0</v>
      </c>
      <c r="T392" s="5">
        <f>IF(E392="","",IFERROR(IF(MATCH(E392,'Lista de excepciones'!$E:$E,0)&gt;0,1,0),0))</f>
        <v>1</v>
      </c>
      <c r="U392" s="6" t="str">
        <f t="shared" si="7"/>
        <v>NO</v>
      </c>
    </row>
    <row r="393" spans="1:21" hidden="1" x14ac:dyDescent="0.25">
      <c r="A393" s="7" t="str">
        <f>IF('Port Bloomberg'!A393="","",'Port Bloomberg'!A393)</f>
        <v>RAIZBZ 6.95 03/05/54</v>
      </c>
      <c r="B393" s="7" t="str">
        <f>IF('Port Bloomberg'!B393="","",'Port Bloomberg'!B393)</f>
        <v>Raizen Fuels Finance SA</v>
      </c>
      <c r="C393" s="7" t="str">
        <f>IF('Port Bloomberg'!C393="","",'Port Bloomberg'!C393)</f>
        <v>RAIZEN FUELS</v>
      </c>
      <c r="D393" s="7" t="str">
        <f>IF('Port Bloomberg'!D393="","",'Port Bloomberg'!D393)</f>
        <v>RAIZEN FUELS FINANCE</v>
      </c>
      <c r="E393" s="7" t="str">
        <f>IF('Port Bloomberg'!E393="","",'Port Bloomberg'!E393)</f>
        <v>USL7909CAD94</v>
      </c>
      <c r="F393" s="7" t="str">
        <f>IF('Port Bloomberg'!F393="","",'Port Bloomberg'!F393)</f>
        <v>RAIZBZ</v>
      </c>
      <c r="G393" s="7" t="str">
        <f>IF('Port Bloomberg'!G393="","",'Port Bloomberg'!G393)</f>
        <v>8180002Z BZ</v>
      </c>
      <c r="H393" s="7" t="str">
        <f>IF('Port Bloomberg'!H393="","",'Port Bloomberg'!H393)</f>
        <v>Oil&amp;Gas</v>
      </c>
      <c r="I393" s="7" t="str">
        <f>IF('Port Bloomberg'!I393="","",'Port Bloomberg'!I393)</f>
        <v>IND</v>
      </c>
      <c r="J393" s="7" t="str">
        <f>IF('Port Bloomberg'!J393="","",'Port Bloomberg'!J393)</f>
        <v>Oil Refining&amp;Marketing</v>
      </c>
      <c r="K393" s="7" t="str">
        <f>IF('Port Bloomberg'!K393="","",'Port Bloomberg'!K393)</f>
        <v>LU</v>
      </c>
      <c r="L393" s="7" t="str">
        <f>IF('Port Bloomberg'!L393="","",'Port Bloomberg'!L393)</f>
        <v>BR</v>
      </c>
      <c r="M393" s="7" t="str">
        <f>IF('Port Bloomberg'!M393="","",'Port Bloomberg'!M393)</f>
        <v>USD</v>
      </c>
      <c r="N393" s="7">
        <f>IF('Port Bloomberg'!N393="","",'Port Bloomberg'!N393)</f>
        <v>1250000</v>
      </c>
      <c r="O393" s="7" t="str">
        <f>IF('Port Bloomberg'!O393="","",'Port Bloomberg'!O393)</f>
        <v>SINGLE</v>
      </c>
      <c r="P393" s="7">
        <f>IF('Port Bloomberg'!P393="","",'Port Bloomberg'!P393)</f>
        <v>6.95</v>
      </c>
      <c r="Q393" s="7" t="str">
        <f>IF('Port Bloomberg'!Q393="","",'Port Bloomberg'!Q393)</f>
        <v>DD+</v>
      </c>
      <c r="R393" s="7" t="str">
        <f>IF('Port Bloomberg'!R393="","",'Port Bloomberg'!R393)</f>
        <v>03/05/2054</v>
      </c>
      <c r="S393" s="5">
        <f>IF(E393="","",IFERROR(IF(MATCH(E393,[1]Instrumentos!$D:$D,0)&gt;0,1,0),0))</f>
        <v>0</v>
      </c>
      <c r="T393" s="5">
        <f>IF(E393="","",IFERROR(IF(MATCH(E393,'Lista de excepciones'!$E:$E,0)&gt;0,1,0),0))</f>
        <v>1</v>
      </c>
      <c r="U393" s="6" t="str">
        <f t="shared" si="7"/>
        <v>NO</v>
      </c>
    </row>
    <row r="394" spans="1:21" hidden="1" x14ac:dyDescent="0.25">
      <c r="A394" s="7" t="str">
        <f>IF('Port Bloomberg'!A394="","",'Port Bloomberg'!A394)</f>
        <v>RDEDOR 4 ½ 01/22/30</v>
      </c>
      <c r="B394" s="7" t="str">
        <f>IF('Port Bloomberg'!B394="","",'Port Bloomberg'!B394)</f>
        <v>Rede D'or Finance Sarl</v>
      </c>
      <c r="C394" s="7" t="str">
        <f>IF('Port Bloomberg'!C394="","",'Port Bloomberg'!C394)</f>
        <v>REDE D'OR FIN</v>
      </c>
      <c r="D394" s="7" t="str">
        <f>IF('Port Bloomberg'!D394="","",'Port Bloomberg'!D394)</f>
        <v>REDE D'OR FINANCE SARL</v>
      </c>
      <c r="E394" s="7" t="str">
        <f>IF('Port Bloomberg'!E394="","",'Port Bloomberg'!E394)</f>
        <v>USL7915TAA09</v>
      </c>
      <c r="F394" s="7" t="str">
        <f>IF('Port Bloomberg'!F394="","",'Port Bloomberg'!F394)</f>
        <v>RDEDOR</v>
      </c>
      <c r="G394" s="7" t="str">
        <f>IF('Port Bloomberg'!G394="","",'Port Bloomberg'!G394)</f>
        <v>1570014D LX</v>
      </c>
      <c r="H394" s="7" t="str">
        <f>IF('Port Bloomberg'!H394="","",'Port Bloomberg'!H394)</f>
        <v>Healthcare-Services</v>
      </c>
      <c r="I394" s="7" t="str">
        <f>IF('Port Bloomberg'!I394="","",'Port Bloomberg'!I394)</f>
        <v>IND</v>
      </c>
      <c r="J394" s="7" t="str">
        <f>IF('Port Bloomberg'!J394="","",'Port Bloomberg'!J394)</f>
        <v>Medical-Hospitals</v>
      </c>
      <c r="K394" s="7" t="str">
        <f>IF('Port Bloomberg'!K394="","",'Port Bloomberg'!K394)</f>
        <v>LU</v>
      </c>
      <c r="L394" s="7" t="str">
        <f>IF('Port Bloomberg'!L394="","",'Port Bloomberg'!L394)</f>
        <v>BR</v>
      </c>
      <c r="M394" s="7" t="str">
        <f>IF('Port Bloomberg'!M394="","",'Port Bloomberg'!M394)</f>
        <v>USD</v>
      </c>
      <c r="N394" s="7">
        <f>IF('Port Bloomberg'!N394="","",'Port Bloomberg'!N394)</f>
        <v>1200000</v>
      </c>
      <c r="O394" s="7" t="str">
        <f>IF('Port Bloomberg'!O394="","",'Port Bloomberg'!O394)</f>
        <v>SINGLE</v>
      </c>
      <c r="P394" s="7">
        <f>IF('Port Bloomberg'!P394="","",'Port Bloomberg'!P394)</f>
        <v>4.5</v>
      </c>
      <c r="Q394" s="7" t="str">
        <f>IF('Port Bloomberg'!Q394="","",'Port Bloomberg'!Q394)</f>
        <v>BB+</v>
      </c>
      <c r="R394" s="7" t="str">
        <f>IF('Port Bloomberg'!R394="","",'Port Bloomberg'!R394)</f>
        <v>01/22/2030</v>
      </c>
      <c r="S394" s="5">
        <f>IF(E394="","",IFERROR(IF(MATCH(E394,[1]Instrumentos!$D:$D,0)&gt;0,1,0),0))</f>
        <v>1</v>
      </c>
      <c r="T394" s="5">
        <f>IF(E394="","",IFERROR(IF(MATCH(E394,'Lista de excepciones'!$E:$E,0)&gt;0,1,0),0))</f>
        <v>0</v>
      </c>
      <c r="U394" s="6" t="str">
        <f t="shared" si="7"/>
        <v>NO</v>
      </c>
    </row>
    <row r="395" spans="1:21" hidden="1" x14ac:dyDescent="0.25">
      <c r="A395" s="7" t="str">
        <f>IF('Port Bloomberg'!A395="","",'Port Bloomberg'!A395)</f>
        <v>RDEDOR 6.45 09/09/35</v>
      </c>
      <c r="B395" s="7" t="str">
        <f>IF('Port Bloomberg'!B395="","",'Port Bloomberg'!B395)</f>
        <v>Rede D'or Finance Sarl</v>
      </c>
      <c r="C395" s="7" t="str">
        <f>IF('Port Bloomberg'!C395="","",'Port Bloomberg'!C395)</f>
        <v>REDE D'OR FIN</v>
      </c>
      <c r="D395" s="7" t="str">
        <f>IF('Port Bloomberg'!D395="","",'Port Bloomberg'!D395)</f>
        <v>REDE D'OR FINANCE SARL</v>
      </c>
      <c r="E395" s="7" t="str">
        <f>IF('Port Bloomberg'!E395="","",'Port Bloomberg'!E395)</f>
        <v>USL7915TAC64</v>
      </c>
      <c r="F395" s="7" t="str">
        <f>IF('Port Bloomberg'!F395="","",'Port Bloomberg'!F395)</f>
        <v>RDEDOR</v>
      </c>
      <c r="G395" s="7" t="str">
        <f>IF('Port Bloomberg'!G395="","",'Port Bloomberg'!G395)</f>
        <v>1570014D LX</v>
      </c>
      <c r="H395" s="7" t="str">
        <f>IF('Port Bloomberg'!H395="","",'Port Bloomberg'!H395)</f>
        <v>Healthcare-Services</v>
      </c>
      <c r="I395" s="7" t="str">
        <f>IF('Port Bloomberg'!I395="","",'Port Bloomberg'!I395)</f>
        <v>IND</v>
      </c>
      <c r="J395" s="7" t="str">
        <f>IF('Port Bloomberg'!J395="","",'Port Bloomberg'!J395)</f>
        <v>Medical-Hospitals</v>
      </c>
      <c r="K395" s="7" t="str">
        <f>IF('Port Bloomberg'!K395="","",'Port Bloomberg'!K395)</f>
        <v>LU</v>
      </c>
      <c r="L395" s="7" t="str">
        <f>IF('Port Bloomberg'!L395="","",'Port Bloomberg'!L395)</f>
        <v>BR</v>
      </c>
      <c r="M395" s="7" t="str">
        <f>IF('Port Bloomberg'!M395="","",'Port Bloomberg'!M395)</f>
        <v>USD</v>
      </c>
      <c r="N395" s="7">
        <f>IF('Port Bloomberg'!N395="","",'Port Bloomberg'!N395)</f>
        <v>500000</v>
      </c>
      <c r="O395" s="7" t="str">
        <f>IF('Port Bloomberg'!O395="","",'Port Bloomberg'!O395)</f>
        <v>SINGLE</v>
      </c>
      <c r="P395" s="7">
        <f>IF('Port Bloomberg'!P395="","",'Port Bloomberg'!P395)</f>
        <v>6.45</v>
      </c>
      <c r="Q395" s="7" t="str">
        <f>IF('Port Bloomberg'!Q395="","",'Port Bloomberg'!Q395)</f>
        <v>BB+</v>
      </c>
      <c r="R395" s="7" t="str">
        <f>IF('Port Bloomberg'!R395="","",'Port Bloomberg'!R395)</f>
        <v>09/09/2035</v>
      </c>
      <c r="S395" s="5">
        <f>IF(E395="","",IFERROR(IF(MATCH(E395,[1]Instrumentos!$D:$D,0)&gt;0,1,0),0))</f>
        <v>1</v>
      </c>
      <c r="T395" s="5">
        <f>IF(E395="","",IFERROR(IF(MATCH(E395,'Lista de excepciones'!$E:$E,0)&gt;0,1,0),0))</f>
        <v>0</v>
      </c>
      <c r="U395" s="6" t="str">
        <f t="shared" si="7"/>
        <v>NO</v>
      </c>
    </row>
    <row r="396" spans="1:21" hidden="1" x14ac:dyDescent="0.25">
      <c r="A396" s="7" t="str">
        <f>IF('Port Bloomberg'!A396="","",'Port Bloomberg'!A396)</f>
        <v>RDEDOR 6.55 04/28/36</v>
      </c>
      <c r="B396" s="7" t="str">
        <f>IF('Port Bloomberg'!B396="","",'Port Bloomberg'!B396)</f>
        <v>Rede D'or Finance Sarl</v>
      </c>
      <c r="C396" s="7" t="str">
        <f>IF('Port Bloomberg'!C396="","",'Port Bloomberg'!C396)</f>
        <v>REDE D'OR FIN</v>
      </c>
      <c r="D396" s="7" t="str">
        <f>IF('Port Bloomberg'!D396="","",'Port Bloomberg'!D396)</f>
        <v>REDE D'OR FINANCE SARL</v>
      </c>
      <c r="E396" s="7" t="str">
        <f>IF('Port Bloomberg'!E396="","",'Port Bloomberg'!E396)</f>
        <v>USL7915TAE21</v>
      </c>
      <c r="F396" s="7" t="str">
        <f>IF('Port Bloomberg'!F396="","",'Port Bloomberg'!F396)</f>
        <v>RDEDOR</v>
      </c>
      <c r="G396" s="7" t="str">
        <f>IF('Port Bloomberg'!G396="","",'Port Bloomberg'!G396)</f>
        <v>1570014D LX</v>
      </c>
      <c r="H396" s="7" t="str">
        <f>IF('Port Bloomberg'!H396="","",'Port Bloomberg'!H396)</f>
        <v>Healthcare-Services</v>
      </c>
      <c r="I396" s="7" t="str">
        <f>IF('Port Bloomberg'!I396="","",'Port Bloomberg'!I396)</f>
        <v>IND</v>
      </c>
      <c r="J396" s="7" t="str">
        <f>IF('Port Bloomberg'!J396="","",'Port Bloomberg'!J396)</f>
        <v>Medical-Hospitals</v>
      </c>
      <c r="K396" s="7" t="str">
        <f>IF('Port Bloomberg'!K396="","",'Port Bloomberg'!K396)</f>
        <v>LU</v>
      </c>
      <c r="L396" s="7" t="str">
        <f>IF('Port Bloomberg'!L396="","",'Port Bloomberg'!L396)</f>
        <v>BR</v>
      </c>
      <c r="M396" s="7" t="str">
        <f>IF('Port Bloomberg'!M396="","",'Port Bloomberg'!M396)</f>
        <v>USD</v>
      </c>
      <c r="N396" s="7">
        <f>IF('Port Bloomberg'!N396="","",'Port Bloomberg'!N396)</f>
        <v>500000</v>
      </c>
      <c r="O396" s="7" t="str">
        <f>IF('Port Bloomberg'!O396="","",'Port Bloomberg'!O396)</f>
        <v>SINGLE</v>
      </c>
      <c r="P396" s="7">
        <f>IF('Port Bloomberg'!P396="","",'Port Bloomberg'!P396)</f>
        <v>6.55</v>
      </c>
      <c r="Q396" s="7" t="str">
        <f>IF('Port Bloomberg'!Q396="","",'Port Bloomberg'!Q396)</f>
        <v>NR</v>
      </c>
      <c r="R396" s="7" t="str">
        <f>IF('Port Bloomberg'!R396="","",'Port Bloomberg'!R396)</f>
        <v>04/28/2036</v>
      </c>
      <c r="S396" s="5">
        <f>IF(E396="","",IFERROR(IF(MATCH(E396,[1]Instrumentos!$D:$D,0)&gt;0,1,0),0))</f>
        <v>1</v>
      </c>
      <c r="T396" s="5">
        <f>IF(E396="","",IFERROR(IF(MATCH(E396,'Lista de excepciones'!$E:$E,0)&gt;0,1,0),0))</f>
        <v>0</v>
      </c>
      <c r="U396" s="6" t="str">
        <f t="shared" si="7"/>
        <v>NO</v>
      </c>
    </row>
    <row r="397" spans="1:21" hidden="1" x14ac:dyDescent="0.25">
      <c r="A397" s="7" t="str">
        <f>IF('Port Bloomberg'!A397="","",'Port Bloomberg'!A397)</f>
        <v>SAAVIE 8 ⅞ 02/10/35</v>
      </c>
      <c r="B397" s="7" t="str">
        <f>IF('Port Bloomberg'!B397="","",'Port Bloomberg'!B397)</f>
        <v>Saavi Energia Sarl</v>
      </c>
      <c r="C397" s="7" t="str">
        <f>IF('Port Bloomberg'!C397="","",'Port Bloomberg'!C397)</f>
        <v>SAAVI ENERGIA</v>
      </c>
      <c r="D397" s="7" t="str">
        <f>IF('Port Bloomberg'!D397="","",'Port Bloomberg'!D397)</f>
        <v>SAAVI ENERGIA SARL</v>
      </c>
      <c r="E397" s="7" t="str">
        <f>IF('Port Bloomberg'!E397="","",'Port Bloomberg'!E397)</f>
        <v>USL02668AA66</v>
      </c>
      <c r="F397" s="7" t="str">
        <f>IF('Port Bloomberg'!F397="","",'Port Bloomberg'!F397)</f>
        <v>SAAVIE</v>
      </c>
      <c r="G397" s="7" t="str">
        <f>IF('Port Bloomberg'!G397="","",'Port Bloomberg'!G397)</f>
        <v/>
      </c>
      <c r="H397" s="7" t="str">
        <f>IF('Port Bloomberg'!H397="","",'Port Bloomberg'!H397)</f>
        <v>Electric</v>
      </c>
      <c r="I397" s="7" t="str">
        <f>IF('Port Bloomberg'!I397="","",'Port Bloomberg'!I397)</f>
        <v>UTL</v>
      </c>
      <c r="J397" s="7" t="str">
        <f>IF('Port Bloomberg'!J397="","",'Port Bloomberg'!J397)</f>
        <v>Independ Power Producer</v>
      </c>
      <c r="K397" s="7" t="str">
        <f>IF('Port Bloomberg'!K397="","",'Port Bloomberg'!K397)</f>
        <v>LU</v>
      </c>
      <c r="L397" s="7" t="str">
        <f>IF('Port Bloomberg'!L397="","",'Port Bloomberg'!L397)</f>
        <v>MX</v>
      </c>
      <c r="M397" s="7" t="str">
        <f>IF('Port Bloomberg'!M397="","",'Port Bloomberg'!M397)</f>
        <v>USD</v>
      </c>
      <c r="N397" s="7">
        <f>IF('Port Bloomberg'!N397="","",'Port Bloomberg'!N397)</f>
        <v>1100000</v>
      </c>
      <c r="O397" s="7" t="str">
        <f>IF('Port Bloomberg'!O397="","",'Port Bloomberg'!O397)</f>
        <v>SINGLE</v>
      </c>
      <c r="P397" s="7">
        <f>IF('Port Bloomberg'!P397="","",'Port Bloomberg'!P397)</f>
        <v>8.875</v>
      </c>
      <c r="Q397" s="7" t="str">
        <f>IF('Port Bloomberg'!Q397="","",'Port Bloomberg'!Q397)</f>
        <v>BB-</v>
      </c>
      <c r="R397" s="7" t="str">
        <f>IF('Port Bloomberg'!R397="","",'Port Bloomberg'!R397)</f>
        <v>02/10/2035</v>
      </c>
      <c r="S397" s="5">
        <f>IF(E397="","",IFERROR(IF(MATCH(E397,[1]Instrumentos!$D:$D,0)&gt;0,1,0),0))</f>
        <v>0</v>
      </c>
      <c r="T397" s="5">
        <f>IF(E397="","",IFERROR(IF(MATCH(E397,'Lista de excepciones'!$E:$E,0)&gt;0,1,0),0))</f>
        <v>1</v>
      </c>
      <c r="U397" s="6" t="str">
        <f t="shared" si="7"/>
        <v>NO</v>
      </c>
    </row>
    <row r="398" spans="1:21" hidden="1" x14ac:dyDescent="0.25">
      <c r="A398" s="7" t="str">
        <f>IF('Port Bloomberg'!A398="","",'Port Bloomberg'!A398)</f>
        <v>SABESP 5 ⅝ 08/20/30</v>
      </c>
      <c r="B398" s="7" t="str">
        <f>IF('Port Bloomberg'!B398="","",'Port Bloomberg'!B398)</f>
        <v>Sabesp Lux Sarl</v>
      </c>
      <c r="C398" s="7" t="str">
        <f>IF('Port Bloomberg'!C398="","",'Port Bloomberg'!C398)</f>
        <v>SABESP LUX SARL</v>
      </c>
      <c r="D398" s="7" t="str">
        <f>IF('Port Bloomberg'!D398="","",'Port Bloomberg'!D398)</f>
        <v>SABESP LUX SARL</v>
      </c>
      <c r="E398" s="7" t="str">
        <f>IF('Port Bloomberg'!E398="","",'Port Bloomberg'!E398)</f>
        <v>USL07120AB17</v>
      </c>
      <c r="F398" s="7" t="str">
        <f>IF('Port Bloomberg'!F398="","",'Port Bloomberg'!F398)</f>
        <v>SABESP</v>
      </c>
      <c r="G398" s="7" t="str">
        <f>IF('Port Bloomberg'!G398="","",'Port Bloomberg'!G398)</f>
        <v>SBSP3 BZ</v>
      </c>
      <c r="H398" s="7" t="str">
        <f>IF('Port Bloomberg'!H398="","",'Port Bloomberg'!H398)</f>
        <v>Water</v>
      </c>
      <c r="I398" s="7" t="str">
        <f>IF('Port Bloomberg'!I398="","",'Port Bloomberg'!I398)</f>
        <v>UTL</v>
      </c>
      <c r="J398" s="7" t="str">
        <f>IF('Port Bloomberg'!J398="","",'Port Bloomberg'!J398)</f>
        <v>Water</v>
      </c>
      <c r="K398" s="7" t="str">
        <f>IF('Port Bloomberg'!K398="","",'Port Bloomberg'!K398)</f>
        <v>LU</v>
      </c>
      <c r="L398" s="7" t="str">
        <f>IF('Port Bloomberg'!L398="","",'Port Bloomberg'!L398)</f>
        <v>BR</v>
      </c>
      <c r="M398" s="7" t="str">
        <f>IF('Port Bloomberg'!M398="","",'Port Bloomberg'!M398)</f>
        <v>USD</v>
      </c>
      <c r="N398" s="7">
        <f>IF('Port Bloomberg'!N398="","",'Port Bloomberg'!N398)</f>
        <v>500000</v>
      </c>
      <c r="O398" s="7" t="str">
        <f>IF('Port Bloomberg'!O398="","",'Port Bloomberg'!O398)</f>
        <v>SINGLE</v>
      </c>
      <c r="P398" s="7">
        <f>IF('Port Bloomberg'!P398="","",'Port Bloomberg'!P398)</f>
        <v>5.625</v>
      </c>
      <c r="Q398" s="7" t="str">
        <f>IF('Port Bloomberg'!Q398="","",'Port Bloomberg'!Q398)</f>
        <v>BB</v>
      </c>
      <c r="R398" s="7" t="str">
        <f>IF('Port Bloomberg'!R398="","",'Port Bloomberg'!R398)</f>
        <v>08/20/2030</v>
      </c>
      <c r="S398" s="5">
        <f>IF(E398="","",IFERROR(IF(MATCH(E398,[1]Instrumentos!$D:$D,0)&gt;0,1,0),0))</f>
        <v>0</v>
      </c>
      <c r="T398" s="5">
        <f>IF(E398="","",IFERROR(IF(MATCH(E398,'Lista de excepciones'!$E:$E,0)&gt;0,1,0),0))</f>
        <v>1</v>
      </c>
      <c r="U398" s="6" t="str">
        <f t="shared" si="7"/>
        <v>NO</v>
      </c>
    </row>
    <row r="399" spans="1:21" hidden="1" x14ac:dyDescent="0.25">
      <c r="A399" s="7" t="str">
        <f>IF('Port Bloomberg'!A399="","",'Port Bloomberg'!A399)</f>
        <v>SBSPAB 5 ¾ 02/03/31</v>
      </c>
      <c r="B399" s="7" t="str">
        <f>IF('Port Bloomberg'!B399="","",'Port Bloomberg'!B399)</f>
        <v>Nova Securitisation Sarl</v>
      </c>
      <c r="C399" s="7" t="str">
        <f>IF('Port Bloomberg'!C399="","",'Port Bloomberg'!C399)</f>
        <v>NOVA SECURITISAT</v>
      </c>
      <c r="D399" s="7" t="str">
        <f>IF('Port Bloomberg'!D399="","",'Port Bloomberg'!D399)</f>
        <v>NOVA SECURITISATION SARL</v>
      </c>
      <c r="E399" s="7" t="str">
        <f>IF('Port Bloomberg'!E399="","",'Port Bloomberg'!E399)</f>
        <v>USL70906AA73</v>
      </c>
      <c r="F399" s="7" t="str">
        <f>IF('Port Bloomberg'!F399="","",'Port Bloomberg'!F399)</f>
        <v>SBSPAB</v>
      </c>
      <c r="G399" s="7" t="str">
        <f>IF('Port Bloomberg'!G399="","",'Port Bloomberg'!G399)</f>
        <v/>
      </c>
      <c r="H399" s="7" t="str">
        <f>IF('Port Bloomberg'!H399="","",'Port Bloomberg'!H399)</f>
        <v>Water</v>
      </c>
      <c r="I399" s="7" t="str">
        <f>IF('Port Bloomberg'!I399="","",'Port Bloomberg'!I399)</f>
        <v>UTL</v>
      </c>
      <c r="J399" s="7" t="str">
        <f>IF('Port Bloomberg'!J399="","",'Port Bloomberg'!J399)</f>
        <v>Water</v>
      </c>
      <c r="K399" s="7" t="str">
        <f>IF('Port Bloomberg'!K399="","",'Port Bloomberg'!K399)</f>
        <v>LU</v>
      </c>
      <c r="L399" s="7" t="str">
        <f>IF('Port Bloomberg'!L399="","",'Port Bloomberg'!L399)</f>
        <v>BR</v>
      </c>
      <c r="M399" s="7" t="str">
        <f>IF('Port Bloomberg'!M399="","",'Port Bloomberg'!M399)</f>
        <v>USD</v>
      </c>
      <c r="N399" s="7">
        <f>IF('Port Bloomberg'!N399="","",'Port Bloomberg'!N399)</f>
        <v>850000</v>
      </c>
      <c r="O399" s="7" t="str">
        <f>IF('Port Bloomberg'!O399="","",'Port Bloomberg'!O399)</f>
        <v>SINGLE</v>
      </c>
      <c r="P399" s="7">
        <f>IF('Port Bloomberg'!P399="","",'Port Bloomberg'!P399)</f>
        <v>5.75</v>
      </c>
      <c r="Q399" s="7" t="str">
        <f>IF('Port Bloomberg'!Q399="","",'Port Bloomberg'!Q399)</f>
        <v>BB</v>
      </c>
      <c r="R399" s="7" t="str">
        <f>IF('Port Bloomberg'!R399="","",'Port Bloomberg'!R399)</f>
        <v>02/03/2031</v>
      </c>
      <c r="S399" s="5">
        <f>IF(E399="","",IFERROR(IF(MATCH(E399,[1]Instrumentos!$D:$D,0)&gt;0,1,0),0))</f>
        <v>0</v>
      </c>
      <c r="T399" s="5">
        <f>IF(E399="","",IFERROR(IF(MATCH(E399,'Lista de excepciones'!$E:$E,0)&gt;0,1,0),0))</f>
        <v>1</v>
      </c>
      <c r="U399" s="6" t="str">
        <f t="shared" si="7"/>
        <v>NO</v>
      </c>
    </row>
    <row r="400" spans="1:21" hidden="1" x14ac:dyDescent="0.25">
      <c r="A400" s="7" t="str">
        <f>IF('Port Bloomberg'!A400="","",'Port Bloomberg'!A400)</f>
        <v>SBSPAB 6 ½ 02/03/36</v>
      </c>
      <c r="B400" s="7" t="str">
        <f>IF('Port Bloomberg'!B400="","",'Port Bloomberg'!B400)</f>
        <v>Nova Securitisation Sarl</v>
      </c>
      <c r="C400" s="7" t="str">
        <f>IF('Port Bloomberg'!C400="","",'Port Bloomberg'!C400)</f>
        <v>NOVA SECURITISAT</v>
      </c>
      <c r="D400" s="7" t="str">
        <f>IF('Port Bloomberg'!D400="","",'Port Bloomberg'!D400)</f>
        <v>NOVA SECURITISATION SARL</v>
      </c>
      <c r="E400" s="7" t="str">
        <f>IF('Port Bloomberg'!E400="","",'Port Bloomberg'!E400)</f>
        <v>USL70906AB56</v>
      </c>
      <c r="F400" s="7" t="str">
        <f>IF('Port Bloomberg'!F400="","",'Port Bloomberg'!F400)</f>
        <v>SBSPAB</v>
      </c>
      <c r="G400" s="7" t="str">
        <f>IF('Port Bloomberg'!G400="","",'Port Bloomberg'!G400)</f>
        <v/>
      </c>
      <c r="H400" s="7" t="str">
        <f>IF('Port Bloomberg'!H400="","",'Port Bloomberg'!H400)</f>
        <v>Water</v>
      </c>
      <c r="I400" s="7" t="str">
        <f>IF('Port Bloomberg'!I400="","",'Port Bloomberg'!I400)</f>
        <v>UTL</v>
      </c>
      <c r="J400" s="7" t="str">
        <f>IF('Port Bloomberg'!J400="","",'Port Bloomberg'!J400)</f>
        <v>Water</v>
      </c>
      <c r="K400" s="7" t="str">
        <f>IF('Port Bloomberg'!K400="","",'Port Bloomberg'!K400)</f>
        <v>LU</v>
      </c>
      <c r="L400" s="7" t="str">
        <f>IF('Port Bloomberg'!L400="","",'Port Bloomberg'!L400)</f>
        <v>BR</v>
      </c>
      <c r="M400" s="7" t="str">
        <f>IF('Port Bloomberg'!M400="","",'Port Bloomberg'!M400)</f>
        <v>USD</v>
      </c>
      <c r="N400" s="7">
        <f>IF('Port Bloomberg'!N400="","",'Port Bloomberg'!N400)</f>
        <v>500000</v>
      </c>
      <c r="O400" s="7" t="str">
        <f>IF('Port Bloomberg'!O400="","",'Port Bloomberg'!O400)</f>
        <v>SINGLE</v>
      </c>
      <c r="P400" s="7">
        <f>IF('Port Bloomberg'!P400="","",'Port Bloomberg'!P400)</f>
        <v>6.5</v>
      </c>
      <c r="Q400" s="7" t="str">
        <f>IF('Port Bloomberg'!Q400="","",'Port Bloomberg'!Q400)</f>
        <v>BB</v>
      </c>
      <c r="R400" s="7" t="str">
        <f>IF('Port Bloomberg'!R400="","",'Port Bloomberg'!R400)</f>
        <v>02/03/2036</v>
      </c>
      <c r="S400" s="5">
        <f>IF(E400="","",IFERROR(IF(MATCH(E400,[1]Instrumentos!$D:$D,0)&gt;0,1,0),0))</f>
        <v>0</v>
      </c>
      <c r="T400" s="5">
        <f>IF(E400="","",IFERROR(IF(MATCH(E400,'Lista de excepciones'!$E:$E,0)&gt;0,1,0),0))</f>
        <v>1</v>
      </c>
      <c r="U400" s="6" t="str">
        <f t="shared" si="7"/>
        <v>NO</v>
      </c>
    </row>
    <row r="401" spans="1:21" hidden="1" x14ac:dyDescent="0.25">
      <c r="A401" s="7" t="str">
        <f>IF('Port Bloomberg'!A401="","",'Port Bloomberg'!A401)</f>
        <v>SCCO 5 ¼ 11/08/42</v>
      </c>
      <c r="B401" s="7" t="str">
        <f>IF('Port Bloomberg'!B401="","",'Port Bloomberg'!B401)</f>
        <v>Southern Copper Corp</v>
      </c>
      <c r="C401" s="7" t="str">
        <f>IF('Port Bloomberg'!C401="","",'Port Bloomberg'!C401)</f>
        <v>SOUTHERN COPPER</v>
      </c>
      <c r="D401" s="7" t="str">
        <f>IF('Port Bloomberg'!D401="","",'Port Bloomberg'!D401)</f>
        <v>SOUTHERN COPPER CORP</v>
      </c>
      <c r="E401" s="7" t="str">
        <f>IF('Port Bloomberg'!E401="","",'Port Bloomberg'!E401)</f>
        <v>US84265VAG05</v>
      </c>
      <c r="F401" s="7" t="str">
        <f>IF('Port Bloomberg'!F401="","",'Port Bloomberg'!F401)</f>
        <v>SCCO</v>
      </c>
      <c r="G401" s="7" t="str">
        <f>IF('Port Bloomberg'!G401="","",'Port Bloomberg'!G401)</f>
        <v>SCCO US</v>
      </c>
      <c r="H401" s="7" t="str">
        <f>IF('Port Bloomberg'!H401="","",'Port Bloomberg'!H401)</f>
        <v>Mining</v>
      </c>
      <c r="I401" s="7" t="str">
        <f>IF('Port Bloomberg'!I401="","",'Port Bloomberg'!I401)</f>
        <v>IND</v>
      </c>
      <c r="J401" s="7" t="str">
        <f>IF('Port Bloomberg'!J401="","",'Port Bloomberg'!J401)</f>
        <v>Metal-Copper</v>
      </c>
      <c r="K401" s="7" t="str">
        <f>IF('Port Bloomberg'!K401="","",'Port Bloomberg'!K401)</f>
        <v>US</v>
      </c>
      <c r="L401" s="7" t="str">
        <f>IF('Port Bloomberg'!L401="","",'Port Bloomberg'!L401)</f>
        <v>MX</v>
      </c>
      <c r="M401" s="7" t="str">
        <f>IF('Port Bloomberg'!M401="","",'Port Bloomberg'!M401)</f>
        <v>USD</v>
      </c>
      <c r="N401" s="7">
        <f>IF('Port Bloomberg'!N401="","",'Port Bloomberg'!N401)</f>
        <v>1200000</v>
      </c>
      <c r="O401" s="7" t="str">
        <f>IF('Port Bloomberg'!O401="","",'Port Bloomberg'!O401)</f>
        <v>SINGLE</v>
      </c>
      <c r="P401" s="7">
        <f>IF('Port Bloomberg'!P401="","",'Port Bloomberg'!P401)</f>
        <v>5.25</v>
      </c>
      <c r="Q401" s="7" t="str">
        <f>IF('Port Bloomberg'!Q401="","",'Port Bloomberg'!Q401)</f>
        <v>BBB+</v>
      </c>
      <c r="R401" s="7" t="str">
        <f>IF('Port Bloomberg'!R401="","",'Port Bloomberg'!R401)</f>
        <v>11/08/2042</v>
      </c>
      <c r="S401" s="5">
        <f>IF(E401="","",IFERROR(IF(MATCH(E401,[1]Instrumentos!$D:$D,0)&gt;0,1,0),0))</f>
        <v>1</v>
      </c>
      <c r="T401" s="5">
        <f>IF(E401="","",IFERROR(IF(MATCH(E401,'Lista de excepciones'!$E:$E,0)&gt;0,1,0),0))</f>
        <v>0</v>
      </c>
      <c r="U401" s="6" t="str">
        <f t="shared" si="7"/>
        <v>NO</v>
      </c>
    </row>
    <row r="402" spans="1:21" hidden="1" x14ac:dyDescent="0.25">
      <c r="A402" s="7" t="str">
        <f>IF('Port Bloomberg'!A402="","",'Port Bloomberg'!A402)</f>
        <v>SCCO 5 ⅞ 04/23/45</v>
      </c>
      <c r="B402" s="7" t="str">
        <f>IF('Port Bloomberg'!B402="","",'Port Bloomberg'!B402)</f>
        <v>Southern Copper Corp</v>
      </c>
      <c r="C402" s="7" t="str">
        <f>IF('Port Bloomberg'!C402="","",'Port Bloomberg'!C402)</f>
        <v>SOUTHERN COPPER</v>
      </c>
      <c r="D402" s="7" t="str">
        <f>IF('Port Bloomberg'!D402="","",'Port Bloomberg'!D402)</f>
        <v>SOUTHERN COPPER CORP</v>
      </c>
      <c r="E402" s="7" t="str">
        <f>IF('Port Bloomberg'!E402="","",'Port Bloomberg'!E402)</f>
        <v>US84265VAJ44</v>
      </c>
      <c r="F402" s="7" t="str">
        <f>IF('Port Bloomberg'!F402="","",'Port Bloomberg'!F402)</f>
        <v>SCCO</v>
      </c>
      <c r="G402" s="7" t="str">
        <f>IF('Port Bloomberg'!G402="","",'Port Bloomberg'!G402)</f>
        <v>SCCO US</v>
      </c>
      <c r="H402" s="7" t="str">
        <f>IF('Port Bloomberg'!H402="","",'Port Bloomberg'!H402)</f>
        <v>Mining</v>
      </c>
      <c r="I402" s="7" t="str">
        <f>IF('Port Bloomberg'!I402="","",'Port Bloomberg'!I402)</f>
        <v>IND</v>
      </c>
      <c r="J402" s="7" t="str">
        <f>IF('Port Bloomberg'!J402="","",'Port Bloomberg'!J402)</f>
        <v>Metal-Copper</v>
      </c>
      <c r="K402" s="7" t="str">
        <f>IF('Port Bloomberg'!K402="","",'Port Bloomberg'!K402)</f>
        <v>US</v>
      </c>
      <c r="L402" s="7" t="str">
        <f>IF('Port Bloomberg'!L402="","",'Port Bloomberg'!L402)</f>
        <v>MX</v>
      </c>
      <c r="M402" s="7" t="str">
        <f>IF('Port Bloomberg'!M402="","",'Port Bloomberg'!M402)</f>
        <v>USD</v>
      </c>
      <c r="N402" s="7">
        <f>IF('Port Bloomberg'!N402="","",'Port Bloomberg'!N402)</f>
        <v>1500000</v>
      </c>
      <c r="O402" s="7" t="str">
        <f>IF('Port Bloomberg'!O402="","",'Port Bloomberg'!O402)</f>
        <v>SINGLE</v>
      </c>
      <c r="P402" s="7">
        <f>IF('Port Bloomberg'!P402="","",'Port Bloomberg'!P402)</f>
        <v>5.875</v>
      </c>
      <c r="Q402" s="7" t="str">
        <f>IF('Port Bloomberg'!Q402="","",'Port Bloomberg'!Q402)</f>
        <v>BBB+</v>
      </c>
      <c r="R402" s="7" t="str">
        <f>IF('Port Bloomberg'!R402="","",'Port Bloomberg'!R402)</f>
        <v>04/23/2045</v>
      </c>
      <c r="S402" s="5">
        <f>IF(E402="","",IFERROR(IF(MATCH(E402,[1]Instrumentos!$D:$D,0)&gt;0,1,0),0))</f>
        <v>1</v>
      </c>
      <c r="T402" s="5">
        <f>IF(E402="","",IFERROR(IF(MATCH(E402,'Lista de excepciones'!$E:$E,0)&gt;0,1,0),0))</f>
        <v>0</v>
      </c>
      <c r="U402" s="6" t="str">
        <f t="shared" si="7"/>
        <v>NO</v>
      </c>
    </row>
    <row r="403" spans="1:21" hidden="1" x14ac:dyDescent="0.25">
      <c r="A403" s="7" t="str">
        <f>IF('Port Bloomberg'!A403="","",'Port Bloomberg'!A403)</f>
        <v>SCCO 5.35 06/24/36</v>
      </c>
      <c r="B403" s="7" t="str">
        <f>IF('Port Bloomberg'!B403="","",'Port Bloomberg'!B403)</f>
        <v>Southern Copper Corp</v>
      </c>
      <c r="C403" s="7" t="str">
        <f>IF('Port Bloomberg'!C403="","",'Port Bloomberg'!C403)</f>
        <v>SOUTHERN COPPER</v>
      </c>
      <c r="D403" s="7" t="str">
        <f>IF('Port Bloomberg'!D403="","",'Port Bloomberg'!D403)</f>
        <v>SOUTHERN COPPER CORP</v>
      </c>
      <c r="E403" s="7" t="str">
        <f>IF('Port Bloomberg'!E403="","",'Port Bloomberg'!E403)</f>
        <v>US84265VAK17</v>
      </c>
      <c r="F403" s="7" t="str">
        <f>IF('Port Bloomberg'!F403="","",'Port Bloomberg'!F403)</f>
        <v>SCCO</v>
      </c>
      <c r="G403" s="7" t="str">
        <f>IF('Port Bloomberg'!G403="","",'Port Bloomberg'!G403)</f>
        <v>SCCO US</v>
      </c>
      <c r="H403" s="7" t="str">
        <f>IF('Port Bloomberg'!H403="","",'Port Bloomberg'!H403)</f>
        <v>Mining</v>
      </c>
      <c r="I403" s="7" t="str">
        <f>IF('Port Bloomberg'!I403="","",'Port Bloomberg'!I403)</f>
        <v>IND</v>
      </c>
      <c r="J403" s="7" t="str">
        <f>IF('Port Bloomberg'!J403="","",'Port Bloomberg'!J403)</f>
        <v>Metal-Copper</v>
      </c>
      <c r="K403" s="7" t="str">
        <f>IF('Port Bloomberg'!K403="","",'Port Bloomberg'!K403)</f>
        <v>US</v>
      </c>
      <c r="L403" s="7" t="str">
        <f>IF('Port Bloomberg'!L403="","",'Port Bloomberg'!L403)</f>
        <v>MX</v>
      </c>
      <c r="M403" s="7" t="str">
        <f>IF('Port Bloomberg'!M403="","",'Port Bloomberg'!M403)</f>
        <v>USD</v>
      </c>
      <c r="N403" s="7">
        <f>IF('Port Bloomberg'!N403="","",'Port Bloomberg'!N403)</f>
        <v>1250000</v>
      </c>
      <c r="O403" s="7" t="str">
        <f>IF('Port Bloomberg'!O403="","",'Port Bloomberg'!O403)</f>
        <v>SINGLE</v>
      </c>
      <c r="P403" s="7">
        <f>IF('Port Bloomberg'!P403="","",'Port Bloomberg'!P403)</f>
        <v>5.35</v>
      </c>
      <c r="Q403" s="7" t="str">
        <f>IF('Port Bloomberg'!Q403="","",'Port Bloomberg'!Q403)</f>
        <v>BBB+</v>
      </c>
      <c r="R403" s="7" t="str">
        <f>IF('Port Bloomberg'!R403="","",'Port Bloomberg'!R403)</f>
        <v>06/24/2036</v>
      </c>
      <c r="S403" s="5">
        <f>IF(E403="","",IFERROR(IF(MATCH(E403,[1]Instrumentos!$D:$D,0)&gt;0,1,0),0))</f>
        <v>1</v>
      </c>
      <c r="T403" s="5">
        <f>IF(E403="","",IFERROR(IF(MATCH(E403,'Lista de excepciones'!$E:$E,0)&gt;0,1,0),0))</f>
        <v>0</v>
      </c>
      <c r="U403" s="6" t="str">
        <f t="shared" si="7"/>
        <v>NO</v>
      </c>
    </row>
    <row r="404" spans="1:21" hidden="1" x14ac:dyDescent="0.25">
      <c r="A404" s="7" t="str">
        <f>IF('Port Bloomberg'!A404="","",'Port Bloomberg'!A404)</f>
        <v>SCCO 6 ¾ 04/16/40</v>
      </c>
      <c r="B404" s="7" t="str">
        <f>IF('Port Bloomberg'!B404="","",'Port Bloomberg'!B404)</f>
        <v>Southern Copper Corp</v>
      </c>
      <c r="C404" s="7" t="str">
        <f>IF('Port Bloomberg'!C404="","",'Port Bloomberg'!C404)</f>
        <v>SOUTHERN COPPER</v>
      </c>
      <c r="D404" s="7" t="str">
        <f>IF('Port Bloomberg'!D404="","",'Port Bloomberg'!D404)</f>
        <v>SOUTHERN COPPER CORP</v>
      </c>
      <c r="E404" s="7" t="str">
        <f>IF('Port Bloomberg'!E404="","",'Port Bloomberg'!E404)</f>
        <v>US84265VAE56</v>
      </c>
      <c r="F404" s="7" t="str">
        <f>IF('Port Bloomberg'!F404="","",'Port Bloomberg'!F404)</f>
        <v>SCCO</v>
      </c>
      <c r="G404" s="7" t="str">
        <f>IF('Port Bloomberg'!G404="","",'Port Bloomberg'!G404)</f>
        <v>SCCO US</v>
      </c>
      <c r="H404" s="7" t="str">
        <f>IF('Port Bloomberg'!H404="","",'Port Bloomberg'!H404)</f>
        <v>Mining</v>
      </c>
      <c r="I404" s="7" t="str">
        <f>IF('Port Bloomberg'!I404="","",'Port Bloomberg'!I404)</f>
        <v>IND</v>
      </c>
      <c r="J404" s="7" t="str">
        <f>IF('Port Bloomberg'!J404="","",'Port Bloomberg'!J404)</f>
        <v>Metal-Copper</v>
      </c>
      <c r="K404" s="7" t="str">
        <f>IF('Port Bloomberg'!K404="","",'Port Bloomberg'!K404)</f>
        <v>US</v>
      </c>
      <c r="L404" s="7" t="str">
        <f>IF('Port Bloomberg'!L404="","",'Port Bloomberg'!L404)</f>
        <v>MX</v>
      </c>
      <c r="M404" s="7" t="str">
        <f>IF('Port Bloomberg'!M404="","",'Port Bloomberg'!M404)</f>
        <v>USD</v>
      </c>
      <c r="N404" s="7">
        <f>IF('Port Bloomberg'!N404="","",'Port Bloomberg'!N404)</f>
        <v>1100000</v>
      </c>
      <c r="O404" s="7" t="str">
        <f>IF('Port Bloomberg'!O404="","",'Port Bloomberg'!O404)</f>
        <v>SINGLE</v>
      </c>
      <c r="P404" s="7">
        <f>IF('Port Bloomberg'!P404="","",'Port Bloomberg'!P404)</f>
        <v>6.75</v>
      </c>
      <c r="Q404" s="7" t="str">
        <f>IF('Port Bloomberg'!Q404="","",'Port Bloomberg'!Q404)</f>
        <v>BBB+</v>
      </c>
      <c r="R404" s="7" t="str">
        <f>IF('Port Bloomberg'!R404="","",'Port Bloomberg'!R404)</f>
        <v>04/16/2040</v>
      </c>
      <c r="S404" s="5">
        <f>IF(E404="","",IFERROR(IF(MATCH(E404,[1]Instrumentos!$D:$D,0)&gt;0,1,0),0))</f>
        <v>1</v>
      </c>
      <c r="T404" s="5">
        <f>IF(E404="","",IFERROR(IF(MATCH(E404,'Lista de excepciones'!$E:$E,0)&gt;0,1,0),0))</f>
        <v>0</v>
      </c>
      <c r="U404" s="6" t="str">
        <f t="shared" si="7"/>
        <v>NO</v>
      </c>
    </row>
    <row r="405" spans="1:21" hidden="1" x14ac:dyDescent="0.25">
      <c r="A405" s="7" t="str">
        <f>IF('Port Bloomberg'!A405="","",'Port Bloomberg'!A405)</f>
        <v>SCCO 7 ½ 07/27/35</v>
      </c>
      <c r="B405" s="7" t="str">
        <f>IF('Port Bloomberg'!B405="","",'Port Bloomberg'!B405)</f>
        <v>Southern Copper Corp</v>
      </c>
      <c r="C405" s="7" t="str">
        <f>IF('Port Bloomberg'!C405="","",'Port Bloomberg'!C405)</f>
        <v>SOUTHERN COPPER</v>
      </c>
      <c r="D405" s="7" t="str">
        <f>IF('Port Bloomberg'!D405="","",'Port Bloomberg'!D405)</f>
        <v>SOUTHERN COPPER CORP</v>
      </c>
      <c r="E405" s="7" t="str">
        <f>IF('Port Bloomberg'!E405="","",'Port Bloomberg'!E405)</f>
        <v>US84265VAA35</v>
      </c>
      <c r="F405" s="7" t="str">
        <f>IF('Port Bloomberg'!F405="","",'Port Bloomberg'!F405)</f>
        <v>SCCO</v>
      </c>
      <c r="G405" s="7" t="str">
        <f>IF('Port Bloomberg'!G405="","",'Port Bloomberg'!G405)</f>
        <v>SCCO US</v>
      </c>
      <c r="H405" s="7" t="str">
        <f>IF('Port Bloomberg'!H405="","",'Port Bloomberg'!H405)</f>
        <v>Mining</v>
      </c>
      <c r="I405" s="7" t="str">
        <f>IF('Port Bloomberg'!I405="","",'Port Bloomberg'!I405)</f>
        <v>IND</v>
      </c>
      <c r="J405" s="7" t="str">
        <f>IF('Port Bloomberg'!J405="","",'Port Bloomberg'!J405)</f>
        <v>Metal-Copper</v>
      </c>
      <c r="K405" s="7" t="str">
        <f>IF('Port Bloomberg'!K405="","",'Port Bloomberg'!K405)</f>
        <v>US</v>
      </c>
      <c r="L405" s="7" t="str">
        <f>IF('Port Bloomberg'!L405="","",'Port Bloomberg'!L405)</f>
        <v>MX</v>
      </c>
      <c r="M405" s="7" t="str">
        <f>IF('Port Bloomberg'!M405="","",'Port Bloomberg'!M405)</f>
        <v>USD</v>
      </c>
      <c r="N405" s="7">
        <f>IF('Port Bloomberg'!N405="","",'Port Bloomberg'!N405)</f>
        <v>999900</v>
      </c>
      <c r="O405" s="7" t="str">
        <f>IF('Port Bloomberg'!O405="","",'Port Bloomberg'!O405)</f>
        <v>SINGLE</v>
      </c>
      <c r="P405" s="7">
        <f>IF('Port Bloomberg'!P405="","",'Port Bloomberg'!P405)</f>
        <v>7.5</v>
      </c>
      <c r="Q405" s="7" t="str">
        <f>IF('Port Bloomberg'!Q405="","",'Port Bloomberg'!Q405)</f>
        <v>BBB+</v>
      </c>
      <c r="R405" s="7" t="str">
        <f>IF('Port Bloomberg'!R405="","",'Port Bloomberg'!R405)</f>
        <v>07/27/2035</v>
      </c>
      <c r="S405" s="5">
        <f>IF(E405="","",IFERROR(IF(MATCH(E405,[1]Instrumentos!$D:$D,0)&gt;0,1,0),0))</f>
        <v>1</v>
      </c>
      <c r="T405" s="5">
        <f>IF(E405="","",IFERROR(IF(MATCH(E405,'Lista de excepciones'!$E:$E,0)&gt;0,1,0),0))</f>
        <v>0</v>
      </c>
      <c r="U405" s="6" t="str">
        <f t="shared" si="7"/>
        <v>NO</v>
      </c>
    </row>
    <row r="406" spans="1:21" hidden="1" x14ac:dyDescent="0.25">
      <c r="A406" s="7" t="str">
        <f>IF('Port Bloomberg'!A406="","",'Port Bloomberg'!A406)</f>
        <v>SCCO 7 ½ 07/27/35</v>
      </c>
      <c r="B406" s="7" t="str">
        <f>IF('Port Bloomberg'!B406="","",'Port Bloomberg'!B406)</f>
        <v>Southern Copper Corp</v>
      </c>
      <c r="C406" s="7" t="str">
        <f>IF('Port Bloomberg'!C406="","",'Port Bloomberg'!C406)</f>
        <v>SOUTHERN COPPER</v>
      </c>
      <c r="D406" s="7" t="str">
        <f>IF('Port Bloomberg'!D406="","",'Port Bloomberg'!D406)</f>
        <v>SOUTHERN COPPER CORP</v>
      </c>
      <c r="E406" s="7" t="str">
        <f>IF('Port Bloomberg'!E406="","",'Port Bloomberg'!E406)</f>
        <v>USU84360AB99</v>
      </c>
      <c r="F406" s="7" t="str">
        <f>IF('Port Bloomberg'!F406="","",'Port Bloomberg'!F406)</f>
        <v>SCCO</v>
      </c>
      <c r="G406" s="7" t="str">
        <f>IF('Port Bloomberg'!G406="","",'Port Bloomberg'!G406)</f>
        <v>SCCO US</v>
      </c>
      <c r="H406" s="7" t="str">
        <f>IF('Port Bloomberg'!H406="","",'Port Bloomberg'!H406)</f>
        <v>Mining</v>
      </c>
      <c r="I406" s="7" t="str">
        <f>IF('Port Bloomberg'!I406="","",'Port Bloomberg'!I406)</f>
        <v>IND</v>
      </c>
      <c r="J406" s="7" t="str">
        <f>IF('Port Bloomberg'!J406="","",'Port Bloomberg'!J406)</f>
        <v>Metal-Copper</v>
      </c>
      <c r="K406" s="7" t="str">
        <f>IF('Port Bloomberg'!K406="","",'Port Bloomberg'!K406)</f>
        <v>US</v>
      </c>
      <c r="L406" s="7" t="str">
        <f>IF('Port Bloomberg'!L406="","",'Port Bloomberg'!L406)</f>
        <v>MX</v>
      </c>
      <c r="M406" s="7" t="str">
        <f>IF('Port Bloomberg'!M406="","",'Port Bloomberg'!M406)</f>
        <v>USD</v>
      </c>
      <c r="N406" s="7">
        <f>IF('Port Bloomberg'!N406="","",'Port Bloomberg'!N406)</f>
        <v>600000</v>
      </c>
      <c r="O406" s="7" t="str">
        <f>IF('Port Bloomberg'!O406="","",'Port Bloomberg'!O406)</f>
        <v>SINGLE</v>
      </c>
      <c r="P406" s="7">
        <f>IF('Port Bloomberg'!P406="","",'Port Bloomberg'!P406)</f>
        <v>7.5</v>
      </c>
      <c r="Q406" s="7" t="str">
        <f>IF('Port Bloomberg'!Q406="","",'Port Bloomberg'!Q406)</f>
        <v>BBB+</v>
      </c>
      <c r="R406" s="7" t="str">
        <f>IF('Port Bloomberg'!R406="","",'Port Bloomberg'!R406)</f>
        <v>07/27/2035</v>
      </c>
      <c r="S406" s="5">
        <f>IF(E406="","",IFERROR(IF(MATCH(E406,[1]Instrumentos!$D:$D,0)&gt;0,1,0),0))</f>
        <v>1</v>
      </c>
      <c r="T406" s="5">
        <f>IF(E406="","",IFERROR(IF(MATCH(E406,'Lista de excepciones'!$E:$E,0)&gt;0,1,0),0))</f>
        <v>0</v>
      </c>
      <c r="U406" s="6" t="str">
        <f t="shared" si="7"/>
        <v>NO</v>
      </c>
    </row>
    <row r="407" spans="1:21" hidden="1" x14ac:dyDescent="0.25">
      <c r="A407" s="7" t="str">
        <f>IF('Port Bloomberg'!A407="","",'Port Bloomberg'!A407)</f>
        <v>SCCOMX 4 ½ 01/26/50</v>
      </c>
      <c r="B407" s="7" t="str">
        <f>IF('Port Bloomberg'!B407="","",'Port Bloomberg'!B407)</f>
        <v>Minera Mexico SA de CV</v>
      </c>
      <c r="C407" s="7" t="str">
        <f>IF('Port Bloomberg'!C407="","",'Port Bloomberg'!C407)</f>
        <v>Minera Mexico SA</v>
      </c>
      <c r="D407" s="7" t="str">
        <f>IF('Port Bloomberg'!D407="","",'Port Bloomberg'!D407)</f>
        <v>MINERA MEXICO SA DE CV</v>
      </c>
      <c r="E407" s="7" t="str">
        <f>IF('Port Bloomberg'!E407="","",'Port Bloomberg'!E407)</f>
        <v>USP6777MAB83</v>
      </c>
      <c r="F407" s="7" t="str">
        <f>IF('Port Bloomberg'!F407="","",'Port Bloomberg'!F407)</f>
        <v>SCCOMX</v>
      </c>
      <c r="G407" s="7" t="str">
        <f>IF('Port Bloomberg'!G407="","",'Port Bloomberg'!G407)</f>
        <v>SCCO US</v>
      </c>
      <c r="H407" s="7" t="str">
        <f>IF('Port Bloomberg'!H407="","",'Port Bloomberg'!H407)</f>
        <v>Mining</v>
      </c>
      <c r="I407" s="7" t="str">
        <f>IF('Port Bloomberg'!I407="","",'Port Bloomberg'!I407)</f>
        <v>IND</v>
      </c>
      <c r="J407" s="7" t="str">
        <f>IF('Port Bloomberg'!J407="","",'Port Bloomberg'!J407)</f>
        <v>Metal-Copper</v>
      </c>
      <c r="K407" s="7" t="str">
        <f>IF('Port Bloomberg'!K407="","",'Port Bloomberg'!K407)</f>
        <v>MX</v>
      </c>
      <c r="L407" s="7" t="str">
        <f>IF('Port Bloomberg'!L407="","",'Port Bloomberg'!L407)</f>
        <v>MX</v>
      </c>
      <c r="M407" s="7" t="str">
        <f>IF('Port Bloomberg'!M407="","",'Port Bloomberg'!M407)</f>
        <v>USD</v>
      </c>
      <c r="N407" s="7">
        <f>IF('Port Bloomberg'!N407="","",'Port Bloomberg'!N407)</f>
        <v>1000000</v>
      </c>
      <c r="O407" s="7" t="str">
        <f>IF('Port Bloomberg'!O407="","",'Port Bloomberg'!O407)</f>
        <v>SINGLE</v>
      </c>
      <c r="P407" s="7">
        <f>IF('Port Bloomberg'!P407="","",'Port Bloomberg'!P407)</f>
        <v>4.5</v>
      </c>
      <c r="Q407" s="7" t="str">
        <f>IF('Port Bloomberg'!Q407="","",'Port Bloomberg'!Q407)</f>
        <v>BBB+</v>
      </c>
      <c r="R407" s="7" t="str">
        <f>IF('Port Bloomberg'!R407="","",'Port Bloomberg'!R407)</f>
        <v>01/26/2050</v>
      </c>
      <c r="S407" s="5">
        <f>IF(E407="","",IFERROR(IF(MATCH(E407,[1]Instrumentos!$D:$D,0)&gt;0,1,0),0))</f>
        <v>1</v>
      </c>
      <c r="T407" s="5">
        <f>IF(E407="","",IFERROR(IF(MATCH(E407,'Lista de excepciones'!$E:$E,0)&gt;0,1,0),0))</f>
        <v>0</v>
      </c>
      <c r="U407" s="6" t="str">
        <f t="shared" si="7"/>
        <v>NO</v>
      </c>
    </row>
    <row r="408" spans="1:21" hidden="1" x14ac:dyDescent="0.25">
      <c r="A408" s="7" t="str">
        <f>IF('Port Bloomberg'!A408="","",'Port Bloomberg'!A408)</f>
        <v>SCCOMX 5 ⅝ 02/12/32</v>
      </c>
      <c r="B408" s="7" t="str">
        <f>IF('Port Bloomberg'!B408="","",'Port Bloomberg'!B408)</f>
        <v>Minera Mexico SA de CV</v>
      </c>
      <c r="C408" s="7" t="str">
        <f>IF('Port Bloomberg'!C408="","",'Port Bloomberg'!C408)</f>
        <v>Minera Mexico SA</v>
      </c>
      <c r="D408" s="7" t="str">
        <f>IF('Port Bloomberg'!D408="","",'Port Bloomberg'!D408)</f>
        <v>MINERA MEXICO SA DE CV</v>
      </c>
      <c r="E408" s="7" t="str">
        <f>IF('Port Bloomberg'!E408="","",'Port Bloomberg'!E408)</f>
        <v>USP6777MAA01</v>
      </c>
      <c r="F408" s="7" t="str">
        <f>IF('Port Bloomberg'!F408="","",'Port Bloomberg'!F408)</f>
        <v>SCCOMX</v>
      </c>
      <c r="G408" s="7" t="str">
        <f>IF('Port Bloomberg'!G408="","",'Port Bloomberg'!G408)</f>
        <v>SCCO US</v>
      </c>
      <c r="H408" s="7" t="str">
        <f>IF('Port Bloomberg'!H408="","",'Port Bloomberg'!H408)</f>
        <v>Mining</v>
      </c>
      <c r="I408" s="7" t="str">
        <f>IF('Port Bloomberg'!I408="","",'Port Bloomberg'!I408)</f>
        <v>IND</v>
      </c>
      <c r="J408" s="7" t="str">
        <f>IF('Port Bloomberg'!J408="","",'Port Bloomberg'!J408)</f>
        <v>Metal-Copper</v>
      </c>
      <c r="K408" s="7" t="str">
        <f>IF('Port Bloomberg'!K408="","",'Port Bloomberg'!K408)</f>
        <v>MX</v>
      </c>
      <c r="L408" s="7" t="str">
        <f>IF('Port Bloomberg'!L408="","",'Port Bloomberg'!L408)</f>
        <v>MX</v>
      </c>
      <c r="M408" s="7" t="str">
        <f>IF('Port Bloomberg'!M408="","",'Port Bloomberg'!M408)</f>
        <v>USD</v>
      </c>
      <c r="N408" s="7">
        <f>IF('Port Bloomberg'!N408="","",'Port Bloomberg'!N408)</f>
        <v>1000000</v>
      </c>
      <c r="O408" s="7" t="str">
        <f>IF('Port Bloomberg'!O408="","",'Port Bloomberg'!O408)</f>
        <v>SINGLE</v>
      </c>
      <c r="P408" s="7">
        <f>IF('Port Bloomberg'!P408="","",'Port Bloomberg'!P408)</f>
        <v>5.625</v>
      </c>
      <c r="Q408" s="7" t="str">
        <f>IF('Port Bloomberg'!Q408="","",'Port Bloomberg'!Q408)</f>
        <v>BBB+</v>
      </c>
      <c r="R408" s="7" t="str">
        <f>IF('Port Bloomberg'!R408="","",'Port Bloomberg'!R408)</f>
        <v>02/12/2032</v>
      </c>
      <c r="S408" s="5">
        <f>IF(E408="","",IFERROR(IF(MATCH(E408,[1]Instrumentos!$D:$D,0)&gt;0,1,0),0))</f>
        <v>1</v>
      </c>
      <c r="T408" s="5">
        <f>IF(E408="","",IFERROR(IF(MATCH(E408,'Lista de excepciones'!$E:$E,0)&gt;0,1,0),0))</f>
        <v>0</v>
      </c>
      <c r="U408" s="6" t="str">
        <f t="shared" si="7"/>
        <v>NO</v>
      </c>
    </row>
    <row r="409" spans="1:21" hidden="1" x14ac:dyDescent="0.25">
      <c r="A409" s="7" t="str">
        <f>IF('Port Bloomberg'!A409="","",'Port Bloomberg'!A409)</f>
        <v>SIERRA 9 11/14/30</v>
      </c>
      <c r="B409" s="7" t="str">
        <f>IF('Port Bloomberg'!B409="","",'Port Bloomberg'!B409)</f>
        <v>SierraCol Energy Andina LLC/SierraCol Energy Arauca/Colombia Energy Development</v>
      </c>
      <c r="C409" s="7" t="str">
        <f>IF('Port Bloomberg'!C409="","",'Port Bloomberg'!C409)</f>
        <v>SIERRACOL AN/A/D</v>
      </c>
      <c r="D409" s="7" t="str">
        <f>IF('Port Bloomberg'!D409="","",'Port Bloomberg'!D409)</f>
        <v>SIERRACOL EN AND/ARA/DEV</v>
      </c>
      <c r="E409" s="7" t="str">
        <f>IF('Port Bloomberg'!E409="","",'Port Bloomberg'!E409)</f>
        <v>USU8215PAA31</v>
      </c>
      <c r="F409" s="7" t="str">
        <f>IF('Port Bloomberg'!F409="","",'Port Bloomberg'!F409)</f>
        <v>SIERRA</v>
      </c>
      <c r="G409" s="7" t="str">
        <f>IF('Port Bloomberg'!G409="","",'Port Bloomberg'!G409)</f>
        <v>1859092D LN</v>
      </c>
      <c r="H409" s="7" t="str">
        <f>IF('Port Bloomberg'!H409="","",'Port Bloomberg'!H409)</f>
        <v>Oil&amp;Gas</v>
      </c>
      <c r="I409" s="7" t="str">
        <f>IF('Port Bloomberg'!I409="","",'Port Bloomberg'!I409)</f>
        <v>IND</v>
      </c>
      <c r="J409" s="7" t="str">
        <f>IF('Port Bloomberg'!J409="","",'Port Bloomberg'!J409)</f>
        <v>Oil Comp-Explor&amp;Prodtn</v>
      </c>
      <c r="K409" s="7" t="str">
        <f>IF('Port Bloomberg'!K409="","",'Port Bloomberg'!K409)</f>
        <v>US</v>
      </c>
      <c r="L409" s="7" t="str">
        <f>IF('Port Bloomberg'!L409="","",'Port Bloomberg'!L409)</f>
        <v>CO</v>
      </c>
      <c r="M409" s="7" t="str">
        <f>IF('Port Bloomberg'!M409="","",'Port Bloomberg'!M409)</f>
        <v>USD</v>
      </c>
      <c r="N409" s="7">
        <f>IF('Port Bloomberg'!N409="","",'Port Bloomberg'!N409)</f>
        <v>650000</v>
      </c>
      <c r="O409" s="7" t="str">
        <f>IF('Port Bloomberg'!O409="","",'Port Bloomberg'!O409)</f>
        <v>SINGLE</v>
      </c>
      <c r="P409" s="7">
        <f>IF('Port Bloomberg'!P409="","",'Port Bloomberg'!P409)</f>
        <v>9</v>
      </c>
      <c r="Q409" s="7" t="str">
        <f>IF('Port Bloomberg'!Q409="","",'Port Bloomberg'!Q409)</f>
        <v>B+</v>
      </c>
      <c r="R409" s="7" t="str">
        <f>IF('Port Bloomberg'!R409="","",'Port Bloomberg'!R409)</f>
        <v>11/14/2030</v>
      </c>
      <c r="S409" s="5">
        <f>IF(E409="","",IFERROR(IF(MATCH(E409,[1]Instrumentos!$D:$D,0)&gt;0,1,0),0))</f>
        <v>0</v>
      </c>
      <c r="T409" s="5">
        <f>IF(E409="","",IFERROR(IF(MATCH(E409,'Lista de excepciones'!$E:$E,0)&gt;0,1,0),0))</f>
        <v>1</v>
      </c>
      <c r="U409" s="6" t="str">
        <f t="shared" si="7"/>
        <v>NO</v>
      </c>
    </row>
    <row r="410" spans="1:21" hidden="1" x14ac:dyDescent="0.25">
      <c r="A410" s="7" t="str">
        <f>IF('Port Bloomberg'!A410="","",'Port Bloomberg'!A410)</f>
        <v>SIGMA 6 ⅞ 03/25/44</v>
      </c>
      <c r="B410" s="7" t="str">
        <f>IF('Port Bloomberg'!B410="","",'Port Bloomberg'!B410)</f>
        <v>Sigma Foods SAB de CV</v>
      </c>
      <c r="C410" s="7" t="str">
        <f>IF('Port Bloomberg'!C410="","",'Port Bloomberg'!C410)</f>
        <v>SIGMA FOODS</v>
      </c>
      <c r="D410" s="7" t="str">
        <f>IF('Port Bloomberg'!D410="","",'Port Bloomberg'!D410)</f>
        <v>SIGMA FOODS SAB DE CV</v>
      </c>
      <c r="E410" s="7" t="str">
        <f>IF('Port Bloomberg'!E410="","",'Port Bloomberg'!E410)</f>
        <v>USP0156PAC34</v>
      </c>
      <c r="F410" s="7" t="str">
        <f>IF('Port Bloomberg'!F410="","",'Port Bloomberg'!F410)</f>
        <v>SIGMA</v>
      </c>
      <c r="G410" s="7" t="str">
        <f>IF('Port Bloomberg'!G410="","",'Port Bloomberg'!G410)</f>
        <v>SIGMAFA MM</v>
      </c>
      <c r="H410" s="7" t="str">
        <f>IF('Port Bloomberg'!H410="","",'Port Bloomberg'!H410)</f>
        <v>Food</v>
      </c>
      <c r="I410" s="7" t="str">
        <f>IF('Port Bloomberg'!I410="","",'Port Bloomberg'!I410)</f>
        <v>IND</v>
      </c>
      <c r="J410" s="7" t="str">
        <f>IF('Port Bloomberg'!J410="","",'Port Bloomberg'!J410)</f>
        <v>Food-Misc/Diversified</v>
      </c>
      <c r="K410" s="7" t="str">
        <f>IF('Port Bloomberg'!K410="","",'Port Bloomberg'!K410)</f>
        <v>MX</v>
      </c>
      <c r="L410" s="7" t="str">
        <f>IF('Port Bloomberg'!L410="","",'Port Bloomberg'!L410)</f>
        <v>MX</v>
      </c>
      <c r="M410" s="7" t="str">
        <f>IF('Port Bloomberg'!M410="","",'Port Bloomberg'!M410)</f>
        <v>USD</v>
      </c>
      <c r="N410" s="7">
        <f>IF('Port Bloomberg'!N410="","",'Port Bloomberg'!N410)</f>
        <v>500000</v>
      </c>
      <c r="O410" s="7" t="str">
        <f>IF('Port Bloomberg'!O410="","",'Port Bloomberg'!O410)</f>
        <v>SINGLE</v>
      </c>
      <c r="P410" s="7">
        <f>IF('Port Bloomberg'!P410="","",'Port Bloomberg'!P410)</f>
        <v>6.875</v>
      </c>
      <c r="Q410" s="7" t="str">
        <f>IF('Port Bloomberg'!Q410="","",'Port Bloomberg'!Q410)</f>
        <v>BBB-</v>
      </c>
      <c r="R410" s="7" t="str">
        <f>IF('Port Bloomberg'!R410="","",'Port Bloomberg'!R410)</f>
        <v>03/25/2044</v>
      </c>
      <c r="S410" s="5">
        <f>IF(E410="","",IFERROR(IF(MATCH(E410,[1]Instrumentos!$D:$D,0)&gt;0,1,0),0))</f>
        <v>1</v>
      </c>
      <c r="T410" s="5">
        <f>IF(E410="","",IFERROR(IF(MATCH(E410,'Lista de excepciones'!$E:$E,0)&gt;0,1,0),0))</f>
        <v>0</v>
      </c>
      <c r="U410" s="6" t="str">
        <f t="shared" si="7"/>
        <v>NO</v>
      </c>
    </row>
    <row r="411" spans="1:21" hidden="1" x14ac:dyDescent="0.25">
      <c r="A411" s="7" t="str">
        <f>IF('Port Bloomberg'!A411="","",'Port Bloomberg'!A411)</f>
        <v>SILAMX 5 ⅜ 04/04/32</v>
      </c>
      <c r="B411" s="7" t="str">
        <f>IF('Port Bloomberg'!B411="","",'Port Bloomberg'!B411)</f>
        <v>Sitios Latinoamerica SAB de CV</v>
      </c>
      <c r="C411" s="7" t="str">
        <f>IF('Port Bloomberg'!C411="","",'Port Bloomberg'!C411)</f>
        <v>SITIOS</v>
      </c>
      <c r="D411" s="7" t="str">
        <f>IF('Port Bloomberg'!D411="","",'Port Bloomberg'!D411)</f>
        <v>SITIOS LATINOAMERICA</v>
      </c>
      <c r="E411" s="7" t="str">
        <f>IF('Port Bloomberg'!E411="","",'Port Bloomberg'!E411)</f>
        <v>USP0R80BAG79</v>
      </c>
      <c r="F411" s="7" t="str">
        <f>IF('Port Bloomberg'!F411="","",'Port Bloomberg'!F411)</f>
        <v>SILAMX</v>
      </c>
      <c r="G411" s="7" t="str">
        <f>IF('Port Bloomberg'!G411="","",'Port Bloomberg'!G411)</f>
        <v>LASITE* MM</v>
      </c>
      <c r="H411" s="7" t="str">
        <f>IF('Port Bloomberg'!H411="","",'Port Bloomberg'!H411)</f>
        <v>Engineering&amp;Construction</v>
      </c>
      <c r="I411" s="7" t="str">
        <f>IF('Port Bloomberg'!I411="","",'Port Bloomberg'!I411)</f>
        <v>IND</v>
      </c>
      <c r="J411" s="7" t="str">
        <f>IF('Port Bloomberg'!J411="","",'Port Bloomberg'!J411)</f>
        <v>Building-Heavy Construct</v>
      </c>
      <c r="K411" s="7" t="str">
        <f>IF('Port Bloomberg'!K411="","",'Port Bloomberg'!K411)</f>
        <v>MX</v>
      </c>
      <c r="L411" s="7" t="str">
        <f>IF('Port Bloomberg'!L411="","",'Port Bloomberg'!L411)</f>
        <v>BR</v>
      </c>
      <c r="M411" s="7" t="str">
        <f>IF('Port Bloomberg'!M411="","",'Port Bloomberg'!M411)</f>
        <v>USD</v>
      </c>
      <c r="N411" s="7">
        <f>IF('Port Bloomberg'!N411="","",'Port Bloomberg'!N411)</f>
        <v>1000000</v>
      </c>
      <c r="O411" s="7" t="str">
        <f>IF('Port Bloomberg'!O411="","",'Port Bloomberg'!O411)</f>
        <v>SINGLE</v>
      </c>
      <c r="P411" s="7">
        <f>IF('Port Bloomberg'!P411="","",'Port Bloomberg'!P411)</f>
        <v>5.375</v>
      </c>
      <c r="Q411" s="7" t="str">
        <f>IF('Port Bloomberg'!Q411="","",'Port Bloomberg'!Q411)</f>
        <v>BBB-</v>
      </c>
      <c r="R411" s="7" t="str">
        <f>IF('Port Bloomberg'!R411="","",'Port Bloomberg'!R411)</f>
        <v>04/04/2032</v>
      </c>
      <c r="S411" s="5">
        <f>IF(E411="","",IFERROR(IF(MATCH(E411,[1]Instrumentos!$D:$D,0)&gt;0,1,0),0))</f>
        <v>1</v>
      </c>
      <c r="T411" s="5">
        <f>IF(E411="","",IFERROR(IF(MATCH(E411,'Lista de excepciones'!$E:$E,0)&gt;0,1,0),0))</f>
        <v>0</v>
      </c>
      <c r="U411" s="6" t="str">
        <f t="shared" si="7"/>
        <v>NO</v>
      </c>
    </row>
    <row r="412" spans="1:21" hidden="1" x14ac:dyDescent="0.25">
      <c r="A412" s="7" t="str">
        <f>IF('Port Bloomberg'!A412="","",'Port Bloomberg'!A412)</f>
        <v>SILAMX 6 11/25/29</v>
      </c>
      <c r="B412" s="7" t="str">
        <f>IF('Port Bloomberg'!B412="","",'Port Bloomberg'!B412)</f>
        <v>Sitios Latinoamerica SAB de CV</v>
      </c>
      <c r="C412" s="7" t="str">
        <f>IF('Port Bloomberg'!C412="","",'Port Bloomberg'!C412)</f>
        <v>SITIOS</v>
      </c>
      <c r="D412" s="7" t="str">
        <f>IF('Port Bloomberg'!D412="","",'Port Bloomberg'!D412)</f>
        <v>SITIOS LATINOAMERICA</v>
      </c>
      <c r="E412" s="7" t="str">
        <f>IF('Port Bloomberg'!E412="","",'Port Bloomberg'!E412)</f>
        <v>USP87026AA16</v>
      </c>
      <c r="F412" s="7" t="str">
        <f>IF('Port Bloomberg'!F412="","",'Port Bloomberg'!F412)</f>
        <v>SILAMX</v>
      </c>
      <c r="G412" s="7" t="str">
        <f>IF('Port Bloomberg'!G412="","",'Port Bloomberg'!G412)</f>
        <v>LASITE* MM</v>
      </c>
      <c r="H412" s="7" t="str">
        <f>IF('Port Bloomberg'!H412="","",'Port Bloomberg'!H412)</f>
        <v>Engineering&amp;Construction</v>
      </c>
      <c r="I412" s="7" t="str">
        <f>IF('Port Bloomberg'!I412="","",'Port Bloomberg'!I412)</f>
        <v>IND</v>
      </c>
      <c r="J412" s="7" t="str">
        <f>IF('Port Bloomberg'!J412="","",'Port Bloomberg'!J412)</f>
        <v>Building-Heavy Construct</v>
      </c>
      <c r="K412" s="7" t="str">
        <f>IF('Port Bloomberg'!K412="","",'Port Bloomberg'!K412)</f>
        <v>MX</v>
      </c>
      <c r="L412" s="7" t="str">
        <f>IF('Port Bloomberg'!L412="","",'Port Bloomberg'!L412)</f>
        <v>BR</v>
      </c>
      <c r="M412" s="7" t="str">
        <f>IF('Port Bloomberg'!M412="","",'Port Bloomberg'!M412)</f>
        <v>USD</v>
      </c>
      <c r="N412" s="7">
        <f>IF('Port Bloomberg'!N412="","",'Port Bloomberg'!N412)</f>
        <v>650000</v>
      </c>
      <c r="O412" s="7" t="str">
        <f>IF('Port Bloomberg'!O412="","",'Port Bloomberg'!O412)</f>
        <v>SINGLE</v>
      </c>
      <c r="P412" s="7">
        <f>IF('Port Bloomberg'!P412="","",'Port Bloomberg'!P412)</f>
        <v>6</v>
      </c>
      <c r="Q412" s="7" t="str">
        <f>IF('Port Bloomberg'!Q412="","",'Port Bloomberg'!Q412)</f>
        <v>BBB-</v>
      </c>
      <c r="R412" s="7" t="str">
        <f>IF('Port Bloomberg'!R412="","",'Port Bloomberg'!R412)</f>
        <v>11/25/2029</v>
      </c>
      <c r="S412" s="5">
        <f>IF(E412="","",IFERROR(IF(MATCH(E412,[1]Instrumentos!$D:$D,0)&gt;0,1,0),0))</f>
        <v>1</v>
      </c>
      <c r="T412" s="5">
        <f>IF(E412="","",IFERROR(IF(MATCH(E412,'Lista de excepciones'!$E:$E,0)&gt;0,1,0),0))</f>
        <v>0</v>
      </c>
      <c r="U412" s="6" t="str">
        <f t="shared" si="7"/>
        <v>NO</v>
      </c>
    </row>
    <row r="413" spans="1:21" hidden="1" x14ac:dyDescent="0.25">
      <c r="A413" s="7" t="str">
        <f>IF('Port Bloomberg'!A413="","",'Port Bloomberg'!A413)</f>
        <v>SIMHBZ 5.2 01/26/31</v>
      </c>
      <c r="B413" s="7" t="str">
        <f>IF('Port Bloomberg'!B413="","",'Port Bloomberg'!B413)</f>
        <v>Simpar Europe SA</v>
      </c>
      <c r="C413" s="7" t="str">
        <f>IF('Port Bloomberg'!C413="","",'Port Bloomberg'!C413)</f>
        <v>SIMPAR EUROPE</v>
      </c>
      <c r="D413" s="7" t="str">
        <f>IF('Port Bloomberg'!D413="","",'Port Bloomberg'!D413)</f>
        <v>SIMPAR EUROPE SA</v>
      </c>
      <c r="E413" s="7" t="str">
        <f>IF('Port Bloomberg'!E413="","",'Port Bloomberg'!E413)</f>
        <v>USL8449RAA79</v>
      </c>
      <c r="F413" s="7" t="str">
        <f>IF('Port Bloomberg'!F413="","",'Port Bloomberg'!F413)</f>
        <v>SIMHBZ</v>
      </c>
      <c r="G413" s="7" t="str">
        <f>IF('Port Bloomberg'!G413="","",'Port Bloomberg'!G413)</f>
        <v>SIMH3 BZ</v>
      </c>
      <c r="H413" s="7" t="str">
        <f>IF('Port Bloomberg'!H413="","",'Port Bloomberg'!H413)</f>
        <v>Transportation</v>
      </c>
      <c r="I413" s="7" t="str">
        <f>IF('Port Bloomberg'!I413="","",'Port Bloomberg'!I413)</f>
        <v>IND</v>
      </c>
      <c r="J413" s="7" t="str">
        <f>IF('Port Bloomberg'!J413="","",'Port Bloomberg'!J413)</f>
        <v>Transport-Services</v>
      </c>
      <c r="K413" s="7" t="str">
        <f>IF('Port Bloomberg'!K413="","",'Port Bloomberg'!K413)</f>
        <v>LU</v>
      </c>
      <c r="L413" s="7" t="str">
        <f>IF('Port Bloomberg'!L413="","",'Port Bloomberg'!L413)</f>
        <v>BR</v>
      </c>
      <c r="M413" s="7" t="str">
        <f>IF('Port Bloomberg'!M413="","",'Port Bloomberg'!M413)</f>
        <v>USD</v>
      </c>
      <c r="N413" s="7">
        <f>IF('Port Bloomberg'!N413="","",'Port Bloomberg'!N413)</f>
        <v>625000</v>
      </c>
      <c r="O413" s="7" t="str">
        <f>IF('Port Bloomberg'!O413="","",'Port Bloomberg'!O413)</f>
        <v>SINGLE</v>
      </c>
      <c r="P413" s="7">
        <f>IF('Port Bloomberg'!P413="","",'Port Bloomberg'!P413)</f>
        <v>5.2</v>
      </c>
      <c r="Q413" s="7" t="str">
        <f>IF('Port Bloomberg'!Q413="","",'Port Bloomberg'!Q413)</f>
        <v>BB-</v>
      </c>
      <c r="R413" s="7" t="str">
        <f>IF('Port Bloomberg'!R413="","",'Port Bloomberg'!R413)</f>
        <v>01/26/2031</v>
      </c>
      <c r="S413" s="5">
        <f>IF(E413="","",IFERROR(IF(MATCH(E413,[1]Instrumentos!$D:$D,0)&gt;0,1,0),0))</f>
        <v>1</v>
      </c>
      <c r="T413" s="5">
        <f>IF(E413="","",IFERROR(IF(MATCH(E413,'Lista de excepciones'!$E:$E,0)&gt;0,1,0),0))</f>
        <v>0</v>
      </c>
      <c r="U413" s="6" t="str">
        <f t="shared" si="7"/>
        <v>NO</v>
      </c>
    </row>
    <row r="414" spans="1:21" hidden="1" x14ac:dyDescent="0.25">
      <c r="A414" s="7" t="str">
        <f>IF('Port Bloomberg'!A414="","",'Port Bloomberg'!A414)</f>
        <v>SOTMCL 6.385 12/15/55</v>
      </c>
      <c r="B414" s="7" t="str">
        <f>IF('Port Bloomberg'!B414="","",'Port Bloomberg'!B414)</f>
        <v>Sociedad Transmisora Metropolitana SpA</v>
      </c>
      <c r="C414" s="7" t="str">
        <f>IF('Port Bloomberg'!C414="","",'Port Bloomberg'!C414)</f>
        <v>SOCIEDAD TRANSMI</v>
      </c>
      <c r="D414" s="7" t="str">
        <f>IF('Port Bloomberg'!D414="","",'Port Bloomberg'!D414)</f>
        <v>SOCIEDAD TRANSMISORA MET</v>
      </c>
      <c r="E414" s="7" t="str">
        <f>IF('Port Bloomberg'!E414="","",'Port Bloomberg'!E414)</f>
        <v>USP8725GAB07</v>
      </c>
      <c r="F414" s="7" t="str">
        <f>IF('Port Bloomberg'!F414="","",'Port Bloomberg'!F414)</f>
        <v>SOTMCL</v>
      </c>
      <c r="G414" s="7" t="str">
        <f>IF('Port Bloomberg'!G414="","",'Port Bloomberg'!G414)</f>
        <v>2210915D CI</v>
      </c>
      <c r="H414" s="7" t="str">
        <f>IF('Port Bloomberg'!H414="","",'Port Bloomberg'!H414)</f>
        <v>Electric</v>
      </c>
      <c r="I414" s="7" t="str">
        <f>IF('Port Bloomberg'!I414="","",'Port Bloomberg'!I414)</f>
        <v>UTL</v>
      </c>
      <c r="J414" s="7" t="str">
        <f>IF('Port Bloomberg'!J414="","",'Port Bloomberg'!J414)</f>
        <v>Electric-Integrated</v>
      </c>
      <c r="K414" s="7" t="str">
        <f>IF('Port Bloomberg'!K414="","",'Port Bloomberg'!K414)</f>
        <v>CL</v>
      </c>
      <c r="L414" s="7" t="str">
        <f>IF('Port Bloomberg'!L414="","",'Port Bloomberg'!L414)</f>
        <v>CL</v>
      </c>
      <c r="M414" s="7" t="str">
        <f>IF('Port Bloomberg'!M414="","",'Port Bloomberg'!M414)</f>
        <v>USD</v>
      </c>
      <c r="N414" s="7">
        <f>IF('Port Bloomberg'!N414="","",'Port Bloomberg'!N414)</f>
        <v>630000</v>
      </c>
      <c r="O414" s="7" t="str">
        <f>IF('Port Bloomberg'!O414="","",'Port Bloomberg'!O414)</f>
        <v>SINGLE</v>
      </c>
      <c r="P414" s="7">
        <f>IF('Port Bloomberg'!P414="","",'Port Bloomberg'!P414)</f>
        <v>6.3849999999999998</v>
      </c>
      <c r="Q414" s="7" t="str">
        <f>IF('Port Bloomberg'!Q414="","",'Port Bloomberg'!Q414)</f>
        <v>BBB</v>
      </c>
      <c r="R414" s="7" t="str">
        <f>IF('Port Bloomberg'!R414="","",'Port Bloomberg'!R414)</f>
        <v>12/15/2055</v>
      </c>
      <c r="S414" s="5">
        <f>IF(E414="","",IFERROR(IF(MATCH(E414,[1]Instrumentos!$D:$D,0)&gt;0,1,0),0))</f>
        <v>0</v>
      </c>
      <c r="T414" s="5">
        <f>IF(E414="","",IFERROR(IF(MATCH(E414,'Lista de excepciones'!$E:$E,0)&gt;0,1,0),0))</f>
        <v>1</v>
      </c>
      <c r="U414" s="6" t="str">
        <f t="shared" si="7"/>
        <v>NO</v>
      </c>
    </row>
    <row r="415" spans="1:21" hidden="1" x14ac:dyDescent="0.25">
      <c r="A415" s="7" t="str">
        <f>IF('Port Bloomberg'!A415="","",'Port Bloomberg'!A415)</f>
        <v>SQM 3 ½ 09/10/51</v>
      </c>
      <c r="B415" s="7" t="str">
        <f>IF('Port Bloomberg'!B415="","",'Port Bloomberg'!B415)</f>
        <v>Sociedad Quimica y Minera de Chile SA</v>
      </c>
      <c r="C415" s="7" t="str">
        <f>IF('Port Bloomberg'!C415="","",'Port Bloomberg'!C415)</f>
        <v>SOCIEDAD QUIMICA</v>
      </c>
      <c r="D415" s="7" t="str">
        <f>IF('Port Bloomberg'!D415="","",'Port Bloomberg'!D415)</f>
        <v>SOCIEDAD QUIMICA Y MINER</v>
      </c>
      <c r="E415" s="7" t="str">
        <f>IF('Port Bloomberg'!E415="","",'Port Bloomberg'!E415)</f>
        <v>USP8718AAN65</v>
      </c>
      <c r="F415" s="7" t="str">
        <f>IF('Port Bloomberg'!F415="","",'Port Bloomberg'!F415)</f>
        <v>SQM</v>
      </c>
      <c r="G415" s="7" t="str">
        <f>IF('Port Bloomberg'!G415="","",'Port Bloomberg'!G415)</f>
        <v>SQM/B CI</v>
      </c>
      <c r="H415" s="7" t="str">
        <f>IF('Port Bloomberg'!H415="","",'Port Bloomberg'!H415)</f>
        <v>Chemicals</v>
      </c>
      <c r="I415" s="7" t="str">
        <f>IF('Port Bloomberg'!I415="","",'Port Bloomberg'!I415)</f>
        <v>IND</v>
      </c>
      <c r="J415" s="7" t="str">
        <f>IF('Port Bloomberg'!J415="","",'Port Bloomberg'!J415)</f>
        <v>Chemicals-Specialty</v>
      </c>
      <c r="K415" s="7" t="str">
        <f>IF('Port Bloomberg'!K415="","",'Port Bloomberg'!K415)</f>
        <v>CL</v>
      </c>
      <c r="L415" s="7" t="str">
        <f>IF('Port Bloomberg'!L415="","",'Port Bloomberg'!L415)</f>
        <v>CL</v>
      </c>
      <c r="M415" s="7" t="str">
        <f>IF('Port Bloomberg'!M415="","",'Port Bloomberg'!M415)</f>
        <v>USD</v>
      </c>
      <c r="N415" s="7">
        <f>IF('Port Bloomberg'!N415="","",'Port Bloomberg'!N415)</f>
        <v>700000</v>
      </c>
      <c r="O415" s="7" t="str">
        <f>IF('Port Bloomberg'!O415="","",'Port Bloomberg'!O415)</f>
        <v>SINGLE</v>
      </c>
      <c r="P415" s="7">
        <f>IF('Port Bloomberg'!P415="","",'Port Bloomberg'!P415)</f>
        <v>3.5</v>
      </c>
      <c r="Q415" s="7" t="str">
        <f>IF('Port Bloomberg'!Q415="","",'Port Bloomberg'!Q415)</f>
        <v>BBB+</v>
      </c>
      <c r="R415" s="7" t="str">
        <f>IF('Port Bloomberg'!R415="","",'Port Bloomberg'!R415)</f>
        <v>09/10/2051</v>
      </c>
      <c r="S415" s="5">
        <f>IF(E415="","",IFERROR(IF(MATCH(E415,[1]Instrumentos!$D:$D,0)&gt;0,1,0),0))</f>
        <v>1</v>
      </c>
      <c r="T415" s="5">
        <f>IF(E415="","",IFERROR(IF(MATCH(E415,'Lista de excepciones'!$E:$E,0)&gt;0,1,0),0))</f>
        <v>0</v>
      </c>
      <c r="U415" s="6" t="str">
        <f t="shared" si="7"/>
        <v>NO</v>
      </c>
    </row>
    <row r="416" spans="1:21" hidden="1" x14ac:dyDescent="0.25">
      <c r="A416" s="7" t="str">
        <f>IF('Port Bloomberg'!A416="","",'Port Bloomberg'!A416)</f>
        <v>SQM 4 ¼ 01/22/50</v>
      </c>
      <c r="B416" s="7" t="str">
        <f>IF('Port Bloomberg'!B416="","",'Port Bloomberg'!B416)</f>
        <v>Sociedad Quimica y Minera de Chile SA</v>
      </c>
      <c r="C416" s="7" t="str">
        <f>IF('Port Bloomberg'!C416="","",'Port Bloomberg'!C416)</f>
        <v>SOCIEDAD QUIMICA</v>
      </c>
      <c r="D416" s="7" t="str">
        <f>IF('Port Bloomberg'!D416="","",'Port Bloomberg'!D416)</f>
        <v>SOCIEDAD QUIMICA Y MINER</v>
      </c>
      <c r="E416" s="7" t="str">
        <f>IF('Port Bloomberg'!E416="","",'Port Bloomberg'!E416)</f>
        <v>USP8718AAM82</v>
      </c>
      <c r="F416" s="7" t="str">
        <f>IF('Port Bloomberg'!F416="","",'Port Bloomberg'!F416)</f>
        <v>SQM</v>
      </c>
      <c r="G416" s="7" t="str">
        <f>IF('Port Bloomberg'!G416="","",'Port Bloomberg'!G416)</f>
        <v>SQM/B CI</v>
      </c>
      <c r="H416" s="7" t="str">
        <f>IF('Port Bloomberg'!H416="","",'Port Bloomberg'!H416)</f>
        <v>Chemicals</v>
      </c>
      <c r="I416" s="7" t="str">
        <f>IF('Port Bloomberg'!I416="","",'Port Bloomberg'!I416)</f>
        <v>IND</v>
      </c>
      <c r="J416" s="7" t="str">
        <f>IF('Port Bloomberg'!J416="","",'Port Bloomberg'!J416)</f>
        <v>Chemicals-Specialty</v>
      </c>
      <c r="K416" s="7" t="str">
        <f>IF('Port Bloomberg'!K416="","",'Port Bloomberg'!K416)</f>
        <v>CL</v>
      </c>
      <c r="L416" s="7" t="str">
        <f>IF('Port Bloomberg'!L416="","",'Port Bloomberg'!L416)</f>
        <v>CL</v>
      </c>
      <c r="M416" s="7" t="str">
        <f>IF('Port Bloomberg'!M416="","",'Port Bloomberg'!M416)</f>
        <v>USD</v>
      </c>
      <c r="N416" s="7">
        <f>IF('Port Bloomberg'!N416="","",'Port Bloomberg'!N416)</f>
        <v>400000</v>
      </c>
      <c r="O416" s="7" t="str">
        <f>IF('Port Bloomberg'!O416="","",'Port Bloomberg'!O416)</f>
        <v>SINGLE</v>
      </c>
      <c r="P416" s="7">
        <f>IF('Port Bloomberg'!P416="","",'Port Bloomberg'!P416)</f>
        <v>4.25</v>
      </c>
      <c r="Q416" s="7" t="str">
        <f>IF('Port Bloomberg'!Q416="","",'Port Bloomberg'!Q416)</f>
        <v>BBB+</v>
      </c>
      <c r="R416" s="7" t="str">
        <f>IF('Port Bloomberg'!R416="","",'Port Bloomberg'!R416)</f>
        <v>01/22/2050</v>
      </c>
      <c r="S416" s="5">
        <f>IF(E416="","",IFERROR(IF(MATCH(E416,[1]Instrumentos!$D:$D,0)&gt;0,1,0),0))</f>
        <v>1</v>
      </c>
      <c r="T416" s="5">
        <f>IF(E416="","",IFERROR(IF(MATCH(E416,'Lista de excepciones'!$E:$E,0)&gt;0,1,0),0))</f>
        <v>0</v>
      </c>
      <c r="U416" s="6" t="str">
        <f t="shared" si="7"/>
        <v>NO</v>
      </c>
    </row>
    <row r="417" spans="1:21" hidden="1" x14ac:dyDescent="0.25">
      <c r="A417" s="7" t="str">
        <f>IF('Port Bloomberg'!A417="","",'Port Bloomberg'!A417)</f>
        <v>SQM 4 ¼ 05/07/29</v>
      </c>
      <c r="B417" s="7" t="str">
        <f>IF('Port Bloomberg'!B417="","",'Port Bloomberg'!B417)</f>
        <v>Sociedad Quimica y Minera de Chile SA</v>
      </c>
      <c r="C417" s="7" t="str">
        <f>IF('Port Bloomberg'!C417="","",'Port Bloomberg'!C417)</f>
        <v>SOCIEDAD QUIMICA</v>
      </c>
      <c r="D417" s="7" t="str">
        <f>IF('Port Bloomberg'!D417="","",'Port Bloomberg'!D417)</f>
        <v>SOCIEDAD QUIMICA Y MINER</v>
      </c>
      <c r="E417" s="7" t="str">
        <f>IF('Port Bloomberg'!E417="","",'Port Bloomberg'!E417)</f>
        <v>USP8718AAL00</v>
      </c>
      <c r="F417" s="7" t="str">
        <f>IF('Port Bloomberg'!F417="","",'Port Bloomberg'!F417)</f>
        <v>SQM</v>
      </c>
      <c r="G417" s="7" t="str">
        <f>IF('Port Bloomberg'!G417="","",'Port Bloomberg'!G417)</f>
        <v>SQM/B CI</v>
      </c>
      <c r="H417" s="7" t="str">
        <f>IF('Port Bloomberg'!H417="","",'Port Bloomberg'!H417)</f>
        <v>Chemicals</v>
      </c>
      <c r="I417" s="7" t="str">
        <f>IF('Port Bloomberg'!I417="","",'Port Bloomberg'!I417)</f>
        <v>IND</v>
      </c>
      <c r="J417" s="7" t="str">
        <f>IF('Port Bloomberg'!J417="","",'Port Bloomberg'!J417)</f>
        <v>Chemicals-Specialty</v>
      </c>
      <c r="K417" s="7" t="str">
        <f>IF('Port Bloomberg'!K417="","",'Port Bloomberg'!K417)</f>
        <v>CL</v>
      </c>
      <c r="L417" s="7" t="str">
        <f>IF('Port Bloomberg'!L417="","",'Port Bloomberg'!L417)</f>
        <v>CL</v>
      </c>
      <c r="M417" s="7" t="str">
        <f>IF('Port Bloomberg'!M417="","",'Port Bloomberg'!M417)</f>
        <v>USD</v>
      </c>
      <c r="N417" s="7">
        <f>IF('Port Bloomberg'!N417="","",'Port Bloomberg'!N417)</f>
        <v>450000</v>
      </c>
      <c r="O417" s="7" t="str">
        <f>IF('Port Bloomberg'!O417="","",'Port Bloomberg'!O417)</f>
        <v>SINGLE</v>
      </c>
      <c r="P417" s="7">
        <f>IF('Port Bloomberg'!P417="","",'Port Bloomberg'!P417)</f>
        <v>4.25</v>
      </c>
      <c r="Q417" s="7" t="str">
        <f>IF('Port Bloomberg'!Q417="","",'Port Bloomberg'!Q417)</f>
        <v>BBB+</v>
      </c>
      <c r="R417" s="7" t="str">
        <f>IF('Port Bloomberg'!R417="","",'Port Bloomberg'!R417)</f>
        <v>05/07/2029</v>
      </c>
      <c r="S417" s="5">
        <f>IF(E417="","",IFERROR(IF(MATCH(E417,[1]Instrumentos!$D:$D,0)&gt;0,1,0),0))</f>
        <v>1</v>
      </c>
      <c r="T417" s="5">
        <f>IF(E417="","",IFERROR(IF(MATCH(E417,'Lista de excepciones'!$E:$E,0)&gt;0,1,0),0))</f>
        <v>0</v>
      </c>
      <c r="U417" s="6" t="str">
        <f t="shared" si="7"/>
        <v>NO</v>
      </c>
    </row>
    <row r="418" spans="1:21" hidden="1" x14ac:dyDescent="0.25">
      <c r="A418" s="7" t="str">
        <f>IF('Port Bloomberg'!A418="","",'Port Bloomberg'!A418)</f>
        <v>SQM 5 ½ 09/10/34</v>
      </c>
      <c r="B418" s="7" t="str">
        <f>IF('Port Bloomberg'!B418="","",'Port Bloomberg'!B418)</f>
        <v>Sociedad Quimica y Minera de Chile SA</v>
      </c>
      <c r="C418" s="7" t="str">
        <f>IF('Port Bloomberg'!C418="","",'Port Bloomberg'!C418)</f>
        <v>SOCIEDAD QUIMICA</v>
      </c>
      <c r="D418" s="7" t="str">
        <f>IF('Port Bloomberg'!D418="","",'Port Bloomberg'!D418)</f>
        <v>SOCIEDAD QUIMICA Y MINER</v>
      </c>
      <c r="E418" s="7" t="str">
        <f>IF('Port Bloomberg'!E418="","",'Port Bloomberg'!E418)</f>
        <v>USP8718AAQ96</v>
      </c>
      <c r="F418" s="7" t="str">
        <f>IF('Port Bloomberg'!F418="","",'Port Bloomberg'!F418)</f>
        <v>SQM</v>
      </c>
      <c r="G418" s="7" t="str">
        <f>IF('Port Bloomberg'!G418="","",'Port Bloomberg'!G418)</f>
        <v>SQM/B CI</v>
      </c>
      <c r="H418" s="7" t="str">
        <f>IF('Port Bloomberg'!H418="","",'Port Bloomberg'!H418)</f>
        <v>Chemicals</v>
      </c>
      <c r="I418" s="7" t="str">
        <f>IF('Port Bloomberg'!I418="","",'Port Bloomberg'!I418)</f>
        <v>IND</v>
      </c>
      <c r="J418" s="7" t="str">
        <f>IF('Port Bloomberg'!J418="","",'Port Bloomberg'!J418)</f>
        <v>Chemicals-Specialty</v>
      </c>
      <c r="K418" s="7" t="str">
        <f>IF('Port Bloomberg'!K418="","",'Port Bloomberg'!K418)</f>
        <v>CL</v>
      </c>
      <c r="L418" s="7" t="str">
        <f>IF('Port Bloomberg'!L418="","",'Port Bloomberg'!L418)</f>
        <v>CL</v>
      </c>
      <c r="M418" s="7" t="str">
        <f>IF('Port Bloomberg'!M418="","",'Port Bloomberg'!M418)</f>
        <v>USD</v>
      </c>
      <c r="N418" s="7">
        <f>IF('Port Bloomberg'!N418="","",'Port Bloomberg'!N418)</f>
        <v>850000</v>
      </c>
      <c r="O418" s="7" t="str">
        <f>IF('Port Bloomberg'!O418="","",'Port Bloomberg'!O418)</f>
        <v>SINGLE</v>
      </c>
      <c r="P418" s="7">
        <f>IF('Port Bloomberg'!P418="","",'Port Bloomberg'!P418)</f>
        <v>5.5</v>
      </c>
      <c r="Q418" s="7" t="str">
        <f>IF('Port Bloomberg'!Q418="","",'Port Bloomberg'!Q418)</f>
        <v>BBB+</v>
      </c>
      <c r="R418" s="7" t="str">
        <f>IF('Port Bloomberg'!R418="","",'Port Bloomberg'!R418)</f>
        <v>09/10/2034</v>
      </c>
      <c r="S418" s="5">
        <f>IF(E418="","",IFERROR(IF(MATCH(E418,[1]Instrumentos!$D:$D,0)&gt;0,1,0),0))</f>
        <v>1</v>
      </c>
      <c r="T418" s="5">
        <f>IF(E418="","",IFERROR(IF(MATCH(E418,'Lista de excepciones'!$E:$E,0)&gt;0,1,0),0))</f>
        <v>0</v>
      </c>
      <c r="U418" s="6" t="str">
        <f t="shared" si="7"/>
        <v>NO</v>
      </c>
    </row>
    <row r="419" spans="1:21" hidden="1" x14ac:dyDescent="0.25">
      <c r="A419" s="7" t="str">
        <f>IF('Port Bloomberg'!A419="","",'Port Bloomberg'!A419)</f>
        <v>SQM 5 ⅝ 04/22/56</v>
      </c>
      <c r="B419" s="7" t="str">
        <f>IF('Port Bloomberg'!B419="","",'Port Bloomberg'!B419)</f>
        <v>Sociedad Quimica y Minera de Chile SA</v>
      </c>
      <c r="C419" s="7" t="str">
        <f>IF('Port Bloomberg'!C419="","",'Port Bloomberg'!C419)</f>
        <v>SOCIEDAD QUIMICA</v>
      </c>
      <c r="D419" s="7" t="str">
        <f>IF('Port Bloomberg'!D419="","",'Port Bloomberg'!D419)</f>
        <v>SOCIEDAD QUIMICA Y MINER</v>
      </c>
      <c r="E419" s="7" t="str">
        <f>IF('Port Bloomberg'!E419="","",'Port Bloomberg'!E419)</f>
        <v>USP8718AAR79</v>
      </c>
      <c r="F419" s="7" t="str">
        <f>IF('Port Bloomberg'!F419="","",'Port Bloomberg'!F419)</f>
        <v>SQM</v>
      </c>
      <c r="G419" s="7" t="str">
        <f>IF('Port Bloomberg'!G419="","",'Port Bloomberg'!G419)</f>
        <v>SQM/B CI</v>
      </c>
      <c r="H419" s="7" t="str">
        <f>IF('Port Bloomberg'!H419="","",'Port Bloomberg'!H419)</f>
        <v>Chemicals</v>
      </c>
      <c r="I419" s="7" t="str">
        <f>IF('Port Bloomberg'!I419="","",'Port Bloomberg'!I419)</f>
        <v>IND</v>
      </c>
      <c r="J419" s="7" t="str">
        <f>IF('Port Bloomberg'!J419="","",'Port Bloomberg'!J419)</f>
        <v>Chemicals-Specialty</v>
      </c>
      <c r="K419" s="7" t="str">
        <f>IF('Port Bloomberg'!K419="","",'Port Bloomberg'!K419)</f>
        <v>CL</v>
      </c>
      <c r="L419" s="7" t="str">
        <f>IF('Port Bloomberg'!L419="","",'Port Bloomberg'!L419)</f>
        <v>CL</v>
      </c>
      <c r="M419" s="7" t="str">
        <f>IF('Port Bloomberg'!M419="","",'Port Bloomberg'!M419)</f>
        <v>USD</v>
      </c>
      <c r="N419" s="7">
        <f>IF('Port Bloomberg'!N419="","",'Port Bloomberg'!N419)</f>
        <v>600000</v>
      </c>
      <c r="O419" s="7" t="str">
        <f>IF('Port Bloomberg'!O419="","",'Port Bloomberg'!O419)</f>
        <v>SINGLE</v>
      </c>
      <c r="P419" s="7">
        <f>IF('Port Bloomberg'!P419="","",'Port Bloomberg'!P419)</f>
        <v>5.625</v>
      </c>
      <c r="Q419" s="7" t="str">
        <f>IF('Port Bloomberg'!Q419="","",'Port Bloomberg'!Q419)</f>
        <v>BBB-</v>
      </c>
      <c r="R419" s="7" t="str">
        <f>IF('Port Bloomberg'!R419="","",'Port Bloomberg'!R419)</f>
        <v>04/22/2056</v>
      </c>
      <c r="S419" s="5">
        <f>IF(E419="","",IFERROR(IF(MATCH(E419,[1]Instrumentos!$D:$D,0)&gt;0,1,0),0))</f>
        <v>1</v>
      </c>
      <c r="T419" s="5">
        <f>IF(E419="","",IFERROR(IF(MATCH(E419,'Lista de excepciones'!$E:$E,0)&gt;0,1,0),0))</f>
        <v>0</v>
      </c>
      <c r="U419" s="6" t="str">
        <f t="shared" si="7"/>
        <v>NO</v>
      </c>
    </row>
    <row r="420" spans="1:21" hidden="1" x14ac:dyDescent="0.25">
      <c r="A420" s="7" t="str">
        <f>IF('Port Bloomberg'!A420="","",'Port Bloomberg'!A420)</f>
        <v>SQM 6 ½ 11/07/33</v>
      </c>
      <c r="B420" s="7" t="str">
        <f>IF('Port Bloomberg'!B420="","",'Port Bloomberg'!B420)</f>
        <v>Sociedad Quimica y Minera de Chile SA</v>
      </c>
      <c r="C420" s="7" t="str">
        <f>IF('Port Bloomberg'!C420="","",'Port Bloomberg'!C420)</f>
        <v>SOCIEDAD QUIMICA</v>
      </c>
      <c r="D420" s="7" t="str">
        <f>IF('Port Bloomberg'!D420="","",'Port Bloomberg'!D420)</f>
        <v>SOCIEDAD QUIMICA Y MINER</v>
      </c>
      <c r="E420" s="7" t="str">
        <f>IF('Port Bloomberg'!E420="","",'Port Bloomberg'!E420)</f>
        <v>USP8718AAP14</v>
      </c>
      <c r="F420" s="7" t="str">
        <f>IF('Port Bloomberg'!F420="","",'Port Bloomberg'!F420)</f>
        <v>SQM</v>
      </c>
      <c r="G420" s="7" t="str">
        <f>IF('Port Bloomberg'!G420="","",'Port Bloomberg'!G420)</f>
        <v>SQM/B CI</v>
      </c>
      <c r="H420" s="7" t="str">
        <f>IF('Port Bloomberg'!H420="","",'Port Bloomberg'!H420)</f>
        <v>Chemicals</v>
      </c>
      <c r="I420" s="7" t="str">
        <f>IF('Port Bloomberg'!I420="","",'Port Bloomberg'!I420)</f>
        <v>IND</v>
      </c>
      <c r="J420" s="7" t="str">
        <f>IF('Port Bloomberg'!J420="","",'Port Bloomberg'!J420)</f>
        <v>Chemicals-Specialty</v>
      </c>
      <c r="K420" s="7" t="str">
        <f>IF('Port Bloomberg'!K420="","",'Port Bloomberg'!K420)</f>
        <v>CL</v>
      </c>
      <c r="L420" s="7" t="str">
        <f>IF('Port Bloomberg'!L420="","",'Port Bloomberg'!L420)</f>
        <v>CL</v>
      </c>
      <c r="M420" s="7" t="str">
        <f>IF('Port Bloomberg'!M420="","",'Port Bloomberg'!M420)</f>
        <v>USD</v>
      </c>
      <c r="N420" s="7">
        <f>IF('Port Bloomberg'!N420="","",'Port Bloomberg'!N420)</f>
        <v>750000</v>
      </c>
      <c r="O420" s="7" t="str">
        <f>IF('Port Bloomberg'!O420="","",'Port Bloomberg'!O420)</f>
        <v>SINGLE</v>
      </c>
      <c r="P420" s="7">
        <f>IF('Port Bloomberg'!P420="","",'Port Bloomberg'!P420)</f>
        <v>6.5</v>
      </c>
      <c r="Q420" s="7" t="str">
        <f>IF('Port Bloomberg'!Q420="","",'Port Bloomberg'!Q420)</f>
        <v>BBB+</v>
      </c>
      <c r="R420" s="7" t="str">
        <f>IF('Port Bloomberg'!R420="","",'Port Bloomberg'!R420)</f>
        <v>11/07/2033</v>
      </c>
      <c r="S420" s="5">
        <f>IF(E420="","",IFERROR(IF(MATCH(E420,[1]Instrumentos!$D:$D,0)&gt;0,1,0),0))</f>
        <v>1</v>
      </c>
      <c r="T420" s="5">
        <f>IF(E420="","",IFERROR(IF(MATCH(E420,'Lista de excepciones'!$E:$E,0)&gt;0,1,0),0))</f>
        <v>0</v>
      </c>
      <c r="U420" s="6" t="str">
        <f t="shared" si="7"/>
        <v>NO</v>
      </c>
    </row>
    <row r="421" spans="1:21" hidden="1" x14ac:dyDescent="0.25">
      <c r="A421" s="7" t="str">
        <f>IF('Port Bloomberg'!A421="","",'Port Bloomberg'!A421)</f>
        <v>STASCL 4 01/27/32</v>
      </c>
      <c r="B421" s="7" t="str">
        <f>IF('Port Bloomberg'!B421="","",'Port Bloomberg'!B421)</f>
        <v>Sociedad De Transmision Austral SA</v>
      </c>
      <c r="C421" s="7" t="str">
        <f>IF('Port Bloomberg'!C421="","",'Port Bloomberg'!C421)</f>
        <v>SOCIEDAD DE TRAN</v>
      </c>
      <c r="D421" s="7" t="str">
        <f>IF('Port Bloomberg'!D421="","",'Port Bloomberg'!D421)</f>
        <v>SOCIEDAD DE TRANSMISION</v>
      </c>
      <c r="E421" s="7" t="str">
        <f>IF('Port Bloomberg'!E421="","",'Port Bloomberg'!E421)</f>
        <v>USP87163AA27</v>
      </c>
      <c r="F421" s="7" t="str">
        <f>IF('Port Bloomberg'!F421="","",'Port Bloomberg'!F421)</f>
        <v>STASCL</v>
      </c>
      <c r="G421" s="7" t="str">
        <f>IF('Port Bloomberg'!G421="","",'Port Bloomberg'!G421)</f>
        <v>2920979Z CI</v>
      </c>
      <c r="H421" s="7" t="str">
        <f>IF('Port Bloomberg'!H421="","",'Port Bloomberg'!H421)</f>
        <v>Electric</v>
      </c>
      <c r="I421" s="7" t="str">
        <f>IF('Port Bloomberg'!I421="","",'Port Bloomberg'!I421)</f>
        <v>UTL</v>
      </c>
      <c r="J421" s="7" t="str">
        <f>IF('Port Bloomberg'!J421="","",'Port Bloomberg'!J421)</f>
        <v>Electric-Distribution</v>
      </c>
      <c r="K421" s="7" t="str">
        <f>IF('Port Bloomberg'!K421="","",'Port Bloomberg'!K421)</f>
        <v>CL</v>
      </c>
      <c r="L421" s="7" t="str">
        <f>IF('Port Bloomberg'!L421="","",'Port Bloomberg'!L421)</f>
        <v>CL</v>
      </c>
      <c r="M421" s="7" t="str">
        <f>IF('Port Bloomberg'!M421="","",'Port Bloomberg'!M421)</f>
        <v>USD</v>
      </c>
      <c r="N421" s="7">
        <f>IF('Port Bloomberg'!N421="","",'Port Bloomberg'!N421)</f>
        <v>390000</v>
      </c>
      <c r="O421" s="7" t="str">
        <f>IF('Port Bloomberg'!O421="","",'Port Bloomberg'!O421)</f>
        <v>SINGLE</v>
      </c>
      <c r="P421" s="7">
        <f>IF('Port Bloomberg'!P421="","",'Port Bloomberg'!P421)</f>
        <v>4</v>
      </c>
      <c r="Q421" s="7" t="str">
        <f>IF('Port Bloomberg'!Q421="","",'Port Bloomberg'!Q421)</f>
        <v>BBB-</v>
      </c>
      <c r="R421" s="7" t="str">
        <f>IF('Port Bloomberg'!R421="","",'Port Bloomberg'!R421)</f>
        <v>01/27/2032</v>
      </c>
      <c r="S421" s="5">
        <f>IF(E421="","",IFERROR(IF(MATCH(E421,[1]Instrumentos!$D:$D,0)&gt;0,1,0),0))</f>
        <v>1</v>
      </c>
      <c r="T421" s="5">
        <f>IF(E421="","",IFERROR(IF(MATCH(E421,'Lista de excepciones'!$E:$E,0)&gt;0,1,0),0))</f>
        <v>0</v>
      </c>
      <c r="U421" s="6" t="str">
        <f t="shared" si="7"/>
        <v>NO</v>
      </c>
    </row>
    <row r="422" spans="1:21" hidden="1" x14ac:dyDescent="0.25">
      <c r="A422" s="7" t="str">
        <f>IF('Port Bloomberg'!A422="","",'Port Bloomberg'!A422)</f>
        <v>SUAMSA 6.35 05/13/32</v>
      </c>
      <c r="B422" s="7" t="str">
        <f>IF('Port Bloomberg'!B422="","",'Port Bloomberg'!B422)</f>
        <v>SURA Asset Management SA</v>
      </c>
      <c r="C422" s="7" t="str">
        <f>IF('Port Bloomberg'!C422="","",'Port Bloomberg'!C422)</f>
        <v>SURA ASSET MGMT</v>
      </c>
      <c r="D422" s="7" t="str">
        <f>IF('Port Bloomberg'!D422="","",'Port Bloomberg'!D422)</f>
        <v>SURA ASSET MANAGEMENT</v>
      </c>
      <c r="E422" s="7" t="str">
        <f>IF('Port Bloomberg'!E422="","",'Port Bloomberg'!E422)</f>
        <v>USP8803LAB47</v>
      </c>
      <c r="F422" s="7" t="str">
        <f>IF('Port Bloomberg'!F422="","",'Port Bloomberg'!F422)</f>
        <v>SUAMSA</v>
      </c>
      <c r="G422" s="7" t="str">
        <f>IF('Port Bloomberg'!G422="","",'Port Bloomberg'!G422)</f>
        <v>0975403D CB</v>
      </c>
      <c r="H422" s="7" t="str">
        <f>IF('Port Bloomberg'!H422="","",'Port Bloomberg'!H422)</f>
        <v>Diversified Finan Serv</v>
      </c>
      <c r="I422" s="7" t="str">
        <f>IF('Port Bloomberg'!I422="","",'Port Bloomberg'!I422)</f>
        <v>FIN</v>
      </c>
      <c r="J422" s="7" t="str">
        <f>IF('Port Bloomberg'!J422="","",'Port Bloomberg'!J422)</f>
        <v>Invest Mgmnt/Advis Serv</v>
      </c>
      <c r="K422" s="7" t="str">
        <f>IF('Port Bloomberg'!K422="","",'Port Bloomberg'!K422)</f>
        <v>CO</v>
      </c>
      <c r="L422" s="7" t="str">
        <f>IF('Port Bloomberg'!L422="","",'Port Bloomberg'!L422)</f>
        <v>CO</v>
      </c>
      <c r="M422" s="7" t="str">
        <f>IF('Port Bloomberg'!M422="","",'Port Bloomberg'!M422)</f>
        <v>USD</v>
      </c>
      <c r="N422" s="7">
        <f>IF('Port Bloomberg'!N422="","",'Port Bloomberg'!N422)</f>
        <v>500000</v>
      </c>
      <c r="O422" s="7" t="str">
        <f>IF('Port Bloomberg'!O422="","",'Port Bloomberg'!O422)</f>
        <v>SINGLE</v>
      </c>
      <c r="P422" s="7">
        <f>IF('Port Bloomberg'!P422="","",'Port Bloomberg'!P422)</f>
        <v>6.35</v>
      </c>
      <c r="Q422" s="7" t="str">
        <f>IF('Port Bloomberg'!Q422="","",'Port Bloomberg'!Q422)</f>
        <v>BBB</v>
      </c>
      <c r="R422" s="7" t="str">
        <f>IF('Port Bloomberg'!R422="","",'Port Bloomberg'!R422)</f>
        <v>05/13/2032</v>
      </c>
      <c r="S422" s="5">
        <f>IF(E422="","",IFERROR(IF(MATCH(E422,[1]Instrumentos!$D:$D,0)&gt;0,1,0),0))</f>
        <v>1</v>
      </c>
      <c r="T422" s="5">
        <f>IF(E422="","",IFERROR(IF(MATCH(E422,'Lista de excepciones'!$E:$E,0)&gt;0,1,0),0))</f>
        <v>0</v>
      </c>
      <c r="U422" s="6" t="str">
        <f t="shared" si="7"/>
        <v>NO</v>
      </c>
    </row>
    <row r="423" spans="1:21" hidden="1" x14ac:dyDescent="0.25">
      <c r="A423" s="7" t="str">
        <f>IF('Port Bloomberg'!A423="","",'Port Bloomberg'!A423)</f>
        <v>SUZANO 2 ½ 09/15/28</v>
      </c>
      <c r="B423" s="7" t="str">
        <f>IF('Port Bloomberg'!B423="","",'Port Bloomberg'!B423)</f>
        <v>Suzano Austria GmbH</v>
      </c>
      <c r="C423" s="7" t="str">
        <f>IF('Port Bloomberg'!C423="","",'Port Bloomberg'!C423)</f>
        <v>SUZANO AUSTRIA</v>
      </c>
      <c r="D423" s="7" t="str">
        <f>IF('Port Bloomberg'!D423="","",'Port Bloomberg'!D423)</f>
        <v>SUZANO AUSTRIA GMBH</v>
      </c>
      <c r="E423" s="7" t="str">
        <f>IF('Port Bloomberg'!E423="","",'Port Bloomberg'!E423)</f>
        <v>US86964WAL63</v>
      </c>
      <c r="F423" s="7" t="str">
        <f>IF('Port Bloomberg'!F423="","",'Port Bloomberg'!F423)</f>
        <v>SUZANO</v>
      </c>
      <c r="G423" s="7" t="str">
        <f>IF('Port Bloomberg'!G423="","",'Port Bloomberg'!G423)</f>
        <v>SUZB3 BZ</v>
      </c>
      <c r="H423" s="7" t="str">
        <f>IF('Port Bloomberg'!H423="","",'Port Bloomberg'!H423)</f>
        <v>Forest Products&amp;Paper</v>
      </c>
      <c r="I423" s="7" t="str">
        <f>IF('Port Bloomberg'!I423="","",'Port Bloomberg'!I423)</f>
        <v>IND</v>
      </c>
      <c r="J423" s="7" t="str">
        <f>IF('Port Bloomberg'!J423="","",'Port Bloomberg'!J423)</f>
        <v>Paper&amp;Related Products</v>
      </c>
      <c r="K423" s="7" t="str">
        <f>IF('Port Bloomberg'!K423="","",'Port Bloomberg'!K423)</f>
        <v>BR</v>
      </c>
      <c r="L423" s="7" t="str">
        <f>IF('Port Bloomberg'!L423="","",'Port Bloomberg'!L423)</f>
        <v>BR</v>
      </c>
      <c r="M423" s="7" t="str">
        <f>IF('Port Bloomberg'!M423="","",'Port Bloomberg'!M423)</f>
        <v>USD</v>
      </c>
      <c r="N423" s="7">
        <f>IF('Port Bloomberg'!N423="","",'Port Bloomberg'!N423)</f>
        <v>500000</v>
      </c>
      <c r="O423" s="7" t="str">
        <f>IF('Port Bloomberg'!O423="","",'Port Bloomberg'!O423)</f>
        <v>SINGLE</v>
      </c>
      <c r="P423" s="7">
        <f>IF('Port Bloomberg'!P423="","",'Port Bloomberg'!P423)</f>
        <v>2.5</v>
      </c>
      <c r="Q423" s="7" t="str">
        <f>IF('Port Bloomberg'!Q423="","",'Port Bloomberg'!Q423)</f>
        <v>BBB-</v>
      </c>
      <c r="R423" s="7" t="str">
        <f>IF('Port Bloomberg'!R423="","",'Port Bloomberg'!R423)</f>
        <v>09/15/2028</v>
      </c>
      <c r="S423" s="5">
        <f>IF(E423="","",IFERROR(IF(MATCH(E423,[1]Instrumentos!$D:$D,0)&gt;0,1,0),0))</f>
        <v>0</v>
      </c>
      <c r="T423" s="5">
        <f>IF(E423="","",IFERROR(IF(MATCH(E423,'Lista de excepciones'!$E:$E,0)&gt;0,1,0),0))</f>
        <v>1</v>
      </c>
      <c r="U423" s="6" t="str">
        <f t="shared" si="7"/>
        <v>NO</v>
      </c>
    </row>
    <row r="424" spans="1:21" hidden="1" x14ac:dyDescent="0.25">
      <c r="A424" s="7" t="str">
        <f>IF('Port Bloomberg'!A424="","",'Port Bloomberg'!A424)</f>
        <v>SUZANO 3 ¾ 01/15/31</v>
      </c>
      <c r="B424" s="7" t="str">
        <f>IF('Port Bloomberg'!B424="","",'Port Bloomberg'!B424)</f>
        <v>Suzano Austria GmbH</v>
      </c>
      <c r="C424" s="7" t="str">
        <f>IF('Port Bloomberg'!C424="","",'Port Bloomberg'!C424)</f>
        <v>SUZANO AUSTRIA</v>
      </c>
      <c r="D424" s="7" t="str">
        <f>IF('Port Bloomberg'!D424="","",'Port Bloomberg'!D424)</f>
        <v>SUZANO AUSTRIA GMBH</v>
      </c>
      <c r="E424" s="7" t="str">
        <f>IF('Port Bloomberg'!E424="","",'Port Bloomberg'!E424)</f>
        <v>US86964WAJ18</v>
      </c>
      <c r="F424" s="7" t="str">
        <f>IF('Port Bloomberg'!F424="","",'Port Bloomberg'!F424)</f>
        <v>SUZANO</v>
      </c>
      <c r="G424" s="7" t="str">
        <f>IF('Port Bloomberg'!G424="","",'Port Bloomberg'!G424)</f>
        <v>SUZB3 BZ</v>
      </c>
      <c r="H424" s="7" t="str">
        <f>IF('Port Bloomberg'!H424="","",'Port Bloomberg'!H424)</f>
        <v>Forest Products&amp;Paper</v>
      </c>
      <c r="I424" s="7" t="str">
        <f>IF('Port Bloomberg'!I424="","",'Port Bloomberg'!I424)</f>
        <v>IND</v>
      </c>
      <c r="J424" s="7" t="str">
        <f>IF('Port Bloomberg'!J424="","",'Port Bloomberg'!J424)</f>
        <v>Paper&amp;Related Products</v>
      </c>
      <c r="K424" s="7" t="str">
        <f>IF('Port Bloomberg'!K424="","",'Port Bloomberg'!K424)</f>
        <v>BR</v>
      </c>
      <c r="L424" s="7" t="str">
        <f>IF('Port Bloomberg'!L424="","",'Port Bloomberg'!L424)</f>
        <v>BR</v>
      </c>
      <c r="M424" s="7" t="str">
        <f>IF('Port Bloomberg'!M424="","",'Port Bloomberg'!M424)</f>
        <v>USD</v>
      </c>
      <c r="N424" s="7">
        <f>IF('Port Bloomberg'!N424="","",'Port Bloomberg'!N424)</f>
        <v>1250000</v>
      </c>
      <c r="O424" s="7" t="str">
        <f>IF('Port Bloomberg'!O424="","",'Port Bloomberg'!O424)</f>
        <v>SINGLE</v>
      </c>
      <c r="P424" s="7">
        <f>IF('Port Bloomberg'!P424="","",'Port Bloomberg'!P424)</f>
        <v>4</v>
      </c>
      <c r="Q424" s="7" t="str">
        <f>IF('Port Bloomberg'!Q424="","",'Port Bloomberg'!Q424)</f>
        <v>BBB-</v>
      </c>
      <c r="R424" s="7" t="str">
        <f>IF('Port Bloomberg'!R424="","",'Port Bloomberg'!R424)</f>
        <v>01/15/2031</v>
      </c>
      <c r="S424" s="5">
        <f>IF(E424="","",IFERROR(IF(MATCH(E424,[1]Instrumentos!$D:$D,0)&gt;0,1,0),0))</f>
        <v>1</v>
      </c>
      <c r="T424" s="5">
        <f>IF(E424="","",IFERROR(IF(MATCH(E424,'Lista de excepciones'!$E:$E,0)&gt;0,1,0),0))</f>
        <v>0</v>
      </c>
      <c r="U424" s="6" t="str">
        <f t="shared" si="7"/>
        <v>NO</v>
      </c>
    </row>
    <row r="425" spans="1:21" hidden="1" x14ac:dyDescent="0.25">
      <c r="A425" s="7" t="str">
        <f>IF('Port Bloomberg'!A425="","",'Port Bloomberg'!A425)</f>
        <v>SUZANO 3 ⅛ 01/15/32</v>
      </c>
      <c r="B425" s="7" t="str">
        <f>IF('Port Bloomberg'!B425="","",'Port Bloomberg'!B425)</f>
        <v>Suzano Austria GmbH</v>
      </c>
      <c r="C425" s="7" t="str">
        <f>IF('Port Bloomberg'!C425="","",'Port Bloomberg'!C425)</f>
        <v>SUZANO AUSTRIA</v>
      </c>
      <c r="D425" s="7" t="str">
        <f>IF('Port Bloomberg'!D425="","",'Port Bloomberg'!D425)</f>
        <v>SUZANO AUSTRIA GMBH</v>
      </c>
      <c r="E425" s="7" t="str">
        <f>IF('Port Bloomberg'!E425="","",'Port Bloomberg'!E425)</f>
        <v>US86964WAK80</v>
      </c>
      <c r="F425" s="7" t="str">
        <f>IF('Port Bloomberg'!F425="","",'Port Bloomberg'!F425)</f>
        <v>SUZANO</v>
      </c>
      <c r="G425" s="7" t="str">
        <f>IF('Port Bloomberg'!G425="","",'Port Bloomberg'!G425)</f>
        <v>SUZB3 BZ</v>
      </c>
      <c r="H425" s="7" t="str">
        <f>IF('Port Bloomberg'!H425="","",'Port Bloomberg'!H425)</f>
        <v>Forest Products&amp;Paper</v>
      </c>
      <c r="I425" s="7" t="str">
        <f>IF('Port Bloomberg'!I425="","",'Port Bloomberg'!I425)</f>
        <v>IND</v>
      </c>
      <c r="J425" s="7" t="str">
        <f>IF('Port Bloomberg'!J425="","",'Port Bloomberg'!J425)</f>
        <v>Paper&amp;Related Products</v>
      </c>
      <c r="K425" s="7" t="str">
        <f>IF('Port Bloomberg'!K425="","",'Port Bloomberg'!K425)</f>
        <v>BR</v>
      </c>
      <c r="L425" s="7" t="str">
        <f>IF('Port Bloomberg'!L425="","",'Port Bloomberg'!L425)</f>
        <v>BR</v>
      </c>
      <c r="M425" s="7" t="str">
        <f>IF('Port Bloomberg'!M425="","",'Port Bloomberg'!M425)</f>
        <v>USD</v>
      </c>
      <c r="N425" s="7">
        <f>IF('Port Bloomberg'!N425="","",'Port Bloomberg'!N425)</f>
        <v>1000000</v>
      </c>
      <c r="O425" s="7" t="str">
        <f>IF('Port Bloomberg'!O425="","",'Port Bloomberg'!O425)</f>
        <v>SINGLE</v>
      </c>
      <c r="P425" s="7">
        <f>IF('Port Bloomberg'!P425="","",'Port Bloomberg'!P425)</f>
        <v>3.125</v>
      </c>
      <c r="Q425" s="7" t="str">
        <f>IF('Port Bloomberg'!Q425="","",'Port Bloomberg'!Q425)</f>
        <v>BBB-</v>
      </c>
      <c r="R425" s="7" t="str">
        <f>IF('Port Bloomberg'!R425="","",'Port Bloomberg'!R425)</f>
        <v>01/15/2032</v>
      </c>
      <c r="S425" s="5">
        <f>IF(E425="","",IFERROR(IF(MATCH(E425,[1]Instrumentos!$D:$D,0)&gt;0,1,0),0))</f>
        <v>1</v>
      </c>
      <c r="T425" s="5">
        <f>IF(E425="","",IFERROR(IF(MATCH(E425,'Lista de excepciones'!$E:$E,0)&gt;0,1,0),0))</f>
        <v>0</v>
      </c>
      <c r="U425" s="6" t="str">
        <f t="shared" si="7"/>
        <v>NO</v>
      </c>
    </row>
    <row r="426" spans="1:21" hidden="1" x14ac:dyDescent="0.25">
      <c r="A426" s="7" t="str">
        <f>IF('Port Bloomberg'!A426="","",'Port Bloomberg'!A426)</f>
        <v>SUZANO 5 01/15/30</v>
      </c>
      <c r="B426" s="7" t="str">
        <f>IF('Port Bloomberg'!B426="","",'Port Bloomberg'!B426)</f>
        <v>Suzano Austria GmbH</v>
      </c>
      <c r="C426" s="7" t="str">
        <f>IF('Port Bloomberg'!C426="","",'Port Bloomberg'!C426)</f>
        <v>SUZANO AUSTRIA</v>
      </c>
      <c r="D426" s="7" t="str">
        <f>IF('Port Bloomberg'!D426="","",'Port Bloomberg'!D426)</f>
        <v>SUZANO AUSTRIA GMBH</v>
      </c>
      <c r="E426" s="7" t="str">
        <f>IF('Port Bloomberg'!E426="","",'Port Bloomberg'!E426)</f>
        <v>USA8372TAK46</v>
      </c>
      <c r="F426" s="7" t="str">
        <f>IF('Port Bloomberg'!F426="","",'Port Bloomberg'!F426)</f>
        <v>SUZANO</v>
      </c>
      <c r="G426" s="7" t="str">
        <f>IF('Port Bloomberg'!G426="","",'Port Bloomberg'!G426)</f>
        <v>SUZB3 BZ</v>
      </c>
      <c r="H426" s="7" t="str">
        <f>IF('Port Bloomberg'!H426="","",'Port Bloomberg'!H426)</f>
        <v>Forest Products&amp;Paper</v>
      </c>
      <c r="I426" s="7" t="str">
        <f>IF('Port Bloomberg'!I426="","",'Port Bloomberg'!I426)</f>
        <v>IND</v>
      </c>
      <c r="J426" s="7" t="str">
        <f>IF('Port Bloomberg'!J426="","",'Port Bloomberg'!J426)</f>
        <v>Paper&amp;Related Products</v>
      </c>
      <c r="K426" s="7" t="str">
        <f>IF('Port Bloomberg'!K426="","",'Port Bloomberg'!K426)</f>
        <v>BR</v>
      </c>
      <c r="L426" s="7" t="str">
        <f>IF('Port Bloomberg'!L426="","",'Port Bloomberg'!L426)</f>
        <v>BR</v>
      </c>
      <c r="M426" s="7" t="str">
        <f>IF('Port Bloomberg'!M426="","",'Port Bloomberg'!M426)</f>
        <v>USD</v>
      </c>
      <c r="N426" s="7">
        <f>IF('Port Bloomberg'!N426="","",'Port Bloomberg'!N426)</f>
        <v>1000000</v>
      </c>
      <c r="O426" s="7" t="str">
        <f>IF('Port Bloomberg'!O426="","",'Port Bloomberg'!O426)</f>
        <v>SINGLE</v>
      </c>
      <c r="P426" s="7">
        <f>IF('Port Bloomberg'!P426="","",'Port Bloomberg'!P426)</f>
        <v>5</v>
      </c>
      <c r="Q426" s="7" t="str">
        <f>IF('Port Bloomberg'!Q426="","",'Port Bloomberg'!Q426)</f>
        <v>BBB-</v>
      </c>
      <c r="R426" s="7" t="str">
        <f>IF('Port Bloomberg'!R426="","",'Port Bloomberg'!R426)</f>
        <v>01/15/2030</v>
      </c>
      <c r="S426" s="5">
        <f>IF(E426="","",IFERROR(IF(MATCH(E426,[1]Instrumentos!$D:$D,0)&gt;0,1,0),0))</f>
        <v>1</v>
      </c>
      <c r="T426" s="5">
        <f>IF(E426="","",IFERROR(IF(MATCH(E426,'Lista de excepciones'!$E:$E,0)&gt;0,1,0),0))</f>
        <v>0</v>
      </c>
      <c r="U426" s="6" t="str">
        <f t="shared" si="7"/>
        <v>NO</v>
      </c>
    </row>
    <row r="427" spans="1:21" hidden="1" x14ac:dyDescent="0.25">
      <c r="A427" s="7" t="str">
        <f>IF('Port Bloomberg'!A427="","",'Port Bloomberg'!A427)</f>
        <v>SUZANO 5 01/15/30</v>
      </c>
      <c r="B427" s="7" t="str">
        <f>IF('Port Bloomberg'!B427="","",'Port Bloomberg'!B427)</f>
        <v>Suzano Austria GmbH</v>
      </c>
      <c r="C427" s="7" t="str">
        <f>IF('Port Bloomberg'!C427="","",'Port Bloomberg'!C427)</f>
        <v>SUZANO AUSTRIA</v>
      </c>
      <c r="D427" s="7" t="str">
        <f>IF('Port Bloomberg'!D427="","",'Port Bloomberg'!D427)</f>
        <v>SUZANO AUSTRIA GMBH</v>
      </c>
      <c r="E427" s="7" t="str">
        <f>IF('Port Bloomberg'!E427="","",'Port Bloomberg'!E427)</f>
        <v>US86964WAH51</v>
      </c>
      <c r="F427" s="7" t="str">
        <f>IF('Port Bloomberg'!F427="","",'Port Bloomberg'!F427)</f>
        <v>SUZANO</v>
      </c>
      <c r="G427" s="7" t="str">
        <f>IF('Port Bloomberg'!G427="","",'Port Bloomberg'!G427)</f>
        <v>SUZB3 BZ</v>
      </c>
      <c r="H427" s="7" t="str">
        <f>IF('Port Bloomberg'!H427="","",'Port Bloomberg'!H427)</f>
        <v>Forest Products&amp;Paper</v>
      </c>
      <c r="I427" s="7" t="str">
        <f>IF('Port Bloomberg'!I427="","",'Port Bloomberg'!I427)</f>
        <v>IND</v>
      </c>
      <c r="J427" s="7" t="str">
        <f>IF('Port Bloomberg'!J427="","",'Port Bloomberg'!J427)</f>
        <v>Paper&amp;Related Products</v>
      </c>
      <c r="K427" s="7" t="str">
        <f>IF('Port Bloomberg'!K427="","",'Port Bloomberg'!K427)</f>
        <v>BR</v>
      </c>
      <c r="L427" s="7" t="str">
        <f>IF('Port Bloomberg'!L427="","",'Port Bloomberg'!L427)</f>
        <v>BR</v>
      </c>
      <c r="M427" s="7" t="str">
        <f>IF('Port Bloomberg'!M427="","",'Port Bloomberg'!M427)</f>
        <v>USD</v>
      </c>
      <c r="N427" s="7">
        <f>IF('Port Bloomberg'!N427="","",'Port Bloomberg'!N427)</f>
        <v>999904</v>
      </c>
      <c r="O427" s="7" t="str">
        <f>IF('Port Bloomberg'!O427="","",'Port Bloomberg'!O427)</f>
        <v>SINGLE</v>
      </c>
      <c r="P427" s="7">
        <f>IF('Port Bloomberg'!P427="","",'Port Bloomberg'!P427)</f>
        <v>5</v>
      </c>
      <c r="Q427" s="7" t="str">
        <f>IF('Port Bloomberg'!Q427="","",'Port Bloomberg'!Q427)</f>
        <v>BBB-</v>
      </c>
      <c r="R427" s="7" t="str">
        <f>IF('Port Bloomberg'!R427="","",'Port Bloomberg'!R427)</f>
        <v>01/15/2030</v>
      </c>
      <c r="S427" s="5">
        <f>IF(E427="","",IFERROR(IF(MATCH(E427,[1]Instrumentos!$D:$D,0)&gt;0,1,0),0))</f>
        <v>1</v>
      </c>
      <c r="T427" s="5">
        <f>IF(E427="","",IFERROR(IF(MATCH(E427,'Lista de excepciones'!$E:$E,0)&gt;0,1,0),0))</f>
        <v>0</v>
      </c>
      <c r="U427" s="6" t="str">
        <f t="shared" si="7"/>
        <v>NO</v>
      </c>
    </row>
    <row r="428" spans="1:21" hidden="1" x14ac:dyDescent="0.25">
      <c r="A428" s="7" t="str">
        <f>IF('Port Bloomberg'!A428="","",'Port Bloomberg'!A428)</f>
        <v>SUZANO 5 ½ 01/15/36</v>
      </c>
      <c r="B428" s="7" t="str">
        <f>IF('Port Bloomberg'!B428="","",'Port Bloomberg'!B428)</f>
        <v>Suzano Netherlands BV</v>
      </c>
      <c r="C428" s="7" t="str">
        <f>IF('Port Bloomberg'!C428="","",'Port Bloomberg'!C428)</f>
        <v>SUZANO NETHERLAN</v>
      </c>
      <c r="D428" s="7" t="str">
        <f>IF('Port Bloomberg'!D428="","",'Port Bloomberg'!D428)</f>
        <v>SUZANO NETHERLANDS BV</v>
      </c>
      <c r="E428" s="7" t="str">
        <f>IF('Port Bloomberg'!E428="","",'Port Bloomberg'!E428)</f>
        <v>US86960YAA01</v>
      </c>
      <c r="F428" s="7" t="str">
        <f>IF('Port Bloomberg'!F428="","",'Port Bloomberg'!F428)</f>
        <v>SUZANO</v>
      </c>
      <c r="G428" s="7" t="str">
        <f>IF('Port Bloomberg'!G428="","",'Port Bloomberg'!G428)</f>
        <v>SUZB3 BZ</v>
      </c>
      <c r="H428" s="7" t="str">
        <f>IF('Port Bloomberg'!H428="","",'Port Bloomberg'!H428)</f>
        <v>Forest Products&amp;Paper</v>
      </c>
      <c r="I428" s="7" t="str">
        <f>IF('Port Bloomberg'!I428="","",'Port Bloomberg'!I428)</f>
        <v>IND</v>
      </c>
      <c r="J428" s="7" t="str">
        <f>IF('Port Bloomberg'!J428="","",'Port Bloomberg'!J428)</f>
        <v>Paper&amp;Related Products</v>
      </c>
      <c r="K428" s="7" t="str">
        <f>IF('Port Bloomberg'!K428="","",'Port Bloomberg'!K428)</f>
        <v>NL</v>
      </c>
      <c r="L428" s="7" t="str">
        <f>IF('Port Bloomberg'!L428="","",'Port Bloomberg'!L428)</f>
        <v>BR</v>
      </c>
      <c r="M428" s="7" t="str">
        <f>IF('Port Bloomberg'!M428="","",'Port Bloomberg'!M428)</f>
        <v>USD</v>
      </c>
      <c r="N428" s="7">
        <f>IF('Port Bloomberg'!N428="","",'Port Bloomberg'!N428)</f>
        <v>1000000</v>
      </c>
      <c r="O428" s="7" t="str">
        <f>IF('Port Bloomberg'!O428="","",'Port Bloomberg'!O428)</f>
        <v>SINGLE</v>
      </c>
      <c r="P428" s="7">
        <f>IF('Port Bloomberg'!P428="","",'Port Bloomberg'!P428)</f>
        <v>5.5</v>
      </c>
      <c r="Q428" s="7" t="str">
        <f>IF('Port Bloomberg'!Q428="","",'Port Bloomberg'!Q428)</f>
        <v>BBB-</v>
      </c>
      <c r="R428" s="7" t="str">
        <f>IF('Port Bloomberg'!R428="","",'Port Bloomberg'!R428)</f>
        <v>01/15/2036</v>
      </c>
      <c r="S428" s="5">
        <f>IF(E428="","",IFERROR(IF(MATCH(E428,[1]Instrumentos!$D:$D,0)&gt;0,1,0),0))</f>
        <v>1</v>
      </c>
      <c r="T428" s="5">
        <f>IF(E428="","",IFERROR(IF(MATCH(E428,'Lista de excepciones'!$E:$E,0)&gt;0,1,0),0))</f>
        <v>0</v>
      </c>
      <c r="U428" s="6" t="str">
        <f t="shared" si="7"/>
        <v>NO</v>
      </c>
    </row>
    <row r="429" spans="1:21" hidden="1" x14ac:dyDescent="0.25">
      <c r="A429" s="7" t="str">
        <f>IF('Port Bloomberg'!A429="","",'Port Bloomberg'!A429)</f>
        <v>SUZANO 6 01/15/29</v>
      </c>
      <c r="B429" s="7" t="str">
        <f>IF('Port Bloomberg'!B429="","",'Port Bloomberg'!B429)</f>
        <v>Suzano Austria GmbH</v>
      </c>
      <c r="C429" s="7" t="str">
        <f>IF('Port Bloomberg'!C429="","",'Port Bloomberg'!C429)</f>
        <v>SUZANO AUSTRIA</v>
      </c>
      <c r="D429" s="7" t="str">
        <f>IF('Port Bloomberg'!D429="","",'Port Bloomberg'!D429)</f>
        <v>SUZANO AUSTRIA GMBH</v>
      </c>
      <c r="E429" s="7" t="str">
        <f>IF('Port Bloomberg'!E429="","",'Port Bloomberg'!E429)</f>
        <v>US86964WAF95</v>
      </c>
      <c r="F429" s="7" t="str">
        <f>IF('Port Bloomberg'!F429="","",'Port Bloomberg'!F429)</f>
        <v>SUZANO</v>
      </c>
      <c r="G429" s="7" t="str">
        <f>IF('Port Bloomberg'!G429="","",'Port Bloomberg'!G429)</f>
        <v>SUZB3 BZ</v>
      </c>
      <c r="H429" s="7" t="str">
        <f>IF('Port Bloomberg'!H429="","",'Port Bloomberg'!H429)</f>
        <v>Forest Products&amp;Paper</v>
      </c>
      <c r="I429" s="7" t="str">
        <f>IF('Port Bloomberg'!I429="","",'Port Bloomberg'!I429)</f>
        <v>IND</v>
      </c>
      <c r="J429" s="7" t="str">
        <f>IF('Port Bloomberg'!J429="","",'Port Bloomberg'!J429)</f>
        <v>Paper&amp;Related Products</v>
      </c>
      <c r="K429" s="7" t="str">
        <f>IF('Port Bloomberg'!K429="","",'Port Bloomberg'!K429)</f>
        <v>BR</v>
      </c>
      <c r="L429" s="7" t="str">
        <f>IF('Port Bloomberg'!L429="","",'Port Bloomberg'!L429)</f>
        <v>BR</v>
      </c>
      <c r="M429" s="7" t="str">
        <f>IF('Port Bloomberg'!M429="","",'Port Bloomberg'!M429)</f>
        <v>USD</v>
      </c>
      <c r="N429" s="7">
        <f>IF('Port Bloomberg'!N429="","",'Port Bloomberg'!N429)</f>
        <v>1748160</v>
      </c>
      <c r="O429" s="7" t="str">
        <f>IF('Port Bloomberg'!O429="","",'Port Bloomberg'!O429)</f>
        <v>SINGLE</v>
      </c>
      <c r="P429" s="7">
        <f>IF('Port Bloomberg'!P429="","",'Port Bloomberg'!P429)</f>
        <v>6</v>
      </c>
      <c r="Q429" s="7" t="str">
        <f>IF('Port Bloomberg'!Q429="","",'Port Bloomberg'!Q429)</f>
        <v>BBB-</v>
      </c>
      <c r="R429" s="7" t="str">
        <f>IF('Port Bloomberg'!R429="","",'Port Bloomberg'!R429)</f>
        <v>01/15/2029</v>
      </c>
      <c r="S429" s="5">
        <f>IF(E429="","",IFERROR(IF(MATCH(E429,[1]Instrumentos!$D:$D,0)&gt;0,1,0),0))</f>
        <v>1</v>
      </c>
      <c r="T429" s="5">
        <f>IF(E429="","",IFERROR(IF(MATCH(E429,'Lista de excepciones'!$E:$E,0)&gt;0,1,0),0))</f>
        <v>0</v>
      </c>
      <c r="U429" s="6" t="str">
        <f t="shared" si="7"/>
        <v>NO</v>
      </c>
    </row>
    <row r="430" spans="1:21" hidden="1" x14ac:dyDescent="0.25">
      <c r="A430" s="7" t="str">
        <f>IF('Port Bloomberg'!A430="","",'Port Bloomberg'!A430)</f>
        <v>SUZANO 6 01/15/29</v>
      </c>
      <c r="B430" s="7" t="str">
        <f>IF('Port Bloomberg'!B430="","",'Port Bloomberg'!B430)</f>
        <v>Suzano Austria GmbH</v>
      </c>
      <c r="C430" s="7" t="str">
        <f>IF('Port Bloomberg'!C430="","",'Port Bloomberg'!C430)</f>
        <v>SUZANO AUSTRIA</v>
      </c>
      <c r="D430" s="7" t="str">
        <f>IF('Port Bloomberg'!D430="","",'Port Bloomberg'!D430)</f>
        <v>SUZANO AUSTRIA GMBH</v>
      </c>
      <c r="E430" s="7" t="str">
        <f>IF('Port Bloomberg'!E430="","",'Port Bloomberg'!E430)</f>
        <v>USA8372TAF50</v>
      </c>
      <c r="F430" s="7" t="str">
        <f>IF('Port Bloomberg'!F430="","",'Port Bloomberg'!F430)</f>
        <v>SUZANO</v>
      </c>
      <c r="G430" s="7" t="str">
        <f>IF('Port Bloomberg'!G430="","",'Port Bloomberg'!G430)</f>
        <v>SUZB3 BZ</v>
      </c>
      <c r="H430" s="7" t="str">
        <f>IF('Port Bloomberg'!H430="","",'Port Bloomberg'!H430)</f>
        <v>Forest Products&amp;Paper</v>
      </c>
      <c r="I430" s="7" t="str">
        <f>IF('Port Bloomberg'!I430="","",'Port Bloomberg'!I430)</f>
        <v>IND</v>
      </c>
      <c r="J430" s="7" t="str">
        <f>IF('Port Bloomberg'!J430="","",'Port Bloomberg'!J430)</f>
        <v>Paper&amp;Related Products</v>
      </c>
      <c r="K430" s="7" t="str">
        <f>IF('Port Bloomberg'!K430="","",'Port Bloomberg'!K430)</f>
        <v>BR</v>
      </c>
      <c r="L430" s="7" t="str">
        <f>IF('Port Bloomberg'!L430="","",'Port Bloomberg'!L430)</f>
        <v>BR</v>
      </c>
      <c r="M430" s="7" t="str">
        <f>IF('Port Bloomberg'!M430="","",'Port Bloomberg'!M430)</f>
        <v>USD</v>
      </c>
      <c r="N430" s="7">
        <f>IF('Port Bloomberg'!N430="","",'Port Bloomberg'!N430)</f>
        <v>1750000</v>
      </c>
      <c r="O430" s="7" t="str">
        <f>IF('Port Bloomberg'!O430="","",'Port Bloomberg'!O430)</f>
        <v>SINGLE</v>
      </c>
      <c r="P430" s="7">
        <f>IF('Port Bloomberg'!P430="","",'Port Bloomberg'!P430)</f>
        <v>6</v>
      </c>
      <c r="Q430" s="7" t="str">
        <f>IF('Port Bloomberg'!Q430="","",'Port Bloomberg'!Q430)</f>
        <v>BBB-</v>
      </c>
      <c r="R430" s="7" t="str">
        <f>IF('Port Bloomberg'!R430="","",'Port Bloomberg'!R430)</f>
        <v>01/15/2029</v>
      </c>
      <c r="S430" s="5">
        <f>IF(E430="","",IFERROR(IF(MATCH(E430,[1]Instrumentos!$D:$D,0)&gt;0,1,0),0))</f>
        <v>1</v>
      </c>
      <c r="T430" s="5">
        <f>IF(E430="","",IFERROR(IF(MATCH(E430,'Lista de excepciones'!$E:$E,0)&gt;0,1,0),0))</f>
        <v>0</v>
      </c>
      <c r="U430" s="6" t="str">
        <f t="shared" si="7"/>
        <v>NO</v>
      </c>
    </row>
    <row r="431" spans="1:21" hidden="1" x14ac:dyDescent="0.25">
      <c r="A431" s="7" t="str">
        <f>IF('Port Bloomberg'!A431="","",'Port Bloomberg'!A431)</f>
        <v>SUZANO 7 03/16/47</v>
      </c>
      <c r="B431" s="7" t="str">
        <f>IF('Port Bloomberg'!B431="","",'Port Bloomberg'!B431)</f>
        <v>Suzano Austria GmbH</v>
      </c>
      <c r="C431" s="7" t="str">
        <f>IF('Port Bloomberg'!C431="","",'Port Bloomberg'!C431)</f>
        <v>SUZANO AUSTRIA</v>
      </c>
      <c r="D431" s="7" t="str">
        <f>IF('Port Bloomberg'!D431="","",'Port Bloomberg'!D431)</f>
        <v>SUZANO AUSTRIA GMBH</v>
      </c>
      <c r="E431" s="7" t="str">
        <f>IF('Port Bloomberg'!E431="","",'Port Bloomberg'!E431)</f>
        <v>USA8372TAC20</v>
      </c>
      <c r="F431" s="7" t="str">
        <f>IF('Port Bloomberg'!F431="","",'Port Bloomberg'!F431)</f>
        <v>SUZANO</v>
      </c>
      <c r="G431" s="7" t="str">
        <f>IF('Port Bloomberg'!G431="","",'Port Bloomberg'!G431)</f>
        <v>SUZB3 BZ</v>
      </c>
      <c r="H431" s="7" t="str">
        <f>IF('Port Bloomberg'!H431="","",'Port Bloomberg'!H431)</f>
        <v>Forest Products&amp;Paper</v>
      </c>
      <c r="I431" s="7" t="str">
        <f>IF('Port Bloomberg'!I431="","",'Port Bloomberg'!I431)</f>
        <v>IND</v>
      </c>
      <c r="J431" s="7" t="str">
        <f>IF('Port Bloomberg'!J431="","",'Port Bloomberg'!J431)</f>
        <v>Paper&amp;Related Products</v>
      </c>
      <c r="K431" s="7" t="str">
        <f>IF('Port Bloomberg'!K431="","",'Port Bloomberg'!K431)</f>
        <v>BR</v>
      </c>
      <c r="L431" s="7" t="str">
        <f>IF('Port Bloomberg'!L431="","",'Port Bloomberg'!L431)</f>
        <v>BR</v>
      </c>
      <c r="M431" s="7" t="str">
        <f>IF('Port Bloomberg'!M431="","",'Port Bloomberg'!M431)</f>
        <v>USD</v>
      </c>
      <c r="N431" s="7">
        <f>IF('Port Bloomberg'!N431="","",'Port Bloomberg'!N431)</f>
        <v>1250000</v>
      </c>
      <c r="O431" s="7" t="str">
        <f>IF('Port Bloomberg'!O431="","",'Port Bloomberg'!O431)</f>
        <v>SINGLE</v>
      </c>
      <c r="P431" s="7">
        <f>IF('Port Bloomberg'!P431="","",'Port Bloomberg'!P431)</f>
        <v>7</v>
      </c>
      <c r="Q431" s="7" t="str">
        <f>IF('Port Bloomberg'!Q431="","",'Port Bloomberg'!Q431)</f>
        <v>BBB-</v>
      </c>
      <c r="R431" s="7" t="str">
        <f>IF('Port Bloomberg'!R431="","",'Port Bloomberg'!R431)</f>
        <v>03/16/2047</v>
      </c>
      <c r="S431" s="5">
        <f>IF(E431="","",IFERROR(IF(MATCH(E431,[1]Instrumentos!$D:$D,0)&gt;0,1,0),0))</f>
        <v>1</v>
      </c>
      <c r="T431" s="5">
        <f>IF(E431="","",IFERROR(IF(MATCH(E431,'Lista de excepciones'!$E:$E,0)&gt;0,1,0),0))</f>
        <v>0</v>
      </c>
      <c r="U431" s="6" t="str">
        <f t="shared" si="7"/>
        <v>NO</v>
      </c>
    </row>
    <row r="432" spans="1:21" hidden="1" x14ac:dyDescent="0.25">
      <c r="A432" s="7" t="str">
        <f>IF('Port Bloomberg'!A432="","",'Port Bloomberg'!A432)</f>
        <v>TELVIS 5 05/13/45</v>
      </c>
      <c r="B432" s="7" t="str">
        <f>IF('Port Bloomberg'!B432="","",'Port Bloomberg'!B432)</f>
        <v>Grupo Televisa SAB</v>
      </c>
      <c r="C432" s="7" t="str">
        <f>IF('Port Bloomberg'!C432="","",'Port Bloomberg'!C432)</f>
        <v>GRUPO TELEVISA</v>
      </c>
      <c r="D432" s="7" t="str">
        <f>IF('Port Bloomberg'!D432="","",'Port Bloomberg'!D432)</f>
        <v>GRUPO TELEVISA SAB</v>
      </c>
      <c r="E432" s="7" t="str">
        <f>IF('Port Bloomberg'!E432="","",'Port Bloomberg'!E432)</f>
        <v>US40049JBA43</v>
      </c>
      <c r="F432" s="7" t="str">
        <f>IF('Port Bloomberg'!F432="","",'Port Bloomberg'!F432)</f>
        <v>TELVIS</v>
      </c>
      <c r="G432" s="7" t="str">
        <f>IF('Port Bloomberg'!G432="","",'Port Bloomberg'!G432)</f>
        <v>TLEVICPO MM</v>
      </c>
      <c r="H432" s="7" t="str">
        <f>IF('Port Bloomberg'!H432="","",'Port Bloomberg'!H432)</f>
        <v>Media</v>
      </c>
      <c r="I432" s="7" t="str">
        <f>IF('Port Bloomberg'!I432="","",'Port Bloomberg'!I432)</f>
        <v>IND</v>
      </c>
      <c r="J432" s="7" t="str">
        <f>IF('Port Bloomberg'!J432="","",'Port Bloomberg'!J432)</f>
        <v>Cable/Satellite TV</v>
      </c>
      <c r="K432" s="7" t="str">
        <f>IF('Port Bloomberg'!K432="","",'Port Bloomberg'!K432)</f>
        <v>MX</v>
      </c>
      <c r="L432" s="7" t="str">
        <f>IF('Port Bloomberg'!L432="","",'Port Bloomberg'!L432)</f>
        <v>MX</v>
      </c>
      <c r="M432" s="7" t="str">
        <f>IF('Port Bloomberg'!M432="","",'Port Bloomberg'!M432)</f>
        <v>USD</v>
      </c>
      <c r="N432" s="7">
        <f>IF('Port Bloomberg'!N432="","",'Port Bloomberg'!N432)</f>
        <v>1000000</v>
      </c>
      <c r="O432" s="7" t="str">
        <f>IF('Port Bloomberg'!O432="","",'Port Bloomberg'!O432)</f>
        <v>SINGLE</v>
      </c>
      <c r="P432" s="7">
        <f>IF('Port Bloomberg'!P432="","",'Port Bloomberg'!P432)</f>
        <v>5</v>
      </c>
      <c r="Q432" s="7" t="str">
        <f>IF('Port Bloomberg'!Q432="","",'Port Bloomberg'!Q432)</f>
        <v>BB+</v>
      </c>
      <c r="R432" s="7" t="str">
        <f>IF('Port Bloomberg'!R432="","",'Port Bloomberg'!R432)</f>
        <v>05/13/2045</v>
      </c>
      <c r="S432" s="5">
        <f>IF(E432="","",IFERROR(IF(MATCH(E432,[1]Instrumentos!$D:$D,0)&gt;0,1,0),0))</f>
        <v>1</v>
      </c>
      <c r="T432" s="5">
        <f>IF(E432="","",IFERROR(IF(MATCH(E432,'Lista de excepciones'!$E:$E,0)&gt;0,1,0),0))</f>
        <v>0</v>
      </c>
      <c r="U432" s="6" t="str">
        <f t="shared" si="7"/>
        <v>NO</v>
      </c>
    </row>
    <row r="433" spans="1:21" hidden="1" x14ac:dyDescent="0.25">
      <c r="A433" s="7" t="str">
        <f>IF('Port Bloomberg'!A433="","",'Port Bloomberg'!A433)</f>
        <v>TELVIS 5 ¼ 05/24/49</v>
      </c>
      <c r="B433" s="7" t="str">
        <f>IF('Port Bloomberg'!B433="","",'Port Bloomberg'!B433)</f>
        <v>Grupo Televisa SAB</v>
      </c>
      <c r="C433" s="7" t="str">
        <f>IF('Port Bloomberg'!C433="","",'Port Bloomberg'!C433)</f>
        <v>GRUPO TELEVISA</v>
      </c>
      <c r="D433" s="7" t="str">
        <f>IF('Port Bloomberg'!D433="","",'Port Bloomberg'!D433)</f>
        <v>GRUPO TELEVISA SAB</v>
      </c>
      <c r="E433" s="7" t="str">
        <f>IF('Port Bloomberg'!E433="","",'Port Bloomberg'!E433)</f>
        <v>US40049JBE64</v>
      </c>
      <c r="F433" s="7" t="str">
        <f>IF('Port Bloomberg'!F433="","",'Port Bloomberg'!F433)</f>
        <v>TELVIS</v>
      </c>
      <c r="G433" s="7" t="str">
        <f>IF('Port Bloomberg'!G433="","",'Port Bloomberg'!G433)</f>
        <v>TLEVICPO MM</v>
      </c>
      <c r="H433" s="7" t="str">
        <f>IF('Port Bloomberg'!H433="","",'Port Bloomberg'!H433)</f>
        <v>Media</v>
      </c>
      <c r="I433" s="7" t="str">
        <f>IF('Port Bloomberg'!I433="","",'Port Bloomberg'!I433)</f>
        <v>IND</v>
      </c>
      <c r="J433" s="7" t="str">
        <f>IF('Port Bloomberg'!J433="","",'Port Bloomberg'!J433)</f>
        <v>Cable/Satellite TV</v>
      </c>
      <c r="K433" s="7" t="str">
        <f>IF('Port Bloomberg'!K433="","",'Port Bloomberg'!K433)</f>
        <v>MX</v>
      </c>
      <c r="L433" s="7" t="str">
        <f>IF('Port Bloomberg'!L433="","",'Port Bloomberg'!L433)</f>
        <v>MX</v>
      </c>
      <c r="M433" s="7" t="str">
        <f>IF('Port Bloomberg'!M433="","",'Port Bloomberg'!M433)</f>
        <v>USD</v>
      </c>
      <c r="N433" s="7">
        <f>IF('Port Bloomberg'!N433="","",'Port Bloomberg'!N433)</f>
        <v>750000</v>
      </c>
      <c r="O433" s="7" t="str">
        <f>IF('Port Bloomberg'!O433="","",'Port Bloomberg'!O433)</f>
        <v>SINGLE</v>
      </c>
      <c r="P433" s="7">
        <f>IF('Port Bloomberg'!P433="","",'Port Bloomberg'!P433)</f>
        <v>5.25</v>
      </c>
      <c r="Q433" s="7" t="str">
        <f>IF('Port Bloomberg'!Q433="","",'Port Bloomberg'!Q433)</f>
        <v>BB+</v>
      </c>
      <c r="R433" s="7" t="str">
        <f>IF('Port Bloomberg'!R433="","",'Port Bloomberg'!R433)</f>
        <v>05/24/2049</v>
      </c>
      <c r="S433" s="5">
        <f>IF(E433="","",IFERROR(IF(MATCH(E433,[1]Instrumentos!$D:$D,0)&gt;0,1,0),0))</f>
        <v>1</v>
      </c>
      <c r="T433" s="5">
        <f>IF(E433="","",IFERROR(IF(MATCH(E433,'Lista de excepciones'!$E:$E,0)&gt;0,1,0),0))</f>
        <v>0</v>
      </c>
      <c r="U433" s="6" t="str">
        <f t="shared" si="7"/>
        <v>NO</v>
      </c>
    </row>
    <row r="434" spans="1:21" hidden="1" x14ac:dyDescent="0.25">
      <c r="A434" s="7" t="str">
        <f>IF('Port Bloomberg'!A434="","",'Port Bloomberg'!A434)</f>
        <v>TELVIS 6 ⅛ 01/31/46</v>
      </c>
      <c r="B434" s="7" t="str">
        <f>IF('Port Bloomberg'!B434="","",'Port Bloomberg'!B434)</f>
        <v>Grupo Televisa SAB</v>
      </c>
      <c r="C434" s="7" t="str">
        <f>IF('Port Bloomberg'!C434="","",'Port Bloomberg'!C434)</f>
        <v>GRUPO TELEVISA</v>
      </c>
      <c r="D434" s="7" t="str">
        <f>IF('Port Bloomberg'!D434="","",'Port Bloomberg'!D434)</f>
        <v>GRUPO TELEVISA SAB</v>
      </c>
      <c r="E434" s="7" t="str">
        <f>IF('Port Bloomberg'!E434="","",'Port Bloomberg'!E434)</f>
        <v>US40049JBC09</v>
      </c>
      <c r="F434" s="7" t="str">
        <f>IF('Port Bloomberg'!F434="","",'Port Bloomberg'!F434)</f>
        <v>TELVIS</v>
      </c>
      <c r="G434" s="7" t="str">
        <f>IF('Port Bloomberg'!G434="","",'Port Bloomberg'!G434)</f>
        <v>TLEVICPO MM</v>
      </c>
      <c r="H434" s="7" t="str">
        <f>IF('Port Bloomberg'!H434="","",'Port Bloomberg'!H434)</f>
        <v>Media</v>
      </c>
      <c r="I434" s="7" t="str">
        <f>IF('Port Bloomberg'!I434="","",'Port Bloomberg'!I434)</f>
        <v>IND</v>
      </c>
      <c r="J434" s="7" t="str">
        <f>IF('Port Bloomberg'!J434="","",'Port Bloomberg'!J434)</f>
        <v>Cable/Satellite TV</v>
      </c>
      <c r="K434" s="7" t="str">
        <f>IF('Port Bloomberg'!K434="","",'Port Bloomberg'!K434)</f>
        <v>MX</v>
      </c>
      <c r="L434" s="7" t="str">
        <f>IF('Port Bloomberg'!L434="","",'Port Bloomberg'!L434)</f>
        <v>MX</v>
      </c>
      <c r="M434" s="7" t="str">
        <f>IF('Port Bloomberg'!M434="","",'Port Bloomberg'!M434)</f>
        <v>USD</v>
      </c>
      <c r="N434" s="7">
        <f>IF('Port Bloomberg'!N434="","",'Port Bloomberg'!N434)</f>
        <v>900000</v>
      </c>
      <c r="O434" s="7" t="str">
        <f>IF('Port Bloomberg'!O434="","",'Port Bloomberg'!O434)</f>
        <v>SINGLE</v>
      </c>
      <c r="P434" s="7">
        <f>IF('Port Bloomberg'!P434="","",'Port Bloomberg'!P434)</f>
        <v>6.125</v>
      </c>
      <c r="Q434" s="7" t="str">
        <f>IF('Port Bloomberg'!Q434="","",'Port Bloomberg'!Q434)</f>
        <v>BB+</v>
      </c>
      <c r="R434" s="7" t="str">
        <f>IF('Port Bloomberg'!R434="","",'Port Bloomberg'!R434)</f>
        <v>01/31/2046</v>
      </c>
      <c r="S434" s="5">
        <f>IF(E434="","",IFERROR(IF(MATCH(E434,[1]Instrumentos!$D:$D,0)&gt;0,1,0),0))</f>
        <v>1</v>
      </c>
      <c r="T434" s="5">
        <f>IF(E434="","",IFERROR(IF(MATCH(E434,'Lista de excepciones'!$E:$E,0)&gt;0,1,0),0))</f>
        <v>0</v>
      </c>
      <c r="U434" s="6" t="str">
        <f t="shared" si="7"/>
        <v>NO</v>
      </c>
    </row>
    <row r="435" spans="1:21" hidden="1" x14ac:dyDescent="0.25">
      <c r="A435" s="7" t="str">
        <f>IF('Port Bloomberg'!A435="","",'Port Bloomberg'!A435)</f>
        <v>TELVIS 6 ⅝ 01/15/40</v>
      </c>
      <c r="B435" s="7" t="str">
        <f>IF('Port Bloomberg'!B435="","",'Port Bloomberg'!B435)</f>
        <v>Grupo Televisa SAB</v>
      </c>
      <c r="C435" s="7" t="str">
        <f>IF('Port Bloomberg'!C435="","",'Port Bloomberg'!C435)</f>
        <v>GRUPO TELEVISA</v>
      </c>
      <c r="D435" s="7" t="str">
        <f>IF('Port Bloomberg'!D435="","",'Port Bloomberg'!D435)</f>
        <v>GRUPO TELEVISA SAB</v>
      </c>
      <c r="E435" s="7" t="str">
        <f>IF('Port Bloomberg'!E435="","",'Port Bloomberg'!E435)</f>
        <v>US40049JAZ03</v>
      </c>
      <c r="F435" s="7" t="str">
        <f>IF('Port Bloomberg'!F435="","",'Port Bloomberg'!F435)</f>
        <v>TELVIS</v>
      </c>
      <c r="G435" s="7" t="str">
        <f>IF('Port Bloomberg'!G435="","",'Port Bloomberg'!G435)</f>
        <v>TLEVICPO MM</v>
      </c>
      <c r="H435" s="7" t="str">
        <f>IF('Port Bloomberg'!H435="","",'Port Bloomberg'!H435)</f>
        <v>Media</v>
      </c>
      <c r="I435" s="7" t="str">
        <f>IF('Port Bloomberg'!I435="","",'Port Bloomberg'!I435)</f>
        <v>IND</v>
      </c>
      <c r="J435" s="7" t="str">
        <f>IF('Port Bloomberg'!J435="","",'Port Bloomberg'!J435)</f>
        <v>Cable/Satellite TV</v>
      </c>
      <c r="K435" s="7" t="str">
        <f>IF('Port Bloomberg'!K435="","",'Port Bloomberg'!K435)</f>
        <v>MX</v>
      </c>
      <c r="L435" s="7" t="str">
        <f>IF('Port Bloomberg'!L435="","",'Port Bloomberg'!L435)</f>
        <v>MX</v>
      </c>
      <c r="M435" s="7" t="str">
        <f>IF('Port Bloomberg'!M435="","",'Port Bloomberg'!M435)</f>
        <v>USD</v>
      </c>
      <c r="N435" s="7">
        <f>IF('Port Bloomberg'!N435="","",'Port Bloomberg'!N435)</f>
        <v>599500</v>
      </c>
      <c r="O435" s="7" t="str">
        <f>IF('Port Bloomberg'!O435="","",'Port Bloomberg'!O435)</f>
        <v>SINGLE</v>
      </c>
      <c r="P435" s="7">
        <f>IF('Port Bloomberg'!P435="","",'Port Bloomberg'!P435)</f>
        <v>6.625</v>
      </c>
      <c r="Q435" s="7" t="str">
        <f>IF('Port Bloomberg'!Q435="","",'Port Bloomberg'!Q435)</f>
        <v>BB+</v>
      </c>
      <c r="R435" s="7" t="str">
        <f>IF('Port Bloomberg'!R435="","",'Port Bloomberg'!R435)</f>
        <v>01/15/2040</v>
      </c>
      <c r="S435" s="5">
        <f>IF(E435="","",IFERROR(IF(MATCH(E435,[1]Instrumentos!$D:$D,0)&gt;0,1,0),0))</f>
        <v>1</v>
      </c>
      <c r="T435" s="5">
        <f>IF(E435="","",IFERROR(IF(MATCH(E435,'Lista de excepciones'!$E:$E,0)&gt;0,1,0),0))</f>
        <v>0</v>
      </c>
      <c r="U435" s="6" t="str">
        <f t="shared" si="7"/>
        <v>NO</v>
      </c>
    </row>
    <row r="436" spans="1:21" hidden="1" x14ac:dyDescent="0.25">
      <c r="A436" s="7" t="str">
        <f>IF('Port Bloomberg'!A436="","",'Port Bloomberg'!A436)</f>
        <v>TELVIS 6 ⅝ 01/15/40</v>
      </c>
      <c r="B436" s="7" t="str">
        <f>IF('Port Bloomberg'!B436="","",'Port Bloomberg'!B436)</f>
        <v>Grupo Televisa SAB</v>
      </c>
      <c r="C436" s="7" t="str">
        <f>IF('Port Bloomberg'!C436="","",'Port Bloomberg'!C436)</f>
        <v>GRUPO TELEVISA</v>
      </c>
      <c r="D436" s="7" t="str">
        <f>IF('Port Bloomberg'!D436="","",'Port Bloomberg'!D436)</f>
        <v>GRUPO TELEVISA SAB</v>
      </c>
      <c r="E436" s="7" t="str">
        <f>IF('Port Bloomberg'!E436="","",'Port Bloomberg'!E436)</f>
        <v>USP4987VAS27</v>
      </c>
      <c r="F436" s="7" t="str">
        <f>IF('Port Bloomberg'!F436="","",'Port Bloomberg'!F436)</f>
        <v>TELVIS</v>
      </c>
      <c r="G436" s="7" t="str">
        <f>IF('Port Bloomberg'!G436="","",'Port Bloomberg'!G436)</f>
        <v>TLEVICPO MM</v>
      </c>
      <c r="H436" s="7" t="str">
        <f>IF('Port Bloomberg'!H436="","",'Port Bloomberg'!H436)</f>
        <v>Media</v>
      </c>
      <c r="I436" s="7" t="str">
        <f>IF('Port Bloomberg'!I436="","",'Port Bloomberg'!I436)</f>
        <v>IND</v>
      </c>
      <c r="J436" s="7" t="str">
        <f>IF('Port Bloomberg'!J436="","",'Port Bloomberg'!J436)</f>
        <v>Cable/Satellite TV</v>
      </c>
      <c r="K436" s="7" t="str">
        <f>IF('Port Bloomberg'!K436="","",'Port Bloomberg'!K436)</f>
        <v>MX</v>
      </c>
      <c r="L436" s="7" t="str">
        <f>IF('Port Bloomberg'!L436="","",'Port Bloomberg'!L436)</f>
        <v>MX</v>
      </c>
      <c r="M436" s="7" t="str">
        <f>IF('Port Bloomberg'!M436="","",'Port Bloomberg'!M436)</f>
        <v>USD</v>
      </c>
      <c r="N436" s="7">
        <f>IF('Port Bloomberg'!N436="","",'Port Bloomberg'!N436)</f>
        <v>600000</v>
      </c>
      <c r="O436" s="7" t="str">
        <f>IF('Port Bloomberg'!O436="","",'Port Bloomberg'!O436)</f>
        <v>SINGLE</v>
      </c>
      <c r="P436" s="7">
        <f>IF('Port Bloomberg'!P436="","",'Port Bloomberg'!P436)</f>
        <v>6.625</v>
      </c>
      <c r="Q436" s="7" t="str">
        <f>IF('Port Bloomberg'!Q436="","",'Port Bloomberg'!Q436)</f>
        <v>BB+</v>
      </c>
      <c r="R436" s="7" t="str">
        <f>IF('Port Bloomberg'!R436="","",'Port Bloomberg'!R436)</f>
        <v>01/15/2040</v>
      </c>
      <c r="S436" s="5">
        <f>IF(E436="","",IFERROR(IF(MATCH(E436,[1]Instrumentos!$D:$D,0)&gt;0,1,0),0))</f>
        <v>0</v>
      </c>
      <c r="T436" s="5">
        <f>IF(E436="","",IFERROR(IF(MATCH(E436,'Lista de excepciones'!$E:$E,0)&gt;0,1,0),0))</f>
        <v>1</v>
      </c>
      <c r="U436" s="6" t="str">
        <f t="shared" si="7"/>
        <v>NO</v>
      </c>
    </row>
    <row r="437" spans="1:21" hidden="1" x14ac:dyDescent="0.25">
      <c r="A437" s="7" t="str">
        <f>IF('Port Bloomberg'!A437="","",'Port Bloomberg'!A437)</f>
        <v>TELVIS 8 ½ 03/11/32</v>
      </c>
      <c r="B437" s="7" t="str">
        <f>IF('Port Bloomberg'!B437="","",'Port Bloomberg'!B437)</f>
        <v>Grupo Televisa SAB</v>
      </c>
      <c r="C437" s="7" t="str">
        <f>IF('Port Bloomberg'!C437="","",'Port Bloomberg'!C437)</f>
        <v>GRUPO TELEVISA</v>
      </c>
      <c r="D437" s="7" t="str">
        <f>IF('Port Bloomberg'!D437="","",'Port Bloomberg'!D437)</f>
        <v>GRUPO TELEVISA SAB</v>
      </c>
      <c r="E437" s="7" t="str">
        <f>IF('Port Bloomberg'!E437="","",'Port Bloomberg'!E437)</f>
        <v>US40049JAT43</v>
      </c>
      <c r="F437" s="7" t="str">
        <f>IF('Port Bloomberg'!F437="","",'Port Bloomberg'!F437)</f>
        <v>TELVIS</v>
      </c>
      <c r="G437" s="7" t="str">
        <f>IF('Port Bloomberg'!G437="","",'Port Bloomberg'!G437)</f>
        <v>TLEVICPO MM</v>
      </c>
      <c r="H437" s="7" t="str">
        <f>IF('Port Bloomberg'!H437="","",'Port Bloomberg'!H437)</f>
        <v>Media</v>
      </c>
      <c r="I437" s="7" t="str">
        <f>IF('Port Bloomberg'!I437="","",'Port Bloomberg'!I437)</f>
        <v>IND</v>
      </c>
      <c r="J437" s="7" t="str">
        <f>IF('Port Bloomberg'!J437="","",'Port Bloomberg'!J437)</f>
        <v>Cable/Satellite TV</v>
      </c>
      <c r="K437" s="7" t="str">
        <f>IF('Port Bloomberg'!K437="","",'Port Bloomberg'!K437)</f>
        <v>MX</v>
      </c>
      <c r="L437" s="7" t="str">
        <f>IF('Port Bloomberg'!L437="","",'Port Bloomberg'!L437)</f>
        <v>MX</v>
      </c>
      <c r="M437" s="7" t="str">
        <f>IF('Port Bloomberg'!M437="","",'Port Bloomberg'!M437)</f>
        <v>USD</v>
      </c>
      <c r="N437" s="7">
        <f>IF('Port Bloomberg'!N437="","",'Port Bloomberg'!N437)</f>
        <v>300000</v>
      </c>
      <c r="O437" s="7" t="str">
        <f>IF('Port Bloomberg'!O437="","",'Port Bloomberg'!O437)</f>
        <v>SINGLE</v>
      </c>
      <c r="P437" s="7">
        <f>IF('Port Bloomberg'!P437="","",'Port Bloomberg'!P437)</f>
        <v>8.5</v>
      </c>
      <c r="Q437" s="7" t="str">
        <f>IF('Port Bloomberg'!Q437="","",'Port Bloomberg'!Q437)</f>
        <v>BB+</v>
      </c>
      <c r="R437" s="7" t="str">
        <f>IF('Port Bloomberg'!R437="","",'Port Bloomberg'!R437)</f>
        <v>03/11/2032</v>
      </c>
      <c r="S437" s="5">
        <f>IF(E437="","",IFERROR(IF(MATCH(E437,[1]Instrumentos!$D:$D,0)&gt;0,1,0),0))</f>
        <v>1</v>
      </c>
      <c r="T437" s="5">
        <f>IF(E437="","",IFERROR(IF(MATCH(E437,'Lista de excepciones'!$E:$E,0)&gt;0,1,0),0))</f>
        <v>0</v>
      </c>
      <c r="U437" s="6" t="str">
        <f t="shared" si="7"/>
        <v>NO</v>
      </c>
    </row>
    <row r="438" spans="1:21" hidden="1" x14ac:dyDescent="0.25">
      <c r="A438" s="7" t="str">
        <f>IF('Port Bloomberg'!A438="","",'Port Bloomberg'!A438)</f>
        <v>TERMOC 7 ¾ 09/17/31</v>
      </c>
      <c r="B438" s="7" t="str">
        <f>IF('Port Bloomberg'!B438="","",'Port Bloomberg'!B438)</f>
        <v>Termocandelaria Power SA</v>
      </c>
      <c r="C438" s="7" t="str">
        <f>IF('Port Bloomberg'!C438="","",'Port Bloomberg'!C438)</f>
        <v>TERMOCANDELARIA</v>
      </c>
      <c r="D438" s="7" t="str">
        <f>IF('Port Bloomberg'!D438="","",'Port Bloomberg'!D438)</f>
        <v>TERMOCANDELARIA POWER</v>
      </c>
      <c r="E438" s="7" t="str">
        <f>IF('Port Bloomberg'!E438="","",'Port Bloomberg'!E438)</f>
        <v>USE90508AA52</v>
      </c>
      <c r="F438" s="7" t="str">
        <f>IF('Port Bloomberg'!F438="","",'Port Bloomberg'!F438)</f>
        <v>TERMOC</v>
      </c>
      <c r="G438" s="7" t="str">
        <f>IF('Port Bloomberg'!G438="","",'Port Bloomberg'!G438)</f>
        <v/>
      </c>
      <c r="H438" s="7" t="str">
        <f>IF('Port Bloomberg'!H438="","",'Port Bloomberg'!H438)</f>
        <v>Electric</v>
      </c>
      <c r="I438" s="7" t="str">
        <f>IF('Port Bloomberg'!I438="","",'Port Bloomberg'!I438)</f>
        <v>UTL</v>
      </c>
      <c r="J438" s="7" t="str">
        <f>IF('Port Bloomberg'!J438="","",'Port Bloomberg'!J438)</f>
        <v>Independ Power Producer</v>
      </c>
      <c r="K438" s="7" t="str">
        <f>IF('Port Bloomberg'!K438="","",'Port Bloomberg'!K438)</f>
        <v>CO</v>
      </c>
      <c r="L438" s="7" t="str">
        <f>IF('Port Bloomberg'!L438="","",'Port Bloomberg'!L438)</f>
        <v>CO</v>
      </c>
      <c r="M438" s="7" t="str">
        <f>IF('Port Bloomberg'!M438="","",'Port Bloomberg'!M438)</f>
        <v>USD</v>
      </c>
      <c r="N438" s="7">
        <f>IF('Port Bloomberg'!N438="","",'Port Bloomberg'!N438)</f>
        <v>425000</v>
      </c>
      <c r="O438" s="7" t="str">
        <f>IF('Port Bloomberg'!O438="","",'Port Bloomberg'!O438)</f>
        <v>SINGLE</v>
      </c>
      <c r="P438" s="7">
        <f>IF('Port Bloomberg'!P438="","",'Port Bloomberg'!P438)</f>
        <v>7.75</v>
      </c>
      <c r="Q438" s="7" t="str">
        <f>IF('Port Bloomberg'!Q438="","",'Port Bloomberg'!Q438)</f>
        <v>BB-</v>
      </c>
      <c r="R438" s="7" t="str">
        <f>IF('Port Bloomberg'!R438="","",'Port Bloomberg'!R438)</f>
        <v>09/17/2031</v>
      </c>
      <c r="S438" s="5">
        <f>IF(E438="","",IFERROR(IF(MATCH(E438,[1]Instrumentos!$D:$D,0)&gt;0,1,0),0))</f>
        <v>1</v>
      </c>
      <c r="T438" s="5">
        <f>IF(E438="","",IFERROR(IF(MATCH(E438,'Lista de excepciones'!$E:$E,0)&gt;0,1,0),0))</f>
        <v>0</v>
      </c>
      <c r="U438" s="6" t="str">
        <f t="shared" si="7"/>
        <v>NO</v>
      </c>
    </row>
    <row r="439" spans="1:21" hidden="1" x14ac:dyDescent="0.25">
      <c r="A439" s="7" t="str">
        <f>IF('Port Bloomberg'!A439="","",'Port Bloomberg'!A439)</f>
        <v>TIEMOD 5 ¾ 12/01/40</v>
      </c>
      <c r="B439" s="7" t="str">
        <f>IF('Port Bloomberg'!B439="","",'Port Bloomberg'!B439)</f>
        <v>Tierra Mojada Luxembourg II Sarl</v>
      </c>
      <c r="C439" s="7" t="str">
        <f>IF('Port Bloomberg'!C439="","",'Port Bloomberg'!C439)</f>
        <v>TIERRA MOJADA II</v>
      </c>
      <c r="D439" s="7" t="str">
        <f>IF('Port Bloomberg'!D439="","",'Port Bloomberg'!D439)</f>
        <v>TIERRA MOJADA LUX II SRL</v>
      </c>
      <c r="E439" s="7" t="str">
        <f>IF('Port Bloomberg'!E439="","",'Port Bloomberg'!E439)</f>
        <v>USL3500LAA72</v>
      </c>
      <c r="F439" s="7" t="str">
        <f>IF('Port Bloomberg'!F439="","",'Port Bloomberg'!F439)</f>
        <v>TIEMOD</v>
      </c>
      <c r="G439" s="7" t="str">
        <f>IF('Port Bloomberg'!G439="","",'Port Bloomberg'!G439)</f>
        <v>BX US</v>
      </c>
      <c r="H439" s="7" t="str">
        <f>IF('Port Bloomberg'!H439="","",'Port Bloomberg'!H439)</f>
        <v>Electric</v>
      </c>
      <c r="I439" s="7" t="str">
        <f>IF('Port Bloomberg'!I439="","",'Port Bloomberg'!I439)</f>
        <v>UTL</v>
      </c>
      <c r="J439" s="7" t="str">
        <f>IF('Port Bloomberg'!J439="","",'Port Bloomberg'!J439)</f>
        <v>Electric-Generation</v>
      </c>
      <c r="K439" s="7" t="str">
        <f>IF('Port Bloomberg'!K439="","",'Port Bloomberg'!K439)</f>
        <v>LU</v>
      </c>
      <c r="L439" s="7" t="str">
        <f>IF('Port Bloomberg'!L439="","",'Port Bloomberg'!L439)</f>
        <v>MX</v>
      </c>
      <c r="M439" s="7" t="str">
        <f>IF('Port Bloomberg'!M439="","",'Port Bloomberg'!M439)</f>
        <v>USD</v>
      </c>
      <c r="N439" s="7">
        <f>IF('Port Bloomberg'!N439="","",'Port Bloomberg'!N439)</f>
        <v>953000</v>
      </c>
      <c r="O439" s="7" t="str">
        <f>IF('Port Bloomberg'!O439="","",'Port Bloomberg'!O439)</f>
        <v>SINGLE</v>
      </c>
      <c r="P439" s="7">
        <f>IF('Port Bloomberg'!P439="","",'Port Bloomberg'!P439)</f>
        <v>5.75</v>
      </c>
      <c r="Q439" s="7" t="str">
        <f>IF('Port Bloomberg'!Q439="","",'Port Bloomberg'!Q439)</f>
        <v>BBB-</v>
      </c>
      <c r="R439" s="7" t="str">
        <f>IF('Port Bloomberg'!R439="","",'Port Bloomberg'!R439)</f>
        <v>12/01/2040</v>
      </c>
      <c r="S439" s="5">
        <f>IF(E439="","",IFERROR(IF(MATCH(E439,[1]Instrumentos!$D:$D,0)&gt;0,1,0),0))</f>
        <v>0</v>
      </c>
      <c r="T439" s="5">
        <f>IF(E439="","",IFERROR(IF(MATCH(E439,'Lista de excepciones'!$E:$E,0)&gt;0,1,0),0))</f>
        <v>1</v>
      </c>
      <c r="U439" s="6" t="str">
        <f t="shared" si="7"/>
        <v>NO</v>
      </c>
    </row>
    <row r="440" spans="1:21" hidden="1" x14ac:dyDescent="0.25">
      <c r="A440" s="7" t="str">
        <f>IF('Port Bloomberg'!A440="","",'Port Bloomberg'!A440)</f>
        <v>TNEMAK 3 ⅝ 06/28/31</v>
      </c>
      <c r="B440" s="7" t="str">
        <f>IF('Port Bloomberg'!B440="","",'Port Bloomberg'!B440)</f>
        <v>Nemak SAB de CV</v>
      </c>
      <c r="C440" s="7" t="str">
        <f>IF('Port Bloomberg'!C440="","",'Port Bloomberg'!C440)</f>
        <v>NEMAK SAB DE CV</v>
      </c>
      <c r="D440" s="7" t="str">
        <f>IF('Port Bloomberg'!D440="","",'Port Bloomberg'!D440)</f>
        <v>NEMAK SAB DE CV</v>
      </c>
      <c r="E440" s="7" t="str">
        <f>IF('Port Bloomberg'!E440="","",'Port Bloomberg'!E440)</f>
        <v>USP71340AD81</v>
      </c>
      <c r="F440" s="7" t="str">
        <f>IF('Port Bloomberg'!F440="","",'Port Bloomberg'!F440)</f>
        <v>TNEMAK</v>
      </c>
      <c r="G440" s="7" t="str">
        <f>IF('Port Bloomberg'!G440="","",'Port Bloomberg'!G440)</f>
        <v>NEMAKA MM</v>
      </c>
      <c r="H440" s="7" t="str">
        <f>IF('Port Bloomberg'!H440="","",'Port Bloomberg'!H440)</f>
        <v>Auto Parts&amp;Equipment</v>
      </c>
      <c r="I440" s="7" t="str">
        <f>IF('Port Bloomberg'!I440="","",'Port Bloomberg'!I440)</f>
        <v>IND</v>
      </c>
      <c r="J440" s="7" t="str">
        <f>IF('Port Bloomberg'!J440="","",'Port Bloomberg'!J440)</f>
        <v>Auto/Trk Prts&amp;Equip-Orig</v>
      </c>
      <c r="K440" s="7" t="str">
        <f>IF('Port Bloomberg'!K440="","",'Port Bloomberg'!K440)</f>
        <v>MX</v>
      </c>
      <c r="L440" s="7" t="str">
        <f>IF('Port Bloomberg'!L440="","",'Port Bloomberg'!L440)</f>
        <v>MX</v>
      </c>
      <c r="M440" s="7" t="str">
        <f>IF('Port Bloomberg'!M440="","",'Port Bloomberg'!M440)</f>
        <v>USD</v>
      </c>
      <c r="N440" s="7">
        <f>IF('Port Bloomberg'!N440="","",'Port Bloomberg'!N440)</f>
        <v>500000</v>
      </c>
      <c r="O440" s="7" t="str">
        <f>IF('Port Bloomberg'!O440="","",'Port Bloomberg'!O440)</f>
        <v>SINGLE</v>
      </c>
      <c r="P440" s="7">
        <f>IF('Port Bloomberg'!P440="","",'Port Bloomberg'!P440)</f>
        <v>3.625</v>
      </c>
      <c r="Q440" s="7" t="str">
        <f>IF('Port Bloomberg'!Q440="","",'Port Bloomberg'!Q440)</f>
        <v>BB+</v>
      </c>
      <c r="R440" s="7" t="str">
        <f>IF('Port Bloomberg'!R440="","",'Port Bloomberg'!R440)</f>
        <v>06/28/2031</v>
      </c>
      <c r="S440" s="5">
        <f>IF(E440="","",IFERROR(IF(MATCH(E440,[1]Instrumentos!$D:$D,0)&gt;0,1,0),0))</f>
        <v>1</v>
      </c>
      <c r="T440" s="5">
        <f>IF(E440="","",IFERROR(IF(MATCH(E440,'Lista de excepciones'!$E:$E,0)&gt;0,1,0),0))</f>
        <v>0</v>
      </c>
      <c r="U440" s="6" t="str">
        <f t="shared" si="7"/>
        <v>NO</v>
      </c>
    </row>
    <row r="441" spans="1:21" hidden="1" x14ac:dyDescent="0.25">
      <c r="A441" s="7" t="str">
        <f>IF('Port Bloomberg'!A441="","",'Port Bloomberg'!A441)</f>
        <v>TOTALP 11 ⅛ 12/31/32</v>
      </c>
      <c r="B441" s="7" t="str">
        <f>IF('Port Bloomberg'!B441="","",'Port Bloomberg'!B441)</f>
        <v>Total Play Telecomunicaciones SA de CV</v>
      </c>
      <c r="C441" s="7" t="str">
        <f>IF('Port Bloomberg'!C441="","",'Port Bloomberg'!C441)</f>
        <v>TOTAL PLAY</v>
      </c>
      <c r="D441" s="7" t="str">
        <f>IF('Port Bloomberg'!D441="","",'Port Bloomberg'!D441)</f>
        <v>TOTAL PLAY TELECOM</v>
      </c>
      <c r="E441" s="7" t="str">
        <f>IF('Port Bloomberg'!E441="","",'Port Bloomberg'!E441)</f>
        <v>USP9190PAM07</v>
      </c>
      <c r="F441" s="7" t="str">
        <f>IF('Port Bloomberg'!F441="","",'Port Bloomberg'!F441)</f>
        <v>TOTALP</v>
      </c>
      <c r="G441" s="7" t="str">
        <f>IF('Port Bloomberg'!G441="","",'Port Bloomberg'!G441)</f>
        <v>0919647D MM</v>
      </c>
      <c r="H441" s="7" t="str">
        <f>IF('Port Bloomberg'!H441="","",'Port Bloomberg'!H441)</f>
        <v>Telecommunications</v>
      </c>
      <c r="I441" s="7" t="str">
        <f>IF('Port Bloomberg'!I441="","",'Port Bloomberg'!I441)</f>
        <v>IND</v>
      </c>
      <c r="J441" s="7" t="str">
        <f>IF('Port Bloomberg'!J441="","",'Port Bloomberg'!J441)</f>
        <v>Telecom Services</v>
      </c>
      <c r="K441" s="7" t="str">
        <f>IF('Port Bloomberg'!K441="","",'Port Bloomberg'!K441)</f>
        <v>MX</v>
      </c>
      <c r="L441" s="7" t="str">
        <f>IF('Port Bloomberg'!L441="","",'Port Bloomberg'!L441)</f>
        <v>MX</v>
      </c>
      <c r="M441" s="7" t="str">
        <f>IF('Port Bloomberg'!M441="","",'Port Bloomberg'!M441)</f>
        <v>USD</v>
      </c>
      <c r="N441" s="7">
        <f>IF('Port Bloomberg'!N441="","",'Port Bloomberg'!N441)</f>
        <v>1020704.55</v>
      </c>
      <c r="O441" s="7" t="str">
        <f>IF('Port Bloomberg'!O441="","",'Port Bloomberg'!O441)</f>
        <v>SINGLE</v>
      </c>
      <c r="P441" s="7">
        <f>IF('Port Bloomberg'!P441="","",'Port Bloomberg'!P441)</f>
        <v>11.125</v>
      </c>
      <c r="Q441" s="7" t="str">
        <f>IF('Port Bloomberg'!Q441="","",'Port Bloomberg'!Q441)</f>
        <v>B-</v>
      </c>
      <c r="R441" s="7" t="str">
        <f>IF('Port Bloomberg'!R441="","",'Port Bloomberg'!R441)</f>
        <v>12/31/2032</v>
      </c>
      <c r="S441" s="5">
        <f>IF(E441="","",IFERROR(IF(MATCH(E441,[1]Instrumentos!$D:$D,0)&gt;0,1,0),0))</f>
        <v>0</v>
      </c>
      <c r="T441" s="5">
        <f>IF(E441="","",IFERROR(IF(MATCH(E441,'Lista de excepciones'!$E:$E,0)&gt;0,1,0),0))</f>
        <v>1</v>
      </c>
      <c r="U441" s="6" t="str">
        <f t="shared" si="7"/>
        <v>NO</v>
      </c>
    </row>
    <row r="442" spans="1:21" hidden="1" x14ac:dyDescent="0.25">
      <c r="A442" s="7" t="str">
        <f>IF('Port Bloomberg'!A442="","",'Port Bloomberg'!A442)</f>
        <v>TRANSM 4.7 04/16/34</v>
      </c>
      <c r="B442" s="7" t="str">
        <f>IF('Port Bloomberg'!B442="","",'Port Bloomberg'!B442)</f>
        <v>Consorcio Transmantaro SA</v>
      </c>
      <c r="C442" s="7" t="str">
        <f>IF('Port Bloomberg'!C442="","",'Port Bloomberg'!C442)</f>
        <v>TRANSMANTARO</v>
      </c>
      <c r="D442" s="7" t="str">
        <f>IF('Port Bloomberg'!D442="","",'Port Bloomberg'!D442)</f>
        <v>TRANSMANTARO</v>
      </c>
      <c r="E442" s="7" t="str">
        <f>IF('Port Bloomberg'!E442="","",'Port Bloomberg'!E442)</f>
        <v>USP3083SAD73</v>
      </c>
      <c r="F442" s="7" t="str">
        <f>IF('Port Bloomberg'!F442="","",'Port Bloomberg'!F442)</f>
        <v>TRANSM</v>
      </c>
      <c r="G442" s="7" t="str">
        <f>IF('Port Bloomberg'!G442="","",'Port Bloomberg'!G442)</f>
        <v>736895Z PE</v>
      </c>
      <c r="H442" s="7" t="str">
        <f>IF('Port Bloomberg'!H442="","",'Port Bloomberg'!H442)</f>
        <v>Electric</v>
      </c>
      <c r="I442" s="7" t="str">
        <f>IF('Port Bloomberg'!I442="","",'Port Bloomberg'!I442)</f>
        <v>FOA</v>
      </c>
      <c r="J442" s="7" t="str">
        <f>IF('Port Bloomberg'!J442="","",'Port Bloomberg'!J442)</f>
        <v>Electric-Transmission</v>
      </c>
      <c r="K442" s="7" t="str">
        <f>IF('Port Bloomberg'!K442="","",'Port Bloomberg'!K442)</f>
        <v>PE</v>
      </c>
      <c r="L442" s="7" t="str">
        <f>IF('Port Bloomberg'!L442="","",'Port Bloomberg'!L442)</f>
        <v>PE</v>
      </c>
      <c r="M442" s="7" t="str">
        <f>IF('Port Bloomberg'!M442="","",'Port Bloomberg'!M442)</f>
        <v>USD</v>
      </c>
      <c r="N442" s="7">
        <f>IF('Port Bloomberg'!N442="","",'Port Bloomberg'!N442)</f>
        <v>600000</v>
      </c>
      <c r="O442" s="7" t="str">
        <f>IF('Port Bloomberg'!O442="","",'Port Bloomberg'!O442)</f>
        <v>SINGLE</v>
      </c>
      <c r="P442" s="7">
        <f>IF('Port Bloomberg'!P442="","",'Port Bloomberg'!P442)</f>
        <v>4.7</v>
      </c>
      <c r="Q442" s="7" t="str">
        <f>IF('Port Bloomberg'!Q442="","",'Port Bloomberg'!Q442)</f>
        <v>BBB-</v>
      </c>
      <c r="R442" s="7" t="str">
        <f>IF('Port Bloomberg'!R442="","",'Port Bloomberg'!R442)</f>
        <v>04/16/2034</v>
      </c>
      <c r="S442" s="5">
        <f>IF(E442="","",IFERROR(IF(MATCH(E442,[1]Instrumentos!$D:$D,0)&gt;0,1,0),0))</f>
        <v>1</v>
      </c>
      <c r="T442" s="5">
        <f>IF(E442="","",IFERROR(IF(MATCH(E442,'Lista de excepciones'!$E:$E,0)&gt;0,1,0),0))</f>
        <v>0</v>
      </c>
      <c r="U442" s="6" t="str">
        <f t="shared" si="7"/>
        <v>NO</v>
      </c>
    </row>
    <row r="443" spans="1:21" hidden="1" x14ac:dyDescent="0.25">
      <c r="A443" s="7" t="str">
        <f>IF('Port Bloomberg'!A443="","",'Port Bloomberg'!A443)</f>
        <v>TRANSM 5.2 04/11/38</v>
      </c>
      <c r="B443" s="7" t="str">
        <f>IF('Port Bloomberg'!B443="","",'Port Bloomberg'!B443)</f>
        <v>Consorcio Transmantaro SA</v>
      </c>
      <c r="C443" s="7" t="str">
        <f>IF('Port Bloomberg'!C443="","",'Port Bloomberg'!C443)</f>
        <v>TRANSMANTARO</v>
      </c>
      <c r="D443" s="7" t="str">
        <f>IF('Port Bloomberg'!D443="","",'Port Bloomberg'!D443)</f>
        <v>TRANSMANTARO</v>
      </c>
      <c r="E443" s="7" t="str">
        <f>IF('Port Bloomberg'!E443="","",'Port Bloomberg'!E443)</f>
        <v>USP3083SAF22</v>
      </c>
      <c r="F443" s="7" t="str">
        <f>IF('Port Bloomberg'!F443="","",'Port Bloomberg'!F443)</f>
        <v>TRANSM</v>
      </c>
      <c r="G443" s="7" t="str">
        <f>IF('Port Bloomberg'!G443="","",'Port Bloomberg'!G443)</f>
        <v>736895Z PE</v>
      </c>
      <c r="H443" s="7" t="str">
        <f>IF('Port Bloomberg'!H443="","",'Port Bloomberg'!H443)</f>
        <v>Electric</v>
      </c>
      <c r="I443" s="7" t="str">
        <f>IF('Port Bloomberg'!I443="","",'Port Bloomberg'!I443)</f>
        <v>FOA</v>
      </c>
      <c r="J443" s="7" t="str">
        <f>IF('Port Bloomberg'!J443="","",'Port Bloomberg'!J443)</f>
        <v>Electric-Transmission</v>
      </c>
      <c r="K443" s="7" t="str">
        <f>IF('Port Bloomberg'!K443="","",'Port Bloomberg'!K443)</f>
        <v>PE</v>
      </c>
      <c r="L443" s="7" t="str">
        <f>IF('Port Bloomberg'!L443="","",'Port Bloomberg'!L443)</f>
        <v>PE</v>
      </c>
      <c r="M443" s="7" t="str">
        <f>IF('Port Bloomberg'!M443="","",'Port Bloomberg'!M443)</f>
        <v>USD</v>
      </c>
      <c r="N443" s="7">
        <f>IF('Port Bloomberg'!N443="","",'Port Bloomberg'!N443)</f>
        <v>500000</v>
      </c>
      <c r="O443" s="7" t="str">
        <f>IF('Port Bloomberg'!O443="","",'Port Bloomberg'!O443)</f>
        <v>SINGLE</v>
      </c>
      <c r="P443" s="7">
        <f>IF('Port Bloomberg'!P443="","",'Port Bloomberg'!P443)</f>
        <v>5.2</v>
      </c>
      <c r="Q443" s="7" t="str">
        <f>IF('Port Bloomberg'!Q443="","",'Port Bloomberg'!Q443)</f>
        <v>BBB-</v>
      </c>
      <c r="R443" s="7" t="str">
        <f>IF('Port Bloomberg'!R443="","",'Port Bloomberg'!R443)</f>
        <v>04/11/2038</v>
      </c>
      <c r="S443" s="5">
        <f>IF(E443="","",IFERROR(IF(MATCH(E443,[1]Instrumentos!$D:$D,0)&gt;0,1,0),0))</f>
        <v>1</v>
      </c>
      <c r="T443" s="5">
        <f>IF(E443="","",IFERROR(IF(MATCH(E443,'Lista de excepciones'!$E:$E,0)&gt;0,1,0),0))</f>
        <v>0</v>
      </c>
      <c r="U443" s="6" t="str">
        <f t="shared" si="7"/>
        <v>NO</v>
      </c>
    </row>
    <row r="444" spans="1:21" hidden="1" x14ac:dyDescent="0.25">
      <c r="A444" s="7" t="str">
        <f>IF('Port Bloomberg'!A444="","",'Port Bloomberg'!A444)</f>
        <v>TSELEC 3 ⅞ 01/12/29</v>
      </c>
      <c r="B444" s="7" t="str">
        <f>IF('Port Bloomberg'!B444="","",'Port Bloomberg'!B444)</f>
        <v>Transelec SA</v>
      </c>
      <c r="C444" s="7" t="str">
        <f>IF('Port Bloomberg'!C444="","",'Port Bloomberg'!C444)</f>
        <v>TRANSELEC SA</v>
      </c>
      <c r="D444" s="7" t="str">
        <f>IF('Port Bloomberg'!D444="","",'Port Bloomberg'!D444)</f>
        <v>TRANSELEC SA</v>
      </c>
      <c r="E444" s="7" t="str">
        <f>IF('Port Bloomberg'!E444="","",'Port Bloomberg'!E444)</f>
        <v>USP9339SAS34</v>
      </c>
      <c r="F444" s="7" t="str">
        <f>IF('Port Bloomberg'!F444="","",'Port Bloomberg'!F444)</f>
        <v>TSELEC</v>
      </c>
      <c r="G444" s="7" t="str">
        <f>IF('Port Bloomberg'!G444="","",'Port Bloomberg'!G444)</f>
        <v>1049Z CI</v>
      </c>
      <c r="H444" s="7" t="str">
        <f>IF('Port Bloomberg'!H444="","",'Port Bloomberg'!H444)</f>
        <v>Electric</v>
      </c>
      <c r="I444" s="7" t="str">
        <f>IF('Port Bloomberg'!I444="","",'Port Bloomberg'!I444)</f>
        <v>UTL</v>
      </c>
      <c r="J444" s="7" t="str">
        <f>IF('Port Bloomberg'!J444="","",'Port Bloomberg'!J444)</f>
        <v>Electric-Transmission</v>
      </c>
      <c r="K444" s="7" t="str">
        <f>IF('Port Bloomberg'!K444="","",'Port Bloomberg'!K444)</f>
        <v>CL</v>
      </c>
      <c r="L444" s="7" t="str">
        <f>IF('Port Bloomberg'!L444="","",'Port Bloomberg'!L444)</f>
        <v>CL</v>
      </c>
      <c r="M444" s="7" t="str">
        <f>IF('Port Bloomberg'!M444="","",'Port Bloomberg'!M444)</f>
        <v>USD</v>
      </c>
      <c r="N444" s="7">
        <f>IF('Port Bloomberg'!N444="","",'Port Bloomberg'!N444)</f>
        <v>350000</v>
      </c>
      <c r="O444" s="7" t="str">
        <f>IF('Port Bloomberg'!O444="","",'Port Bloomberg'!O444)</f>
        <v>SINGLE</v>
      </c>
      <c r="P444" s="7">
        <f>IF('Port Bloomberg'!P444="","",'Port Bloomberg'!P444)</f>
        <v>3.875</v>
      </c>
      <c r="Q444" s="7" t="str">
        <f>IF('Port Bloomberg'!Q444="","",'Port Bloomberg'!Q444)</f>
        <v>BBB</v>
      </c>
      <c r="R444" s="7" t="str">
        <f>IF('Port Bloomberg'!R444="","",'Port Bloomberg'!R444)</f>
        <v>01/12/2029</v>
      </c>
      <c r="S444" s="5">
        <f>IF(E444="","",IFERROR(IF(MATCH(E444,[1]Instrumentos!$D:$D,0)&gt;0,1,0),0))</f>
        <v>1</v>
      </c>
      <c r="T444" s="5">
        <f>IF(E444="","",IFERROR(IF(MATCH(E444,'Lista de excepciones'!$E:$E,0)&gt;0,1,0),0))</f>
        <v>0</v>
      </c>
      <c r="U444" s="6" t="str">
        <f t="shared" si="7"/>
        <v>NO</v>
      </c>
    </row>
    <row r="445" spans="1:21" hidden="1" x14ac:dyDescent="0.25">
      <c r="A445" s="7" t="str">
        <f>IF('Port Bloomberg'!A445="","",'Port Bloomberg'!A445)</f>
        <v>TUPY 4 ½ 02/16/31</v>
      </c>
      <c r="B445" s="7" t="str">
        <f>IF('Port Bloomberg'!B445="","",'Port Bloomberg'!B445)</f>
        <v>Tupy Overseas SA</v>
      </c>
      <c r="C445" s="7" t="str">
        <f>IF('Port Bloomberg'!C445="","",'Port Bloomberg'!C445)</f>
        <v>TUPY OVERSEAS SA</v>
      </c>
      <c r="D445" s="7" t="str">
        <f>IF('Port Bloomberg'!D445="","",'Port Bloomberg'!D445)</f>
        <v>TUPY OVERSEAS SA</v>
      </c>
      <c r="E445" s="7" t="str">
        <f>IF('Port Bloomberg'!E445="","",'Port Bloomberg'!E445)</f>
        <v>USL9326VAB29</v>
      </c>
      <c r="F445" s="7" t="str">
        <f>IF('Port Bloomberg'!F445="","",'Port Bloomberg'!F445)</f>
        <v>TUPY</v>
      </c>
      <c r="G445" s="7" t="str">
        <f>IF('Port Bloomberg'!G445="","",'Port Bloomberg'!G445)</f>
        <v>TUPY3 BZ</v>
      </c>
      <c r="H445" s="7" t="str">
        <f>IF('Port Bloomberg'!H445="","",'Port Bloomberg'!H445)</f>
        <v>Auto Parts&amp;Equipment</v>
      </c>
      <c r="I445" s="7" t="str">
        <f>IF('Port Bloomberg'!I445="","",'Port Bloomberg'!I445)</f>
        <v>IND</v>
      </c>
      <c r="J445" s="7" t="str">
        <f>IF('Port Bloomberg'!J445="","",'Port Bloomberg'!J445)</f>
        <v>Auto/Trk Prts&amp;Equip-Orig</v>
      </c>
      <c r="K445" s="7" t="str">
        <f>IF('Port Bloomberg'!K445="","",'Port Bloomberg'!K445)</f>
        <v>LU</v>
      </c>
      <c r="L445" s="7" t="str">
        <f>IF('Port Bloomberg'!L445="","",'Port Bloomberg'!L445)</f>
        <v>BR</v>
      </c>
      <c r="M445" s="7" t="str">
        <f>IF('Port Bloomberg'!M445="","",'Port Bloomberg'!M445)</f>
        <v>USD</v>
      </c>
      <c r="N445" s="7">
        <f>IF('Port Bloomberg'!N445="","",'Port Bloomberg'!N445)</f>
        <v>375000</v>
      </c>
      <c r="O445" s="7" t="str">
        <f>IF('Port Bloomberg'!O445="","",'Port Bloomberg'!O445)</f>
        <v>SINGLE</v>
      </c>
      <c r="P445" s="7">
        <f>IF('Port Bloomberg'!P445="","",'Port Bloomberg'!P445)</f>
        <v>4.5</v>
      </c>
      <c r="Q445" s="7" t="str">
        <f>IF('Port Bloomberg'!Q445="","",'Port Bloomberg'!Q445)</f>
        <v>BB-</v>
      </c>
      <c r="R445" s="7" t="str">
        <f>IF('Port Bloomberg'!R445="","",'Port Bloomberg'!R445)</f>
        <v>02/16/2031</v>
      </c>
      <c r="S445" s="5">
        <f>IF(E445="","",IFERROR(IF(MATCH(E445,[1]Instrumentos!$D:$D,0)&gt;0,1,0),0))</f>
        <v>1</v>
      </c>
      <c r="T445" s="5">
        <f>IF(E445="","",IFERROR(IF(MATCH(E445,'Lista de excepciones'!$E:$E,0)&gt;0,1,0),0))</f>
        <v>0</v>
      </c>
      <c r="U445" s="6" t="str">
        <f t="shared" si="7"/>
        <v>NO</v>
      </c>
    </row>
    <row r="446" spans="1:21" hidden="1" x14ac:dyDescent="0.25">
      <c r="A446" s="7" t="str">
        <f>IF('Port Bloomberg'!A446="","",'Port Bloomberg'!A446)</f>
        <v>UGPABZ 5 ¼ 06/06/29</v>
      </c>
      <c r="B446" s="7" t="str">
        <f>IF('Port Bloomberg'!B446="","",'Port Bloomberg'!B446)</f>
        <v>Ultrapar International SA</v>
      </c>
      <c r="C446" s="7" t="str">
        <f>IF('Port Bloomberg'!C446="","",'Port Bloomberg'!C446)</f>
        <v>ULTRAPAR INTL</v>
      </c>
      <c r="D446" s="7" t="str">
        <f>IF('Port Bloomberg'!D446="","",'Port Bloomberg'!D446)</f>
        <v>ULTRAPAR INTERNATIONL SA</v>
      </c>
      <c r="E446" s="7" t="str">
        <f>IF('Port Bloomberg'!E446="","",'Port Bloomberg'!E446)</f>
        <v>USL9412AAB37</v>
      </c>
      <c r="F446" s="7" t="str">
        <f>IF('Port Bloomberg'!F446="","",'Port Bloomberg'!F446)</f>
        <v>UGPABZ</v>
      </c>
      <c r="G446" s="7" t="str">
        <f>IF('Port Bloomberg'!G446="","",'Port Bloomberg'!G446)</f>
        <v>UGPA3 BZ</v>
      </c>
      <c r="H446" s="7" t="str">
        <f>IF('Port Bloomberg'!H446="","",'Port Bloomberg'!H446)</f>
        <v>Oil&amp;Gas</v>
      </c>
      <c r="I446" s="7" t="str">
        <f>IF('Port Bloomberg'!I446="","",'Port Bloomberg'!I446)</f>
        <v>IND</v>
      </c>
      <c r="J446" s="7" t="str">
        <f>IF('Port Bloomberg'!J446="","",'Port Bloomberg'!J446)</f>
        <v>Oil Refining&amp;Marketing</v>
      </c>
      <c r="K446" s="7" t="str">
        <f>IF('Port Bloomberg'!K446="","",'Port Bloomberg'!K446)</f>
        <v>LU</v>
      </c>
      <c r="L446" s="7" t="str">
        <f>IF('Port Bloomberg'!L446="","",'Port Bloomberg'!L446)</f>
        <v>BR</v>
      </c>
      <c r="M446" s="7" t="str">
        <f>IF('Port Bloomberg'!M446="","",'Port Bloomberg'!M446)</f>
        <v>USD</v>
      </c>
      <c r="N446" s="7">
        <f>IF('Port Bloomberg'!N446="","",'Port Bloomberg'!N446)</f>
        <v>850000</v>
      </c>
      <c r="O446" s="7" t="str">
        <f>IF('Port Bloomberg'!O446="","",'Port Bloomberg'!O446)</f>
        <v>SINGLE</v>
      </c>
      <c r="P446" s="7">
        <f>IF('Port Bloomberg'!P446="","",'Port Bloomberg'!P446)</f>
        <v>5.25</v>
      </c>
      <c r="Q446" s="7" t="str">
        <f>IF('Port Bloomberg'!Q446="","",'Port Bloomberg'!Q446)</f>
        <v>BB+</v>
      </c>
      <c r="R446" s="7" t="str">
        <f>IF('Port Bloomberg'!R446="","",'Port Bloomberg'!R446)</f>
        <v>06/06/2029</v>
      </c>
      <c r="S446" s="5">
        <f>IF(E446="","",IFERROR(IF(MATCH(E446,[1]Instrumentos!$D:$D,0)&gt;0,1,0),0))</f>
        <v>1</v>
      </c>
      <c r="T446" s="5">
        <f>IF(E446="","",IFERROR(IF(MATCH(E446,'Lista de excepciones'!$E:$E,0)&gt;0,1,0),0))</f>
        <v>0</v>
      </c>
      <c r="U446" s="6" t="str">
        <f t="shared" si="7"/>
        <v>NO</v>
      </c>
    </row>
    <row r="447" spans="1:21" hidden="1" x14ac:dyDescent="0.25">
      <c r="A447" s="7" t="str">
        <f>IF('Port Bloomberg'!A447="","",'Port Bloomberg'!A447)</f>
        <v>USIM 7 ½ 01/27/32</v>
      </c>
      <c r="B447" s="7" t="str">
        <f>IF('Port Bloomberg'!B447="","",'Port Bloomberg'!B447)</f>
        <v>Usiminas International Sarl</v>
      </c>
      <c r="C447" s="7" t="str">
        <f>IF('Port Bloomberg'!C447="","",'Port Bloomberg'!C447)</f>
        <v>USIMINAS INTL</v>
      </c>
      <c r="D447" s="7" t="str">
        <f>IF('Port Bloomberg'!D447="","",'Port Bloomberg'!D447)</f>
        <v>USIMINAS INTERNATIONAL</v>
      </c>
      <c r="E447" s="7" t="str">
        <f>IF('Port Bloomberg'!E447="","",'Port Bloomberg'!E447)</f>
        <v>USL95806AB88</v>
      </c>
      <c r="F447" s="7" t="str">
        <f>IF('Port Bloomberg'!F447="","",'Port Bloomberg'!F447)</f>
        <v>USIM</v>
      </c>
      <c r="G447" s="7" t="str">
        <f>IF('Port Bloomberg'!G447="","",'Port Bloomberg'!G447)</f>
        <v>USIM3 BZ</v>
      </c>
      <c r="H447" s="7" t="str">
        <f>IF('Port Bloomberg'!H447="","",'Port Bloomberg'!H447)</f>
        <v>Iron/Steel</v>
      </c>
      <c r="I447" s="7" t="str">
        <f>IF('Port Bloomberg'!I447="","",'Port Bloomberg'!I447)</f>
        <v>IND</v>
      </c>
      <c r="J447" s="7" t="str">
        <f>IF('Port Bloomberg'!J447="","",'Port Bloomberg'!J447)</f>
        <v>Steel-Producers</v>
      </c>
      <c r="K447" s="7" t="str">
        <f>IF('Port Bloomberg'!K447="","",'Port Bloomberg'!K447)</f>
        <v>LU</v>
      </c>
      <c r="L447" s="7" t="str">
        <f>IF('Port Bloomberg'!L447="","",'Port Bloomberg'!L447)</f>
        <v>BR</v>
      </c>
      <c r="M447" s="7" t="str">
        <f>IF('Port Bloomberg'!M447="","",'Port Bloomberg'!M447)</f>
        <v>USD</v>
      </c>
      <c r="N447" s="7">
        <f>IF('Port Bloomberg'!N447="","",'Port Bloomberg'!N447)</f>
        <v>500000</v>
      </c>
      <c r="O447" s="7" t="str">
        <f>IF('Port Bloomberg'!O447="","",'Port Bloomberg'!O447)</f>
        <v>SINGLE</v>
      </c>
      <c r="P447" s="7">
        <f>IF('Port Bloomberg'!P447="","",'Port Bloomberg'!P447)</f>
        <v>7.5</v>
      </c>
      <c r="Q447" s="7" t="str">
        <f>IF('Port Bloomberg'!Q447="","",'Port Bloomberg'!Q447)</f>
        <v>BB</v>
      </c>
      <c r="R447" s="7" t="str">
        <f>IF('Port Bloomberg'!R447="","",'Port Bloomberg'!R447)</f>
        <v>01/27/2032</v>
      </c>
      <c r="S447" s="5">
        <f>IF(E447="","",IFERROR(IF(MATCH(E447,[1]Instrumentos!$D:$D,0)&gt;0,1,0),0))</f>
        <v>1</v>
      </c>
      <c r="T447" s="5">
        <f>IF(E447="","",IFERROR(IF(MATCH(E447,'Lista de excepciones'!$E:$E,0)&gt;0,1,0),0))</f>
        <v>0</v>
      </c>
      <c r="U447" s="6" t="str">
        <f t="shared" si="7"/>
        <v>NO</v>
      </c>
    </row>
    <row r="448" spans="1:21" hidden="1" x14ac:dyDescent="0.25">
      <c r="A448" s="7" t="str">
        <f>IF('Port Bloomberg'!A448="","",'Port Bloomberg'!A448)</f>
        <v>VALEBZ 3 ¾ 07/08/30</v>
      </c>
      <c r="B448" s="7" t="str">
        <f>IF('Port Bloomberg'!B448="","",'Port Bloomberg'!B448)</f>
        <v>Vale Overseas Ltd</v>
      </c>
      <c r="C448" s="7" t="str">
        <f>IF('Port Bloomberg'!C448="","",'Port Bloomberg'!C448)</f>
        <v>VALE OVERSEAS</v>
      </c>
      <c r="D448" s="7" t="str">
        <f>IF('Port Bloomberg'!D448="","",'Port Bloomberg'!D448)</f>
        <v>VALE OVERSEAS LIMITED</v>
      </c>
      <c r="E448" s="7" t="str">
        <f>IF('Port Bloomberg'!E448="","",'Port Bloomberg'!E448)</f>
        <v>US91911TAQ67</v>
      </c>
      <c r="F448" s="7" t="str">
        <f>IF('Port Bloomberg'!F448="","",'Port Bloomberg'!F448)</f>
        <v>VALEBZ</v>
      </c>
      <c r="G448" s="7" t="str">
        <f>IF('Port Bloomberg'!G448="","",'Port Bloomberg'!G448)</f>
        <v>VALE3 BZ</v>
      </c>
      <c r="H448" s="7" t="str">
        <f>IF('Port Bloomberg'!H448="","",'Port Bloomberg'!H448)</f>
        <v>Iron/Steel</v>
      </c>
      <c r="I448" s="7" t="str">
        <f>IF('Port Bloomberg'!I448="","",'Port Bloomberg'!I448)</f>
        <v>IND</v>
      </c>
      <c r="J448" s="7" t="str">
        <f>IF('Port Bloomberg'!J448="","",'Port Bloomberg'!J448)</f>
        <v>Metal-Iron</v>
      </c>
      <c r="K448" s="7" t="str">
        <f>IF('Port Bloomberg'!K448="","",'Port Bloomberg'!K448)</f>
        <v>BR</v>
      </c>
      <c r="L448" s="7" t="str">
        <f>IF('Port Bloomberg'!L448="","",'Port Bloomberg'!L448)</f>
        <v>BR</v>
      </c>
      <c r="M448" s="7" t="str">
        <f>IF('Port Bloomberg'!M448="","",'Port Bloomberg'!M448)</f>
        <v>USD</v>
      </c>
      <c r="N448" s="7">
        <f>IF('Port Bloomberg'!N448="","",'Port Bloomberg'!N448)</f>
        <v>1500000</v>
      </c>
      <c r="O448" s="7" t="str">
        <f>IF('Port Bloomberg'!O448="","",'Port Bloomberg'!O448)</f>
        <v>SINGLE</v>
      </c>
      <c r="P448" s="7">
        <f>IF('Port Bloomberg'!P448="","",'Port Bloomberg'!P448)</f>
        <v>3.75</v>
      </c>
      <c r="Q448" s="7" t="str">
        <f>IF('Port Bloomberg'!Q448="","",'Port Bloomberg'!Q448)</f>
        <v>BBB</v>
      </c>
      <c r="R448" s="7" t="str">
        <f>IF('Port Bloomberg'!R448="","",'Port Bloomberg'!R448)</f>
        <v>07/08/2030</v>
      </c>
      <c r="S448" s="5">
        <f>IF(E448="","",IFERROR(IF(MATCH(E448,[1]Instrumentos!$D:$D,0)&gt;0,1,0),0))</f>
        <v>1</v>
      </c>
      <c r="T448" s="5">
        <f>IF(E448="","",IFERROR(IF(MATCH(E448,'Lista de excepciones'!$E:$E,0)&gt;0,1,0),0))</f>
        <v>0</v>
      </c>
      <c r="U448" s="6" t="str">
        <f t="shared" si="7"/>
        <v>NO</v>
      </c>
    </row>
    <row r="449" spans="1:21" hidden="1" x14ac:dyDescent="0.25">
      <c r="A449" s="7" t="str">
        <f>IF('Port Bloomberg'!A449="","",'Port Bloomberg'!A449)</f>
        <v>VALEBZ 5 ⅝ 09/11/42</v>
      </c>
      <c r="B449" s="7" t="str">
        <f>IF('Port Bloomberg'!B449="","",'Port Bloomberg'!B449)</f>
        <v>Vale SA</v>
      </c>
      <c r="C449" s="7" t="str">
        <f>IF('Port Bloomberg'!C449="","",'Port Bloomberg'!C449)</f>
        <v>VALE</v>
      </c>
      <c r="D449" s="7" t="str">
        <f>IF('Port Bloomberg'!D449="","",'Port Bloomberg'!D449)</f>
        <v>VALE SA</v>
      </c>
      <c r="E449" s="7" t="str">
        <f>IF('Port Bloomberg'!E449="","",'Port Bloomberg'!E449)</f>
        <v>US91912EAA38</v>
      </c>
      <c r="F449" s="7" t="str">
        <f>IF('Port Bloomberg'!F449="","",'Port Bloomberg'!F449)</f>
        <v>VALEBZ</v>
      </c>
      <c r="G449" s="7" t="str">
        <f>IF('Port Bloomberg'!G449="","",'Port Bloomberg'!G449)</f>
        <v>VALE3 BZ</v>
      </c>
      <c r="H449" s="7" t="str">
        <f>IF('Port Bloomberg'!H449="","",'Port Bloomberg'!H449)</f>
        <v>Iron/Steel</v>
      </c>
      <c r="I449" s="7" t="str">
        <f>IF('Port Bloomberg'!I449="","",'Port Bloomberg'!I449)</f>
        <v>IND</v>
      </c>
      <c r="J449" s="7" t="str">
        <f>IF('Port Bloomberg'!J449="","",'Port Bloomberg'!J449)</f>
        <v>Metal-Iron</v>
      </c>
      <c r="K449" s="7" t="str">
        <f>IF('Port Bloomberg'!K449="","",'Port Bloomberg'!K449)</f>
        <v>BR</v>
      </c>
      <c r="L449" s="7" t="str">
        <f>IF('Port Bloomberg'!L449="","",'Port Bloomberg'!L449)</f>
        <v>BR</v>
      </c>
      <c r="M449" s="7" t="str">
        <f>IF('Port Bloomberg'!M449="","",'Port Bloomberg'!M449)</f>
        <v>USD</v>
      </c>
      <c r="N449" s="7">
        <f>IF('Port Bloomberg'!N449="","",'Port Bloomberg'!N449)</f>
        <v>1500000</v>
      </c>
      <c r="O449" s="7" t="str">
        <f>IF('Port Bloomberg'!O449="","",'Port Bloomberg'!O449)</f>
        <v>SINGLE</v>
      </c>
      <c r="P449" s="7">
        <f>IF('Port Bloomberg'!P449="","",'Port Bloomberg'!P449)</f>
        <v>5.625</v>
      </c>
      <c r="Q449" s="7" t="str">
        <f>IF('Port Bloomberg'!Q449="","",'Port Bloomberg'!Q449)</f>
        <v>BBB</v>
      </c>
      <c r="R449" s="7" t="str">
        <f>IF('Port Bloomberg'!R449="","",'Port Bloomberg'!R449)</f>
        <v>09/11/2042</v>
      </c>
      <c r="S449" s="5">
        <f>IF(E449="","",IFERROR(IF(MATCH(E449,[1]Instrumentos!$D:$D,0)&gt;0,1,0),0))</f>
        <v>1</v>
      </c>
      <c r="T449" s="5">
        <f>IF(E449="","",IFERROR(IF(MATCH(E449,'Lista de excepciones'!$E:$E,0)&gt;0,1,0),0))</f>
        <v>0</v>
      </c>
      <c r="U449" s="6" t="str">
        <f t="shared" si="7"/>
        <v>NO</v>
      </c>
    </row>
    <row r="450" spans="1:21" hidden="1" x14ac:dyDescent="0.25">
      <c r="A450" s="7" t="str">
        <f>IF('Port Bloomberg'!A450="","",'Port Bloomberg'!A450)</f>
        <v>VALEBZ 6 02/25/56</v>
      </c>
      <c r="B450" s="7" t="str">
        <f>IF('Port Bloomberg'!B450="","",'Port Bloomberg'!B450)</f>
        <v>Vale Overseas Ltd</v>
      </c>
      <c r="C450" s="7" t="str">
        <f>IF('Port Bloomberg'!C450="","",'Port Bloomberg'!C450)</f>
        <v>VALE OVERSEAS</v>
      </c>
      <c r="D450" s="7" t="str">
        <f>IF('Port Bloomberg'!D450="","",'Port Bloomberg'!D450)</f>
        <v>VALE OVERSEAS LIMITED</v>
      </c>
      <c r="E450" s="7" t="str">
        <f>IF('Port Bloomberg'!E450="","",'Port Bloomberg'!E450)</f>
        <v>USG9317UAD75</v>
      </c>
      <c r="F450" s="7" t="str">
        <f>IF('Port Bloomberg'!F450="","",'Port Bloomberg'!F450)</f>
        <v>VALEBZ</v>
      </c>
      <c r="G450" s="7" t="str">
        <f>IF('Port Bloomberg'!G450="","",'Port Bloomberg'!G450)</f>
        <v>VALE3 BZ</v>
      </c>
      <c r="H450" s="7" t="str">
        <f>IF('Port Bloomberg'!H450="","",'Port Bloomberg'!H450)</f>
        <v>Iron/Steel</v>
      </c>
      <c r="I450" s="7" t="str">
        <f>IF('Port Bloomberg'!I450="","",'Port Bloomberg'!I450)</f>
        <v>IND</v>
      </c>
      <c r="J450" s="7" t="str">
        <f>IF('Port Bloomberg'!J450="","",'Port Bloomberg'!J450)</f>
        <v>Metal-Iron</v>
      </c>
      <c r="K450" s="7" t="str">
        <f>IF('Port Bloomberg'!K450="","",'Port Bloomberg'!K450)</f>
        <v>BR</v>
      </c>
      <c r="L450" s="7" t="str">
        <f>IF('Port Bloomberg'!L450="","",'Port Bloomberg'!L450)</f>
        <v>BR</v>
      </c>
      <c r="M450" s="7" t="str">
        <f>IF('Port Bloomberg'!M450="","",'Port Bloomberg'!M450)</f>
        <v>USD</v>
      </c>
      <c r="N450" s="7">
        <f>IF('Port Bloomberg'!N450="","",'Port Bloomberg'!N450)</f>
        <v>750000</v>
      </c>
      <c r="O450" s="7" t="str">
        <f>IF('Port Bloomberg'!O450="","",'Port Bloomberg'!O450)</f>
        <v>SINGLE</v>
      </c>
      <c r="P450" s="7">
        <f>IF('Port Bloomberg'!P450="","",'Port Bloomberg'!P450)</f>
        <v>6</v>
      </c>
      <c r="Q450" s="7" t="str">
        <f>IF('Port Bloomberg'!Q450="","",'Port Bloomberg'!Q450)</f>
        <v>BB+</v>
      </c>
      <c r="R450" s="7" t="str">
        <f>IF('Port Bloomberg'!R450="","",'Port Bloomberg'!R450)</f>
        <v>02/25/2056</v>
      </c>
      <c r="S450" s="5">
        <f>IF(E450="","",IFERROR(IF(MATCH(E450,[1]Instrumentos!$D:$D,0)&gt;0,1,0),0))</f>
        <v>1</v>
      </c>
      <c r="T450" s="5">
        <f>IF(E450="","",IFERROR(IF(MATCH(E450,'Lista de excepciones'!$E:$E,0)&gt;0,1,0),0))</f>
        <v>0</v>
      </c>
      <c r="U450" s="6" t="str">
        <f t="shared" si="7"/>
        <v>NO</v>
      </c>
    </row>
    <row r="451" spans="1:21" hidden="1" x14ac:dyDescent="0.25">
      <c r="A451" s="7" t="str">
        <f>IF('Port Bloomberg'!A451="","",'Port Bloomberg'!A451)</f>
        <v>VALEBZ 6 ⅛ 06/12/33</v>
      </c>
      <c r="B451" s="7" t="str">
        <f>IF('Port Bloomberg'!B451="","",'Port Bloomberg'!B451)</f>
        <v>Vale Overseas Ltd</v>
      </c>
      <c r="C451" s="7" t="str">
        <f>IF('Port Bloomberg'!C451="","",'Port Bloomberg'!C451)</f>
        <v>VALE OVERSEAS</v>
      </c>
      <c r="D451" s="7" t="str">
        <f>IF('Port Bloomberg'!D451="","",'Port Bloomberg'!D451)</f>
        <v>VALE OVERSEAS LIMITED</v>
      </c>
      <c r="E451" s="7" t="str">
        <f>IF('Port Bloomberg'!E451="","",'Port Bloomberg'!E451)</f>
        <v>US91911TAR41</v>
      </c>
      <c r="F451" s="7" t="str">
        <f>IF('Port Bloomberg'!F451="","",'Port Bloomberg'!F451)</f>
        <v>VALEBZ</v>
      </c>
      <c r="G451" s="7" t="str">
        <f>IF('Port Bloomberg'!G451="","",'Port Bloomberg'!G451)</f>
        <v>VALE3 BZ</v>
      </c>
      <c r="H451" s="7" t="str">
        <f>IF('Port Bloomberg'!H451="","",'Port Bloomberg'!H451)</f>
        <v>Iron/Steel</v>
      </c>
      <c r="I451" s="7" t="str">
        <f>IF('Port Bloomberg'!I451="","",'Port Bloomberg'!I451)</f>
        <v>IND</v>
      </c>
      <c r="J451" s="7" t="str">
        <f>IF('Port Bloomberg'!J451="","",'Port Bloomberg'!J451)</f>
        <v>Metal-Iron</v>
      </c>
      <c r="K451" s="7" t="str">
        <f>IF('Port Bloomberg'!K451="","",'Port Bloomberg'!K451)</f>
        <v>BR</v>
      </c>
      <c r="L451" s="7" t="str">
        <f>IF('Port Bloomberg'!L451="","",'Port Bloomberg'!L451)</f>
        <v>BR</v>
      </c>
      <c r="M451" s="7" t="str">
        <f>IF('Port Bloomberg'!M451="","",'Port Bloomberg'!M451)</f>
        <v>USD</v>
      </c>
      <c r="N451" s="7">
        <f>IF('Port Bloomberg'!N451="","",'Port Bloomberg'!N451)</f>
        <v>1500000</v>
      </c>
      <c r="O451" s="7" t="str">
        <f>IF('Port Bloomberg'!O451="","",'Port Bloomberg'!O451)</f>
        <v>SINGLE</v>
      </c>
      <c r="P451" s="7">
        <f>IF('Port Bloomberg'!P451="","",'Port Bloomberg'!P451)</f>
        <v>6.125</v>
      </c>
      <c r="Q451" s="7" t="str">
        <f>IF('Port Bloomberg'!Q451="","",'Port Bloomberg'!Q451)</f>
        <v>BBB</v>
      </c>
      <c r="R451" s="7" t="str">
        <f>IF('Port Bloomberg'!R451="","",'Port Bloomberg'!R451)</f>
        <v>06/12/2033</v>
      </c>
      <c r="S451" s="5">
        <f>IF(E451="","",IFERROR(IF(MATCH(E451,[1]Instrumentos!$D:$D,0)&gt;0,1,0),0))</f>
        <v>1</v>
      </c>
      <c r="T451" s="5">
        <f>IF(E451="","",IFERROR(IF(MATCH(E451,'Lista de excepciones'!$E:$E,0)&gt;0,1,0),0))</f>
        <v>0</v>
      </c>
      <c r="U451" s="6" t="str">
        <f t="shared" ref="U451:U514" si="8">IF(E451="","",IF(S451+T451=0,"AGREGAR/REVISAR","NO"))</f>
        <v>NO</v>
      </c>
    </row>
    <row r="452" spans="1:21" hidden="1" x14ac:dyDescent="0.25">
      <c r="A452" s="7" t="str">
        <f>IF('Port Bloomberg'!A452="","",'Port Bloomberg'!A452)</f>
        <v>VALEBZ 6 ⅞ 11/10/39</v>
      </c>
      <c r="B452" s="7" t="str">
        <f>IF('Port Bloomberg'!B452="","",'Port Bloomberg'!B452)</f>
        <v>Vale Overseas Ltd</v>
      </c>
      <c r="C452" s="7" t="str">
        <f>IF('Port Bloomberg'!C452="","",'Port Bloomberg'!C452)</f>
        <v>VALE OVERSEAS</v>
      </c>
      <c r="D452" s="7" t="str">
        <f>IF('Port Bloomberg'!D452="","",'Port Bloomberg'!D452)</f>
        <v>VALE OVERSEAS LIMITED</v>
      </c>
      <c r="E452" s="7" t="str">
        <f>IF('Port Bloomberg'!E452="","",'Port Bloomberg'!E452)</f>
        <v>US91911TAK97</v>
      </c>
      <c r="F452" s="7" t="str">
        <f>IF('Port Bloomberg'!F452="","",'Port Bloomberg'!F452)</f>
        <v>VALEBZ</v>
      </c>
      <c r="G452" s="7" t="str">
        <f>IF('Port Bloomberg'!G452="","",'Port Bloomberg'!G452)</f>
        <v>VALE3 BZ</v>
      </c>
      <c r="H452" s="7" t="str">
        <f>IF('Port Bloomberg'!H452="","",'Port Bloomberg'!H452)</f>
        <v>Iron/Steel</v>
      </c>
      <c r="I452" s="7" t="str">
        <f>IF('Port Bloomberg'!I452="","",'Port Bloomberg'!I452)</f>
        <v>IND</v>
      </c>
      <c r="J452" s="7" t="str">
        <f>IF('Port Bloomberg'!J452="","",'Port Bloomberg'!J452)</f>
        <v>Metal-Iron</v>
      </c>
      <c r="K452" s="7" t="str">
        <f>IF('Port Bloomberg'!K452="","",'Port Bloomberg'!K452)</f>
        <v>BR</v>
      </c>
      <c r="L452" s="7" t="str">
        <f>IF('Port Bloomberg'!L452="","",'Port Bloomberg'!L452)</f>
        <v>BR</v>
      </c>
      <c r="M452" s="7" t="str">
        <f>IF('Port Bloomberg'!M452="","",'Port Bloomberg'!M452)</f>
        <v>USD</v>
      </c>
      <c r="N452" s="7">
        <f>IF('Port Bloomberg'!N452="","",'Port Bloomberg'!N452)</f>
        <v>1750000</v>
      </c>
      <c r="O452" s="7" t="str">
        <f>IF('Port Bloomberg'!O452="","",'Port Bloomberg'!O452)</f>
        <v>SINGLE</v>
      </c>
      <c r="P452" s="7">
        <f>IF('Port Bloomberg'!P452="","",'Port Bloomberg'!P452)</f>
        <v>6.875</v>
      </c>
      <c r="Q452" s="7" t="str">
        <f>IF('Port Bloomberg'!Q452="","",'Port Bloomberg'!Q452)</f>
        <v>BBB</v>
      </c>
      <c r="R452" s="7" t="str">
        <f>IF('Port Bloomberg'!R452="","",'Port Bloomberg'!R452)</f>
        <v>11/10/2039</v>
      </c>
      <c r="S452" s="5">
        <f>IF(E452="","",IFERROR(IF(MATCH(E452,[1]Instrumentos!$D:$D,0)&gt;0,1,0),0))</f>
        <v>1</v>
      </c>
      <c r="T452" s="5">
        <f>IF(E452="","",IFERROR(IF(MATCH(E452,'Lista de excepciones'!$E:$E,0)&gt;0,1,0),0))</f>
        <v>0</v>
      </c>
      <c r="U452" s="6" t="str">
        <f t="shared" si="8"/>
        <v>NO</v>
      </c>
    </row>
    <row r="453" spans="1:21" hidden="1" x14ac:dyDescent="0.25">
      <c r="A453" s="7" t="str">
        <f>IF('Port Bloomberg'!A453="","",'Port Bloomberg'!A453)</f>
        <v>VALEBZ 6 ⅞ 11/21/36</v>
      </c>
      <c r="B453" s="7" t="str">
        <f>IF('Port Bloomberg'!B453="","",'Port Bloomberg'!B453)</f>
        <v>Vale Overseas Ltd</v>
      </c>
      <c r="C453" s="7" t="str">
        <f>IF('Port Bloomberg'!C453="","",'Port Bloomberg'!C453)</f>
        <v>VALE OVERSEAS</v>
      </c>
      <c r="D453" s="7" t="str">
        <f>IF('Port Bloomberg'!D453="","",'Port Bloomberg'!D453)</f>
        <v>VALE OVERSEAS LIMITED</v>
      </c>
      <c r="E453" s="7" t="str">
        <f>IF('Port Bloomberg'!E453="","",'Port Bloomberg'!E453)</f>
        <v>US91911TAH68</v>
      </c>
      <c r="F453" s="7" t="str">
        <f>IF('Port Bloomberg'!F453="","",'Port Bloomberg'!F453)</f>
        <v>VALEBZ</v>
      </c>
      <c r="G453" s="7" t="str">
        <f>IF('Port Bloomberg'!G453="","",'Port Bloomberg'!G453)</f>
        <v>VALE3 BZ</v>
      </c>
      <c r="H453" s="7" t="str">
        <f>IF('Port Bloomberg'!H453="","",'Port Bloomberg'!H453)</f>
        <v>Iron/Steel</v>
      </c>
      <c r="I453" s="7" t="str">
        <f>IF('Port Bloomberg'!I453="","",'Port Bloomberg'!I453)</f>
        <v>IND</v>
      </c>
      <c r="J453" s="7" t="str">
        <f>IF('Port Bloomberg'!J453="","",'Port Bloomberg'!J453)</f>
        <v>Metal-Iron</v>
      </c>
      <c r="K453" s="7" t="str">
        <f>IF('Port Bloomberg'!K453="","",'Port Bloomberg'!K453)</f>
        <v>BR</v>
      </c>
      <c r="L453" s="7" t="str">
        <f>IF('Port Bloomberg'!L453="","",'Port Bloomberg'!L453)</f>
        <v>BR</v>
      </c>
      <c r="M453" s="7" t="str">
        <f>IF('Port Bloomberg'!M453="","",'Port Bloomberg'!M453)</f>
        <v>USD</v>
      </c>
      <c r="N453" s="7">
        <f>IF('Port Bloomberg'!N453="","",'Port Bloomberg'!N453)</f>
        <v>2500000</v>
      </c>
      <c r="O453" s="7" t="str">
        <f>IF('Port Bloomberg'!O453="","",'Port Bloomberg'!O453)</f>
        <v>SINGLE</v>
      </c>
      <c r="P453" s="7">
        <f>IF('Port Bloomberg'!P453="","",'Port Bloomberg'!P453)</f>
        <v>6.875</v>
      </c>
      <c r="Q453" s="7" t="str">
        <f>IF('Port Bloomberg'!Q453="","",'Port Bloomberg'!Q453)</f>
        <v>BBB</v>
      </c>
      <c r="R453" s="7" t="str">
        <f>IF('Port Bloomberg'!R453="","",'Port Bloomberg'!R453)</f>
        <v>11/21/2036</v>
      </c>
      <c r="S453" s="5">
        <f>IF(E453="","",IFERROR(IF(MATCH(E453,[1]Instrumentos!$D:$D,0)&gt;0,1,0),0))</f>
        <v>1</v>
      </c>
      <c r="T453" s="5">
        <f>IF(E453="","",IFERROR(IF(MATCH(E453,'Lista de excepciones'!$E:$E,0)&gt;0,1,0),0))</f>
        <v>0</v>
      </c>
      <c r="U453" s="6" t="str">
        <f t="shared" si="8"/>
        <v>NO</v>
      </c>
    </row>
    <row r="454" spans="1:21" hidden="1" x14ac:dyDescent="0.25">
      <c r="A454" s="7" t="str">
        <f>IF('Port Bloomberg'!A454="","",'Port Bloomberg'!A454)</f>
        <v>VALEBZ 6.4 06/28/54</v>
      </c>
      <c r="B454" s="7" t="str">
        <f>IF('Port Bloomberg'!B454="","",'Port Bloomberg'!B454)</f>
        <v>Vale Overseas Ltd</v>
      </c>
      <c r="C454" s="7" t="str">
        <f>IF('Port Bloomberg'!C454="","",'Port Bloomberg'!C454)</f>
        <v>VALE OVERSEAS</v>
      </c>
      <c r="D454" s="7" t="str">
        <f>IF('Port Bloomberg'!D454="","",'Port Bloomberg'!D454)</f>
        <v>VALE OVERSEAS LIMITED</v>
      </c>
      <c r="E454" s="7" t="str">
        <f>IF('Port Bloomberg'!E454="","",'Port Bloomberg'!E454)</f>
        <v>US91911TAS24</v>
      </c>
      <c r="F454" s="7" t="str">
        <f>IF('Port Bloomberg'!F454="","",'Port Bloomberg'!F454)</f>
        <v>VALEBZ</v>
      </c>
      <c r="G454" s="7" t="str">
        <f>IF('Port Bloomberg'!G454="","",'Port Bloomberg'!G454)</f>
        <v>VALE3 BZ</v>
      </c>
      <c r="H454" s="7" t="str">
        <f>IF('Port Bloomberg'!H454="","",'Port Bloomberg'!H454)</f>
        <v>Iron/Steel</v>
      </c>
      <c r="I454" s="7" t="str">
        <f>IF('Port Bloomberg'!I454="","",'Port Bloomberg'!I454)</f>
        <v>IND</v>
      </c>
      <c r="J454" s="7" t="str">
        <f>IF('Port Bloomberg'!J454="","",'Port Bloomberg'!J454)</f>
        <v>Metal-Iron</v>
      </c>
      <c r="K454" s="7" t="str">
        <f>IF('Port Bloomberg'!K454="","",'Port Bloomberg'!K454)</f>
        <v>BR</v>
      </c>
      <c r="L454" s="7" t="str">
        <f>IF('Port Bloomberg'!L454="","",'Port Bloomberg'!L454)</f>
        <v>BR</v>
      </c>
      <c r="M454" s="7" t="str">
        <f>IF('Port Bloomberg'!M454="","",'Port Bloomberg'!M454)</f>
        <v>USD</v>
      </c>
      <c r="N454" s="7">
        <f>IF('Port Bloomberg'!N454="","",'Port Bloomberg'!N454)</f>
        <v>1750000</v>
      </c>
      <c r="O454" s="7" t="str">
        <f>IF('Port Bloomberg'!O454="","",'Port Bloomberg'!O454)</f>
        <v>SINGLE</v>
      </c>
      <c r="P454" s="7">
        <f>IF('Port Bloomberg'!P454="","",'Port Bloomberg'!P454)</f>
        <v>6.4</v>
      </c>
      <c r="Q454" s="7" t="str">
        <f>IF('Port Bloomberg'!Q454="","",'Port Bloomberg'!Q454)</f>
        <v>BBB</v>
      </c>
      <c r="R454" s="7" t="str">
        <f>IF('Port Bloomberg'!R454="","",'Port Bloomberg'!R454)</f>
        <v>06/28/2054</v>
      </c>
      <c r="S454" s="5">
        <f>IF(E454="","",IFERROR(IF(MATCH(E454,[1]Instrumentos!$D:$D,0)&gt;0,1,0),0))</f>
        <v>1</v>
      </c>
      <c r="T454" s="5">
        <f>IF(E454="","",IFERROR(IF(MATCH(E454,'Lista de excepciones'!$E:$E,0)&gt;0,1,0),0))</f>
        <v>0</v>
      </c>
      <c r="U454" s="6" t="str">
        <f t="shared" si="8"/>
        <v>NO</v>
      </c>
    </row>
    <row r="455" spans="1:21" hidden="1" x14ac:dyDescent="0.25">
      <c r="A455" s="7" t="str">
        <f>IF('Port Bloomberg'!A455="","",'Port Bloomberg'!A455)</f>
        <v>VALEBZ 8 ¼ 01/17/34</v>
      </c>
      <c r="B455" s="7" t="str">
        <f>IF('Port Bloomberg'!B455="","",'Port Bloomberg'!B455)</f>
        <v>Vale Overseas Ltd</v>
      </c>
      <c r="C455" s="7" t="str">
        <f>IF('Port Bloomberg'!C455="","",'Port Bloomberg'!C455)</f>
        <v>VALE OVERSEAS</v>
      </c>
      <c r="D455" s="7" t="str">
        <f>IF('Port Bloomberg'!D455="","",'Port Bloomberg'!D455)</f>
        <v>VALE OVERSEAS LIMITED</v>
      </c>
      <c r="E455" s="7" t="str">
        <f>IF('Port Bloomberg'!E455="","",'Port Bloomberg'!E455)</f>
        <v>US91911TAE38</v>
      </c>
      <c r="F455" s="7" t="str">
        <f>IF('Port Bloomberg'!F455="","",'Port Bloomberg'!F455)</f>
        <v>VALEBZ</v>
      </c>
      <c r="G455" s="7" t="str">
        <f>IF('Port Bloomberg'!G455="","",'Port Bloomberg'!G455)</f>
        <v>VALE3 BZ</v>
      </c>
      <c r="H455" s="7" t="str">
        <f>IF('Port Bloomberg'!H455="","",'Port Bloomberg'!H455)</f>
        <v>Iron/Steel</v>
      </c>
      <c r="I455" s="7" t="str">
        <f>IF('Port Bloomberg'!I455="","",'Port Bloomberg'!I455)</f>
        <v>IND</v>
      </c>
      <c r="J455" s="7" t="str">
        <f>IF('Port Bloomberg'!J455="","",'Port Bloomberg'!J455)</f>
        <v>Metal-Iron</v>
      </c>
      <c r="K455" s="7" t="str">
        <f>IF('Port Bloomberg'!K455="","",'Port Bloomberg'!K455)</f>
        <v>BR</v>
      </c>
      <c r="L455" s="7" t="str">
        <f>IF('Port Bloomberg'!L455="","",'Port Bloomberg'!L455)</f>
        <v>BR</v>
      </c>
      <c r="M455" s="7" t="str">
        <f>IF('Port Bloomberg'!M455="","",'Port Bloomberg'!M455)</f>
        <v>USD</v>
      </c>
      <c r="N455" s="7">
        <f>IF('Port Bloomberg'!N455="","",'Port Bloomberg'!N455)</f>
        <v>800000</v>
      </c>
      <c r="O455" s="7" t="str">
        <f>IF('Port Bloomberg'!O455="","",'Port Bloomberg'!O455)</f>
        <v>SINGLE</v>
      </c>
      <c r="P455" s="7">
        <f>IF('Port Bloomberg'!P455="","",'Port Bloomberg'!P455)</f>
        <v>8.25</v>
      </c>
      <c r="Q455" s="7" t="str">
        <f>IF('Port Bloomberg'!Q455="","",'Port Bloomberg'!Q455)</f>
        <v>BBB</v>
      </c>
      <c r="R455" s="7" t="str">
        <f>IF('Port Bloomberg'!R455="","",'Port Bloomberg'!R455)</f>
        <v>01/17/2034</v>
      </c>
      <c r="S455" s="5">
        <f>IF(E455="","",IFERROR(IF(MATCH(E455,[1]Instrumentos!$D:$D,0)&gt;0,1,0),0))</f>
        <v>1</v>
      </c>
      <c r="T455" s="5">
        <f>IF(E455="","",IFERROR(IF(MATCH(E455,'Lista de excepciones'!$E:$E,0)&gt;0,1,0),0))</f>
        <v>0</v>
      </c>
      <c r="U455" s="6" t="str">
        <f t="shared" si="8"/>
        <v>NO</v>
      </c>
    </row>
    <row r="456" spans="1:21" hidden="1" x14ac:dyDescent="0.25">
      <c r="A456" s="7" t="str">
        <f>IF('Port Bloomberg'!A456="","",'Port Bloomberg'!A456)</f>
        <v>VALIAE 7 ⅞ 02/15/39</v>
      </c>
      <c r="B456" s="7" t="str">
        <f>IF('Port Bloomberg'!B456="","",'Port Bloomberg'!B456)</f>
        <v>Buffalo Energy Mexico Holdings / Buffalo Energy Infrastructure / Buffalo Energy</v>
      </c>
      <c r="C456" s="7" t="str">
        <f>IF('Port Bloomberg'!C456="","",'Port Bloomberg'!C456)</f>
        <v>BUFFALO ENERGY</v>
      </c>
      <c r="D456" s="7" t="str">
        <f>IF('Port Bloomberg'!D456="","",'Port Bloomberg'!D456)</f>
        <v>BUFFALO ENERGY MX HLDGS</v>
      </c>
      <c r="E456" s="7" t="str">
        <f>IF('Port Bloomberg'!E456="","",'Port Bloomberg'!E456)</f>
        <v>USP1915AAA09</v>
      </c>
      <c r="F456" s="7" t="str">
        <f>IF('Port Bloomberg'!F456="","",'Port Bloomberg'!F456)</f>
        <v>VALIAE</v>
      </c>
      <c r="G456" s="7" t="str">
        <f>IF('Port Bloomberg'!G456="","",'Port Bloomberg'!G456)</f>
        <v/>
      </c>
      <c r="H456" s="7" t="str">
        <f>IF('Port Bloomberg'!H456="","",'Port Bloomberg'!H456)</f>
        <v>Electric</v>
      </c>
      <c r="I456" s="7" t="str">
        <f>IF('Port Bloomberg'!I456="","",'Port Bloomberg'!I456)</f>
        <v>UTL</v>
      </c>
      <c r="J456" s="7" t="str">
        <f>IF('Port Bloomberg'!J456="","",'Port Bloomberg'!J456)</f>
        <v>Electric-Generation</v>
      </c>
      <c r="K456" s="7" t="str">
        <f>IF('Port Bloomberg'!K456="","",'Port Bloomberg'!K456)</f>
        <v>MX</v>
      </c>
      <c r="L456" s="7" t="str">
        <f>IF('Port Bloomberg'!L456="","",'Port Bloomberg'!L456)</f>
        <v>MX</v>
      </c>
      <c r="M456" s="7" t="str">
        <f>IF('Port Bloomberg'!M456="","",'Port Bloomberg'!M456)</f>
        <v>USD</v>
      </c>
      <c r="N456" s="7">
        <f>IF('Port Bloomberg'!N456="","",'Port Bloomberg'!N456)</f>
        <v>530000</v>
      </c>
      <c r="O456" s="7" t="str">
        <f>IF('Port Bloomberg'!O456="","",'Port Bloomberg'!O456)</f>
        <v>SINGLE</v>
      </c>
      <c r="P456" s="7">
        <f>IF('Port Bloomberg'!P456="","",'Port Bloomberg'!P456)</f>
        <v>7.875</v>
      </c>
      <c r="Q456" s="7" t="str">
        <f>IF('Port Bloomberg'!Q456="","",'Port Bloomberg'!Q456)</f>
        <v>BBB-</v>
      </c>
      <c r="R456" s="7" t="str">
        <f>IF('Port Bloomberg'!R456="","",'Port Bloomberg'!R456)</f>
        <v>02/15/2039</v>
      </c>
      <c r="S456" s="5">
        <f>IF(E456="","",IFERROR(IF(MATCH(E456,[1]Instrumentos!$D:$D,0)&gt;0,1,0),0))</f>
        <v>0</v>
      </c>
      <c r="T456" s="5">
        <f>IF(E456="","",IFERROR(IF(MATCH(E456,'Lista de excepciones'!$E:$E,0)&gt;0,1,0),0))</f>
        <v>1</v>
      </c>
      <c r="U456" s="6" t="str">
        <f t="shared" si="8"/>
        <v>NO</v>
      </c>
    </row>
    <row r="457" spans="1:21" hidden="1" x14ac:dyDescent="0.25">
      <c r="A457" s="7" t="str">
        <f>IF('Port Bloomberg'!A457="","",'Port Bloomberg'!A457)</f>
        <v>VAMOBZ 9.2 01/26/31</v>
      </c>
      <c r="B457" s="7" t="str">
        <f>IF('Port Bloomberg'!B457="","",'Port Bloomberg'!B457)</f>
        <v>Vamos Europe SA</v>
      </c>
      <c r="C457" s="7" t="str">
        <f>IF('Port Bloomberg'!C457="","",'Port Bloomberg'!C457)</f>
        <v>VAMOS EUROPE SA</v>
      </c>
      <c r="D457" s="7" t="str">
        <f>IF('Port Bloomberg'!D457="","",'Port Bloomberg'!D457)</f>
        <v>VAMOS EUROPE SA</v>
      </c>
      <c r="E457" s="7" t="str">
        <f>IF('Port Bloomberg'!E457="","",'Port Bloomberg'!E457)</f>
        <v>USL96308AA64</v>
      </c>
      <c r="F457" s="7" t="str">
        <f>IF('Port Bloomberg'!F457="","",'Port Bloomberg'!F457)</f>
        <v>VAMOBZ</v>
      </c>
      <c r="G457" s="7" t="str">
        <f>IF('Port Bloomberg'!G457="","",'Port Bloomberg'!G457)</f>
        <v>VAMO3 BZ</v>
      </c>
      <c r="H457" s="7" t="str">
        <f>IF('Port Bloomberg'!H457="","",'Port Bloomberg'!H457)</f>
        <v>Distribution/Wholesale</v>
      </c>
      <c r="I457" s="7" t="str">
        <f>IF('Port Bloomberg'!I457="","",'Port Bloomberg'!I457)</f>
        <v>IND</v>
      </c>
      <c r="J457" s="7" t="str">
        <f>IF('Port Bloomberg'!J457="","",'Port Bloomberg'!J457)</f>
        <v>Distribution/Wholesale</v>
      </c>
      <c r="K457" s="7" t="str">
        <f>IF('Port Bloomberg'!K457="","",'Port Bloomberg'!K457)</f>
        <v>LU</v>
      </c>
      <c r="L457" s="7" t="str">
        <f>IF('Port Bloomberg'!L457="","",'Port Bloomberg'!L457)</f>
        <v>BR</v>
      </c>
      <c r="M457" s="7" t="str">
        <f>IF('Port Bloomberg'!M457="","",'Port Bloomberg'!M457)</f>
        <v>USD</v>
      </c>
      <c r="N457" s="7">
        <f>IF('Port Bloomberg'!N457="","",'Port Bloomberg'!N457)</f>
        <v>300000</v>
      </c>
      <c r="O457" s="7" t="str">
        <f>IF('Port Bloomberg'!O457="","",'Port Bloomberg'!O457)</f>
        <v>SINGLE</v>
      </c>
      <c r="P457" s="7">
        <f>IF('Port Bloomberg'!P457="","",'Port Bloomberg'!P457)</f>
        <v>9.1999999999999993</v>
      </c>
      <c r="Q457" s="7" t="str">
        <f>IF('Port Bloomberg'!Q457="","",'Port Bloomberg'!Q457)</f>
        <v>BB-</v>
      </c>
      <c r="R457" s="7" t="str">
        <f>IF('Port Bloomberg'!R457="","",'Port Bloomberg'!R457)</f>
        <v>01/26/2031</v>
      </c>
      <c r="S457" s="5">
        <f>IF(E457="","",IFERROR(IF(MATCH(E457,[1]Instrumentos!$D:$D,0)&gt;0,1,0),0))</f>
        <v>0</v>
      </c>
      <c r="T457" s="5">
        <f>IF(E457="","",IFERROR(IF(MATCH(E457,'Lista de excepciones'!$E:$E,0)&gt;0,1,0),0))</f>
        <v>1</v>
      </c>
      <c r="U457" s="6" t="str">
        <f t="shared" si="8"/>
        <v>NO</v>
      </c>
    </row>
    <row r="458" spans="1:21" hidden="1" x14ac:dyDescent="0.25">
      <c r="A458" s="7" t="str">
        <f>IF('Port Bloomberg'!A458="","",'Port Bloomberg'!A458)</f>
        <v>VESTA 3 ⅝ 05/13/31</v>
      </c>
      <c r="B458" s="7" t="str">
        <f>IF('Port Bloomberg'!B458="","",'Port Bloomberg'!B458)</f>
        <v>Corp Inmobiliaria Vesta SAB de CV</v>
      </c>
      <c r="C458" s="7" t="str">
        <f>IF('Port Bloomberg'!C458="","",'Port Bloomberg'!C458)</f>
        <v>CORPORACION INMO</v>
      </c>
      <c r="D458" s="7" t="str">
        <f>IF('Port Bloomberg'!D458="","",'Port Bloomberg'!D458)</f>
        <v>CORPORACION INMOBILIARIA</v>
      </c>
      <c r="E458" s="7" t="str">
        <f>IF('Port Bloomberg'!E458="","",'Port Bloomberg'!E458)</f>
        <v>USP3146DAA11</v>
      </c>
      <c r="F458" s="7" t="str">
        <f>IF('Port Bloomberg'!F458="","",'Port Bloomberg'!F458)</f>
        <v>VESTA</v>
      </c>
      <c r="G458" s="7" t="str">
        <f>IF('Port Bloomberg'!G458="","",'Port Bloomberg'!G458)</f>
        <v>VESTA* MM</v>
      </c>
      <c r="H458" s="7" t="str">
        <f>IF('Port Bloomberg'!H458="","",'Port Bloomberg'!H458)</f>
        <v>Real Estate</v>
      </c>
      <c r="I458" s="7" t="str">
        <f>IF('Port Bloomberg'!I458="","",'Port Bloomberg'!I458)</f>
        <v>FIN</v>
      </c>
      <c r="J458" s="7" t="str">
        <f>IF('Port Bloomberg'!J458="","",'Port Bloomberg'!J458)</f>
        <v>Real Estate Oper/Develop</v>
      </c>
      <c r="K458" s="7" t="str">
        <f>IF('Port Bloomberg'!K458="","",'Port Bloomberg'!K458)</f>
        <v>MX</v>
      </c>
      <c r="L458" s="7" t="str">
        <f>IF('Port Bloomberg'!L458="","",'Port Bloomberg'!L458)</f>
        <v>MX</v>
      </c>
      <c r="M458" s="7" t="str">
        <f>IF('Port Bloomberg'!M458="","",'Port Bloomberg'!M458)</f>
        <v>USD</v>
      </c>
      <c r="N458" s="7">
        <f>IF('Port Bloomberg'!N458="","",'Port Bloomberg'!N458)</f>
        <v>350000</v>
      </c>
      <c r="O458" s="7" t="str">
        <f>IF('Port Bloomberg'!O458="","",'Port Bloomberg'!O458)</f>
        <v>SINGLE</v>
      </c>
      <c r="P458" s="7">
        <f>IF('Port Bloomberg'!P458="","",'Port Bloomberg'!P458)</f>
        <v>3.625</v>
      </c>
      <c r="Q458" s="7" t="str">
        <f>IF('Port Bloomberg'!Q458="","",'Port Bloomberg'!Q458)</f>
        <v>BBB-</v>
      </c>
      <c r="R458" s="7" t="str">
        <f>IF('Port Bloomberg'!R458="","",'Port Bloomberg'!R458)</f>
        <v>05/13/2031</v>
      </c>
      <c r="S458" s="5">
        <f>IF(E458="","",IFERROR(IF(MATCH(E458,[1]Instrumentos!$D:$D,0)&gt;0,1,0),0))</f>
        <v>1</v>
      </c>
      <c r="T458" s="5">
        <f>IF(E458="","",IFERROR(IF(MATCH(E458,'Lista de excepciones'!$E:$E,0)&gt;0,1,0),0))</f>
        <v>0</v>
      </c>
      <c r="U458" s="6" t="str">
        <f t="shared" si="8"/>
        <v>NO</v>
      </c>
    </row>
    <row r="459" spans="1:21" hidden="1" x14ac:dyDescent="0.25">
      <c r="A459" s="7" t="str">
        <f>IF('Port Bloomberg'!A459="","",'Port Bloomberg'!A459)</f>
        <v>VESTA 5 ½ 01/30/33</v>
      </c>
      <c r="B459" s="7" t="str">
        <f>IF('Port Bloomberg'!B459="","",'Port Bloomberg'!B459)</f>
        <v>Corp Inmobiliaria Vesta SAB de CV</v>
      </c>
      <c r="C459" s="7" t="str">
        <f>IF('Port Bloomberg'!C459="","",'Port Bloomberg'!C459)</f>
        <v>CORPORACION INMO</v>
      </c>
      <c r="D459" s="7" t="str">
        <f>IF('Port Bloomberg'!D459="","",'Port Bloomberg'!D459)</f>
        <v>CORPORACION INMOBILIARIA</v>
      </c>
      <c r="E459" s="7" t="str">
        <f>IF('Port Bloomberg'!E459="","",'Port Bloomberg'!E459)</f>
        <v>USP3146DAB93</v>
      </c>
      <c r="F459" s="7" t="str">
        <f>IF('Port Bloomberg'!F459="","",'Port Bloomberg'!F459)</f>
        <v>VESTA</v>
      </c>
      <c r="G459" s="7" t="str">
        <f>IF('Port Bloomberg'!G459="","",'Port Bloomberg'!G459)</f>
        <v>VESTA* MM</v>
      </c>
      <c r="H459" s="7" t="str">
        <f>IF('Port Bloomberg'!H459="","",'Port Bloomberg'!H459)</f>
        <v>Real Estate</v>
      </c>
      <c r="I459" s="7" t="str">
        <f>IF('Port Bloomberg'!I459="","",'Port Bloomberg'!I459)</f>
        <v>FIN</v>
      </c>
      <c r="J459" s="7" t="str">
        <f>IF('Port Bloomberg'!J459="","",'Port Bloomberg'!J459)</f>
        <v>Real Estate Oper/Develop</v>
      </c>
      <c r="K459" s="7" t="str">
        <f>IF('Port Bloomberg'!K459="","",'Port Bloomberg'!K459)</f>
        <v>MX</v>
      </c>
      <c r="L459" s="7" t="str">
        <f>IF('Port Bloomberg'!L459="","",'Port Bloomberg'!L459)</f>
        <v>MX</v>
      </c>
      <c r="M459" s="7" t="str">
        <f>IF('Port Bloomberg'!M459="","",'Port Bloomberg'!M459)</f>
        <v>USD</v>
      </c>
      <c r="N459" s="7">
        <f>IF('Port Bloomberg'!N459="","",'Port Bloomberg'!N459)</f>
        <v>500000</v>
      </c>
      <c r="O459" s="7" t="str">
        <f>IF('Port Bloomberg'!O459="","",'Port Bloomberg'!O459)</f>
        <v>SINGLE</v>
      </c>
      <c r="P459" s="7">
        <f>IF('Port Bloomberg'!P459="","",'Port Bloomberg'!P459)</f>
        <v>5.5</v>
      </c>
      <c r="Q459" s="7" t="str">
        <f>IF('Port Bloomberg'!Q459="","",'Port Bloomberg'!Q459)</f>
        <v>BBB-</v>
      </c>
      <c r="R459" s="7" t="str">
        <f>IF('Port Bloomberg'!R459="","",'Port Bloomberg'!R459)</f>
        <v>01/30/2033</v>
      </c>
      <c r="S459" s="5">
        <f>IF(E459="","",IFERROR(IF(MATCH(E459,[1]Instrumentos!$D:$D,0)&gt;0,1,0),0))</f>
        <v>1</v>
      </c>
      <c r="T459" s="5">
        <f>IF(E459="","",IFERROR(IF(MATCH(E459,'Lista de excepciones'!$E:$E,0)&gt;0,1,0),0))</f>
        <v>0</v>
      </c>
      <c r="U459" s="6" t="str">
        <f t="shared" si="8"/>
        <v>NO</v>
      </c>
    </row>
    <row r="460" spans="1:21" hidden="1" x14ac:dyDescent="0.25">
      <c r="A460" s="7" t="str">
        <f>IF('Port Bloomberg'!A460="","",'Port Bloomberg'!A460)</f>
        <v>VOLCAN 8 ½ 10/28/32</v>
      </c>
      <c r="B460" s="7" t="str">
        <f>IF('Port Bloomberg'!B460="","",'Port Bloomberg'!B460)</f>
        <v>Volcan Cia Minera SAA</v>
      </c>
      <c r="C460" s="7" t="str">
        <f>IF('Port Bloomberg'!C460="","",'Port Bloomberg'!C460)</f>
        <v>VOLCAN CIA MIN-B</v>
      </c>
      <c r="D460" s="7" t="str">
        <f>IF('Port Bloomberg'!D460="","",'Port Bloomberg'!D460)</f>
        <v>VOLCAN CIA MINERA SAA-CM</v>
      </c>
      <c r="E460" s="7" t="str">
        <f>IF('Port Bloomberg'!E460="","",'Port Bloomberg'!E460)</f>
        <v>USP98047AE63</v>
      </c>
      <c r="F460" s="7" t="str">
        <f>IF('Port Bloomberg'!F460="","",'Port Bloomberg'!F460)</f>
        <v>VOLCAN</v>
      </c>
      <c r="G460" s="7" t="str">
        <f>IF('Port Bloomberg'!G460="","",'Port Bloomberg'!G460)</f>
        <v>VOLCABC1 PE</v>
      </c>
      <c r="H460" s="7" t="str">
        <f>IF('Port Bloomberg'!H460="","",'Port Bloomberg'!H460)</f>
        <v>Mining</v>
      </c>
      <c r="I460" s="7" t="str">
        <f>IF('Port Bloomberg'!I460="","",'Port Bloomberg'!I460)</f>
        <v>IND</v>
      </c>
      <c r="J460" s="7" t="str">
        <f>IF('Port Bloomberg'!J460="","",'Port Bloomberg'!J460)</f>
        <v>Non-Ferrous Metals</v>
      </c>
      <c r="K460" s="7" t="str">
        <f>IF('Port Bloomberg'!K460="","",'Port Bloomberg'!K460)</f>
        <v>PE</v>
      </c>
      <c r="L460" s="7" t="str">
        <f>IF('Port Bloomberg'!L460="","",'Port Bloomberg'!L460)</f>
        <v>PE</v>
      </c>
      <c r="M460" s="7" t="str">
        <f>IF('Port Bloomberg'!M460="","",'Port Bloomberg'!M460)</f>
        <v>USD</v>
      </c>
      <c r="N460" s="7">
        <f>IF('Port Bloomberg'!N460="","",'Port Bloomberg'!N460)</f>
        <v>970000</v>
      </c>
      <c r="O460" s="7" t="str">
        <f>IF('Port Bloomberg'!O460="","",'Port Bloomberg'!O460)</f>
        <v>SINGLE</v>
      </c>
      <c r="P460" s="7">
        <f>IF('Port Bloomberg'!P460="","",'Port Bloomberg'!P460)</f>
        <v>8.5</v>
      </c>
      <c r="Q460" s="7" t="str">
        <f>IF('Port Bloomberg'!Q460="","",'Port Bloomberg'!Q460)</f>
        <v>B+</v>
      </c>
      <c r="R460" s="7" t="str">
        <f>IF('Port Bloomberg'!R460="","",'Port Bloomberg'!R460)</f>
        <v>10/28/2032</v>
      </c>
      <c r="S460" s="5">
        <f>IF(E460="","",IFERROR(IF(MATCH(E460,[1]Instrumentos!$D:$D,0)&gt;0,1,0),0))</f>
        <v>1</v>
      </c>
      <c r="T460" s="5">
        <f>IF(E460="","",IFERROR(IF(MATCH(E460,'Lista de excepciones'!$E:$E,0)&gt;0,1,0),0))</f>
        <v>0</v>
      </c>
      <c r="U460" s="6" t="str">
        <f t="shared" si="8"/>
        <v>NO</v>
      </c>
    </row>
    <row r="461" spans="1:21" hidden="1" x14ac:dyDescent="0.25">
      <c r="A461" s="7" t="str">
        <f>IF('Port Bloomberg'!A461="","",'Port Bloomberg'!A461)</f>
        <v>VOTORA 5 ¾ 04/02/34</v>
      </c>
      <c r="B461" s="7" t="str">
        <f>IF('Port Bloomberg'!B461="","",'Port Bloomberg'!B461)</f>
        <v>St Marys Cement Inc Canada</v>
      </c>
      <c r="C461" s="7" t="str">
        <f>IF('Port Bloomberg'!C461="","",'Port Bloomberg'!C461)</f>
        <v>ST MARYS CEMEN</v>
      </c>
      <c r="D461" s="7" t="str">
        <f>IF('Port Bloomberg'!D461="","",'Port Bloomberg'!D461)</f>
        <v>ST MARYS CEMENT INC</v>
      </c>
      <c r="E461" s="7" t="str">
        <f>IF('Port Bloomberg'!E461="","",'Port Bloomberg'!E461)</f>
        <v>USC86068AC47</v>
      </c>
      <c r="F461" s="7" t="str">
        <f>IF('Port Bloomberg'!F461="","",'Port Bloomberg'!F461)</f>
        <v>VOTORA</v>
      </c>
      <c r="G461" s="7" t="str">
        <f>IF('Port Bloomberg'!G461="","",'Port Bloomberg'!G461)</f>
        <v>7354935Z CN</v>
      </c>
      <c r="H461" s="7" t="str">
        <f>IF('Port Bloomberg'!H461="","",'Port Bloomberg'!H461)</f>
        <v>Building Materials</v>
      </c>
      <c r="I461" s="7" t="str">
        <f>IF('Port Bloomberg'!I461="","",'Port Bloomberg'!I461)</f>
        <v>IND</v>
      </c>
      <c r="J461" s="7" t="str">
        <f>IF('Port Bloomberg'!J461="","",'Port Bloomberg'!J461)</f>
        <v>Bldg Prod-Cement/Aggreg</v>
      </c>
      <c r="K461" s="7" t="str">
        <f>IF('Port Bloomberg'!K461="","",'Port Bloomberg'!K461)</f>
        <v>CA</v>
      </c>
      <c r="L461" s="7" t="str">
        <f>IF('Port Bloomberg'!L461="","",'Port Bloomberg'!L461)</f>
        <v>BR</v>
      </c>
      <c r="M461" s="7" t="str">
        <f>IF('Port Bloomberg'!M461="","",'Port Bloomberg'!M461)</f>
        <v>USD</v>
      </c>
      <c r="N461" s="7">
        <f>IF('Port Bloomberg'!N461="","",'Port Bloomberg'!N461)</f>
        <v>500000</v>
      </c>
      <c r="O461" s="7" t="str">
        <f>IF('Port Bloomberg'!O461="","",'Port Bloomberg'!O461)</f>
        <v>SINGLE</v>
      </c>
      <c r="P461" s="7">
        <f>IF('Port Bloomberg'!P461="","",'Port Bloomberg'!P461)</f>
        <v>5.75</v>
      </c>
      <c r="Q461" s="7" t="str">
        <f>IF('Port Bloomberg'!Q461="","",'Port Bloomberg'!Q461)</f>
        <v>BBB-</v>
      </c>
      <c r="R461" s="7" t="str">
        <f>IF('Port Bloomberg'!R461="","",'Port Bloomberg'!R461)</f>
        <v>04/02/2034</v>
      </c>
      <c r="S461" s="5">
        <f>IF(E461="","",IFERROR(IF(MATCH(E461,[1]Instrumentos!$D:$D,0)&gt;0,1,0),0))</f>
        <v>1</v>
      </c>
      <c r="T461" s="5">
        <f>IF(E461="","",IFERROR(IF(MATCH(E461,'Lista de excepciones'!$E:$E,0)&gt;0,1,0),0))</f>
        <v>0</v>
      </c>
      <c r="U461" s="6" t="str">
        <f t="shared" si="8"/>
        <v>NO</v>
      </c>
    </row>
    <row r="462" spans="1:21" hidden="1" x14ac:dyDescent="0.25">
      <c r="A462" s="7" t="str">
        <f>IF('Port Bloomberg'!A462="","",'Port Bloomberg'!A462)</f>
        <v>VOTORA 7 ¼ 04/05/41</v>
      </c>
      <c r="B462" s="7" t="str">
        <f>IF('Port Bloomberg'!B462="","",'Port Bloomberg'!B462)</f>
        <v>Votorantim Cimentos International SA</v>
      </c>
      <c r="C462" s="7" t="str">
        <f>IF('Port Bloomberg'!C462="","",'Port Bloomberg'!C462)</f>
        <v>VOTORANTIM CIM</v>
      </c>
      <c r="D462" s="7" t="str">
        <f>IF('Port Bloomberg'!D462="","",'Port Bloomberg'!D462)</f>
        <v>VOTORANTIM CIMENTOS INTL</v>
      </c>
      <c r="E462" s="7" t="str">
        <f>IF('Port Bloomberg'!E462="","",'Port Bloomberg'!E462)</f>
        <v>USP98088AA83</v>
      </c>
      <c r="F462" s="7" t="str">
        <f>IF('Port Bloomberg'!F462="","",'Port Bloomberg'!F462)</f>
        <v>VOTORA</v>
      </c>
      <c r="G462" s="7" t="str">
        <f>IF('Port Bloomberg'!G462="","",'Port Bloomberg'!G462)</f>
        <v>VEBM11 BZ</v>
      </c>
      <c r="H462" s="7" t="str">
        <f>IF('Port Bloomberg'!H462="","",'Port Bloomberg'!H462)</f>
        <v>Building Materials</v>
      </c>
      <c r="I462" s="7" t="str">
        <f>IF('Port Bloomberg'!I462="","",'Port Bloomberg'!I462)</f>
        <v>IND</v>
      </c>
      <c r="J462" s="7" t="str">
        <f>IF('Port Bloomberg'!J462="","",'Port Bloomberg'!J462)</f>
        <v>Bldg Prod-Cement/Aggreg</v>
      </c>
      <c r="K462" s="7" t="str">
        <f>IF('Port Bloomberg'!K462="","",'Port Bloomberg'!K462)</f>
        <v>LU</v>
      </c>
      <c r="L462" s="7" t="str">
        <f>IF('Port Bloomberg'!L462="","",'Port Bloomberg'!L462)</f>
        <v>BR</v>
      </c>
      <c r="M462" s="7" t="str">
        <f>IF('Port Bloomberg'!M462="","",'Port Bloomberg'!M462)</f>
        <v>USD</v>
      </c>
      <c r="N462" s="7">
        <f>IF('Port Bloomberg'!N462="","",'Port Bloomberg'!N462)</f>
        <v>1250000</v>
      </c>
      <c r="O462" s="7" t="str">
        <f>IF('Port Bloomberg'!O462="","",'Port Bloomberg'!O462)</f>
        <v>SINGLE</v>
      </c>
      <c r="P462" s="7">
        <f>IF('Port Bloomberg'!P462="","",'Port Bloomberg'!P462)</f>
        <v>7.25</v>
      </c>
      <c r="Q462" s="7" t="str">
        <f>IF('Port Bloomberg'!Q462="","",'Port Bloomberg'!Q462)</f>
        <v>BBB-</v>
      </c>
      <c r="R462" s="7" t="str">
        <f>IF('Port Bloomberg'!R462="","",'Port Bloomberg'!R462)</f>
        <v>04/05/2041</v>
      </c>
      <c r="S462" s="5">
        <f>IF(E462="","",IFERROR(IF(MATCH(E462,[1]Instrumentos!$D:$D,0)&gt;0,1,0),0))</f>
        <v>1</v>
      </c>
      <c r="T462" s="5">
        <f>IF(E462="","",IFERROR(IF(MATCH(E462,'Lista de excepciones'!$E:$E,0)&gt;0,1,0),0))</f>
        <v>0</v>
      </c>
      <c r="U462" s="6" t="str">
        <f t="shared" si="8"/>
        <v>NO</v>
      </c>
    </row>
    <row r="463" spans="1:21" hidden="1" x14ac:dyDescent="0.25">
      <c r="A463" s="7" t="str">
        <f>IF('Port Bloomberg'!A463="","",'Port Bloomberg'!A463)</f>
        <v>WOMCHH 5 04/01/32</v>
      </c>
      <c r="B463" s="7" t="str">
        <f>IF('Port Bloomberg'!B463="","",'Port Bloomberg'!B463)</f>
        <v>WOM Chile Holdco SpA</v>
      </c>
      <c r="C463" s="7" t="str">
        <f>IF('Port Bloomberg'!C463="","",'Port Bloomberg'!C463)</f>
        <v>WOM CHILE HOLDCO</v>
      </c>
      <c r="D463" s="7" t="str">
        <f>IF('Port Bloomberg'!D463="","",'Port Bloomberg'!D463)</f>
        <v>WOM CHILE HOLDCO SPA</v>
      </c>
      <c r="E463" s="7" t="str">
        <f>IF('Port Bloomberg'!E463="","",'Port Bloomberg'!E463)</f>
        <v>USP9883KAA99</v>
      </c>
      <c r="F463" s="7" t="str">
        <f>IF('Port Bloomberg'!F463="","",'Port Bloomberg'!F463)</f>
        <v>WOMCHH</v>
      </c>
      <c r="G463" s="7" t="str">
        <f>IF('Port Bloomberg'!G463="","",'Port Bloomberg'!G463)</f>
        <v/>
      </c>
      <c r="H463" s="7" t="str">
        <f>IF('Port Bloomberg'!H463="","",'Port Bloomberg'!H463)</f>
        <v>Diversified Finan Serv</v>
      </c>
      <c r="I463" s="7" t="str">
        <f>IF('Port Bloomberg'!I463="","",'Port Bloomberg'!I463)</f>
        <v>IND</v>
      </c>
      <c r="J463" s="7" t="str">
        <f>IF('Port Bloomberg'!J463="","",'Port Bloomberg'!J463)</f>
        <v>Invest Mgmnt/Advis Serv</v>
      </c>
      <c r="K463" s="7" t="str">
        <f>IF('Port Bloomberg'!K463="","",'Port Bloomberg'!K463)</f>
        <v>CL</v>
      </c>
      <c r="L463" s="7" t="str">
        <f>IF('Port Bloomberg'!L463="","",'Port Bloomberg'!L463)</f>
        <v>CL</v>
      </c>
      <c r="M463" s="7" t="str">
        <f>IF('Port Bloomberg'!M463="","",'Port Bloomberg'!M463)</f>
        <v>USD</v>
      </c>
      <c r="N463" s="7">
        <f>IF('Port Bloomberg'!N463="","",'Port Bloomberg'!N463)</f>
        <v>479339.64895599999</v>
      </c>
      <c r="O463" s="7" t="str">
        <f>IF('Port Bloomberg'!O463="","",'Port Bloomberg'!O463)</f>
        <v>PIK</v>
      </c>
      <c r="P463" s="7">
        <f>IF('Port Bloomberg'!P463="","",'Port Bloomberg'!P463)</f>
        <v>5</v>
      </c>
      <c r="Q463" s="7" t="str">
        <f>IF('Port Bloomberg'!Q463="","",'Port Bloomberg'!Q463)</f>
        <v/>
      </c>
      <c r="R463" s="7" t="str">
        <f>IF('Port Bloomberg'!R463="","",'Port Bloomberg'!R463)</f>
        <v>04/01/2032</v>
      </c>
      <c r="S463" s="5">
        <f>IF(E463="","",IFERROR(IF(MATCH(E463,[1]Instrumentos!$D:$D,0)&gt;0,1,0),0))</f>
        <v>0</v>
      </c>
      <c r="T463" s="5">
        <f>IF(E463="","",IFERROR(IF(MATCH(E463,'Lista de excepciones'!$E:$E,0)&gt;0,1,0),0))</f>
        <v>1</v>
      </c>
      <c r="U463" s="6" t="str">
        <f t="shared" si="8"/>
        <v>NO</v>
      </c>
    </row>
    <row r="464" spans="1:21" hidden="1" x14ac:dyDescent="0.25">
      <c r="A464" s="7" t="str">
        <f>IF('Port Bloomberg'!A464="","",'Port Bloomberg'!A464)</f>
        <v>WOMMOB 11 04/01/31</v>
      </c>
      <c r="B464" s="7" t="str">
        <f>IF('Port Bloomberg'!B464="","",'Port Bloomberg'!B464)</f>
        <v>WOM Mobile SA</v>
      </c>
      <c r="C464" s="7" t="str">
        <f>IF('Port Bloomberg'!C464="","",'Port Bloomberg'!C464)</f>
        <v>WOM MOBILE SA</v>
      </c>
      <c r="D464" s="7" t="str">
        <f>IF('Port Bloomberg'!D464="","",'Port Bloomberg'!D464)</f>
        <v>WOM MOBILE SA</v>
      </c>
      <c r="E464" s="7" t="str">
        <f>IF('Port Bloomberg'!E464="","",'Port Bloomberg'!E464)</f>
        <v>USP9883LAA72</v>
      </c>
      <c r="F464" s="7" t="str">
        <f>IF('Port Bloomberg'!F464="","",'Port Bloomberg'!F464)</f>
        <v>WOMMOB</v>
      </c>
      <c r="G464" s="7" t="str">
        <f>IF('Port Bloomberg'!G464="","",'Port Bloomberg'!G464)</f>
        <v/>
      </c>
      <c r="H464" s="7" t="str">
        <f>IF('Port Bloomberg'!H464="","",'Port Bloomberg'!H464)</f>
        <v>Telecommunications</v>
      </c>
      <c r="I464" s="7" t="str">
        <f>IF('Port Bloomberg'!I464="","",'Port Bloomberg'!I464)</f>
        <v>IND</v>
      </c>
      <c r="J464" s="7" t="str">
        <f>IF('Port Bloomberg'!J464="","",'Port Bloomberg'!J464)</f>
        <v>Cellular Telecom</v>
      </c>
      <c r="K464" s="7" t="str">
        <f>IF('Port Bloomberg'!K464="","",'Port Bloomberg'!K464)</f>
        <v>CL</v>
      </c>
      <c r="L464" s="7" t="str">
        <f>IF('Port Bloomberg'!L464="","",'Port Bloomberg'!L464)</f>
        <v>CL</v>
      </c>
      <c r="M464" s="7" t="str">
        <f>IF('Port Bloomberg'!M464="","",'Port Bloomberg'!M464)</f>
        <v>USD</v>
      </c>
      <c r="N464" s="7">
        <f>IF('Port Bloomberg'!N464="","",'Port Bloomberg'!N464)</f>
        <v>375880.12969500001</v>
      </c>
      <c r="O464" s="7" t="str">
        <f>IF('Port Bloomberg'!O464="","",'Port Bloomberg'!O464)</f>
        <v>PIK</v>
      </c>
      <c r="P464" s="7">
        <f>IF('Port Bloomberg'!P464="","",'Port Bloomberg'!P464)</f>
        <v>11</v>
      </c>
      <c r="Q464" s="7" t="str">
        <f>IF('Port Bloomberg'!Q464="","",'Port Bloomberg'!Q464)</f>
        <v/>
      </c>
      <c r="R464" s="7" t="str">
        <f>IF('Port Bloomberg'!R464="","",'Port Bloomberg'!R464)</f>
        <v>04/01/2031</v>
      </c>
      <c r="S464" s="5">
        <f>IF(E464="","",IFERROR(IF(MATCH(E464,[1]Instrumentos!$D:$D,0)&gt;0,1,0),0))</f>
        <v>0</v>
      </c>
      <c r="T464" s="5">
        <f>IF(E464="","",IFERROR(IF(MATCH(E464,'Lista de excepciones'!$E:$E,0)&gt;0,1,0),0))</f>
        <v>1</v>
      </c>
      <c r="U464" s="6" t="str">
        <f t="shared" si="8"/>
        <v>NO</v>
      </c>
    </row>
    <row r="465" spans="1:21" hidden="1" x14ac:dyDescent="0.25">
      <c r="A465" s="7" t="str">
        <f>IF('Port Bloomberg'!A465="","",'Port Bloomberg'!A465)</f>
        <v>XP 6 ¾ 07/02/29</v>
      </c>
      <c r="B465" s="7" t="str">
        <f>IF('Port Bloomberg'!B465="","",'Port Bloomberg'!B465)</f>
        <v>XP Inc</v>
      </c>
      <c r="C465" s="7" t="str">
        <f>IF('Port Bloomberg'!C465="","",'Port Bloomberg'!C465)</f>
        <v>XP INC</v>
      </c>
      <c r="D465" s="7" t="str">
        <f>IF('Port Bloomberg'!D465="","",'Port Bloomberg'!D465)</f>
        <v>XP INC</v>
      </c>
      <c r="E465" s="7" t="str">
        <f>IF('Port Bloomberg'!E465="","",'Port Bloomberg'!E465)</f>
        <v>USG98239AB55</v>
      </c>
      <c r="F465" s="7" t="str">
        <f>IF('Port Bloomberg'!F465="","",'Port Bloomberg'!F465)</f>
        <v>XP</v>
      </c>
      <c r="G465" s="7" t="str">
        <f>IF('Port Bloomberg'!G465="","",'Port Bloomberg'!G465)</f>
        <v>XP US</v>
      </c>
      <c r="H465" s="7" t="str">
        <f>IF('Port Bloomberg'!H465="","",'Port Bloomberg'!H465)</f>
        <v>Diversified Finan Serv</v>
      </c>
      <c r="I465" s="7" t="str">
        <f>IF('Port Bloomberg'!I465="","",'Port Bloomberg'!I465)</f>
        <v>FIN</v>
      </c>
      <c r="J465" s="7" t="str">
        <f>IF('Port Bloomberg'!J465="","",'Port Bloomberg'!J465)</f>
        <v>Finance-Invest Bnkr/Brkr</v>
      </c>
      <c r="K465" s="7" t="str">
        <f>IF('Port Bloomberg'!K465="","",'Port Bloomberg'!K465)</f>
        <v>BR</v>
      </c>
      <c r="L465" s="7" t="str">
        <f>IF('Port Bloomberg'!L465="","",'Port Bloomberg'!L465)</f>
        <v>BR</v>
      </c>
      <c r="M465" s="7" t="str">
        <f>IF('Port Bloomberg'!M465="","",'Port Bloomberg'!M465)</f>
        <v>USD</v>
      </c>
      <c r="N465" s="7">
        <f>IF('Port Bloomberg'!N465="","",'Port Bloomberg'!N465)</f>
        <v>500000</v>
      </c>
      <c r="O465" s="7" t="str">
        <f>IF('Port Bloomberg'!O465="","",'Port Bloomberg'!O465)</f>
        <v>SINGLE</v>
      </c>
      <c r="P465" s="7">
        <f>IF('Port Bloomberg'!P465="","",'Port Bloomberg'!P465)</f>
        <v>6.75</v>
      </c>
      <c r="Q465" s="7" t="str">
        <f>IF('Port Bloomberg'!Q465="","",'Port Bloomberg'!Q465)</f>
        <v>BB</v>
      </c>
      <c r="R465" s="7" t="str">
        <f>IF('Port Bloomberg'!R465="","",'Port Bloomberg'!R465)</f>
        <v>07/02/2029</v>
      </c>
      <c r="S465" s="5">
        <f>IF(E465="","",IFERROR(IF(MATCH(E465,[1]Instrumentos!$D:$D,0)&gt;0,1,0),0))</f>
        <v>1</v>
      </c>
      <c r="T465" s="5">
        <f>IF(E465="","",IFERROR(IF(MATCH(E465,'Lista de excepciones'!$E:$E,0)&gt;0,1,0),0))</f>
        <v>0</v>
      </c>
      <c r="U465" s="6" t="str">
        <f t="shared" si="8"/>
        <v>NO</v>
      </c>
    </row>
    <row r="466" spans="1:21" hidden="1" x14ac:dyDescent="0.25">
      <c r="A466" s="7" t="str">
        <f>IF('Port Bloomberg'!A466="","",'Port Bloomberg'!A466)</f>
        <v>YARNO 3.148 06/04/30</v>
      </c>
      <c r="B466" s="7" t="str">
        <f>IF('Port Bloomberg'!B466="","",'Port Bloomberg'!B466)</f>
        <v>Yara International ASA</v>
      </c>
      <c r="C466" s="7" t="str">
        <f>IF('Port Bloomberg'!C466="","",'Port Bloomberg'!C466)</f>
        <v>YARA INTL SA</v>
      </c>
      <c r="D466" s="7" t="str">
        <f>IF('Port Bloomberg'!D466="","",'Port Bloomberg'!D466)</f>
        <v>YARA INTERNATIONAL ASA</v>
      </c>
      <c r="E466" s="7" t="str">
        <f>IF('Port Bloomberg'!E466="","",'Port Bloomberg'!E466)</f>
        <v>USR9900CAS54</v>
      </c>
      <c r="F466" s="7" t="str">
        <f>IF('Port Bloomberg'!F466="","",'Port Bloomberg'!F466)</f>
        <v>YARNO</v>
      </c>
      <c r="G466" s="7" t="str">
        <f>IF('Port Bloomberg'!G466="","",'Port Bloomberg'!G466)</f>
        <v>YAR NO</v>
      </c>
      <c r="H466" s="7" t="str">
        <f>IF('Port Bloomberg'!H466="","",'Port Bloomberg'!H466)</f>
        <v>Chemicals</v>
      </c>
      <c r="I466" s="7" t="str">
        <f>IF('Port Bloomberg'!I466="","",'Port Bloomberg'!I466)</f>
        <v>IND</v>
      </c>
      <c r="J466" s="7" t="str">
        <f>IF('Port Bloomberg'!J466="","",'Port Bloomberg'!J466)</f>
        <v>Agricultural Chemicals</v>
      </c>
      <c r="K466" s="7" t="str">
        <f>IF('Port Bloomberg'!K466="","",'Port Bloomberg'!K466)</f>
        <v>NO</v>
      </c>
      <c r="L466" s="7" t="str">
        <f>IF('Port Bloomberg'!L466="","",'Port Bloomberg'!L466)</f>
        <v>BR</v>
      </c>
      <c r="M466" s="7" t="str">
        <f>IF('Port Bloomberg'!M466="","",'Port Bloomberg'!M466)</f>
        <v>USD</v>
      </c>
      <c r="N466" s="7">
        <f>IF('Port Bloomberg'!N466="","",'Port Bloomberg'!N466)</f>
        <v>750000</v>
      </c>
      <c r="O466" s="7" t="str">
        <f>IF('Port Bloomberg'!O466="","",'Port Bloomberg'!O466)</f>
        <v>SINGLE</v>
      </c>
      <c r="P466" s="7">
        <f>IF('Port Bloomberg'!P466="","",'Port Bloomberg'!P466)</f>
        <v>3.1480000000000001</v>
      </c>
      <c r="Q466" s="7" t="str">
        <f>IF('Port Bloomberg'!Q466="","",'Port Bloomberg'!Q466)</f>
        <v>BBB</v>
      </c>
      <c r="R466" s="7" t="str">
        <f>IF('Port Bloomberg'!R466="","",'Port Bloomberg'!R466)</f>
        <v>06/04/2030</v>
      </c>
      <c r="S466" s="5">
        <f>IF(E466="","",IFERROR(IF(MATCH(E466,[1]Instrumentos!$D:$D,0)&gt;0,1,0),0))</f>
        <v>1</v>
      </c>
      <c r="T466" s="5">
        <f>IF(E466="","",IFERROR(IF(MATCH(E466,'Lista de excepciones'!$E:$E,0)&gt;0,1,0),0))</f>
        <v>0</v>
      </c>
      <c r="U466" s="6" t="str">
        <f t="shared" si="8"/>
        <v>NO</v>
      </c>
    </row>
    <row r="467" spans="1:21" hidden="1" x14ac:dyDescent="0.25">
      <c r="A467" s="7" t="str">
        <f>IF('Port Bloomberg'!A467="","",'Port Bloomberg'!A467)</f>
        <v>YARNO 7.378 11/14/32</v>
      </c>
      <c r="B467" s="7" t="str">
        <f>IF('Port Bloomberg'!B467="","",'Port Bloomberg'!B467)</f>
        <v>Yara International ASA</v>
      </c>
      <c r="C467" s="7" t="str">
        <f>IF('Port Bloomberg'!C467="","",'Port Bloomberg'!C467)</f>
        <v>YARA INTL SA</v>
      </c>
      <c r="D467" s="7" t="str">
        <f>IF('Port Bloomberg'!D467="","",'Port Bloomberg'!D467)</f>
        <v>YARA INTERNATIONAL ASA</v>
      </c>
      <c r="E467" s="7" t="str">
        <f>IF('Port Bloomberg'!E467="","",'Port Bloomberg'!E467)</f>
        <v>USR9900CAT38</v>
      </c>
      <c r="F467" s="7" t="str">
        <f>IF('Port Bloomberg'!F467="","",'Port Bloomberg'!F467)</f>
        <v>YARNO</v>
      </c>
      <c r="G467" s="7" t="str">
        <f>IF('Port Bloomberg'!G467="","",'Port Bloomberg'!G467)</f>
        <v>YAR NO</v>
      </c>
      <c r="H467" s="7" t="str">
        <f>IF('Port Bloomberg'!H467="","",'Port Bloomberg'!H467)</f>
        <v>Chemicals</v>
      </c>
      <c r="I467" s="7" t="str">
        <f>IF('Port Bloomberg'!I467="","",'Port Bloomberg'!I467)</f>
        <v>IND</v>
      </c>
      <c r="J467" s="7" t="str">
        <f>IF('Port Bloomberg'!J467="","",'Port Bloomberg'!J467)</f>
        <v>Agricultural Chemicals</v>
      </c>
      <c r="K467" s="7" t="str">
        <f>IF('Port Bloomberg'!K467="","",'Port Bloomberg'!K467)</f>
        <v>NO</v>
      </c>
      <c r="L467" s="7" t="str">
        <f>IF('Port Bloomberg'!L467="","",'Port Bloomberg'!L467)</f>
        <v>BR</v>
      </c>
      <c r="M467" s="7" t="str">
        <f>IF('Port Bloomberg'!M467="","",'Port Bloomberg'!M467)</f>
        <v>USD</v>
      </c>
      <c r="N467" s="7">
        <f>IF('Port Bloomberg'!N467="","",'Port Bloomberg'!N467)</f>
        <v>600000</v>
      </c>
      <c r="O467" s="7" t="str">
        <f>IF('Port Bloomberg'!O467="","",'Port Bloomberg'!O467)</f>
        <v>SINGLE</v>
      </c>
      <c r="P467" s="7">
        <f>IF('Port Bloomberg'!P467="","",'Port Bloomberg'!P467)</f>
        <v>7.3780000000000001</v>
      </c>
      <c r="Q467" s="7" t="str">
        <f>IF('Port Bloomberg'!Q467="","",'Port Bloomberg'!Q467)</f>
        <v>BBB</v>
      </c>
      <c r="R467" s="7" t="str">
        <f>IF('Port Bloomberg'!R467="","",'Port Bloomberg'!R467)</f>
        <v>11/14/2032</v>
      </c>
      <c r="S467" s="5">
        <f>IF(E467="","",IFERROR(IF(MATCH(E467,[1]Instrumentos!$D:$D,0)&gt;0,1,0),0))</f>
        <v>1</v>
      </c>
      <c r="T467" s="5">
        <f>IF(E467="","",IFERROR(IF(MATCH(E467,'Lista de excepciones'!$E:$E,0)&gt;0,1,0),0))</f>
        <v>0</v>
      </c>
      <c r="U467" s="6" t="str">
        <f t="shared" si="8"/>
        <v>NO</v>
      </c>
    </row>
    <row r="468" spans="1:21" hidden="1" x14ac:dyDescent="0.25">
      <c r="A468" s="7" t="str">
        <f>IF('Port Bloomberg'!A468="","",'Port Bloomberg'!A468)</f>
        <v>YPANBR 8.947 07/31/42</v>
      </c>
      <c r="B468" s="7" t="str">
        <f>IF('Port Bloomberg'!B468="","",'Port Bloomberg'!B468)</f>
        <v>Yinson Boronia Production BV</v>
      </c>
      <c r="C468" s="7" t="str">
        <f>IF('Port Bloomberg'!C468="","",'Port Bloomberg'!C468)</f>
        <v>YINSON BORONIA</v>
      </c>
      <c r="D468" s="7" t="str">
        <f>IF('Port Bloomberg'!D468="","",'Port Bloomberg'!D468)</f>
        <v>YINSON BORONIA PRODUCTIO</v>
      </c>
      <c r="E468" s="7" t="str">
        <f>IF('Port Bloomberg'!E468="","",'Port Bloomberg'!E468)</f>
        <v>USN9733XAA56</v>
      </c>
      <c r="F468" s="7" t="str">
        <f>IF('Port Bloomberg'!F468="","",'Port Bloomberg'!F468)</f>
        <v>YPANBR</v>
      </c>
      <c r="G468" s="7" t="str">
        <f>IF('Port Bloomberg'!G468="","",'Port Bloomberg'!G468)</f>
        <v>1927378D SP</v>
      </c>
      <c r="H468" s="7" t="str">
        <f>IF('Port Bloomberg'!H468="","",'Port Bloomberg'!H468)</f>
        <v>Oil&amp;Gas Services</v>
      </c>
      <c r="I468" s="7" t="str">
        <f>IF('Port Bloomberg'!I468="","",'Port Bloomberg'!I468)</f>
        <v>IND</v>
      </c>
      <c r="J468" s="7" t="str">
        <f>IF('Port Bloomberg'!J468="","",'Port Bloomberg'!J468)</f>
        <v>Oil-Field Services</v>
      </c>
      <c r="K468" s="7" t="str">
        <f>IF('Port Bloomberg'!K468="","",'Port Bloomberg'!K468)</f>
        <v>NL</v>
      </c>
      <c r="L468" s="7" t="str">
        <f>IF('Port Bloomberg'!L468="","",'Port Bloomberg'!L468)</f>
        <v>BR</v>
      </c>
      <c r="M468" s="7" t="str">
        <f>IF('Port Bloomberg'!M468="","",'Port Bloomberg'!M468)</f>
        <v>USD</v>
      </c>
      <c r="N468" s="7">
        <f>IF('Port Bloomberg'!N468="","",'Port Bloomberg'!N468)</f>
        <v>1035000</v>
      </c>
      <c r="O468" s="7" t="str">
        <f>IF('Port Bloomberg'!O468="","",'Port Bloomberg'!O468)</f>
        <v>SINGLE</v>
      </c>
      <c r="P468" s="7">
        <f>IF('Port Bloomberg'!P468="","",'Port Bloomberg'!P468)</f>
        <v>8.9469999999999992</v>
      </c>
      <c r="Q468" s="7" t="str">
        <f>IF('Port Bloomberg'!Q468="","",'Port Bloomberg'!Q468)</f>
        <v>BB+</v>
      </c>
      <c r="R468" s="7" t="str">
        <f>IF('Port Bloomberg'!R468="","",'Port Bloomberg'!R468)</f>
        <v>07/31/2042</v>
      </c>
      <c r="S468" s="5">
        <f>IF(E468="","",IFERROR(IF(MATCH(E468,[1]Instrumentos!$D:$D,0)&gt;0,1,0),0))</f>
        <v>0</v>
      </c>
      <c r="T468" s="5">
        <f>IF(E468="","",IFERROR(IF(MATCH(E468,'Lista de excepciones'!$E:$E,0)&gt;0,1,0),0))</f>
        <v>1</v>
      </c>
      <c r="U468" s="6" t="str">
        <f t="shared" si="8"/>
        <v>NO</v>
      </c>
    </row>
    <row r="469" spans="1:21" hidden="1" x14ac:dyDescent="0.25">
      <c r="A469" s="7" t="str">
        <f>IF('Port Bloomberg'!A469="","",'Port Bloomberg'!A469)</f>
        <v>YPMQBR 8.498 01/31/45</v>
      </c>
      <c r="B469" s="7" t="str">
        <f>IF('Port Bloomberg'!B469="","",'Port Bloomberg'!B469)</f>
        <v>Yinson Bergenia Production BV</v>
      </c>
      <c r="C469" s="7" t="str">
        <f>IF('Port Bloomberg'!C469="","",'Port Bloomberg'!C469)</f>
        <v>YINSON BERGENIA</v>
      </c>
      <c r="D469" s="7" t="str">
        <f>IF('Port Bloomberg'!D469="","",'Port Bloomberg'!D469)</f>
        <v>YINSON BERGENIA PRODUCTI</v>
      </c>
      <c r="E469" s="7" t="str">
        <f>IF('Port Bloomberg'!E469="","",'Port Bloomberg'!E469)</f>
        <v>USN97336AA49</v>
      </c>
      <c r="F469" s="7" t="str">
        <f>IF('Port Bloomberg'!F469="","",'Port Bloomberg'!F469)</f>
        <v>YPMQBR</v>
      </c>
      <c r="G469" s="7" t="str">
        <f>IF('Port Bloomberg'!G469="","",'Port Bloomberg'!G469)</f>
        <v>1927378D SP</v>
      </c>
      <c r="H469" s="7" t="str">
        <f>IF('Port Bloomberg'!H469="","",'Port Bloomberg'!H469)</f>
        <v>Transportation</v>
      </c>
      <c r="I469" s="7" t="str">
        <f>IF('Port Bloomberg'!I469="","",'Port Bloomberg'!I469)</f>
        <v>IND</v>
      </c>
      <c r="J469" s="7" t="str">
        <f>IF('Port Bloomberg'!J469="","",'Port Bloomberg'!J469)</f>
        <v>Transport-Marine</v>
      </c>
      <c r="K469" s="7" t="str">
        <f>IF('Port Bloomberg'!K469="","",'Port Bloomberg'!K469)</f>
        <v>NL</v>
      </c>
      <c r="L469" s="7" t="str">
        <f>IF('Port Bloomberg'!L469="","",'Port Bloomberg'!L469)</f>
        <v>BR</v>
      </c>
      <c r="M469" s="7" t="str">
        <f>IF('Port Bloomberg'!M469="","",'Port Bloomberg'!M469)</f>
        <v>USD</v>
      </c>
      <c r="N469" s="7">
        <f>IF('Port Bloomberg'!N469="","",'Port Bloomberg'!N469)</f>
        <v>1168000</v>
      </c>
      <c r="O469" s="7" t="str">
        <f>IF('Port Bloomberg'!O469="","",'Port Bloomberg'!O469)</f>
        <v>SINGLE</v>
      </c>
      <c r="P469" s="7">
        <f>IF('Port Bloomberg'!P469="","",'Port Bloomberg'!P469)</f>
        <v>8.4979999999999993</v>
      </c>
      <c r="Q469" s="7" t="str">
        <f>IF('Port Bloomberg'!Q469="","",'Port Bloomberg'!Q469)</f>
        <v>BB+</v>
      </c>
      <c r="R469" s="7" t="str">
        <f>IF('Port Bloomberg'!R469="","",'Port Bloomberg'!R469)</f>
        <v>01/31/2045</v>
      </c>
      <c r="S469" s="5">
        <f>IF(E469="","",IFERROR(IF(MATCH(E469,[1]Instrumentos!$D:$D,0)&gt;0,1,0),0))</f>
        <v>0</v>
      </c>
      <c r="T469" s="5">
        <f>IF(E469="","",IFERROR(IF(MATCH(E469,'Lista de excepciones'!$E:$E,0)&gt;0,1,0),0))</f>
        <v>1</v>
      </c>
      <c r="U469" s="6" t="str">
        <f t="shared" si="8"/>
        <v>NO</v>
      </c>
    </row>
    <row r="470" spans="1:21" hidden="1" x14ac:dyDescent="0.25">
      <c r="A470" s="7" t="str">
        <f>IF('Port Bloomberg'!A470="","",'Port Bloomberg'!A470)</f>
        <v/>
      </c>
      <c r="B470" s="7" t="str">
        <f>IF('Port Bloomberg'!B470="","",'Port Bloomberg'!B470)</f>
        <v/>
      </c>
      <c r="C470" s="7" t="str">
        <f>IF('Port Bloomberg'!C470="","",'Port Bloomberg'!C470)</f>
        <v/>
      </c>
      <c r="D470" s="7" t="str">
        <f>IF('Port Bloomberg'!D470="","",'Port Bloomberg'!D470)</f>
        <v/>
      </c>
      <c r="E470" s="7" t="str">
        <f>IF('Port Bloomberg'!E470="","",'Port Bloomberg'!E470)</f>
        <v/>
      </c>
      <c r="F470" s="7" t="str">
        <f>IF('Port Bloomberg'!F470="","",'Port Bloomberg'!F470)</f>
        <v/>
      </c>
      <c r="G470" s="7" t="str">
        <f>IF('Port Bloomberg'!G470="","",'Port Bloomberg'!G470)</f>
        <v/>
      </c>
      <c r="H470" s="7" t="str">
        <f>IF('Port Bloomberg'!H470="","",'Port Bloomberg'!H470)</f>
        <v/>
      </c>
      <c r="I470" s="7" t="str">
        <f>IF('Port Bloomberg'!I470="","",'Port Bloomberg'!I470)</f>
        <v/>
      </c>
      <c r="J470" s="7" t="str">
        <f>IF('Port Bloomberg'!J470="","",'Port Bloomberg'!J470)</f>
        <v/>
      </c>
      <c r="K470" s="7" t="str">
        <f>IF('Port Bloomberg'!K470="","",'Port Bloomberg'!K470)</f>
        <v/>
      </c>
      <c r="L470" s="7" t="str">
        <f>IF('Port Bloomberg'!L470="","",'Port Bloomberg'!L470)</f>
        <v/>
      </c>
      <c r="M470" s="7" t="str">
        <f>IF('Port Bloomberg'!M470="","",'Port Bloomberg'!M470)</f>
        <v/>
      </c>
      <c r="N470" s="7" t="str">
        <f>IF('Port Bloomberg'!N470="","",'Port Bloomberg'!N470)</f>
        <v/>
      </c>
      <c r="O470" s="7" t="str">
        <f>IF('Port Bloomberg'!O470="","",'Port Bloomberg'!O470)</f>
        <v/>
      </c>
      <c r="P470" s="7" t="str">
        <f>IF('Port Bloomberg'!P470="","",'Port Bloomberg'!P470)</f>
        <v/>
      </c>
      <c r="Q470" s="7" t="str">
        <f>IF('Port Bloomberg'!Q470="","",'Port Bloomberg'!Q470)</f>
        <v/>
      </c>
      <c r="R470" s="7" t="str">
        <f>IF('Port Bloomberg'!R470="","",'Port Bloomberg'!R470)</f>
        <v/>
      </c>
      <c r="S470" s="5" t="str">
        <f>IF(E470="","",IFERROR(IF(MATCH(E470,[1]Instrumentos!$D:$D,0)&gt;0,1,0),0))</f>
        <v/>
      </c>
      <c r="T470" s="5" t="str">
        <f>IF(E470="","",IFERROR(IF(MATCH(E470,'Lista de excepciones'!$E:$E,0)&gt;0,1,0),0))</f>
        <v/>
      </c>
      <c r="U470" s="6" t="str">
        <f t="shared" si="8"/>
        <v/>
      </c>
    </row>
    <row r="471" spans="1:21" hidden="1" x14ac:dyDescent="0.25">
      <c r="A471" s="7" t="str">
        <f>IF('Port Bloomberg'!A471="","",'Port Bloomberg'!A471)</f>
        <v/>
      </c>
      <c r="B471" s="7" t="str">
        <f>IF('Port Bloomberg'!B471="","",'Port Bloomberg'!B471)</f>
        <v/>
      </c>
      <c r="C471" s="7" t="str">
        <f>IF('Port Bloomberg'!C471="","",'Port Bloomberg'!C471)</f>
        <v/>
      </c>
      <c r="D471" s="7" t="str">
        <f>IF('Port Bloomberg'!D471="","",'Port Bloomberg'!D471)</f>
        <v/>
      </c>
      <c r="E471" s="7" t="str">
        <f>IF('Port Bloomberg'!E471="","",'Port Bloomberg'!E471)</f>
        <v/>
      </c>
      <c r="F471" s="7" t="str">
        <f>IF('Port Bloomberg'!F471="","",'Port Bloomberg'!F471)</f>
        <v/>
      </c>
      <c r="G471" s="7" t="str">
        <f>IF('Port Bloomberg'!G471="","",'Port Bloomberg'!G471)</f>
        <v/>
      </c>
      <c r="H471" s="7" t="str">
        <f>IF('Port Bloomberg'!H471="","",'Port Bloomberg'!H471)</f>
        <v/>
      </c>
      <c r="I471" s="7" t="str">
        <f>IF('Port Bloomberg'!I471="","",'Port Bloomberg'!I471)</f>
        <v/>
      </c>
      <c r="J471" s="7" t="str">
        <f>IF('Port Bloomberg'!J471="","",'Port Bloomberg'!J471)</f>
        <v/>
      </c>
      <c r="K471" s="7" t="str">
        <f>IF('Port Bloomberg'!K471="","",'Port Bloomberg'!K471)</f>
        <v/>
      </c>
      <c r="L471" s="7" t="str">
        <f>IF('Port Bloomberg'!L471="","",'Port Bloomberg'!L471)</f>
        <v/>
      </c>
      <c r="M471" s="7" t="str">
        <f>IF('Port Bloomberg'!M471="","",'Port Bloomberg'!M471)</f>
        <v/>
      </c>
      <c r="N471" s="7" t="str">
        <f>IF('Port Bloomberg'!N471="","",'Port Bloomberg'!N471)</f>
        <v/>
      </c>
      <c r="O471" s="7" t="str">
        <f>IF('Port Bloomberg'!O471="","",'Port Bloomberg'!O471)</f>
        <v/>
      </c>
      <c r="P471" s="7" t="str">
        <f>IF('Port Bloomberg'!P471="","",'Port Bloomberg'!P471)</f>
        <v/>
      </c>
      <c r="Q471" s="7" t="str">
        <f>IF('Port Bloomberg'!Q471="","",'Port Bloomberg'!Q471)</f>
        <v/>
      </c>
      <c r="R471" s="7" t="str">
        <f>IF('Port Bloomberg'!R471="","",'Port Bloomberg'!R471)</f>
        <v/>
      </c>
      <c r="S471" s="5" t="str">
        <f>IF(E471="","",IFERROR(IF(MATCH(E471,[1]Instrumentos!$D:$D,0)&gt;0,1,0),0))</f>
        <v/>
      </c>
      <c r="T471" s="5" t="str">
        <f>IF(E471="","",IFERROR(IF(MATCH(E471,'Lista de excepciones'!$E:$E,0)&gt;0,1,0),0))</f>
        <v/>
      </c>
      <c r="U471" s="6" t="str">
        <f t="shared" si="8"/>
        <v/>
      </c>
    </row>
    <row r="472" spans="1:21" hidden="1" x14ac:dyDescent="0.25">
      <c r="A472" s="7" t="str">
        <f>IF('Port Bloomberg'!A472="","",'Port Bloomberg'!A472)</f>
        <v/>
      </c>
      <c r="B472" s="7" t="str">
        <f>IF('Port Bloomberg'!B472="","",'Port Bloomberg'!B472)</f>
        <v/>
      </c>
      <c r="C472" s="7" t="str">
        <f>IF('Port Bloomberg'!C472="","",'Port Bloomberg'!C472)</f>
        <v/>
      </c>
      <c r="D472" s="7" t="str">
        <f>IF('Port Bloomberg'!D472="","",'Port Bloomberg'!D472)</f>
        <v/>
      </c>
      <c r="E472" s="7" t="str">
        <f>IF('Port Bloomberg'!E472="","",'Port Bloomberg'!E472)</f>
        <v/>
      </c>
      <c r="F472" s="7" t="str">
        <f>IF('Port Bloomberg'!F472="","",'Port Bloomberg'!F472)</f>
        <v/>
      </c>
      <c r="G472" s="7" t="str">
        <f>IF('Port Bloomberg'!G472="","",'Port Bloomberg'!G472)</f>
        <v/>
      </c>
      <c r="H472" s="7" t="str">
        <f>IF('Port Bloomberg'!H472="","",'Port Bloomberg'!H472)</f>
        <v/>
      </c>
      <c r="I472" s="7" t="str">
        <f>IF('Port Bloomberg'!I472="","",'Port Bloomberg'!I472)</f>
        <v/>
      </c>
      <c r="J472" s="7" t="str">
        <f>IF('Port Bloomberg'!J472="","",'Port Bloomberg'!J472)</f>
        <v/>
      </c>
      <c r="K472" s="7" t="str">
        <f>IF('Port Bloomberg'!K472="","",'Port Bloomberg'!K472)</f>
        <v/>
      </c>
      <c r="L472" s="7" t="str">
        <f>IF('Port Bloomberg'!L472="","",'Port Bloomberg'!L472)</f>
        <v/>
      </c>
      <c r="M472" s="7" t="str">
        <f>IF('Port Bloomberg'!M472="","",'Port Bloomberg'!M472)</f>
        <v/>
      </c>
      <c r="N472" s="7" t="str">
        <f>IF('Port Bloomberg'!N472="","",'Port Bloomberg'!N472)</f>
        <v/>
      </c>
      <c r="O472" s="7" t="str">
        <f>IF('Port Bloomberg'!O472="","",'Port Bloomberg'!O472)</f>
        <v/>
      </c>
      <c r="P472" s="7" t="str">
        <f>IF('Port Bloomberg'!P472="","",'Port Bloomberg'!P472)</f>
        <v/>
      </c>
      <c r="Q472" s="7" t="str">
        <f>IF('Port Bloomberg'!Q472="","",'Port Bloomberg'!Q472)</f>
        <v/>
      </c>
      <c r="R472" s="7" t="str">
        <f>IF('Port Bloomberg'!R472="","",'Port Bloomberg'!R472)</f>
        <v/>
      </c>
      <c r="S472" s="5" t="str">
        <f>IF(E472="","",IFERROR(IF(MATCH(E472,[1]Instrumentos!$D:$D,0)&gt;0,1,0),0))</f>
        <v/>
      </c>
      <c r="T472" s="5" t="str">
        <f>IF(E472="","",IFERROR(IF(MATCH(E472,'Lista de excepciones'!$E:$E,0)&gt;0,1,0),0))</f>
        <v/>
      </c>
      <c r="U472" s="6" t="str">
        <f t="shared" si="8"/>
        <v/>
      </c>
    </row>
    <row r="473" spans="1:21" hidden="1" x14ac:dyDescent="0.25">
      <c r="A473" s="7" t="str">
        <f>IF('Port Bloomberg'!A473="","",'Port Bloomberg'!A473)</f>
        <v/>
      </c>
      <c r="B473" s="7" t="str">
        <f>IF('Port Bloomberg'!B473="","",'Port Bloomberg'!B473)</f>
        <v/>
      </c>
      <c r="C473" s="7" t="str">
        <f>IF('Port Bloomberg'!C473="","",'Port Bloomberg'!C473)</f>
        <v/>
      </c>
      <c r="D473" s="7" t="str">
        <f>IF('Port Bloomberg'!D473="","",'Port Bloomberg'!D473)</f>
        <v/>
      </c>
      <c r="E473" s="7" t="str">
        <f>IF('Port Bloomberg'!E473="","",'Port Bloomberg'!E473)</f>
        <v/>
      </c>
      <c r="F473" s="7" t="str">
        <f>IF('Port Bloomberg'!F473="","",'Port Bloomberg'!F473)</f>
        <v/>
      </c>
      <c r="G473" s="7" t="str">
        <f>IF('Port Bloomberg'!G473="","",'Port Bloomberg'!G473)</f>
        <v/>
      </c>
      <c r="H473" s="7" t="str">
        <f>IF('Port Bloomberg'!H473="","",'Port Bloomberg'!H473)</f>
        <v/>
      </c>
      <c r="I473" s="7" t="str">
        <f>IF('Port Bloomberg'!I473="","",'Port Bloomberg'!I473)</f>
        <v/>
      </c>
      <c r="J473" s="7" t="str">
        <f>IF('Port Bloomberg'!J473="","",'Port Bloomberg'!J473)</f>
        <v/>
      </c>
      <c r="K473" s="7" t="str">
        <f>IF('Port Bloomberg'!K473="","",'Port Bloomberg'!K473)</f>
        <v/>
      </c>
      <c r="L473" s="7" t="str">
        <f>IF('Port Bloomberg'!L473="","",'Port Bloomberg'!L473)</f>
        <v/>
      </c>
      <c r="M473" s="7" t="str">
        <f>IF('Port Bloomberg'!M473="","",'Port Bloomberg'!M473)</f>
        <v/>
      </c>
      <c r="N473" s="7" t="str">
        <f>IF('Port Bloomberg'!N473="","",'Port Bloomberg'!N473)</f>
        <v/>
      </c>
      <c r="O473" s="7" t="str">
        <f>IF('Port Bloomberg'!O473="","",'Port Bloomberg'!O473)</f>
        <v/>
      </c>
      <c r="P473" s="7" t="str">
        <f>IF('Port Bloomberg'!P473="","",'Port Bloomberg'!P473)</f>
        <v/>
      </c>
      <c r="Q473" s="7" t="str">
        <f>IF('Port Bloomberg'!Q473="","",'Port Bloomberg'!Q473)</f>
        <v/>
      </c>
      <c r="R473" s="7" t="str">
        <f>IF('Port Bloomberg'!R473="","",'Port Bloomberg'!R473)</f>
        <v/>
      </c>
      <c r="S473" s="5" t="str">
        <f>IF(E473="","",IFERROR(IF(MATCH(E473,[1]Instrumentos!$D:$D,0)&gt;0,1,0),0))</f>
        <v/>
      </c>
      <c r="T473" s="5" t="str">
        <f>IF(E473="","",IFERROR(IF(MATCH(E473,'Lista de excepciones'!$E:$E,0)&gt;0,1,0),0))</f>
        <v/>
      </c>
      <c r="U473" s="6" t="str">
        <f t="shared" si="8"/>
        <v/>
      </c>
    </row>
    <row r="474" spans="1:21" hidden="1" x14ac:dyDescent="0.25">
      <c r="A474" s="7" t="str">
        <f>IF('Port Bloomberg'!A474="","",'Port Bloomberg'!A474)</f>
        <v/>
      </c>
      <c r="B474" s="7" t="str">
        <f>IF('Port Bloomberg'!B474="","",'Port Bloomberg'!B474)</f>
        <v/>
      </c>
      <c r="C474" s="7" t="str">
        <f>IF('Port Bloomberg'!C474="","",'Port Bloomberg'!C474)</f>
        <v/>
      </c>
      <c r="D474" s="7" t="str">
        <f>IF('Port Bloomberg'!D474="","",'Port Bloomberg'!D474)</f>
        <v/>
      </c>
      <c r="E474" s="7" t="str">
        <f>IF('Port Bloomberg'!E474="","",'Port Bloomberg'!E474)</f>
        <v/>
      </c>
      <c r="F474" s="7" t="str">
        <f>IF('Port Bloomberg'!F474="","",'Port Bloomberg'!F474)</f>
        <v/>
      </c>
      <c r="G474" s="7" t="str">
        <f>IF('Port Bloomberg'!G474="","",'Port Bloomberg'!G474)</f>
        <v/>
      </c>
      <c r="H474" s="7" t="str">
        <f>IF('Port Bloomberg'!H474="","",'Port Bloomberg'!H474)</f>
        <v/>
      </c>
      <c r="I474" s="7" t="str">
        <f>IF('Port Bloomberg'!I474="","",'Port Bloomberg'!I474)</f>
        <v/>
      </c>
      <c r="J474" s="7" t="str">
        <f>IF('Port Bloomberg'!J474="","",'Port Bloomberg'!J474)</f>
        <v/>
      </c>
      <c r="K474" s="7" t="str">
        <f>IF('Port Bloomberg'!K474="","",'Port Bloomberg'!K474)</f>
        <v/>
      </c>
      <c r="L474" s="7" t="str">
        <f>IF('Port Bloomberg'!L474="","",'Port Bloomberg'!L474)</f>
        <v/>
      </c>
      <c r="M474" s="7" t="str">
        <f>IF('Port Bloomberg'!M474="","",'Port Bloomberg'!M474)</f>
        <v/>
      </c>
      <c r="N474" s="7" t="str">
        <f>IF('Port Bloomberg'!N474="","",'Port Bloomberg'!N474)</f>
        <v/>
      </c>
      <c r="O474" s="7" t="str">
        <f>IF('Port Bloomberg'!O474="","",'Port Bloomberg'!O474)</f>
        <v/>
      </c>
      <c r="P474" s="7" t="str">
        <f>IF('Port Bloomberg'!P474="","",'Port Bloomberg'!P474)</f>
        <v/>
      </c>
      <c r="Q474" s="7" t="str">
        <f>IF('Port Bloomberg'!Q474="","",'Port Bloomberg'!Q474)</f>
        <v/>
      </c>
      <c r="R474" s="7" t="str">
        <f>IF('Port Bloomberg'!R474="","",'Port Bloomberg'!R474)</f>
        <v/>
      </c>
      <c r="S474" s="5" t="str">
        <f>IF(E474="","",IFERROR(IF(MATCH(E474,[1]Instrumentos!$D:$D,0)&gt;0,1,0),0))</f>
        <v/>
      </c>
      <c r="T474" s="5" t="str">
        <f>IF(E474="","",IFERROR(IF(MATCH(E474,'Lista de excepciones'!$E:$E,0)&gt;0,1,0),0))</f>
        <v/>
      </c>
      <c r="U474" s="6" t="str">
        <f t="shared" si="8"/>
        <v/>
      </c>
    </row>
    <row r="475" spans="1:21" hidden="1" x14ac:dyDescent="0.25">
      <c r="A475" s="7" t="str">
        <f>IF('Port Bloomberg'!A475="","",'Port Bloomberg'!A475)</f>
        <v/>
      </c>
      <c r="B475" s="7" t="str">
        <f>IF('Port Bloomberg'!B475="","",'Port Bloomberg'!B475)</f>
        <v/>
      </c>
      <c r="C475" s="7" t="str">
        <f>IF('Port Bloomberg'!C475="","",'Port Bloomberg'!C475)</f>
        <v/>
      </c>
      <c r="D475" s="7" t="str">
        <f>IF('Port Bloomberg'!D475="","",'Port Bloomberg'!D475)</f>
        <v/>
      </c>
      <c r="E475" s="7" t="str">
        <f>IF('Port Bloomberg'!E475="","",'Port Bloomberg'!E475)</f>
        <v/>
      </c>
      <c r="F475" s="7" t="str">
        <f>IF('Port Bloomberg'!F475="","",'Port Bloomberg'!F475)</f>
        <v/>
      </c>
      <c r="G475" s="7" t="str">
        <f>IF('Port Bloomberg'!G475="","",'Port Bloomberg'!G475)</f>
        <v/>
      </c>
      <c r="H475" s="7" t="str">
        <f>IF('Port Bloomberg'!H475="","",'Port Bloomberg'!H475)</f>
        <v/>
      </c>
      <c r="I475" s="7" t="str">
        <f>IF('Port Bloomberg'!I475="","",'Port Bloomberg'!I475)</f>
        <v/>
      </c>
      <c r="J475" s="7" t="str">
        <f>IF('Port Bloomberg'!J475="","",'Port Bloomberg'!J475)</f>
        <v/>
      </c>
      <c r="K475" s="7" t="str">
        <f>IF('Port Bloomberg'!K475="","",'Port Bloomberg'!K475)</f>
        <v/>
      </c>
      <c r="L475" s="7" t="str">
        <f>IF('Port Bloomberg'!L475="","",'Port Bloomberg'!L475)</f>
        <v/>
      </c>
      <c r="M475" s="7" t="str">
        <f>IF('Port Bloomberg'!M475="","",'Port Bloomberg'!M475)</f>
        <v/>
      </c>
      <c r="N475" s="7" t="str">
        <f>IF('Port Bloomberg'!N475="","",'Port Bloomberg'!N475)</f>
        <v/>
      </c>
      <c r="O475" s="7" t="str">
        <f>IF('Port Bloomberg'!O475="","",'Port Bloomberg'!O475)</f>
        <v/>
      </c>
      <c r="P475" s="7" t="str">
        <f>IF('Port Bloomberg'!P475="","",'Port Bloomberg'!P475)</f>
        <v/>
      </c>
      <c r="Q475" s="7" t="str">
        <f>IF('Port Bloomberg'!Q475="","",'Port Bloomberg'!Q475)</f>
        <v/>
      </c>
      <c r="R475" s="7" t="str">
        <f>IF('Port Bloomberg'!R475="","",'Port Bloomberg'!R475)</f>
        <v/>
      </c>
      <c r="S475" s="5" t="str">
        <f>IF(E475="","",IFERROR(IF(MATCH(E475,[1]Instrumentos!$D:$D,0)&gt;0,1,0),0))</f>
        <v/>
      </c>
      <c r="T475" s="5" t="str">
        <f>IF(E475="","",IFERROR(IF(MATCH(E475,'Lista de excepciones'!$E:$E,0)&gt;0,1,0),0))</f>
        <v/>
      </c>
      <c r="U475" s="6" t="str">
        <f t="shared" si="8"/>
        <v/>
      </c>
    </row>
    <row r="476" spans="1:21" hidden="1" x14ac:dyDescent="0.25">
      <c r="A476" s="7" t="str">
        <f>IF('Port Bloomberg'!A476="","",'Port Bloomberg'!A476)</f>
        <v/>
      </c>
      <c r="B476" s="7" t="str">
        <f>IF('Port Bloomberg'!B476="","",'Port Bloomberg'!B476)</f>
        <v/>
      </c>
      <c r="C476" s="7" t="str">
        <f>IF('Port Bloomberg'!C476="","",'Port Bloomberg'!C476)</f>
        <v/>
      </c>
      <c r="D476" s="7" t="str">
        <f>IF('Port Bloomberg'!D476="","",'Port Bloomberg'!D476)</f>
        <v/>
      </c>
      <c r="E476" s="7" t="str">
        <f>IF('Port Bloomberg'!E476="","",'Port Bloomberg'!E476)</f>
        <v/>
      </c>
      <c r="F476" s="7" t="str">
        <f>IF('Port Bloomberg'!F476="","",'Port Bloomberg'!F476)</f>
        <v/>
      </c>
      <c r="G476" s="7" t="str">
        <f>IF('Port Bloomberg'!G476="","",'Port Bloomberg'!G476)</f>
        <v/>
      </c>
      <c r="H476" s="7" t="str">
        <f>IF('Port Bloomberg'!H476="","",'Port Bloomberg'!H476)</f>
        <v/>
      </c>
      <c r="I476" s="7" t="str">
        <f>IF('Port Bloomberg'!I476="","",'Port Bloomberg'!I476)</f>
        <v/>
      </c>
      <c r="J476" s="7" t="str">
        <f>IF('Port Bloomberg'!J476="","",'Port Bloomberg'!J476)</f>
        <v/>
      </c>
      <c r="K476" s="7" t="str">
        <f>IF('Port Bloomberg'!K476="","",'Port Bloomberg'!K476)</f>
        <v/>
      </c>
      <c r="L476" s="7" t="str">
        <f>IF('Port Bloomberg'!L476="","",'Port Bloomberg'!L476)</f>
        <v/>
      </c>
      <c r="M476" s="7" t="str">
        <f>IF('Port Bloomberg'!M476="","",'Port Bloomberg'!M476)</f>
        <v/>
      </c>
      <c r="N476" s="7" t="str">
        <f>IF('Port Bloomberg'!N476="","",'Port Bloomberg'!N476)</f>
        <v/>
      </c>
      <c r="O476" s="7" t="str">
        <f>IF('Port Bloomberg'!O476="","",'Port Bloomberg'!O476)</f>
        <v/>
      </c>
      <c r="P476" s="7" t="str">
        <f>IF('Port Bloomberg'!P476="","",'Port Bloomberg'!P476)</f>
        <v/>
      </c>
      <c r="Q476" s="7" t="str">
        <f>IF('Port Bloomberg'!Q476="","",'Port Bloomberg'!Q476)</f>
        <v/>
      </c>
      <c r="R476" s="7" t="str">
        <f>IF('Port Bloomberg'!R476="","",'Port Bloomberg'!R476)</f>
        <v/>
      </c>
      <c r="S476" s="5" t="str">
        <f>IF(E476="","",IFERROR(IF(MATCH(E476,[1]Instrumentos!$D:$D,0)&gt;0,1,0),0))</f>
        <v/>
      </c>
      <c r="T476" s="5" t="str">
        <f>IF(E476="","",IFERROR(IF(MATCH(E476,'Lista de excepciones'!$E:$E,0)&gt;0,1,0),0))</f>
        <v/>
      </c>
      <c r="U476" s="6" t="str">
        <f t="shared" si="8"/>
        <v/>
      </c>
    </row>
    <row r="477" spans="1:21" hidden="1" x14ac:dyDescent="0.25">
      <c r="A477" s="7" t="str">
        <f>IF('Port Bloomberg'!A477="","",'Port Bloomberg'!A477)</f>
        <v/>
      </c>
      <c r="B477" s="7" t="str">
        <f>IF('Port Bloomberg'!B477="","",'Port Bloomberg'!B477)</f>
        <v/>
      </c>
      <c r="C477" s="7" t="str">
        <f>IF('Port Bloomberg'!C477="","",'Port Bloomberg'!C477)</f>
        <v/>
      </c>
      <c r="D477" s="7" t="str">
        <f>IF('Port Bloomberg'!D477="","",'Port Bloomberg'!D477)</f>
        <v/>
      </c>
      <c r="E477" s="7" t="str">
        <f>IF('Port Bloomberg'!E477="","",'Port Bloomberg'!E477)</f>
        <v/>
      </c>
      <c r="F477" s="7" t="str">
        <f>IF('Port Bloomberg'!F477="","",'Port Bloomberg'!F477)</f>
        <v/>
      </c>
      <c r="G477" s="7" t="str">
        <f>IF('Port Bloomberg'!G477="","",'Port Bloomberg'!G477)</f>
        <v/>
      </c>
      <c r="H477" s="7" t="str">
        <f>IF('Port Bloomberg'!H477="","",'Port Bloomberg'!H477)</f>
        <v/>
      </c>
      <c r="I477" s="7" t="str">
        <f>IF('Port Bloomberg'!I477="","",'Port Bloomberg'!I477)</f>
        <v/>
      </c>
      <c r="J477" s="7" t="str">
        <f>IF('Port Bloomberg'!J477="","",'Port Bloomberg'!J477)</f>
        <v/>
      </c>
      <c r="K477" s="7" t="str">
        <f>IF('Port Bloomberg'!K477="","",'Port Bloomberg'!K477)</f>
        <v/>
      </c>
      <c r="L477" s="7" t="str">
        <f>IF('Port Bloomberg'!L477="","",'Port Bloomberg'!L477)</f>
        <v/>
      </c>
      <c r="M477" s="7" t="str">
        <f>IF('Port Bloomberg'!M477="","",'Port Bloomberg'!M477)</f>
        <v/>
      </c>
      <c r="N477" s="7" t="str">
        <f>IF('Port Bloomberg'!N477="","",'Port Bloomberg'!N477)</f>
        <v/>
      </c>
      <c r="O477" s="7" t="str">
        <f>IF('Port Bloomberg'!O477="","",'Port Bloomberg'!O477)</f>
        <v/>
      </c>
      <c r="P477" s="7" t="str">
        <f>IF('Port Bloomberg'!P477="","",'Port Bloomberg'!P477)</f>
        <v/>
      </c>
      <c r="Q477" s="7" t="str">
        <f>IF('Port Bloomberg'!Q477="","",'Port Bloomberg'!Q477)</f>
        <v/>
      </c>
      <c r="R477" s="7" t="str">
        <f>IF('Port Bloomberg'!R477="","",'Port Bloomberg'!R477)</f>
        <v/>
      </c>
      <c r="S477" s="5" t="str">
        <f>IF(E477="","",IFERROR(IF(MATCH(E477,[1]Instrumentos!$D:$D,0)&gt;0,1,0),0))</f>
        <v/>
      </c>
      <c r="T477" s="5" t="str">
        <f>IF(E477="","",IFERROR(IF(MATCH(E477,'Lista de excepciones'!$E:$E,0)&gt;0,1,0),0))</f>
        <v/>
      </c>
      <c r="U477" s="6" t="str">
        <f t="shared" si="8"/>
        <v/>
      </c>
    </row>
    <row r="478" spans="1:21" hidden="1" x14ac:dyDescent="0.25">
      <c r="A478" s="7" t="str">
        <f>IF('Port Bloomberg'!A478="","",'Port Bloomberg'!A478)</f>
        <v/>
      </c>
      <c r="B478" s="7" t="str">
        <f>IF('Port Bloomberg'!B478="","",'Port Bloomberg'!B478)</f>
        <v/>
      </c>
      <c r="C478" s="7" t="str">
        <f>IF('Port Bloomberg'!C478="","",'Port Bloomberg'!C478)</f>
        <v/>
      </c>
      <c r="D478" s="7" t="str">
        <f>IF('Port Bloomberg'!D478="","",'Port Bloomberg'!D478)</f>
        <v/>
      </c>
      <c r="E478" s="7" t="str">
        <f>IF('Port Bloomberg'!E478="","",'Port Bloomberg'!E478)</f>
        <v/>
      </c>
      <c r="F478" s="7" t="str">
        <f>IF('Port Bloomberg'!F478="","",'Port Bloomberg'!F478)</f>
        <v/>
      </c>
      <c r="G478" s="7" t="str">
        <f>IF('Port Bloomberg'!G478="","",'Port Bloomberg'!G478)</f>
        <v/>
      </c>
      <c r="H478" s="7" t="str">
        <f>IF('Port Bloomberg'!H478="","",'Port Bloomberg'!H478)</f>
        <v/>
      </c>
      <c r="I478" s="7" t="str">
        <f>IF('Port Bloomberg'!I478="","",'Port Bloomberg'!I478)</f>
        <v/>
      </c>
      <c r="J478" s="7" t="str">
        <f>IF('Port Bloomberg'!J478="","",'Port Bloomberg'!J478)</f>
        <v/>
      </c>
      <c r="K478" s="7" t="str">
        <f>IF('Port Bloomberg'!K478="","",'Port Bloomberg'!K478)</f>
        <v/>
      </c>
      <c r="L478" s="7" t="str">
        <f>IF('Port Bloomberg'!L478="","",'Port Bloomberg'!L478)</f>
        <v/>
      </c>
      <c r="M478" s="7" t="str">
        <f>IF('Port Bloomberg'!M478="","",'Port Bloomberg'!M478)</f>
        <v/>
      </c>
      <c r="N478" s="7" t="str">
        <f>IF('Port Bloomberg'!N478="","",'Port Bloomberg'!N478)</f>
        <v/>
      </c>
      <c r="O478" s="7" t="str">
        <f>IF('Port Bloomberg'!O478="","",'Port Bloomberg'!O478)</f>
        <v/>
      </c>
      <c r="P478" s="7" t="str">
        <f>IF('Port Bloomberg'!P478="","",'Port Bloomberg'!P478)</f>
        <v/>
      </c>
      <c r="Q478" s="7" t="str">
        <f>IF('Port Bloomberg'!Q478="","",'Port Bloomberg'!Q478)</f>
        <v/>
      </c>
      <c r="R478" s="7" t="str">
        <f>IF('Port Bloomberg'!R478="","",'Port Bloomberg'!R478)</f>
        <v/>
      </c>
      <c r="S478" s="5" t="str">
        <f>IF(E478="","",IFERROR(IF(MATCH(E478,[1]Instrumentos!$D:$D,0)&gt;0,1,0),0))</f>
        <v/>
      </c>
      <c r="T478" s="5" t="str">
        <f>IF(E478="","",IFERROR(IF(MATCH(E478,'Lista de excepciones'!$E:$E,0)&gt;0,1,0),0))</f>
        <v/>
      </c>
      <c r="U478" s="6" t="str">
        <f t="shared" si="8"/>
        <v/>
      </c>
    </row>
    <row r="479" spans="1:21" hidden="1" x14ac:dyDescent="0.25">
      <c r="A479" s="7" t="str">
        <f>IF('Port Bloomberg'!A479="","",'Port Bloomberg'!A479)</f>
        <v/>
      </c>
      <c r="B479" s="7" t="str">
        <f>IF('Port Bloomberg'!B479="","",'Port Bloomberg'!B479)</f>
        <v/>
      </c>
      <c r="C479" s="7" t="str">
        <f>IF('Port Bloomberg'!C479="","",'Port Bloomberg'!C479)</f>
        <v/>
      </c>
      <c r="D479" s="7" t="str">
        <f>IF('Port Bloomberg'!D479="","",'Port Bloomberg'!D479)</f>
        <v/>
      </c>
      <c r="E479" s="7" t="str">
        <f>IF('Port Bloomberg'!E479="","",'Port Bloomberg'!E479)</f>
        <v/>
      </c>
      <c r="F479" s="7" t="str">
        <f>IF('Port Bloomberg'!F479="","",'Port Bloomberg'!F479)</f>
        <v/>
      </c>
      <c r="G479" s="7" t="str">
        <f>IF('Port Bloomberg'!G479="","",'Port Bloomberg'!G479)</f>
        <v/>
      </c>
      <c r="H479" s="7" t="str">
        <f>IF('Port Bloomberg'!H479="","",'Port Bloomberg'!H479)</f>
        <v/>
      </c>
      <c r="I479" s="7" t="str">
        <f>IF('Port Bloomberg'!I479="","",'Port Bloomberg'!I479)</f>
        <v/>
      </c>
      <c r="J479" s="7" t="str">
        <f>IF('Port Bloomberg'!J479="","",'Port Bloomberg'!J479)</f>
        <v/>
      </c>
      <c r="K479" s="7" t="str">
        <f>IF('Port Bloomberg'!K479="","",'Port Bloomberg'!K479)</f>
        <v/>
      </c>
      <c r="L479" s="7" t="str">
        <f>IF('Port Bloomberg'!L479="","",'Port Bloomberg'!L479)</f>
        <v/>
      </c>
      <c r="M479" s="7" t="str">
        <f>IF('Port Bloomberg'!M479="","",'Port Bloomberg'!M479)</f>
        <v/>
      </c>
      <c r="N479" s="7" t="str">
        <f>IF('Port Bloomberg'!N479="","",'Port Bloomberg'!N479)</f>
        <v/>
      </c>
      <c r="O479" s="7" t="str">
        <f>IF('Port Bloomberg'!O479="","",'Port Bloomberg'!O479)</f>
        <v/>
      </c>
      <c r="P479" s="7" t="str">
        <f>IF('Port Bloomberg'!P479="","",'Port Bloomberg'!P479)</f>
        <v/>
      </c>
      <c r="Q479" s="7" t="str">
        <f>IF('Port Bloomberg'!Q479="","",'Port Bloomberg'!Q479)</f>
        <v/>
      </c>
      <c r="R479" s="7" t="str">
        <f>IF('Port Bloomberg'!R479="","",'Port Bloomberg'!R479)</f>
        <v/>
      </c>
      <c r="S479" s="5" t="str">
        <f>IF(E479="","",IFERROR(IF(MATCH(E479,[1]Instrumentos!$D:$D,0)&gt;0,1,0),0))</f>
        <v/>
      </c>
      <c r="T479" s="5" t="str">
        <f>IF(E479="","",IFERROR(IF(MATCH(E479,'Lista de excepciones'!$E:$E,0)&gt;0,1,0),0))</f>
        <v/>
      </c>
      <c r="U479" s="6" t="str">
        <f t="shared" si="8"/>
        <v/>
      </c>
    </row>
    <row r="480" spans="1:21" hidden="1" x14ac:dyDescent="0.25">
      <c r="A480" s="7" t="str">
        <f>IF('Port Bloomberg'!A480="","",'Port Bloomberg'!A480)</f>
        <v/>
      </c>
      <c r="B480" s="7" t="str">
        <f>IF('Port Bloomberg'!B480="","",'Port Bloomberg'!B480)</f>
        <v/>
      </c>
      <c r="C480" s="7" t="str">
        <f>IF('Port Bloomberg'!C480="","",'Port Bloomberg'!C480)</f>
        <v/>
      </c>
      <c r="D480" s="7" t="str">
        <f>IF('Port Bloomberg'!D480="","",'Port Bloomberg'!D480)</f>
        <v/>
      </c>
      <c r="E480" s="7" t="str">
        <f>IF('Port Bloomberg'!E480="","",'Port Bloomberg'!E480)</f>
        <v/>
      </c>
      <c r="F480" s="7" t="str">
        <f>IF('Port Bloomberg'!F480="","",'Port Bloomberg'!F480)</f>
        <v/>
      </c>
      <c r="G480" s="7" t="str">
        <f>IF('Port Bloomberg'!G480="","",'Port Bloomberg'!G480)</f>
        <v/>
      </c>
      <c r="H480" s="7" t="str">
        <f>IF('Port Bloomberg'!H480="","",'Port Bloomberg'!H480)</f>
        <v/>
      </c>
      <c r="I480" s="7" t="str">
        <f>IF('Port Bloomberg'!I480="","",'Port Bloomberg'!I480)</f>
        <v/>
      </c>
      <c r="J480" s="7" t="str">
        <f>IF('Port Bloomberg'!J480="","",'Port Bloomberg'!J480)</f>
        <v/>
      </c>
      <c r="K480" s="7" t="str">
        <f>IF('Port Bloomberg'!K480="","",'Port Bloomberg'!K480)</f>
        <v/>
      </c>
      <c r="L480" s="7" t="str">
        <f>IF('Port Bloomberg'!L480="","",'Port Bloomberg'!L480)</f>
        <v/>
      </c>
      <c r="M480" s="7" t="str">
        <f>IF('Port Bloomberg'!M480="","",'Port Bloomberg'!M480)</f>
        <v/>
      </c>
      <c r="N480" s="7" t="str">
        <f>IF('Port Bloomberg'!N480="","",'Port Bloomberg'!N480)</f>
        <v/>
      </c>
      <c r="O480" s="7" t="str">
        <f>IF('Port Bloomberg'!O480="","",'Port Bloomberg'!O480)</f>
        <v/>
      </c>
      <c r="P480" s="7" t="str">
        <f>IF('Port Bloomberg'!P480="","",'Port Bloomberg'!P480)</f>
        <v/>
      </c>
      <c r="Q480" s="7" t="str">
        <f>IF('Port Bloomberg'!Q480="","",'Port Bloomberg'!Q480)</f>
        <v/>
      </c>
      <c r="R480" s="7" t="str">
        <f>IF('Port Bloomberg'!R480="","",'Port Bloomberg'!R480)</f>
        <v/>
      </c>
      <c r="S480" s="5" t="str">
        <f>IF(E480="","",IFERROR(IF(MATCH(E480,[1]Instrumentos!$D:$D,0)&gt;0,1,0),0))</f>
        <v/>
      </c>
      <c r="T480" s="5" t="str">
        <f>IF(E480="","",IFERROR(IF(MATCH(E480,'Lista de excepciones'!$E:$E,0)&gt;0,1,0),0))</f>
        <v/>
      </c>
      <c r="U480" s="6" t="str">
        <f t="shared" si="8"/>
        <v/>
      </c>
    </row>
    <row r="481" spans="1:21" hidden="1" x14ac:dyDescent="0.25">
      <c r="A481" s="7" t="str">
        <f>IF('Port Bloomberg'!A481="","",'Port Bloomberg'!A481)</f>
        <v/>
      </c>
      <c r="B481" s="7" t="str">
        <f>IF('Port Bloomberg'!B481="","",'Port Bloomberg'!B481)</f>
        <v/>
      </c>
      <c r="C481" s="7" t="str">
        <f>IF('Port Bloomberg'!C481="","",'Port Bloomberg'!C481)</f>
        <v/>
      </c>
      <c r="D481" s="7" t="str">
        <f>IF('Port Bloomberg'!D481="","",'Port Bloomberg'!D481)</f>
        <v/>
      </c>
      <c r="E481" s="7" t="str">
        <f>IF('Port Bloomberg'!E481="","",'Port Bloomberg'!E481)</f>
        <v/>
      </c>
      <c r="F481" s="7" t="str">
        <f>IF('Port Bloomberg'!F481="","",'Port Bloomberg'!F481)</f>
        <v/>
      </c>
      <c r="G481" s="7" t="str">
        <f>IF('Port Bloomberg'!G481="","",'Port Bloomberg'!G481)</f>
        <v/>
      </c>
      <c r="H481" s="7" t="str">
        <f>IF('Port Bloomberg'!H481="","",'Port Bloomberg'!H481)</f>
        <v/>
      </c>
      <c r="I481" s="7" t="str">
        <f>IF('Port Bloomberg'!I481="","",'Port Bloomberg'!I481)</f>
        <v/>
      </c>
      <c r="J481" s="7" t="str">
        <f>IF('Port Bloomberg'!J481="","",'Port Bloomberg'!J481)</f>
        <v/>
      </c>
      <c r="K481" s="7" t="str">
        <f>IF('Port Bloomberg'!K481="","",'Port Bloomberg'!K481)</f>
        <v/>
      </c>
      <c r="L481" s="7" t="str">
        <f>IF('Port Bloomberg'!L481="","",'Port Bloomberg'!L481)</f>
        <v/>
      </c>
      <c r="M481" s="7" t="str">
        <f>IF('Port Bloomberg'!M481="","",'Port Bloomberg'!M481)</f>
        <v/>
      </c>
      <c r="N481" s="7" t="str">
        <f>IF('Port Bloomberg'!N481="","",'Port Bloomberg'!N481)</f>
        <v/>
      </c>
      <c r="O481" s="7" t="str">
        <f>IF('Port Bloomberg'!O481="","",'Port Bloomberg'!O481)</f>
        <v/>
      </c>
      <c r="P481" s="7" t="str">
        <f>IF('Port Bloomberg'!P481="","",'Port Bloomberg'!P481)</f>
        <v/>
      </c>
      <c r="Q481" s="7" t="str">
        <f>IF('Port Bloomberg'!Q481="","",'Port Bloomberg'!Q481)</f>
        <v/>
      </c>
      <c r="R481" s="7" t="str">
        <f>IF('Port Bloomberg'!R481="","",'Port Bloomberg'!R481)</f>
        <v/>
      </c>
      <c r="S481" s="5" t="str">
        <f>IF(E481="","",IFERROR(IF(MATCH(E481,[1]Instrumentos!$D:$D,0)&gt;0,1,0),0))</f>
        <v/>
      </c>
      <c r="T481" s="5" t="str">
        <f>IF(E481="","",IFERROR(IF(MATCH(E481,'Lista de excepciones'!$E:$E,0)&gt;0,1,0),0))</f>
        <v/>
      </c>
      <c r="U481" s="6" t="str">
        <f t="shared" si="8"/>
        <v/>
      </c>
    </row>
    <row r="482" spans="1:21" hidden="1" x14ac:dyDescent="0.25">
      <c r="A482" s="7" t="str">
        <f>IF('Port Bloomberg'!A482="","",'Port Bloomberg'!A482)</f>
        <v/>
      </c>
      <c r="B482" s="7" t="str">
        <f>IF('Port Bloomberg'!B482="","",'Port Bloomberg'!B482)</f>
        <v/>
      </c>
      <c r="C482" s="7" t="str">
        <f>IF('Port Bloomberg'!C482="","",'Port Bloomberg'!C482)</f>
        <v/>
      </c>
      <c r="D482" s="7" t="str">
        <f>IF('Port Bloomberg'!D482="","",'Port Bloomberg'!D482)</f>
        <v/>
      </c>
      <c r="E482" s="7" t="str">
        <f>IF('Port Bloomberg'!E482="","",'Port Bloomberg'!E482)</f>
        <v/>
      </c>
      <c r="F482" s="7" t="str">
        <f>IF('Port Bloomberg'!F482="","",'Port Bloomberg'!F482)</f>
        <v/>
      </c>
      <c r="G482" s="7" t="str">
        <f>IF('Port Bloomberg'!G482="","",'Port Bloomberg'!G482)</f>
        <v/>
      </c>
      <c r="H482" s="7" t="str">
        <f>IF('Port Bloomberg'!H482="","",'Port Bloomberg'!H482)</f>
        <v/>
      </c>
      <c r="I482" s="7" t="str">
        <f>IF('Port Bloomberg'!I482="","",'Port Bloomberg'!I482)</f>
        <v/>
      </c>
      <c r="J482" s="7" t="str">
        <f>IF('Port Bloomberg'!J482="","",'Port Bloomberg'!J482)</f>
        <v/>
      </c>
      <c r="K482" s="7" t="str">
        <f>IF('Port Bloomberg'!K482="","",'Port Bloomberg'!K482)</f>
        <v/>
      </c>
      <c r="L482" s="7" t="str">
        <f>IF('Port Bloomberg'!L482="","",'Port Bloomberg'!L482)</f>
        <v/>
      </c>
      <c r="M482" s="7" t="str">
        <f>IF('Port Bloomberg'!M482="","",'Port Bloomberg'!M482)</f>
        <v/>
      </c>
      <c r="N482" s="7" t="str">
        <f>IF('Port Bloomberg'!N482="","",'Port Bloomberg'!N482)</f>
        <v/>
      </c>
      <c r="O482" s="7" t="str">
        <f>IF('Port Bloomberg'!O482="","",'Port Bloomberg'!O482)</f>
        <v/>
      </c>
      <c r="P482" s="7" t="str">
        <f>IF('Port Bloomberg'!P482="","",'Port Bloomberg'!P482)</f>
        <v/>
      </c>
      <c r="Q482" s="7" t="str">
        <f>IF('Port Bloomberg'!Q482="","",'Port Bloomberg'!Q482)</f>
        <v/>
      </c>
      <c r="R482" s="7" t="str">
        <f>IF('Port Bloomberg'!R482="","",'Port Bloomberg'!R482)</f>
        <v/>
      </c>
      <c r="S482" s="5" t="str">
        <f>IF(E482="","",IFERROR(IF(MATCH(E482,[1]Instrumentos!$D:$D,0)&gt;0,1,0),0))</f>
        <v/>
      </c>
      <c r="T482" s="5" t="str">
        <f>IF(E482="","",IFERROR(IF(MATCH(E482,'Lista de excepciones'!$E:$E,0)&gt;0,1,0),0))</f>
        <v/>
      </c>
      <c r="U482" s="6" t="str">
        <f t="shared" si="8"/>
        <v/>
      </c>
    </row>
    <row r="483" spans="1:21" hidden="1" x14ac:dyDescent="0.25">
      <c r="A483" s="7" t="str">
        <f>IF('Port Bloomberg'!A483="","",'Port Bloomberg'!A483)</f>
        <v/>
      </c>
      <c r="B483" s="7" t="str">
        <f>IF('Port Bloomberg'!B483="","",'Port Bloomberg'!B483)</f>
        <v/>
      </c>
      <c r="C483" s="7" t="str">
        <f>IF('Port Bloomberg'!C483="","",'Port Bloomberg'!C483)</f>
        <v/>
      </c>
      <c r="D483" s="7" t="str">
        <f>IF('Port Bloomberg'!D483="","",'Port Bloomberg'!D483)</f>
        <v/>
      </c>
      <c r="E483" s="7" t="str">
        <f>IF('Port Bloomberg'!E483="","",'Port Bloomberg'!E483)</f>
        <v/>
      </c>
      <c r="F483" s="7" t="str">
        <f>IF('Port Bloomberg'!F483="","",'Port Bloomberg'!F483)</f>
        <v/>
      </c>
      <c r="G483" s="7" t="str">
        <f>IF('Port Bloomberg'!G483="","",'Port Bloomberg'!G483)</f>
        <v/>
      </c>
      <c r="H483" s="7" t="str">
        <f>IF('Port Bloomberg'!H483="","",'Port Bloomberg'!H483)</f>
        <v/>
      </c>
      <c r="I483" s="7" t="str">
        <f>IF('Port Bloomberg'!I483="","",'Port Bloomberg'!I483)</f>
        <v/>
      </c>
      <c r="J483" s="7" t="str">
        <f>IF('Port Bloomberg'!J483="","",'Port Bloomberg'!J483)</f>
        <v/>
      </c>
      <c r="K483" s="7" t="str">
        <f>IF('Port Bloomberg'!K483="","",'Port Bloomberg'!K483)</f>
        <v/>
      </c>
      <c r="L483" s="7" t="str">
        <f>IF('Port Bloomberg'!L483="","",'Port Bloomberg'!L483)</f>
        <v/>
      </c>
      <c r="M483" s="7" t="str">
        <f>IF('Port Bloomberg'!M483="","",'Port Bloomberg'!M483)</f>
        <v/>
      </c>
      <c r="N483" s="7" t="str">
        <f>IF('Port Bloomberg'!N483="","",'Port Bloomberg'!N483)</f>
        <v/>
      </c>
      <c r="O483" s="7" t="str">
        <f>IF('Port Bloomberg'!O483="","",'Port Bloomberg'!O483)</f>
        <v/>
      </c>
      <c r="P483" s="7" t="str">
        <f>IF('Port Bloomberg'!P483="","",'Port Bloomberg'!P483)</f>
        <v/>
      </c>
      <c r="Q483" s="7" t="str">
        <f>IF('Port Bloomberg'!Q483="","",'Port Bloomberg'!Q483)</f>
        <v/>
      </c>
      <c r="R483" s="7" t="str">
        <f>IF('Port Bloomberg'!R483="","",'Port Bloomberg'!R483)</f>
        <v/>
      </c>
      <c r="S483" s="5" t="str">
        <f>IF(E483="","",IFERROR(IF(MATCH(E483,[1]Instrumentos!$D:$D,0)&gt;0,1,0),0))</f>
        <v/>
      </c>
      <c r="T483" s="5" t="str">
        <f>IF(E483="","",IFERROR(IF(MATCH(E483,'Lista de excepciones'!$E:$E,0)&gt;0,1,0),0))</f>
        <v/>
      </c>
      <c r="U483" s="6" t="str">
        <f t="shared" si="8"/>
        <v/>
      </c>
    </row>
    <row r="484" spans="1:21" hidden="1" x14ac:dyDescent="0.25">
      <c r="A484" s="7" t="str">
        <f>IF('Port Bloomberg'!A484="","",'Port Bloomberg'!A484)</f>
        <v/>
      </c>
      <c r="B484" s="7" t="str">
        <f>IF('Port Bloomberg'!B484="","",'Port Bloomberg'!B484)</f>
        <v/>
      </c>
      <c r="C484" s="7" t="str">
        <f>IF('Port Bloomberg'!C484="","",'Port Bloomberg'!C484)</f>
        <v/>
      </c>
      <c r="D484" s="7" t="str">
        <f>IF('Port Bloomberg'!D484="","",'Port Bloomberg'!D484)</f>
        <v/>
      </c>
      <c r="E484" s="7" t="str">
        <f>IF('Port Bloomberg'!E484="","",'Port Bloomberg'!E484)</f>
        <v/>
      </c>
      <c r="F484" s="7" t="str">
        <f>IF('Port Bloomberg'!F484="","",'Port Bloomberg'!F484)</f>
        <v/>
      </c>
      <c r="G484" s="7" t="str">
        <f>IF('Port Bloomberg'!G484="","",'Port Bloomberg'!G484)</f>
        <v/>
      </c>
      <c r="H484" s="7" t="str">
        <f>IF('Port Bloomberg'!H484="","",'Port Bloomberg'!H484)</f>
        <v/>
      </c>
      <c r="I484" s="7" t="str">
        <f>IF('Port Bloomberg'!I484="","",'Port Bloomberg'!I484)</f>
        <v/>
      </c>
      <c r="J484" s="7" t="str">
        <f>IF('Port Bloomberg'!J484="","",'Port Bloomberg'!J484)</f>
        <v/>
      </c>
      <c r="K484" s="7" t="str">
        <f>IF('Port Bloomberg'!K484="","",'Port Bloomberg'!K484)</f>
        <v/>
      </c>
      <c r="L484" s="7" t="str">
        <f>IF('Port Bloomberg'!L484="","",'Port Bloomberg'!L484)</f>
        <v/>
      </c>
      <c r="M484" s="7" t="str">
        <f>IF('Port Bloomberg'!M484="","",'Port Bloomberg'!M484)</f>
        <v/>
      </c>
      <c r="N484" s="7" t="str">
        <f>IF('Port Bloomberg'!N484="","",'Port Bloomberg'!N484)</f>
        <v/>
      </c>
      <c r="O484" s="7" t="str">
        <f>IF('Port Bloomberg'!O484="","",'Port Bloomberg'!O484)</f>
        <v/>
      </c>
      <c r="P484" s="7" t="str">
        <f>IF('Port Bloomberg'!P484="","",'Port Bloomberg'!P484)</f>
        <v/>
      </c>
      <c r="Q484" s="7" t="str">
        <f>IF('Port Bloomberg'!Q484="","",'Port Bloomberg'!Q484)</f>
        <v/>
      </c>
      <c r="R484" s="7" t="str">
        <f>IF('Port Bloomberg'!R484="","",'Port Bloomberg'!R484)</f>
        <v/>
      </c>
      <c r="S484" s="5" t="str">
        <f>IF(E484="","",IFERROR(IF(MATCH(E484,[1]Instrumentos!$D:$D,0)&gt;0,1,0),0))</f>
        <v/>
      </c>
      <c r="T484" s="5" t="str">
        <f>IF(E484="","",IFERROR(IF(MATCH(E484,'Lista de excepciones'!$E:$E,0)&gt;0,1,0),0))</f>
        <v/>
      </c>
      <c r="U484" s="6" t="str">
        <f t="shared" si="8"/>
        <v/>
      </c>
    </row>
    <row r="485" spans="1:21" hidden="1" x14ac:dyDescent="0.25">
      <c r="A485" s="7" t="str">
        <f>IF('Port Bloomberg'!A485="","",'Port Bloomberg'!A485)</f>
        <v/>
      </c>
      <c r="B485" s="7" t="str">
        <f>IF('Port Bloomberg'!B485="","",'Port Bloomberg'!B485)</f>
        <v/>
      </c>
      <c r="C485" s="7" t="str">
        <f>IF('Port Bloomberg'!C485="","",'Port Bloomberg'!C485)</f>
        <v/>
      </c>
      <c r="D485" s="7" t="str">
        <f>IF('Port Bloomberg'!D485="","",'Port Bloomberg'!D485)</f>
        <v/>
      </c>
      <c r="E485" s="7" t="str">
        <f>IF('Port Bloomberg'!E485="","",'Port Bloomberg'!E485)</f>
        <v/>
      </c>
      <c r="F485" s="7" t="str">
        <f>IF('Port Bloomberg'!F485="","",'Port Bloomberg'!F485)</f>
        <v/>
      </c>
      <c r="G485" s="7" t="str">
        <f>IF('Port Bloomberg'!G485="","",'Port Bloomberg'!G485)</f>
        <v/>
      </c>
      <c r="H485" s="7" t="str">
        <f>IF('Port Bloomberg'!H485="","",'Port Bloomberg'!H485)</f>
        <v/>
      </c>
      <c r="I485" s="7" t="str">
        <f>IF('Port Bloomberg'!I485="","",'Port Bloomberg'!I485)</f>
        <v/>
      </c>
      <c r="J485" s="7" t="str">
        <f>IF('Port Bloomberg'!J485="","",'Port Bloomberg'!J485)</f>
        <v/>
      </c>
      <c r="K485" s="7" t="str">
        <f>IF('Port Bloomberg'!K485="","",'Port Bloomberg'!K485)</f>
        <v/>
      </c>
      <c r="L485" s="7" t="str">
        <f>IF('Port Bloomberg'!L485="","",'Port Bloomberg'!L485)</f>
        <v/>
      </c>
      <c r="M485" s="7" t="str">
        <f>IF('Port Bloomberg'!M485="","",'Port Bloomberg'!M485)</f>
        <v/>
      </c>
      <c r="N485" s="7" t="str">
        <f>IF('Port Bloomberg'!N485="","",'Port Bloomberg'!N485)</f>
        <v/>
      </c>
      <c r="O485" s="7" t="str">
        <f>IF('Port Bloomberg'!O485="","",'Port Bloomberg'!O485)</f>
        <v/>
      </c>
      <c r="P485" s="7" t="str">
        <f>IF('Port Bloomberg'!P485="","",'Port Bloomberg'!P485)</f>
        <v/>
      </c>
      <c r="Q485" s="7" t="str">
        <f>IF('Port Bloomberg'!Q485="","",'Port Bloomberg'!Q485)</f>
        <v/>
      </c>
      <c r="R485" s="7" t="str">
        <f>IF('Port Bloomberg'!R485="","",'Port Bloomberg'!R485)</f>
        <v/>
      </c>
      <c r="S485" s="5" t="str">
        <f>IF(E485="","",IFERROR(IF(MATCH(E485,[1]Instrumentos!$D:$D,0)&gt;0,1,0),0))</f>
        <v/>
      </c>
      <c r="T485" s="5" t="str">
        <f>IF(E485="","",IFERROR(IF(MATCH(E485,'Lista de excepciones'!$E:$E,0)&gt;0,1,0),0))</f>
        <v/>
      </c>
      <c r="U485" s="6" t="str">
        <f t="shared" si="8"/>
        <v/>
      </c>
    </row>
    <row r="486" spans="1:21" hidden="1" x14ac:dyDescent="0.25">
      <c r="A486" s="7" t="str">
        <f>IF('Port Bloomberg'!A486="","",'Port Bloomberg'!A486)</f>
        <v/>
      </c>
      <c r="B486" s="7" t="str">
        <f>IF('Port Bloomberg'!B486="","",'Port Bloomberg'!B486)</f>
        <v/>
      </c>
      <c r="C486" s="7" t="str">
        <f>IF('Port Bloomberg'!C486="","",'Port Bloomberg'!C486)</f>
        <v/>
      </c>
      <c r="D486" s="7" t="str">
        <f>IF('Port Bloomberg'!D486="","",'Port Bloomberg'!D486)</f>
        <v/>
      </c>
      <c r="E486" s="7" t="str">
        <f>IF('Port Bloomberg'!E486="","",'Port Bloomberg'!E486)</f>
        <v/>
      </c>
      <c r="F486" s="7" t="str">
        <f>IF('Port Bloomberg'!F486="","",'Port Bloomberg'!F486)</f>
        <v/>
      </c>
      <c r="G486" s="7" t="str">
        <f>IF('Port Bloomberg'!G486="","",'Port Bloomberg'!G486)</f>
        <v/>
      </c>
      <c r="H486" s="7" t="str">
        <f>IF('Port Bloomberg'!H486="","",'Port Bloomberg'!H486)</f>
        <v/>
      </c>
      <c r="I486" s="7" t="str">
        <f>IF('Port Bloomberg'!I486="","",'Port Bloomberg'!I486)</f>
        <v/>
      </c>
      <c r="J486" s="7" t="str">
        <f>IF('Port Bloomberg'!J486="","",'Port Bloomberg'!J486)</f>
        <v/>
      </c>
      <c r="K486" s="7" t="str">
        <f>IF('Port Bloomberg'!K486="","",'Port Bloomberg'!K486)</f>
        <v/>
      </c>
      <c r="L486" s="7" t="str">
        <f>IF('Port Bloomberg'!L486="","",'Port Bloomberg'!L486)</f>
        <v/>
      </c>
      <c r="M486" s="7" t="str">
        <f>IF('Port Bloomberg'!M486="","",'Port Bloomberg'!M486)</f>
        <v/>
      </c>
      <c r="N486" s="7" t="str">
        <f>IF('Port Bloomberg'!N486="","",'Port Bloomberg'!N486)</f>
        <v/>
      </c>
      <c r="O486" s="7" t="str">
        <f>IF('Port Bloomberg'!O486="","",'Port Bloomberg'!O486)</f>
        <v/>
      </c>
      <c r="P486" s="7" t="str">
        <f>IF('Port Bloomberg'!P486="","",'Port Bloomberg'!P486)</f>
        <v/>
      </c>
      <c r="Q486" s="7" t="str">
        <f>IF('Port Bloomberg'!Q486="","",'Port Bloomberg'!Q486)</f>
        <v/>
      </c>
      <c r="R486" s="7" t="str">
        <f>IF('Port Bloomberg'!R486="","",'Port Bloomberg'!R486)</f>
        <v/>
      </c>
      <c r="S486" s="5" t="str">
        <f>IF(E486="","",IFERROR(IF(MATCH(E486,[1]Instrumentos!$D:$D,0)&gt;0,1,0),0))</f>
        <v/>
      </c>
      <c r="T486" s="5" t="str">
        <f>IF(E486="","",IFERROR(IF(MATCH(E486,'Lista de excepciones'!$E:$E,0)&gt;0,1,0),0))</f>
        <v/>
      </c>
      <c r="U486" s="6" t="str">
        <f t="shared" si="8"/>
        <v/>
      </c>
    </row>
    <row r="487" spans="1:21" hidden="1" x14ac:dyDescent="0.25">
      <c r="A487" s="7" t="str">
        <f>IF('Port Bloomberg'!A487="","",'Port Bloomberg'!A487)</f>
        <v/>
      </c>
      <c r="B487" s="7" t="str">
        <f>IF('Port Bloomberg'!B487="","",'Port Bloomberg'!B487)</f>
        <v/>
      </c>
      <c r="C487" s="7" t="str">
        <f>IF('Port Bloomberg'!C487="","",'Port Bloomberg'!C487)</f>
        <v/>
      </c>
      <c r="D487" s="7" t="str">
        <f>IF('Port Bloomberg'!D487="","",'Port Bloomberg'!D487)</f>
        <v/>
      </c>
      <c r="E487" s="7" t="str">
        <f>IF('Port Bloomberg'!E487="","",'Port Bloomberg'!E487)</f>
        <v/>
      </c>
      <c r="F487" s="7" t="str">
        <f>IF('Port Bloomberg'!F487="","",'Port Bloomberg'!F487)</f>
        <v/>
      </c>
      <c r="G487" s="7" t="str">
        <f>IF('Port Bloomberg'!G487="","",'Port Bloomberg'!G487)</f>
        <v/>
      </c>
      <c r="H487" s="7" t="str">
        <f>IF('Port Bloomberg'!H487="","",'Port Bloomberg'!H487)</f>
        <v/>
      </c>
      <c r="I487" s="7" t="str">
        <f>IF('Port Bloomberg'!I487="","",'Port Bloomberg'!I487)</f>
        <v/>
      </c>
      <c r="J487" s="7" t="str">
        <f>IF('Port Bloomberg'!J487="","",'Port Bloomberg'!J487)</f>
        <v/>
      </c>
      <c r="K487" s="7" t="str">
        <f>IF('Port Bloomberg'!K487="","",'Port Bloomberg'!K487)</f>
        <v/>
      </c>
      <c r="L487" s="7" t="str">
        <f>IF('Port Bloomberg'!L487="","",'Port Bloomberg'!L487)</f>
        <v/>
      </c>
      <c r="M487" s="7" t="str">
        <f>IF('Port Bloomberg'!M487="","",'Port Bloomberg'!M487)</f>
        <v/>
      </c>
      <c r="N487" s="7" t="str">
        <f>IF('Port Bloomberg'!N487="","",'Port Bloomberg'!N487)</f>
        <v/>
      </c>
      <c r="O487" s="7" t="str">
        <f>IF('Port Bloomberg'!O487="","",'Port Bloomberg'!O487)</f>
        <v/>
      </c>
      <c r="P487" s="7" t="str">
        <f>IF('Port Bloomberg'!P487="","",'Port Bloomberg'!P487)</f>
        <v/>
      </c>
      <c r="Q487" s="7" t="str">
        <f>IF('Port Bloomberg'!Q487="","",'Port Bloomberg'!Q487)</f>
        <v/>
      </c>
      <c r="R487" s="7" t="str">
        <f>IF('Port Bloomberg'!R487="","",'Port Bloomberg'!R487)</f>
        <v/>
      </c>
      <c r="S487" s="5" t="str">
        <f>IF(E487="","",IFERROR(IF(MATCH(E487,[1]Instrumentos!$D:$D,0)&gt;0,1,0),0))</f>
        <v/>
      </c>
      <c r="T487" s="5" t="str">
        <f>IF(E487="","",IFERROR(IF(MATCH(E487,'Lista de excepciones'!$E:$E,0)&gt;0,1,0),0))</f>
        <v/>
      </c>
      <c r="U487" s="6" t="str">
        <f t="shared" si="8"/>
        <v/>
      </c>
    </row>
    <row r="488" spans="1:21" hidden="1" x14ac:dyDescent="0.25">
      <c r="A488" s="7" t="str">
        <f>IF('Port Bloomberg'!A488="","",'Port Bloomberg'!A488)</f>
        <v/>
      </c>
      <c r="B488" s="7" t="str">
        <f>IF('Port Bloomberg'!B488="","",'Port Bloomberg'!B488)</f>
        <v/>
      </c>
      <c r="C488" s="7" t="str">
        <f>IF('Port Bloomberg'!C488="","",'Port Bloomberg'!C488)</f>
        <v/>
      </c>
      <c r="D488" s="7" t="str">
        <f>IF('Port Bloomberg'!D488="","",'Port Bloomberg'!D488)</f>
        <v/>
      </c>
      <c r="E488" s="7" t="str">
        <f>IF('Port Bloomberg'!E488="","",'Port Bloomberg'!E488)</f>
        <v/>
      </c>
      <c r="F488" s="7" t="str">
        <f>IF('Port Bloomberg'!F488="","",'Port Bloomberg'!F488)</f>
        <v/>
      </c>
      <c r="G488" s="7" t="str">
        <f>IF('Port Bloomberg'!G488="","",'Port Bloomberg'!G488)</f>
        <v/>
      </c>
      <c r="H488" s="7" t="str">
        <f>IF('Port Bloomberg'!H488="","",'Port Bloomberg'!H488)</f>
        <v/>
      </c>
      <c r="I488" s="7" t="str">
        <f>IF('Port Bloomberg'!I488="","",'Port Bloomberg'!I488)</f>
        <v/>
      </c>
      <c r="J488" s="7" t="str">
        <f>IF('Port Bloomberg'!J488="","",'Port Bloomberg'!J488)</f>
        <v/>
      </c>
      <c r="K488" s="7" t="str">
        <f>IF('Port Bloomberg'!K488="","",'Port Bloomberg'!K488)</f>
        <v/>
      </c>
      <c r="L488" s="7" t="str">
        <f>IF('Port Bloomberg'!L488="","",'Port Bloomberg'!L488)</f>
        <v/>
      </c>
      <c r="M488" s="7" t="str">
        <f>IF('Port Bloomberg'!M488="","",'Port Bloomberg'!M488)</f>
        <v/>
      </c>
      <c r="N488" s="7" t="str">
        <f>IF('Port Bloomberg'!N488="","",'Port Bloomberg'!N488)</f>
        <v/>
      </c>
      <c r="O488" s="7" t="str">
        <f>IF('Port Bloomberg'!O488="","",'Port Bloomberg'!O488)</f>
        <v/>
      </c>
      <c r="P488" s="7" t="str">
        <f>IF('Port Bloomberg'!P488="","",'Port Bloomberg'!P488)</f>
        <v/>
      </c>
      <c r="Q488" s="7" t="str">
        <f>IF('Port Bloomberg'!Q488="","",'Port Bloomberg'!Q488)</f>
        <v/>
      </c>
      <c r="R488" s="7" t="str">
        <f>IF('Port Bloomberg'!R488="","",'Port Bloomberg'!R488)</f>
        <v/>
      </c>
      <c r="S488" s="5" t="str">
        <f>IF(E488="","",IFERROR(IF(MATCH(E488,[1]Instrumentos!$D:$D,0)&gt;0,1,0),0))</f>
        <v/>
      </c>
      <c r="T488" s="5" t="str">
        <f>IF(E488="","",IFERROR(IF(MATCH(E488,'Lista de excepciones'!$E:$E,0)&gt;0,1,0),0))</f>
        <v/>
      </c>
      <c r="U488" s="6" t="str">
        <f t="shared" si="8"/>
        <v/>
      </c>
    </row>
    <row r="489" spans="1:21" hidden="1" x14ac:dyDescent="0.25">
      <c r="A489" s="7" t="str">
        <f>IF('Port Bloomberg'!A489="","",'Port Bloomberg'!A489)</f>
        <v/>
      </c>
      <c r="B489" s="7" t="str">
        <f>IF('Port Bloomberg'!B489="","",'Port Bloomberg'!B489)</f>
        <v/>
      </c>
      <c r="C489" s="7" t="str">
        <f>IF('Port Bloomberg'!C489="","",'Port Bloomberg'!C489)</f>
        <v/>
      </c>
      <c r="D489" s="7" t="str">
        <f>IF('Port Bloomberg'!D489="","",'Port Bloomberg'!D489)</f>
        <v/>
      </c>
      <c r="E489" s="7" t="str">
        <f>IF('Port Bloomberg'!E489="","",'Port Bloomberg'!E489)</f>
        <v/>
      </c>
      <c r="F489" s="7" t="str">
        <f>IF('Port Bloomberg'!F489="","",'Port Bloomberg'!F489)</f>
        <v/>
      </c>
      <c r="G489" s="7" t="str">
        <f>IF('Port Bloomberg'!G489="","",'Port Bloomberg'!G489)</f>
        <v/>
      </c>
      <c r="H489" s="7" t="str">
        <f>IF('Port Bloomberg'!H489="","",'Port Bloomberg'!H489)</f>
        <v/>
      </c>
      <c r="I489" s="7" t="str">
        <f>IF('Port Bloomberg'!I489="","",'Port Bloomberg'!I489)</f>
        <v/>
      </c>
      <c r="J489" s="7" t="str">
        <f>IF('Port Bloomberg'!J489="","",'Port Bloomberg'!J489)</f>
        <v/>
      </c>
      <c r="K489" s="7" t="str">
        <f>IF('Port Bloomberg'!K489="","",'Port Bloomberg'!K489)</f>
        <v/>
      </c>
      <c r="L489" s="7" t="str">
        <f>IF('Port Bloomberg'!L489="","",'Port Bloomberg'!L489)</f>
        <v/>
      </c>
      <c r="M489" s="7" t="str">
        <f>IF('Port Bloomberg'!M489="","",'Port Bloomberg'!M489)</f>
        <v/>
      </c>
      <c r="N489" s="7" t="str">
        <f>IF('Port Bloomberg'!N489="","",'Port Bloomberg'!N489)</f>
        <v/>
      </c>
      <c r="O489" s="7" t="str">
        <f>IF('Port Bloomberg'!O489="","",'Port Bloomberg'!O489)</f>
        <v/>
      </c>
      <c r="P489" s="7" t="str">
        <f>IF('Port Bloomberg'!P489="","",'Port Bloomberg'!P489)</f>
        <v/>
      </c>
      <c r="Q489" s="7" t="str">
        <f>IF('Port Bloomberg'!Q489="","",'Port Bloomberg'!Q489)</f>
        <v/>
      </c>
      <c r="R489" s="7" t="str">
        <f>IF('Port Bloomberg'!R489="","",'Port Bloomberg'!R489)</f>
        <v/>
      </c>
      <c r="S489" s="5" t="str">
        <f>IF(E489="","",IFERROR(IF(MATCH(E489,[1]Instrumentos!$D:$D,0)&gt;0,1,0),0))</f>
        <v/>
      </c>
      <c r="T489" s="5" t="str">
        <f>IF(E489="","",IFERROR(IF(MATCH(E489,'Lista de excepciones'!$E:$E,0)&gt;0,1,0),0))</f>
        <v/>
      </c>
      <c r="U489" s="6" t="str">
        <f t="shared" si="8"/>
        <v/>
      </c>
    </row>
    <row r="490" spans="1:21" hidden="1" x14ac:dyDescent="0.25">
      <c r="A490" s="7" t="str">
        <f>IF('Port Bloomberg'!A490="","",'Port Bloomberg'!A490)</f>
        <v/>
      </c>
      <c r="B490" s="7" t="str">
        <f>IF('Port Bloomberg'!B490="","",'Port Bloomberg'!B490)</f>
        <v/>
      </c>
      <c r="C490" s="7" t="str">
        <f>IF('Port Bloomberg'!C490="","",'Port Bloomberg'!C490)</f>
        <v/>
      </c>
      <c r="D490" s="7" t="str">
        <f>IF('Port Bloomberg'!D490="","",'Port Bloomberg'!D490)</f>
        <v/>
      </c>
      <c r="E490" s="7" t="str">
        <f>IF('Port Bloomberg'!E490="","",'Port Bloomberg'!E490)</f>
        <v/>
      </c>
      <c r="F490" s="7" t="str">
        <f>IF('Port Bloomberg'!F490="","",'Port Bloomberg'!F490)</f>
        <v/>
      </c>
      <c r="G490" s="7" t="str">
        <f>IF('Port Bloomberg'!G490="","",'Port Bloomberg'!G490)</f>
        <v/>
      </c>
      <c r="H490" s="7" t="str">
        <f>IF('Port Bloomberg'!H490="","",'Port Bloomberg'!H490)</f>
        <v/>
      </c>
      <c r="I490" s="7" t="str">
        <f>IF('Port Bloomberg'!I490="","",'Port Bloomberg'!I490)</f>
        <v/>
      </c>
      <c r="J490" s="7" t="str">
        <f>IF('Port Bloomberg'!J490="","",'Port Bloomberg'!J490)</f>
        <v/>
      </c>
      <c r="K490" s="7" t="str">
        <f>IF('Port Bloomberg'!K490="","",'Port Bloomberg'!K490)</f>
        <v/>
      </c>
      <c r="L490" s="7" t="str">
        <f>IF('Port Bloomberg'!L490="","",'Port Bloomberg'!L490)</f>
        <v/>
      </c>
      <c r="M490" s="7" t="str">
        <f>IF('Port Bloomberg'!M490="","",'Port Bloomberg'!M490)</f>
        <v/>
      </c>
      <c r="N490" s="7" t="str">
        <f>IF('Port Bloomberg'!N490="","",'Port Bloomberg'!N490)</f>
        <v/>
      </c>
      <c r="O490" s="7" t="str">
        <f>IF('Port Bloomberg'!O490="","",'Port Bloomberg'!O490)</f>
        <v/>
      </c>
      <c r="P490" s="7" t="str">
        <f>IF('Port Bloomberg'!P490="","",'Port Bloomberg'!P490)</f>
        <v/>
      </c>
      <c r="Q490" s="7" t="str">
        <f>IF('Port Bloomberg'!Q490="","",'Port Bloomberg'!Q490)</f>
        <v/>
      </c>
      <c r="R490" s="7" t="str">
        <f>IF('Port Bloomberg'!R490="","",'Port Bloomberg'!R490)</f>
        <v/>
      </c>
      <c r="S490" s="5" t="str">
        <f>IF(E490="","",IFERROR(IF(MATCH(E490,[1]Instrumentos!$D:$D,0)&gt;0,1,0),0))</f>
        <v/>
      </c>
      <c r="T490" s="5" t="str">
        <f>IF(E490="","",IFERROR(IF(MATCH(E490,'Lista de excepciones'!$E:$E,0)&gt;0,1,0),0))</f>
        <v/>
      </c>
      <c r="U490" s="6" t="str">
        <f t="shared" si="8"/>
        <v/>
      </c>
    </row>
    <row r="491" spans="1:21" hidden="1" x14ac:dyDescent="0.25">
      <c r="A491" s="7" t="str">
        <f>IF('Port Bloomberg'!A491="","",'Port Bloomberg'!A491)</f>
        <v/>
      </c>
      <c r="B491" s="7" t="str">
        <f>IF('Port Bloomberg'!B491="","",'Port Bloomberg'!B491)</f>
        <v/>
      </c>
      <c r="C491" s="7" t="str">
        <f>IF('Port Bloomberg'!C491="","",'Port Bloomberg'!C491)</f>
        <v/>
      </c>
      <c r="D491" s="7" t="str">
        <f>IF('Port Bloomberg'!D491="","",'Port Bloomberg'!D491)</f>
        <v/>
      </c>
      <c r="E491" s="7" t="str">
        <f>IF('Port Bloomberg'!E491="","",'Port Bloomberg'!E491)</f>
        <v/>
      </c>
      <c r="F491" s="7" t="str">
        <f>IF('Port Bloomberg'!F491="","",'Port Bloomberg'!F491)</f>
        <v/>
      </c>
      <c r="G491" s="7" t="str">
        <f>IF('Port Bloomberg'!G491="","",'Port Bloomberg'!G491)</f>
        <v/>
      </c>
      <c r="H491" s="7" t="str">
        <f>IF('Port Bloomberg'!H491="","",'Port Bloomberg'!H491)</f>
        <v/>
      </c>
      <c r="I491" s="7" t="str">
        <f>IF('Port Bloomberg'!I491="","",'Port Bloomberg'!I491)</f>
        <v/>
      </c>
      <c r="J491" s="7" t="str">
        <f>IF('Port Bloomberg'!J491="","",'Port Bloomberg'!J491)</f>
        <v/>
      </c>
      <c r="K491" s="7" t="str">
        <f>IF('Port Bloomberg'!K491="","",'Port Bloomberg'!K491)</f>
        <v/>
      </c>
      <c r="L491" s="7" t="str">
        <f>IF('Port Bloomberg'!L491="","",'Port Bloomberg'!L491)</f>
        <v/>
      </c>
      <c r="M491" s="7" t="str">
        <f>IF('Port Bloomberg'!M491="","",'Port Bloomberg'!M491)</f>
        <v/>
      </c>
      <c r="N491" s="7" t="str">
        <f>IF('Port Bloomberg'!N491="","",'Port Bloomberg'!N491)</f>
        <v/>
      </c>
      <c r="O491" s="7" t="str">
        <f>IF('Port Bloomberg'!O491="","",'Port Bloomberg'!O491)</f>
        <v/>
      </c>
      <c r="P491" s="7" t="str">
        <f>IF('Port Bloomberg'!P491="","",'Port Bloomberg'!P491)</f>
        <v/>
      </c>
      <c r="Q491" s="7" t="str">
        <f>IF('Port Bloomberg'!Q491="","",'Port Bloomberg'!Q491)</f>
        <v/>
      </c>
      <c r="R491" s="7" t="str">
        <f>IF('Port Bloomberg'!R491="","",'Port Bloomberg'!R491)</f>
        <v/>
      </c>
      <c r="S491" s="5" t="str">
        <f>IF(E491="","",IFERROR(IF(MATCH(E491,[1]Instrumentos!$D:$D,0)&gt;0,1,0),0))</f>
        <v/>
      </c>
      <c r="T491" s="5" t="str">
        <f>IF(E491="","",IFERROR(IF(MATCH(E491,'Lista de excepciones'!$E:$E,0)&gt;0,1,0),0))</f>
        <v/>
      </c>
      <c r="U491" s="6" t="str">
        <f t="shared" si="8"/>
        <v/>
      </c>
    </row>
    <row r="492" spans="1:21" hidden="1" x14ac:dyDescent="0.25">
      <c r="A492" s="7" t="str">
        <f>IF('Port Bloomberg'!A492="","",'Port Bloomberg'!A492)</f>
        <v/>
      </c>
      <c r="B492" s="7" t="str">
        <f>IF('Port Bloomberg'!B492="","",'Port Bloomberg'!B492)</f>
        <v/>
      </c>
      <c r="C492" s="7" t="str">
        <f>IF('Port Bloomberg'!C492="","",'Port Bloomberg'!C492)</f>
        <v/>
      </c>
      <c r="D492" s="7" t="str">
        <f>IF('Port Bloomberg'!D492="","",'Port Bloomberg'!D492)</f>
        <v/>
      </c>
      <c r="E492" s="7" t="str">
        <f>IF('Port Bloomberg'!E492="","",'Port Bloomberg'!E492)</f>
        <v/>
      </c>
      <c r="F492" s="7" t="str">
        <f>IF('Port Bloomberg'!F492="","",'Port Bloomberg'!F492)</f>
        <v/>
      </c>
      <c r="G492" s="7" t="str">
        <f>IF('Port Bloomberg'!G492="","",'Port Bloomberg'!G492)</f>
        <v/>
      </c>
      <c r="H492" s="7" t="str">
        <f>IF('Port Bloomberg'!H492="","",'Port Bloomberg'!H492)</f>
        <v/>
      </c>
      <c r="I492" s="7" t="str">
        <f>IF('Port Bloomberg'!I492="","",'Port Bloomberg'!I492)</f>
        <v/>
      </c>
      <c r="J492" s="7" t="str">
        <f>IF('Port Bloomberg'!J492="","",'Port Bloomberg'!J492)</f>
        <v/>
      </c>
      <c r="K492" s="7" t="str">
        <f>IF('Port Bloomberg'!K492="","",'Port Bloomberg'!K492)</f>
        <v/>
      </c>
      <c r="L492" s="7" t="str">
        <f>IF('Port Bloomberg'!L492="","",'Port Bloomberg'!L492)</f>
        <v/>
      </c>
      <c r="M492" s="7" t="str">
        <f>IF('Port Bloomberg'!M492="","",'Port Bloomberg'!M492)</f>
        <v/>
      </c>
      <c r="N492" s="7" t="str">
        <f>IF('Port Bloomberg'!N492="","",'Port Bloomberg'!N492)</f>
        <v/>
      </c>
      <c r="O492" s="7" t="str">
        <f>IF('Port Bloomberg'!O492="","",'Port Bloomberg'!O492)</f>
        <v/>
      </c>
      <c r="P492" s="7" t="str">
        <f>IF('Port Bloomberg'!P492="","",'Port Bloomberg'!P492)</f>
        <v/>
      </c>
      <c r="Q492" s="7" t="str">
        <f>IF('Port Bloomberg'!Q492="","",'Port Bloomberg'!Q492)</f>
        <v/>
      </c>
      <c r="R492" s="7" t="str">
        <f>IF('Port Bloomberg'!R492="","",'Port Bloomberg'!R492)</f>
        <v/>
      </c>
      <c r="S492" s="5" t="str">
        <f>IF(E492="","",IFERROR(IF(MATCH(E492,[1]Instrumentos!$D:$D,0)&gt;0,1,0),0))</f>
        <v/>
      </c>
      <c r="T492" s="5" t="str">
        <f>IF(E492="","",IFERROR(IF(MATCH(E492,'Lista de excepciones'!$E:$E,0)&gt;0,1,0),0))</f>
        <v/>
      </c>
      <c r="U492" s="6" t="str">
        <f t="shared" si="8"/>
        <v/>
      </c>
    </row>
    <row r="493" spans="1:21" hidden="1" x14ac:dyDescent="0.25">
      <c r="A493" s="7" t="str">
        <f>IF('Port Bloomberg'!A493="","",'Port Bloomberg'!A493)</f>
        <v/>
      </c>
      <c r="B493" s="7" t="str">
        <f>IF('Port Bloomberg'!B493="","",'Port Bloomberg'!B493)</f>
        <v/>
      </c>
      <c r="C493" s="7" t="str">
        <f>IF('Port Bloomberg'!C493="","",'Port Bloomberg'!C493)</f>
        <v/>
      </c>
      <c r="D493" s="7" t="str">
        <f>IF('Port Bloomberg'!D493="","",'Port Bloomberg'!D493)</f>
        <v/>
      </c>
      <c r="E493" s="7" t="str">
        <f>IF('Port Bloomberg'!E493="","",'Port Bloomberg'!E493)</f>
        <v/>
      </c>
      <c r="F493" s="7" t="str">
        <f>IF('Port Bloomberg'!F493="","",'Port Bloomberg'!F493)</f>
        <v/>
      </c>
      <c r="G493" s="7" t="str">
        <f>IF('Port Bloomberg'!G493="","",'Port Bloomberg'!G493)</f>
        <v/>
      </c>
      <c r="H493" s="7" t="str">
        <f>IF('Port Bloomberg'!H493="","",'Port Bloomberg'!H493)</f>
        <v/>
      </c>
      <c r="I493" s="7" t="str">
        <f>IF('Port Bloomberg'!I493="","",'Port Bloomberg'!I493)</f>
        <v/>
      </c>
      <c r="J493" s="7" t="str">
        <f>IF('Port Bloomberg'!J493="","",'Port Bloomberg'!J493)</f>
        <v/>
      </c>
      <c r="K493" s="7" t="str">
        <f>IF('Port Bloomberg'!K493="","",'Port Bloomberg'!K493)</f>
        <v/>
      </c>
      <c r="L493" s="7" t="str">
        <f>IF('Port Bloomberg'!L493="","",'Port Bloomberg'!L493)</f>
        <v/>
      </c>
      <c r="M493" s="7" t="str">
        <f>IF('Port Bloomberg'!M493="","",'Port Bloomberg'!M493)</f>
        <v/>
      </c>
      <c r="N493" s="7" t="str">
        <f>IF('Port Bloomberg'!N493="","",'Port Bloomberg'!N493)</f>
        <v/>
      </c>
      <c r="O493" s="7" t="str">
        <f>IF('Port Bloomberg'!O493="","",'Port Bloomberg'!O493)</f>
        <v/>
      </c>
      <c r="P493" s="7" t="str">
        <f>IF('Port Bloomberg'!P493="","",'Port Bloomberg'!P493)</f>
        <v/>
      </c>
      <c r="Q493" s="7" t="str">
        <f>IF('Port Bloomberg'!Q493="","",'Port Bloomberg'!Q493)</f>
        <v/>
      </c>
      <c r="R493" s="7" t="str">
        <f>IF('Port Bloomberg'!R493="","",'Port Bloomberg'!R493)</f>
        <v/>
      </c>
      <c r="S493" s="5" t="str">
        <f>IF(E493="","",IFERROR(IF(MATCH(E493,[1]Instrumentos!$D:$D,0)&gt;0,1,0),0))</f>
        <v/>
      </c>
      <c r="T493" s="5" t="str">
        <f>IF(E493="","",IFERROR(IF(MATCH(E493,'Lista de excepciones'!$E:$E,0)&gt;0,1,0),0))</f>
        <v/>
      </c>
      <c r="U493" s="6" t="str">
        <f t="shared" si="8"/>
        <v/>
      </c>
    </row>
    <row r="494" spans="1:21" hidden="1" x14ac:dyDescent="0.25">
      <c r="A494" s="7" t="str">
        <f>IF('Port Bloomberg'!A494="","",'Port Bloomberg'!A494)</f>
        <v/>
      </c>
      <c r="B494" s="7" t="str">
        <f>IF('Port Bloomberg'!B494="","",'Port Bloomberg'!B494)</f>
        <v/>
      </c>
      <c r="C494" s="7" t="str">
        <f>IF('Port Bloomberg'!C494="","",'Port Bloomberg'!C494)</f>
        <v/>
      </c>
      <c r="D494" s="7" t="str">
        <f>IF('Port Bloomberg'!D494="","",'Port Bloomberg'!D494)</f>
        <v/>
      </c>
      <c r="E494" s="7" t="str">
        <f>IF('Port Bloomberg'!E494="","",'Port Bloomberg'!E494)</f>
        <v/>
      </c>
      <c r="F494" s="7" t="str">
        <f>IF('Port Bloomberg'!F494="","",'Port Bloomberg'!F494)</f>
        <v/>
      </c>
      <c r="G494" s="7" t="str">
        <f>IF('Port Bloomberg'!G494="","",'Port Bloomberg'!G494)</f>
        <v/>
      </c>
      <c r="H494" s="7" t="str">
        <f>IF('Port Bloomberg'!H494="","",'Port Bloomberg'!H494)</f>
        <v/>
      </c>
      <c r="I494" s="7" t="str">
        <f>IF('Port Bloomberg'!I494="","",'Port Bloomberg'!I494)</f>
        <v/>
      </c>
      <c r="J494" s="7" t="str">
        <f>IF('Port Bloomberg'!J494="","",'Port Bloomberg'!J494)</f>
        <v/>
      </c>
      <c r="K494" s="7" t="str">
        <f>IF('Port Bloomberg'!K494="","",'Port Bloomberg'!K494)</f>
        <v/>
      </c>
      <c r="L494" s="7" t="str">
        <f>IF('Port Bloomberg'!L494="","",'Port Bloomberg'!L494)</f>
        <v/>
      </c>
      <c r="M494" s="7" t="str">
        <f>IF('Port Bloomberg'!M494="","",'Port Bloomberg'!M494)</f>
        <v/>
      </c>
      <c r="N494" s="7" t="str">
        <f>IF('Port Bloomberg'!N494="","",'Port Bloomberg'!N494)</f>
        <v/>
      </c>
      <c r="O494" s="7" t="str">
        <f>IF('Port Bloomberg'!O494="","",'Port Bloomberg'!O494)</f>
        <v/>
      </c>
      <c r="P494" s="7" t="str">
        <f>IF('Port Bloomberg'!P494="","",'Port Bloomberg'!P494)</f>
        <v/>
      </c>
      <c r="Q494" s="7" t="str">
        <f>IF('Port Bloomberg'!Q494="","",'Port Bloomberg'!Q494)</f>
        <v/>
      </c>
      <c r="R494" s="7" t="str">
        <f>IF('Port Bloomberg'!R494="","",'Port Bloomberg'!R494)</f>
        <v/>
      </c>
      <c r="S494" s="5" t="str">
        <f>IF(E494="","",IFERROR(IF(MATCH(E494,[1]Instrumentos!$D:$D,0)&gt;0,1,0),0))</f>
        <v/>
      </c>
      <c r="T494" s="5" t="str">
        <f>IF(E494="","",IFERROR(IF(MATCH(E494,'Lista de excepciones'!$E:$E,0)&gt;0,1,0),0))</f>
        <v/>
      </c>
      <c r="U494" s="6" t="str">
        <f t="shared" si="8"/>
        <v/>
      </c>
    </row>
    <row r="495" spans="1:21" hidden="1" x14ac:dyDescent="0.25">
      <c r="A495" s="7" t="str">
        <f>IF('Port Bloomberg'!A495="","",'Port Bloomberg'!A495)</f>
        <v/>
      </c>
      <c r="B495" s="7" t="str">
        <f>IF('Port Bloomberg'!B495="","",'Port Bloomberg'!B495)</f>
        <v/>
      </c>
      <c r="C495" s="7" t="str">
        <f>IF('Port Bloomberg'!C495="","",'Port Bloomberg'!C495)</f>
        <v/>
      </c>
      <c r="D495" s="7" t="str">
        <f>IF('Port Bloomberg'!D495="","",'Port Bloomberg'!D495)</f>
        <v/>
      </c>
      <c r="E495" s="7" t="str">
        <f>IF('Port Bloomberg'!E495="","",'Port Bloomberg'!E495)</f>
        <v/>
      </c>
      <c r="F495" s="7" t="str">
        <f>IF('Port Bloomberg'!F495="","",'Port Bloomberg'!F495)</f>
        <v/>
      </c>
      <c r="G495" s="7" t="str">
        <f>IF('Port Bloomberg'!G495="","",'Port Bloomberg'!G495)</f>
        <v/>
      </c>
      <c r="H495" s="7" t="str">
        <f>IF('Port Bloomberg'!H495="","",'Port Bloomberg'!H495)</f>
        <v/>
      </c>
      <c r="I495" s="7" t="str">
        <f>IF('Port Bloomberg'!I495="","",'Port Bloomberg'!I495)</f>
        <v/>
      </c>
      <c r="J495" s="7" t="str">
        <f>IF('Port Bloomberg'!J495="","",'Port Bloomberg'!J495)</f>
        <v/>
      </c>
      <c r="K495" s="7" t="str">
        <f>IF('Port Bloomberg'!K495="","",'Port Bloomberg'!K495)</f>
        <v/>
      </c>
      <c r="L495" s="7" t="str">
        <f>IF('Port Bloomberg'!L495="","",'Port Bloomberg'!L495)</f>
        <v/>
      </c>
      <c r="M495" s="7" t="str">
        <f>IF('Port Bloomberg'!M495="","",'Port Bloomberg'!M495)</f>
        <v/>
      </c>
      <c r="N495" s="7" t="str">
        <f>IF('Port Bloomberg'!N495="","",'Port Bloomberg'!N495)</f>
        <v/>
      </c>
      <c r="O495" s="7" t="str">
        <f>IF('Port Bloomberg'!O495="","",'Port Bloomberg'!O495)</f>
        <v/>
      </c>
      <c r="P495" s="7" t="str">
        <f>IF('Port Bloomberg'!P495="","",'Port Bloomberg'!P495)</f>
        <v/>
      </c>
      <c r="Q495" s="7" t="str">
        <f>IF('Port Bloomberg'!Q495="","",'Port Bloomberg'!Q495)</f>
        <v/>
      </c>
      <c r="R495" s="7" t="str">
        <f>IF('Port Bloomberg'!R495="","",'Port Bloomberg'!R495)</f>
        <v/>
      </c>
      <c r="S495" s="5" t="str">
        <f>IF(E495="","",IFERROR(IF(MATCH(E495,[1]Instrumentos!$D:$D,0)&gt;0,1,0),0))</f>
        <v/>
      </c>
      <c r="T495" s="5" t="str">
        <f>IF(E495="","",IFERROR(IF(MATCH(E495,'Lista de excepciones'!$E:$E,0)&gt;0,1,0),0))</f>
        <v/>
      </c>
      <c r="U495" s="6" t="str">
        <f t="shared" si="8"/>
        <v/>
      </c>
    </row>
    <row r="496" spans="1:21" hidden="1" x14ac:dyDescent="0.25">
      <c r="A496" s="7" t="str">
        <f>IF('Port Bloomberg'!A496="","",'Port Bloomberg'!A496)</f>
        <v/>
      </c>
      <c r="B496" s="7" t="str">
        <f>IF('Port Bloomberg'!B496="","",'Port Bloomberg'!B496)</f>
        <v/>
      </c>
      <c r="C496" s="7" t="str">
        <f>IF('Port Bloomberg'!C496="","",'Port Bloomberg'!C496)</f>
        <v/>
      </c>
      <c r="D496" s="7" t="str">
        <f>IF('Port Bloomberg'!D496="","",'Port Bloomberg'!D496)</f>
        <v/>
      </c>
      <c r="E496" s="7" t="str">
        <f>IF('Port Bloomberg'!E496="","",'Port Bloomberg'!E496)</f>
        <v/>
      </c>
      <c r="F496" s="7" t="str">
        <f>IF('Port Bloomberg'!F496="","",'Port Bloomberg'!F496)</f>
        <v/>
      </c>
      <c r="G496" s="7" t="str">
        <f>IF('Port Bloomberg'!G496="","",'Port Bloomberg'!G496)</f>
        <v/>
      </c>
      <c r="H496" s="7" t="str">
        <f>IF('Port Bloomberg'!H496="","",'Port Bloomberg'!H496)</f>
        <v/>
      </c>
      <c r="I496" s="7" t="str">
        <f>IF('Port Bloomberg'!I496="","",'Port Bloomberg'!I496)</f>
        <v/>
      </c>
      <c r="J496" s="7" t="str">
        <f>IF('Port Bloomberg'!J496="","",'Port Bloomberg'!J496)</f>
        <v/>
      </c>
      <c r="K496" s="7" t="str">
        <f>IF('Port Bloomberg'!K496="","",'Port Bloomberg'!K496)</f>
        <v/>
      </c>
      <c r="L496" s="7" t="str">
        <f>IF('Port Bloomberg'!L496="","",'Port Bloomberg'!L496)</f>
        <v/>
      </c>
      <c r="M496" s="7" t="str">
        <f>IF('Port Bloomberg'!M496="","",'Port Bloomberg'!M496)</f>
        <v/>
      </c>
      <c r="N496" s="7" t="str">
        <f>IF('Port Bloomberg'!N496="","",'Port Bloomberg'!N496)</f>
        <v/>
      </c>
      <c r="O496" s="7" t="str">
        <f>IF('Port Bloomberg'!O496="","",'Port Bloomberg'!O496)</f>
        <v/>
      </c>
      <c r="P496" s="7" t="str">
        <f>IF('Port Bloomberg'!P496="","",'Port Bloomberg'!P496)</f>
        <v/>
      </c>
      <c r="Q496" s="7" t="str">
        <f>IF('Port Bloomberg'!Q496="","",'Port Bloomberg'!Q496)</f>
        <v/>
      </c>
      <c r="R496" s="7" t="str">
        <f>IF('Port Bloomberg'!R496="","",'Port Bloomberg'!R496)</f>
        <v/>
      </c>
      <c r="S496" s="5" t="str">
        <f>IF(E496="","",IFERROR(IF(MATCH(E496,[1]Instrumentos!$D:$D,0)&gt;0,1,0),0))</f>
        <v/>
      </c>
      <c r="T496" s="5" t="str">
        <f>IF(E496="","",IFERROR(IF(MATCH(E496,'Lista de excepciones'!$E:$E,0)&gt;0,1,0),0))</f>
        <v/>
      </c>
      <c r="U496" s="6" t="str">
        <f t="shared" si="8"/>
        <v/>
      </c>
    </row>
    <row r="497" spans="1:21" hidden="1" x14ac:dyDescent="0.25">
      <c r="A497" s="7" t="str">
        <f>IF('Port Bloomberg'!A497="","",'Port Bloomberg'!A497)</f>
        <v/>
      </c>
      <c r="B497" s="7" t="str">
        <f>IF('Port Bloomberg'!B497="","",'Port Bloomberg'!B497)</f>
        <v/>
      </c>
      <c r="C497" s="7" t="str">
        <f>IF('Port Bloomberg'!C497="","",'Port Bloomberg'!C497)</f>
        <v/>
      </c>
      <c r="D497" s="7" t="str">
        <f>IF('Port Bloomberg'!D497="","",'Port Bloomberg'!D497)</f>
        <v/>
      </c>
      <c r="E497" s="7" t="str">
        <f>IF('Port Bloomberg'!E497="","",'Port Bloomberg'!E497)</f>
        <v/>
      </c>
      <c r="F497" s="7" t="str">
        <f>IF('Port Bloomberg'!F497="","",'Port Bloomberg'!F497)</f>
        <v/>
      </c>
      <c r="G497" s="7" t="str">
        <f>IF('Port Bloomberg'!G497="","",'Port Bloomberg'!G497)</f>
        <v/>
      </c>
      <c r="H497" s="7" t="str">
        <f>IF('Port Bloomberg'!H497="","",'Port Bloomberg'!H497)</f>
        <v/>
      </c>
      <c r="I497" s="7" t="str">
        <f>IF('Port Bloomberg'!I497="","",'Port Bloomberg'!I497)</f>
        <v/>
      </c>
      <c r="J497" s="7" t="str">
        <f>IF('Port Bloomberg'!J497="","",'Port Bloomberg'!J497)</f>
        <v/>
      </c>
      <c r="K497" s="7" t="str">
        <f>IF('Port Bloomberg'!K497="","",'Port Bloomberg'!K497)</f>
        <v/>
      </c>
      <c r="L497" s="7" t="str">
        <f>IF('Port Bloomberg'!L497="","",'Port Bloomberg'!L497)</f>
        <v/>
      </c>
      <c r="M497" s="7" t="str">
        <f>IF('Port Bloomberg'!M497="","",'Port Bloomberg'!M497)</f>
        <v/>
      </c>
      <c r="N497" s="7" t="str">
        <f>IF('Port Bloomberg'!N497="","",'Port Bloomberg'!N497)</f>
        <v/>
      </c>
      <c r="O497" s="7" t="str">
        <f>IF('Port Bloomberg'!O497="","",'Port Bloomberg'!O497)</f>
        <v/>
      </c>
      <c r="P497" s="7" t="str">
        <f>IF('Port Bloomberg'!P497="","",'Port Bloomberg'!P497)</f>
        <v/>
      </c>
      <c r="Q497" s="7" t="str">
        <f>IF('Port Bloomberg'!Q497="","",'Port Bloomberg'!Q497)</f>
        <v/>
      </c>
      <c r="R497" s="7" t="str">
        <f>IF('Port Bloomberg'!R497="","",'Port Bloomberg'!R497)</f>
        <v/>
      </c>
      <c r="S497" s="5" t="str">
        <f>IF(E497="","",IFERROR(IF(MATCH(E497,[1]Instrumentos!$D:$D,0)&gt;0,1,0),0))</f>
        <v/>
      </c>
      <c r="T497" s="5" t="str">
        <f>IF(E497="","",IFERROR(IF(MATCH(E497,'Lista de excepciones'!$E:$E,0)&gt;0,1,0),0))</f>
        <v/>
      </c>
      <c r="U497" s="6" t="str">
        <f t="shared" si="8"/>
        <v/>
      </c>
    </row>
    <row r="498" spans="1:21" hidden="1" x14ac:dyDescent="0.25">
      <c r="A498" s="7" t="str">
        <f>IF('Port Bloomberg'!A498="","",'Port Bloomberg'!A498)</f>
        <v/>
      </c>
      <c r="B498" s="7" t="str">
        <f>IF('Port Bloomberg'!B498="","",'Port Bloomberg'!B498)</f>
        <v/>
      </c>
      <c r="C498" s="7" t="str">
        <f>IF('Port Bloomberg'!C498="","",'Port Bloomberg'!C498)</f>
        <v/>
      </c>
      <c r="D498" s="7" t="str">
        <f>IF('Port Bloomberg'!D498="","",'Port Bloomberg'!D498)</f>
        <v/>
      </c>
      <c r="E498" s="7" t="str">
        <f>IF('Port Bloomberg'!E498="","",'Port Bloomberg'!E498)</f>
        <v/>
      </c>
      <c r="F498" s="7" t="str">
        <f>IF('Port Bloomberg'!F498="","",'Port Bloomberg'!F498)</f>
        <v/>
      </c>
      <c r="G498" s="7" t="str">
        <f>IF('Port Bloomberg'!G498="","",'Port Bloomberg'!G498)</f>
        <v/>
      </c>
      <c r="H498" s="7" t="str">
        <f>IF('Port Bloomberg'!H498="","",'Port Bloomberg'!H498)</f>
        <v/>
      </c>
      <c r="I498" s="7" t="str">
        <f>IF('Port Bloomberg'!I498="","",'Port Bloomberg'!I498)</f>
        <v/>
      </c>
      <c r="J498" s="7" t="str">
        <f>IF('Port Bloomberg'!J498="","",'Port Bloomberg'!J498)</f>
        <v/>
      </c>
      <c r="K498" s="7" t="str">
        <f>IF('Port Bloomberg'!K498="","",'Port Bloomberg'!K498)</f>
        <v/>
      </c>
      <c r="L498" s="7" t="str">
        <f>IF('Port Bloomberg'!L498="","",'Port Bloomberg'!L498)</f>
        <v/>
      </c>
      <c r="M498" s="7" t="str">
        <f>IF('Port Bloomberg'!M498="","",'Port Bloomberg'!M498)</f>
        <v/>
      </c>
      <c r="N498" s="7" t="str">
        <f>IF('Port Bloomberg'!N498="","",'Port Bloomberg'!N498)</f>
        <v/>
      </c>
      <c r="O498" s="7" t="str">
        <f>IF('Port Bloomberg'!O498="","",'Port Bloomberg'!O498)</f>
        <v/>
      </c>
      <c r="P498" s="7" t="str">
        <f>IF('Port Bloomberg'!P498="","",'Port Bloomberg'!P498)</f>
        <v/>
      </c>
      <c r="Q498" s="7" t="str">
        <f>IF('Port Bloomberg'!Q498="","",'Port Bloomberg'!Q498)</f>
        <v/>
      </c>
      <c r="R498" s="7" t="str">
        <f>IF('Port Bloomberg'!R498="","",'Port Bloomberg'!R498)</f>
        <v/>
      </c>
      <c r="S498" s="5" t="str">
        <f>IF(E498="","",IFERROR(IF(MATCH(E498,[1]Instrumentos!$D:$D,0)&gt;0,1,0),0))</f>
        <v/>
      </c>
      <c r="T498" s="5" t="str">
        <f>IF(E498="","",IFERROR(IF(MATCH(E498,'Lista de excepciones'!$E:$E,0)&gt;0,1,0),0))</f>
        <v/>
      </c>
      <c r="U498" s="6" t="str">
        <f t="shared" si="8"/>
        <v/>
      </c>
    </row>
    <row r="499" spans="1:21" hidden="1" x14ac:dyDescent="0.25">
      <c r="A499" s="7" t="str">
        <f>IF('Port Bloomberg'!A499="","",'Port Bloomberg'!A499)</f>
        <v/>
      </c>
      <c r="B499" s="7" t="str">
        <f>IF('Port Bloomberg'!B499="","",'Port Bloomberg'!B499)</f>
        <v/>
      </c>
      <c r="C499" s="7" t="str">
        <f>IF('Port Bloomberg'!C499="","",'Port Bloomberg'!C499)</f>
        <v/>
      </c>
      <c r="D499" s="7" t="str">
        <f>IF('Port Bloomberg'!D499="","",'Port Bloomberg'!D499)</f>
        <v/>
      </c>
      <c r="E499" s="7" t="str">
        <f>IF('Port Bloomberg'!E499="","",'Port Bloomberg'!E499)</f>
        <v/>
      </c>
      <c r="F499" s="7" t="str">
        <f>IF('Port Bloomberg'!F499="","",'Port Bloomberg'!F499)</f>
        <v/>
      </c>
      <c r="G499" s="7" t="str">
        <f>IF('Port Bloomberg'!G499="","",'Port Bloomberg'!G499)</f>
        <v/>
      </c>
      <c r="H499" s="7" t="str">
        <f>IF('Port Bloomberg'!H499="","",'Port Bloomberg'!H499)</f>
        <v/>
      </c>
      <c r="I499" s="7" t="str">
        <f>IF('Port Bloomberg'!I499="","",'Port Bloomberg'!I499)</f>
        <v/>
      </c>
      <c r="J499" s="7" t="str">
        <f>IF('Port Bloomberg'!J499="","",'Port Bloomberg'!J499)</f>
        <v/>
      </c>
      <c r="K499" s="7" t="str">
        <f>IF('Port Bloomberg'!K499="","",'Port Bloomberg'!K499)</f>
        <v/>
      </c>
      <c r="L499" s="7" t="str">
        <f>IF('Port Bloomberg'!L499="","",'Port Bloomberg'!L499)</f>
        <v/>
      </c>
      <c r="M499" s="7" t="str">
        <f>IF('Port Bloomberg'!M499="","",'Port Bloomberg'!M499)</f>
        <v/>
      </c>
      <c r="N499" s="7" t="str">
        <f>IF('Port Bloomberg'!N499="","",'Port Bloomberg'!N499)</f>
        <v/>
      </c>
      <c r="O499" s="7" t="str">
        <f>IF('Port Bloomberg'!O499="","",'Port Bloomberg'!O499)</f>
        <v/>
      </c>
      <c r="P499" s="7" t="str">
        <f>IF('Port Bloomberg'!P499="","",'Port Bloomberg'!P499)</f>
        <v/>
      </c>
      <c r="Q499" s="7" t="str">
        <f>IF('Port Bloomberg'!Q499="","",'Port Bloomberg'!Q499)</f>
        <v/>
      </c>
      <c r="R499" s="7" t="str">
        <f>IF('Port Bloomberg'!R499="","",'Port Bloomberg'!R499)</f>
        <v/>
      </c>
      <c r="S499" s="5" t="str">
        <f>IF(E499="","",IFERROR(IF(MATCH(E499,[1]Instrumentos!$D:$D,0)&gt;0,1,0),0))</f>
        <v/>
      </c>
      <c r="T499" s="5" t="str">
        <f>IF(E499="","",IFERROR(IF(MATCH(E499,'Lista de excepciones'!$E:$E,0)&gt;0,1,0),0))</f>
        <v/>
      </c>
      <c r="U499" s="6" t="str">
        <f t="shared" si="8"/>
        <v/>
      </c>
    </row>
    <row r="500" spans="1:21" hidden="1" x14ac:dyDescent="0.25">
      <c r="A500" s="7" t="str">
        <f>IF('Port Bloomberg'!A500="","",'Port Bloomberg'!A500)</f>
        <v/>
      </c>
      <c r="B500" s="7" t="str">
        <f>IF('Port Bloomberg'!B500="","",'Port Bloomberg'!B500)</f>
        <v/>
      </c>
      <c r="C500" s="7" t="str">
        <f>IF('Port Bloomberg'!C500="","",'Port Bloomberg'!C500)</f>
        <v/>
      </c>
      <c r="D500" s="7" t="str">
        <f>IF('Port Bloomberg'!D500="","",'Port Bloomberg'!D500)</f>
        <v/>
      </c>
      <c r="E500" s="7" t="str">
        <f>IF('Port Bloomberg'!E500="","",'Port Bloomberg'!E500)</f>
        <v/>
      </c>
      <c r="F500" s="7" t="str">
        <f>IF('Port Bloomberg'!F500="","",'Port Bloomberg'!F500)</f>
        <v/>
      </c>
      <c r="G500" s="7" t="str">
        <f>IF('Port Bloomberg'!G500="","",'Port Bloomberg'!G500)</f>
        <v/>
      </c>
      <c r="H500" s="7" t="str">
        <f>IF('Port Bloomberg'!H500="","",'Port Bloomberg'!H500)</f>
        <v/>
      </c>
      <c r="I500" s="7" t="str">
        <f>IF('Port Bloomberg'!I500="","",'Port Bloomberg'!I500)</f>
        <v/>
      </c>
      <c r="J500" s="7" t="str">
        <f>IF('Port Bloomberg'!J500="","",'Port Bloomberg'!J500)</f>
        <v/>
      </c>
      <c r="K500" s="7" t="str">
        <f>IF('Port Bloomberg'!K500="","",'Port Bloomberg'!K500)</f>
        <v/>
      </c>
      <c r="L500" s="7" t="str">
        <f>IF('Port Bloomberg'!L500="","",'Port Bloomberg'!L500)</f>
        <v/>
      </c>
      <c r="M500" s="7" t="str">
        <f>IF('Port Bloomberg'!M500="","",'Port Bloomberg'!M500)</f>
        <v/>
      </c>
      <c r="N500" s="7" t="str">
        <f>IF('Port Bloomberg'!N500="","",'Port Bloomberg'!N500)</f>
        <v/>
      </c>
      <c r="O500" s="7" t="str">
        <f>IF('Port Bloomberg'!O500="","",'Port Bloomberg'!O500)</f>
        <v/>
      </c>
      <c r="P500" s="7" t="str">
        <f>IF('Port Bloomberg'!P500="","",'Port Bloomberg'!P500)</f>
        <v/>
      </c>
      <c r="Q500" s="7" t="str">
        <f>IF('Port Bloomberg'!Q500="","",'Port Bloomberg'!Q500)</f>
        <v/>
      </c>
      <c r="R500" s="7" t="str">
        <f>IF('Port Bloomberg'!R500="","",'Port Bloomberg'!R500)</f>
        <v/>
      </c>
      <c r="S500" s="5" t="str">
        <f>IF(E500="","",IFERROR(IF(MATCH(E500,[1]Instrumentos!$D:$D,0)&gt;0,1,0),0))</f>
        <v/>
      </c>
      <c r="T500" s="5" t="str">
        <f>IF(E500="","",IFERROR(IF(MATCH(E500,'Lista de excepciones'!$E:$E,0)&gt;0,1,0),0))</f>
        <v/>
      </c>
      <c r="U500" s="6" t="str">
        <f t="shared" si="8"/>
        <v/>
      </c>
    </row>
    <row r="501" spans="1:21" hidden="1" x14ac:dyDescent="0.25">
      <c r="A501" s="7" t="str">
        <f>IF('Port Bloomberg'!A501="","",'Port Bloomberg'!A501)</f>
        <v/>
      </c>
      <c r="B501" s="7" t="str">
        <f>IF('Port Bloomberg'!B501="","",'Port Bloomberg'!B501)</f>
        <v/>
      </c>
      <c r="C501" s="7" t="str">
        <f>IF('Port Bloomberg'!C501="","",'Port Bloomberg'!C501)</f>
        <v/>
      </c>
      <c r="D501" s="7" t="str">
        <f>IF('Port Bloomberg'!D501="","",'Port Bloomberg'!D501)</f>
        <v/>
      </c>
      <c r="E501" s="7" t="str">
        <f>IF('Port Bloomberg'!E501="","",'Port Bloomberg'!E501)</f>
        <v/>
      </c>
      <c r="F501" s="7" t="str">
        <f>IF('Port Bloomberg'!F501="","",'Port Bloomberg'!F501)</f>
        <v/>
      </c>
      <c r="G501" s="7" t="str">
        <f>IF('Port Bloomberg'!G501="","",'Port Bloomberg'!G501)</f>
        <v/>
      </c>
      <c r="H501" s="7" t="str">
        <f>IF('Port Bloomberg'!H501="","",'Port Bloomberg'!H501)</f>
        <v/>
      </c>
      <c r="I501" s="7" t="str">
        <f>IF('Port Bloomberg'!I501="","",'Port Bloomberg'!I501)</f>
        <v/>
      </c>
      <c r="J501" s="7" t="str">
        <f>IF('Port Bloomberg'!J501="","",'Port Bloomberg'!J501)</f>
        <v/>
      </c>
      <c r="K501" s="7" t="str">
        <f>IF('Port Bloomberg'!K501="","",'Port Bloomberg'!K501)</f>
        <v/>
      </c>
      <c r="L501" s="7" t="str">
        <f>IF('Port Bloomberg'!L501="","",'Port Bloomberg'!L501)</f>
        <v/>
      </c>
      <c r="M501" s="7" t="str">
        <f>IF('Port Bloomberg'!M501="","",'Port Bloomberg'!M501)</f>
        <v/>
      </c>
      <c r="N501" s="7" t="str">
        <f>IF('Port Bloomberg'!N501="","",'Port Bloomberg'!N501)</f>
        <v/>
      </c>
      <c r="O501" s="7" t="str">
        <f>IF('Port Bloomberg'!O501="","",'Port Bloomberg'!O501)</f>
        <v/>
      </c>
      <c r="P501" s="7" t="str">
        <f>IF('Port Bloomberg'!P501="","",'Port Bloomberg'!P501)</f>
        <v/>
      </c>
      <c r="Q501" s="7" t="str">
        <f>IF('Port Bloomberg'!Q501="","",'Port Bloomberg'!Q501)</f>
        <v/>
      </c>
      <c r="R501" s="7" t="str">
        <f>IF('Port Bloomberg'!R501="","",'Port Bloomberg'!R501)</f>
        <v/>
      </c>
      <c r="S501" s="5" t="str">
        <f>IF(E501="","",IFERROR(IF(MATCH(E501,[1]Instrumentos!$D:$D,0)&gt;0,1,0),0))</f>
        <v/>
      </c>
      <c r="T501" s="5" t="str">
        <f>IF(E501="","",IFERROR(IF(MATCH(E501,'Lista de excepciones'!$E:$E,0)&gt;0,1,0),0))</f>
        <v/>
      </c>
      <c r="U501" s="6" t="str">
        <f t="shared" si="8"/>
        <v/>
      </c>
    </row>
    <row r="502" spans="1:21" hidden="1" x14ac:dyDescent="0.25">
      <c r="A502" s="7" t="str">
        <f>IF('Port Bloomberg'!A502="","",'Port Bloomberg'!A502)</f>
        <v/>
      </c>
      <c r="B502" s="7" t="str">
        <f>IF('Port Bloomberg'!B502="","",'Port Bloomberg'!B502)</f>
        <v/>
      </c>
      <c r="C502" s="7" t="str">
        <f>IF('Port Bloomberg'!C502="","",'Port Bloomberg'!C502)</f>
        <v/>
      </c>
      <c r="D502" s="7" t="str">
        <f>IF('Port Bloomberg'!D502="","",'Port Bloomberg'!D502)</f>
        <v/>
      </c>
      <c r="E502" s="7" t="str">
        <f>IF('Port Bloomberg'!E502="","",'Port Bloomberg'!E502)</f>
        <v/>
      </c>
      <c r="F502" s="7" t="str">
        <f>IF('Port Bloomberg'!F502="","",'Port Bloomberg'!F502)</f>
        <v/>
      </c>
      <c r="G502" s="7" t="str">
        <f>IF('Port Bloomberg'!G502="","",'Port Bloomberg'!G502)</f>
        <v/>
      </c>
      <c r="H502" s="7" t="str">
        <f>IF('Port Bloomberg'!H502="","",'Port Bloomberg'!H502)</f>
        <v/>
      </c>
      <c r="I502" s="7" t="str">
        <f>IF('Port Bloomberg'!I502="","",'Port Bloomberg'!I502)</f>
        <v/>
      </c>
      <c r="J502" s="7" t="str">
        <f>IF('Port Bloomberg'!J502="","",'Port Bloomberg'!J502)</f>
        <v/>
      </c>
      <c r="K502" s="7" t="str">
        <f>IF('Port Bloomberg'!K502="","",'Port Bloomberg'!K502)</f>
        <v/>
      </c>
      <c r="L502" s="7" t="str">
        <f>IF('Port Bloomberg'!L502="","",'Port Bloomberg'!L502)</f>
        <v/>
      </c>
      <c r="M502" s="7" t="str">
        <f>IF('Port Bloomberg'!M502="","",'Port Bloomberg'!M502)</f>
        <v/>
      </c>
      <c r="N502" s="7" t="str">
        <f>IF('Port Bloomberg'!N502="","",'Port Bloomberg'!N502)</f>
        <v/>
      </c>
      <c r="O502" s="7" t="str">
        <f>IF('Port Bloomberg'!O502="","",'Port Bloomberg'!O502)</f>
        <v/>
      </c>
      <c r="P502" s="7" t="str">
        <f>IF('Port Bloomberg'!P502="","",'Port Bloomberg'!P502)</f>
        <v/>
      </c>
      <c r="Q502" s="7" t="str">
        <f>IF('Port Bloomberg'!Q502="","",'Port Bloomberg'!Q502)</f>
        <v/>
      </c>
      <c r="R502" s="7" t="str">
        <f>IF('Port Bloomberg'!R502="","",'Port Bloomberg'!R502)</f>
        <v/>
      </c>
      <c r="S502" s="5" t="str">
        <f>IF(E502="","",IFERROR(IF(MATCH(E502,[1]Instrumentos!$D:$D,0)&gt;0,1,0),0))</f>
        <v/>
      </c>
      <c r="T502" s="5" t="str">
        <f>IF(E502="","",IFERROR(IF(MATCH(E502,'Lista de excepciones'!$E:$E,0)&gt;0,1,0),0))</f>
        <v/>
      </c>
      <c r="U502" s="6" t="str">
        <f t="shared" si="8"/>
        <v/>
      </c>
    </row>
    <row r="503" spans="1:21" hidden="1" x14ac:dyDescent="0.25">
      <c r="A503" s="7" t="str">
        <f>IF('Port Bloomberg'!A503="","",'Port Bloomberg'!A503)</f>
        <v/>
      </c>
      <c r="B503" s="7" t="str">
        <f>IF('Port Bloomberg'!B503="","",'Port Bloomberg'!B503)</f>
        <v/>
      </c>
      <c r="C503" s="7" t="str">
        <f>IF('Port Bloomberg'!C503="","",'Port Bloomberg'!C503)</f>
        <v/>
      </c>
      <c r="D503" s="7" t="str">
        <f>IF('Port Bloomberg'!D503="","",'Port Bloomberg'!D503)</f>
        <v/>
      </c>
      <c r="E503" s="7" t="str">
        <f>IF('Port Bloomberg'!E503="","",'Port Bloomberg'!E503)</f>
        <v/>
      </c>
      <c r="F503" s="7" t="str">
        <f>IF('Port Bloomberg'!F503="","",'Port Bloomberg'!F503)</f>
        <v/>
      </c>
      <c r="G503" s="7" t="str">
        <f>IF('Port Bloomberg'!G503="","",'Port Bloomberg'!G503)</f>
        <v/>
      </c>
      <c r="H503" s="7" t="str">
        <f>IF('Port Bloomberg'!H503="","",'Port Bloomberg'!H503)</f>
        <v/>
      </c>
      <c r="I503" s="7" t="str">
        <f>IF('Port Bloomberg'!I503="","",'Port Bloomberg'!I503)</f>
        <v/>
      </c>
      <c r="J503" s="7" t="str">
        <f>IF('Port Bloomberg'!J503="","",'Port Bloomberg'!J503)</f>
        <v/>
      </c>
      <c r="K503" s="7" t="str">
        <f>IF('Port Bloomberg'!K503="","",'Port Bloomberg'!K503)</f>
        <v/>
      </c>
      <c r="L503" s="7" t="str">
        <f>IF('Port Bloomberg'!L503="","",'Port Bloomberg'!L503)</f>
        <v/>
      </c>
      <c r="M503" s="7" t="str">
        <f>IF('Port Bloomberg'!M503="","",'Port Bloomberg'!M503)</f>
        <v/>
      </c>
      <c r="N503" s="7" t="str">
        <f>IF('Port Bloomberg'!N503="","",'Port Bloomberg'!N503)</f>
        <v/>
      </c>
      <c r="O503" s="7" t="str">
        <f>IF('Port Bloomberg'!O503="","",'Port Bloomberg'!O503)</f>
        <v/>
      </c>
      <c r="P503" s="7" t="str">
        <f>IF('Port Bloomberg'!P503="","",'Port Bloomberg'!P503)</f>
        <v/>
      </c>
      <c r="Q503" s="7" t="str">
        <f>IF('Port Bloomberg'!Q503="","",'Port Bloomberg'!Q503)</f>
        <v/>
      </c>
      <c r="R503" s="7" t="str">
        <f>IF('Port Bloomberg'!R503="","",'Port Bloomberg'!R503)</f>
        <v/>
      </c>
      <c r="S503" s="5" t="str">
        <f>IF(E503="","",IFERROR(IF(MATCH(E503,[1]Instrumentos!$D:$D,0)&gt;0,1,0),0))</f>
        <v/>
      </c>
      <c r="T503" s="5" t="str">
        <f>IF(E503="","",IFERROR(IF(MATCH(E503,'Lista de excepciones'!$E:$E,0)&gt;0,1,0),0))</f>
        <v/>
      </c>
      <c r="U503" s="6" t="str">
        <f t="shared" si="8"/>
        <v/>
      </c>
    </row>
    <row r="504" spans="1:21" hidden="1" x14ac:dyDescent="0.25">
      <c r="A504" s="7" t="str">
        <f>IF('Port Bloomberg'!A504="","",'Port Bloomberg'!A504)</f>
        <v/>
      </c>
      <c r="B504" s="7" t="str">
        <f>IF('Port Bloomberg'!B504="","",'Port Bloomberg'!B504)</f>
        <v/>
      </c>
      <c r="C504" s="7" t="str">
        <f>IF('Port Bloomberg'!C504="","",'Port Bloomberg'!C504)</f>
        <v/>
      </c>
      <c r="D504" s="7" t="str">
        <f>IF('Port Bloomberg'!D504="","",'Port Bloomberg'!D504)</f>
        <v/>
      </c>
      <c r="E504" s="7" t="str">
        <f>IF('Port Bloomberg'!E504="","",'Port Bloomberg'!E504)</f>
        <v/>
      </c>
      <c r="F504" s="7" t="str">
        <f>IF('Port Bloomberg'!F504="","",'Port Bloomberg'!F504)</f>
        <v/>
      </c>
      <c r="G504" s="7" t="str">
        <f>IF('Port Bloomberg'!G504="","",'Port Bloomberg'!G504)</f>
        <v/>
      </c>
      <c r="H504" s="7" t="str">
        <f>IF('Port Bloomberg'!H504="","",'Port Bloomberg'!H504)</f>
        <v/>
      </c>
      <c r="I504" s="7" t="str">
        <f>IF('Port Bloomberg'!I504="","",'Port Bloomberg'!I504)</f>
        <v/>
      </c>
      <c r="J504" s="7" t="str">
        <f>IF('Port Bloomberg'!J504="","",'Port Bloomberg'!J504)</f>
        <v/>
      </c>
      <c r="K504" s="7" t="str">
        <f>IF('Port Bloomberg'!K504="","",'Port Bloomberg'!K504)</f>
        <v/>
      </c>
      <c r="L504" s="7" t="str">
        <f>IF('Port Bloomberg'!L504="","",'Port Bloomberg'!L504)</f>
        <v/>
      </c>
      <c r="M504" s="7" t="str">
        <f>IF('Port Bloomberg'!M504="","",'Port Bloomberg'!M504)</f>
        <v/>
      </c>
      <c r="N504" s="7" t="str">
        <f>IF('Port Bloomberg'!N504="","",'Port Bloomberg'!N504)</f>
        <v/>
      </c>
      <c r="O504" s="7" t="str">
        <f>IF('Port Bloomberg'!O504="","",'Port Bloomberg'!O504)</f>
        <v/>
      </c>
      <c r="P504" s="7" t="str">
        <f>IF('Port Bloomberg'!P504="","",'Port Bloomberg'!P504)</f>
        <v/>
      </c>
      <c r="Q504" s="7" t="str">
        <f>IF('Port Bloomberg'!Q504="","",'Port Bloomberg'!Q504)</f>
        <v/>
      </c>
      <c r="R504" s="7" t="str">
        <f>IF('Port Bloomberg'!R504="","",'Port Bloomberg'!R504)</f>
        <v/>
      </c>
      <c r="S504" s="5" t="str">
        <f>IF(E504="","",IFERROR(IF(MATCH(E504,[1]Instrumentos!$D:$D,0)&gt;0,1,0),0))</f>
        <v/>
      </c>
      <c r="T504" s="5" t="str">
        <f>IF(E504="","",IFERROR(IF(MATCH(E504,'Lista de excepciones'!$E:$E,0)&gt;0,1,0),0))</f>
        <v/>
      </c>
      <c r="U504" s="6" t="str">
        <f t="shared" si="8"/>
        <v/>
      </c>
    </row>
    <row r="505" spans="1:21" hidden="1" x14ac:dyDescent="0.25">
      <c r="A505" s="7" t="str">
        <f>IF('Port Bloomberg'!A505="","",'Port Bloomberg'!A505)</f>
        <v/>
      </c>
      <c r="B505" s="7" t="str">
        <f>IF('Port Bloomberg'!B505="","",'Port Bloomberg'!B505)</f>
        <v/>
      </c>
      <c r="C505" s="7" t="str">
        <f>IF('Port Bloomberg'!C505="","",'Port Bloomberg'!C505)</f>
        <v/>
      </c>
      <c r="D505" s="7" t="str">
        <f>IF('Port Bloomberg'!D505="","",'Port Bloomberg'!D505)</f>
        <v/>
      </c>
      <c r="E505" s="7" t="str">
        <f>IF('Port Bloomberg'!E505="","",'Port Bloomberg'!E505)</f>
        <v/>
      </c>
      <c r="F505" s="7" t="str">
        <f>IF('Port Bloomberg'!F505="","",'Port Bloomberg'!F505)</f>
        <v/>
      </c>
      <c r="G505" s="7" t="str">
        <f>IF('Port Bloomberg'!G505="","",'Port Bloomberg'!G505)</f>
        <v/>
      </c>
      <c r="H505" s="7" t="str">
        <f>IF('Port Bloomberg'!H505="","",'Port Bloomberg'!H505)</f>
        <v/>
      </c>
      <c r="I505" s="7" t="str">
        <f>IF('Port Bloomberg'!I505="","",'Port Bloomberg'!I505)</f>
        <v/>
      </c>
      <c r="J505" s="7" t="str">
        <f>IF('Port Bloomberg'!J505="","",'Port Bloomberg'!J505)</f>
        <v/>
      </c>
      <c r="K505" s="7" t="str">
        <f>IF('Port Bloomberg'!K505="","",'Port Bloomberg'!K505)</f>
        <v/>
      </c>
      <c r="L505" s="7" t="str">
        <f>IF('Port Bloomberg'!L505="","",'Port Bloomberg'!L505)</f>
        <v/>
      </c>
      <c r="M505" s="7" t="str">
        <f>IF('Port Bloomberg'!M505="","",'Port Bloomberg'!M505)</f>
        <v/>
      </c>
      <c r="N505" s="7" t="str">
        <f>IF('Port Bloomberg'!N505="","",'Port Bloomberg'!N505)</f>
        <v/>
      </c>
      <c r="O505" s="7" t="str">
        <f>IF('Port Bloomberg'!O505="","",'Port Bloomberg'!O505)</f>
        <v/>
      </c>
      <c r="P505" s="7" t="str">
        <f>IF('Port Bloomberg'!P505="","",'Port Bloomberg'!P505)</f>
        <v/>
      </c>
      <c r="Q505" s="7" t="str">
        <f>IF('Port Bloomberg'!Q505="","",'Port Bloomberg'!Q505)</f>
        <v/>
      </c>
      <c r="R505" s="7" t="str">
        <f>IF('Port Bloomberg'!R505="","",'Port Bloomberg'!R505)</f>
        <v/>
      </c>
      <c r="S505" s="5" t="str">
        <f>IF(E505="","",IFERROR(IF(MATCH(E505,[1]Instrumentos!$D:$D,0)&gt;0,1,0),0))</f>
        <v/>
      </c>
      <c r="T505" s="5" t="str">
        <f>IF(E505="","",IFERROR(IF(MATCH(E505,'Lista de excepciones'!$E:$E,0)&gt;0,1,0),0))</f>
        <v/>
      </c>
      <c r="U505" s="6" t="str">
        <f t="shared" si="8"/>
        <v/>
      </c>
    </row>
    <row r="506" spans="1:21" hidden="1" x14ac:dyDescent="0.25">
      <c r="A506" s="7" t="str">
        <f>IF('Port Bloomberg'!A506="","",'Port Bloomberg'!A506)</f>
        <v/>
      </c>
      <c r="B506" s="7" t="str">
        <f>IF('Port Bloomberg'!B506="","",'Port Bloomberg'!B506)</f>
        <v/>
      </c>
      <c r="C506" s="7" t="str">
        <f>IF('Port Bloomberg'!C506="","",'Port Bloomberg'!C506)</f>
        <v/>
      </c>
      <c r="D506" s="7" t="str">
        <f>IF('Port Bloomberg'!D506="","",'Port Bloomberg'!D506)</f>
        <v/>
      </c>
      <c r="E506" s="7" t="str">
        <f>IF('Port Bloomberg'!E506="","",'Port Bloomberg'!E506)</f>
        <v/>
      </c>
      <c r="F506" s="7" t="str">
        <f>IF('Port Bloomberg'!F506="","",'Port Bloomberg'!F506)</f>
        <v/>
      </c>
      <c r="G506" s="7" t="str">
        <f>IF('Port Bloomberg'!G506="","",'Port Bloomberg'!G506)</f>
        <v/>
      </c>
      <c r="H506" s="7" t="str">
        <f>IF('Port Bloomberg'!H506="","",'Port Bloomberg'!H506)</f>
        <v/>
      </c>
      <c r="I506" s="7" t="str">
        <f>IF('Port Bloomberg'!I506="","",'Port Bloomberg'!I506)</f>
        <v/>
      </c>
      <c r="J506" s="7" t="str">
        <f>IF('Port Bloomberg'!J506="","",'Port Bloomberg'!J506)</f>
        <v/>
      </c>
      <c r="K506" s="7" t="str">
        <f>IF('Port Bloomberg'!K506="","",'Port Bloomberg'!K506)</f>
        <v/>
      </c>
      <c r="L506" s="7" t="str">
        <f>IF('Port Bloomberg'!L506="","",'Port Bloomberg'!L506)</f>
        <v/>
      </c>
      <c r="M506" s="7" t="str">
        <f>IF('Port Bloomberg'!M506="","",'Port Bloomberg'!M506)</f>
        <v/>
      </c>
      <c r="N506" s="7" t="str">
        <f>IF('Port Bloomberg'!N506="","",'Port Bloomberg'!N506)</f>
        <v/>
      </c>
      <c r="O506" s="7" t="str">
        <f>IF('Port Bloomberg'!O506="","",'Port Bloomberg'!O506)</f>
        <v/>
      </c>
      <c r="P506" s="7" t="str">
        <f>IF('Port Bloomberg'!P506="","",'Port Bloomberg'!P506)</f>
        <v/>
      </c>
      <c r="Q506" s="7" t="str">
        <f>IF('Port Bloomberg'!Q506="","",'Port Bloomberg'!Q506)</f>
        <v/>
      </c>
      <c r="R506" s="7" t="str">
        <f>IF('Port Bloomberg'!R506="","",'Port Bloomberg'!R506)</f>
        <v/>
      </c>
      <c r="S506" s="5" t="str">
        <f>IF(E506="","",IFERROR(IF(MATCH(E506,[1]Instrumentos!$D:$D,0)&gt;0,1,0),0))</f>
        <v/>
      </c>
      <c r="T506" s="5" t="str">
        <f>IF(E506="","",IFERROR(IF(MATCH(E506,'Lista de excepciones'!$E:$E,0)&gt;0,1,0),0))</f>
        <v/>
      </c>
      <c r="U506" s="6" t="str">
        <f t="shared" si="8"/>
        <v/>
      </c>
    </row>
    <row r="507" spans="1:21" hidden="1" x14ac:dyDescent="0.25">
      <c r="A507" s="7" t="str">
        <f>IF('Port Bloomberg'!A507="","",'Port Bloomberg'!A507)</f>
        <v/>
      </c>
      <c r="B507" s="7" t="str">
        <f>IF('Port Bloomberg'!B507="","",'Port Bloomberg'!B507)</f>
        <v/>
      </c>
      <c r="C507" s="7" t="str">
        <f>IF('Port Bloomberg'!C507="","",'Port Bloomberg'!C507)</f>
        <v/>
      </c>
      <c r="D507" s="7" t="str">
        <f>IF('Port Bloomberg'!D507="","",'Port Bloomberg'!D507)</f>
        <v/>
      </c>
      <c r="E507" s="7" t="str">
        <f>IF('Port Bloomberg'!E507="","",'Port Bloomberg'!E507)</f>
        <v/>
      </c>
      <c r="F507" s="7" t="str">
        <f>IF('Port Bloomberg'!F507="","",'Port Bloomberg'!F507)</f>
        <v/>
      </c>
      <c r="G507" s="7" t="str">
        <f>IF('Port Bloomberg'!G507="","",'Port Bloomberg'!G507)</f>
        <v/>
      </c>
      <c r="H507" s="7" t="str">
        <f>IF('Port Bloomberg'!H507="","",'Port Bloomberg'!H507)</f>
        <v/>
      </c>
      <c r="I507" s="7" t="str">
        <f>IF('Port Bloomberg'!I507="","",'Port Bloomberg'!I507)</f>
        <v/>
      </c>
      <c r="J507" s="7" t="str">
        <f>IF('Port Bloomberg'!J507="","",'Port Bloomberg'!J507)</f>
        <v/>
      </c>
      <c r="K507" s="7" t="str">
        <f>IF('Port Bloomberg'!K507="","",'Port Bloomberg'!K507)</f>
        <v/>
      </c>
      <c r="L507" s="7" t="str">
        <f>IF('Port Bloomberg'!L507="","",'Port Bloomberg'!L507)</f>
        <v/>
      </c>
      <c r="M507" s="7" t="str">
        <f>IF('Port Bloomberg'!M507="","",'Port Bloomberg'!M507)</f>
        <v/>
      </c>
      <c r="N507" s="7" t="str">
        <f>IF('Port Bloomberg'!N507="","",'Port Bloomberg'!N507)</f>
        <v/>
      </c>
      <c r="O507" s="7" t="str">
        <f>IF('Port Bloomberg'!O507="","",'Port Bloomberg'!O507)</f>
        <v/>
      </c>
      <c r="P507" s="7" t="str">
        <f>IF('Port Bloomberg'!P507="","",'Port Bloomberg'!P507)</f>
        <v/>
      </c>
      <c r="Q507" s="7" t="str">
        <f>IF('Port Bloomberg'!Q507="","",'Port Bloomberg'!Q507)</f>
        <v/>
      </c>
      <c r="R507" s="7" t="str">
        <f>IF('Port Bloomberg'!R507="","",'Port Bloomberg'!R507)</f>
        <v/>
      </c>
      <c r="S507" s="5" t="str">
        <f>IF(E507="","",IFERROR(IF(MATCH(E507,[1]Instrumentos!$D:$D,0)&gt;0,1,0),0))</f>
        <v/>
      </c>
      <c r="T507" s="5" t="str">
        <f>IF(E507="","",IFERROR(IF(MATCH(E507,'Lista de excepciones'!$E:$E,0)&gt;0,1,0),0))</f>
        <v/>
      </c>
      <c r="U507" s="6" t="str">
        <f t="shared" si="8"/>
        <v/>
      </c>
    </row>
    <row r="508" spans="1:21" hidden="1" x14ac:dyDescent="0.25">
      <c r="A508" s="7" t="str">
        <f>IF('Port Bloomberg'!A508="","",'Port Bloomberg'!A508)</f>
        <v/>
      </c>
      <c r="B508" s="7" t="str">
        <f>IF('Port Bloomberg'!B508="","",'Port Bloomberg'!B508)</f>
        <v/>
      </c>
      <c r="C508" s="7" t="str">
        <f>IF('Port Bloomberg'!C508="","",'Port Bloomberg'!C508)</f>
        <v/>
      </c>
      <c r="D508" s="7" t="str">
        <f>IF('Port Bloomberg'!D508="","",'Port Bloomberg'!D508)</f>
        <v/>
      </c>
      <c r="E508" s="7" t="str">
        <f>IF('Port Bloomberg'!E508="","",'Port Bloomberg'!E508)</f>
        <v/>
      </c>
      <c r="F508" s="7" t="str">
        <f>IF('Port Bloomberg'!F508="","",'Port Bloomberg'!F508)</f>
        <v/>
      </c>
      <c r="G508" s="7" t="str">
        <f>IF('Port Bloomberg'!G508="","",'Port Bloomberg'!G508)</f>
        <v/>
      </c>
      <c r="H508" s="7" t="str">
        <f>IF('Port Bloomberg'!H508="","",'Port Bloomberg'!H508)</f>
        <v/>
      </c>
      <c r="I508" s="7" t="str">
        <f>IF('Port Bloomberg'!I508="","",'Port Bloomberg'!I508)</f>
        <v/>
      </c>
      <c r="J508" s="7" t="str">
        <f>IF('Port Bloomberg'!J508="","",'Port Bloomberg'!J508)</f>
        <v/>
      </c>
      <c r="K508" s="7" t="str">
        <f>IF('Port Bloomberg'!K508="","",'Port Bloomberg'!K508)</f>
        <v/>
      </c>
      <c r="L508" s="7" t="str">
        <f>IF('Port Bloomberg'!L508="","",'Port Bloomberg'!L508)</f>
        <v/>
      </c>
      <c r="M508" s="7" t="str">
        <f>IF('Port Bloomberg'!M508="","",'Port Bloomberg'!M508)</f>
        <v/>
      </c>
      <c r="N508" s="7" t="str">
        <f>IF('Port Bloomberg'!N508="","",'Port Bloomberg'!N508)</f>
        <v/>
      </c>
      <c r="O508" s="7" t="str">
        <f>IF('Port Bloomberg'!O508="","",'Port Bloomberg'!O508)</f>
        <v/>
      </c>
      <c r="P508" s="7" t="str">
        <f>IF('Port Bloomberg'!P508="","",'Port Bloomberg'!P508)</f>
        <v/>
      </c>
      <c r="Q508" s="7" t="str">
        <f>IF('Port Bloomberg'!Q508="","",'Port Bloomberg'!Q508)</f>
        <v/>
      </c>
      <c r="R508" s="7" t="str">
        <f>IF('Port Bloomberg'!R508="","",'Port Bloomberg'!R508)</f>
        <v/>
      </c>
      <c r="S508" s="5" t="str">
        <f>IF(E508="","",IFERROR(IF(MATCH(E508,[1]Instrumentos!$D:$D,0)&gt;0,1,0),0))</f>
        <v/>
      </c>
      <c r="T508" s="5" t="str">
        <f>IF(E508="","",IFERROR(IF(MATCH(E508,'Lista de excepciones'!$E:$E,0)&gt;0,1,0),0))</f>
        <v/>
      </c>
      <c r="U508" s="6" t="str">
        <f t="shared" si="8"/>
        <v/>
      </c>
    </row>
    <row r="509" spans="1:21" hidden="1" x14ac:dyDescent="0.25">
      <c r="A509" s="7" t="str">
        <f>IF('Port Bloomberg'!A509="","",'Port Bloomberg'!A509)</f>
        <v/>
      </c>
      <c r="B509" s="7" t="str">
        <f>IF('Port Bloomberg'!B509="","",'Port Bloomberg'!B509)</f>
        <v/>
      </c>
      <c r="C509" s="7" t="str">
        <f>IF('Port Bloomberg'!C509="","",'Port Bloomberg'!C509)</f>
        <v/>
      </c>
      <c r="D509" s="7" t="str">
        <f>IF('Port Bloomberg'!D509="","",'Port Bloomberg'!D509)</f>
        <v/>
      </c>
      <c r="E509" s="7" t="str">
        <f>IF('Port Bloomberg'!E509="","",'Port Bloomberg'!E509)</f>
        <v/>
      </c>
      <c r="F509" s="7" t="str">
        <f>IF('Port Bloomberg'!F509="","",'Port Bloomberg'!F509)</f>
        <v/>
      </c>
      <c r="G509" s="7" t="str">
        <f>IF('Port Bloomberg'!G509="","",'Port Bloomberg'!G509)</f>
        <v/>
      </c>
      <c r="H509" s="7" t="str">
        <f>IF('Port Bloomberg'!H509="","",'Port Bloomberg'!H509)</f>
        <v/>
      </c>
      <c r="I509" s="7" t="str">
        <f>IF('Port Bloomberg'!I509="","",'Port Bloomberg'!I509)</f>
        <v/>
      </c>
      <c r="J509" s="7" t="str">
        <f>IF('Port Bloomberg'!J509="","",'Port Bloomberg'!J509)</f>
        <v/>
      </c>
      <c r="K509" s="7" t="str">
        <f>IF('Port Bloomberg'!K509="","",'Port Bloomberg'!K509)</f>
        <v/>
      </c>
      <c r="L509" s="7" t="str">
        <f>IF('Port Bloomberg'!L509="","",'Port Bloomberg'!L509)</f>
        <v/>
      </c>
      <c r="M509" s="7" t="str">
        <f>IF('Port Bloomberg'!M509="","",'Port Bloomberg'!M509)</f>
        <v/>
      </c>
      <c r="N509" s="7" t="str">
        <f>IF('Port Bloomberg'!N509="","",'Port Bloomberg'!N509)</f>
        <v/>
      </c>
      <c r="O509" s="7" t="str">
        <f>IF('Port Bloomberg'!O509="","",'Port Bloomberg'!O509)</f>
        <v/>
      </c>
      <c r="P509" s="7" t="str">
        <f>IF('Port Bloomberg'!P509="","",'Port Bloomberg'!P509)</f>
        <v/>
      </c>
      <c r="Q509" s="7" t="str">
        <f>IF('Port Bloomberg'!Q509="","",'Port Bloomberg'!Q509)</f>
        <v/>
      </c>
      <c r="R509" s="7" t="str">
        <f>IF('Port Bloomberg'!R509="","",'Port Bloomberg'!R509)</f>
        <v/>
      </c>
      <c r="S509" s="5" t="str">
        <f>IF(E509="","",IFERROR(IF(MATCH(E509,[1]Instrumentos!$D:$D,0)&gt;0,1,0),0))</f>
        <v/>
      </c>
      <c r="T509" s="5" t="str">
        <f>IF(E509="","",IFERROR(IF(MATCH(E509,'Lista de excepciones'!$E:$E,0)&gt;0,1,0),0))</f>
        <v/>
      </c>
      <c r="U509" s="6" t="str">
        <f t="shared" si="8"/>
        <v/>
      </c>
    </row>
    <row r="510" spans="1:21" hidden="1" x14ac:dyDescent="0.25">
      <c r="A510" s="7" t="str">
        <f>IF('Port Bloomberg'!A510="","",'Port Bloomberg'!A510)</f>
        <v/>
      </c>
      <c r="B510" s="7" t="str">
        <f>IF('Port Bloomberg'!B510="","",'Port Bloomberg'!B510)</f>
        <v/>
      </c>
      <c r="C510" s="7" t="str">
        <f>IF('Port Bloomberg'!C510="","",'Port Bloomberg'!C510)</f>
        <v/>
      </c>
      <c r="D510" s="7" t="str">
        <f>IF('Port Bloomberg'!D510="","",'Port Bloomberg'!D510)</f>
        <v/>
      </c>
      <c r="E510" s="7" t="str">
        <f>IF('Port Bloomberg'!E510="","",'Port Bloomberg'!E510)</f>
        <v/>
      </c>
      <c r="F510" s="7" t="str">
        <f>IF('Port Bloomberg'!F510="","",'Port Bloomberg'!F510)</f>
        <v/>
      </c>
      <c r="G510" s="7" t="str">
        <f>IF('Port Bloomberg'!G510="","",'Port Bloomberg'!G510)</f>
        <v/>
      </c>
      <c r="H510" s="7" t="str">
        <f>IF('Port Bloomberg'!H510="","",'Port Bloomberg'!H510)</f>
        <v/>
      </c>
      <c r="I510" s="7" t="str">
        <f>IF('Port Bloomberg'!I510="","",'Port Bloomberg'!I510)</f>
        <v/>
      </c>
      <c r="J510" s="7" t="str">
        <f>IF('Port Bloomberg'!J510="","",'Port Bloomberg'!J510)</f>
        <v/>
      </c>
      <c r="K510" s="7" t="str">
        <f>IF('Port Bloomberg'!K510="","",'Port Bloomberg'!K510)</f>
        <v/>
      </c>
      <c r="L510" s="7" t="str">
        <f>IF('Port Bloomberg'!L510="","",'Port Bloomberg'!L510)</f>
        <v/>
      </c>
      <c r="M510" s="7" t="str">
        <f>IF('Port Bloomberg'!M510="","",'Port Bloomberg'!M510)</f>
        <v/>
      </c>
      <c r="N510" s="7" t="str">
        <f>IF('Port Bloomberg'!N510="","",'Port Bloomberg'!N510)</f>
        <v/>
      </c>
      <c r="O510" s="7" t="str">
        <f>IF('Port Bloomberg'!O510="","",'Port Bloomberg'!O510)</f>
        <v/>
      </c>
      <c r="P510" s="7" t="str">
        <f>IF('Port Bloomberg'!P510="","",'Port Bloomberg'!P510)</f>
        <v/>
      </c>
      <c r="Q510" s="7" t="str">
        <f>IF('Port Bloomberg'!Q510="","",'Port Bloomberg'!Q510)</f>
        <v/>
      </c>
      <c r="R510" s="7" t="str">
        <f>IF('Port Bloomberg'!R510="","",'Port Bloomberg'!R510)</f>
        <v/>
      </c>
      <c r="S510" s="5" t="str">
        <f>IF(E510="","",IFERROR(IF(MATCH(E510,[1]Instrumentos!$D:$D,0)&gt;0,1,0),0))</f>
        <v/>
      </c>
      <c r="T510" s="5" t="str">
        <f>IF(E510="","",IFERROR(IF(MATCH(E510,'Lista de excepciones'!$E:$E,0)&gt;0,1,0),0))</f>
        <v/>
      </c>
      <c r="U510" s="6" t="str">
        <f t="shared" si="8"/>
        <v/>
      </c>
    </row>
    <row r="511" spans="1:21" hidden="1" x14ac:dyDescent="0.25">
      <c r="A511" s="7" t="str">
        <f>IF('Port Bloomberg'!A511="","",'Port Bloomberg'!A511)</f>
        <v/>
      </c>
      <c r="B511" s="7" t="str">
        <f>IF('Port Bloomberg'!B511="","",'Port Bloomberg'!B511)</f>
        <v/>
      </c>
      <c r="C511" s="7" t="str">
        <f>IF('Port Bloomberg'!C511="","",'Port Bloomberg'!C511)</f>
        <v/>
      </c>
      <c r="D511" s="7" t="str">
        <f>IF('Port Bloomberg'!D511="","",'Port Bloomberg'!D511)</f>
        <v/>
      </c>
      <c r="E511" s="7" t="str">
        <f>IF('Port Bloomberg'!E511="","",'Port Bloomberg'!E511)</f>
        <v/>
      </c>
      <c r="F511" s="7" t="str">
        <f>IF('Port Bloomberg'!F511="","",'Port Bloomberg'!F511)</f>
        <v/>
      </c>
      <c r="G511" s="7" t="str">
        <f>IF('Port Bloomberg'!G511="","",'Port Bloomberg'!G511)</f>
        <v/>
      </c>
      <c r="H511" s="7" t="str">
        <f>IF('Port Bloomberg'!H511="","",'Port Bloomberg'!H511)</f>
        <v/>
      </c>
      <c r="I511" s="7" t="str">
        <f>IF('Port Bloomberg'!I511="","",'Port Bloomberg'!I511)</f>
        <v/>
      </c>
      <c r="J511" s="7" t="str">
        <f>IF('Port Bloomberg'!J511="","",'Port Bloomberg'!J511)</f>
        <v/>
      </c>
      <c r="K511" s="7" t="str">
        <f>IF('Port Bloomberg'!K511="","",'Port Bloomberg'!K511)</f>
        <v/>
      </c>
      <c r="L511" s="7" t="str">
        <f>IF('Port Bloomberg'!L511="","",'Port Bloomberg'!L511)</f>
        <v/>
      </c>
      <c r="M511" s="7" t="str">
        <f>IF('Port Bloomberg'!M511="","",'Port Bloomberg'!M511)</f>
        <v/>
      </c>
      <c r="N511" s="7" t="str">
        <f>IF('Port Bloomberg'!N511="","",'Port Bloomberg'!N511)</f>
        <v/>
      </c>
      <c r="O511" s="7" t="str">
        <f>IF('Port Bloomberg'!O511="","",'Port Bloomberg'!O511)</f>
        <v/>
      </c>
      <c r="P511" s="7" t="str">
        <f>IF('Port Bloomberg'!P511="","",'Port Bloomberg'!P511)</f>
        <v/>
      </c>
      <c r="Q511" s="7" t="str">
        <f>IF('Port Bloomberg'!Q511="","",'Port Bloomberg'!Q511)</f>
        <v/>
      </c>
      <c r="R511" s="7" t="str">
        <f>IF('Port Bloomberg'!R511="","",'Port Bloomberg'!R511)</f>
        <v/>
      </c>
      <c r="S511" s="5" t="str">
        <f>IF(E511="","",IFERROR(IF(MATCH(E511,[1]Instrumentos!$D:$D,0)&gt;0,1,0),0))</f>
        <v/>
      </c>
      <c r="T511" s="5" t="str">
        <f>IF(E511="","",IFERROR(IF(MATCH(E511,'Lista de excepciones'!$E:$E,0)&gt;0,1,0),0))</f>
        <v/>
      </c>
      <c r="U511" s="6" t="str">
        <f t="shared" si="8"/>
        <v/>
      </c>
    </row>
    <row r="512" spans="1:21" hidden="1" x14ac:dyDescent="0.25">
      <c r="A512" s="7" t="str">
        <f>IF('Port Bloomberg'!A512="","",'Port Bloomberg'!A512)</f>
        <v/>
      </c>
      <c r="B512" s="7" t="str">
        <f>IF('Port Bloomberg'!B512="","",'Port Bloomberg'!B512)</f>
        <v/>
      </c>
      <c r="C512" s="7" t="str">
        <f>IF('Port Bloomberg'!C512="","",'Port Bloomberg'!C512)</f>
        <v/>
      </c>
      <c r="D512" s="7" t="str">
        <f>IF('Port Bloomberg'!D512="","",'Port Bloomberg'!D512)</f>
        <v/>
      </c>
      <c r="E512" s="7" t="str">
        <f>IF('Port Bloomberg'!E512="","",'Port Bloomberg'!E512)</f>
        <v/>
      </c>
      <c r="F512" s="7" t="str">
        <f>IF('Port Bloomberg'!F512="","",'Port Bloomberg'!F512)</f>
        <v/>
      </c>
      <c r="G512" s="7" t="str">
        <f>IF('Port Bloomberg'!G512="","",'Port Bloomberg'!G512)</f>
        <v/>
      </c>
      <c r="H512" s="7" t="str">
        <f>IF('Port Bloomberg'!H512="","",'Port Bloomberg'!H512)</f>
        <v/>
      </c>
      <c r="I512" s="7" t="str">
        <f>IF('Port Bloomberg'!I512="","",'Port Bloomberg'!I512)</f>
        <v/>
      </c>
      <c r="J512" s="7" t="str">
        <f>IF('Port Bloomberg'!J512="","",'Port Bloomberg'!J512)</f>
        <v/>
      </c>
      <c r="K512" s="7" t="str">
        <f>IF('Port Bloomberg'!K512="","",'Port Bloomberg'!K512)</f>
        <v/>
      </c>
      <c r="L512" s="7" t="str">
        <f>IF('Port Bloomberg'!L512="","",'Port Bloomberg'!L512)</f>
        <v/>
      </c>
      <c r="M512" s="7" t="str">
        <f>IF('Port Bloomberg'!M512="","",'Port Bloomberg'!M512)</f>
        <v/>
      </c>
      <c r="N512" s="7" t="str">
        <f>IF('Port Bloomberg'!N512="","",'Port Bloomberg'!N512)</f>
        <v/>
      </c>
      <c r="O512" s="7" t="str">
        <f>IF('Port Bloomberg'!O512="","",'Port Bloomberg'!O512)</f>
        <v/>
      </c>
      <c r="P512" s="7" t="str">
        <f>IF('Port Bloomberg'!P512="","",'Port Bloomberg'!P512)</f>
        <v/>
      </c>
      <c r="Q512" s="7" t="str">
        <f>IF('Port Bloomberg'!Q512="","",'Port Bloomberg'!Q512)</f>
        <v/>
      </c>
      <c r="R512" s="7" t="str">
        <f>IF('Port Bloomberg'!R512="","",'Port Bloomberg'!R512)</f>
        <v/>
      </c>
      <c r="S512" s="5" t="str">
        <f>IF(E512="","",IFERROR(IF(MATCH(E512,[1]Instrumentos!$D:$D,0)&gt;0,1,0),0))</f>
        <v/>
      </c>
      <c r="T512" s="5" t="str">
        <f>IF(E512="","",IFERROR(IF(MATCH(E512,'Lista de excepciones'!$E:$E,0)&gt;0,1,0),0))</f>
        <v/>
      </c>
      <c r="U512" s="6" t="str">
        <f t="shared" si="8"/>
        <v/>
      </c>
    </row>
    <row r="513" spans="1:21" hidden="1" x14ac:dyDescent="0.25">
      <c r="A513" s="7" t="str">
        <f>IF('Port Bloomberg'!A513="","",'Port Bloomberg'!A513)</f>
        <v/>
      </c>
      <c r="B513" s="7" t="str">
        <f>IF('Port Bloomberg'!B513="","",'Port Bloomberg'!B513)</f>
        <v/>
      </c>
      <c r="C513" s="7" t="str">
        <f>IF('Port Bloomberg'!C513="","",'Port Bloomberg'!C513)</f>
        <v/>
      </c>
      <c r="D513" s="7" t="str">
        <f>IF('Port Bloomberg'!D513="","",'Port Bloomberg'!D513)</f>
        <v/>
      </c>
      <c r="E513" s="7" t="str">
        <f>IF('Port Bloomberg'!E513="","",'Port Bloomberg'!E513)</f>
        <v/>
      </c>
      <c r="F513" s="7" t="str">
        <f>IF('Port Bloomberg'!F513="","",'Port Bloomberg'!F513)</f>
        <v/>
      </c>
      <c r="G513" s="7" t="str">
        <f>IF('Port Bloomberg'!G513="","",'Port Bloomberg'!G513)</f>
        <v/>
      </c>
      <c r="H513" s="7" t="str">
        <f>IF('Port Bloomberg'!H513="","",'Port Bloomberg'!H513)</f>
        <v/>
      </c>
      <c r="I513" s="7" t="str">
        <f>IF('Port Bloomberg'!I513="","",'Port Bloomberg'!I513)</f>
        <v/>
      </c>
      <c r="J513" s="7" t="str">
        <f>IF('Port Bloomberg'!J513="","",'Port Bloomberg'!J513)</f>
        <v/>
      </c>
      <c r="K513" s="7" t="str">
        <f>IF('Port Bloomberg'!K513="","",'Port Bloomberg'!K513)</f>
        <v/>
      </c>
      <c r="L513" s="7" t="str">
        <f>IF('Port Bloomberg'!L513="","",'Port Bloomberg'!L513)</f>
        <v/>
      </c>
      <c r="M513" s="7" t="str">
        <f>IF('Port Bloomberg'!M513="","",'Port Bloomberg'!M513)</f>
        <v/>
      </c>
      <c r="N513" s="7" t="str">
        <f>IF('Port Bloomberg'!N513="","",'Port Bloomberg'!N513)</f>
        <v/>
      </c>
      <c r="O513" s="7" t="str">
        <f>IF('Port Bloomberg'!O513="","",'Port Bloomberg'!O513)</f>
        <v/>
      </c>
      <c r="P513" s="7" t="str">
        <f>IF('Port Bloomberg'!P513="","",'Port Bloomberg'!P513)</f>
        <v/>
      </c>
      <c r="Q513" s="7" t="str">
        <f>IF('Port Bloomberg'!Q513="","",'Port Bloomberg'!Q513)</f>
        <v/>
      </c>
      <c r="R513" s="7" t="str">
        <f>IF('Port Bloomberg'!R513="","",'Port Bloomberg'!R513)</f>
        <v/>
      </c>
      <c r="S513" s="5" t="str">
        <f>IF(E513="","",IFERROR(IF(MATCH(E513,[1]Instrumentos!$D:$D,0)&gt;0,1,0),0))</f>
        <v/>
      </c>
      <c r="T513" s="5" t="str">
        <f>IF(E513="","",IFERROR(IF(MATCH(E513,'Lista de excepciones'!$E:$E,0)&gt;0,1,0),0))</f>
        <v/>
      </c>
      <c r="U513" s="6" t="str">
        <f t="shared" si="8"/>
        <v/>
      </c>
    </row>
    <row r="514" spans="1:21" hidden="1" x14ac:dyDescent="0.25">
      <c r="A514" s="7" t="str">
        <f>IF('Port Bloomberg'!A514="","",'Port Bloomberg'!A514)</f>
        <v/>
      </c>
      <c r="B514" s="7" t="str">
        <f>IF('Port Bloomberg'!B514="","",'Port Bloomberg'!B514)</f>
        <v/>
      </c>
      <c r="C514" s="7" t="str">
        <f>IF('Port Bloomberg'!C514="","",'Port Bloomberg'!C514)</f>
        <v/>
      </c>
      <c r="D514" s="7" t="str">
        <f>IF('Port Bloomberg'!D514="","",'Port Bloomberg'!D514)</f>
        <v/>
      </c>
      <c r="E514" s="7" t="str">
        <f>IF('Port Bloomberg'!E514="","",'Port Bloomberg'!E514)</f>
        <v/>
      </c>
      <c r="F514" s="7" t="str">
        <f>IF('Port Bloomberg'!F514="","",'Port Bloomberg'!F514)</f>
        <v/>
      </c>
      <c r="G514" s="7" t="str">
        <f>IF('Port Bloomberg'!G514="","",'Port Bloomberg'!G514)</f>
        <v/>
      </c>
      <c r="H514" s="7" t="str">
        <f>IF('Port Bloomberg'!H514="","",'Port Bloomberg'!H514)</f>
        <v/>
      </c>
      <c r="I514" s="7" t="str">
        <f>IF('Port Bloomberg'!I514="","",'Port Bloomberg'!I514)</f>
        <v/>
      </c>
      <c r="J514" s="7" t="str">
        <f>IF('Port Bloomberg'!J514="","",'Port Bloomberg'!J514)</f>
        <v/>
      </c>
      <c r="K514" s="7" t="str">
        <f>IF('Port Bloomberg'!K514="","",'Port Bloomberg'!K514)</f>
        <v/>
      </c>
      <c r="L514" s="7" t="str">
        <f>IF('Port Bloomberg'!L514="","",'Port Bloomberg'!L514)</f>
        <v/>
      </c>
      <c r="M514" s="7" t="str">
        <f>IF('Port Bloomberg'!M514="","",'Port Bloomberg'!M514)</f>
        <v/>
      </c>
      <c r="N514" s="7" t="str">
        <f>IF('Port Bloomberg'!N514="","",'Port Bloomberg'!N514)</f>
        <v/>
      </c>
      <c r="O514" s="7" t="str">
        <f>IF('Port Bloomberg'!O514="","",'Port Bloomberg'!O514)</f>
        <v/>
      </c>
      <c r="P514" s="7" t="str">
        <f>IF('Port Bloomberg'!P514="","",'Port Bloomberg'!P514)</f>
        <v/>
      </c>
      <c r="Q514" s="7" t="str">
        <f>IF('Port Bloomberg'!Q514="","",'Port Bloomberg'!Q514)</f>
        <v/>
      </c>
      <c r="R514" s="7" t="str">
        <f>IF('Port Bloomberg'!R514="","",'Port Bloomberg'!R514)</f>
        <v/>
      </c>
      <c r="S514" s="5" t="str">
        <f>IF(E514="","",IFERROR(IF(MATCH(E514,[1]Instrumentos!$D:$D,0)&gt;0,1,0),0))</f>
        <v/>
      </c>
      <c r="T514" s="5" t="str">
        <f>IF(E514="","",IFERROR(IF(MATCH(E514,'Lista de excepciones'!$E:$E,0)&gt;0,1,0),0))</f>
        <v/>
      </c>
      <c r="U514" s="6" t="str">
        <f t="shared" si="8"/>
        <v/>
      </c>
    </row>
    <row r="515" spans="1:21" hidden="1" x14ac:dyDescent="0.25">
      <c r="A515" s="7" t="str">
        <f>IF('Port Bloomberg'!A515="","",'Port Bloomberg'!A515)</f>
        <v/>
      </c>
      <c r="B515" s="7" t="str">
        <f>IF('Port Bloomberg'!B515="","",'Port Bloomberg'!B515)</f>
        <v/>
      </c>
      <c r="C515" s="7" t="str">
        <f>IF('Port Bloomberg'!C515="","",'Port Bloomberg'!C515)</f>
        <v/>
      </c>
      <c r="D515" s="7" t="str">
        <f>IF('Port Bloomberg'!D515="","",'Port Bloomberg'!D515)</f>
        <v/>
      </c>
      <c r="E515" s="7" t="str">
        <f>IF('Port Bloomberg'!E515="","",'Port Bloomberg'!E515)</f>
        <v/>
      </c>
      <c r="F515" s="7" t="str">
        <f>IF('Port Bloomberg'!F515="","",'Port Bloomberg'!F515)</f>
        <v/>
      </c>
      <c r="G515" s="7" t="str">
        <f>IF('Port Bloomberg'!G515="","",'Port Bloomberg'!G515)</f>
        <v/>
      </c>
      <c r="H515" s="7" t="str">
        <f>IF('Port Bloomberg'!H515="","",'Port Bloomberg'!H515)</f>
        <v/>
      </c>
      <c r="I515" s="7" t="str">
        <f>IF('Port Bloomberg'!I515="","",'Port Bloomberg'!I515)</f>
        <v/>
      </c>
      <c r="J515" s="7" t="str">
        <f>IF('Port Bloomberg'!J515="","",'Port Bloomberg'!J515)</f>
        <v/>
      </c>
      <c r="K515" s="7" t="str">
        <f>IF('Port Bloomberg'!K515="","",'Port Bloomberg'!K515)</f>
        <v/>
      </c>
      <c r="L515" s="7" t="str">
        <f>IF('Port Bloomberg'!L515="","",'Port Bloomberg'!L515)</f>
        <v/>
      </c>
      <c r="M515" s="7" t="str">
        <f>IF('Port Bloomberg'!M515="","",'Port Bloomberg'!M515)</f>
        <v/>
      </c>
      <c r="N515" s="7" t="str">
        <f>IF('Port Bloomberg'!N515="","",'Port Bloomberg'!N515)</f>
        <v/>
      </c>
      <c r="O515" s="7" t="str">
        <f>IF('Port Bloomberg'!O515="","",'Port Bloomberg'!O515)</f>
        <v/>
      </c>
      <c r="P515" s="7" t="str">
        <f>IF('Port Bloomberg'!P515="","",'Port Bloomberg'!P515)</f>
        <v/>
      </c>
      <c r="Q515" s="7" t="str">
        <f>IF('Port Bloomberg'!Q515="","",'Port Bloomberg'!Q515)</f>
        <v/>
      </c>
      <c r="R515" s="7" t="str">
        <f>IF('Port Bloomberg'!R515="","",'Port Bloomberg'!R515)</f>
        <v/>
      </c>
      <c r="S515" s="5" t="str">
        <f>IF(E515="","",IFERROR(IF(MATCH(E515,[1]Instrumentos!$D:$D,0)&gt;0,1,0),0))</f>
        <v/>
      </c>
      <c r="T515" s="5" t="str">
        <f>IF(E515="","",IFERROR(IF(MATCH(E515,'Lista de excepciones'!$E:$E,0)&gt;0,1,0),0))</f>
        <v/>
      </c>
      <c r="U515" s="6" t="str">
        <f t="shared" ref="U515:U578" si="9">IF(E515="","",IF(S515+T515=0,"AGREGAR/REVISAR","NO"))</f>
        <v/>
      </c>
    </row>
    <row r="516" spans="1:21" hidden="1" x14ac:dyDescent="0.25">
      <c r="A516" s="7" t="str">
        <f>IF('Port Bloomberg'!A516="","",'Port Bloomberg'!A516)</f>
        <v/>
      </c>
      <c r="B516" s="7" t="str">
        <f>IF('Port Bloomberg'!B516="","",'Port Bloomberg'!B516)</f>
        <v/>
      </c>
      <c r="C516" s="7" t="str">
        <f>IF('Port Bloomberg'!C516="","",'Port Bloomberg'!C516)</f>
        <v/>
      </c>
      <c r="D516" s="7" t="str">
        <f>IF('Port Bloomberg'!D516="","",'Port Bloomberg'!D516)</f>
        <v/>
      </c>
      <c r="E516" s="7" t="str">
        <f>IF('Port Bloomberg'!E516="","",'Port Bloomberg'!E516)</f>
        <v/>
      </c>
      <c r="F516" s="7" t="str">
        <f>IF('Port Bloomberg'!F516="","",'Port Bloomberg'!F516)</f>
        <v/>
      </c>
      <c r="G516" s="7" t="str">
        <f>IF('Port Bloomberg'!G516="","",'Port Bloomberg'!G516)</f>
        <v/>
      </c>
      <c r="H516" s="7" t="str">
        <f>IF('Port Bloomberg'!H516="","",'Port Bloomberg'!H516)</f>
        <v/>
      </c>
      <c r="I516" s="7" t="str">
        <f>IF('Port Bloomberg'!I516="","",'Port Bloomberg'!I516)</f>
        <v/>
      </c>
      <c r="J516" s="7" t="str">
        <f>IF('Port Bloomberg'!J516="","",'Port Bloomberg'!J516)</f>
        <v/>
      </c>
      <c r="K516" s="7" t="str">
        <f>IF('Port Bloomberg'!K516="","",'Port Bloomberg'!K516)</f>
        <v/>
      </c>
      <c r="L516" s="7" t="str">
        <f>IF('Port Bloomberg'!L516="","",'Port Bloomberg'!L516)</f>
        <v/>
      </c>
      <c r="M516" s="7" t="str">
        <f>IF('Port Bloomberg'!M516="","",'Port Bloomberg'!M516)</f>
        <v/>
      </c>
      <c r="N516" s="7" t="str">
        <f>IF('Port Bloomberg'!N516="","",'Port Bloomberg'!N516)</f>
        <v/>
      </c>
      <c r="O516" s="7" t="str">
        <f>IF('Port Bloomberg'!O516="","",'Port Bloomberg'!O516)</f>
        <v/>
      </c>
      <c r="P516" s="7" t="str">
        <f>IF('Port Bloomberg'!P516="","",'Port Bloomberg'!P516)</f>
        <v/>
      </c>
      <c r="Q516" s="7" t="str">
        <f>IF('Port Bloomberg'!Q516="","",'Port Bloomberg'!Q516)</f>
        <v/>
      </c>
      <c r="R516" s="7" t="str">
        <f>IF('Port Bloomberg'!R516="","",'Port Bloomberg'!R516)</f>
        <v/>
      </c>
      <c r="S516" s="5" t="str">
        <f>IF(E516="","",IFERROR(IF(MATCH(E516,[1]Instrumentos!$D:$D,0)&gt;0,1,0),0))</f>
        <v/>
      </c>
      <c r="T516" s="5" t="str">
        <f>IF(E516="","",IFERROR(IF(MATCH(E516,'Lista de excepciones'!$E:$E,0)&gt;0,1,0),0))</f>
        <v/>
      </c>
      <c r="U516" s="6" t="str">
        <f t="shared" si="9"/>
        <v/>
      </c>
    </row>
    <row r="517" spans="1:21" hidden="1" x14ac:dyDescent="0.25">
      <c r="A517" s="7" t="str">
        <f>IF('Port Bloomberg'!A517="","",'Port Bloomberg'!A517)</f>
        <v/>
      </c>
      <c r="B517" s="7" t="str">
        <f>IF('Port Bloomberg'!B517="","",'Port Bloomberg'!B517)</f>
        <v/>
      </c>
      <c r="C517" s="7" t="str">
        <f>IF('Port Bloomberg'!C517="","",'Port Bloomberg'!C517)</f>
        <v/>
      </c>
      <c r="D517" s="7" t="str">
        <f>IF('Port Bloomberg'!D517="","",'Port Bloomberg'!D517)</f>
        <v/>
      </c>
      <c r="E517" s="7" t="str">
        <f>IF('Port Bloomberg'!E517="","",'Port Bloomberg'!E517)</f>
        <v/>
      </c>
      <c r="F517" s="7" t="str">
        <f>IF('Port Bloomberg'!F517="","",'Port Bloomberg'!F517)</f>
        <v/>
      </c>
      <c r="G517" s="7" t="str">
        <f>IF('Port Bloomberg'!G517="","",'Port Bloomberg'!G517)</f>
        <v/>
      </c>
      <c r="H517" s="7" t="str">
        <f>IF('Port Bloomberg'!H517="","",'Port Bloomberg'!H517)</f>
        <v/>
      </c>
      <c r="I517" s="7" t="str">
        <f>IF('Port Bloomberg'!I517="","",'Port Bloomberg'!I517)</f>
        <v/>
      </c>
      <c r="J517" s="7" t="str">
        <f>IF('Port Bloomberg'!J517="","",'Port Bloomberg'!J517)</f>
        <v/>
      </c>
      <c r="K517" s="7" t="str">
        <f>IF('Port Bloomberg'!K517="","",'Port Bloomberg'!K517)</f>
        <v/>
      </c>
      <c r="L517" s="7" t="str">
        <f>IF('Port Bloomberg'!L517="","",'Port Bloomberg'!L517)</f>
        <v/>
      </c>
      <c r="M517" s="7" t="str">
        <f>IF('Port Bloomberg'!M517="","",'Port Bloomberg'!M517)</f>
        <v/>
      </c>
      <c r="N517" s="7" t="str">
        <f>IF('Port Bloomberg'!N517="","",'Port Bloomberg'!N517)</f>
        <v/>
      </c>
      <c r="O517" s="7" t="str">
        <f>IF('Port Bloomberg'!O517="","",'Port Bloomberg'!O517)</f>
        <v/>
      </c>
      <c r="P517" s="7" t="str">
        <f>IF('Port Bloomberg'!P517="","",'Port Bloomberg'!P517)</f>
        <v/>
      </c>
      <c r="Q517" s="7" t="str">
        <f>IF('Port Bloomberg'!Q517="","",'Port Bloomberg'!Q517)</f>
        <v/>
      </c>
      <c r="R517" s="7" t="str">
        <f>IF('Port Bloomberg'!R517="","",'Port Bloomberg'!R517)</f>
        <v/>
      </c>
      <c r="S517" s="5" t="str">
        <f>IF(E517="","",IFERROR(IF(MATCH(E517,[1]Instrumentos!$D:$D,0)&gt;0,1,0),0))</f>
        <v/>
      </c>
      <c r="T517" s="5" t="str">
        <f>IF(E517="","",IFERROR(IF(MATCH(E517,'Lista de excepciones'!$E:$E,0)&gt;0,1,0),0))</f>
        <v/>
      </c>
      <c r="U517" s="6" t="str">
        <f t="shared" si="9"/>
        <v/>
      </c>
    </row>
    <row r="518" spans="1:21" hidden="1" x14ac:dyDescent="0.25">
      <c r="A518" s="7" t="str">
        <f>IF('Port Bloomberg'!A518="","",'Port Bloomberg'!A518)</f>
        <v/>
      </c>
      <c r="B518" s="7" t="str">
        <f>IF('Port Bloomberg'!B518="","",'Port Bloomberg'!B518)</f>
        <v/>
      </c>
      <c r="C518" s="7" t="str">
        <f>IF('Port Bloomberg'!C518="","",'Port Bloomberg'!C518)</f>
        <v/>
      </c>
      <c r="D518" s="7" t="str">
        <f>IF('Port Bloomberg'!D518="","",'Port Bloomberg'!D518)</f>
        <v/>
      </c>
      <c r="E518" s="7" t="str">
        <f>IF('Port Bloomberg'!E518="","",'Port Bloomberg'!E518)</f>
        <v/>
      </c>
      <c r="F518" s="7" t="str">
        <f>IF('Port Bloomberg'!F518="","",'Port Bloomberg'!F518)</f>
        <v/>
      </c>
      <c r="G518" s="7" t="str">
        <f>IF('Port Bloomberg'!G518="","",'Port Bloomberg'!G518)</f>
        <v/>
      </c>
      <c r="H518" s="7" t="str">
        <f>IF('Port Bloomberg'!H518="","",'Port Bloomberg'!H518)</f>
        <v/>
      </c>
      <c r="I518" s="7" t="str">
        <f>IF('Port Bloomberg'!I518="","",'Port Bloomberg'!I518)</f>
        <v/>
      </c>
      <c r="J518" s="7" t="str">
        <f>IF('Port Bloomberg'!J518="","",'Port Bloomberg'!J518)</f>
        <v/>
      </c>
      <c r="K518" s="7" t="str">
        <f>IF('Port Bloomberg'!K518="","",'Port Bloomberg'!K518)</f>
        <v/>
      </c>
      <c r="L518" s="7" t="str">
        <f>IF('Port Bloomberg'!L518="","",'Port Bloomberg'!L518)</f>
        <v/>
      </c>
      <c r="M518" s="7" t="str">
        <f>IF('Port Bloomberg'!M518="","",'Port Bloomberg'!M518)</f>
        <v/>
      </c>
      <c r="N518" s="7" t="str">
        <f>IF('Port Bloomberg'!N518="","",'Port Bloomberg'!N518)</f>
        <v/>
      </c>
      <c r="O518" s="7" t="str">
        <f>IF('Port Bloomberg'!O518="","",'Port Bloomberg'!O518)</f>
        <v/>
      </c>
      <c r="P518" s="7" t="str">
        <f>IF('Port Bloomberg'!P518="","",'Port Bloomberg'!P518)</f>
        <v/>
      </c>
      <c r="Q518" s="7" t="str">
        <f>IF('Port Bloomberg'!Q518="","",'Port Bloomberg'!Q518)</f>
        <v/>
      </c>
      <c r="R518" s="7" t="str">
        <f>IF('Port Bloomberg'!R518="","",'Port Bloomberg'!R518)</f>
        <v/>
      </c>
      <c r="S518" s="5" t="str">
        <f>IF(E518="","",IFERROR(IF(MATCH(E518,[1]Instrumentos!$D:$D,0)&gt;0,1,0),0))</f>
        <v/>
      </c>
      <c r="T518" s="5" t="str">
        <f>IF(E518="","",IFERROR(IF(MATCH(E518,'Lista de excepciones'!$E:$E,0)&gt;0,1,0),0))</f>
        <v/>
      </c>
      <c r="U518" s="6" t="str">
        <f t="shared" si="9"/>
        <v/>
      </c>
    </row>
    <row r="519" spans="1:21" hidden="1" x14ac:dyDescent="0.25">
      <c r="A519" s="7" t="str">
        <f>IF('Port Bloomberg'!A519="","",'Port Bloomberg'!A519)</f>
        <v/>
      </c>
      <c r="B519" s="7" t="str">
        <f>IF('Port Bloomberg'!B519="","",'Port Bloomberg'!B519)</f>
        <v/>
      </c>
      <c r="C519" s="7" t="str">
        <f>IF('Port Bloomberg'!C519="","",'Port Bloomberg'!C519)</f>
        <v/>
      </c>
      <c r="D519" s="7" t="str">
        <f>IF('Port Bloomberg'!D519="","",'Port Bloomberg'!D519)</f>
        <v/>
      </c>
      <c r="E519" s="7" t="str">
        <f>IF('Port Bloomberg'!E519="","",'Port Bloomberg'!E519)</f>
        <v/>
      </c>
      <c r="F519" s="7" t="str">
        <f>IF('Port Bloomberg'!F519="","",'Port Bloomberg'!F519)</f>
        <v/>
      </c>
      <c r="G519" s="7" t="str">
        <f>IF('Port Bloomberg'!G519="","",'Port Bloomberg'!G519)</f>
        <v/>
      </c>
      <c r="H519" s="7" t="str">
        <f>IF('Port Bloomberg'!H519="","",'Port Bloomberg'!H519)</f>
        <v/>
      </c>
      <c r="I519" s="7" t="str">
        <f>IF('Port Bloomberg'!I519="","",'Port Bloomberg'!I519)</f>
        <v/>
      </c>
      <c r="J519" s="7" t="str">
        <f>IF('Port Bloomberg'!J519="","",'Port Bloomberg'!J519)</f>
        <v/>
      </c>
      <c r="K519" s="7" t="str">
        <f>IF('Port Bloomberg'!K519="","",'Port Bloomberg'!K519)</f>
        <v/>
      </c>
      <c r="L519" s="7" t="str">
        <f>IF('Port Bloomberg'!L519="","",'Port Bloomberg'!L519)</f>
        <v/>
      </c>
      <c r="M519" s="7" t="str">
        <f>IF('Port Bloomberg'!M519="","",'Port Bloomberg'!M519)</f>
        <v/>
      </c>
      <c r="N519" s="7" t="str">
        <f>IF('Port Bloomberg'!N519="","",'Port Bloomberg'!N519)</f>
        <v/>
      </c>
      <c r="O519" s="7" t="str">
        <f>IF('Port Bloomberg'!O519="","",'Port Bloomberg'!O519)</f>
        <v/>
      </c>
      <c r="P519" s="7" t="str">
        <f>IF('Port Bloomberg'!P519="","",'Port Bloomberg'!P519)</f>
        <v/>
      </c>
      <c r="Q519" s="7" t="str">
        <f>IF('Port Bloomberg'!Q519="","",'Port Bloomberg'!Q519)</f>
        <v/>
      </c>
      <c r="R519" s="7" t="str">
        <f>IF('Port Bloomberg'!R519="","",'Port Bloomberg'!R519)</f>
        <v/>
      </c>
      <c r="S519" s="5" t="str">
        <f>IF(E519="","",IFERROR(IF(MATCH(E519,[1]Instrumentos!$D:$D,0)&gt;0,1,0),0))</f>
        <v/>
      </c>
      <c r="T519" s="5" t="str">
        <f>IF(E519="","",IFERROR(IF(MATCH(E519,'Lista de excepciones'!$E:$E,0)&gt;0,1,0),0))</f>
        <v/>
      </c>
      <c r="U519" s="6" t="str">
        <f t="shared" si="9"/>
        <v/>
      </c>
    </row>
    <row r="520" spans="1:21" hidden="1" x14ac:dyDescent="0.25">
      <c r="A520" s="7" t="str">
        <f>IF('Port Bloomberg'!A520="","",'Port Bloomberg'!A520)</f>
        <v/>
      </c>
      <c r="B520" s="7" t="str">
        <f>IF('Port Bloomberg'!B520="","",'Port Bloomberg'!B520)</f>
        <v/>
      </c>
      <c r="C520" s="7" t="str">
        <f>IF('Port Bloomberg'!C520="","",'Port Bloomberg'!C520)</f>
        <v/>
      </c>
      <c r="D520" s="7" t="str">
        <f>IF('Port Bloomberg'!D520="","",'Port Bloomberg'!D520)</f>
        <v/>
      </c>
      <c r="E520" s="7" t="str">
        <f>IF('Port Bloomberg'!E520="","",'Port Bloomberg'!E520)</f>
        <v/>
      </c>
      <c r="F520" s="7" t="str">
        <f>IF('Port Bloomberg'!F520="","",'Port Bloomberg'!F520)</f>
        <v/>
      </c>
      <c r="G520" s="7" t="str">
        <f>IF('Port Bloomberg'!G520="","",'Port Bloomberg'!G520)</f>
        <v/>
      </c>
      <c r="H520" s="7" t="str">
        <f>IF('Port Bloomberg'!H520="","",'Port Bloomberg'!H520)</f>
        <v/>
      </c>
      <c r="I520" s="7" t="str">
        <f>IF('Port Bloomberg'!I520="","",'Port Bloomberg'!I520)</f>
        <v/>
      </c>
      <c r="J520" s="7" t="str">
        <f>IF('Port Bloomberg'!J520="","",'Port Bloomberg'!J520)</f>
        <v/>
      </c>
      <c r="K520" s="7" t="str">
        <f>IF('Port Bloomberg'!K520="","",'Port Bloomberg'!K520)</f>
        <v/>
      </c>
      <c r="L520" s="7" t="str">
        <f>IF('Port Bloomberg'!L520="","",'Port Bloomberg'!L520)</f>
        <v/>
      </c>
      <c r="M520" s="7" t="str">
        <f>IF('Port Bloomberg'!M520="","",'Port Bloomberg'!M520)</f>
        <v/>
      </c>
      <c r="N520" s="7" t="str">
        <f>IF('Port Bloomberg'!N520="","",'Port Bloomberg'!N520)</f>
        <v/>
      </c>
      <c r="O520" s="7" t="str">
        <f>IF('Port Bloomberg'!O520="","",'Port Bloomberg'!O520)</f>
        <v/>
      </c>
      <c r="P520" s="7" t="str">
        <f>IF('Port Bloomberg'!P520="","",'Port Bloomberg'!P520)</f>
        <v/>
      </c>
      <c r="Q520" s="7" t="str">
        <f>IF('Port Bloomberg'!Q520="","",'Port Bloomberg'!Q520)</f>
        <v/>
      </c>
      <c r="R520" s="7" t="str">
        <f>IF('Port Bloomberg'!R520="","",'Port Bloomberg'!R520)</f>
        <v/>
      </c>
      <c r="S520" s="5" t="str">
        <f>IF(E520="","",IFERROR(IF(MATCH(E520,[1]Instrumentos!$D:$D,0)&gt;0,1,0),0))</f>
        <v/>
      </c>
      <c r="T520" s="5" t="str">
        <f>IF(E520="","",IFERROR(IF(MATCH(E520,'Lista de excepciones'!$E:$E,0)&gt;0,1,0),0))</f>
        <v/>
      </c>
      <c r="U520" s="6" t="str">
        <f t="shared" si="9"/>
        <v/>
      </c>
    </row>
    <row r="521" spans="1:21" hidden="1" x14ac:dyDescent="0.25">
      <c r="A521" s="7" t="str">
        <f>IF('Port Bloomberg'!A521="","",'Port Bloomberg'!A521)</f>
        <v/>
      </c>
      <c r="B521" s="7" t="str">
        <f>IF('Port Bloomberg'!B521="","",'Port Bloomberg'!B521)</f>
        <v/>
      </c>
      <c r="C521" s="7" t="str">
        <f>IF('Port Bloomberg'!C521="","",'Port Bloomberg'!C521)</f>
        <v/>
      </c>
      <c r="D521" s="7" t="str">
        <f>IF('Port Bloomberg'!D521="","",'Port Bloomberg'!D521)</f>
        <v/>
      </c>
      <c r="E521" s="7" t="str">
        <f>IF('Port Bloomberg'!E521="","",'Port Bloomberg'!E521)</f>
        <v/>
      </c>
      <c r="F521" s="7" t="str">
        <f>IF('Port Bloomberg'!F521="","",'Port Bloomberg'!F521)</f>
        <v/>
      </c>
      <c r="G521" s="7" t="str">
        <f>IF('Port Bloomberg'!G521="","",'Port Bloomberg'!G521)</f>
        <v/>
      </c>
      <c r="H521" s="7" t="str">
        <f>IF('Port Bloomberg'!H521="","",'Port Bloomberg'!H521)</f>
        <v/>
      </c>
      <c r="I521" s="7" t="str">
        <f>IF('Port Bloomberg'!I521="","",'Port Bloomberg'!I521)</f>
        <v/>
      </c>
      <c r="J521" s="7" t="str">
        <f>IF('Port Bloomberg'!J521="","",'Port Bloomberg'!J521)</f>
        <v/>
      </c>
      <c r="K521" s="7" t="str">
        <f>IF('Port Bloomberg'!K521="","",'Port Bloomberg'!K521)</f>
        <v/>
      </c>
      <c r="L521" s="7" t="str">
        <f>IF('Port Bloomberg'!L521="","",'Port Bloomberg'!L521)</f>
        <v/>
      </c>
      <c r="M521" s="7" t="str">
        <f>IF('Port Bloomberg'!M521="","",'Port Bloomberg'!M521)</f>
        <v/>
      </c>
      <c r="N521" s="7" t="str">
        <f>IF('Port Bloomberg'!N521="","",'Port Bloomberg'!N521)</f>
        <v/>
      </c>
      <c r="O521" s="7" t="str">
        <f>IF('Port Bloomberg'!O521="","",'Port Bloomberg'!O521)</f>
        <v/>
      </c>
      <c r="P521" s="7" t="str">
        <f>IF('Port Bloomberg'!P521="","",'Port Bloomberg'!P521)</f>
        <v/>
      </c>
      <c r="Q521" s="7" t="str">
        <f>IF('Port Bloomberg'!Q521="","",'Port Bloomberg'!Q521)</f>
        <v/>
      </c>
      <c r="R521" s="7" t="str">
        <f>IF('Port Bloomberg'!R521="","",'Port Bloomberg'!R521)</f>
        <v/>
      </c>
      <c r="S521" s="5" t="str">
        <f>IF(E521="","",IFERROR(IF(MATCH(E521,[1]Instrumentos!$D:$D,0)&gt;0,1,0),0))</f>
        <v/>
      </c>
      <c r="T521" s="5" t="str">
        <f>IF(E521="","",IFERROR(IF(MATCH(E521,'Lista de excepciones'!$E:$E,0)&gt;0,1,0),0))</f>
        <v/>
      </c>
      <c r="U521" s="6" t="str">
        <f t="shared" si="9"/>
        <v/>
      </c>
    </row>
    <row r="522" spans="1:21" hidden="1" x14ac:dyDescent="0.25">
      <c r="A522" s="7" t="str">
        <f>IF('Port Bloomberg'!A522="","",'Port Bloomberg'!A522)</f>
        <v/>
      </c>
      <c r="B522" s="7" t="str">
        <f>IF('Port Bloomberg'!B522="","",'Port Bloomberg'!B522)</f>
        <v/>
      </c>
      <c r="C522" s="7" t="str">
        <f>IF('Port Bloomberg'!C522="","",'Port Bloomberg'!C522)</f>
        <v/>
      </c>
      <c r="D522" s="7" t="str">
        <f>IF('Port Bloomberg'!D522="","",'Port Bloomberg'!D522)</f>
        <v/>
      </c>
      <c r="E522" s="7" t="str">
        <f>IF('Port Bloomberg'!E522="","",'Port Bloomberg'!E522)</f>
        <v/>
      </c>
      <c r="F522" s="7" t="str">
        <f>IF('Port Bloomberg'!F522="","",'Port Bloomberg'!F522)</f>
        <v/>
      </c>
      <c r="G522" s="7" t="str">
        <f>IF('Port Bloomberg'!G522="","",'Port Bloomberg'!G522)</f>
        <v/>
      </c>
      <c r="H522" s="7" t="str">
        <f>IF('Port Bloomberg'!H522="","",'Port Bloomberg'!H522)</f>
        <v/>
      </c>
      <c r="I522" s="7" t="str">
        <f>IF('Port Bloomberg'!I522="","",'Port Bloomberg'!I522)</f>
        <v/>
      </c>
      <c r="J522" s="7" t="str">
        <f>IF('Port Bloomberg'!J522="","",'Port Bloomberg'!J522)</f>
        <v/>
      </c>
      <c r="K522" s="7" t="str">
        <f>IF('Port Bloomberg'!K522="","",'Port Bloomberg'!K522)</f>
        <v/>
      </c>
      <c r="L522" s="7" t="str">
        <f>IF('Port Bloomberg'!L522="","",'Port Bloomberg'!L522)</f>
        <v/>
      </c>
      <c r="M522" s="7" t="str">
        <f>IF('Port Bloomberg'!M522="","",'Port Bloomberg'!M522)</f>
        <v/>
      </c>
      <c r="N522" s="7" t="str">
        <f>IF('Port Bloomberg'!N522="","",'Port Bloomberg'!N522)</f>
        <v/>
      </c>
      <c r="O522" s="7" t="str">
        <f>IF('Port Bloomberg'!O522="","",'Port Bloomberg'!O522)</f>
        <v/>
      </c>
      <c r="P522" s="7" t="str">
        <f>IF('Port Bloomberg'!P522="","",'Port Bloomberg'!P522)</f>
        <v/>
      </c>
      <c r="Q522" s="7" t="str">
        <f>IF('Port Bloomberg'!Q522="","",'Port Bloomberg'!Q522)</f>
        <v/>
      </c>
      <c r="R522" s="7" t="str">
        <f>IF('Port Bloomberg'!R522="","",'Port Bloomberg'!R522)</f>
        <v/>
      </c>
      <c r="S522" s="5" t="str">
        <f>IF(E522="","",IFERROR(IF(MATCH(E522,[1]Instrumentos!$D:$D,0)&gt;0,1,0),0))</f>
        <v/>
      </c>
      <c r="T522" s="5" t="str">
        <f>IF(E522="","",IFERROR(IF(MATCH(E522,'Lista de excepciones'!$E:$E,0)&gt;0,1,0),0))</f>
        <v/>
      </c>
      <c r="U522" s="6" t="str">
        <f t="shared" si="9"/>
        <v/>
      </c>
    </row>
    <row r="523" spans="1:21" hidden="1" x14ac:dyDescent="0.25">
      <c r="A523" s="7" t="str">
        <f>IF('Port Bloomberg'!A523="","",'Port Bloomberg'!A523)</f>
        <v/>
      </c>
      <c r="B523" s="7" t="str">
        <f>IF('Port Bloomberg'!B523="","",'Port Bloomberg'!B523)</f>
        <v/>
      </c>
      <c r="C523" s="7" t="str">
        <f>IF('Port Bloomberg'!C523="","",'Port Bloomberg'!C523)</f>
        <v/>
      </c>
      <c r="D523" s="7" t="str">
        <f>IF('Port Bloomberg'!D523="","",'Port Bloomberg'!D523)</f>
        <v/>
      </c>
      <c r="E523" s="7" t="str">
        <f>IF('Port Bloomberg'!E523="","",'Port Bloomberg'!E523)</f>
        <v/>
      </c>
      <c r="F523" s="7" t="str">
        <f>IF('Port Bloomberg'!F523="","",'Port Bloomberg'!F523)</f>
        <v/>
      </c>
      <c r="G523" s="7" t="str">
        <f>IF('Port Bloomberg'!G523="","",'Port Bloomberg'!G523)</f>
        <v/>
      </c>
      <c r="H523" s="7" t="str">
        <f>IF('Port Bloomberg'!H523="","",'Port Bloomberg'!H523)</f>
        <v/>
      </c>
      <c r="I523" s="7" t="str">
        <f>IF('Port Bloomberg'!I523="","",'Port Bloomberg'!I523)</f>
        <v/>
      </c>
      <c r="J523" s="7" t="str">
        <f>IF('Port Bloomberg'!J523="","",'Port Bloomberg'!J523)</f>
        <v/>
      </c>
      <c r="K523" s="7" t="str">
        <f>IF('Port Bloomberg'!K523="","",'Port Bloomberg'!K523)</f>
        <v/>
      </c>
      <c r="L523" s="7" t="str">
        <f>IF('Port Bloomberg'!L523="","",'Port Bloomberg'!L523)</f>
        <v/>
      </c>
      <c r="M523" s="7" t="str">
        <f>IF('Port Bloomberg'!M523="","",'Port Bloomberg'!M523)</f>
        <v/>
      </c>
      <c r="N523" s="7" t="str">
        <f>IF('Port Bloomberg'!N523="","",'Port Bloomberg'!N523)</f>
        <v/>
      </c>
      <c r="O523" s="7" t="str">
        <f>IF('Port Bloomberg'!O523="","",'Port Bloomberg'!O523)</f>
        <v/>
      </c>
      <c r="P523" s="7" t="str">
        <f>IF('Port Bloomberg'!P523="","",'Port Bloomberg'!P523)</f>
        <v/>
      </c>
      <c r="Q523" s="7" t="str">
        <f>IF('Port Bloomberg'!Q523="","",'Port Bloomberg'!Q523)</f>
        <v/>
      </c>
      <c r="R523" s="7" t="str">
        <f>IF('Port Bloomberg'!R523="","",'Port Bloomberg'!R523)</f>
        <v/>
      </c>
      <c r="S523" s="5" t="str">
        <f>IF(E523="","",IFERROR(IF(MATCH(E523,[1]Instrumentos!$D:$D,0)&gt;0,1,0),0))</f>
        <v/>
      </c>
      <c r="T523" s="5" t="str">
        <f>IF(E523="","",IFERROR(IF(MATCH(E523,'Lista de excepciones'!$E:$E,0)&gt;0,1,0),0))</f>
        <v/>
      </c>
      <c r="U523" s="6" t="str">
        <f t="shared" si="9"/>
        <v/>
      </c>
    </row>
    <row r="524" spans="1:21" hidden="1" x14ac:dyDescent="0.25">
      <c r="A524" s="7" t="str">
        <f>IF('Port Bloomberg'!A524="","",'Port Bloomberg'!A524)</f>
        <v/>
      </c>
      <c r="B524" s="7" t="str">
        <f>IF('Port Bloomberg'!B524="","",'Port Bloomberg'!B524)</f>
        <v/>
      </c>
      <c r="C524" s="7" t="str">
        <f>IF('Port Bloomberg'!C524="","",'Port Bloomberg'!C524)</f>
        <v/>
      </c>
      <c r="D524" s="7" t="str">
        <f>IF('Port Bloomberg'!D524="","",'Port Bloomberg'!D524)</f>
        <v/>
      </c>
      <c r="E524" s="7" t="str">
        <f>IF('Port Bloomberg'!E524="","",'Port Bloomberg'!E524)</f>
        <v/>
      </c>
      <c r="F524" s="7" t="str">
        <f>IF('Port Bloomberg'!F524="","",'Port Bloomberg'!F524)</f>
        <v/>
      </c>
      <c r="G524" s="7" t="str">
        <f>IF('Port Bloomberg'!G524="","",'Port Bloomberg'!G524)</f>
        <v/>
      </c>
      <c r="H524" s="7" t="str">
        <f>IF('Port Bloomberg'!H524="","",'Port Bloomberg'!H524)</f>
        <v/>
      </c>
      <c r="I524" s="7" t="str">
        <f>IF('Port Bloomberg'!I524="","",'Port Bloomberg'!I524)</f>
        <v/>
      </c>
      <c r="J524" s="7" t="str">
        <f>IF('Port Bloomberg'!J524="","",'Port Bloomberg'!J524)</f>
        <v/>
      </c>
      <c r="K524" s="7" t="str">
        <f>IF('Port Bloomberg'!K524="","",'Port Bloomberg'!K524)</f>
        <v/>
      </c>
      <c r="L524" s="7" t="str">
        <f>IF('Port Bloomberg'!L524="","",'Port Bloomberg'!L524)</f>
        <v/>
      </c>
      <c r="M524" s="7" t="str">
        <f>IF('Port Bloomberg'!M524="","",'Port Bloomberg'!M524)</f>
        <v/>
      </c>
      <c r="N524" s="7" t="str">
        <f>IF('Port Bloomberg'!N524="","",'Port Bloomberg'!N524)</f>
        <v/>
      </c>
      <c r="O524" s="7" t="str">
        <f>IF('Port Bloomberg'!O524="","",'Port Bloomberg'!O524)</f>
        <v/>
      </c>
      <c r="P524" s="7" t="str">
        <f>IF('Port Bloomberg'!P524="","",'Port Bloomberg'!P524)</f>
        <v/>
      </c>
      <c r="Q524" s="7" t="str">
        <f>IF('Port Bloomberg'!Q524="","",'Port Bloomberg'!Q524)</f>
        <v/>
      </c>
      <c r="R524" s="7" t="str">
        <f>IF('Port Bloomberg'!R524="","",'Port Bloomberg'!R524)</f>
        <v/>
      </c>
      <c r="S524" s="5" t="str">
        <f>IF(E524="","",IFERROR(IF(MATCH(E524,[1]Instrumentos!$D:$D,0)&gt;0,1,0),0))</f>
        <v/>
      </c>
      <c r="T524" s="5" t="str">
        <f>IF(E524="","",IFERROR(IF(MATCH(E524,'Lista de excepciones'!$E:$E,0)&gt;0,1,0),0))</f>
        <v/>
      </c>
      <c r="U524" s="6" t="str">
        <f t="shared" si="9"/>
        <v/>
      </c>
    </row>
    <row r="525" spans="1:21" hidden="1" x14ac:dyDescent="0.25">
      <c r="A525" s="7" t="str">
        <f>IF('Port Bloomberg'!A525="","",'Port Bloomberg'!A525)</f>
        <v/>
      </c>
      <c r="B525" s="7" t="str">
        <f>IF('Port Bloomberg'!B525="","",'Port Bloomberg'!B525)</f>
        <v/>
      </c>
      <c r="C525" s="7" t="str">
        <f>IF('Port Bloomberg'!C525="","",'Port Bloomberg'!C525)</f>
        <v/>
      </c>
      <c r="D525" s="7" t="str">
        <f>IF('Port Bloomberg'!D525="","",'Port Bloomberg'!D525)</f>
        <v/>
      </c>
      <c r="E525" s="7" t="str">
        <f>IF('Port Bloomberg'!E525="","",'Port Bloomberg'!E525)</f>
        <v/>
      </c>
      <c r="F525" s="7" t="str">
        <f>IF('Port Bloomberg'!F525="","",'Port Bloomberg'!F525)</f>
        <v/>
      </c>
      <c r="G525" s="7" t="str">
        <f>IF('Port Bloomberg'!G525="","",'Port Bloomberg'!G525)</f>
        <v/>
      </c>
      <c r="H525" s="7" t="str">
        <f>IF('Port Bloomberg'!H525="","",'Port Bloomberg'!H525)</f>
        <v/>
      </c>
      <c r="I525" s="7" t="str">
        <f>IF('Port Bloomberg'!I525="","",'Port Bloomberg'!I525)</f>
        <v/>
      </c>
      <c r="J525" s="7" t="str">
        <f>IF('Port Bloomberg'!J525="","",'Port Bloomberg'!J525)</f>
        <v/>
      </c>
      <c r="K525" s="7" t="str">
        <f>IF('Port Bloomberg'!K525="","",'Port Bloomberg'!K525)</f>
        <v/>
      </c>
      <c r="L525" s="7" t="str">
        <f>IF('Port Bloomberg'!L525="","",'Port Bloomberg'!L525)</f>
        <v/>
      </c>
      <c r="M525" s="7" t="str">
        <f>IF('Port Bloomberg'!M525="","",'Port Bloomberg'!M525)</f>
        <v/>
      </c>
      <c r="N525" s="7" t="str">
        <f>IF('Port Bloomberg'!N525="","",'Port Bloomberg'!N525)</f>
        <v/>
      </c>
      <c r="O525" s="7" t="str">
        <f>IF('Port Bloomberg'!O525="","",'Port Bloomberg'!O525)</f>
        <v/>
      </c>
      <c r="P525" s="7" t="str">
        <f>IF('Port Bloomberg'!P525="","",'Port Bloomberg'!P525)</f>
        <v/>
      </c>
      <c r="Q525" s="7" t="str">
        <f>IF('Port Bloomberg'!Q525="","",'Port Bloomberg'!Q525)</f>
        <v/>
      </c>
      <c r="R525" s="7" t="str">
        <f>IF('Port Bloomberg'!R525="","",'Port Bloomberg'!R525)</f>
        <v/>
      </c>
      <c r="S525" s="5" t="str">
        <f>IF(E525="","",IFERROR(IF(MATCH(E525,[1]Instrumentos!$D:$D,0)&gt;0,1,0),0))</f>
        <v/>
      </c>
      <c r="T525" s="5" t="str">
        <f>IF(E525="","",IFERROR(IF(MATCH(E525,'Lista de excepciones'!$E:$E,0)&gt;0,1,0),0))</f>
        <v/>
      </c>
      <c r="U525" s="6" t="str">
        <f t="shared" si="9"/>
        <v/>
      </c>
    </row>
    <row r="526" spans="1:21" hidden="1" x14ac:dyDescent="0.25">
      <c r="A526" s="7" t="str">
        <f>IF('Port Bloomberg'!A526="","",'Port Bloomberg'!A526)</f>
        <v/>
      </c>
      <c r="B526" s="7" t="str">
        <f>IF('Port Bloomberg'!B526="","",'Port Bloomberg'!B526)</f>
        <v/>
      </c>
      <c r="C526" s="7" t="str">
        <f>IF('Port Bloomberg'!C526="","",'Port Bloomberg'!C526)</f>
        <v/>
      </c>
      <c r="D526" s="7" t="str">
        <f>IF('Port Bloomberg'!D526="","",'Port Bloomberg'!D526)</f>
        <v/>
      </c>
      <c r="E526" s="7" t="str">
        <f>IF('Port Bloomberg'!E526="","",'Port Bloomberg'!E526)</f>
        <v/>
      </c>
      <c r="F526" s="7" t="str">
        <f>IF('Port Bloomberg'!F526="","",'Port Bloomberg'!F526)</f>
        <v/>
      </c>
      <c r="G526" s="7" t="str">
        <f>IF('Port Bloomberg'!G526="","",'Port Bloomberg'!G526)</f>
        <v/>
      </c>
      <c r="H526" s="7" t="str">
        <f>IF('Port Bloomberg'!H526="","",'Port Bloomberg'!H526)</f>
        <v/>
      </c>
      <c r="I526" s="7" t="str">
        <f>IF('Port Bloomberg'!I526="","",'Port Bloomberg'!I526)</f>
        <v/>
      </c>
      <c r="J526" s="7" t="str">
        <f>IF('Port Bloomberg'!J526="","",'Port Bloomberg'!J526)</f>
        <v/>
      </c>
      <c r="K526" s="7" t="str">
        <f>IF('Port Bloomberg'!K526="","",'Port Bloomberg'!K526)</f>
        <v/>
      </c>
      <c r="L526" s="7" t="str">
        <f>IF('Port Bloomberg'!L526="","",'Port Bloomberg'!L526)</f>
        <v/>
      </c>
      <c r="M526" s="7" t="str">
        <f>IF('Port Bloomberg'!M526="","",'Port Bloomberg'!M526)</f>
        <v/>
      </c>
      <c r="N526" s="7" t="str">
        <f>IF('Port Bloomberg'!N526="","",'Port Bloomberg'!N526)</f>
        <v/>
      </c>
      <c r="O526" s="7" t="str">
        <f>IF('Port Bloomberg'!O526="","",'Port Bloomberg'!O526)</f>
        <v/>
      </c>
      <c r="P526" s="7" t="str">
        <f>IF('Port Bloomberg'!P526="","",'Port Bloomberg'!P526)</f>
        <v/>
      </c>
      <c r="Q526" s="7" t="str">
        <f>IF('Port Bloomberg'!Q526="","",'Port Bloomberg'!Q526)</f>
        <v/>
      </c>
      <c r="R526" s="7" t="str">
        <f>IF('Port Bloomberg'!R526="","",'Port Bloomberg'!R526)</f>
        <v/>
      </c>
      <c r="S526" s="5" t="str">
        <f>IF(E526="","",IFERROR(IF(MATCH(E526,[1]Instrumentos!$D:$D,0)&gt;0,1,0),0))</f>
        <v/>
      </c>
      <c r="T526" s="5" t="str">
        <f>IF(E526="","",IFERROR(IF(MATCH(E526,'Lista de excepciones'!$E:$E,0)&gt;0,1,0),0))</f>
        <v/>
      </c>
      <c r="U526" s="6" t="str">
        <f t="shared" si="9"/>
        <v/>
      </c>
    </row>
    <row r="527" spans="1:21" hidden="1" x14ac:dyDescent="0.25">
      <c r="A527" s="7" t="str">
        <f>IF('Port Bloomberg'!A527="","",'Port Bloomberg'!A527)</f>
        <v/>
      </c>
      <c r="B527" s="7" t="str">
        <f>IF('Port Bloomberg'!B527="","",'Port Bloomberg'!B527)</f>
        <v/>
      </c>
      <c r="C527" s="7" t="str">
        <f>IF('Port Bloomberg'!C527="","",'Port Bloomberg'!C527)</f>
        <v/>
      </c>
      <c r="D527" s="7" t="str">
        <f>IF('Port Bloomberg'!D527="","",'Port Bloomberg'!D527)</f>
        <v/>
      </c>
      <c r="E527" s="7" t="str">
        <f>IF('Port Bloomberg'!E527="","",'Port Bloomberg'!E527)</f>
        <v/>
      </c>
      <c r="F527" s="7" t="str">
        <f>IF('Port Bloomberg'!F527="","",'Port Bloomberg'!F527)</f>
        <v/>
      </c>
      <c r="G527" s="7" t="str">
        <f>IF('Port Bloomberg'!G527="","",'Port Bloomberg'!G527)</f>
        <v/>
      </c>
      <c r="H527" s="7" t="str">
        <f>IF('Port Bloomberg'!H527="","",'Port Bloomberg'!H527)</f>
        <v/>
      </c>
      <c r="I527" s="7" t="str">
        <f>IF('Port Bloomberg'!I527="","",'Port Bloomberg'!I527)</f>
        <v/>
      </c>
      <c r="J527" s="7" t="str">
        <f>IF('Port Bloomberg'!J527="","",'Port Bloomberg'!J527)</f>
        <v/>
      </c>
      <c r="K527" s="7" t="str">
        <f>IF('Port Bloomberg'!K527="","",'Port Bloomberg'!K527)</f>
        <v/>
      </c>
      <c r="L527" s="7" t="str">
        <f>IF('Port Bloomberg'!L527="","",'Port Bloomberg'!L527)</f>
        <v/>
      </c>
      <c r="M527" s="7" t="str">
        <f>IF('Port Bloomberg'!M527="","",'Port Bloomberg'!M527)</f>
        <v/>
      </c>
      <c r="N527" s="7" t="str">
        <f>IF('Port Bloomberg'!N527="","",'Port Bloomberg'!N527)</f>
        <v/>
      </c>
      <c r="O527" s="7" t="str">
        <f>IF('Port Bloomberg'!O527="","",'Port Bloomberg'!O527)</f>
        <v/>
      </c>
      <c r="P527" s="7" t="str">
        <f>IF('Port Bloomberg'!P527="","",'Port Bloomberg'!P527)</f>
        <v/>
      </c>
      <c r="Q527" s="7" t="str">
        <f>IF('Port Bloomberg'!Q527="","",'Port Bloomberg'!Q527)</f>
        <v/>
      </c>
      <c r="R527" s="7" t="str">
        <f>IF('Port Bloomberg'!R527="","",'Port Bloomberg'!R527)</f>
        <v/>
      </c>
      <c r="S527" s="5" t="str">
        <f>IF(E527="","",IFERROR(IF(MATCH(E527,[1]Instrumentos!$D:$D,0)&gt;0,1,0),0))</f>
        <v/>
      </c>
      <c r="T527" s="5" t="str">
        <f>IF(E527="","",IFERROR(IF(MATCH(E527,'Lista de excepciones'!$E:$E,0)&gt;0,1,0),0))</f>
        <v/>
      </c>
      <c r="U527" s="6" t="str">
        <f t="shared" si="9"/>
        <v/>
      </c>
    </row>
    <row r="528" spans="1:21" hidden="1" x14ac:dyDescent="0.25">
      <c r="A528" s="7" t="str">
        <f>IF('Port Bloomberg'!A528="","",'Port Bloomberg'!A528)</f>
        <v/>
      </c>
      <c r="B528" s="7" t="str">
        <f>IF('Port Bloomberg'!B528="","",'Port Bloomberg'!B528)</f>
        <v/>
      </c>
      <c r="C528" s="7" t="str">
        <f>IF('Port Bloomberg'!C528="","",'Port Bloomberg'!C528)</f>
        <v/>
      </c>
      <c r="D528" s="7" t="str">
        <f>IF('Port Bloomberg'!D528="","",'Port Bloomberg'!D528)</f>
        <v/>
      </c>
      <c r="E528" s="7" t="str">
        <f>IF('Port Bloomberg'!E528="","",'Port Bloomberg'!E528)</f>
        <v/>
      </c>
      <c r="F528" s="7" t="str">
        <f>IF('Port Bloomberg'!F528="","",'Port Bloomberg'!F528)</f>
        <v/>
      </c>
      <c r="G528" s="7" t="str">
        <f>IF('Port Bloomberg'!G528="","",'Port Bloomberg'!G528)</f>
        <v/>
      </c>
      <c r="H528" s="7" t="str">
        <f>IF('Port Bloomberg'!H528="","",'Port Bloomberg'!H528)</f>
        <v/>
      </c>
      <c r="I528" s="7" t="str">
        <f>IF('Port Bloomberg'!I528="","",'Port Bloomberg'!I528)</f>
        <v/>
      </c>
      <c r="J528" s="7" t="str">
        <f>IF('Port Bloomberg'!J528="","",'Port Bloomberg'!J528)</f>
        <v/>
      </c>
      <c r="K528" s="7" t="str">
        <f>IF('Port Bloomberg'!K528="","",'Port Bloomberg'!K528)</f>
        <v/>
      </c>
      <c r="L528" s="7" t="str">
        <f>IF('Port Bloomberg'!L528="","",'Port Bloomberg'!L528)</f>
        <v/>
      </c>
      <c r="M528" s="7" t="str">
        <f>IF('Port Bloomberg'!M528="","",'Port Bloomberg'!M528)</f>
        <v/>
      </c>
      <c r="N528" s="7" t="str">
        <f>IF('Port Bloomberg'!N528="","",'Port Bloomberg'!N528)</f>
        <v/>
      </c>
      <c r="O528" s="7" t="str">
        <f>IF('Port Bloomberg'!O528="","",'Port Bloomberg'!O528)</f>
        <v/>
      </c>
      <c r="P528" s="7" t="str">
        <f>IF('Port Bloomberg'!P528="","",'Port Bloomberg'!P528)</f>
        <v/>
      </c>
      <c r="Q528" s="7" t="str">
        <f>IF('Port Bloomberg'!Q528="","",'Port Bloomberg'!Q528)</f>
        <v/>
      </c>
      <c r="R528" s="7" t="str">
        <f>IF('Port Bloomberg'!R528="","",'Port Bloomberg'!R528)</f>
        <v/>
      </c>
      <c r="S528" s="5" t="str">
        <f>IF(E528="","",IFERROR(IF(MATCH(E528,[1]Instrumentos!$D:$D,0)&gt;0,1,0),0))</f>
        <v/>
      </c>
      <c r="T528" s="5" t="str">
        <f>IF(E528="","",IFERROR(IF(MATCH(E528,'Lista de excepciones'!$E:$E,0)&gt;0,1,0),0))</f>
        <v/>
      </c>
      <c r="U528" s="6" t="str">
        <f t="shared" si="9"/>
        <v/>
      </c>
    </row>
    <row r="529" spans="1:21" hidden="1" x14ac:dyDescent="0.25">
      <c r="A529" s="7" t="str">
        <f>IF('Port Bloomberg'!A529="","",'Port Bloomberg'!A529)</f>
        <v/>
      </c>
      <c r="B529" s="7" t="str">
        <f>IF('Port Bloomberg'!B529="","",'Port Bloomberg'!B529)</f>
        <v/>
      </c>
      <c r="C529" s="7" t="str">
        <f>IF('Port Bloomberg'!C529="","",'Port Bloomberg'!C529)</f>
        <v/>
      </c>
      <c r="D529" s="7" t="str">
        <f>IF('Port Bloomberg'!D529="","",'Port Bloomberg'!D529)</f>
        <v/>
      </c>
      <c r="E529" s="7" t="str">
        <f>IF('Port Bloomberg'!E529="","",'Port Bloomberg'!E529)</f>
        <v/>
      </c>
      <c r="F529" s="7" t="str">
        <f>IF('Port Bloomberg'!F529="","",'Port Bloomberg'!F529)</f>
        <v/>
      </c>
      <c r="G529" s="7" t="str">
        <f>IF('Port Bloomberg'!G529="","",'Port Bloomberg'!G529)</f>
        <v/>
      </c>
      <c r="H529" s="7" t="str">
        <f>IF('Port Bloomberg'!H529="","",'Port Bloomberg'!H529)</f>
        <v/>
      </c>
      <c r="I529" s="7" t="str">
        <f>IF('Port Bloomberg'!I529="","",'Port Bloomberg'!I529)</f>
        <v/>
      </c>
      <c r="J529" s="7" t="str">
        <f>IF('Port Bloomberg'!J529="","",'Port Bloomberg'!J529)</f>
        <v/>
      </c>
      <c r="K529" s="7" t="str">
        <f>IF('Port Bloomberg'!K529="","",'Port Bloomberg'!K529)</f>
        <v/>
      </c>
      <c r="L529" s="7" t="str">
        <f>IF('Port Bloomberg'!L529="","",'Port Bloomberg'!L529)</f>
        <v/>
      </c>
      <c r="M529" s="7" t="str">
        <f>IF('Port Bloomberg'!M529="","",'Port Bloomberg'!M529)</f>
        <v/>
      </c>
      <c r="N529" s="7" t="str">
        <f>IF('Port Bloomberg'!N529="","",'Port Bloomberg'!N529)</f>
        <v/>
      </c>
      <c r="O529" s="7" t="str">
        <f>IF('Port Bloomberg'!O529="","",'Port Bloomberg'!O529)</f>
        <v/>
      </c>
      <c r="P529" s="7" t="str">
        <f>IF('Port Bloomberg'!P529="","",'Port Bloomberg'!P529)</f>
        <v/>
      </c>
      <c r="Q529" s="7" t="str">
        <f>IF('Port Bloomberg'!Q529="","",'Port Bloomberg'!Q529)</f>
        <v/>
      </c>
      <c r="R529" s="7" t="str">
        <f>IF('Port Bloomberg'!R529="","",'Port Bloomberg'!R529)</f>
        <v/>
      </c>
      <c r="S529" s="5" t="str">
        <f>IF(E529="","",IFERROR(IF(MATCH(E529,[1]Instrumentos!$D:$D,0)&gt;0,1,0),0))</f>
        <v/>
      </c>
      <c r="T529" s="5" t="str">
        <f>IF(E529="","",IFERROR(IF(MATCH(E529,'Lista de excepciones'!$E:$E,0)&gt;0,1,0),0))</f>
        <v/>
      </c>
      <c r="U529" s="6" t="str">
        <f t="shared" si="9"/>
        <v/>
      </c>
    </row>
    <row r="530" spans="1:21" hidden="1" x14ac:dyDescent="0.25">
      <c r="A530" s="7" t="str">
        <f>IF('Port Bloomberg'!A530="","",'Port Bloomberg'!A530)</f>
        <v/>
      </c>
      <c r="B530" s="7" t="str">
        <f>IF('Port Bloomberg'!B530="","",'Port Bloomberg'!B530)</f>
        <v/>
      </c>
      <c r="C530" s="7" t="str">
        <f>IF('Port Bloomberg'!C530="","",'Port Bloomberg'!C530)</f>
        <v/>
      </c>
      <c r="D530" s="7" t="str">
        <f>IF('Port Bloomberg'!D530="","",'Port Bloomberg'!D530)</f>
        <v/>
      </c>
      <c r="E530" s="7" t="str">
        <f>IF('Port Bloomberg'!E530="","",'Port Bloomberg'!E530)</f>
        <v/>
      </c>
      <c r="F530" s="7" t="str">
        <f>IF('Port Bloomberg'!F530="","",'Port Bloomberg'!F530)</f>
        <v/>
      </c>
      <c r="G530" s="7" t="str">
        <f>IF('Port Bloomberg'!G530="","",'Port Bloomberg'!G530)</f>
        <v/>
      </c>
      <c r="H530" s="7" t="str">
        <f>IF('Port Bloomberg'!H530="","",'Port Bloomberg'!H530)</f>
        <v/>
      </c>
      <c r="I530" s="7" t="str">
        <f>IF('Port Bloomberg'!I530="","",'Port Bloomberg'!I530)</f>
        <v/>
      </c>
      <c r="J530" s="7" t="str">
        <f>IF('Port Bloomberg'!J530="","",'Port Bloomberg'!J530)</f>
        <v/>
      </c>
      <c r="K530" s="7" t="str">
        <f>IF('Port Bloomberg'!K530="","",'Port Bloomberg'!K530)</f>
        <v/>
      </c>
      <c r="L530" s="7" t="str">
        <f>IF('Port Bloomberg'!L530="","",'Port Bloomberg'!L530)</f>
        <v/>
      </c>
      <c r="M530" s="7" t="str">
        <f>IF('Port Bloomberg'!M530="","",'Port Bloomberg'!M530)</f>
        <v/>
      </c>
      <c r="N530" s="7" t="str">
        <f>IF('Port Bloomberg'!N530="","",'Port Bloomberg'!N530)</f>
        <v/>
      </c>
      <c r="O530" s="7" t="str">
        <f>IF('Port Bloomberg'!O530="","",'Port Bloomberg'!O530)</f>
        <v/>
      </c>
      <c r="P530" s="7" t="str">
        <f>IF('Port Bloomberg'!P530="","",'Port Bloomberg'!P530)</f>
        <v/>
      </c>
      <c r="Q530" s="7" t="str">
        <f>IF('Port Bloomberg'!Q530="","",'Port Bloomberg'!Q530)</f>
        <v/>
      </c>
      <c r="R530" s="7" t="str">
        <f>IF('Port Bloomberg'!R530="","",'Port Bloomberg'!R530)</f>
        <v/>
      </c>
      <c r="S530" s="5" t="str">
        <f>IF(E530="","",IFERROR(IF(MATCH(E530,[1]Instrumentos!$D:$D,0)&gt;0,1,0),0))</f>
        <v/>
      </c>
      <c r="T530" s="5" t="str">
        <f>IF(E530="","",IFERROR(IF(MATCH(E530,'Lista de excepciones'!$E:$E,0)&gt;0,1,0),0))</f>
        <v/>
      </c>
      <c r="U530" s="6" t="str">
        <f t="shared" si="9"/>
        <v/>
      </c>
    </row>
    <row r="531" spans="1:21" hidden="1" x14ac:dyDescent="0.25">
      <c r="A531" s="7" t="str">
        <f>IF('Port Bloomberg'!A531="","",'Port Bloomberg'!A531)</f>
        <v/>
      </c>
      <c r="B531" s="7" t="str">
        <f>IF('Port Bloomberg'!B531="","",'Port Bloomberg'!B531)</f>
        <v/>
      </c>
      <c r="C531" s="7" t="str">
        <f>IF('Port Bloomberg'!C531="","",'Port Bloomberg'!C531)</f>
        <v/>
      </c>
      <c r="D531" s="7" t="str">
        <f>IF('Port Bloomberg'!D531="","",'Port Bloomberg'!D531)</f>
        <v/>
      </c>
      <c r="E531" s="7" t="str">
        <f>IF('Port Bloomberg'!E531="","",'Port Bloomberg'!E531)</f>
        <v/>
      </c>
      <c r="F531" s="7" t="str">
        <f>IF('Port Bloomberg'!F531="","",'Port Bloomberg'!F531)</f>
        <v/>
      </c>
      <c r="G531" s="7" t="str">
        <f>IF('Port Bloomberg'!G531="","",'Port Bloomberg'!G531)</f>
        <v/>
      </c>
      <c r="H531" s="7" t="str">
        <f>IF('Port Bloomberg'!H531="","",'Port Bloomberg'!H531)</f>
        <v/>
      </c>
      <c r="I531" s="7" t="str">
        <f>IF('Port Bloomberg'!I531="","",'Port Bloomberg'!I531)</f>
        <v/>
      </c>
      <c r="J531" s="7" t="str">
        <f>IF('Port Bloomberg'!J531="","",'Port Bloomberg'!J531)</f>
        <v/>
      </c>
      <c r="K531" s="7" t="str">
        <f>IF('Port Bloomberg'!K531="","",'Port Bloomberg'!K531)</f>
        <v/>
      </c>
      <c r="L531" s="7" t="str">
        <f>IF('Port Bloomberg'!L531="","",'Port Bloomberg'!L531)</f>
        <v/>
      </c>
      <c r="M531" s="7" t="str">
        <f>IF('Port Bloomberg'!M531="","",'Port Bloomberg'!M531)</f>
        <v/>
      </c>
      <c r="N531" s="7" t="str">
        <f>IF('Port Bloomberg'!N531="","",'Port Bloomberg'!N531)</f>
        <v/>
      </c>
      <c r="O531" s="7" t="str">
        <f>IF('Port Bloomberg'!O531="","",'Port Bloomberg'!O531)</f>
        <v/>
      </c>
      <c r="P531" s="7" t="str">
        <f>IF('Port Bloomberg'!P531="","",'Port Bloomberg'!P531)</f>
        <v/>
      </c>
      <c r="Q531" s="7" t="str">
        <f>IF('Port Bloomberg'!Q531="","",'Port Bloomberg'!Q531)</f>
        <v/>
      </c>
      <c r="R531" s="7" t="str">
        <f>IF('Port Bloomberg'!R531="","",'Port Bloomberg'!R531)</f>
        <v/>
      </c>
      <c r="S531" s="5" t="str">
        <f>IF(E531="","",IFERROR(IF(MATCH(E531,[1]Instrumentos!$D:$D,0)&gt;0,1,0),0))</f>
        <v/>
      </c>
      <c r="T531" s="5" t="str">
        <f>IF(E531="","",IFERROR(IF(MATCH(E531,'Lista de excepciones'!$E:$E,0)&gt;0,1,0),0))</f>
        <v/>
      </c>
      <c r="U531" s="6" t="str">
        <f t="shared" si="9"/>
        <v/>
      </c>
    </row>
    <row r="532" spans="1:21" hidden="1" x14ac:dyDescent="0.25">
      <c r="A532" s="7" t="str">
        <f>IF('Port Bloomberg'!A532="","",'Port Bloomberg'!A532)</f>
        <v/>
      </c>
      <c r="B532" s="7" t="str">
        <f>IF('Port Bloomberg'!B532="","",'Port Bloomberg'!B532)</f>
        <v/>
      </c>
      <c r="C532" s="7" t="str">
        <f>IF('Port Bloomberg'!C532="","",'Port Bloomberg'!C532)</f>
        <v/>
      </c>
      <c r="D532" s="7" t="str">
        <f>IF('Port Bloomberg'!D532="","",'Port Bloomberg'!D532)</f>
        <v/>
      </c>
      <c r="E532" s="7" t="str">
        <f>IF('Port Bloomberg'!E532="","",'Port Bloomberg'!E532)</f>
        <v/>
      </c>
      <c r="F532" s="7" t="str">
        <f>IF('Port Bloomberg'!F532="","",'Port Bloomberg'!F532)</f>
        <v/>
      </c>
      <c r="G532" s="7" t="str">
        <f>IF('Port Bloomberg'!G532="","",'Port Bloomberg'!G532)</f>
        <v/>
      </c>
      <c r="H532" s="7" t="str">
        <f>IF('Port Bloomberg'!H532="","",'Port Bloomberg'!H532)</f>
        <v/>
      </c>
      <c r="I532" s="7" t="str">
        <f>IF('Port Bloomberg'!I532="","",'Port Bloomberg'!I532)</f>
        <v/>
      </c>
      <c r="J532" s="7" t="str">
        <f>IF('Port Bloomberg'!J532="","",'Port Bloomberg'!J532)</f>
        <v/>
      </c>
      <c r="K532" s="7" t="str">
        <f>IF('Port Bloomberg'!K532="","",'Port Bloomberg'!K532)</f>
        <v/>
      </c>
      <c r="L532" s="7" t="str">
        <f>IF('Port Bloomberg'!L532="","",'Port Bloomberg'!L532)</f>
        <v/>
      </c>
      <c r="M532" s="7" t="str">
        <f>IF('Port Bloomberg'!M532="","",'Port Bloomberg'!M532)</f>
        <v/>
      </c>
      <c r="N532" s="7" t="str">
        <f>IF('Port Bloomberg'!N532="","",'Port Bloomberg'!N532)</f>
        <v/>
      </c>
      <c r="O532" s="7" t="str">
        <f>IF('Port Bloomberg'!O532="","",'Port Bloomberg'!O532)</f>
        <v/>
      </c>
      <c r="P532" s="7" t="str">
        <f>IF('Port Bloomberg'!P532="","",'Port Bloomberg'!P532)</f>
        <v/>
      </c>
      <c r="Q532" s="7" t="str">
        <f>IF('Port Bloomberg'!Q532="","",'Port Bloomberg'!Q532)</f>
        <v/>
      </c>
      <c r="R532" s="7" t="str">
        <f>IF('Port Bloomberg'!R532="","",'Port Bloomberg'!R532)</f>
        <v/>
      </c>
      <c r="S532" s="5" t="str">
        <f>IF(E532="","",IFERROR(IF(MATCH(E532,[1]Instrumentos!$D:$D,0)&gt;0,1,0),0))</f>
        <v/>
      </c>
      <c r="T532" s="5" t="str">
        <f>IF(E532="","",IFERROR(IF(MATCH(E532,'Lista de excepciones'!$E:$E,0)&gt;0,1,0),0))</f>
        <v/>
      </c>
      <c r="U532" s="6" t="str">
        <f t="shared" si="9"/>
        <v/>
      </c>
    </row>
    <row r="533" spans="1:21" hidden="1" x14ac:dyDescent="0.25">
      <c r="A533" s="7" t="str">
        <f>IF('Port Bloomberg'!A533="","",'Port Bloomberg'!A533)</f>
        <v/>
      </c>
      <c r="B533" s="7" t="str">
        <f>IF('Port Bloomberg'!B533="","",'Port Bloomberg'!B533)</f>
        <v/>
      </c>
      <c r="C533" s="7" t="str">
        <f>IF('Port Bloomberg'!C533="","",'Port Bloomberg'!C533)</f>
        <v/>
      </c>
      <c r="D533" s="7" t="str">
        <f>IF('Port Bloomberg'!D533="","",'Port Bloomberg'!D533)</f>
        <v/>
      </c>
      <c r="E533" s="7" t="str">
        <f>IF('Port Bloomberg'!E533="","",'Port Bloomberg'!E533)</f>
        <v/>
      </c>
      <c r="F533" s="7" t="str">
        <f>IF('Port Bloomberg'!F533="","",'Port Bloomberg'!F533)</f>
        <v/>
      </c>
      <c r="G533" s="7" t="str">
        <f>IF('Port Bloomberg'!G533="","",'Port Bloomberg'!G533)</f>
        <v/>
      </c>
      <c r="H533" s="7" t="str">
        <f>IF('Port Bloomberg'!H533="","",'Port Bloomberg'!H533)</f>
        <v/>
      </c>
      <c r="I533" s="7" t="str">
        <f>IF('Port Bloomberg'!I533="","",'Port Bloomberg'!I533)</f>
        <v/>
      </c>
      <c r="J533" s="7" t="str">
        <f>IF('Port Bloomberg'!J533="","",'Port Bloomberg'!J533)</f>
        <v/>
      </c>
      <c r="K533" s="7" t="str">
        <f>IF('Port Bloomberg'!K533="","",'Port Bloomberg'!K533)</f>
        <v/>
      </c>
      <c r="L533" s="7" t="str">
        <f>IF('Port Bloomberg'!L533="","",'Port Bloomberg'!L533)</f>
        <v/>
      </c>
      <c r="M533" s="7" t="str">
        <f>IF('Port Bloomberg'!M533="","",'Port Bloomberg'!M533)</f>
        <v/>
      </c>
      <c r="N533" s="7" t="str">
        <f>IF('Port Bloomberg'!N533="","",'Port Bloomberg'!N533)</f>
        <v/>
      </c>
      <c r="O533" s="7" t="str">
        <f>IF('Port Bloomberg'!O533="","",'Port Bloomberg'!O533)</f>
        <v/>
      </c>
      <c r="P533" s="7" t="str">
        <f>IF('Port Bloomberg'!P533="","",'Port Bloomberg'!P533)</f>
        <v/>
      </c>
      <c r="Q533" s="7" t="str">
        <f>IF('Port Bloomberg'!Q533="","",'Port Bloomberg'!Q533)</f>
        <v/>
      </c>
      <c r="R533" s="7" t="str">
        <f>IF('Port Bloomberg'!R533="","",'Port Bloomberg'!R533)</f>
        <v/>
      </c>
      <c r="S533" s="5" t="str">
        <f>IF(E533="","",IFERROR(IF(MATCH(E533,[1]Instrumentos!$D:$D,0)&gt;0,1,0),0))</f>
        <v/>
      </c>
      <c r="T533" s="5" t="str">
        <f>IF(E533="","",IFERROR(IF(MATCH(E533,'Lista de excepciones'!$E:$E,0)&gt;0,1,0),0))</f>
        <v/>
      </c>
      <c r="U533" s="6" t="str">
        <f t="shared" si="9"/>
        <v/>
      </c>
    </row>
    <row r="534" spans="1:21" hidden="1" x14ac:dyDescent="0.25">
      <c r="A534" s="7" t="str">
        <f>IF('Port Bloomberg'!A534="","",'Port Bloomberg'!A534)</f>
        <v/>
      </c>
      <c r="B534" s="7" t="str">
        <f>IF('Port Bloomberg'!B534="","",'Port Bloomberg'!B534)</f>
        <v/>
      </c>
      <c r="C534" s="7" t="str">
        <f>IF('Port Bloomberg'!C534="","",'Port Bloomberg'!C534)</f>
        <v/>
      </c>
      <c r="D534" s="7" t="str">
        <f>IF('Port Bloomberg'!D534="","",'Port Bloomberg'!D534)</f>
        <v/>
      </c>
      <c r="E534" s="7" t="str">
        <f>IF('Port Bloomberg'!E534="","",'Port Bloomberg'!E534)</f>
        <v/>
      </c>
      <c r="F534" s="7" t="str">
        <f>IF('Port Bloomberg'!F534="","",'Port Bloomberg'!F534)</f>
        <v/>
      </c>
      <c r="G534" s="7" t="str">
        <f>IF('Port Bloomberg'!G534="","",'Port Bloomberg'!G534)</f>
        <v/>
      </c>
      <c r="H534" s="7" t="str">
        <f>IF('Port Bloomberg'!H534="","",'Port Bloomberg'!H534)</f>
        <v/>
      </c>
      <c r="I534" s="7" t="str">
        <f>IF('Port Bloomberg'!I534="","",'Port Bloomberg'!I534)</f>
        <v/>
      </c>
      <c r="J534" s="7" t="str">
        <f>IF('Port Bloomberg'!J534="","",'Port Bloomberg'!J534)</f>
        <v/>
      </c>
      <c r="K534" s="7" t="str">
        <f>IF('Port Bloomberg'!K534="","",'Port Bloomberg'!K534)</f>
        <v/>
      </c>
      <c r="L534" s="7" t="str">
        <f>IF('Port Bloomberg'!L534="","",'Port Bloomberg'!L534)</f>
        <v/>
      </c>
      <c r="M534" s="7" t="str">
        <f>IF('Port Bloomberg'!M534="","",'Port Bloomberg'!M534)</f>
        <v/>
      </c>
      <c r="N534" s="7" t="str">
        <f>IF('Port Bloomberg'!N534="","",'Port Bloomberg'!N534)</f>
        <v/>
      </c>
      <c r="O534" s="7" t="str">
        <f>IF('Port Bloomberg'!O534="","",'Port Bloomberg'!O534)</f>
        <v/>
      </c>
      <c r="P534" s="7" t="str">
        <f>IF('Port Bloomberg'!P534="","",'Port Bloomberg'!P534)</f>
        <v/>
      </c>
      <c r="Q534" s="7" t="str">
        <f>IF('Port Bloomberg'!Q534="","",'Port Bloomberg'!Q534)</f>
        <v/>
      </c>
      <c r="R534" s="7" t="str">
        <f>IF('Port Bloomberg'!R534="","",'Port Bloomberg'!R534)</f>
        <v/>
      </c>
      <c r="S534" s="5" t="str">
        <f>IF(E534="","",IFERROR(IF(MATCH(E534,[1]Instrumentos!$D:$D,0)&gt;0,1,0),0))</f>
        <v/>
      </c>
      <c r="T534" s="5" t="str">
        <f>IF(E534="","",IFERROR(IF(MATCH(E534,'Lista de excepciones'!$E:$E,0)&gt;0,1,0),0))</f>
        <v/>
      </c>
      <c r="U534" s="6" t="str">
        <f t="shared" si="9"/>
        <v/>
      </c>
    </row>
    <row r="535" spans="1:21" hidden="1" x14ac:dyDescent="0.25">
      <c r="A535" s="7" t="str">
        <f>IF('Port Bloomberg'!A535="","",'Port Bloomberg'!A535)</f>
        <v/>
      </c>
      <c r="B535" s="7" t="str">
        <f>IF('Port Bloomberg'!B535="","",'Port Bloomberg'!B535)</f>
        <v/>
      </c>
      <c r="C535" s="7" t="str">
        <f>IF('Port Bloomberg'!C535="","",'Port Bloomberg'!C535)</f>
        <v/>
      </c>
      <c r="D535" s="7" t="str">
        <f>IF('Port Bloomberg'!D535="","",'Port Bloomberg'!D535)</f>
        <v/>
      </c>
      <c r="E535" s="7" t="str">
        <f>IF('Port Bloomberg'!E535="","",'Port Bloomberg'!E535)</f>
        <v/>
      </c>
      <c r="F535" s="7" t="str">
        <f>IF('Port Bloomberg'!F535="","",'Port Bloomberg'!F535)</f>
        <v/>
      </c>
      <c r="G535" s="7" t="str">
        <f>IF('Port Bloomberg'!G535="","",'Port Bloomberg'!G535)</f>
        <v/>
      </c>
      <c r="H535" s="7" t="str">
        <f>IF('Port Bloomberg'!H535="","",'Port Bloomberg'!H535)</f>
        <v/>
      </c>
      <c r="I535" s="7" t="str">
        <f>IF('Port Bloomberg'!I535="","",'Port Bloomberg'!I535)</f>
        <v/>
      </c>
      <c r="J535" s="7" t="str">
        <f>IF('Port Bloomberg'!J535="","",'Port Bloomberg'!J535)</f>
        <v/>
      </c>
      <c r="K535" s="7" t="str">
        <f>IF('Port Bloomberg'!K535="","",'Port Bloomberg'!K535)</f>
        <v/>
      </c>
      <c r="L535" s="7" t="str">
        <f>IF('Port Bloomberg'!L535="","",'Port Bloomberg'!L535)</f>
        <v/>
      </c>
      <c r="M535" s="7" t="str">
        <f>IF('Port Bloomberg'!M535="","",'Port Bloomberg'!M535)</f>
        <v/>
      </c>
      <c r="N535" s="7" t="str">
        <f>IF('Port Bloomberg'!N535="","",'Port Bloomberg'!N535)</f>
        <v/>
      </c>
      <c r="O535" s="7" t="str">
        <f>IF('Port Bloomberg'!O535="","",'Port Bloomberg'!O535)</f>
        <v/>
      </c>
      <c r="P535" s="7" t="str">
        <f>IF('Port Bloomberg'!P535="","",'Port Bloomberg'!P535)</f>
        <v/>
      </c>
      <c r="Q535" s="7" t="str">
        <f>IF('Port Bloomberg'!Q535="","",'Port Bloomberg'!Q535)</f>
        <v/>
      </c>
      <c r="R535" s="7" t="str">
        <f>IF('Port Bloomberg'!R535="","",'Port Bloomberg'!R535)</f>
        <v/>
      </c>
      <c r="S535" s="5" t="str">
        <f>IF(E535="","",IFERROR(IF(MATCH(E535,[1]Instrumentos!$D:$D,0)&gt;0,1,0),0))</f>
        <v/>
      </c>
      <c r="T535" s="5" t="str">
        <f>IF(E535="","",IFERROR(IF(MATCH(E535,'Lista de excepciones'!$E:$E,0)&gt;0,1,0),0))</f>
        <v/>
      </c>
      <c r="U535" s="6" t="str">
        <f t="shared" si="9"/>
        <v/>
      </c>
    </row>
    <row r="536" spans="1:21" hidden="1" x14ac:dyDescent="0.25">
      <c r="A536" s="7" t="str">
        <f>IF('Port Bloomberg'!A536="","",'Port Bloomberg'!A536)</f>
        <v/>
      </c>
      <c r="B536" s="7" t="str">
        <f>IF('Port Bloomberg'!B536="","",'Port Bloomberg'!B536)</f>
        <v/>
      </c>
      <c r="C536" s="7" t="str">
        <f>IF('Port Bloomberg'!C536="","",'Port Bloomberg'!C536)</f>
        <v/>
      </c>
      <c r="D536" s="7" t="str">
        <f>IF('Port Bloomberg'!D536="","",'Port Bloomberg'!D536)</f>
        <v/>
      </c>
      <c r="E536" s="7" t="str">
        <f>IF('Port Bloomberg'!E536="","",'Port Bloomberg'!E536)</f>
        <v/>
      </c>
      <c r="F536" s="7" t="str">
        <f>IF('Port Bloomberg'!F536="","",'Port Bloomberg'!F536)</f>
        <v/>
      </c>
      <c r="G536" s="7" t="str">
        <f>IF('Port Bloomberg'!G536="","",'Port Bloomberg'!G536)</f>
        <v/>
      </c>
      <c r="H536" s="7" t="str">
        <f>IF('Port Bloomberg'!H536="","",'Port Bloomberg'!H536)</f>
        <v/>
      </c>
      <c r="I536" s="7" t="str">
        <f>IF('Port Bloomberg'!I536="","",'Port Bloomberg'!I536)</f>
        <v/>
      </c>
      <c r="J536" s="7" t="str">
        <f>IF('Port Bloomberg'!J536="","",'Port Bloomberg'!J536)</f>
        <v/>
      </c>
      <c r="K536" s="7" t="str">
        <f>IF('Port Bloomberg'!K536="","",'Port Bloomberg'!K536)</f>
        <v/>
      </c>
      <c r="L536" s="7" t="str">
        <f>IF('Port Bloomberg'!L536="","",'Port Bloomberg'!L536)</f>
        <v/>
      </c>
      <c r="M536" s="7" t="str">
        <f>IF('Port Bloomberg'!M536="","",'Port Bloomberg'!M536)</f>
        <v/>
      </c>
      <c r="N536" s="7" t="str">
        <f>IF('Port Bloomberg'!N536="","",'Port Bloomberg'!N536)</f>
        <v/>
      </c>
      <c r="O536" s="7" t="str">
        <f>IF('Port Bloomberg'!O536="","",'Port Bloomberg'!O536)</f>
        <v/>
      </c>
      <c r="P536" s="7" t="str">
        <f>IF('Port Bloomberg'!P536="","",'Port Bloomberg'!P536)</f>
        <v/>
      </c>
      <c r="Q536" s="7" t="str">
        <f>IF('Port Bloomberg'!Q536="","",'Port Bloomberg'!Q536)</f>
        <v/>
      </c>
      <c r="R536" s="7" t="str">
        <f>IF('Port Bloomberg'!R536="","",'Port Bloomberg'!R536)</f>
        <v/>
      </c>
      <c r="S536" s="5" t="str">
        <f>IF(E536="","",IFERROR(IF(MATCH(E536,[1]Instrumentos!$D:$D,0)&gt;0,1,0),0))</f>
        <v/>
      </c>
      <c r="T536" s="5" t="str">
        <f>IF(E536="","",IFERROR(IF(MATCH(E536,'Lista de excepciones'!$E:$E,0)&gt;0,1,0),0))</f>
        <v/>
      </c>
      <c r="U536" s="6" t="str">
        <f t="shared" si="9"/>
        <v/>
      </c>
    </row>
    <row r="537" spans="1:21" hidden="1" x14ac:dyDescent="0.25">
      <c r="A537" s="7" t="str">
        <f>IF('Port Bloomberg'!A537="","",'Port Bloomberg'!A537)</f>
        <v/>
      </c>
      <c r="B537" s="7" t="str">
        <f>IF('Port Bloomberg'!B537="","",'Port Bloomberg'!B537)</f>
        <v/>
      </c>
      <c r="C537" s="7" t="str">
        <f>IF('Port Bloomberg'!C537="","",'Port Bloomberg'!C537)</f>
        <v/>
      </c>
      <c r="D537" s="7" t="str">
        <f>IF('Port Bloomberg'!D537="","",'Port Bloomberg'!D537)</f>
        <v/>
      </c>
      <c r="E537" s="7" t="str">
        <f>IF('Port Bloomberg'!E537="","",'Port Bloomberg'!E537)</f>
        <v/>
      </c>
      <c r="F537" s="7" t="str">
        <f>IF('Port Bloomberg'!F537="","",'Port Bloomberg'!F537)</f>
        <v/>
      </c>
      <c r="G537" s="7" t="str">
        <f>IF('Port Bloomberg'!G537="","",'Port Bloomberg'!G537)</f>
        <v/>
      </c>
      <c r="H537" s="7" t="str">
        <f>IF('Port Bloomberg'!H537="","",'Port Bloomberg'!H537)</f>
        <v/>
      </c>
      <c r="I537" s="7" t="str">
        <f>IF('Port Bloomberg'!I537="","",'Port Bloomberg'!I537)</f>
        <v/>
      </c>
      <c r="J537" s="7" t="str">
        <f>IF('Port Bloomberg'!J537="","",'Port Bloomberg'!J537)</f>
        <v/>
      </c>
      <c r="K537" s="7" t="str">
        <f>IF('Port Bloomberg'!K537="","",'Port Bloomberg'!K537)</f>
        <v/>
      </c>
      <c r="L537" s="7" t="str">
        <f>IF('Port Bloomberg'!L537="","",'Port Bloomberg'!L537)</f>
        <v/>
      </c>
      <c r="M537" s="7" t="str">
        <f>IF('Port Bloomberg'!M537="","",'Port Bloomberg'!M537)</f>
        <v/>
      </c>
      <c r="N537" s="7" t="str">
        <f>IF('Port Bloomberg'!N537="","",'Port Bloomberg'!N537)</f>
        <v/>
      </c>
      <c r="O537" s="7" t="str">
        <f>IF('Port Bloomberg'!O537="","",'Port Bloomberg'!O537)</f>
        <v/>
      </c>
      <c r="P537" s="7" t="str">
        <f>IF('Port Bloomberg'!P537="","",'Port Bloomberg'!P537)</f>
        <v/>
      </c>
      <c r="Q537" s="7" t="str">
        <f>IF('Port Bloomberg'!Q537="","",'Port Bloomberg'!Q537)</f>
        <v/>
      </c>
      <c r="R537" s="7" t="str">
        <f>IF('Port Bloomberg'!R537="","",'Port Bloomberg'!R537)</f>
        <v/>
      </c>
      <c r="S537" s="5" t="str">
        <f>IF(E537="","",IFERROR(IF(MATCH(E537,[1]Instrumentos!$D:$D,0)&gt;0,1,0),0))</f>
        <v/>
      </c>
      <c r="T537" s="5" t="str">
        <f>IF(E537="","",IFERROR(IF(MATCH(E537,'Lista de excepciones'!$E:$E,0)&gt;0,1,0),0))</f>
        <v/>
      </c>
      <c r="U537" s="6" t="str">
        <f t="shared" si="9"/>
        <v/>
      </c>
    </row>
    <row r="538" spans="1:21" hidden="1" x14ac:dyDescent="0.25">
      <c r="A538" s="7" t="str">
        <f>IF('Port Bloomberg'!A538="","",'Port Bloomberg'!A538)</f>
        <v/>
      </c>
      <c r="B538" s="7" t="str">
        <f>IF('Port Bloomberg'!B538="","",'Port Bloomberg'!B538)</f>
        <v/>
      </c>
      <c r="C538" s="7" t="str">
        <f>IF('Port Bloomberg'!C538="","",'Port Bloomberg'!C538)</f>
        <v/>
      </c>
      <c r="D538" s="7" t="str">
        <f>IF('Port Bloomberg'!D538="","",'Port Bloomberg'!D538)</f>
        <v/>
      </c>
      <c r="E538" s="7" t="str">
        <f>IF('Port Bloomberg'!E538="","",'Port Bloomberg'!E538)</f>
        <v/>
      </c>
      <c r="F538" s="7" t="str">
        <f>IF('Port Bloomberg'!F538="","",'Port Bloomberg'!F538)</f>
        <v/>
      </c>
      <c r="G538" s="7" t="str">
        <f>IF('Port Bloomberg'!G538="","",'Port Bloomberg'!G538)</f>
        <v/>
      </c>
      <c r="H538" s="7" t="str">
        <f>IF('Port Bloomberg'!H538="","",'Port Bloomberg'!H538)</f>
        <v/>
      </c>
      <c r="I538" s="7" t="str">
        <f>IF('Port Bloomberg'!I538="","",'Port Bloomberg'!I538)</f>
        <v/>
      </c>
      <c r="J538" s="7" t="str">
        <f>IF('Port Bloomberg'!J538="","",'Port Bloomberg'!J538)</f>
        <v/>
      </c>
      <c r="K538" s="7" t="str">
        <f>IF('Port Bloomberg'!K538="","",'Port Bloomberg'!K538)</f>
        <v/>
      </c>
      <c r="L538" s="7" t="str">
        <f>IF('Port Bloomberg'!L538="","",'Port Bloomberg'!L538)</f>
        <v/>
      </c>
      <c r="M538" s="7" t="str">
        <f>IF('Port Bloomberg'!M538="","",'Port Bloomberg'!M538)</f>
        <v/>
      </c>
      <c r="N538" s="7" t="str">
        <f>IF('Port Bloomberg'!N538="","",'Port Bloomberg'!N538)</f>
        <v/>
      </c>
      <c r="O538" s="7" t="str">
        <f>IF('Port Bloomberg'!O538="","",'Port Bloomberg'!O538)</f>
        <v/>
      </c>
      <c r="P538" s="7" t="str">
        <f>IF('Port Bloomberg'!P538="","",'Port Bloomberg'!P538)</f>
        <v/>
      </c>
      <c r="Q538" s="7" t="str">
        <f>IF('Port Bloomberg'!Q538="","",'Port Bloomberg'!Q538)</f>
        <v/>
      </c>
      <c r="R538" s="7" t="str">
        <f>IF('Port Bloomberg'!R538="","",'Port Bloomberg'!R538)</f>
        <v/>
      </c>
      <c r="S538" s="5" t="str">
        <f>IF(E538="","",IFERROR(IF(MATCH(E538,[1]Instrumentos!$D:$D,0)&gt;0,1,0),0))</f>
        <v/>
      </c>
      <c r="T538" s="5" t="str">
        <f>IF(E538="","",IFERROR(IF(MATCH(E538,'Lista de excepciones'!$E:$E,0)&gt;0,1,0),0))</f>
        <v/>
      </c>
      <c r="U538" s="6" t="str">
        <f t="shared" si="9"/>
        <v/>
      </c>
    </row>
    <row r="539" spans="1:21" hidden="1" x14ac:dyDescent="0.25">
      <c r="A539" s="7" t="str">
        <f>IF('Port Bloomberg'!A539="","",'Port Bloomberg'!A539)</f>
        <v/>
      </c>
      <c r="B539" s="7" t="str">
        <f>IF('Port Bloomberg'!B539="","",'Port Bloomberg'!B539)</f>
        <v/>
      </c>
      <c r="C539" s="7" t="str">
        <f>IF('Port Bloomberg'!C539="","",'Port Bloomberg'!C539)</f>
        <v/>
      </c>
      <c r="D539" s="7" t="str">
        <f>IF('Port Bloomberg'!D539="","",'Port Bloomberg'!D539)</f>
        <v/>
      </c>
      <c r="E539" s="7" t="str">
        <f>IF('Port Bloomberg'!E539="","",'Port Bloomberg'!E539)</f>
        <v/>
      </c>
      <c r="F539" s="7" t="str">
        <f>IF('Port Bloomberg'!F539="","",'Port Bloomberg'!F539)</f>
        <v/>
      </c>
      <c r="G539" s="7" t="str">
        <f>IF('Port Bloomberg'!G539="","",'Port Bloomberg'!G539)</f>
        <v/>
      </c>
      <c r="H539" s="7" t="str">
        <f>IF('Port Bloomberg'!H539="","",'Port Bloomberg'!H539)</f>
        <v/>
      </c>
      <c r="I539" s="7" t="str">
        <f>IF('Port Bloomberg'!I539="","",'Port Bloomberg'!I539)</f>
        <v/>
      </c>
      <c r="J539" s="7" t="str">
        <f>IF('Port Bloomberg'!J539="","",'Port Bloomberg'!J539)</f>
        <v/>
      </c>
      <c r="K539" s="7" t="str">
        <f>IF('Port Bloomberg'!K539="","",'Port Bloomberg'!K539)</f>
        <v/>
      </c>
      <c r="L539" s="7" t="str">
        <f>IF('Port Bloomberg'!L539="","",'Port Bloomberg'!L539)</f>
        <v/>
      </c>
      <c r="M539" s="7" t="str">
        <f>IF('Port Bloomberg'!M539="","",'Port Bloomberg'!M539)</f>
        <v/>
      </c>
      <c r="N539" s="7" t="str">
        <f>IF('Port Bloomberg'!N539="","",'Port Bloomberg'!N539)</f>
        <v/>
      </c>
      <c r="O539" s="7" t="str">
        <f>IF('Port Bloomberg'!O539="","",'Port Bloomberg'!O539)</f>
        <v/>
      </c>
      <c r="P539" s="7" t="str">
        <f>IF('Port Bloomberg'!P539="","",'Port Bloomberg'!P539)</f>
        <v/>
      </c>
      <c r="Q539" s="7" t="str">
        <f>IF('Port Bloomberg'!Q539="","",'Port Bloomberg'!Q539)</f>
        <v/>
      </c>
      <c r="R539" s="7" t="str">
        <f>IF('Port Bloomberg'!R539="","",'Port Bloomberg'!R539)</f>
        <v/>
      </c>
      <c r="S539" s="5" t="str">
        <f>IF(E539="","",IFERROR(IF(MATCH(E539,[1]Instrumentos!$D:$D,0)&gt;0,1,0),0))</f>
        <v/>
      </c>
      <c r="T539" s="5" t="str">
        <f>IF(E539="","",IFERROR(IF(MATCH(E539,'Lista de excepciones'!$E:$E,0)&gt;0,1,0),0))</f>
        <v/>
      </c>
      <c r="U539" s="6" t="str">
        <f t="shared" si="9"/>
        <v/>
      </c>
    </row>
    <row r="540" spans="1:21" hidden="1" x14ac:dyDescent="0.25">
      <c r="A540" s="7" t="str">
        <f>IF('Port Bloomberg'!A540="","",'Port Bloomberg'!A540)</f>
        <v/>
      </c>
      <c r="B540" s="7" t="str">
        <f>IF('Port Bloomberg'!B540="","",'Port Bloomberg'!B540)</f>
        <v/>
      </c>
      <c r="C540" s="7" t="str">
        <f>IF('Port Bloomberg'!C540="","",'Port Bloomberg'!C540)</f>
        <v/>
      </c>
      <c r="D540" s="7" t="str">
        <f>IF('Port Bloomberg'!D540="","",'Port Bloomberg'!D540)</f>
        <v/>
      </c>
      <c r="E540" s="7" t="str">
        <f>IF('Port Bloomberg'!E540="","",'Port Bloomberg'!E540)</f>
        <v/>
      </c>
      <c r="F540" s="7" t="str">
        <f>IF('Port Bloomberg'!F540="","",'Port Bloomberg'!F540)</f>
        <v/>
      </c>
      <c r="G540" s="7" t="str">
        <f>IF('Port Bloomberg'!G540="","",'Port Bloomberg'!G540)</f>
        <v/>
      </c>
      <c r="H540" s="7" t="str">
        <f>IF('Port Bloomberg'!H540="","",'Port Bloomberg'!H540)</f>
        <v/>
      </c>
      <c r="I540" s="7" t="str">
        <f>IF('Port Bloomberg'!I540="","",'Port Bloomberg'!I540)</f>
        <v/>
      </c>
      <c r="J540" s="7" t="str">
        <f>IF('Port Bloomberg'!J540="","",'Port Bloomberg'!J540)</f>
        <v/>
      </c>
      <c r="K540" s="7" t="str">
        <f>IF('Port Bloomberg'!K540="","",'Port Bloomberg'!K540)</f>
        <v/>
      </c>
      <c r="L540" s="7" t="str">
        <f>IF('Port Bloomberg'!L540="","",'Port Bloomberg'!L540)</f>
        <v/>
      </c>
      <c r="M540" s="7" t="str">
        <f>IF('Port Bloomberg'!M540="","",'Port Bloomberg'!M540)</f>
        <v/>
      </c>
      <c r="N540" s="7" t="str">
        <f>IF('Port Bloomberg'!N540="","",'Port Bloomberg'!N540)</f>
        <v/>
      </c>
      <c r="O540" s="7" t="str">
        <f>IF('Port Bloomberg'!O540="","",'Port Bloomberg'!O540)</f>
        <v/>
      </c>
      <c r="P540" s="7" t="str">
        <f>IF('Port Bloomberg'!P540="","",'Port Bloomberg'!P540)</f>
        <v/>
      </c>
      <c r="Q540" s="7" t="str">
        <f>IF('Port Bloomberg'!Q540="","",'Port Bloomberg'!Q540)</f>
        <v/>
      </c>
      <c r="R540" s="7" t="str">
        <f>IF('Port Bloomberg'!R540="","",'Port Bloomberg'!R540)</f>
        <v/>
      </c>
      <c r="S540" s="5" t="str">
        <f>IF(E540="","",IFERROR(IF(MATCH(E540,[1]Instrumentos!$D:$D,0)&gt;0,1,0),0))</f>
        <v/>
      </c>
      <c r="T540" s="5" t="str">
        <f>IF(E540="","",IFERROR(IF(MATCH(E540,'Lista de excepciones'!$E:$E,0)&gt;0,1,0),0))</f>
        <v/>
      </c>
      <c r="U540" s="6" t="str">
        <f t="shared" si="9"/>
        <v/>
      </c>
    </row>
    <row r="541" spans="1:21" hidden="1" x14ac:dyDescent="0.25">
      <c r="A541" s="7" t="str">
        <f>IF('Port Bloomberg'!A541="","",'Port Bloomberg'!A541)</f>
        <v/>
      </c>
      <c r="B541" s="7" t="str">
        <f>IF('Port Bloomberg'!B541="","",'Port Bloomberg'!B541)</f>
        <v/>
      </c>
      <c r="C541" s="7" t="str">
        <f>IF('Port Bloomberg'!C541="","",'Port Bloomberg'!C541)</f>
        <v/>
      </c>
      <c r="D541" s="7" t="str">
        <f>IF('Port Bloomberg'!D541="","",'Port Bloomberg'!D541)</f>
        <v/>
      </c>
      <c r="E541" s="7" t="str">
        <f>IF('Port Bloomberg'!E541="","",'Port Bloomberg'!E541)</f>
        <v/>
      </c>
      <c r="F541" s="7" t="str">
        <f>IF('Port Bloomberg'!F541="","",'Port Bloomberg'!F541)</f>
        <v/>
      </c>
      <c r="G541" s="7" t="str">
        <f>IF('Port Bloomberg'!G541="","",'Port Bloomberg'!G541)</f>
        <v/>
      </c>
      <c r="H541" s="7" t="str">
        <f>IF('Port Bloomberg'!H541="","",'Port Bloomberg'!H541)</f>
        <v/>
      </c>
      <c r="I541" s="7" t="str">
        <f>IF('Port Bloomberg'!I541="","",'Port Bloomberg'!I541)</f>
        <v/>
      </c>
      <c r="J541" s="7" t="str">
        <f>IF('Port Bloomberg'!J541="","",'Port Bloomberg'!J541)</f>
        <v/>
      </c>
      <c r="K541" s="7" t="str">
        <f>IF('Port Bloomberg'!K541="","",'Port Bloomberg'!K541)</f>
        <v/>
      </c>
      <c r="L541" s="7" t="str">
        <f>IF('Port Bloomberg'!L541="","",'Port Bloomberg'!L541)</f>
        <v/>
      </c>
      <c r="M541" s="7" t="str">
        <f>IF('Port Bloomberg'!M541="","",'Port Bloomberg'!M541)</f>
        <v/>
      </c>
      <c r="N541" s="7" t="str">
        <f>IF('Port Bloomberg'!N541="","",'Port Bloomberg'!N541)</f>
        <v/>
      </c>
      <c r="O541" s="7" t="str">
        <f>IF('Port Bloomberg'!O541="","",'Port Bloomberg'!O541)</f>
        <v/>
      </c>
      <c r="P541" s="7" t="str">
        <f>IF('Port Bloomberg'!P541="","",'Port Bloomberg'!P541)</f>
        <v/>
      </c>
      <c r="Q541" s="7" t="str">
        <f>IF('Port Bloomberg'!Q541="","",'Port Bloomberg'!Q541)</f>
        <v/>
      </c>
      <c r="R541" s="7" t="str">
        <f>IF('Port Bloomberg'!R541="","",'Port Bloomberg'!R541)</f>
        <v/>
      </c>
      <c r="S541" s="5" t="str">
        <f>IF(E541="","",IFERROR(IF(MATCH(E541,[1]Instrumentos!$D:$D,0)&gt;0,1,0),0))</f>
        <v/>
      </c>
      <c r="T541" s="5" t="str">
        <f>IF(E541="","",IFERROR(IF(MATCH(E541,'Lista de excepciones'!$E:$E,0)&gt;0,1,0),0))</f>
        <v/>
      </c>
      <c r="U541" s="6" t="str">
        <f t="shared" si="9"/>
        <v/>
      </c>
    </row>
    <row r="542" spans="1:21" hidden="1" x14ac:dyDescent="0.25">
      <c r="A542" s="7" t="str">
        <f>IF('Port Bloomberg'!A542="","",'Port Bloomberg'!A542)</f>
        <v/>
      </c>
      <c r="B542" s="7" t="str">
        <f>IF('Port Bloomberg'!B542="","",'Port Bloomberg'!B542)</f>
        <v/>
      </c>
      <c r="C542" s="7" t="str">
        <f>IF('Port Bloomberg'!C542="","",'Port Bloomberg'!C542)</f>
        <v/>
      </c>
      <c r="D542" s="7" t="str">
        <f>IF('Port Bloomberg'!D542="","",'Port Bloomberg'!D542)</f>
        <v/>
      </c>
      <c r="E542" s="7" t="str">
        <f>IF('Port Bloomberg'!E542="","",'Port Bloomberg'!E542)</f>
        <v/>
      </c>
      <c r="F542" s="7" t="str">
        <f>IF('Port Bloomberg'!F542="","",'Port Bloomberg'!F542)</f>
        <v/>
      </c>
      <c r="G542" s="7" t="str">
        <f>IF('Port Bloomberg'!G542="","",'Port Bloomberg'!G542)</f>
        <v/>
      </c>
      <c r="H542" s="7" t="str">
        <f>IF('Port Bloomberg'!H542="","",'Port Bloomberg'!H542)</f>
        <v/>
      </c>
      <c r="I542" s="7" t="str">
        <f>IF('Port Bloomberg'!I542="","",'Port Bloomberg'!I542)</f>
        <v/>
      </c>
      <c r="J542" s="7" t="str">
        <f>IF('Port Bloomberg'!J542="","",'Port Bloomberg'!J542)</f>
        <v/>
      </c>
      <c r="K542" s="7" t="str">
        <f>IF('Port Bloomberg'!K542="","",'Port Bloomberg'!K542)</f>
        <v/>
      </c>
      <c r="L542" s="7" t="str">
        <f>IF('Port Bloomberg'!L542="","",'Port Bloomberg'!L542)</f>
        <v/>
      </c>
      <c r="M542" s="7" t="str">
        <f>IF('Port Bloomberg'!M542="","",'Port Bloomberg'!M542)</f>
        <v/>
      </c>
      <c r="N542" s="7" t="str">
        <f>IF('Port Bloomberg'!N542="","",'Port Bloomberg'!N542)</f>
        <v/>
      </c>
      <c r="O542" s="7" t="str">
        <f>IF('Port Bloomberg'!O542="","",'Port Bloomberg'!O542)</f>
        <v/>
      </c>
      <c r="P542" s="7" t="str">
        <f>IF('Port Bloomberg'!P542="","",'Port Bloomberg'!P542)</f>
        <v/>
      </c>
      <c r="Q542" s="7" t="str">
        <f>IF('Port Bloomberg'!Q542="","",'Port Bloomberg'!Q542)</f>
        <v/>
      </c>
      <c r="R542" s="7" t="str">
        <f>IF('Port Bloomberg'!R542="","",'Port Bloomberg'!R542)</f>
        <v/>
      </c>
      <c r="S542" s="5" t="str">
        <f>IF(E542="","",IFERROR(IF(MATCH(E542,[1]Instrumentos!$D:$D,0)&gt;0,1,0),0))</f>
        <v/>
      </c>
      <c r="T542" s="5" t="str">
        <f>IF(E542="","",IFERROR(IF(MATCH(E542,'Lista de excepciones'!$E:$E,0)&gt;0,1,0),0))</f>
        <v/>
      </c>
      <c r="U542" s="6" t="str">
        <f t="shared" si="9"/>
        <v/>
      </c>
    </row>
    <row r="543" spans="1:21" hidden="1" x14ac:dyDescent="0.25">
      <c r="A543" s="7" t="str">
        <f>IF('Port Bloomberg'!A543="","",'Port Bloomberg'!A543)</f>
        <v/>
      </c>
      <c r="B543" s="7" t="str">
        <f>IF('Port Bloomberg'!B543="","",'Port Bloomberg'!B543)</f>
        <v/>
      </c>
      <c r="C543" s="7" t="str">
        <f>IF('Port Bloomberg'!C543="","",'Port Bloomberg'!C543)</f>
        <v/>
      </c>
      <c r="D543" s="7" t="str">
        <f>IF('Port Bloomberg'!D543="","",'Port Bloomberg'!D543)</f>
        <v/>
      </c>
      <c r="E543" s="7" t="str">
        <f>IF('Port Bloomberg'!E543="","",'Port Bloomberg'!E543)</f>
        <v/>
      </c>
      <c r="F543" s="7" t="str">
        <f>IF('Port Bloomberg'!F543="","",'Port Bloomberg'!F543)</f>
        <v/>
      </c>
      <c r="G543" s="7" t="str">
        <f>IF('Port Bloomberg'!G543="","",'Port Bloomberg'!G543)</f>
        <v/>
      </c>
      <c r="H543" s="7" t="str">
        <f>IF('Port Bloomberg'!H543="","",'Port Bloomberg'!H543)</f>
        <v/>
      </c>
      <c r="I543" s="7" t="str">
        <f>IF('Port Bloomberg'!I543="","",'Port Bloomberg'!I543)</f>
        <v/>
      </c>
      <c r="J543" s="7" t="str">
        <f>IF('Port Bloomberg'!J543="","",'Port Bloomberg'!J543)</f>
        <v/>
      </c>
      <c r="K543" s="7" t="str">
        <f>IF('Port Bloomberg'!K543="","",'Port Bloomberg'!K543)</f>
        <v/>
      </c>
      <c r="L543" s="7" t="str">
        <f>IF('Port Bloomberg'!L543="","",'Port Bloomberg'!L543)</f>
        <v/>
      </c>
      <c r="M543" s="7" t="str">
        <f>IF('Port Bloomberg'!M543="","",'Port Bloomberg'!M543)</f>
        <v/>
      </c>
      <c r="N543" s="7" t="str">
        <f>IF('Port Bloomberg'!N543="","",'Port Bloomberg'!N543)</f>
        <v/>
      </c>
      <c r="O543" s="7" t="str">
        <f>IF('Port Bloomberg'!O543="","",'Port Bloomberg'!O543)</f>
        <v/>
      </c>
      <c r="P543" s="7" t="str">
        <f>IF('Port Bloomberg'!P543="","",'Port Bloomberg'!P543)</f>
        <v/>
      </c>
      <c r="Q543" s="7" t="str">
        <f>IF('Port Bloomberg'!Q543="","",'Port Bloomberg'!Q543)</f>
        <v/>
      </c>
      <c r="R543" s="7" t="str">
        <f>IF('Port Bloomberg'!R543="","",'Port Bloomberg'!R543)</f>
        <v/>
      </c>
      <c r="S543" s="5" t="str">
        <f>IF(E543="","",IFERROR(IF(MATCH(E543,[1]Instrumentos!$D:$D,0)&gt;0,1,0),0))</f>
        <v/>
      </c>
      <c r="T543" s="5" t="str">
        <f>IF(E543="","",IFERROR(IF(MATCH(E543,'Lista de excepciones'!$E:$E,0)&gt;0,1,0),0))</f>
        <v/>
      </c>
      <c r="U543" s="6" t="str">
        <f t="shared" si="9"/>
        <v/>
      </c>
    </row>
    <row r="544" spans="1:21" hidden="1" x14ac:dyDescent="0.25">
      <c r="A544" s="7" t="str">
        <f>IF('Port Bloomberg'!A544="","",'Port Bloomberg'!A544)</f>
        <v/>
      </c>
      <c r="B544" s="7" t="str">
        <f>IF('Port Bloomberg'!B544="","",'Port Bloomberg'!B544)</f>
        <v/>
      </c>
      <c r="C544" s="7" t="str">
        <f>IF('Port Bloomberg'!C544="","",'Port Bloomberg'!C544)</f>
        <v/>
      </c>
      <c r="D544" s="7" t="str">
        <f>IF('Port Bloomberg'!D544="","",'Port Bloomberg'!D544)</f>
        <v/>
      </c>
      <c r="E544" s="7" t="str">
        <f>IF('Port Bloomberg'!E544="","",'Port Bloomberg'!E544)</f>
        <v/>
      </c>
      <c r="F544" s="7" t="str">
        <f>IF('Port Bloomberg'!F544="","",'Port Bloomberg'!F544)</f>
        <v/>
      </c>
      <c r="G544" s="7" t="str">
        <f>IF('Port Bloomberg'!G544="","",'Port Bloomberg'!G544)</f>
        <v/>
      </c>
      <c r="H544" s="7" t="str">
        <f>IF('Port Bloomberg'!H544="","",'Port Bloomberg'!H544)</f>
        <v/>
      </c>
      <c r="I544" s="7" t="str">
        <f>IF('Port Bloomberg'!I544="","",'Port Bloomberg'!I544)</f>
        <v/>
      </c>
      <c r="J544" s="7" t="str">
        <f>IF('Port Bloomberg'!J544="","",'Port Bloomberg'!J544)</f>
        <v/>
      </c>
      <c r="K544" s="7" t="str">
        <f>IF('Port Bloomberg'!K544="","",'Port Bloomberg'!K544)</f>
        <v/>
      </c>
      <c r="L544" s="7" t="str">
        <f>IF('Port Bloomberg'!L544="","",'Port Bloomberg'!L544)</f>
        <v/>
      </c>
      <c r="M544" s="7" t="str">
        <f>IF('Port Bloomberg'!M544="","",'Port Bloomberg'!M544)</f>
        <v/>
      </c>
      <c r="N544" s="7" t="str">
        <f>IF('Port Bloomberg'!N544="","",'Port Bloomberg'!N544)</f>
        <v/>
      </c>
      <c r="O544" s="7" t="str">
        <f>IF('Port Bloomberg'!O544="","",'Port Bloomberg'!O544)</f>
        <v/>
      </c>
      <c r="P544" s="7" t="str">
        <f>IF('Port Bloomberg'!P544="","",'Port Bloomberg'!P544)</f>
        <v/>
      </c>
      <c r="Q544" s="7" t="str">
        <f>IF('Port Bloomberg'!Q544="","",'Port Bloomberg'!Q544)</f>
        <v/>
      </c>
      <c r="R544" s="7" t="str">
        <f>IF('Port Bloomberg'!R544="","",'Port Bloomberg'!R544)</f>
        <v/>
      </c>
      <c r="S544" s="5" t="str">
        <f>IF(E544="","",IFERROR(IF(MATCH(E544,[1]Instrumentos!$D:$D,0)&gt;0,1,0),0))</f>
        <v/>
      </c>
      <c r="T544" s="5" t="str">
        <f>IF(E544="","",IFERROR(IF(MATCH(E544,'Lista de excepciones'!$E:$E,0)&gt;0,1,0),0))</f>
        <v/>
      </c>
      <c r="U544" s="6" t="str">
        <f t="shared" si="9"/>
        <v/>
      </c>
    </row>
    <row r="545" spans="1:21" hidden="1" x14ac:dyDescent="0.25">
      <c r="A545" s="7" t="str">
        <f>IF('Port Bloomberg'!A545="","",'Port Bloomberg'!A545)</f>
        <v/>
      </c>
      <c r="B545" s="7" t="str">
        <f>IF('Port Bloomberg'!B545="","",'Port Bloomberg'!B545)</f>
        <v/>
      </c>
      <c r="C545" s="7" t="str">
        <f>IF('Port Bloomberg'!C545="","",'Port Bloomberg'!C545)</f>
        <v/>
      </c>
      <c r="D545" s="7" t="str">
        <f>IF('Port Bloomberg'!D545="","",'Port Bloomberg'!D545)</f>
        <v/>
      </c>
      <c r="E545" s="7" t="str">
        <f>IF('Port Bloomberg'!E545="","",'Port Bloomberg'!E545)</f>
        <v/>
      </c>
      <c r="F545" s="7" t="str">
        <f>IF('Port Bloomberg'!F545="","",'Port Bloomberg'!F545)</f>
        <v/>
      </c>
      <c r="G545" s="7" t="str">
        <f>IF('Port Bloomberg'!G545="","",'Port Bloomberg'!G545)</f>
        <v/>
      </c>
      <c r="H545" s="7" t="str">
        <f>IF('Port Bloomberg'!H545="","",'Port Bloomberg'!H545)</f>
        <v/>
      </c>
      <c r="I545" s="7" t="str">
        <f>IF('Port Bloomberg'!I545="","",'Port Bloomberg'!I545)</f>
        <v/>
      </c>
      <c r="J545" s="7" t="str">
        <f>IF('Port Bloomberg'!J545="","",'Port Bloomberg'!J545)</f>
        <v/>
      </c>
      <c r="K545" s="7" t="str">
        <f>IF('Port Bloomberg'!K545="","",'Port Bloomberg'!K545)</f>
        <v/>
      </c>
      <c r="L545" s="7" t="str">
        <f>IF('Port Bloomberg'!L545="","",'Port Bloomberg'!L545)</f>
        <v/>
      </c>
      <c r="M545" s="7" t="str">
        <f>IF('Port Bloomberg'!M545="","",'Port Bloomberg'!M545)</f>
        <v/>
      </c>
      <c r="N545" s="7" t="str">
        <f>IF('Port Bloomberg'!N545="","",'Port Bloomberg'!N545)</f>
        <v/>
      </c>
      <c r="O545" s="7" t="str">
        <f>IF('Port Bloomberg'!O545="","",'Port Bloomberg'!O545)</f>
        <v/>
      </c>
      <c r="P545" s="7" t="str">
        <f>IF('Port Bloomberg'!P545="","",'Port Bloomberg'!P545)</f>
        <v/>
      </c>
      <c r="Q545" s="7" t="str">
        <f>IF('Port Bloomberg'!Q545="","",'Port Bloomberg'!Q545)</f>
        <v/>
      </c>
      <c r="R545" s="7" t="str">
        <f>IF('Port Bloomberg'!R545="","",'Port Bloomberg'!R545)</f>
        <v/>
      </c>
      <c r="S545" s="5" t="str">
        <f>IF(E545="","",IFERROR(IF(MATCH(E545,[1]Instrumentos!$D:$D,0)&gt;0,1,0),0))</f>
        <v/>
      </c>
      <c r="T545" s="5" t="str">
        <f>IF(E545="","",IFERROR(IF(MATCH(E545,'Lista de excepciones'!$E:$E,0)&gt;0,1,0),0))</f>
        <v/>
      </c>
      <c r="U545" s="6" t="str">
        <f t="shared" si="9"/>
        <v/>
      </c>
    </row>
    <row r="546" spans="1:21" hidden="1" x14ac:dyDescent="0.25">
      <c r="A546" s="7" t="str">
        <f>IF('Port Bloomberg'!A546="","",'Port Bloomberg'!A546)</f>
        <v/>
      </c>
      <c r="B546" s="7" t="str">
        <f>IF('Port Bloomberg'!B546="","",'Port Bloomberg'!B546)</f>
        <v/>
      </c>
      <c r="C546" s="7" t="str">
        <f>IF('Port Bloomberg'!C546="","",'Port Bloomberg'!C546)</f>
        <v/>
      </c>
      <c r="D546" s="7" t="str">
        <f>IF('Port Bloomberg'!D546="","",'Port Bloomberg'!D546)</f>
        <v/>
      </c>
      <c r="E546" s="7" t="str">
        <f>IF('Port Bloomberg'!E546="","",'Port Bloomberg'!E546)</f>
        <v/>
      </c>
      <c r="F546" s="7" t="str">
        <f>IF('Port Bloomberg'!F546="","",'Port Bloomberg'!F546)</f>
        <v/>
      </c>
      <c r="G546" s="7" t="str">
        <f>IF('Port Bloomberg'!G546="","",'Port Bloomberg'!G546)</f>
        <v/>
      </c>
      <c r="H546" s="7" t="str">
        <f>IF('Port Bloomberg'!H546="","",'Port Bloomberg'!H546)</f>
        <v/>
      </c>
      <c r="I546" s="7" t="str">
        <f>IF('Port Bloomberg'!I546="","",'Port Bloomberg'!I546)</f>
        <v/>
      </c>
      <c r="J546" s="7" t="str">
        <f>IF('Port Bloomberg'!J546="","",'Port Bloomberg'!J546)</f>
        <v/>
      </c>
      <c r="K546" s="7" t="str">
        <f>IF('Port Bloomberg'!K546="","",'Port Bloomberg'!K546)</f>
        <v/>
      </c>
      <c r="L546" s="7" t="str">
        <f>IF('Port Bloomberg'!L546="","",'Port Bloomberg'!L546)</f>
        <v/>
      </c>
      <c r="M546" s="7" t="str">
        <f>IF('Port Bloomberg'!M546="","",'Port Bloomberg'!M546)</f>
        <v/>
      </c>
      <c r="N546" s="7" t="str">
        <f>IF('Port Bloomberg'!N546="","",'Port Bloomberg'!N546)</f>
        <v/>
      </c>
      <c r="O546" s="7" t="str">
        <f>IF('Port Bloomberg'!O546="","",'Port Bloomberg'!O546)</f>
        <v/>
      </c>
      <c r="P546" s="7" t="str">
        <f>IF('Port Bloomberg'!P546="","",'Port Bloomberg'!P546)</f>
        <v/>
      </c>
      <c r="Q546" s="7" t="str">
        <f>IF('Port Bloomberg'!Q546="","",'Port Bloomberg'!Q546)</f>
        <v/>
      </c>
      <c r="R546" s="7" t="str">
        <f>IF('Port Bloomberg'!R546="","",'Port Bloomberg'!R546)</f>
        <v/>
      </c>
      <c r="S546" s="5" t="str">
        <f>IF(E546="","",IFERROR(IF(MATCH(E546,[1]Instrumentos!$D:$D,0)&gt;0,1,0),0))</f>
        <v/>
      </c>
      <c r="T546" s="5" t="str">
        <f>IF(E546="","",IFERROR(IF(MATCH(E546,'Lista de excepciones'!$E:$E,0)&gt;0,1,0),0))</f>
        <v/>
      </c>
      <c r="U546" s="6" t="str">
        <f t="shared" si="9"/>
        <v/>
      </c>
    </row>
    <row r="547" spans="1:21" hidden="1" x14ac:dyDescent="0.25">
      <c r="A547" s="7" t="str">
        <f>IF('Port Bloomberg'!A547="","",'Port Bloomberg'!A547)</f>
        <v/>
      </c>
      <c r="B547" s="7" t="str">
        <f>IF('Port Bloomberg'!B547="","",'Port Bloomberg'!B547)</f>
        <v/>
      </c>
      <c r="C547" s="7" t="str">
        <f>IF('Port Bloomberg'!C547="","",'Port Bloomberg'!C547)</f>
        <v/>
      </c>
      <c r="D547" s="7" t="str">
        <f>IF('Port Bloomberg'!D547="","",'Port Bloomberg'!D547)</f>
        <v/>
      </c>
      <c r="E547" s="7" t="str">
        <f>IF('Port Bloomberg'!E547="","",'Port Bloomberg'!E547)</f>
        <v/>
      </c>
      <c r="F547" s="7" t="str">
        <f>IF('Port Bloomberg'!F547="","",'Port Bloomberg'!F547)</f>
        <v/>
      </c>
      <c r="G547" s="7" t="str">
        <f>IF('Port Bloomberg'!G547="","",'Port Bloomberg'!G547)</f>
        <v/>
      </c>
      <c r="H547" s="7" t="str">
        <f>IF('Port Bloomberg'!H547="","",'Port Bloomberg'!H547)</f>
        <v/>
      </c>
      <c r="I547" s="7" t="str">
        <f>IF('Port Bloomberg'!I547="","",'Port Bloomberg'!I547)</f>
        <v/>
      </c>
      <c r="J547" s="7" t="str">
        <f>IF('Port Bloomberg'!J547="","",'Port Bloomberg'!J547)</f>
        <v/>
      </c>
      <c r="K547" s="7" t="str">
        <f>IF('Port Bloomberg'!K547="","",'Port Bloomberg'!K547)</f>
        <v/>
      </c>
      <c r="L547" s="7" t="str">
        <f>IF('Port Bloomberg'!L547="","",'Port Bloomberg'!L547)</f>
        <v/>
      </c>
      <c r="M547" s="7" t="str">
        <f>IF('Port Bloomberg'!M547="","",'Port Bloomberg'!M547)</f>
        <v/>
      </c>
      <c r="N547" s="7" t="str">
        <f>IF('Port Bloomberg'!N547="","",'Port Bloomberg'!N547)</f>
        <v/>
      </c>
      <c r="O547" s="7" t="str">
        <f>IF('Port Bloomberg'!O547="","",'Port Bloomberg'!O547)</f>
        <v/>
      </c>
      <c r="P547" s="7" t="str">
        <f>IF('Port Bloomberg'!P547="","",'Port Bloomberg'!P547)</f>
        <v/>
      </c>
      <c r="Q547" s="7" t="str">
        <f>IF('Port Bloomberg'!Q547="","",'Port Bloomberg'!Q547)</f>
        <v/>
      </c>
      <c r="R547" s="7" t="str">
        <f>IF('Port Bloomberg'!R547="","",'Port Bloomberg'!R547)</f>
        <v/>
      </c>
      <c r="S547" s="5" t="str">
        <f>IF(E547="","",IFERROR(IF(MATCH(E547,[1]Instrumentos!$D:$D,0)&gt;0,1,0),0))</f>
        <v/>
      </c>
      <c r="T547" s="5" t="str">
        <f>IF(E547="","",IFERROR(IF(MATCH(E547,'Lista de excepciones'!$E:$E,0)&gt;0,1,0),0))</f>
        <v/>
      </c>
      <c r="U547" s="6" t="str">
        <f t="shared" si="9"/>
        <v/>
      </c>
    </row>
    <row r="548" spans="1:21" hidden="1" x14ac:dyDescent="0.25">
      <c r="A548" s="7" t="str">
        <f>IF('Port Bloomberg'!A548="","",'Port Bloomberg'!A548)</f>
        <v/>
      </c>
      <c r="B548" s="7" t="str">
        <f>IF('Port Bloomberg'!B548="","",'Port Bloomberg'!B548)</f>
        <v/>
      </c>
      <c r="C548" s="7" t="str">
        <f>IF('Port Bloomberg'!C548="","",'Port Bloomberg'!C548)</f>
        <v/>
      </c>
      <c r="D548" s="7" t="str">
        <f>IF('Port Bloomberg'!D548="","",'Port Bloomberg'!D548)</f>
        <v/>
      </c>
      <c r="E548" s="7" t="str">
        <f>IF('Port Bloomberg'!E548="","",'Port Bloomberg'!E548)</f>
        <v/>
      </c>
      <c r="F548" s="7" t="str">
        <f>IF('Port Bloomberg'!F548="","",'Port Bloomberg'!F548)</f>
        <v/>
      </c>
      <c r="G548" s="7" t="str">
        <f>IF('Port Bloomberg'!G548="","",'Port Bloomberg'!G548)</f>
        <v/>
      </c>
      <c r="H548" s="7" t="str">
        <f>IF('Port Bloomberg'!H548="","",'Port Bloomberg'!H548)</f>
        <v/>
      </c>
      <c r="I548" s="7" t="str">
        <f>IF('Port Bloomberg'!I548="","",'Port Bloomberg'!I548)</f>
        <v/>
      </c>
      <c r="J548" s="7" t="str">
        <f>IF('Port Bloomberg'!J548="","",'Port Bloomberg'!J548)</f>
        <v/>
      </c>
      <c r="K548" s="7" t="str">
        <f>IF('Port Bloomberg'!K548="","",'Port Bloomberg'!K548)</f>
        <v/>
      </c>
      <c r="L548" s="7" t="str">
        <f>IF('Port Bloomberg'!L548="","",'Port Bloomberg'!L548)</f>
        <v/>
      </c>
      <c r="M548" s="7" t="str">
        <f>IF('Port Bloomberg'!M548="","",'Port Bloomberg'!M548)</f>
        <v/>
      </c>
      <c r="N548" s="7" t="str">
        <f>IF('Port Bloomberg'!N548="","",'Port Bloomberg'!N548)</f>
        <v/>
      </c>
      <c r="O548" s="7" t="str">
        <f>IF('Port Bloomberg'!O548="","",'Port Bloomberg'!O548)</f>
        <v/>
      </c>
      <c r="P548" s="7" t="str">
        <f>IF('Port Bloomberg'!P548="","",'Port Bloomberg'!P548)</f>
        <v/>
      </c>
      <c r="Q548" s="7" t="str">
        <f>IF('Port Bloomberg'!Q548="","",'Port Bloomberg'!Q548)</f>
        <v/>
      </c>
      <c r="R548" s="7" t="str">
        <f>IF('Port Bloomberg'!R548="","",'Port Bloomberg'!R548)</f>
        <v/>
      </c>
      <c r="S548" s="5" t="str">
        <f>IF(E548="","",IFERROR(IF(MATCH(E548,[1]Instrumentos!$D:$D,0)&gt;0,1,0),0))</f>
        <v/>
      </c>
      <c r="T548" s="5" t="str">
        <f>IF(E548="","",IFERROR(IF(MATCH(E548,'Lista de excepciones'!$E:$E,0)&gt;0,1,0),0))</f>
        <v/>
      </c>
      <c r="U548" s="6" t="str">
        <f t="shared" si="9"/>
        <v/>
      </c>
    </row>
    <row r="549" spans="1:21" hidden="1" x14ac:dyDescent="0.25">
      <c r="A549" s="7" t="str">
        <f>IF('Port Bloomberg'!A549="","",'Port Bloomberg'!A549)</f>
        <v/>
      </c>
      <c r="B549" s="7" t="str">
        <f>IF('Port Bloomberg'!B549="","",'Port Bloomberg'!B549)</f>
        <v/>
      </c>
      <c r="C549" s="7" t="str">
        <f>IF('Port Bloomberg'!C549="","",'Port Bloomberg'!C549)</f>
        <v/>
      </c>
      <c r="D549" s="7" t="str">
        <f>IF('Port Bloomberg'!D549="","",'Port Bloomberg'!D549)</f>
        <v/>
      </c>
      <c r="E549" s="7" t="str">
        <f>IF('Port Bloomberg'!E549="","",'Port Bloomberg'!E549)</f>
        <v/>
      </c>
      <c r="F549" s="7" t="str">
        <f>IF('Port Bloomberg'!F549="","",'Port Bloomberg'!F549)</f>
        <v/>
      </c>
      <c r="G549" s="7" t="str">
        <f>IF('Port Bloomberg'!G549="","",'Port Bloomberg'!G549)</f>
        <v/>
      </c>
      <c r="H549" s="7" t="str">
        <f>IF('Port Bloomberg'!H549="","",'Port Bloomberg'!H549)</f>
        <v/>
      </c>
      <c r="I549" s="7" t="str">
        <f>IF('Port Bloomberg'!I549="","",'Port Bloomberg'!I549)</f>
        <v/>
      </c>
      <c r="J549" s="7" t="str">
        <f>IF('Port Bloomberg'!J549="","",'Port Bloomberg'!J549)</f>
        <v/>
      </c>
      <c r="K549" s="7" t="str">
        <f>IF('Port Bloomberg'!K549="","",'Port Bloomberg'!K549)</f>
        <v/>
      </c>
      <c r="L549" s="7" t="str">
        <f>IF('Port Bloomberg'!L549="","",'Port Bloomberg'!L549)</f>
        <v/>
      </c>
      <c r="M549" s="7" t="str">
        <f>IF('Port Bloomberg'!M549="","",'Port Bloomberg'!M549)</f>
        <v/>
      </c>
      <c r="N549" s="7" t="str">
        <f>IF('Port Bloomberg'!N549="","",'Port Bloomberg'!N549)</f>
        <v/>
      </c>
      <c r="O549" s="7" t="str">
        <f>IF('Port Bloomberg'!O549="","",'Port Bloomberg'!O549)</f>
        <v/>
      </c>
      <c r="P549" s="7" t="str">
        <f>IF('Port Bloomberg'!P549="","",'Port Bloomberg'!P549)</f>
        <v/>
      </c>
      <c r="Q549" s="7" t="str">
        <f>IF('Port Bloomberg'!Q549="","",'Port Bloomberg'!Q549)</f>
        <v/>
      </c>
      <c r="R549" s="7" t="str">
        <f>IF('Port Bloomberg'!R549="","",'Port Bloomberg'!R549)</f>
        <v/>
      </c>
      <c r="S549" s="5" t="str">
        <f>IF(E549="","",IFERROR(IF(MATCH(E549,[1]Instrumentos!$D:$D,0)&gt;0,1,0),0))</f>
        <v/>
      </c>
      <c r="T549" s="5" t="str">
        <f>IF(E549="","",IFERROR(IF(MATCH(E549,'Lista de excepciones'!$E:$E,0)&gt;0,1,0),0))</f>
        <v/>
      </c>
      <c r="U549" s="6" t="str">
        <f t="shared" si="9"/>
        <v/>
      </c>
    </row>
    <row r="550" spans="1:21" hidden="1" x14ac:dyDescent="0.25">
      <c r="A550" s="7" t="str">
        <f>IF('Port Bloomberg'!A550="","",'Port Bloomberg'!A550)</f>
        <v/>
      </c>
      <c r="B550" s="7" t="str">
        <f>IF('Port Bloomberg'!B550="","",'Port Bloomberg'!B550)</f>
        <v/>
      </c>
      <c r="C550" s="7" t="str">
        <f>IF('Port Bloomberg'!C550="","",'Port Bloomberg'!C550)</f>
        <v/>
      </c>
      <c r="D550" s="7" t="str">
        <f>IF('Port Bloomberg'!D550="","",'Port Bloomberg'!D550)</f>
        <v/>
      </c>
      <c r="E550" s="7" t="str">
        <f>IF('Port Bloomberg'!E550="","",'Port Bloomberg'!E550)</f>
        <v/>
      </c>
      <c r="F550" s="7" t="str">
        <f>IF('Port Bloomberg'!F550="","",'Port Bloomberg'!F550)</f>
        <v/>
      </c>
      <c r="G550" s="7" t="str">
        <f>IF('Port Bloomberg'!G550="","",'Port Bloomberg'!G550)</f>
        <v/>
      </c>
      <c r="H550" s="7" t="str">
        <f>IF('Port Bloomberg'!H550="","",'Port Bloomberg'!H550)</f>
        <v/>
      </c>
      <c r="I550" s="7" t="str">
        <f>IF('Port Bloomberg'!I550="","",'Port Bloomberg'!I550)</f>
        <v/>
      </c>
      <c r="J550" s="7" t="str">
        <f>IF('Port Bloomberg'!J550="","",'Port Bloomberg'!J550)</f>
        <v/>
      </c>
      <c r="K550" s="7" t="str">
        <f>IF('Port Bloomberg'!K550="","",'Port Bloomberg'!K550)</f>
        <v/>
      </c>
      <c r="L550" s="7" t="str">
        <f>IF('Port Bloomberg'!L550="","",'Port Bloomberg'!L550)</f>
        <v/>
      </c>
      <c r="M550" s="7" t="str">
        <f>IF('Port Bloomberg'!M550="","",'Port Bloomberg'!M550)</f>
        <v/>
      </c>
      <c r="N550" s="7" t="str">
        <f>IF('Port Bloomberg'!N550="","",'Port Bloomberg'!N550)</f>
        <v/>
      </c>
      <c r="O550" s="7" t="str">
        <f>IF('Port Bloomberg'!O550="","",'Port Bloomberg'!O550)</f>
        <v/>
      </c>
      <c r="P550" s="7" t="str">
        <f>IF('Port Bloomberg'!P550="","",'Port Bloomberg'!P550)</f>
        <v/>
      </c>
      <c r="Q550" s="7" t="str">
        <f>IF('Port Bloomberg'!Q550="","",'Port Bloomberg'!Q550)</f>
        <v/>
      </c>
      <c r="R550" s="7" t="str">
        <f>IF('Port Bloomberg'!R550="","",'Port Bloomberg'!R550)</f>
        <v/>
      </c>
      <c r="S550" s="5" t="str">
        <f>IF(E550="","",IFERROR(IF(MATCH(E550,[1]Instrumentos!$D:$D,0)&gt;0,1,0),0))</f>
        <v/>
      </c>
      <c r="T550" s="5" t="str">
        <f>IF(E550="","",IFERROR(IF(MATCH(E550,'Lista de excepciones'!$E:$E,0)&gt;0,1,0),0))</f>
        <v/>
      </c>
      <c r="U550" s="6" t="str">
        <f t="shared" si="9"/>
        <v/>
      </c>
    </row>
    <row r="551" spans="1:21" hidden="1" x14ac:dyDescent="0.25">
      <c r="A551" s="7" t="str">
        <f>IF('Port Bloomberg'!A551="","",'Port Bloomberg'!A551)</f>
        <v/>
      </c>
      <c r="B551" s="7" t="str">
        <f>IF('Port Bloomberg'!B551="","",'Port Bloomberg'!B551)</f>
        <v/>
      </c>
      <c r="C551" s="7" t="str">
        <f>IF('Port Bloomberg'!C551="","",'Port Bloomberg'!C551)</f>
        <v/>
      </c>
      <c r="D551" s="7" t="str">
        <f>IF('Port Bloomberg'!D551="","",'Port Bloomberg'!D551)</f>
        <v/>
      </c>
      <c r="E551" s="7" t="str">
        <f>IF('Port Bloomberg'!E551="","",'Port Bloomberg'!E551)</f>
        <v/>
      </c>
      <c r="F551" s="7" t="str">
        <f>IF('Port Bloomberg'!F551="","",'Port Bloomberg'!F551)</f>
        <v/>
      </c>
      <c r="G551" s="7" t="str">
        <f>IF('Port Bloomberg'!G551="","",'Port Bloomberg'!G551)</f>
        <v/>
      </c>
      <c r="H551" s="7" t="str">
        <f>IF('Port Bloomberg'!H551="","",'Port Bloomberg'!H551)</f>
        <v/>
      </c>
      <c r="I551" s="7" t="str">
        <f>IF('Port Bloomberg'!I551="","",'Port Bloomberg'!I551)</f>
        <v/>
      </c>
      <c r="J551" s="7" t="str">
        <f>IF('Port Bloomberg'!J551="","",'Port Bloomberg'!J551)</f>
        <v/>
      </c>
      <c r="K551" s="7" t="str">
        <f>IF('Port Bloomberg'!K551="","",'Port Bloomberg'!K551)</f>
        <v/>
      </c>
      <c r="L551" s="7" t="str">
        <f>IF('Port Bloomberg'!L551="","",'Port Bloomberg'!L551)</f>
        <v/>
      </c>
      <c r="M551" s="7" t="str">
        <f>IF('Port Bloomberg'!M551="","",'Port Bloomberg'!M551)</f>
        <v/>
      </c>
      <c r="N551" s="7" t="str">
        <f>IF('Port Bloomberg'!N551="","",'Port Bloomberg'!N551)</f>
        <v/>
      </c>
      <c r="O551" s="7" t="str">
        <f>IF('Port Bloomberg'!O551="","",'Port Bloomberg'!O551)</f>
        <v/>
      </c>
      <c r="P551" s="7" t="str">
        <f>IF('Port Bloomberg'!P551="","",'Port Bloomberg'!P551)</f>
        <v/>
      </c>
      <c r="Q551" s="7" t="str">
        <f>IF('Port Bloomberg'!Q551="","",'Port Bloomberg'!Q551)</f>
        <v/>
      </c>
      <c r="R551" s="7" t="str">
        <f>IF('Port Bloomberg'!R551="","",'Port Bloomberg'!R551)</f>
        <v/>
      </c>
      <c r="S551" s="5" t="str">
        <f>IF(E551="","",IFERROR(IF(MATCH(E551,[1]Instrumentos!$D:$D,0)&gt;0,1,0),0))</f>
        <v/>
      </c>
      <c r="T551" s="5" t="str">
        <f>IF(E551="","",IFERROR(IF(MATCH(E551,'Lista de excepciones'!$E:$E,0)&gt;0,1,0),0))</f>
        <v/>
      </c>
      <c r="U551" s="6" t="str">
        <f t="shared" si="9"/>
        <v/>
      </c>
    </row>
    <row r="552" spans="1:21" hidden="1" x14ac:dyDescent="0.25">
      <c r="A552" s="7" t="str">
        <f>IF('Port Bloomberg'!A552="","",'Port Bloomberg'!A552)</f>
        <v/>
      </c>
      <c r="B552" s="7" t="str">
        <f>IF('Port Bloomberg'!B552="","",'Port Bloomberg'!B552)</f>
        <v/>
      </c>
      <c r="C552" s="7" t="str">
        <f>IF('Port Bloomberg'!C552="","",'Port Bloomberg'!C552)</f>
        <v/>
      </c>
      <c r="D552" s="7" t="str">
        <f>IF('Port Bloomberg'!D552="","",'Port Bloomberg'!D552)</f>
        <v/>
      </c>
      <c r="E552" s="7" t="str">
        <f>IF('Port Bloomberg'!E552="","",'Port Bloomberg'!E552)</f>
        <v/>
      </c>
      <c r="F552" s="7" t="str">
        <f>IF('Port Bloomberg'!F552="","",'Port Bloomberg'!F552)</f>
        <v/>
      </c>
      <c r="G552" s="7" t="str">
        <f>IF('Port Bloomberg'!G552="","",'Port Bloomberg'!G552)</f>
        <v/>
      </c>
      <c r="H552" s="7" t="str">
        <f>IF('Port Bloomberg'!H552="","",'Port Bloomberg'!H552)</f>
        <v/>
      </c>
      <c r="I552" s="7" t="str">
        <f>IF('Port Bloomberg'!I552="","",'Port Bloomberg'!I552)</f>
        <v/>
      </c>
      <c r="J552" s="7" t="str">
        <f>IF('Port Bloomberg'!J552="","",'Port Bloomberg'!J552)</f>
        <v/>
      </c>
      <c r="K552" s="7" t="str">
        <f>IF('Port Bloomberg'!K552="","",'Port Bloomberg'!K552)</f>
        <v/>
      </c>
      <c r="L552" s="7" t="str">
        <f>IF('Port Bloomberg'!L552="","",'Port Bloomberg'!L552)</f>
        <v/>
      </c>
      <c r="M552" s="7" t="str">
        <f>IF('Port Bloomberg'!M552="","",'Port Bloomberg'!M552)</f>
        <v/>
      </c>
      <c r="N552" s="7" t="str">
        <f>IF('Port Bloomberg'!N552="","",'Port Bloomberg'!N552)</f>
        <v/>
      </c>
      <c r="O552" s="7" t="str">
        <f>IF('Port Bloomberg'!O552="","",'Port Bloomberg'!O552)</f>
        <v/>
      </c>
      <c r="P552" s="7" t="str">
        <f>IF('Port Bloomberg'!P552="","",'Port Bloomberg'!P552)</f>
        <v/>
      </c>
      <c r="Q552" s="7" t="str">
        <f>IF('Port Bloomberg'!Q552="","",'Port Bloomberg'!Q552)</f>
        <v/>
      </c>
      <c r="R552" s="7" t="str">
        <f>IF('Port Bloomberg'!R552="","",'Port Bloomberg'!R552)</f>
        <v/>
      </c>
      <c r="S552" s="5" t="str">
        <f>IF(E552="","",IFERROR(IF(MATCH(E552,[1]Instrumentos!$D:$D,0)&gt;0,1,0),0))</f>
        <v/>
      </c>
      <c r="T552" s="5" t="str">
        <f>IF(E552="","",IFERROR(IF(MATCH(E552,'Lista de excepciones'!$E:$E,0)&gt;0,1,0),0))</f>
        <v/>
      </c>
      <c r="U552" s="6" t="str">
        <f t="shared" si="9"/>
        <v/>
      </c>
    </row>
    <row r="553" spans="1:21" hidden="1" x14ac:dyDescent="0.25">
      <c r="A553" s="7" t="str">
        <f>IF('Port Bloomberg'!A553="","",'Port Bloomberg'!A553)</f>
        <v/>
      </c>
      <c r="B553" s="7" t="str">
        <f>IF('Port Bloomberg'!B553="","",'Port Bloomberg'!B553)</f>
        <v/>
      </c>
      <c r="C553" s="7" t="str">
        <f>IF('Port Bloomberg'!C553="","",'Port Bloomberg'!C553)</f>
        <v/>
      </c>
      <c r="D553" s="7" t="str">
        <f>IF('Port Bloomberg'!D553="","",'Port Bloomberg'!D553)</f>
        <v/>
      </c>
      <c r="E553" s="7" t="str">
        <f>IF('Port Bloomberg'!E553="","",'Port Bloomberg'!E553)</f>
        <v/>
      </c>
      <c r="F553" s="7" t="str">
        <f>IF('Port Bloomberg'!F553="","",'Port Bloomberg'!F553)</f>
        <v/>
      </c>
      <c r="G553" s="7" t="str">
        <f>IF('Port Bloomberg'!G553="","",'Port Bloomberg'!G553)</f>
        <v/>
      </c>
      <c r="H553" s="7" t="str">
        <f>IF('Port Bloomberg'!H553="","",'Port Bloomberg'!H553)</f>
        <v/>
      </c>
      <c r="I553" s="7" t="str">
        <f>IF('Port Bloomberg'!I553="","",'Port Bloomberg'!I553)</f>
        <v/>
      </c>
      <c r="J553" s="7" t="str">
        <f>IF('Port Bloomberg'!J553="","",'Port Bloomberg'!J553)</f>
        <v/>
      </c>
      <c r="K553" s="7" t="str">
        <f>IF('Port Bloomberg'!K553="","",'Port Bloomberg'!K553)</f>
        <v/>
      </c>
      <c r="L553" s="7" t="str">
        <f>IF('Port Bloomberg'!L553="","",'Port Bloomberg'!L553)</f>
        <v/>
      </c>
      <c r="M553" s="7" t="str">
        <f>IF('Port Bloomberg'!M553="","",'Port Bloomberg'!M553)</f>
        <v/>
      </c>
      <c r="N553" s="7" t="str">
        <f>IF('Port Bloomberg'!N553="","",'Port Bloomberg'!N553)</f>
        <v/>
      </c>
      <c r="O553" s="7" t="str">
        <f>IF('Port Bloomberg'!O553="","",'Port Bloomberg'!O553)</f>
        <v/>
      </c>
      <c r="P553" s="7" t="str">
        <f>IF('Port Bloomberg'!P553="","",'Port Bloomberg'!P553)</f>
        <v/>
      </c>
      <c r="Q553" s="7" t="str">
        <f>IF('Port Bloomberg'!Q553="","",'Port Bloomberg'!Q553)</f>
        <v/>
      </c>
      <c r="R553" s="7" t="str">
        <f>IF('Port Bloomberg'!R553="","",'Port Bloomberg'!R553)</f>
        <v/>
      </c>
      <c r="S553" s="5" t="str">
        <f>IF(E553="","",IFERROR(IF(MATCH(E553,[1]Instrumentos!$D:$D,0)&gt;0,1,0),0))</f>
        <v/>
      </c>
      <c r="T553" s="5" t="str">
        <f>IF(E553="","",IFERROR(IF(MATCH(E553,'Lista de excepciones'!$E:$E,0)&gt;0,1,0),0))</f>
        <v/>
      </c>
      <c r="U553" s="6" t="str">
        <f t="shared" si="9"/>
        <v/>
      </c>
    </row>
    <row r="554" spans="1:21" hidden="1" x14ac:dyDescent="0.25">
      <c r="A554" s="7" t="str">
        <f>IF('Port Bloomberg'!A554="","",'Port Bloomberg'!A554)</f>
        <v/>
      </c>
      <c r="B554" s="7" t="str">
        <f>IF('Port Bloomberg'!B554="","",'Port Bloomberg'!B554)</f>
        <v/>
      </c>
      <c r="C554" s="7" t="str">
        <f>IF('Port Bloomberg'!C554="","",'Port Bloomberg'!C554)</f>
        <v/>
      </c>
      <c r="D554" s="7" t="str">
        <f>IF('Port Bloomberg'!D554="","",'Port Bloomberg'!D554)</f>
        <v/>
      </c>
      <c r="E554" s="7" t="str">
        <f>IF('Port Bloomberg'!E554="","",'Port Bloomberg'!E554)</f>
        <v/>
      </c>
      <c r="F554" s="7" t="str">
        <f>IF('Port Bloomberg'!F554="","",'Port Bloomberg'!F554)</f>
        <v/>
      </c>
      <c r="G554" s="7" t="str">
        <f>IF('Port Bloomberg'!G554="","",'Port Bloomberg'!G554)</f>
        <v/>
      </c>
      <c r="H554" s="7" t="str">
        <f>IF('Port Bloomberg'!H554="","",'Port Bloomberg'!H554)</f>
        <v/>
      </c>
      <c r="I554" s="7" t="str">
        <f>IF('Port Bloomberg'!I554="","",'Port Bloomberg'!I554)</f>
        <v/>
      </c>
      <c r="J554" s="7" t="str">
        <f>IF('Port Bloomberg'!J554="","",'Port Bloomberg'!J554)</f>
        <v/>
      </c>
      <c r="K554" s="7" t="str">
        <f>IF('Port Bloomberg'!K554="","",'Port Bloomberg'!K554)</f>
        <v/>
      </c>
      <c r="L554" s="7" t="str">
        <f>IF('Port Bloomberg'!L554="","",'Port Bloomberg'!L554)</f>
        <v/>
      </c>
      <c r="M554" s="7" t="str">
        <f>IF('Port Bloomberg'!M554="","",'Port Bloomberg'!M554)</f>
        <v/>
      </c>
      <c r="N554" s="7" t="str">
        <f>IF('Port Bloomberg'!N554="","",'Port Bloomberg'!N554)</f>
        <v/>
      </c>
      <c r="O554" s="7" t="str">
        <f>IF('Port Bloomberg'!O554="","",'Port Bloomberg'!O554)</f>
        <v/>
      </c>
      <c r="P554" s="7" t="str">
        <f>IF('Port Bloomberg'!P554="","",'Port Bloomberg'!P554)</f>
        <v/>
      </c>
      <c r="Q554" s="7" t="str">
        <f>IF('Port Bloomberg'!Q554="","",'Port Bloomberg'!Q554)</f>
        <v/>
      </c>
      <c r="R554" s="7" t="str">
        <f>IF('Port Bloomberg'!R554="","",'Port Bloomberg'!R554)</f>
        <v/>
      </c>
      <c r="S554" s="5" t="str">
        <f>IF(E554="","",IFERROR(IF(MATCH(E554,[1]Instrumentos!$D:$D,0)&gt;0,1,0),0))</f>
        <v/>
      </c>
      <c r="T554" s="5" t="str">
        <f>IF(E554="","",IFERROR(IF(MATCH(E554,'Lista de excepciones'!$E:$E,0)&gt;0,1,0),0))</f>
        <v/>
      </c>
      <c r="U554" s="6" t="str">
        <f t="shared" si="9"/>
        <v/>
      </c>
    </row>
    <row r="555" spans="1:21" hidden="1" x14ac:dyDescent="0.25">
      <c r="A555" s="7" t="str">
        <f>IF('Port Bloomberg'!A555="","",'Port Bloomberg'!A555)</f>
        <v/>
      </c>
      <c r="B555" s="7" t="str">
        <f>IF('Port Bloomberg'!B555="","",'Port Bloomberg'!B555)</f>
        <v/>
      </c>
      <c r="C555" s="7" t="str">
        <f>IF('Port Bloomberg'!C555="","",'Port Bloomberg'!C555)</f>
        <v/>
      </c>
      <c r="D555" s="7" t="str">
        <f>IF('Port Bloomberg'!D555="","",'Port Bloomberg'!D555)</f>
        <v/>
      </c>
      <c r="E555" s="7" t="str">
        <f>IF('Port Bloomberg'!E555="","",'Port Bloomberg'!E555)</f>
        <v/>
      </c>
      <c r="F555" s="7" t="str">
        <f>IF('Port Bloomberg'!F555="","",'Port Bloomberg'!F555)</f>
        <v/>
      </c>
      <c r="G555" s="7" t="str">
        <f>IF('Port Bloomberg'!G555="","",'Port Bloomberg'!G555)</f>
        <v/>
      </c>
      <c r="H555" s="7" t="str">
        <f>IF('Port Bloomberg'!H555="","",'Port Bloomberg'!H555)</f>
        <v/>
      </c>
      <c r="I555" s="7" t="str">
        <f>IF('Port Bloomberg'!I555="","",'Port Bloomberg'!I555)</f>
        <v/>
      </c>
      <c r="J555" s="7" t="str">
        <f>IF('Port Bloomberg'!J555="","",'Port Bloomberg'!J555)</f>
        <v/>
      </c>
      <c r="K555" s="7" t="str">
        <f>IF('Port Bloomberg'!K555="","",'Port Bloomberg'!K555)</f>
        <v/>
      </c>
      <c r="L555" s="7" t="str">
        <f>IF('Port Bloomberg'!L555="","",'Port Bloomberg'!L555)</f>
        <v/>
      </c>
      <c r="M555" s="7" t="str">
        <f>IF('Port Bloomberg'!M555="","",'Port Bloomberg'!M555)</f>
        <v/>
      </c>
      <c r="N555" s="7" t="str">
        <f>IF('Port Bloomberg'!N555="","",'Port Bloomberg'!N555)</f>
        <v/>
      </c>
      <c r="O555" s="7" t="str">
        <f>IF('Port Bloomberg'!O555="","",'Port Bloomberg'!O555)</f>
        <v/>
      </c>
      <c r="P555" s="7" t="str">
        <f>IF('Port Bloomberg'!P555="","",'Port Bloomberg'!P555)</f>
        <v/>
      </c>
      <c r="Q555" s="7" t="str">
        <f>IF('Port Bloomberg'!Q555="","",'Port Bloomberg'!Q555)</f>
        <v/>
      </c>
      <c r="R555" s="7" t="str">
        <f>IF('Port Bloomberg'!R555="","",'Port Bloomberg'!R555)</f>
        <v/>
      </c>
      <c r="S555" s="5" t="str">
        <f>IF(E555="","",IFERROR(IF(MATCH(E555,[1]Instrumentos!$D:$D,0)&gt;0,1,0),0))</f>
        <v/>
      </c>
      <c r="T555" s="5" t="str">
        <f>IF(E555="","",IFERROR(IF(MATCH(E555,'Lista de excepciones'!$E:$E,0)&gt;0,1,0),0))</f>
        <v/>
      </c>
      <c r="U555" s="6" t="str">
        <f t="shared" si="9"/>
        <v/>
      </c>
    </row>
    <row r="556" spans="1:21" hidden="1" x14ac:dyDescent="0.25">
      <c r="A556" s="7" t="str">
        <f>IF('Port Bloomberg'!A556="","",'Port Bloomberg'!A556)</f>
        <v/>
      </c>
      <c r="B556" s="7" t="str">
        <f>IF('Port Bloomberg'!B556="","",'Port Bloomberg'!B556)</f>
        <v/>
      </c>
      <c r="C556" s="7" t="str">
        <f>IF('Port Bloomberg'!C556="","",'Port Bloomberg'!C556)</f>
        <v/>
      </c>
      <c r="D556" s="7" t="str">
        <f>IF('Port Bloomberg'!D556="","",'Port Bloomberg'!D556)</f>
        <v/>
      </c>
      <c r="E556" s="7" t="str">
        <f>IF('Port Bloomberg'!E556="","",'Port Bloomberg'!E556)</f>
        <v/>
      </c>
      <c r="F556" s="7" t="str">
        <f>IF('Port Bloomberg'!F556="","",'Port Bloomberg'!F556)</f>
        <v/>
      </c>
      <c r="G556" s="7" t="str">
        <f>IF('Port Bloomberg'!G556="","",'Port Bloomberg'!G556)</f>
        <v/>
      </c>
      <c r="H556" s="7" t="str">
        <f>IF('Port Bloomberg'!H556="","",'Port Bloomberg'!H556)</f>
        <v/>
      </c>
      <c r="I556" s="7" t="str">
        <f>IF('Port Bloomberg'!I556="","",'Port Bloomberg'!I556)</f>
        <v/>
      </c>
      <c r="J556" s="7" t="str">
        <f>IF('Port Bloomberg'!J556="","",'Port Bloomberg'!J556)</f>
        <v/>
      </c>
      <c r="K556" s="7" t="str">
        <f>IF('Port Bloomberg'!K556="","",'Port Bloomberg'!K556)</f>
        <v/>
      </c>
      <c r="L556" s="7" t="str">
        <f>IF('Port Bloomberg'!L556="","",'Port Bloomberg'!L556)</f>
        <v/>
      </c>
      <c r="M556" s="7" t="str">
        <f>IF('Port Bloomberg'!M556="","",'Port Bloomberg'!M556)</f>
        <v/>
      </c>
      <c r="N556" s="7" t="str">
        <f>IF('Port Bloomberg'!N556="","",'Port Bloomberg'!N556)</f>
        <v/>
      </c>
      <c r="O556" s="7" t="str">
        <f>IF('Port Bloomberg'!O556="","",'Port Bloomberg'!O556)</f>
        <v/>
      </c>
      <c r="P556" s="7" t="str">
        <f>IF('Port Bloomberg'!P556="","",'Port Bloomberg'!P556)</f>
        <v/>
      </c>
      <c r="Q556" s="7" t="str">
        <f>IF('Port Bloomberg'!Q556="","",'Port Bloomberg'!Q556)</f>
        <v/>
      </c>
      <c r="R556" s="7" t="str">
        <f>IF('Port Bloomberg'!R556="","",'Port Bloomberg'!R556)</f>
        <v/>
      </c>
      <c r="S556" s="5" t="str">
        <f>IF(E556="","",IFERROR(IF(MATCH(E556,[1]Instrumentos!$D:$D,0)&gt;0,1,0),0))</f>
        <v/>
      </c>
      <c r="T556" s="5" t="str">
        <f>IF(E556="","",IFERROR(IF(MATCH(E556,'Lista de excepciones'!$E:$E,0)&gt;0,1,0),0))</f>
        <v/>
      </c>
      <c r="U556" s="6" t="str">
        <f t="shared" si="9"/>
        <v/>
      </c>
    </row>
    <row r="557" spans="1:21" hidden="1" x14ac:dyDescent="0.25">
      <c r="A557" s="7" t="str">
        <f>IF('Port Bloomberg'!A557="","",'Port Bloomberg'!A557)</f>
        <v/>
      </c>
      <c r="B557" s="7" t="str">
        <f>IF('Port Bloomberg'!B557="","",'Port Bloomberg'!B557)</f>
        <v/>
      </c>
      <c r="C557" s="7" t="str">
        <f>IF('Port Bloomberg'!C557="","",'Port Bloomberg'!C557)</f>
        <v/>
      </c>
      <c r="D557" s="7" t="str">
        <f>IF('Port Bloomberg'!D557="","",'Port Bloomberg'!D557)</f>
        <v/>
      </c>
      <c r="E557" s="7" t="str">
        <f>IF('Port Bloomberg'!E557="","",'Port Bloomberg'!E557)</f>
        <v/>
      </c>
      <c r="F557" s="7" t="str">
        <f>IF('Port Bloomberg'!F557="","",'Port Bloomberg'!F557)</f>
        <v/>
      </c>
      <c r="G557" s="7" t="str">
        <f>IF('Port Bloomberg'!G557="","",'Port Bloomberg'!G557)</f>
        <v/>
      </c>
      <c r="H557" s="7" t="str">
        <f>IF('Port Bloomberg'!H557="","",'Port Bloomberg'!H557)</f>
        <v/>
      </c>
      <c r="I557" s="7" t="str">
        <f>IF('Port Bloomberg'!I557="","",'Port Bloomberg'!I557)</f>
        <v/>
      </c>
      <c r="J557" s="7" t="str">
        <f>IF('Port Bloomberg'!J557="","",'Port Bloomberg'!J557)</f>
        <v/>
      </c>
      <c r="K557" s="7" t="str">
        <f>IF('Port Bloomberg'!K557="","",'Port Bloomberg'!K557)</f>
        <v/>
      </c>
      <c r="L557" s="7" t="str">
        <f>IF('Port Bloomberg'!L557="","",'Port Bloomberg'!L557)</f>
        <v/>
      </c>
      <c r="M557" s="7" t="str">
        <f>IF('Port Bloomberg'!M557="","",'Port Bloomberg'!M557)</f>
        <v/>
      </c>
      <c r="N557" s="7" t="str">
        <f>IF('Port Bloomberg'!N557="","",'Port Bloomberg'!N557)</f>
        <v/>
      </c>
      <c r="O557" s="7" t="str">
        <f>IF('Port Bloomberg'!O557="","",'Port Bloomberg'!O557)</f>
        <v/>
      </c>
      <c r="P557" s="7" t="str">
        <f>IF('Port Bloomberg'!P557="","",'Port Bloomberg'!P557)</f>
        <v/>
      </c>
      <c r="Q557" s="7" t="str">
        <f>IF('Port Bloomberg'!Q557="","",'Port Bloomberg'!Q557)</f>
        <v/>
      </c>
      <c r="R557" s="7" t="str">
        <f>IF('Port Bloomberg'!R557="","",'Port Bloomberg'!R557)</f>
        <v/>
      </c>
      <c r="S557" s="5" t="str">
        <f>IF(E557="","",IFERROR(IF(MATCH(E557,[1]Instrumentos!$D:$D,0)&gt;0,1,0),0))</f>
        <v/>
      </c>
      <c r="T557" s="5" t="str">
        <f>IF(E557="","",IFERROR(IF(MATCH(E557,'Lista de excepciones'!$E:$E,0)&gt;0,1,0),0))</f>
        <v/>
      </c>
      <c r="U557" s="6" t="str">
        <f t="shared" si="9"/>
        <v/>
      </c>
    </row>
    <row r="558" spans="1:21" hidden="1" x14ac:dyDescent="0.25">
      <c r="A558" s="7" t="str">
        <f>IF('Port Bloomberg'!A558="","",'Port Bloomberg'!A558)</f>
        <v/>
      </c>
      <c r="B558" s="7" t="str">
        <f>IF('Port Bloomberg'!B558="","",'Port Bloomberg'!B558)</f>
        <v/>
      </c>
      <c r="C558" s="7" t="str">
        <f>IF('Port Bloomberg'!C558="","",'Port Bloomberg'!C558)</f>
        <v/>
      </c>
      <c r="D558" s="7" t="str">
        <f>IF('Port Bloomberg'!D558="","",'Port Bloomberg'!D558)</f>
        <v/>
      </c>
      <c r="E558" s="7" t="str">
        <f>IF('Port Bloomberg'!E558="","",'Port Bloomberg'!E558)</f>
        <v/>
      </c>
      <c r="F558" s="7" t="str">
        <f>IF('Port Bloomberg'!F558="","",'Port Bloomberg'!F558)</f>
        <v/>
      </c>
      <c r="G558" s="7" t="str">
        <f>IF('Port Bloomberg'!G558="","",'Port Bloomberg'!G558)</f>
        <v/>
      </c>
      <c r="H558" s="7" t="str">
        <f>IF('Port Bloomberg'!H558="","",'Port Bloomberg'!H558)</f>
        <v/>
      </c>
      <c r="I558" s="7" t="str">
        <f>IF('Port Bloomberg'!I558="","",'Port Bloomberg'!I558)</f>
        <v/>
      </c>
      <c r="J558" s="7" t="str">
        <f>IF('Port Bloomberg'!J558="","",'Port Bloomberg'!J558)</f>
        <v/>
      </c>
      <c r="K558" s="7" t="str">
        <f>IF('Port Bloomberg'!K558="","",'Port Bloomberg'!K558)</f>
        <v/>
      </c>
      <c r="L558" s="7" t="str">
        <f>IF('Port Bloomberg'!L558="","",'Port Bloomberg'!L558)</f>
        <v/>
      </c>
      <c r="M558" s="7" t="str">
        <f>IF('Port Bloomberg'!M558="","",'Port Bloomberg'!M558)</f>
        <v/>
      </c>
      <c r="N558" s="7" t="str">
        <f>IF('Port Bloomberg'!N558="","",'Port Bloomberg'!N558)</f>
        <v/>
      </c>
      <c r="O558" s="7" t="str">
        <f>IF('Port Bloomberg'!O558="","",'Port Bloomberg'!O558)</f>
        <v/>
      </c>
      <c r="P558" s="7" t="str">
        <f>IF('Port Bloomberg'!P558="","",'Port Bloomberg'!P558)</f>
        <v/>
      </c>
      <c r="Q558" s="7" t="str">
        <f>IF('Port Bloomberg'!Q558="","",'Port Bloomberg'!Q558)</f>
        <v/>
      </c>
      <c r="R558" s="7" t="str">
        <f>IF('Port Bloomberg'!R558="","",'Port Bloomberg'!R558)</f>
        <v/>
      </c>
      <c r="S558" s="5" t="str">
        <f>IF(E558="","",IFERROR(IF(MATCH(E558,[1]Instrumentos!$D:$D,0)&gt;0,1,0),0))</f>
        <v/>
      </c>
      <c r="T558" s="5" t="str">
        <f>IF(E558="","",IFERROR(IF(MATCH(E558,'Lista de excepciones'!$E:$E,0)&gt;0,1,0),0))</f>
        <v/>
      </c>
      <c r="U558" s="6" t="str">
        <f t="shared" si="9"/>
        <v/>
      </c>
    </row>
    <row r="559" spans="1:21" hidden="1" x14ac:dyDescent="0.25">
      <c r="A559" s="7" t="str">
        <f>IF('Port Bloomberg'!A559="","",'Port Bloomberg'!A559)</f>
        <v/>
      </c>
      <c r="B559" s="7" t="str">
        <f>IF('Port Bloomberg'!B559="","",'Port Bloomberg'!B559)</f>
        <v/>
      </c>
      <c r="C559" s="7" t="str">
        <f>IF('Port Bloomberg'!C559="","",'Port Bloomberg'!C559)</f>
        <v/>
      </c>
      <c r="D559" s="7" t="str">
        <f>IF('Port Bloomberg'!D559="","",'Port Bloomberg'!D559)</f>
        <v/>
      </c>
      <c r="E559" s="7" t="str">
        <f>IF('Port Bloomberg'!E559="","",'Port Bloomberg'!E559)</f>
        <v/>
      </c>
      <c r="F559" s="7" t="str">
        <f>IF('Port Bloomberg'!F559="","",'Port Bloomberg'!F559)</f>
        <v/>
      </c>
      <c r="G559" s="7" t="str">
        <f>IF('Port Bloomberg'!G559="","",'Port Bloomberg'!G559)</f>
        <v/>
      </c>
      <c r="H559" s="7" t="str">
        <f>IF('Port Bloomberg'!H559="","",'Port Bloomberg'!H559)</f>
        <v/>
      </c>
      <c r="I559" s="7" t="str">
        <f>IF('Port Bloomberg'!I559="","",'Port Bloomberg'!I559)</f>
        <v/>
      </c>
      <c r="J559" s="7" t="str">
        <f>IF('Port Bloomberg'!J559="","",'Port Bloomberg'!J559)</f>
        <v/>
      </c>
      <c r="K559" s="7" t="str">
        <f>IF('Port Bloomberg'!K559="","",'Port Bloomberg'!K559)</f>
        <v/>
      </c>
      <c r="L559" s="7" t="str">
        <f>IF('Port Bloomberg'!L559="","",'Port Bloomberg'!L559)</f>
        <v/>
      </c>
      <c r="M559" s="7" t="str">
        <f>IF('Port Bloomberg'!M559="","",'Port Bloomberg'!M559)</f>
        <v/>
      </c>
      <c r="N559" s="7" t="str">
        <f>IF('Port Bloomberg'!N559="","",'Port Bloomberg'!N559)</f>
        <v/>
      </c>
      <c r="O559" s="7" t="str">
        <f>IF('Port Bloomberg'!O559="","",'Port Bloomberg'!O559)</f>
        <v/>
      </c>
      <c r="P559" s="7" t="str">
        <f>IF('Port Bloomberg'!P559="","",'Port Bloomberg'!P559)</f>
        <v/>
      </c>
      <c r="Q559" s="7" t="str">
        <f>IF('Port Bloomberg'!Q559="","",'Port Bloomberg'!Q559)</f>
        <v/>
      </c>
      <c r="R559" s="7" t="str">
        <f>IF('Port Bloomberg'!R559="","",'Port Bloomberg'!R559)</f>
        <v/>
      </c>
      <c r="S559" s="5" t="str">
        <f>IF(E559="","",IFERROR(IF(MATCH(E559,[1]Instrumentos!$D:$D,0)&gt;0,1,0),0))</f>
        <v/>
      </c>
      <c r="T559" s="5" t="str">
        <f>IF(E559="","",IFERROR(IF(MATCH(E559,'Lista de excepciones'!$E:$E,0)&gt;0,1,0),0))</f>
        <v/>
      </c>
      <c r="U559" s="6" t="str">
        <f t="shared" si="9"/>
        <v/>
      </c>
    </row>
    <row r="560" spans="1:21" hidden="1" x14ac:dyDescent="0.25">
      <c r="A560" s="7" t="str">
        <f>IF('Port Bloomberg'!A560="","",'Port Bloomberg'!A560)</f>
        <v/>
      </c>
      <c r="B560" s="7" t="str">
        <f>IF('Port Bloomberg'!B560="","",'Port Bloomberg'!B560)</f>
        <v/>
      </c>
      <c r="C560" s="7" t="str">
        <f>IF('Port Bloomberg'!C560="","",'Port Bloomberg'!C560)</f>
        <v/>
      </c>
      <c r="D560" s="7" t="str">
        <f>IF('Port Bloomberg'!D560="","",'Port Bloomberg'!D560)</f>
        <v/>
      </c>
      <c r="E560" s="7" t="str">
        <f>IF('Port Bloomberg'!E560="","",'Port Bloomberg'!E560)</f>
        <v/>
      </c>
      <c r="F560" s="7" t="str">
        <f>IF('Port Bloomberg'!F560="","",'Port Bloomberg'!F560)</f>
        <v/>
      </c>
      <c r="G560" s="7" t="str">
        <f>IF('Port Bloomberg'!G560="","",'Port Bloomberg'!G560)</f>
        <v/>
      </c>
      <c r="H560" s="7" t="str">
        <f>IF('Port Bloomberg'!H560="","",'Port Bloomberg'!H560)</f>
        <v/>
      </c>
      <c r="I560" s="7" t="str">
        <f>IF('Port Bloomberg'!I560="","",'Port Bloomberg'!I560)</f>
        <v/>
      </c>
      <c r="J560" s="7" t="str">
        <f>IF('Port Bloomberg'!J560="","",'Port Bloomberg'!J560)</f>
        <v/>
      </c>
      <c r="K560" s="7" t="str">
        <f>IF('Port Bloomberg'!K560="","",'Port Bloomberg'!K560)</f>
        <v/>
      </c>
      <c r="L560" s="7" t="str">
        <f>IF('Port Bloomberg'!L560="","",'Port Bloomberg'!L560)</f>
        <v/>
      </c>
      <c r="M560" s="7" t="str">
        <f>IF('Port Bloomberg'!M560="","",'Port Bloomberg'!M560)</f>
        <v/>
      </c>
      <c r="N560" s="7" t="str">
        <f>IF('Port Bloomberg'!N560="","",'Port Bloomberg'!N560)</f>
        <v/>
      </c>
      <c r="O560" s="7" t="str">
        <f>IF('Port Bloomberg'!O560="","",'Port Bloomberg'!O560)</f>
        <v/>
      </c>
      <c r="P560" s="7" t="str">
        <f>IF('Port Bloomberg'!P560="","",'Port Bloomberg'!P560)</f>
        <v/>
      </c>
      <c r="Q560" s="7" t="str">
        <f>IF('Port Bloomberg'!Q560="","",'Port Bloomberg'!Q560)</f>
        <v/>
      </c>
      <c r="R560" s="7" t="str">
        <f>IF('Port Bloomberg'!R560="","",'Port Bloomberg'!R560)</f>
        <v/>
      </c>
      <c r="S560" s="5" t="str">
        <f>IF(E560="","",IFERROR(IF(MATCH(E560,[1]Instrumentos!$D:$D,0)&gt;0,1,0),0))</f>
        <v/>
      </c>
      <c r="T560" s="5" t="str">
        <f>IF(E560="","",IFERROR(IF(MATCH(E560,'Lista de excepciones'!$E:$E,0)&gt;0,1,0),0))</f>
        <v/>
      </c>
      <c r="U560" s="6" t="str">
        <f t="shared" si="9"/>
        <v/>
      </c>
    </row>
    <row r="561" spans="1:21" hidden="1" x14ac:dyDescent="0.25">
      <c r="A561" s="7" t="str">
        <f>IF('Port Bloomberg'!A561="","",'Port Bloomberg'!A561)</f>
        <v/>
      </c>
      <c r="B561" s="7" t="str">
        <f>IF('Port Bloomberg'!B561="","",'Port Bloomberg'!B561)</f>
        <v/>
      </c>
      <c r="C561" s="7" t="str">
        <f>IF('Port Bloomberg'!C561="","",'Port Bloomberg'!C561)</f>
        <v/>
      </c>
      <c r="D561" s="7" t="str">
        <f>IF('Port Bloomberg'!D561="","",'Port Bloomberg'!D561)</f>
        <v/>
      </c>
      <c r="E561" s="7" t="str">
        <f>IF('Port Bloomberg'!E561="","",'Port Bloomberg'!E561)</f>
        <v/>
      </c>
      <c r="F561" s="7" t="str">
        <f>IF('Port Bloomberg'!F561="","",'Port Bloomberg'!F561)</f>
        <v/>
      </c>
      <c r="G561" s="7" t="str">
        <f>IF('Port Bloomberg'!G561="","",'Port Bloomberg'!G561)</f>
        <v/>
      </c>
      <c r="H561" s="7" t="str">
        <f>IF('Port Bloomberg'!H561="","",'Port Bloomberg'!H561)</f>
        <v/>
      </c>
      <c r="I561" s="7" t="str">
        <f>IF('Port Bloomberg'!I561="","",'Port Bloomberg'!I561)</f>
        <v/>
      </c>
      <c r="J561" s="7" t="str">
        <f>IF('Port Bloomberg'!J561="","",'Port Bloomberg'!J561)</f>
        <v/>
      </c>
      <c r="K561" s="7" t="str">
        <f>IF('Port Bloomberg'!K561="","",'Port Bloomberg'!K561)</f>
        <v/>
      </c>
      <c r="L561" s="7" t="str">
        <f>IF('Port Bloomberg'!L561="","",'Port Bloomberg'!L561)</f>
        <v/>
      </c>
      <c r="M561" s="7" t="str">
        <f>IF('Port Bloomberg'!M561="","",'Port Bloomberg'!M561)</f>
        <v/>
      </c>
      <c r="N561" s="7" t="str">
        <f>IF('Port Bloomberg'!N561="","",'Port Bloomberg'!N561)</f>
        <v/>
      </c>
      <c r="O561" s="7" t="str">
        <f>IF('Port Bloomberg'!O561="","",'Port Bloomberg'!O561)</f>
        <v/>
      </c>
      <c r="P561" s="7" t="str">
        <f>IF('Port Bloomberg'!P561="","",'Port Bloomberg'!P561)</f>
        <v/>
      </c>
      <c r="Q561" s="7" t="str">
        <f>IF('Port Bloomberg'!Q561="","",'Port Bloomberg'!Q561)</f>
        <v/>
      </c>
      <c r="R561" s="7" t="str">
        <f>IF('Port Bloomberg'!R561="","",'Port Bloomberg'!R561)</f>
        <v/>
      </c>
      <c r="S561" s="5" t="str">
        <f>IF(E561="","",IFERROR(IF(MATCH(E561,[1]Instrumentos!$D:$D,0)&gt;0,1,0),0))</f>
        <v/>
      </c>
      <c r="T561" s="5" t="str">
        <f>IF(E561="","",IFERROR(IF(MATCH(E561,'Lista de excepciones'!$E:$E,0)&gt;0,1,0),0))</f>
        <v/>
      </c>
      <c r="U561" s="6" t="str">
        <f t="shared" si="9"/>
        <v/>
      </c>
    </row>
    <row r="562" spans="1:21" hidden="1" x14ac:dyDescent="0.25">
      <c r="A562" s="7" t="str">
        <f>IF('Port Bloomberg'!A562="","",'Port Bloomberg'!A562)</f>
        <v/>
      </c>
      <c r="B562" s="7" t="str">
        <f>IF('Port Bloomberg'!B562="","",'Port Bloomberg'!B562)</f>
        <v/>
      </c>
      <c r="C562" s="7" t="str">
        <f>IF('Port Bloomberg'!C562="","",'Port Bloomberg'!C562)</f>
        <v/>
      </c>
      <c r="D562" s="7" t="str">
        <f>IF('Port Bloomberg'!D562="","",'Port Bloomberg'!D562)</f>
        <v/>
      </c>
      <c r="E562" s="7" t="str">
        <f>IF('Port Bloomberg'!E562="","",'Port Bloomberg'!E562)</f>
        <v/>
      </c>
      <c r="F562" s="7" t="str">
        <f>IF('Port Bloomberg'!F562="","",'Port Bloomberg'!F562)</f>
        <v/>
      </c>
      <c r="G562" s="7" t="str">
        <f>IF('Port Bloomberg'!G562="","",'Port Bloomberg'!G562)</f>
        <v/>
      </c>
      <c r="H562" s="7" t="str">
        <f>IF('Port Bloomberg'!H562="","",'Port Bloomberg'!H562)</f>
        <v/>
      </c>
      <c r="I562" s="7" t="str">
        <f>IF('Port Bloomberg'!I562="","",'Port Bloomberg'!I562)</f>
        <v/>
      </c>
      <c r="J562" s="7" t="str">
        <f>IF('Port Bloomberg'!J562="","",'Port Bloomberg'!J562)</f>
        <v/>
      </c>
      <c r="K562" s="7" t="str">
        <f>IF('Port Bloomberg'!K562="","",'Port Bloomberg'!K562)</f>
        <v/>
      </c>
      <c r="L562" s="7" t="str">
        <f>IF('Port Bloomberg'!L562="","",'Port Bloomberg'!L562)</f>
        <v/>
      </c>
      <c r="M562" s="7" t="str">
        <f>IF('Port Bloomberg'!M562="","",'Port Bloomberg'!M562)</f>
        <v/>
      </c>
      <c r="N562" s="7" t="str">
        <f>IF('Port Bloomberg'!N562="","",'Port Bloomberg'!N562)</f>
        <v/>
      </c>
      <c r="O562" s="7" t="str">
        <f>IF('Port Bloomberg'!O562="","",'Port Bloomberg'!O562)</f>
        <v/>
      </c>
      <c r="P562" s="7" t="str">
        <f>IF('Port Bloomberg'!P562="","",'Port Bloomberg'!P562)</f>
        <v/>
      </c>
      <c r="Q562" s="7" t="str">
        <f>IF('Port Bloomberg'!Q562="","",'Port Bloomberg'!Q562)</f>
        <v/>
      </c>
      <c r="R562" s="7" t="str">
        <f>IF('Port Bloomberg'!R562="","",'Port Bloomberg'!R562)</f>
        <v/>
      </c>
      <c r="S562" s="5" t="str">
        <f>IF(E562="","",IFERROR(IF(MATCH(E562,[1]Instrumentos!$D:$D,0)&gt;0,1,0),0))</f>
        <v/>
      </c>
      <c r="T562" s="5" t="str">
        <f>IF(E562="","",IFERROR(IF(MATCH(E562,'Lista de excepciones'!$E:$E,0)&gt;0,1,0),0))</f>
        <v/>
      </c>
      <c r="U562" s="6" t="str">
        <f t="shared" si="9"/>
        <v/>
      </c>
    </row>
    <row r="563" spans="1:21" hidden="1" x14ac:dyDescent="0.25">
      <c r="A563" s="7" t="str">
        <f>IF('Port Bloomberg'!A563="","",'Port Bloomberg'!A563)</f>
        <v/>
      </c>
      <c r="B563" s="7" t="str">
        <f>IF('Port Bloomberg'!B563="","",'Port Bloomberg'!B563)</f>
        <v/>
      </c>
      <c r="C563" s="7" t="str">
        <f>IF('Port Bloomberg'!C563="","",'Port Bloomberg'!C563)</f>
        <v/>
      </c>
      <c r="D563" s="7" t="str">
        <f>IF('Port Bloomberg'!D563="","",'Port Bloomberg'!D563)</f>
        <v/>
      </c>
      <c r="E563" s="7" t="str">
        <f>IF('Port Bloomberg'!E563="","",'Port Bloomberg'!E563)</f>
        <v/>
      </c>
      <c r="F563" s="7" t="str">
        <f>IF('Port Bloomberg'!F563="","",'Port Bloomberg'!F563)</f>
        <v/>
      </c>
      <c r="G563" s="7" t="str">
        <f>IF('Port Bloomberg'!G563="","",'Port Bloomberg'!G563)</f>
        <v/>
      </c>
      <c r="H563" s="7" t="str">
        <f>IF('Port Bloomberg'!H563="","",'Port Bloomberg'!H563)</f>
        <v/>
      </c>
      <c r="I563" s="7" t="str">
        <f>IF('Port Bloomberg'!I563="","",'Port Bloomberg'!I563)</f>
        <v/>
      </c>
      <c r="J563" s="7" t="str">
        <f>IF('Port Bloomberg'!J563="","",'Port Bloomberg'!J563)</f>
        <v/>
      </c>
      <c r="K563" s="7" t="str">
        <f>IF('Port Bloomberg'!K563="","",'Port Bloomberg'!K563)</f>
        <v/>
      </c>
      <c r="L563" s="7" t="str">
        <f>IF('Port Bloomberg'!L563="","",'Port Bloomberg'!L563)</f>
        <v/>
      </c>
      <c r="M563" s="7" t="str">
        <f>IF('Port Bloomberg'!M563="","",'Port Bloomberg'!M563)</f>
        <v/>
      </c>
      <c r="N563" s="7" t="str">
        <f>IF('Port Bloomberg'!N563="","",'Port Bloomberg'!N563)</f>
        <v/>
      </c>
      <c r="O563" s="7" t="str">
        <f>IF('Port Bloomberg'!O563="","",'Port Bloomberg'!O563)</f>
        <v/>
      </c>
      <c r="P563" s="7" t="str">
        <f>IF('Port Bloomberg'!P563="","",'Port Bloomberg'!P563)</f>
        <v/>
      </c>
      <c r="Q563" s="7" t="str">
        <f>IF('Port Bloomberg'!Q563="","",'Port Bloomberg'!Q563)</f>
        <v/>
      </c>
      <c r="R563" s="7" t="str">
        <f>IF('Port Bloomberg'!R563="","",'Port Bloomberg'!R563)</f>
        <v/>
      </c>
      <c r="S563" s="5" t="str">
        <f>IF(E563="","",IFERROR(IF(MATCH(E563,[1]Instrumentos!$D:$D,0)&gt;0,1,0),0))</f>
        <v/>
      </c>
      <c r="T563" s="5" t="str">
        <f>IF(E563="","",IFERROR(IF(MATCH(E563,'Lista de excepciones'!$E:$E,0)&gt;0,1,0),0))</f>
        <v/>
      </c>
      <c r="U563" s="6" t="str">
        <f t="shared" si="9"/>
        <v/>
      </c>
    </row>
    <row r="564" spans="1:21" hidden="1" x14ac:dyDescent="0.25">
      <c r="A564" s="7" t="str">
        <f>IF('Port Bloomberg'!A564="","",'Port Bloomberg'!A564)</f>
        <v/>
      </c>
      <c r="B564" s="7" t="str">
        <f>IF('Port Bloomberg'!B564="","",'Port Bloomberg'!B564)</f>
        <v/>
      </c>
      <c r="C564" s="7" t="str">
        <f>IF('Port Bloomberg'!C564="","",'Port Bloomberg'!C564)</f>
        <v/>
      </c>
      <c r="D564" s="7" t="str">
        <f>IF('Port Bloomberg'!D564="","",'Port Bloomberg'!D564)</f>
        <v/>
      </c>
      <c r="E564" s="7" t="str">
        <f>IF('Port Bloomberg'!E564="","",'Port Bloomberg'!E564)</f>
        <v/>
      </c>
      <c r="F564" s="7" t="str">
        <f>IF('Port Bloomberg'!F564="","",'Port Bloomberg'!F564)</f>
        <v/>
      </c>
      <c r="G564" s="7" t="str">
        <f>IF('Port Bloomberg'!G564="","",'Port Bloomberg'!G564)</f>
        <v/>
      </c>
      <c r="H564" s="7" t="str">
        <f>IF('Port Bloomberg'!H564="","",'Port Bloomberg'!H564)</f>
        <v/>
      </c>
      <c r="I564" s="7" t="str">
        <f>IF('Port Bloomberg'!I564="","",'Port Bloomberg'!I564)</f>
        <v/>
      </c>
      <c r="J564" s="7" t="str">
        <f>IF('Port Bloomberg'!J564="","",'Port Bloomberg'!J564)</f>
        <v/>
      </c>
      <c r="K564" s="7" t="str">
        <f>IF('Port Bloomberg'!K564="","",'Port Bloomberg'!K564)</f>
        <v/>
      </c>
      <c r="L564" s="7" t="str">
        <f>IF('Port Bloomberg'!L564="","",'Port Bloomberg'!L564)</f>
        <v/>
      </c>
      <c r="M564" s="7" t="str">
        <f>IF('Port Bloomberg'!M564="","",'Port Bloomberg'!M564)</f>
        <v/>
      </c>
      <c r="N564" s="7" t="str">
        <f>IF('Port Bloomberg'!N564="","",'Port Bloomberg'!N564)</f>
        <v/>
      </c>
      <c r="O564" s="7" t="str">
        <f>IF('Port Bloomberg'!O564="","",'Port Bloomberg'!O564)</f>
        <v/>
      </c>
      <c r="P564" s="7" t="str">
        <f>IF('Port Bloomberg'!P564="","",'Port Bloomberg'!P564)</f>
        <v/>
      </c>
      <c r="Q564" s="7" t="str">
        <f>IF('Port Bloomberg'!Q564="","",'Port Bloomberg'!Q564)</f>
        <v/>
      </c>
      <c r="R564" s="7" t="str">
        <f>IF('Port Bloomberg'!R564="","",'Port Bloomberg'!R564)</f>
        <v/>
      </c>
      <c r="S564" s="5" t="str">
        <f>IF(E564="","",IFERROR(IF(MATCH(E564,[1]Instrumentos!$D:$D,0)&gt;0,1,0),0))</f>
        <v/>
      </c>
      <c r="T564" s="5" t="str">
        <f>IF(E564="","",IFERROR(IF(MATCH(E564,'Lista de excepciones'!$E:$E,0)&gt;0,1,0),0))</f>
        <v/>
      </c>
      <c r="U564" s="6" t="str">
        <f t="shared" si="9"/>
        <v/>
      </c>
    </row>
    <row r="565" spans="1:21" hidden="1" x14ac:dyDescent="0.25">
      <c r="A565" s="7" t="str">
        <f>IF('Port Bloomberg'!A565="","",'Port Bloomberg'!A565)</f>
        <v/>
      </c>
      <c r="B565" s="7" t="str">
        <f>IF('Port Bloomberg'!B565="","",'Port Bloomberg'!B565)</f>
        <v/>
      </c>
      <c r="C565" s="7" t="str">
        <f>IF('Port Bloomberg'!C565="","",'Port Bloomberg'!C565)</f>
        <v/>
      </c>
      <c r="D565" s="7" t="str">
        <f>IF('Port Bloomberg'!D565="","",'Port Bloomberg'!D565)</f>
        <v/>
      </c>
      <c r="E565" s="7" t="str">
        <f>IF('Port Bloomberg'!E565="","",'Port Bloomberg'!E565)</f>
        <v/>
      </c>
      <c r="F565" s="7" t="str">
        <f>IF('Port Bloomberg'!F565="","",'Port Bloomberg'!F565)</f>
        <v/>
      </c>
      <c r="G565" s="7" t="str">
        <f>IF('Port Bloomberg'!G565="","",'Port Bloomberg'!G565)</f>
        <v/>
      </c>
      <c r="H565" s="7" t="str">
        <f>IF('Port Bloomberg'!H565="","",'Port Bloomberg'!H565)</f>
        <v/>
      </c>
      <c r="I565" s="7" t="str">
        <f>IF('Port Bloomberg'!I565="","",'Port Bloomberg'!I565)</f>
        <v/>
      </c>
      <c r="J565" s="7" t="str">
        <f>IF('Port Bloomberg'!J565="","",'Port Bloomberg'!J565)</f>
        <v/>
      </c>
      <c r="K565" s="7" t="str">
        <f>IF('Port Bloomberg'!K565="","",'Port Bloomberg'!K565)</f>
        <v/>
      </c>
      <c r="L565" s="7" t="str">
        <f>IF('Port Bloomberg'!L565="","",'Port Bloomberg'!L565)</f>
        <v/>
      </c>
      <c r="M565" s="7" t="str">
        <f>IF('Port Bloomberg'!M565="","",'Port Bloomberg'!M565)</f>
        <v/>
      </c>
      <c r="N565" s="7" t="str">
        <f>IF('Port Bloomberg'!N565="","",'Port Bloomberg'!N565)</f>
        <v/>
      </c>
      <c r="O565" s="7" t="str">
        <f>IF('Port Bloomberg'!O565="","",'Port Bloomberg'!O565)</f>
        <v/>
      </c>
      <c r="P565" s="7" t="str">
        <f>IF('Port Bloomberg'!P565="","",'Port Bloomberg'!P565)</f>
        <v/>
      </c>
      <c r="Q565" s="7" t="str">
        <f>IF('Port Bloomberg'!Q565="","",'Port Bloomberg'!Q565)</f>
        <v/>
      </c>
      <c r="R565" s="7" t="str">
        <f>IF('Port Bloomberg'!R565="","",'Port Bloomberg'!R565)</f>
        <v/>
      </c>
      <c r="S565" s="5" t="str">
        <f>IF(E565="","",IFERROR(IF(MATCH(E565,[1]Instrumentos!$D:$D,0)&gt;0,1,0),0))</f>
        <v/>
      </c>
      <c r="T565" s="5" t="str">
        <f>IF(E565="","",IFERROR(IF(MATCH(E565,'Lista de excepciones'!$E:$E,0)&gt;0,1,0),0))</f>
        <v/>
      </c>
      <c r="U565" s="6" t="str">
        <f t="shared" si="9"/>
        <v/>
      </c>
    </row>
    <row r="566" spans="1:21" hidden="1" x14ac:dyDescent="0.25">
      <c r="A566" s="7" t="str">
        <f>IF('Port Bloomberg'!A566="","",'Port Bloomberg'!A566)</f>
        <v/>
      </c>
      <c r="B566" s="7" t="str">
        <f>IF('Port Bloomberg'!B566="","",'Port Bloomberg'!B566)</f>
        <v/>
      </c>
      <c r="C566" s="7" t="str">
        <f>IF('Port Bloomberg'!C566="","",'Port Bloomberg'!C566)</f>
        <v/>
      </c>
      <c r="D566" s="7" t="str">
        <f>IF('Port Bloomberg'!D566="","",'Port Bloomberg'!D566)</f>
        <v/>
      </c>
      <c r="E566" s="7" t="str">
        <f>IF('Port Bloomberg'!E566="","",'Port Bloomberg'!E566)</f>
        <v/>
      </c>
      <c r="F566" s="7" t="str">
        <f>IF('Port Bloomberg'!F566="","",'Port Bloomberg'!F566)</f>
        <v/>
      </c>
      <c r="G566" s="7" t="str">
        <f>IF('Port Bloomberg'!G566="","",'Port Bloomberg'!G566)</f>
        <v/>
      </c>
      <c r="H566" s="7" t="str">
        <f>IF('Port Bloomberg'!H566="","",'Port Bloomberg'!H566)</f>
        <v/>
      </c>
      <c r="I566" s="7" t="str">
        <f>IF('Port Bloomberg'!I566="","",'Port Bloomberg'!I566)</f>
        <v/>
      </c>
      <c r="J566" s="7" t="str">
        <f>IF('Port Bloomberg'!J566="","",'Port Bloomberg'!J566)</f>
        <v/>
      </c>
      <c r="K566" s="7" t="str">
        <f>IF('Port Bloomberg'!K566="","",'Port Bloomberg'!K566)</f>
        <v/>
      </c>
      <c r="L566" s="7" t="str">
        <f>IF('Port Bloomberg'!L566="","",'Port Bloomberg'!L566)</f>
        <v/>
      </c>
      <c r="M566" s="7" t="str">
        <f>IF('Port Bloomberg'!M566="","",'Port Bloomberg'!M566)</f>
        <v/>
      </c>
      <c r="N566" s="7" t="str">
        <f>IF('Port Bloomberg'!N566="","",'Port Bloomberg'!N566)</f>
        <v/>
      </c>
      <c r="O566" s="7" t="str">
        <f>IF('Port Bloomberg'!O566="","",'Port Bloomberg'!O566)</f>
        <v/>
      </c>
      <c r="P566" s="7" t="str">
        <f>IF('Port Bloomberg'!P566="","",'Port Bloomberg'!P566)</f>
        <v/>
      </c>
      <c r="Q566" s="7" t="str">
        <f>IF('Port Bloomberg'!Q566="","",'Port Bloomberg'!Q566)</f>
        <v/>
      </c>
      <c r="R566" s="7" t="str">
        <f>IF('Port Bloomberg'!R566="","",'Port Bloomberg'!R566)</f>
        <v/>
      </c>
      <c r="S566" s="5" t="str">
        <f>IF(E566="","",IFERROR(IF(MATCH(E566,[1]Instrumentos!$D:$D,0)&gt;0,1,0),0))</f>
        <v/>
      </c>
      <c r="T566" s="5" t="str">
        <f>IF(E566="","",IFERROR(IF(MATCH(E566,'Lista de excepciones'!$E:$E,0)&gt;0,1,0),0))</f>
        <v/>
      </c>
      <c r="U566" s="6" t="str">
        <f t="shared" si="9"/>
        <v/>
      </c>
    </row>
    <row r="567" spans="1:21" hidden="1" x14ac:dyDescent="0.25">
      <c r="A567" s="7" t="str">
        <f>IF('Port Bloomberg'!A567="","",'Port Bloomberg'!A567)</f>
        <v/>
      </c>
      <c r="B567" s="7" t="str">
        <f>IF('Port Bloomberg'!B567="","",'Port Bloomberg'!B567)</f>
        <v/>
      </c>
      <c r="C567" s="7" t="str">
        <f>IF('Port Bloomberg'!C567="","",'Port Bloomberg'!C567)</f>
        <v/>
      </c>
      <c r="D567" s="7" t="str">
        <f>IF('Port Bloomberg'!D567="","",'Port Bloomberg'!D567)</f>
        <v/>
      </c>
      <c r="E567" s="7" t="str">
        <f>IF('Port Bloomberg'!E567="","",'Port Bloomberg'!E567)</f>
        <v/>
      </c>
      <c r="F567" s="7" t="str">
        <f>IF('Port Bloomberg'!F567="","",'Port Bloomberg'!F567)</f>
        <v/>
      </c>
      <c r="G567" s="7" t="str">
        <f>IF('Port Bloomberg'!G567="","",'Port Bloomberg'!G567)</f>
        <v/>
      </c>
      <c r="H567" s="7" t="str">
        <f>IF('Port Bloomberg'!H567="","",'Port Bloomberg'!H567)</f>
        <v/>
      </c>
      <c r="I567" s="7" t="str">
        <f>IF('Port Bloomberg'!I567="","",'Port Bloomberg'!I567)</f>
        <v/>
      </c>
      <c r="J567" s="7" t="str">
        <f>IF('Port Bloomberg'!J567="","",'Port Bloomberg'!J567)</f>
        <v/>
      </c>
      <c r="K567" s="7" t="str">
        <f>IF('Port Bloomberg'!K567="","",'Port Bloomberg'!K567)</f>
        <v/>
      </c>
      <c r="L567" s="7" t="str">
        <f>IF('Port Bloomberg'!L567="","",'Port Bloomberg'!L567)</f>
        <v/>
      </c>
      <c r="M567" s="7" t="str">
        <f>IF('Port Bloomberg'!M567="","",'Port Bloomberg'!M567)</f>
        <v/>
      </c>
      <c r="N567" s="7" t="str">
        <f>IF('Port Bloomberg'!N567="","",'Port Bloomberg'!N567)</f>
        <v/>
      </c>
      <c r="O567" s="7" t="str">
        <f>IF('Port Bloomberg'!O567="","",'Port Bloomberg'!O567)</f>
        <v/>
      </c>
      <c r="P567" s="7" t="str">
        <f>IF('Port Bloomberg'!P567="","",'Port Bloomberg'!P567)</f>
        <v/>
      </c>
      <c r="Q567" s="7" t="str">
        <f>IF('Port Bloomberg'!Q567="","",'Port Bloomberg'!Q567)</f>
        <v/>
      </c>
      <c r="R567" s="7" t="str">
        <f>IF('Port Bloomberg'!R567="","",'Port Bloomberg'!R567)</f>
        <v/>
      </c>
      <c r="S567" s="5" t="str">
        <f>IF(E567="","",IFERROR(IF(MATCH(E567,[1]Instrumentos!$D:$D,0)&gt;0,1,0),0))</f>
        <v/>
      </c>
      <c r="T567" s="5" t="str">
        <f>IF(E567="","",IFERROR(IF(MATCH(E567,'Lista de excepciones'!$E:$E,0)&gt;0,1,0),0))</f>
        <v/>
      </c>
      <c r="U567" s="6" t="str">
        <f t="shared" si="9"/>
        <v/>
      </c>
    </row>
    <row r="568" spans="1:21" hidden="1" x14ac:dyDescent="0.25">
      <c r="A568" s="7" t="str">
        <f>IF('Port Bloomberg'!A568="","",'Port Bloomberg'!A568)</f>
        <v/>
      </c>
      <c r="B568" s="7" t="str">
        <f>IF('Port Bloomberg'!B568="","",'Port Bloomberg'!B568)</f>
        <v/>
      </c>
      <c r="C568" s="7" t="str">
        <f>IF('Port Bloomberg'!C568="","",'Port Bloomberg'!C568)</f>
        <v/>
      </c>
      <c r="D568" s="7" t="str">
        <f>IF('Port Bloomberg'!D568="","",'Port Bloomberg'!D568)</f>
        <v/>
      </c>
      <c r="E568" s="7" t="str">
        <f>IF('Port Bloomberg'!E568="","",'Port Bloomberg'!E568)</f>
        <v/>
      </c>
      <c r="F568" s="7" t="str">
        <f>IF('Port Bloomberg'!F568="","",'Port Bloomberg'!F568)</f>
        <v/>
      </c>
      <c r="G568" s="7" t="str">
        <f>IF('Port Bloomberg'!G568="","",'Port Bloomberg'!G568)</f>
        <v/>
      </c>
      <c r="H568" s="7" t="str">
        <f>IF('Port Bloomberg'!H568="","",'Port Bloomberg'!H568)</f>
        <v/>
      </c>
      <c r="I568" s="7" t="str">
        <f>IF('Port Bloomberg'!I568="","",'Port Bloomberg'!I568)</f>
        <v/>
      </c>
      <c r="J568" s="7" t="str">
        <f>IF('Port Bloomberg'!J568="","",'Port Bloomberg'!J568)</f>
        <v/>
      </c>
      <c r="K568" s="7" t="str">
        <f>IF('Port Bloomberg'!K568="","",'Port Bloomberg'!K568)</f>
        <v/>
      </c>
      <c r="L568" s="7" t="str">
        <f>IF('Port Bloomberg'!L568="","",'Port Bloomberg'!L568)</f>
        <v/>
      </c>
      <c r="M568" s="7" t="str">
        <f>IF('Port Bloomberg'!M568="","",'Port Bloomberg'!M568)</f>
        <v/>
      </c>
      <c r="N568" s="7" t="str">
        <f>IF('Port Bloomberg'!N568="","",'Port Bloomberg'!N568)</f>
        <v/>
      </c>
      <c r="O568" s="7" t="str">
        <f>IF('Port Bloomberg'!O568="","",'Port Bloomberg'!O568)</f>
        <v/>
      </c>
      <c r="P568" s="7" t="str">
        <f>IF('Port Bloomberg'!P568="","",'Port Bloomberg'!P568)</f>
        <v/>
      </c>
      <c r="Q568" s="7" t="str">
        <f>IF('Port Bloomberg'!Q568="","",'Port Bloomberg'!Q568)</f>
        <v/>
      </c>
      <c r="R568" s="7" t="str">
        <f>IF('Port Bloomberg'!R568="","",'Port Bloomberg'!R568)</f>
        <v/>
      </c>
      <c r="S568" s="5" t="str">
        <f>IF(E568="","",IFERROR(IF(MATCH(E568,[1]Instrumentos!$D:$D,0)&gt;0,1,0),0))</f>
        <v/>
      </c>
      <c r="T568" s="5" t="str">
        <f>IF(E568="","",IFERROR(IF(MATCH(E568,'Lista de excepciones'!$E:$E,0)&gt;0,1,0),0))</f>
        <v/>
      </c>
      <c r="U568" s="6" t="str">
        <f t="shared" si="9"/>
        <v/>
      </c>
    </row>
    <row r="569" spans="1:21" hidden="1" x14ac:dyDescent="0.25">
      <c r="A569" s="7" t="str">
        <f>IF('Port Bloomberg'!A569="","",'Port Bloomberg'!A569)</f>
        <v/>
      </c>
      <c r="B569" s="7" t="str">
        <f>IF('Port Bloomberg'!B569="","",'Port Bloomberg'!B569)</f>
        <v/>
      </c>
      <c r="C569" s="7" t="str">
        <f>IF('Port Bloomberg'!C569="","",'Port Bloomberg'!C569)</f>
        <v/>
      </c>
      <c r="D569" s="7" t="str">
        <f>IF('Port Bloomberg'!D569="","",'Port Bloomberg'!D569)</f>
        <v/>
      </c>
      <c r="E569" s="7" t="str">
        <f>IF('Port Bloomberg'!E569="","",'Port Bloomberg'!E569)</f>
        <v/>
      </c>
      <c r="F569" s="7" t="str">
        <f>IF('Port Bloomberg'!F569="","",'Port Bloomberg'!F569)</f>
        <v/>
      </c>
      <c r="G569" s="7" t="str">
        <f>IF('Port Bloomberg'!G569="","",'Port Bloomberg'!G569)</f>
        <v/>
      </c>
      <c r="H569" s="7" t="str">
        <f>IF('Port Bloomberg'!H569="","",'Port Bloomberg'!H569)</f>
        <v/>
      </c>
      <c r="I569" s="7" t="str">
        <f>IF('Port Bloomberg'!I569="","",'Port Bloomberg'!I569)</f>
        <v/>
      </c>
      <c r="J569" s="7" t="str">
        <f>IF('Port Bloomberg'!J569="","",'Port Bloomberg'!J569)</f>
        <v/>
      </c>
      <c r="K569" s="7" t="str">
        <f>IF('Port Bloomberg'!K569="","",'Port Bloomberg'!K569)</f>
        <v/>
      </c>
      <c r="L569" s="7" t="str">
        <f>IF('Port Bloomberg'!L569="","",'Port Bloomberg'!L569)</f>
        <v/>
      </c>
      <c r="M569" s="7" t="str">
        <f>IF('Port Bloomberg'!M569="","",'Port Bloomberg'!M569)</f>
        <v/>
      </c>
      <c r="N569" s="7" t="str">
        <f>IF('Port Bloomberg'!N569="","",'Port Bloomberg'!N569)</f>
        <v/>
      </c>
      <c r="O569" s="7" t="str">
        <f>IF('Port Bloomberg'!O569="","",'Port Bloomberg'!O569)</f>
        <v/>
      </c>
      <c r="P569" s="7" t="str">
        <f>IF('Port Bloomberg'!P569="","",'Port Bloomberg'!P569)</f>
        <v/>
      </c>
      <c r="Q569" s="7" t="str">
        <f>IF('Port Bloomberg'!Q569="","",'Port Bloomberg'!Q569)</f>
        <v/>
      </c>
      <c r="R569" s="7" t="str">
        <f>IF('Port Bloomberg'!R569="","",'Port Bloomberg'!R569)</f>
        <v/>
      </c>
      <c r="S569" s="5" t="str">
        <f>IF(E569="","",IFERROR(IF(MATCH(E569,[1]Instrumentos!$D:$D,0)&gt;0,1,0),0))</f>
        <v/>
      </c>
      <c r="T569" s="5" t="str">
        <f>IF(E569="","",IFERROR(IF(MATCH(E569,'Lista de excepciones'!$E:$E,0)&gt;0,1,0),0))</f>
        <v/>
      </c>
      <c r="U569" s="6" t="str">
        <f t="shared" si="9"/>
        <v/>
      </c>
    </row>
    <row r="570" spans="1:21" hidden="1" x14ac:dyDescent="0.25">
      <c r="A570" s="7" t="str">
        <f>IF('Port Bloomberg'!A570="","",'Port Bloomberg'!A570)</f>
        <v/>
      </c>
      <c r="B570" s="7" t="str">
        <f>IF('Port Bloomberg'!B570="","",'Port Bloomberg'!B570)</f>
        <v/>
      </c>
      <c r="C570" s="7" t="str">
        <f>IF('Port Bloomberg'!C570="","",'Port Bloomberg'!C570)</f>
        <v/>
      </c>
      <c r="D570" s="7" t="str">
        <f>IF('Port Bloomberg'!D570="","",'Port Bloomberg'!D570)</f>
        <v/>
      </c>
      <c r="E570" s="7" t="str">
        <f>IF('Port Bloomberg'!E570="","",'Port Bloomberg'!E570)</f>
        <v/>
      </c>
      <c r="F570" s="7" t="str">
        <f>IF('Port Bloomberg'!F570="","",'Port Bloomberg'!F570)</f>
        <v/>
      </c>
      <c r="G570" s="7" t="str">
        <f>IF('Port Bloomberg'!G570="","",'Port Bloomberg'!G570)</f>
        <v/>
      </c>
      <c r="H570" s="7" t="str">
        <f>IF('Port Bloomberg'!H570="","",'Port Bloomberg'!H570)</f>
        <v/>
      </c>
      <c r="I570" s="7" t="str">
        <f>IF('Port Bloomberg'!I570="","",'Port Bloomberg'!I570)</f>
        <v/>
      </c>
      <c r="J570" s="7" t="str">
        <f>IF('Port Bloomberg'!J570="","",'Port Bloomberg'!J570)</f>
        <v/>
      </c>
      <c r="K570" s="7" t="str">
        <f>IF('Port Bloomberg'!K570="","",'Port Bloomberg'!K570)</f>
        <v/>
      </c>
      <c r="L570" s="7" t="str">
        <f>IF('Port Bloomberg'!L570="","",'Port Bloomberg'!L570)</f>
        <v/>
      </c>
      <c r="M570" s="7" t="str">
        <f>IF('Port Bloomberg'!M570="","",'Port Bloomberg'!M570)</f>
        <v/>
      </c>
      <c r="N570" s="7" t="str">
        <f>IF('Port Bloomberg'!N570="","",'Port Bloomberg'!N570)</f>
        <v/>
      </c>
      <c r="O570" s="7" t="str">
        <f>IF('Port Bloomberg'!O570="","",'Port Bloomberg'!O570)</f>
        <v/>
      </c>
      <c r="P570" s="7" t="str">
        <f>IF('Port Bloomberg'!P570="","",'Port Bloomberg'!P570)</f>
        <v/>
      </c>
      <c r="Q570" s="7" t="str">
        <f>IF('Port Bloomberg'!Q570="","",'Port Bloomberg'!Q570)</f>
        <v/>
      </c>
      <c r="R570" s="7" t="str">
        <f>IF('Port Bloomberg'!R570="","",'Port Bloomberg'!R570)</f>
        <v/>
      </c>
      <c r="S570" s="5" t="str">
        <f>IF(E570="","",IFERROR(IF(MATCH(E570,[1]Instrumentos!$D:$D,0)&gt;0,1,0),0))</f>
        <v/>
      </c>
      <c r="T570" s="5" t="str">
        <f>IF(E570="","",IFERROR(IF(MATCH(E570,'Lista de excepciones'!$E:$E,0)&gt;0,1,0),0))</f>
        <v/>
      </c>
      <c r="U570" s="6" t="str">
        <f t="shared" si="9"/>
        <v/>
      </c>
    </row>
    <row r="571" spans="1:21" hidden="1" x14ac:dyDescent="0.25">
      <c r="A571" s="7" t="str">
        <f>IF('Port Bloomberg'!A571="","",'Port Bloomberg'!A571)</f>
        <v/>
      </c>
      <c r="B571" s="7" t="str">
        <f>IF('Port Bloomberg'!B571="","",'Port Bloomberg'!B571)</f>
        <v/>
      </c>
      <c r="C571" s="7" t="str">
        <f>IF('Port Bloomberg'!C571="","",'Port Bloomberg'!C571)</f>
        <v/>
      </c>
      <c r="D571" s="7" t="str">
        <f>IF('Port Bloomberg'!D571="","",'Port Bloomberg'!D571)</f>
        <v/>
      </c>
      <c r="E571" s="7" t="str">
        <f>IF('Port Bloomberg'!E571="","",'Port Bloomberg'!E571)</f>
        <v/>
      </c>
      <c r="F571" s="7" t="str">
        <f>IF('Port Bloomberg'!F571="","",'Port Bloomberg'!F571)</f>
        <v/>
      </c>
      <c r="G571" s="7" t="str">
        <f>IF('Port Bloomberg'!G571="","",'Port Bloomberg'!G571)</f>
        <v/>
      </c>
      <c r="H571" s="7" t="str">
        <f>IF('Port Bloomberg'!H571="","",'Port Bloomberg'!H571)</f>
        <v/>
      </c>
      <c r="I571" s="7" t="str">
        <f>IF('Port Bloomberg'!I571="","",'Port Bloomberg'!I571)</f>
        <v/>
      </c>
      <c r="J571" s="7" t="str">
        <f>IF('Port Bloomberg'!J571="","",'Port Bloomberg'!J571)</f>
        <v/>
      </c>
      <c r="K571" s="7" t="str">
        <f>IF('Port Bloomberg'!K571="","",'Port Bloomberg'!K571)</f>
        <v/>
      </c>
      <c r="L571" s="7" t="str">
        <f>IF('Port Bloomberg'!L571="","",'Port Bloomberg'!L571)</f>
        <v/>
      </c>
      <c r="M571" s="7" t="str">
        <f>IF('Port Bloomberg'!M571="","",'Port Bloomberg'!M571)</f>
        <v/>
      </c>
      <c r="N571" s="7" t="str">
        <f>IF('Port Bloomberg'!N571="","",'Port Bloomberg'!N571)</f>
        <v/>
      </c>
      <c r="O571" s="7" t="str">
        <f>IF('Port Bloomberg'!O571="","",'Port Bloomberg'!O571)</f>
        <v/>
      </c>
      <c r="P571" s="7" t="str">
        <f>IF('Port Bloomberg'!P571="","",'Port Bloomberg'!P571)</f>
        <v/>
      </c>
      <c r="Q571" s="7" t="str">
        <f>IF('Port Bloomberg'!Q571="","",'Port Bloomberg'!Q571)</f>
        <v/>
      </c>
      <c r="R571" s="7" t="str">
        <f>IF('Port Bloomberg'!R571="","",'Port Bloomberg'!R571)</f>
        <v/>
      </c>
      <c r="S571" s="5" t="str">
        <f>IF(E571="","",IFERROR(IF(MATCH(E571,[1]Instrumentos!$D:$D,0)&gt;0,1,0),0))</f>
        <v/>
      </c>
      <c r="T571" s="5" t="str">
        <f>IF(E571="","",IFERROR(IF(MATCH(E571,'Lista de excepciones'!$E:$E,0)&gt;0,1,0),0))</f>
        <v/>
      </c>
      <c r="U571" s="6" t="str">
        <f t="shared" si="9"/>
        <v/>
      </c>
    </row>
    <row r="572" spans="1:21" hidden="1" x14ac:dyDescent="0.25">
      <c r="A572" s="7" t="str">
        <f>IF('Port Bloomberg'!A572="","",'Port Bloomberg'!A572)</f>
        <v/>
      </c>
      <c r="B572" s="7" t="str">
        <f>IF('Port Bloomberg'!B572="","",'Port Bloomberg'!B572)</f>
        <v/>
      </c>
      <c r="C572" s="7" t="str">
        <f>IF('Port Bloomberg'!C572="","",'Port Bloomberg'!C572)</f>
        <v/>
      </c>
      <c r="D572" s="7" t="str">
        <f>IF('Port Bloomberg'!D572="","",'Port Bloomberg'!D572)</f>
        <v/>
      </c>
      <c r="E572" s="7" t="str">
        <f>IF('Port Bloomberg'!E572="","",'Port Bloomberg'!E572)</f>
        <v/>
      </c>
      <c r="F572" s="7" t="str">
        <f>IF('Port Bloomberg'!F572="","",'Port Bloomberg'!F572)</f>
        <v/>
      </c>
      <c r="G572" s="7" t="str">
        <f>IF('Port Bloomberg'!G572="","",'Port Bloomberg'!G572)</f>
        <v/>
      </c>
      <c r="H572" s="7" t="str">
        <f>IF('Port Bloomberg'!H572="","",'Port Bloomberg'!H572)</f>
        <v/>
      </c>
      <c r="I572" s="7" t="str">
        <f>IF('Port Bloomberg'!I572="","",'Port Bloomberg'!I572)</f>
        <v/>
      </c>
      <c r="J572" s="7" t="str">
        <f>IF('Port Bloomberg'!J572="","",'Port Bloomberg'!J572)</f>
        <v/>
      </c>
      <c r="K572" s="7" t="str">
        <f>IF('Port Bloomberg'!K572="","",'Port Bloomberg'!K572)</f>
        <v/>
      </c>
      <c r="L572" s="7" t="str">
        <f>IF('Port Bloomberg'!L572="","",'Port Bloomberg'!L572)</f>
        <v/>
      </c>
      <c r="M572" s="7" t="str">
        <f>IF('Port Bloomberg'!M572="","",'Port Bloomberg'!M572)</f>
        <v/>
      </c>
      <c r="N572" s="7" t="str">
        <f>IF('Port Bloomberg'!N572="","",'Port Bloomberg'!N572)</f>
        <v/>
      </c>
      <c r="O572" s="7" t="str">
        <f>IF('Port Bloomberg'!O572="","",'Port Bloomberg'!O572)</f>
        <v/>
      </c>
      <c r="P572" s="7" t="str">
        <f>IF('Port Bloomberg'!P572="","",'Port Bloomberg'!P572)</f>
        <v/>
      </c>
      <c r="Q572" s="7" t="str">
        <f>IF('Port Bloomberg'!Q572="","",'Port Bloomberg'!Q572)</f>
        <v/>
      </c>
      <c r="R572" s="7" t="str">
        <f>IF('Port Bloomberg'!R572="","",'Port Bloomberg'!R572)</f>
        <v/>
      </c>
      <c r="S572" s="5" t="str">
        <f>IF(E572="","",IFERROR(IF(MATCH(E572,[1]Instrumentos!$D:$D,0)&gt;0,1,0),0))</f>
        <v/>
      </c>
      <c r="T572" s="5" t="str">
        <f>IF(E572="","",IFERROR(IF(MATCH(E572,'Lista de excepciones'!$E:$E,0)&gt;0,1,0),0))</f>
        <v/>
      </c>
      <c r="U572" s="6" t="str">
        <f t="shared" si="9"/>
        <v/>
      </c>
    </row>
    <row r="573" spans="1:21" hidden="1" x14ac:dyDescent="0.25">
      <c r="A573" s="7" t="str">
        <f>IF('Port Bloomberg'!A573="","",'Port Bloomberg'!A573)</f>
        <v/>
      </c>
      <c r="B573" s="7" t="str">
        <f>IF('Port Bloomberg'!B573="","",'Port Bloomberg'!B573)</f>
        <v/>
      </c>
      <c r="C573" s="7" t="str">
        <f>IF('Port Bloomberg'!C573="","",'Port Bloomberg'!C573)</f>
        <v/>
      </c>
      <c r="D573" s="7" t="str">
        <f>IF('Port Bloomberg'!D573="","",'Port Bloomberg'!D573)</f>
        <v/>
      </c>
      <c r="E573" s="7" t="str">
        <f>IF('Port Bloomberg'!E573="","",'Port Bloomberg'!E573)</f>
        <v/>
      </c>
      <c r="F573" s="7" t="str">
        <f>IF('Port Bloomberg'!F573="","",'Port Bloomberg'!F573)</f>
        <v/>
      </c>
      <c r="G573" s="7" t="str">
        <f>IF('Port Bloomberg'!G573="","",'Port Bloomberg'!G573)</f>
        <v/>
      </c>
      <c r="H573" s="7" t="str">
        <f>IF('Port Bloomberg'!H573="","",'Port Bloomberg'!H573)</f>
        <v/>
      </c>
      <c r="I573" s="7" t="str">
        <f>IF('Port Bloomberg'!I573="","",'Port Bloomberg'!I573)</f>
        <v/>
      </c>
      <c r="J573" s="7" t="str">
        <f>IF('Port Bloomberg'!J573="","",'Port Bloomberg'!J573)</f>
        <v/>
      </c>
      <c r="K573" s="7" t="str">
        <f>IF('Port Bloomberg'!K573="","",'Port Bloomberg'!K573)</f>
        <v/>
      </c>
      <c r="L573" s="7" t="str">
        <f>IF('Port Bloomberg'!L573="","",'Port Bloomberg'!L573)</f>
        <v/>
      </c>
      <c r="M573" s="7" t="str">
        <f>IF('Port Bloomberg'!M573="","",'Port Bloomberg'!M573)</f>
        <v/>
      </c>
      <c r="N573" s="7" t="str">
        <f>IF('Port Bloomberg'!N573="","",'Port Bloomberg'!N573)</f>
        <v/>
      </c>
      <c r="O573" s="7" t="str">
        <f>IF('Port Bloomberg'!O573="","",'Port Bloomberg'!O573)</f>
        <v/>
      </c>
      <c r="P573" s="7" t="str">
        <f>IF('Port Bloomberg'!P573="","",'Port Bloomberg'!P573)</f>
        <v/>
      </c>
      <c r="Q573" s="7" t="str">
        <f>IF('Port Bloomberg'!Q573="","",'Port Bloomberg'!Q573)</f>
        <v/>
      </c>
      <c r="R573" s="7" t="str">
        <f>IF('Port Bloomberg'!R573="","",'Port Bloomberg'!R573)</f>
        <v/>
      </c>
      <c r="S573" s="5" t="str">
        <f>IF(E573="","",IFERROR(IF(MATCH(E573,[1]Instrumentos!$D:$D,0)&gt;0,1,0),0))</f>
        <v/>
      </c>
      <c r="T573" s="5" t="str">
        <f>IF(E573="","",IFERROR(IF(MATCH(E573,'Lista de excepciones'!$E:$E,0)&gt;0,1,0),0))</f>
        <v/>
      </c>
      <c r="U573" s="6" t="str">
        <f t="shared" si="9"/>
        <v/>
      </c>
    </row>
    <row r="574" spans="1:21" hidden="1" x14ac:dyDescent="0.25">
      <c r="A574" s="7" t="str">
        <f>IF('Port Bloomberg'!A574="","",'Port Bloomberg'!A574)</f>
        <v/>
      </c>
      <c r="B574" s="7" t="str">
        <f>IF('Port Bloomberg'!B574="","",'Port Bloomberg'!B574)</f>
        <v/>
      </c>
      <c r="C574" s="7" t="str">
        <f>IF('Port Bloomberg'!C574="","",'Port Bloomberg'!C574)</f>
        <v/>
      </c>
      <c r="D574" s="7" t="str">
        <f>IF('Port Bloomberg'!D574="","",'Port Bloomberg'!D574)</f>
        <v/>
      </c>
      <c r="E574" s="7" t="str">
        <f>IF('Port Bloomberg'!E574="","",'Port Bloomberg'!E574)</f>
        <v/>
      </c>
      <c r="F574" s="7" t="str">
        <f>IF('Port Bloomberg'!F574="","",'Port Bloomberg'!F574)</f>
        <v/>
      </c>
      <c r="G574" s="7" t="str">
        <f>IF('Port Bloomberg'!G574="","",'Port Bloomberg'!G574)</f>
        <v/>
      </c>
      <c r="H574" s="7" t="str">
        <f>IF('Port Bloomberg'!H574="","",'Port Bloomberg'!H574)</f>
        <v/>
      </c>
      <c r="I574" s="7" t="str">
        <f>IF('Port Bloomberg'!I574="","",'Port Bloomberg'!I574)</f>
        <v/>
      </c>
      <c r="J574" s="7" t="str">
        <f>IF('Port Bloomberg'!J574="","",'Port Bloomberg'!J574)</f>
        <v/>
      </c>
      <c r="K574" s="7" t="str">
        <f>IF('Port Bloomberg'!K574="","",'Port Bloomberg'!K574)</f>
        <v/>
      </c>
      <c r="L574" s="7" t="str">
        <f>IF('Port Bloomberg'!L574="","",'Port Bloomberg'!L574)</f>
        <v/>
      </c>
      <c r="M574" s="7" t="str">
        <f>IF('Port Bloomberg'!M574="","",'Port Bloomberg'!M574)</f>
        <v/>
      </c>
      <c r="N574" s="7" t="str">
        <f>IF('Port Bloomberg'!N574="","",'Port Bloomberg'!N574)</f>
        <v/>
      </c>
      <c r="O574" s="7" t="str">
        <f>IF('Port Bloomberg'!O574="","",'Port Bloomberg'!O574)</f>
        <v/>
      </c>
      <c r="P574" s="7" t="str">
        <f>IF('Port Bloomberg'!P574="","",'Port Bloomberg'!P574)</f>
        <v/>
      </c>
      <c r="Q574" s="7" t="str">
        <f>IF('Port Bloomberg'!Q574="","",'Port Bloomberg'!Q574)</f>
        <v/>
      </c>
      <c r="R574" s="7" t="str">
        <f>IF('Port Bloomberg'!R574="","",'Port Bloomberg'!R574)</f>
        <v/>
      </c>
      <c r="S574" s="5" t="str">
        <f>IF(E574="","",IFERROR(IF(MATCH(E574,[1]Instrumentos!$D:$D,0)&gt;0,1,0),0))</f>
        <v/>
      </c>
      <c r="T574" s="5" t="str">
        <f>IF(E574="","",IFERROR(IF(MATCH(E574,'Lista de excepciones'!$E:$E,0)&gt;0,1,0),0))</f>
        <v/>
      </c>
      <c r="U574" s="6" t="str">
        <f t="shared" si="9"/>
        <v/>
      </c>
    </row>
    <row r="575" spans="1:21" hidden="1" x14ac:dyDescent="0.25">
      <c r="A575" s="7" t="str">
        <f>IF('Port Bloomberg'!A575="","",'Port Bloomberg'!A575)</f>
        <v/>
      </c>
      <c r="B575" s="7" t="str">
        <f>IF('Port Bloomberg'!B575="","",'Port Bloomberg'!B575)</f>
        <v/>
      </c>
      <c r="C575" s="7" t="str">
        <f>IF('Port Bloomberg'!C575="","",'Port Bloomberg'!C575)</f>
        <v/>
      </c>
      <c r="D575" s="7" t="str">
        <f>IF('Port Bloomberg'!D575="","",'Port Bloomberg'!D575)</f>
        <v/>
      </c>
      <c r="E575" s="7" t="str">
        <f>IF('Port Bloomberg'!E575="","",'Port Bloomberg'!E575)</f>
        <v/>
      </c>
      <c r="F575" s="7" t="str">
        <f>IF('Port Bloomberg'!F575="","",'Port Bloomberg'!F575)</f>
        <v/>
      </c>
      <c r="G575" s="7" t="str">
        <f>IF('Port Bloomberg'!G575="","",'Port Bloomberg'!G575)</f>
        <v/>
      </c>
      <c r="H575" s="7" t="str">
        <f>IF('Port Bloomberg'!H575="","",'Port Bloomberg'!H575)</f>
        <v/>
      </c>
      <c r="I575" s="7" t="str">
        <f>IF('Port Bloomberg'!I575="","",'Port Bloomberg'!I575)</f>
        <v/>
      </c>
      <c r="J575" s="7" t="str">
        <f>IF('Port Bloomberg'!J575="","",'Port Bloomberg'!J575)</f>
        <v/>
      </c>
      <c r="K575" s="7" t="str">
        <f>IF('Port Bloomberg'!K575="","",'Port Bloomberg'!K575)</f>
        <v/>
      </c>
      <c r="L575" s="7" t="str">
        <f>IF('Port Bloomberg'!L575="","",'Port Bloomberg'!L575)</f>
        <v/>
      </c>
      <c r="M575" s="7" t="str">
        <f>IF('Port Bloomberg'!M575="","",'Port Bloomberg'!M575)</f>
        <v/>
      </c>
      <c r="N575" s="7" t="str">
        <f>IF('Port Bloomberg'!N575="","",'Port Bloomberg'!N575)</f>
        <v/>
      </c>
      <c r="O575" s="7" t="str">
        <f>IF('Port Bloomberg'!O575="","",'Port Bloomberg'!O575)</f>
        <v/>
      </c>
      <c r="P575" s="7" t="str">
        <f>IF('Port Bloomberg'!P575="","",'Port Bloomberg'!P575)</f>
        <v/>
      </c>
      <c r="Q575" s="7" t="str">
        <f>IF('Port Bloomberg'!Q575="","",'Port Bloomberg'!Q575)</f>
        <v/>
      </c>
      <c r="R575" s="7" t="str">
        <f>IF('Port Bloomberg'!R575="","",'Port Bloomberg'!R575)</f>
        <v/>
      </c>
      <c r="S575" s="5" t="str">
        <f>IF(E575="","",IFERROR(IF(MATCH(E575,[1]Instrumentos!$D:$D,0)&gt;0,1,0),0))</f>
        <v/>
      </c>
      <c r="T575" s="5" t="str">
        <f>IF(E575="","",IFERROR(IF(MATCH(E575,'Lista de excepciones'!$E:$E,0)&gt;0,1,0),0))</f>
        <v/>
      </c>
      <c r="U575" s="6" t="str">
        <f t="shared" si="9"/>
        <v/>
      </c>
    </row>
    <row r="576" spans="1:21" hidden="1" x14ac:dyDescent="0.25">
      <c r="A576" s="7" t="str">
        <f>IF('Port Bloomberg'!A576="","",'Port Bloomberg'!A576)</f>
        <v/>
      </c>
      <c r="B576" s="7" t="str">
        <f>IF('Port Bloomberg'!B576="","",'Port Bloomberg'!B576)</f>
        <v/>
      </c>
      <c r="C576" s="7" t="str">
        <f>IF('Port Bloomberg'!C576="","",'Port Bloomberg'!C576)</f>
        <v/>
      </c>
      <c r="D576" s="7" t="str">
        <f>IF('Port Bloomberg'!D576="","",'Port Bloomberg'!D576)</f>
        <v/>
      </c>
      <c r="E576" s="7" t="str">
        <f>IF('Port Bloomberg'!E576="","",'Port Bloomberg'!E576)</f>
        <v/>
      </c>
      <c r="F576" s="7" t="str">
        <f>IF('Port Bloomberg'!F576="","",'Port Bloomberg'!F576)</f>
        <v/>
      </c>
      <c r="G576" s="7" t="str">
        <f>IF('Port Bloomberg'!G576="","",'Port Bloomberg'!G576)</f>
        <v/>
      </c>
      <c r="H576" s="7" t="str">
        <f>IF('Port Bloomberg'!H576="","",'Port Bloomberg'!H576)</f>
        <v/>
      </c>
      <c r="I576" s="7" t="str">
        <f>IF('Port Bloomberg'!I576="","",'Port Bloomberg'!I576)</f>
        <v/>
      </c>
      <c r="J576" s="7" t="str">
        <f>IF('Port Bloomberg'!J576="","",'Port Bloomberg'!J576)</f>
        <v/>
      </c>
      <c r="K576" s="7" t="str">
        <f>IF('Port Bloomberg'!K576="","",'Port Bloomberg'!K576)</f>
        <v/>
      </c>
      <c r="L576" s="7" t="str">
        <f>IF('Port Bloomberg'!L576="","",'Port Bloomberg'!L576)</f>
        <v/>
      </c>
      <c r="M576" s="7" t="str">
        <f>IF('Port Bloomberg'!M576="","",'Port Bloomberg'!M576)</f>
        <v/>
      </c>
      <c r="N576" s="7" t="str">
        <f>IF('Port Bloomberg'!N576="","",'Port Bloomberg'!N576)</f>
        <v/>
      </c>
      <c r="O576" s="7" t="str">
        <f>IF('Port Bloomberg'!O576="","",'Port Bloomberg'!O576)</f>
        <v/>
      </c>
      <c r="P576" s="7" t="str">
        <f>IF('Port Bloomberg'!P576="","",'Port Bloomberg'!P576)</f>
        <v/>
      </c>
      <c r="Q576" s="7" t="str">
        <f>IF('Port Bloomberg'!Q576="","",'Port Bloomberg'!Q576)</f>
        <v/>
      </c>
      <c r="R576" s="7" t="str">
        <f>IF('Port Bloomberg'!R576="","",'Port Bloomberg'!R576)</f>
        <v/>
      </c>
      <c r="S576" s="5" t="str">
        <f>IF(E576="","",IFERROR(IF(MATCH(E576,[1]Instrumentos!$D:$D,0)&gt;0,1,0),0))</f>
        <v/>
      </c>
      <c r="T576" s="5" t="str">
        <f>IF(E576="","",IFERROR(IF(MATCH(E576,'Lista de excepciones'!$E:$E,0)&gt;0,1,0),0))</f>
        <v/>
      </c>
      <c r="U576" s="6" t="str">
        <f t="shared" si="9"/>
        <v/>
      </c>
    </row>
    <row r="577" spans="1:21" hidden="1" x14ac:dyDescent="0.25">
      <c r="A577" s="7" t="str">
        <f>IF('Port Bloomberg'!A577="","",'Port Bloomberg'!A577)</f>
        <v/>
      </c>
      <c r="B577" s="7" t="str">
        <f>IF('Port Bloomberg'!B577="","",'Port Bloomberg'!B577)</f>
        <v/>
      </c>
      <c r="C577" s="7" t="str">
        <f>IF('Port Bloomberg'!C577="","",'Port Bloomberg'!C577)</f>
        <v/>
      </c>
      <c r="D577" s="7" t="str">
        <f>IF('Port Bloomberg'!D577="","",'Port Bloomberg'!D577)</f>
        <v/>
      </c>
      <c r="E577" s="7" t="str">
        <f>IF('Port Bloomberg'!E577="","",'Port Bloomberg'!E577)</f>
        <v/>
      </c>
      <c r="F577" s="7" t="str">
        <f>IF('Port Bloomberg'!F577="","",'Port Bloomberg'!F577)</f>
        <v/>
      </c>
      <c r="G577" s="7" t="str">
        <f>IF('Port Bloomberg'!G577="","",'Port Bloomberg'!G577)</f>
        <v/>
      </c>
      <c r="H577" s="7" t="str">
        <f>IF('Port Bloomberg'!H577="","",'Port Bloomberg'!H577)</f>
        <v/>
      </c>
      <c r="I577" s="7" t="str">
        <f>IF('Port Bloomberg'!I577="","",'Port Bloomberg'!I577)</f>
        <v/>
      </c>
      <c r="J577" s="7" t="str">
        <f>IF('Port Bloomberg'!J577="","",'Port Bloomberg'!J577)</f>
        <v/>
      </c>
      <c r="K577" s="7" t="str">
        <f>IF('Port Bloomberg'!K577="","",'Port Bloomberg'!K577)</f>
        <v/>
      </c>
      <c r="L577" s="7" t="str">
        <f>IF('Port Bloomberg'!L577="","",'Port Bloomberg'!L577)</f>
        <v/>
      </c>
      <c r="M577" s="7" t="str">
        <f>IF('Port Bloomberg'!M577="","",'Port Bloomberg'!M577)</f>
        <v/>
      </c>
      <c r="N577" s="7" t="str">
        <f>IF('Port Bloomberg'!N577="","",'Port Bloomberg'!N577)</f>
        <v/>
      </c>
      <c r="O577" s="7" t="str">
        <f>IF('Port Bloomberg'!O577="","",'Port Bloomberg'!O577)</f>
        <v/>
      </c>
      <c r="P577" s="7" t="str">
        <f>IF('Port Bloomberg'!P577="","",'Port Bloomberg'!P577)</f>
        <v/>
      </c>
      <c r="Q577" s="7" t="str">
        <f>IF('Port Bloomberg'!Q577="","",'Port Bloomberg'!Q577)</f>
        <v/>
      </c>
      <c r="R577" s="7" t="str">
        <f>IF('Port Bloomberg'!R577="","",'Port Bloomberg'!R577)</f>
        <v/>
      </c>
      <c r="S577" s="5" t="str">
        <f>IF(E577="","",IFERROR(IF(MATCH(E577,[1]Instrumentos!$D:$D,0)&gt;0,1,0),0))</f>
        <v/>
      </c>
      <c r="T577" s="5" t="str">
        <f>IF(E577="","",IFERROR(IF(MATCH(E577,'Lista de excepciones'!$E:$E,0)&gt;0,1,0),0))</f>
        <v/>
      </c>
      <c r="U577" s="6" t="str">
        <f t="shared" si="9"/>
        <v/>
      </c>
    </row>
    <row r="578" spans="1:21" hidden="1" x14ac:dyDescent="0.25">
      <c r="A578" s="7" t="str">
        <f>IF('Port Bloomberg'!A578="","",'Port Bloomberg'!A578)</f>
        <v/>
      </c>
      <c r="B578" s="7" t="str">
        <f>IF('Port Bloomberg'!B578="","",'Port Bloomberg'!B578)</f>
        <v/>
      </c>
      <c r="C578" s="7" t="str">
        <f>IF('Port Bloomberg'!C578="","",'Port Bloomberg'!C578)</f>
        <v/>
      </c>
      <c r="D578" s="7" t="str">
        <f>IF('Port Bloomberg'!D578="","",'Port Bloomberg'!D578)</f>
        <v/>
      </c>
      <c r="E578" s="7" t="str">
        <f>IF('Port Bloomberg'!E578="","",'Port Bloomberg'!E578)</f>
        <v/>
      </c>
      <c r="F578" s="7" t="str">
        <f>IF('Port Bloomberg'!F578="","",'Port Bloomberg'!F578)</f>
        <v/>
      </c>
      <c r="G578" s="7" t="str">
        <f>IF('Port Bloomberg'!G578="","",'Port Bloomberg'!G578)</f>
        <v/>
      </c>
      <c r="H578" s="7" t="str">
        <f>IF('Port Bloomberg'!H578="","",'Port Bloomberg'!H578)</f>
        <v/>
      </c>
      <c r="I578" s="7" t="str">
        <f>IF('Port Bloomberg'!I578="","",'Port Bloomberg'!I578)</f>
        <v/>
      </c>
      <c r="J578" s="7" t="str">
        <f>IF('Port Bloomberg'!J578="","",'Port Bloomberg'!J578)</f>
        <v/>
      </c>
      <c r="K578" s="7" t="str">
        <f>IF('Port Bloomberg'!K578="","",'Port Bloomberg'!K578)</f>
        <v/>
      </c>
      <c r="L578" s="7" t="str">
        <f>IF('Port Bloomberg'!L578="","",'Port Bloomberg'!L578)</f>
        <v/>
      </c>
      <c r="M578" s="7" t="str">
        <f>IF('Port Bloomberg'!M578="","",'Port Bloomberg'!M578)</f>
        <v/>
      </c>
      <c r="N578" s="7" t="str">
        <f>IF('Port Bloomberg'!N578="","",'Port Bloomberg'!N578)</f>
        <v/>
      </c>
      <c r="O578" s="7" t="str">
        <f>IF('Port Bloomberg'!O578="","",'Port Bloomberg'!O578)</f>
        <v/>
      </c>
      <c r="P578" s="7" t="str">
        <f>IF('Port Bloomberg'!P578="","",'Port Bloomberg'!P578)</f>
        <v/>
      </c>
      <c r="Q578" s="7" t="str">
        <f>IF('Port Bloomberg'!Q578="","",'Port Bloomberg'!Q578)</f>
        <v/>
      </c>
      <c r="R578" s="7" t="str">
        <f>IF('Port Bloomberg'!R578="","",'Port Bloomberg'!R578)</f>
        <v/>
      </c>
      <c r="S578" s="5" t="str">
        <f>IF(E578="","",IFERROR(IF(MATCH(E578,[1]Instrumentos!$D:$D,0)&gt;0,1,0),0))</f>
        <v/>
      </c>
      <c r="T578" s="5" t="str">
        <f>IF(E578="","",IFERROR(IF(MATCH(E578,'Lista de excepciones'!$E:$E,0)&gt;0,1,0),0))</f>
        <v/>
      </c>
      <c r="U578" s="6" t="str">
        <f t="shared" si="9"/>
        <v/>
      </c>
    </row>
    <row r="579" spans="1:21" hidden="1" x14ac:dyDescent="0.25">
      <c r="A579" s="7" t="str">
        <f>IF('Port Bloomberg'!A579="","",'Port Bloomberg'!A579)</f>
        <v/>
      </c>
      <c r="B579" s="7" t="str">
        <f>IF('Port Bloomberg'!B579="","",'Port Bloomberg'!B579)</f>
        <v/>
      </c>
      <c r="C579" s="7" t="str">
        <f>IF('Port Bloomberg'!C579="","",'Port Bloomberg'!C579)</f>
        <v/>
      </c>
      <c r="D579" s="7" t="str">
        <f>IF('Port Bloomberg'!D579="","",'Port Bloomberg'!D579)</f>
        <v/>
      </c>
      <c r="E579" s="7" t="str">
        <f>IF('Port Bloomberg'!E579="","",'Port Bloomberg'!E579)</f>
        <v/>
      </c>
      <c r="F579" s="7" t="str">
        <f>IF('Port Bloomberg'!F579="","",'Port Bloomberg'!F579)</f>
        <v/>
      </c>
      <c r="G579" s="7" t="str">
        <f>IF('Port Bloomberg'!G579="","",'Port Bloomberg'!G579)</f>
        <v/>
      </c>
      <c r="H579" s="7" t="str">
        <f>IF('Port Bloomberg'!H579="","",'Port Bloomberg'!H579)</f>
        <v/>
      </c>
      <c r="I579" s="7" t="str">
        <f>IF('Port Bloomberg'!I579="","",'Port Bloomberg'!I579)</f>
        <v/>
      </c>
      <c r="J579" s="7" t="str">
        <f>IF('Port Bloomberg'!J579="","",'Port Bloomberg'!J579)</f>
        <v/>
      </c>
      <c r="K579" s="7" t="str">
        <f>IF('Port Bloomberg'!K579="","",'Port Bloomberg'!K579)</f>
        <v/>
      </c>
      <c r="L579" s="7" t="str">
        <f>IF('Port Bloomberg'!L579="","",'Port Bloomberg'!L579)</f>
        <v/>
      </c>
      <c r="M579" s="7" t="str">
        <f>IF('Port Bloomberg'!M579="","",'Port Bloomberg'!M579)</f>
        <v/>
      </c>
      <c r="N579" s="7" t="str">
        <f>IF('Port Bloomberg'!N579="","",'Port Bloomberg'!N579)</f>
        <v/>
      </c>
      <c r="O579" s="7" t="str">
        <f>IF('Port Bloomberg'!O579="","",'Port Bloomberg'!O579)</f>
        <v/>
      </c>
      <c r="P579" s="7" t="str">
        <f>IF('Port Bloomberg'!P579="","",'Port Bloomberg'!P579)</f>
        <v/>
      </c>
      <c r="Q579" s="7" t="str">
        <f>IF('Port Bloomberg'!Q579="","",'Port Bloomberg'!Q579)</f>
        <v/>
      </c>
      <c r="R579" s="7" t="str">
        <f>IF('Port Bloomberg'!R579="","",'Port Bloomberg'!R579)</f>
        <v/>
      </c>
      <c r="S579" s="5" t="str">
        <f>IF(E579="","",IFERROR(IF(MATCH(E579,[1]Instrumentos!$D:$D,0)&gt;0,1,0),0))</f>
        <v/>
      </c>
      <c r="T579" s="5" t="str">
        <f>IF(E579="","",IFERROR(IF(MATCH(E579,'Lista de excepciones'!$E:$E,0)&gt;0,1,0),0))</f>
        <v/>
      </c>
      <c r="U579" s="6" t="str">
        <f t="shared" ref="U579:U642" si="10">IF(E579="","",IF(S579+T579=0,"AGREGAR/REVISAR","NO"))</f>
        <v/>
      </c>
    </row>
    <row r="580" spans="1:21" hidden="1" x14ac:dyDescent="0.25">
      <c r="A580" s="7" t="str">
        <f>IF('Port Bloomberg'!A580="","",'Port Bloomberg'!A580)</f>
        <v/>
      </c>
      <c r="B580" s="7" t="str">
        <f>IF('Port Bloomberg'!B580="","",'Port Bloomberg'!B580)</f>
        <v/>
      </c>
      <c r="C580" s="7" t="str">
        <f>IF('Port Bloomberg'!C580="","",'Port Bloomberg'!C580)</f>
        <v/>
      </c>
      <c r="D580" s="7" t="str">
        <f>IF('Port Bloomberg'!D580="","",'Port Bloomberg'!D580)</f>
        <v/>
      </c>
      <c r="E580" s="7" t="str">
        <f>IF('Port Bloomberg'!E580="","",'Port Bloomberg'!E580)</f>
        <v/>
      </c>
      <c r="F580" s="7" t="str">
        <f>IF('Port Bloomberg'!F580="","",'Port Bloomberg'!F580)</f>
        <v/>
      </c>
      <c r="G580" s="7" t="str">
        <f>IF('Port Bloomberg'!G580="","",'Port Bloomberg'!G580)</f>
        <v/>
      </c>
      <c r="H580" s="7" t="str">
        <f>IF('Port Bloomberg'!H580="","",'Port Bloomberg'!H580)</f>
        <v/>
      </c>
      <c r="I580" s="7" t="str">
        <f>IF('Port Bloomberg'!I580="","",'Port Bloomberg'!I580)</f>
        <v/>
      </c>
      <c r="J580" s="7" t="str">
        <f>IF('Port Bloomberg'!J580="","",'Port Bloomberg'!J580)</f>
        <v/>
      </c>
      <c r="K580" s="7" t="str">
        <f>IF('Port Bloomberg'!K580="","",'Port Bloomberg'!K580)</f>
        <v/>
      </c>
      <c r="L580" s="7" t="str">
        <f>IF('Port Bloomberg'!L580="","",'Port Bloomberg'!L580)</f>
        <v/>
      </c>
      <c r="M580" s="7" t="str">
        <f>IF('Port Bloomberg'!M580="","",'Port Bloomberg'!M580)</f>
        <v/>
      </c>
      <c r="N580" s="7" t="str">
        <f>IF('Port Bloomberg'!N580="","",'Port Bloomberg'!N580)</f>
        <v/>
      </c>
      <c r="O580" s="7" t="str">
        <f>IF('Port Bloomberg'!O580="","",'Port Bloomberg'!O580)</f>
        <v/>
      </c>
      <c r="P580" s="7" t="str">
        <f>IF('Port Bloomberg'!P580="","",'Port Bloomberg'!P580)</f>
        <v/>
      </c>
      <c r="Q580" s="7" t="str">
        <f>IF('Port Bloomberg'!Q580="","",'Port Bloomberg'!Q580)</f>
        <v/>
      </c>
      <c r="R580" s="7" t="str">
        <f>IF('Port Bloomberg'!R580="","",'Port Bloomberg'!R580)</f>
        <v/>
      </c>
      <c r="S580" s="5" t="str">
        <f>IF(E580="","",IFERROR(IF(MATCH(E580,[1]Instrumentos!$D:$D,0)&gt;0,1,0),0))</f>
        <v/>
      </c>
      <c r="T580" s="5" t="str">
        <f>IF(E580="","",IFERROR(IF(MATCH(E580,'Lista de excepciones'!$E:$E,0)&gt;0,1,0),0))</f>
        <v/>
      </c>
      <c r="U580" s="6" t="str">
        <f t="shared" si="10"/>
        <v/>
      </c>
    </row>
    <row r="581" spans="1:21" hidden="1" x14ac:dyDescent="0.25">
      <c r="A581" s="7" t="str">
        <f>IF('Port Bloomberg'!A581="","",'Port Bloomberg'!A581)</f>
        <v/>
      </c>
      <c r="B581" s="7" t="str">
        <f>IF('Port Bloomberg'!B581="","",'Port Bloomberg'!B581)</f>
        <v/>
      </c>
      <c r="C581" s="7" t="str">
        <f>IF('Port Bloomberg'!C581="","",'Port Bloomberg'!C581)</f>
        <v/>
      </c>
      <c r="D581" s="7" t="str">
        <f>IF('Port Bloomberg'!D581="","",'Port Bloomberg'!D581)</f>
        <v/>
      </c>
      <c r="E581" s="7" t="str">
        <f>IF('Port Bloomberg'!E581="","",'Port Bloomberg'!E581)</f>
        <v/>
      </c>
      <c r="F581" s="7" t="str">
        <f>IF('Port Bloomberg'!F581="","",'Port Bloomberg'!F581)</f>
        <v/>
      </c>
      <c r="G581" s="7" t="str">
        <f>IF('Port Bloomberg'!G581="","",'Port Bloomberg'!G581)</f>
        <v/>
      </c>
      <c r="H581" s="7" t="str">
        <f>IF('Port Bloomberg'!H581="","",'Port Bloomberg'!H581)</f>
        <v/>
      </c>
      <c r="I581" s="7" t="str">
        <f>IF('Port Bloomberg'!I581="","",'Port Bloomberg'!I581)</f>
        <v/>
      </c>
      <c r="J581" s="7" t="str">
        <f>IF('Port Bloomberg'!J581="","",'Port Bloomberg'!J581)</f>
        <v/>
      </c>
      <c r="K581" s="7" t="str">
        <f>IF('Port Bloomberg'!K581="","",'Port Bloomberg'!K581)</f>
        <v/>
      </c>
      <c r="L581" s="7" t="str">
        <f>IF('Port Bloomberg'!L581="","",'Port Bloomberg'!L581)</f>
        <v/>
      </c>
      <c r="M581" s="7" t="str">
        <f>IF('Port Bloomberg'!M581="","",'Port Bloomberg'!M581)</f>
        <v/>
      </c>
      <c r="N581" s="7" t="str">
        <f>IF('Port Bloomberg'!N581="","",'Port Bloomberg'!N581)</f>
        <v/>
      </c>
      <c r="O581" s="7" t="str">
        <f>IF('Port Bloomberg'!O581="","",'Port Bloomberg'!O581)</f>
        <v/>
      </c>
      <c r="P581" s="7" t="str">
        <f>IF('Port Bloomberg'!P581="","",'Port Bloomberg'!P581)</f>
        <v/>
      </c>
      <c r="Q581" s="7" t="str">
        <f>IF('Port Bloomberg'!Q581="","",'Port Bloomberg'!Q581)</f>
        <v/>
      </c>
      <c r="R581" s="7" t="str">
        <f>IF('Port Bloomberg'!R581="","",'Port Bloomberg'!R581)</f>
        <v/>
      </c>
      <c r="S581" s="5" t="str">
        <f>IF(E581="","",IFERROR(IF(MATCH(E581,[1]Instrumentos!$D:$D,0)&gt;0,1,0),0))</f>
        <v/>
      </c>
      <c r="T581" s="5" t="str">
        <f>IF(E581="","",IFERROR(IF(MATCH(E581,'Lista de excepciones'!$E:$E,0)&gt;0,1,0),0))</f>
        <v/>
      </c>
      <c r="U581" s="6" t="str">
        <f t="shared" si="10"/>
        <v/>
      </c>
    </row>
    <row r="582" spans="1:21" hidden="1" x14ac:dyDescent="0.25">
      <c r="A582" s="7" t="str">
        <f>IF('Port Bloomberg'!A582="","",'Port Bloomberg'!A582)</f>
        <v/>
      </c>
      <c r="B582" s="7" t="str">
        <f>IF('Port Bloomberg'!B582="","",'Port Bloomberg'!B582)</f>
        <v/>
      </c>
      <c r="C582" s="7" t="str">
        <f>IF('Port Bloomberg'!C582="","",'Port Bloomberg'!C582)</f>
        <v/>
      </c>
      <c r="D582" s="7" t="str">
        <f>IF('Port Bloomberg'!D582="","",'Port Bloomberg'!D582)</f>
        <v/>
      </c>
      <c r="E582" s="7" t="str">
        <f>IF('Port Bloomberg'!E582="","",'Port Bloomberg'!E582)</f>
        <v/>
      </c>
      <c r="F582" s="7" t="str">
        <f>IF('Port Bloomberg'!F582="","",'Port Bloomberg'!F582)</f>
        <v/>
      </c>
      <c r="G582" s="7" t="str">
        <f>IF('Port Bloomberg'!G582="","",'Port Bloomberg'!G582)</f>
        <v/>
      </c>
      <c r="H582" s="7" t="str">
        <f>IF('Port Bloomberg'!H582="","",'Port Bloomberg'!H582)</f>
        <v/>
      </c>
      <c r="I582" s="7" t="str">
        <f>IF('Port Bloomberg'!I582="","",'Port Bloomberg'!I582)</f>
        <v/>
      </c>
      <c r="J582" s="7" t="str">
        <f>IF('Port Bloomberg'!J582="","",'Port Bloomberg'!J582)</f>
        <v/>
      </c>
      <c r="K582" s="7" t="str">
        <f>IF('Port Bloomberg'!K582="","",'Port Bloomberg'!K582)</f>
        <v/>
      </c>
      <c r="L582" s="7" t="str">
        <f>IF('Port Bloomberg'!L582="","",'Port Bloomberg'!L582)</f>
        <v/>
      </c>
      <c r="M582" s="7" t="str">
        <f>IF('Port Bloomberg'!M582="","",'Port Bloomberg'!M582)</f>
        <v/>
      </c>
      <c r="N582" s="7" t="str">
        <f>IF('Port Bloomberg'!N582="","",'Port Bloomberg'!N582)</f>
        <v/>
      </c>
      <c r="O582" s="7" t="str">
        <f>IF('Port Bloomberg'!O582="","",'Port Bloomberg'!O582)</f>
        <v/>
      </c>
      <c r="P582" s="7" t="str">
        <f>IF('Port Bloomberg'!P582="","",'Port Bloomberg'!P582)</f>
        <v/>
      </c>
      <c r="Q582" s="7" t="str">
        <f>IF('Port Bloomberg'!Q582="","",'Port Bloomberg'!Q582)</f>
        <v/>
      </c>
      <c r="R582" s="7" t="str">
        <f>IF('Port Bloomberg'!R582="","",'Port Bloomberg'!R582)</f>
        <v/>
      </c>
      <c r="S582" s="5" t="str">
        <f>IF(E582="","",IFERROR(IF(MATCH(E582,[1]Instrumentos!$D:$D,0)&gt;0,1,0),0))</f>
        <v/>
      </c>
      <c r="T582" s="5" t="str">
        <f>IF(E582="","",IFERROR(IF(MATCH(E582,'Lista de excepciones'!$E:$E,0)&gt;0,1,0),0))</f>
        <v/>
      </c>
      <c r="U582" s="6" t="str">
        <f t="shared" si="10"/>
        <v/>
      </c>
    </row>
    <row r="583" spans="1:21" hidden="1" x14ac:dyDescent="0.25">
      <c r="A583" s="7" t="str">
        <f>IF('Port Bloomberg'!A583="","",'Port Bloomberg'!A583)</f>
        <v/>
      </c>
      <c r="B583" s="7" t="str">
        <f>IF('Port Bloomberg'!B583="","",'Port Bloomberg'!B583)</f>
        <v/>
      </c>
      <c r="C583" s="7" t="str">
        <f>IF('Port Bloomberg'!C583="","",'Port Bloomberg'!C583)</f>
        <v/>
      </c>
      <c r="D583" s="7" t="str">
        <f>IF('Port Bloomberg'!D583="","",'Port Bloomberg'!D583)</f>
        <v/>
      </c>
      <c r="E583" s="7" t="str">
        <f>IF('Port Bloomberg'!E583="","",'Port Bloomberg'!E583)</f>
        <v/>
      </c>
      <c r="F583" s="7" t="str">
        <f>IF('Port Bloomberg'!F583="","",'Port Bloomberg'!F583)</f>
        <v/>
      </c>
      <c r="G583" s="7" t="str">
        <f>IF('Port Bloomberg'!G583="","",'Port Bloomberg'!G583)</f>
        <v/>
      </c>
      <c r="H583" s="7" t="str">
        <f>IF('Port Bloomberg'!H583="","",'Port Bloomberg'!H583)</f>
        <v/>
      </c>
      <c r="I583" s="7" t="str">
        <f>IF('Port Bloomberg'!I583="","",'Port Bloomberg'!I583)</f>
        <v/>
      </c>
      <c r="J583" s="7" t="str">
        <f>IF('Port Bloomberg'!J583="","",'Port Bloomberg'!J583)</f>
        <v/>
      </c>
      <c r="K583" s="7" t="str">
        <f>IF('Port Bloomberg'!K583="","",'Port Bloomberg'!K583)</f>
        <v/>
      </c>
      <c r="L583" s="7" t="str">
        <f>IF('Port Bloomberg'!L583="","",'Port Bloomberg'!L583)</f>
        <v/>
      </c>
      <c r="M583" s="7" t="str">
        <f>IF('Port Bloomberg'!M583="","",'Port Bloomberg'!M583)</f>
        <v/>
      </c>
      <c r="N583" s="7" t="str">
        <f>IF('Port Bloomberg'!N583="","",'Port Bloomberg'!N583)</f>
        <v/>
      </c>
      <c r="O583" s="7" t="str">
        <f>IF('Port Bloomberg'!O583="","",'Port Bloomberg'!O583)</f>
        <v/>
      </c>
      <c r="P583" s="7" t="str">
        <f>IF('Port Bloomberg'!P583="","",'Port Bloomberg'!P583)</f>
        <v/>
      </c>
      <c r="Q583" s="7" t="str">
        <f>IF('Port Bloomberg'!Q583="","",'Port Bloomberg'!Q583)</f>
        <v/>
      </c>
      <c r="R583" s="7" t="str">
        <f>IF('Port Bloomberg'!R583="","",'Port Bloomberg'!R583)</f>
        <v/>
      </c>
      <c r="S583" s="5" t="str">
        <f>IF(E583="","",IFERROR(IF(MATCH(E583,[1]Instrumentos!$D:$D,0)&gt;0,1,0),0))</f>
        <v/>
      </c>
      <c r="T583" s="5" t="str">
        <f>IF(E583="","",IFERROR(IF(MATCH(E583,'Lista de excepciones'!$E:$E,0)&gt;0,1,0),0))</f>
        <v/>
      </c>
      <c r="U583" s="6" t="str">
        <f t="shared" si="10"/>
        <v/>
      </c>
    </row>
    <row r="584" spans="1:21" hidden="1" x14ac:dyDescent="0.25">
      <c r="A584" s="7" t="str">
        <f>IF('Port Bloomberg'!A584="","",'Port Bloomberg'!A584)</f>
        <v/>
      </c>
      <c r="B584" s="7" t="str">
        <f>IF('Port Bloomberg'!B584="","",'Port Bloomberg'!B584)</f>
        <v/>
      </c>
      <c r="C584" s="7" t="str">
        <f>IF('Port Bloomberg'!C584="","",'Port Bloomberg'!C584)</f>
        <v/>
      </c>
      <c r="D584" s="7" t="str">
        <f>IF('Port Bloomberg'!D584="","",'Port Bloomberg'!D584)</f>
        <v/>
      </c>
      <c r="E584" s="7" t="str">
        <f>IF('Port Bloomberg'!E584="","",'Port Bloomberg'!E584)</f>
        <v/>
      </c>
      <c r="F584" s="7" t="str">
        <f>IF('Port Bloomberg'!F584="","",'Port Bloomberg'!F584)</f>
        <v/>
      </c>
      <c r="G584" s="7" t="str">
        <f>IF('Port Bloomberg'!G584="","",'Port Bloomberg'!G584)</f>
        <v/>
      </c>
      <c r="H584" s="7" t="str">
        <f>IF('Port Bloomberg'!H584="","",'Port Bloomberg'!H584)</f>
        <v/>
      </c>
      <c r="I584" s="7" t="str">
        <f>IF('Port Bloomberg'!I584="","",'Port Bloomberg'!I584)</f>
        <v/>
      </c>
      <c r="J584" s="7" t="str">
        <f>IF('Port Bloomberg'!J584="","",'Port Bloomberg'!J584)</f>
        <v/>
      </c>
      <c r="K584" s="7" t="str">
        <f>IF('Port Bloomberg'!K584="","",'Port Bloomberg'!K584)</f>
        <v/>
      </c>
      <c r="L584" s="7" t="str">
        <f>IF('Port Bloomberg'!L584="","",'Port Bloomberg'!L584)</f>
        <v/>
      </c>
      <c r="M584" s="7" t="str">
        <f>IF('Port Bloomberg'!M584="","",'Port Bloomberg'!M584)</f>
        <v/>
      </c>
      <c r="N584" s="7" t="str">
        <f>IF('Port Bloomberg'!N584="","",'Port Bloomberg'!N584)</f>
        <v/>
      </c>
      <c r="O584" s="7" t="str">
        <f>IF('Port Bloomberg'!O584="","",'Port Bloomberg'!O584)</f>
        <v/>
      </c>
      <c r="P584" s="7" t="str">
        <f>IF('Port Bloomberg'!P584="","",'Port Bloomberg'!P584)</f>
        <v/>
      </c>
      <c r="Q584" s="7" t="str">
        <f>IF('Port Bloomberg'!Q584="","",'Port Bloomberg'!Q584)</f>
        <v/>
      </c>
      <c r="R584" s="7" t="str">
        <f>IF('Port Bloomberg'!R584="","",'Port Bloomberg'!R584)</f>
        <v/>
      </c>
      <c r="S584" s="5" t="str">
        <f>IF(E584="","",IFERROR(IF(MATCH(E584,[1]Instrumentos!$D:$D,0)&gt;0,1,0),0))</f>
        <v/>
      </c>
      <c r="T584" s="5" t="str">
        <f>IF(E584="","",IFERROR(IF(MATCH(E584,'Lista de excepciones'!$E:$E,0)&gt;0,1,0),0))</f>
        <v/>
      </c>
      <c r="U584" s="6" t="str">
        <f t="shared" si="10"/>
        <v/>
      </c>
    </row>
    <row r="585" spans="1:21" hidden="1" x14ac:dyDescent="0.25">
      <c r="A585" s="7" t="str">
        <f>IF('Port Bloomberg'!A585="","",'Port Bloomberg'!A585)</f>
        <v/>
      </c>
      <c r="B585" s="7" t="str">
        <f>IF('Port Bloomberg'!B585="","",'Port Bloomberg'!B585)</f>
        <v/>
      </c>
      <c r="C585" s="7" t="str">
        <f>IF('Port Bloomberg'!C585="","",'Port Bloomberg'!C585)</f>
        <v/>
      </c>
      <c r="D585" s="7" t="str">
        <f>IF('Port Bloomberg'!D585="","",'Port Bloomberg'!D585)</f>
        <v/>
      </c>
      <c r="E585" s="7" t="str">
        <f>IF('Port Bloomberg'!E585="","",'Port Bloomberg'!E585)</f>
        <v/>
      </c>
      <c r="F585" s="7" t="str">
        <f>IF('Port Bloomberg'!F585="","",'Port Bloomberg'!F585)</f>
        <v/>
      </c>
      <c r="G585" s="7" t="str">
        <f>IF('Port Bloomberg'!G585="","",'Port Bloomberg'!G585)</f>
        <v/>
      </c>
      <c r="H585" s="7" t="str">
        <f>IF('Port Bloomberg'!H585="","",'Port Bloomberg'!H585)</f>
        <v/>
      </c>
      <c r="I585" s="7" t="str">
        <f>IF('Port Bloomberg'!I585="","",'Port Bloomberg'!I585)</f>
        <v/>
      </c>
      <c r="J585" s="7" t="str">
        <f>IF('Port Bloomberg'!J585="","",'Port Bloomberg'!J585)</f>
        <v/>
      </c>
      <c r="K585" s="7" t="str">
        <f>IF('Port Bloomberg'!K585="","",'Port Bloomberg'!K585)</f>
        <v/>
      </c>
      <c r="L585" s="7" t="str">
        <f>IF('Port Bloomberg'!L585="","",'Port Bloomberg'!L585)</f>
        <v/>
      </c>
      <c r="M585" s="7" t="str">
        <f>IF('Port Bloomberg'!M585="","",'Port Bloomberg'!M585)</f>
        <v/>
      </c>
      <c r="N585" s="7" t="str">
        <f>IF('Port Bloomberg'!N585="","",'Port Bloomberg'!N585)</f>
        <v/>
      </c>
      <c r="O585" s="7" t="str">
        <f>IF('Port Bloomberg'!O585="","",'Port Bloomberg'!O585)</f>
        <v/>
      </c>
      <c r="P585" s="7" t="str">
        <f>IF('Port Bloomberg'!P585="","",'Port Bloomberg'!P585)</f>
        <v/>
      </c>
      <c r="Q585" s="7" t="str">
        <f>IF('Port Bloomberg'!Q585="","",'Port Bloomberg'!Q585)</f>
        <v/>
      </c>
      <c r="R585" s="7" t="str">
        <f>IF('Port Bloomberg'!R585="","",'Port Bloomberg'!R585)</f>
        <v/>
      </c>
      <c r="S585" s="5" t="str">
        <f>IF(E585="","",IFERROR(IF(MATCH(E585,[1]Instrumentos!$D:$D,0)&gt;0,1,0),0))</f>
        <v/>
      </c>
      <c r="T585" s="5" t="str">
        <f>IF(E585="","",IFERROR(IF(MATCH(E585,'Lista de excepciones'!$E:$E,0)&gt;0,1,0),0))</f>
        <v/>
      </c>
      <c r="U585" s="6" t="str">
        <f t="shared" si="10"/>
        <v/>
      </c>
    </row>
    <row r="586" spans="1:21" hidden="1" x14ac:dyDescent="0.25">
      <c r="A586" s="7" t="str">
        <f>IF('Port Bloomberg'!A586="","",'Port Bloomberg'!A586)</f>
        <v/>
      </c>
      <c r="B586" s="7" t="str">
        <f>IF('Port Bloomberg'!B586="","",'Port Bloomberg'!B586)</f>
        <v/>
      </c>
      <c r="C586" s="7" t="str">
        <f>IF('Port Bloomberg'!C586="","",'Port Bloomberg'!C586)</f>
        <v/>
      </c>
      <c r="D586" s="7" t="str">
        <f>IF('Port Bloomberg'!D586="","",'Port Bloomberg'!D586)</f>
        <v/>
      </c>
      <c r="E586" s="7" t="str">
        <f>IF('Port Bloomberg'!E586="","",'Port Bloomberg'!E586)</f>
        <v/>
      </c>
      <c r="F586" s="7" t="str">
        <f>IF('Port Bloomberg'!F586="","",'Port Bloomberg'!F586)</f>
        <v/>
      </c>
      <c r="G586" s="7" t="str">
        <f>IF('Port Bloomberg'!G586="","",'Port Bloomberg'!G586)</f>
        <v/>
      </c>
      <c r="H586" s="7" t="str">
        <f>IF('Port Bloomberg'!H586="","",'Port Bloomberg'!H586)</f>
        <v/>
      </c>
      <c r="I586" s="7" t="str">
        <f>IF('Port Bloomberg'!I586="","",'Port Bloomberg'!I586)</f>
        <v/>
      </c>
      <c r="J586" s="7" t="str">
        <f>IF('Port Bloomberg'!J586="","",'Port Bloomberg'!J586)</f>
        <v/>
      </c>
      <c r="K586" s="7" t="str">
        <f>IF('Port Bloomberg'!K586="","",'Port Bloomberg'!K586)</f>
        <v/>
      </c>
      <c r="L586" s="7" t="str">
        <f>IF('Port Bloomberg'!L586="","",'Port Bloomberg'!L586)</f>
        <v/>
      </c>
      <c r="M586" s="7" t="str">
        <f>IF('Port Bloomberg'!M586="","",'Port Bloomberg'!M586)</f>
        <v/>
      </c>
      <c r="N586" s="7" t="str">
        <f>IF('Port Bloomberg'!N586="","",'Port Bloomberg'!N586)</f>
        <v/>
      </c>
      <c r="O586" s="7" t="str">
        <f>IF('Port Bloomberg'!O586="","",'Port Bloomberg'!O586)</f>
        <v/>
      </c>
      <c r="P586" s="7" t="str">
        <f>IF('Port Bloomberg'!P586="","",'Port Bloomberg'!P586)</f>
        <v/>
      </c>
      <c r="Q586" s="7" t="str">
        <f>IF('Port Bloomberg'!Q586="","",'Port Bloomberg'!Q586)</f>
        <v/>
      </c>
      <c r="R586" s="7" t="str">
        <f>IF('Port Bloomberg'!R586="","",'Port Bloomberg'!R586)</f>
        <v/>
      </c>
      <c r="S586" s="5" t="str">
        <f>IF(E586="","",IFERROR(IF(MATCH(E586,[1]Instrumentos!$D:$D,0)&gt;0,1,0),0))</f>
        <v/>
      </c>
      <c r="T586" s="5" t="str">
        <f>IF(E586="","",IFERROR(IF(MATCH(E586,'Lista de excepciones'!$E:$E,0)&gt;0,1,0),0))</f>
        <v/>
      </c>
      <c r="U586" s="6" t="str">
        <f t="shared" si="10"/>
        <v/>
      </c>
    </row>
    <row r="587" spans="1:21" hidden="1" x14ac:dyDescent="0.25">
      <c r="A587" s="7" t="str">
        <f>IF('Port Bloomberg'!A587="","",'Port Bloomberg'!A587)</f>
        <v/>
      </c>
      <c r="B587" s="7" t="str">
        <f>IF('Port Bloomberg'!B587="","",'Port Bloomberg'!B587)</f>
        <v/>
      </c>
      <c r="C587" s="7" t="str">
        <f>IF('Port Bloomberg'!C587="","",'Port Bloomberg'!C587)</f>
        <v/>
      </c>
      <c r="D587" s="7" t="str">
        <f>IF('Port Bloomberg'!D587="","",'Port Bloomberg'!D587)</f>
        <v/>
      </c>
      <c r="E587" s="7" t="str">
        <f>IF('Port Bloomberg'!E587="","",'Port Bloomberg'!E587)</f>
        <v/>
      </c>
      <c r="F587" s="7" t="str">
        <f>IF('Port Bloomberg'!F587="","",'Port Bloomberg'!F587)</f>
        <v/>
      </c>
      <c r="G587" s="7" t="str">
        <f>IF('Port Bloomberg'!G587="","",'Port Bloomberg'!G587)</f>
        <v/>
      </c>
      <c r="H587" s="7" t="str">
        <f>IF('Port Bloomberg'!H587="","",'Port Bloomberg'!H587)</f>
        <v/>
      </c>
      <c r="I587" s="7" t="str">
        <f>IF('Port Bloomberg'!I587="","",'Port Bloomberg'!I587)</f>
        <v/>
      </c>
      <c r="J587" s="7" t="str">
        <f>IF('Port Bloomberg'!J587="","",'Port Bloomberg'!J587)</f>
        <v/>
      </c>
      <c r="K587" s="7" t="str">
        <f>IF('Port Bloomberg'!K587="","",'Port Bloomberg'!K587)</f>
        <v/>
      </c>
      <c r="L587" s="7" t="str">
        <f>IF('Port Bloomberg'!L587="","",'Port Bloomberg'!L587)</f>
        <v/>
      </c>
      <c r="M587" s="7" t="str">
        <f>IF('Port Bloomberg'!M587="","",'Port Bloomberg'!M587)</f>
        <v/>
      </c>
      <c r="N587" s="7" t="str">
        <f>IF('Port Bloomberg'!N587="","",'Port Bloomberg'!N587)</f>
        <v/>
      </c>
      <c r="O587" s="7" t="str">
        <f>IF('Port Bloomberg'!O587="","",'Port Bloomberg'!O587)</f>
        <v/>
      </c>
      <c r="P587" s="7" t="str">
        <f>IF('Port Bloomberg'!P587="","",'Port Bloomberg'!P587)</f>
        <v/>
      </c>
      <c r="Q587" s="7" t="str">
        <f>IF('Port Bloomberg'!Q587="","",'Port Bloomberg'!Q587)</f>
        <v/>
      </c>
      <c r="R587" s="7" t="str">
        <f>IF('Port Bloomberg'!R587="","",'Port Bloomberg'!R587)</f>
        <v/>
      </c>
      <c r="S587" s="5" t="str">
        <f>IF(E587="","",IFERROR(IF(MATCH(E587,[1]Instrumentos!$D:$D,0)&gt;0,1,0),0))</f>
        <v/>
      </c>
      <c r="T587" s="5" t="str">
        <f>IF(E587="","",IFERROR(IF(MATCH(E587,'Lista de excepciones'!$E:$E,0)&gt;0,1,0),0))</f>
        <v/>
      </c>
      <c r="U587" s="6" t="str">
        <f t="shared" si="10"/>
        <v/>
      </c>
    </row>
    <row r="588" spans="1:21" hidden="1" x14ac:dyDescent="0.25">
      <c r="A588" s="7" t="str">
        <f>IF('Port Bloomberg'!A588="","",'Port Bloomberg'!A588)</f>
        <v/>
      </c>
      <c r="B588" s="7" t="str">
        <f>IF('Port Bloomberg'!B588="","",'Port Bloomberg'!B588)</f>
        <v/>
      </c>
      <c r="C588" s="7" t="str">
        <f>IF('Port Bloomberg'!C588="","",'Port Bloomberg'!C588)</f>
        <v/>
      </c>
      <c r="D588" s="7" t="str">
        <f>IF('Port Bloomberg'!D588="","",'Port Bloomberg'!D588)</f>
        <v/>
      </c>
      <c r="E588" s="7" t="str">
        <f>IF('Port Bloomberg'!E588="","",'Port Bloomberg'!E588)</f>
        <v/>
      </c>
      <c r="F588" s="7" t="str">
        <f>IF('Port Bloomberg'!F588="","",'Port Bloomberg'!F588)</f>
        <v/>
      </c>
      <c r="G588" s="7" t="str">
        <f>IF('Port Bloomberg'!G588="","",'Port Bloomberg'!G588)</f>
        <v/>
      </c>
      <c r="H588" s="7" t="str">
        <f>IF('Port Bloomberg'!H588="","",'Port Bloomberg'!H588)</f>
        <v/>
      </c>
      <c r="I588" s="7" t="str">
        <f>IF('Port Bloomberg'!I588="","",'Port Bloomberg'!I588)</f>
        <v/>
      </c>
      <c r="J588" s="7" t="str">
        <f>IF('Port Bloomberg'!J588="","",'Port Bloomberg'!J588)</f>
        <v/>
      </c>
      <c r="K588" s="7" t="str">
        <f>IF('Port Bloomberg'!K588="","",'Port Bloomberg'!K588)</f>
        <v/>
      </c>
      <c r="L588" s="7" t="str">
        <f>IF('Port Bloomberg'!L588="","",'Port Bloomberg'!L588)</f>
        <v/>
      </c>
      <c r="M588" s="7" t="str">
        <f>IF('Port Bloomberg'!M588="","",'Port Bloomberg'!M588)</f>
        <v/>
      </c>
      <c r="N588" s="7" t="str">
        <f>IF('Port Bloomberg'!N588="","",'Port Bloomberg'!N588)</f>
        <v/>
      </c>
      <c r="O588" s="7" t="str">
        <f>IF('Port Bloomberg'!O588="","",'Port Bloomberg'!O588)</f>
        <v/>
      </c>
      <c r="P588" s="7" t="str">
        <f>IF('Port Bloomberg'!P588="","",'Port Bloomberg'!P588)</f>
        <v/>
      </c>
      <c r="Q588" s="7" t="str">
        <f>IF('Port Bloomberg'!Q588="","",'Port Bloomberg'!Q588)</f>
        <v/>
      </c>
      <c r="R588" s="7" t="str">
        <f>IF('Port Bloomberg'!R588="","",'Port Bloomberg'!R588)</f>
        <v/>
      </c>
      <c r="S588" s="5" t="str">
        <f>IF(E588="","",IFERROR(IF(MATCH(E588,[1]Instrumentos!$D:$D,0)&gt;0,1,0),0))</f>
        <v/>
      </c>
      <c r="T588" s="5" t="str">
        <f>IF(E588="","",IFERROR(IF(MATCH(E588,'Lista de excepciones'!$E:$E,0)&gt;0,1,0),0))</f>
        <v/>
      </c>
      <c r="U588" s="6" t="str">
        <f t="shared" si="10"/>
        <v/>
      </c>
    </row>
    <row r="589" spans="1:21" hidden="1" x14ac:dyDescent="0.25">
      <c r="A589" s="7" t="str">
        <f>IF('Port Bloomberg'!A589="","",'Port Bloomberg'!A589)</f>
        <v/>
      </c>
      <c r="B589" s="7" t="str">
        <f>IF('Port Bloomberg'!B589="","",'Port Bloomberg'!B589)</f>
        <v/>
      </c>
      <c r="C589" s="7" t="str">
        <f>IF('Port Bloomberg'!C589="","",'Port Bloomberg'!C589)</f>
        <v/>
      </c>
      <c r="D589" s="7" t="str">
        <f>IF('Port Bloomberg'!D589="","",'Port Bloomberg'!D589)</f>
        <v/>
      </c>
      <c r="E589" s="7" t="str">
        <f>IF('Port Bloomberg'!E589="","",'Port Bloomberg'!E589)</f>
        <v/>
      </c>
      <c r="F589" s="7" t="str">
        <f>IF('Port Bloomberg'!F589="","",'Port Bloomberg'!F589)</f>
        <v/>
      </c>
      <c r="G589" s="7" t="str">
        <f>IF('Port Bloomberg'!G589="","",'Port Bloomberg'!G589)</f>
        <v/>
      </c>
      <c r="H589" s="7" t="str">
        <f>IF('Port Bloomberg'!H589="","",'Port Bloomberg'!H589)</f>
        <v/>
      </c>
      <c r="I589" s="7" t="str">
        <f>IF('Port Bloomberg'!I589="","",'Port Bloomberg'!I589)</f>
        <v/>
      </c>
      <c r="J589" s="7" t="str">
        <f>IF('Port Bloomberg'!J589="","",'Port Bloomberg'!J589)</f>
        <v/>
      </c>
      <c r="K589" s="7" t="str">
        <f>IF('Port Bloomberg'!K589="","",'Port Bloomberg'!K589)</f>
        <v/>
      </c>
      <c r="L589" s="7" t="str">
        <f>IF('Port Bloomberg'!L589="","",'Port Bloomberg'!L589)</f>
        <v/>
      </c>
      <c r="M589" s="7" t="str">
        <f>IF('Port Bloomberg'!M589="","",'Port Bloomberg'!M589)</f>
        <v/>
      </c>
      <c r="N589" s="7" t="str">
        <f>IF('Port Bloomberg'!N589="","",'Port Bloomberg'!N589)</f>
        <v/>
      </c>
      <c r="O589" s="7" t="str">
        <f>IF('Port Bloomberg'!O589="","",'Port Bloomberg'!O589)</f>
        <v/>
      </c>
      <c r="P589" s="7" t="str">
        <f>IF('Port Bloomberg'!P589="","",'Port Bloomberg'!P589)</f>
        <v/>
      </c>
      <c r="Q589" s="7" t="str">
        <f>IF('Port Bloomberg'!Q589="","",'Port Bloomberg'!Q589)</f>
        <v/>
      </c>
      <c r="R589" s="7" t="str">
        <f>IF('Port Bloomberg'!R589="","",'Port Bloomberg'!R589)</f>
        <v/>
      </c>
      <c r="S589" s="5" t="str">
        <f>IF(E589="","",IFERROR(IF(MATCH(E589,[1]Instrumentos!$D:$D,0)&gt;0,1,0),0))</f>
        <v/>
      </c>
      <c r="T589" s="5" t="str">
        <f>IF(E589="","",IFERROR(IF(MATCH(E589,'Lista de excepciones'!$E:$E,0)&gt;0,1,0),0))</f>
        <v/>
      </c>
      <c r="U589" s="6" t="str">
        <f t="shared" si="10"/>
        <v/>
      </c>
    </row>
    <row r="590" spans="1:21" hidden="1" x14ac:dyDescent="0.25">
      <c r="A590" s="7" t="str">
        <f>IF('Port Bloomberg'!A590="","",'Port Bloomberg'!A590)</f>
        <v/>
      </c>
      <c r="B590" s="7" t="str">
        <f>IF('Port Bloomberg'!B590="","",'Port Bloomberg'!B590)</f>
        <v/>
      </c>
      <c r="C590" s="7" t="str">
        <f>IF('Port Bloomberg'!C590="","",'Port Bloomberg'!C590)</f>
        <v/>
      </c>
      <c r="D590" s="7" t="str">
        <f>IF('Port Bloomberg'!D590="","",'Port Bloomberg'!D590)</f>
        <v/>
      </c>
      <c r="E590" s="7" t="str">
        <f>IF('Port Bloomberg'!E590="","",'Port Bloomberg'!E590)</f>
        <v/>
      </c>
      <c r="F590" s="7" t="str">
        <f>IF('Port Bloomberg'!F590="","",'Port Bloomberg'!F590)</f>
        <v/>
      </c>
      <c r="G590" s="7" t="str">
        <f>IF('Port Bloomberg'!G590="","",'Port Bloomberg'!G590)</f>
        <v/>
      </c>
      <c r="H590" s="7" t="str">
        <f>IF('Port Bloomberg'!H590="","",'Port Bloomberg'!H590)</f>
        <v/>
      </c>
      <c r="I590" s="7" t="str">
        <f>IF('Port Bloomberg'!I590="","",'Port Bloomberg'!I590)</f>
        <v/>
      </c>
      <c r="J590" s="7" t="str">
        <f>IF('Port Bloomberg'!J590="","",'Port Bloomberg'!J590)</f>
        <v/>
      </c>
      <c r="K590" s="7" t="str">
        <f>IF('Port Bloomberg'!K590="","",'Port Bloomberg'!K590)</f>
        <v/>
      </c>
      <c r="L590" s="7" t="str">
        <f>IF('Port Bloomberg'!L590="","",'Port Bloomberg'!L590)</f>
        <v/>
      </c>
      <c r="M590" s="7" t="str">
        <f>IF('Port Bloomberg'!M590="","",'Port Bloomberg'!M590)</f>
        <v/>
      </c>
      <c r="N590" s="7" t="str">
        <f>IF('Port Bloomberg'!N590="","",'Port Bloomberg'!N590)</f>
        <v/>
      </c>
      <c r="O590" s="7" t="str">
        <f>IF('Port Bloomberg'!O590="","",'Port Bloomberg'!O590)</f>
        <v/>
      </c>
      <c r="P590" s="7" t="str">
        <f>IF('Port Bloomberg'!P590="","",'Port Bloomberg'!P590)</f>
        <v/>
      </c>
      <c r="Q590" s="7" t="str">
        <f>IF('Port Bloomberg'!Q590="","",'Port Bloomberg'!Q590)</f>
        <v/>
      </c>
      <c r="R590" s="7" t="str">
        <f>IF('Port Bloomberg'!R590="","",'Port Bloomberg'!R590)</f>
        <v/>
      </c>
      <c r="S590" s="5" t="str">
        <f>IF(E590="","",IFERROR(IF(MATCH(E590,[1]Instrumentos!$D:$D,0)&gt;0,1,0),0))</f>
        <v/>
      </c>
      <c r="T590" s="5" t="str">
        <f>IF(E590="","",IFERROR(IF(MATCH(E590,'Lista de excepciones'!$E:$E,0)&gt;0,1,0),0))</f>
        <v/>
      </c>
      <c r="U590" s="6" t="str">
        <f t="shared" si="10"/>
        <v/>
      </c>
    </row>
    <row r="591" spans="1:21" hidden="1" x14ac:dyDescent="0.25">
      <c r="A591" s="7" t="str">
        <f>IF('Port Bloomberg'!A591="","",'Port Bloomberg'!A591)</f>
        <v/>
      </c>
      <c r="B591" s="7" t="str">
        <f>IF('Port Bloomberg'!B591="","",'Port Bloomberg'!B591)</f>
        <v/>
      </c>
      <c r="C591" s="7" t="str">
        <f>IF('Port Bloomberg'!C591="","",'Port Bloomberg'!C591)</f>
        <v/>
      </c>
      <c r="D591" s="7" t="str">
        <f>IF('Port Bloomberg'!D591="","",'Port Bloomberg'!D591)</f>
        <v/>
      </c>
      <c r="E591" s="7" t="str">
        <f>IF('Port Bloomberg'!E591="","",'Port Bloomberg'!E591)</f>
        <v/>
      </c>
      <c r="F591" s="7" t="str">
        <f>IF('Port Bloomberg'!F591="","",'Port Bloomberg'!F591)</f>
        <v/>
      </c>
      <c r="G591" s="7" t="str">
        <f>IF('Port Bloomberg'!G591="","",'Port Bloomberg'!G591)</f>
        <v/>
      </c>
      <c r="H591" s="7" t="str">
        <f>IF('Port Bloomberg'!H591="","",'Port Bloomberg'!H591)</f>
        <v/>
      </c>
      <c r="I591" s="7" t="str">
        <f>IF('Port Bloomberg'!I591="","",'Port Bloomberg'!I591)</f>
        <v/>
      </c>
      <c r="J591" s="7" t="str">
        <f>IF('Port Bloomberg'!J591="","",'Port Bloomberg'!J591)</f>
        <v/>
      </c>
      <c r="K591" s="7" t="str">
        <f>IF('Port Bloomberg'!K591="","",'Port Bloomberg'!K591)</f>
        <v/>
      </c>
      <c r="L591" s="7" t="str">
        <f>IF('Port Bloomberg'!L591="","",'Port Bloomberg'!L591)</f>
        <v/>
      </c>
      <c r="M591" s="7" t="str">
        <f>IF('Port Bloomberg'!M591="","",'Port Bloomberg'!M591)</f>
        <v/>
      </c>
      <c r="N591" s="7" t="str">
        <f>IF('Port Bloomberg'!N591="","",'Port Bloomberg'!N591)</f>
        <v/>
      </c>
      <c r="O591" s="7" t="str">
        <f>IF('Port Bloomberg'!O591="","",'Port Bloomberg'!O591)</f>
        <v/>
      </c>
      <c r="P591" s="7" t="str">
        <f>IF('Port Bloomberg'!P591="","",'Port Bloomberg'!P591)</f>
        <v/>
      </c>
      <c r="Q591" s="7" t="str">
        <f>IF('Port Bloomberg'!Q591="","",'Port Bloomberg'!Q591)</f>
        <v/>
      </c>
      <c r="R591" s="7" t="str">
        <f>IF('Port Bloomberg'!R591="","",'Port Bloomberg'!R591)</f>
        <v/>
      </c>
      <c r="S591" s="5" t="str">
        <f>IF(E591="","",IFERROR(IF(MATCH(E591,[1]Instrumentos!$D:$D,0)&gt;0,1,0),0))</f>
        <v/>
      </c>
      <c r="T591" s="5" t="str">
        <f>IF(E591="","",IFERROR(IF(MATCH(E591,'Lista de excepciones'!$E:$E,0)&gt;0,1,0),0))</f>
        <v/>
      </c>
      <c r="U591" s="6" t="str">
        <f t="shared" si="10"/>
        <v/>
      </c>
    </row>
    <row r="592" spans="1:21" hidden="1" x14ac:dyDescent="0.25">
      <c r="A592" s="7" t="str">
        <f>IF('Port Bloomberg'!A592="","",'Port Bloomberg'!A592)</f>
        <v/>
      </c>
      <c r="B592" s="7" t="str">
        <f>IF('Port Bloomberg'!B592="","",'Port Bloomberg'!B592)</f>
        <v/>
      </c>
      <c r="C592" s="7" t="str">
        <f>IF('Port Bloomberg'!C592="","",'Port Bloomberg'!C592)</f>
        <v/>
      </c>
      <c r="D592" s="7" t="str">
        <f>IF('Port Bloomberg'!D592="","",'Port Bloomberg'!D592)</f>
        <v/>
      </c>
      <c r="E592" s="7" t="str">
        <f>IF('Port Bloomberg'!E592="","",'Port Bloomberg'!E592)</f>
        <v/>
      </c>
      <c r="F592" s="7" t="str">
        <f>IF('Port Bloomberg'!F592="","",'Port Bloomberg'!F592)</f>
        <v/>
      </c>
      <c r="G592" s="7" t="str">
        <f>IF('Port Bloomberg'!G592="","",'Port Bloomberg'!G592)</f>
        <v/>
      </c>
      <c r="H592" s="7" t="str">
        <f>IF('Port Bloomberg'!H592="","",'Port Bloomberg'!H592)</f>
        <v/>
      </c>
      <c r="I592" s="7" t="str">
        <f>IF('Port Bloomberg'!I592="","",'Port Bloomberg'!I592)</f>
        <v/>
      </c>
      <c r="J592" s="7" t="str">
        <f>IF('Port Bloomberg'!J592="","",'Port Bloomberg'!J592)</f>
        <v/>
      </c>
      <c r="K592" s="7" t="str">
        <f>IF('Port Bloomberg'!K592="","",'Port Bloomberg'!K592)</f>
        <v/>
      </c>
      <c r="L592" s="7" t="str">
        <f>IF('Port Bloomberg'!L592="","",'Port Bloomberg'!L592)</f>
        <v/>
      </c>
      <c r="M592" s="7" t="str">
        <f>IF('Port Bloomberg'!M592="","",'Port Bloomberg'!M592)</f>
        <v/>
      </c>
      <c r="N592" s="7" t="str">
        <f>IF('Port Bloomberg'!N592="","",'Port Bloomberg'!N592)</f>
        <v/>
      </c>
      <c r="O592" s="7" t="str">
        <f>IF('Port Bloomberg'!O592="","",'Port Bloomberg'!O592)</f>
        <v/>
      </c>
      <c r="P592" s="7" t="str">
        <f>IF('Port Bloomberg'!P592="","",'Port Bloomberg'!P592)</f>
        <v/>
      </c>
      <c r="Q592" s="7" t="str">
        <f>IF('Port Bloomberg'!Q592="","",'Port Bloomberg'!Q592)</f>
        <v/>
      </c>
      <c r="R592" s="7" t="str">
        <f>IF('Port Bloomberg'!R592="","",'Port Bloomberg'!R592)</f>
        <v/>
      </c>
      <c r="S592" s="5" t="str">
        <f>IF(E592="","",IFERROR(IF(MATCH(E592,[1]Instrumentos!$D:$D,0)&gt;0,1,0),0))</f>
        <v/>
      </c>
      <c r="T592" s="5" t="str">
        <f>IF(E592="","",IFERROR(IF(MATCH(E592,'Lista de excepciones'!$E:$E,0)&gt;0,1,0),0))</f>
        <v/>
      </c>
      <c r="U592" s="6" t="str">
        <f t="shared" si="10"/>
        <v/>
      </c>
    </row>
    <row r="593" spans="1:21" hidden="1" x14ac:dyDescent="0.25">
      <c r="A593" s="7" t="str">
        <f>IF('Port Bloomberg'!A593="","",'Port Bloomberg'!A593)</f>
        <v/>
      </c>
      <c r="B593" s="7" t="str">
        <f>IF('Port Bloomberg'!B593="","",'Port Bloomberg'!B593)</f>
        <v/>
      </c>
      <c r="C593" s="7" t="str">
        <f>IF('Port Bloomberg'!C593="","",'Port Bloomberg'!C593)</f>
        <v/>
      </c>
      <c r="D593" s="7" t="str">
        <f>IF('Port Bloomberg'!D593="","",'Port Bloomberg'!D593)</f>
        <v/>
      </c>
      <c r="E593" s="7" t="str">
        <f>IF('Port Bloomberg'!E593="","",'Port Bloomberg'!E593)</f>
        <v/>
      </c>
      <c r="F593" s="7" t="str">
        <f>IF('Port Bloomberg'!F593="","",'Port Bloomberg'!F593)</f>
        <v/>
      </c>
      <c r="G593" s="7" t="str">
        <f>IF('Port Bloomberg'!G593="","",'Port Bloomberg'!G593)</f>
        <v/>
      </c>
      <c r="H593" s="7" t="str">
        <f>IF('Port Bloomberg'!H593="","",'Port Bloomberg'!H593)</f>
        <v/>
      </c>
      <c r="I593" s="7" t="str">
        <f>IF('Port Bloomberg'!I593="","",'Port Bloomberg'!I593)</f>
        <v/>
      </c>
      <c r="J593" s="7" t="str">
        <f>IF('Port Bloomberg'!J593="","",'Port Bloomberg'!J593)</f>
        <v/>
      </c>
      <c r="K593" s="7" t="str">
        <f>IF('Port Bloomberg'!K593="","",'Port Bloomberg'!K593)</f>
        <v/>
      </c>
      <c r="L593" s="7" t="str">
        <f>IF('Port Bloomberg'!L593="","",'Port Bloomberg'!L593)</f>
        <v/>
      </c>
      <c r="M593" s="7" t="str">
        <f>IF('Port Bloomberg'!M593="","",'Port Bloomberg'!M593)</f>
        <v/>
      </c>
      <c r="N593" s="7" t="str">
        <f>IF('Port Bloomberg'!N593="","",'Port Bloomberg'!N593)</f>
        <v/>
      </c>
      <c r="O593" s="7" t="str">
        <f>IF('Port Bloomberg'!O593="","",'Port Bloomberg'!O593)</f>
        <v/>
      </c>
      <c r="P593" s="7" t="str">
        <f>IF('Port Bloomberg'!P593="","",'Port Bloomberg'!P593)</f>
        <v/>
      </c>
      <c r="Q593" s="7" t="str">
        <f>IF('Port Bloomberg'!Q593="","",'Port Bloomberg'!Q593)</f>
        <v/>
      </c>
      <c r="R593" s="7" t="str">
        <f>IF('Port Bloomberg'!R593="","",'Port Bloomberg'!R593)</f>
        <v/>
      </c>
      <c r="S593" s="5" t="str">
        <f>IF(E593="","",IFERROR(IF(MATCH(E593,[1]Instrumentos!$D:$D,0)&gt;0,1,0),0))</f>
        <v/>
      </c>
      <c r="T593" s="5" t="str">
        <f>IF(E593="","",IFERROR(IF(MATCH(E593,'Lista de excepciones'!$E:$E,0)&gt;0,1,0),0))</f>
        <v/>
      </c>
      <c r="U593" s="6" t="str">
        <f t="shared" si="10"/>
        <v/>
      </c>
    </row>
    <row r="594" spans="1:21" hidden="1" x14ac:dyDescent="0.25">
      <c r="A594" s="7" t="str">
        <f>IF('Port Bloomberg'!A594="","",'Port Bloomberg'!A594)</f>
        <v/>
      </c>
      <c r="B594" s="7" t="str">
        <f>IF('Port Bloomberg'!B594="","",'Port Bloomberg'!B594)</f>
        <v/>
      </c>
      <c r="C594" s="7" t="str">
        <f>IF('Port Bloomberg'!C594="","",'Port Bloomberg'!C594)</f>
        <v/>
      </c>
      <c r="D594" s="7" t="str">
        <f>IF('Port Bloomberg'!D594="","",'Port Bloomberg'!D594)</f>
        <v/>
      </c>
      <c r="E594" s="7" t="str">
        <f>IF('Port Bloomberg'!E594="","",'Port Bloomberg'!E594)</f>
        <v/>
      </c>
      <c r="F594" s="7" t="str">
        <f>IF('Port Bloomberg'!F594="","",'Port Bloomberg'!F594)</f>
        <v/>
      </c>
      <c r="G594" s="7" t="str">
        <f>IF('Port Bloomberg'!G594="","",'Port Bloomberg'!G594)</f>
        <v/>
      </c>
      <c r="H594" s="7" t="str">
        <f>IF('Port Bloomberg'!H594="","",'Port Bloomberg'!H594)</f>
        <v/>
      </c>
      <c r="I594" s="7" t="str">
        <f>IF('Port Bloomberg'!I594="","",'Port Bloomberg'!I594)</f>
        <v/>
      </c>
      <c r="J594" s="7" t="str">
        <f>IF('Port Bloomberg'!J594="","",'Port Bloomberg'!J594)</f>
        <v/>
      </c>
      <c r="K594" s="7" t="str">
        <f>IF('Port Bloomberg'!K594="","",'Port Bloomberg'!K594)</f>
        <v/>
      </c>
      <c r="L594" s="7" t="str">
        <f>IF('Port Bloomberg'!L594="","",'Port Bloomberg'!L594)</f>
        <v/>
      </c>
      <c r="M594" s="7" t="str">
        <f>IF('Port Bloomberg'!M594="","",'Port Bloomberg'!M594)</f>
        <v/>
      </c>
      <c r="N594" s="7" t="str">
        <f>IF('Port Bloomberg'!N594="","",'Port Bloomberg'!N594)</f>
        <v/>
      </c>
      <c r="O594" s="7" t="str">
        <f>IF('Port Bloomberg'!O594="","",'Port Bloomberg'!O594)</f>
        <v/>
      </c>
      <c r="P594" s="7" t="str">
        <f>IF('Port Bloomberg'!P594="","",'Port Bloomberg'!P594)</f>
        <v/>
      </c>
      <c r="Q594" s="7" t="str">
        <f>IF('Port Bloomberg'!Q594="","",'Port Bloomberg'!Q594)</f>
        <v/>
      </c>
      <c r="R594" s="7" t="str">
        <f>IF('Port Bloomberg'!R594="","",'Port Bloomberg'!R594)</f>
        <v/>
      </c>
      <c r="S594" s="5" t="str">
        <f>IF(E594="","",IFERROR(IF(MATCH(E594,[1]Instrumentos!$D:$D,0)&gt;0,1,0),0))</f>
        <v/>
      </c>
      <c r="T594" s="5" t="str">
        <f>IF(E594="","",IFERROR(IF(MATCH(E594,'Lista de excepciones'!$E:$E,0)&gt;0,1,0),0))</f>
        <v/>
      </c>
      <c r="U594" s="6" t="str">
        <f t="shared" si="10"/>
        <v/>
      </c>
    </row>
    <row r="595" spans="1:21" hidden="1" x14ac:dyDescent="0.25">
      <c r="A595" s="7" t="str">
        <f>IF('Port Bloomberg'!A595="","",'Port Bloomberg'!A595)</f>
        <v/>
      </c>
      <c r="B595" s="7" t="str">
        <f>IF('Port Bloomberg'!B595="","",'Port Bloomberg'!B595)</f>
        <v/>
      </c>
      <c r="C595" s="7" t="str">
        <f>IF('Port Bloomberg'!C595="","",'Port Bloomberg'!C595)</f>
        <v/>
      </c>
      <c r="D595" s="7" t="str">
        <f>IF('Port Bloomberg'!D595="","",'Port Bloomberg'!D595)</f>
        <v/>
      </c>
      <c r="E595" s="7" t="str">
        <f>IF('Port Bloomberg'!E595="","",'Port Bloomberg'!E595)</f>
        <v/>
      </c>
      <c r="F595" s="7" t="str">
        <f>IF('Port Bloomberg'!F595="","",'Port Bloomberg'!F595)</f>
        <v/>
      </c>
      <c r="G595" s="7" t="str">
        <f>IF('Port Bloomberg'!G595="","",'Port Bloomberg'!G595)</f>
        <v/>
      </c>
      <c r="H595" s="7" t="str">
        <f>IF('Port Bloomberg'!H595="","",'Port Bloomberg'!H595)</f>
        <v/>
      </c>
      <c r="I595" s="7" t="str">
        <f>IF('Port Bloomberg'!I595="","",'Port Bloomberg'!I595)</f>
        <v/>
      </c>
      <c r="J595" s="7" t="str">
        <f>IF('Port Bloomberg'!J595="","",'Port Bloomberg'!J595)</f>
        <v/>
      </c>
      <c r="K595" s="7" t="str">
        <f>IF('Port Bloomberg'!K595="","",'Port Bloomberg'!K595)</f>
        <v/>
      </c>
      <c r="L595" s="7" t="str">
        <f>IF('Port Bloomberg'!L595="","",'Port Bloomberg'!L595)</f>
        <v/>
      </c>
      <c r="M595" s="7" t="str">
        <f>IF('Port Bloomberg'!M595="","",'Port Bloomberg'!M595)</f>
        <v/>
      </c>
      <c r="N595" s="7" t="str">
        <f>IF('Port Bloomberg'!N595="","",'Port Bloomberg'!N595)</f>
        <v/>
      </c>
      <c r="O595" s="7" t="str">
        <f>IF('Port Bloomberg'!O595="","",'Port Bloomberg'!O595)</f>
        <v/>
      </c>
      <c r="P595" s="7" t="str">
        <f>IF('Port Bloomberg'!P595="","",'Port Bloomberg'!P595)</f>
        <v/>
      </c>
      <c r="Q595" s="7" t="str">
        <f>IF('Port Bloomberg'!Q595="","",'Port Bloomberg'!Q595)</f>
        <v/>
      </c>
      <c r="R595" s="7" t="str">
        <f>IF('Port Bloomberg'!R595="","",'Port Bloomberg'!R595)</f>
        <v/>
      </c>
      <c r="S595" s="5" t="str">
        <f>IF(E595="","",IFERROR(IF(MATCH(E595,[1]Instrumentos!$D:$D,0)&gt;0,1,0),0))</f>
        <v/>
      </c>
      <c r="T595" s="5" t="str">
        <f>IF(E595="","",IFERROR(IF(MATCH(E595,'Lista de excepciones'!$E:$E,0)&gt;0,1,0),0))</f>
        <v/>
      </c>
      <c r="U595" s="6" t="str">
        <f t="shared" si="10"/>
        <v/>
      </c>
    </row>
    <row r="596" spans="1:21" hidden="1" x14ac:dyDescent="0.25">
      <c r="A596" s="7" t="str">
        <f>IF('Port Bloomberg'!A596="","",'Port Bloomberg'!A596)</f>
        <v/>
      </c>
      <c r="B596" s="7" t="str">
        <f>IF('Port Bloomberg'!B596="","",'Port Bloomberg'!B596)</f>
        <v/>
      </c>
      <c r="C596" s="7" t="str">
        <f>IF('Port Bloomberg'!C596="","",'Port Bloomberg'!C596)</f>
        <v/>
      </c>
      <c r="D596" s="7" t="str">
        <f>IF('Port Bloomberg'!D596="","",'Port Bloomberg'!D596)</f>
        <v/>
      </c>
      <c r="E596" s="7" t="str">
        <f>IF('Port Bloomberg'!E596="","",'Port Bloomberg'!E596)</f>
        <v/>
      </c>
      <c r="F596" s="7" t="str">
        <f>IF('Port Bloomberg'!F596="","",'Port Bloomberg'!F596)</f>
        <v/>
      </c>
      <c r="G596" s="7" t="str">
        <f>IF('Port Bloomberg'!G596="","",'Port Bloomberg'!G596)</f>
        <v/>
      </c>
      <c r="H596" s="7" t="str">
        <f>IF('Port Bloomberg'!H596="","",'Port Bloomberg'!H596)</f>
        <v/>
      </c>
      <c r="I596" s="7" t="str">
        <f>IF('Port Bloomberg'!I596="","",'Port Bloomberg'!I596)</f>
        <v/>
      </c>
      <c r="J596" s="7" t="str">
        <f>IF('Port Bloomberg'!J596="","",'Port Bloomberg'!J596)</f>
        <v/>
      </c>
      <c r="K596" s="7" t="str">
        <f>IF('Port Bloomberg'!K596="","",'Port Bloomberg'!K596)</f>
        <v/>
      </c>
      <c r="L596" s="7" t="str">
        <f>IF('Port Bloomberg'!L596="","",'Port Bloomberg'!L596)</f>
        <v/>
      </c>
      <c r="M596" s="7" t="str">
        <f>IF('Port Bloomberg'!M596="","",'Port Bloomberg'!M596)</f>
        <v/>
      </c>
      <c r="N596" s="7" t="str">
        <f>IF('Port Bloomberg'!N596="","",'Port Bloomberg'!N596)</f>
        <v/>
      </c>
      <c r="O596" s="7" t="str">
        <f>IF('Port Bloomberg'!O596="","",'Port Bloomberg'!O596)</f>
        <v/>
      </c>
      <c r="P596" s="7" t="str">
        <f>IF('Port Bloomberg'!P596="","",'Port Bloomberg'!P596)</f>
        <v/>
      </c>
      <c r="Q596" s="7" t="str">
        <f>IF('Port Bloomberg'!Q596="","",'Port Bloomberg'!Q596)</f>
        <v/>
      </c>
      <c r="R596" s="7" t="str">
        <f>IF('Port Bloomberg'!R596="","",'Port Bloomberg'!R596)</f>
        <v/>
      </c>
      <c r="S596" s="5" t="str">
        <f>IF(E596="","",IFERROR(IF(MATCH(E596,[1]Instrumentos!$D:$D,0)&gt;0,1,0),0))</f>
        <v/>
      </c>
      <c r="T596" s="5" t="str">
        <f>IF(E596="","",IFERROR(IF(MATCH(E596,'Lista de excepciones'!$E:$E,0)&gt;0,1,0),0))</f>
        <v/>
      </c>
      <c r="U596" s="6" t="str">
        <f t="shared" si="10"/>
        <v/>
      </c>
    </row>
    <row r="597" spans="1:21" hidden="1" x14ac:dyDescent="0.25">
      <c r="A597" s="7" t="str">
        <f>IF('Port Bloomberg'!A597="","",'Port Bloomberg'!A597)</f>
        <v/>
      </c>
      <c r="B597" s="7" t="str">
        <f>IF('Port Bloomberg'!B597="","",'Port Bloomberg'!B597)</f>
        <v/>
      </c>
      <c r="C597" s="7" t="str">
        <f>IF('Port Bloomberg'!C597="","",'Port Bloomberg'!C597)</f>
        <v/>
      </c>
      <c r="D597" s="7" t="str">
        <f>IF('Port Bloomberg'!D597="","",'Port Bloomberg'!D597)</f>
        <v/>
      </c>
      <c r="E597" s="7" t="str">
        <f>IF('Port Bloomberg'!E597="","",'Port Bloomberg'!E597)</f>
        <v/>
      </c>
      <c r="F597" s="7" t="str">
        <f>IF('Port Bloomberg'!F597="","",'Port Bloomberg'!F597)</f>
        <v/>
      </c>
      <c r="G597" s="7" t="str">
        <f>IF('Port Bloomberg'!G597="","",'Port Bloomberg'!G597)</f>
        <v/>
      </c>
      <c r="H597" s="7" t="str">
        <f>IF('Port Bloomberg'!H597="","",'Port Bloomberg'!H597)</f>
        <v/>
      </c>
      <c r="I597" s="7" t="str">
        <f>IF('Port Bloomberg'!I597="","",'Port Bloomberg'!I597)</f>
        <v/>
      </c>
      <c r="J597" s="7" t="str">
        <f>IF('Port Bloomberg'!J597="","",'Port Bloomberg'!J597)</f>
        <v/>
      </c>
      <c r="K597" s="7" t="str">
        <f>IF('Port Bloomberg'!K597="","",'Port Bloomberg'!K597)</f>
        <v/>
      </c>
      <c r="L597" s="7" t="str">
        <f>IF('Port Bloomberg'!L597="","",'Port Bloomberg'!L597)</f>
        <v/>
      </c>
      <c r="M597" s="7" t="str">
        <f>IF('Port Bloomberg'!M597="","",'Port Bloomberg'!M597)</f>
        <v/>
      </c>
      <c r="N597" s="7" t="str">
        <f>IF('Port Bloomberg'!N597="","",'Port Bloomberg'!N597)</f>
        <v/>
      </c>
      <c r="O597" s="7" t="str">
        <f>IF('Port Bloomberg'!O597="","",'Port Bloomberg'!O597)</f>
        <v/>
      </c>
      <c r="P597" s="7" t="str">
        <f>IF('Port Bloomberg'!P597="","",'Port Bloomberg'!P597)</f>
        <v/>
      </c>
      <c r="Q597" s="7" t="str">
        <f>IF('Port Bloomberg'!Q597="","",'Port Bloomberg'!Q597)</f>
        <v/>
      </c>
      <c r="R597" s="7" t="str">
        <f>IF('Port Bloomberg'!R597="","",'Port Bloomberg'!R597)</f>
        <v/>
      </c>
      <c r="S597" s="5" t="str">
        <f>IF(E597="","",IFERROR(IF(MATCH(E597,[1]Instrumentos!$D:$D,0)&gt;0,1,0),0))</f>
        <v/>
      </c>
      <c r="T597" s="5" t="str">
        <f>IF(E597="","",IFERROR(IF(MATCH(E597,'Lista de excepciones'!$E:$E,0)&gt;0,1,0),0))</f>
        <v/>
      </c>
      <c r="U597" s="6" t="str">
        <f t="shared" si="10"/>
        <v/>
      </c>
    </row>
    <row r="598" spans="1:21" hidden="1" x14ac:dyDescent="0.25">
      <c r="A598" s="7" t="str">
        <f>IF('Port Bloomberg'!A598="","",'Port Bloomberg'!A598)</f>
        <v/>
      </c>
      <c r="B598" s="7" t="str">
        <f>IF('Port Bloomberg'!B598="","",'Port Bloomberg'!B598)</f>
        <v/>
      </c>
      <c r="C598" s="7" t="str">
        <f>IF('Port Bloomberg'!C598="","",'Port Bloomberg'!C598)</f>
        <v/>
      </c>
      <c r="D598" s="7" t="str">
        <f>IF('Port Bloomberg'!D598="","",'Port Bloomberg'!D598)</f>
        <v/>
      </c>
      <c r="E598" s="7" t="str">
        <f>IF('Port Bloomberg'!E598="","",'Port Bloomberg'!E598)</f>
        <v/>
      </c>
      <c r="F598" s="7" t="str">
        <f>IF('Port Bloomberg'!F598="","",'Port Bloomberg'!F598)</f>
        <v/>
      </c>
      <c r="G598" s="7" t="str">
        <f>IF('Port Bloomberg'!G598="","",'Port Bloomberg'!G598)</f>
        <v/>
      </c>
      <c r="H598" s="7" t="str">
        <f>IF('Port Bloomberg'!H598="","",'Port Bloomberg'!H598)</f>
        <v/>
      </c>
      <c r="I598" s="7" t="str">
        <f>IF('Port Bloomberg'!I598="","",'Port Bloomberg'!I598)</f>
        <v/>
      </c>
      <c r="J598" s="7" t="str">
        <f>IF('Port Bloomberg'!J598="","",'Port Bloomberg'!J598)</f>
        <v/>
      </c>
      <c r="K598" s="7" t="str">
        <f>IF('Port Bloomberg'!K598="","",'Port Bloomberg'!K598)</f>
        <v/>
      </c>
      <c r="L598" s="7" t="str">
        <f>IF('Port Bloomberg'!L598="","",'Port Bloomberg'!L598)</f>
        <v/>
      </c>
      <c r="M598" s="7" t="str">
        <f>IF('Port Bloomberg'!M598="","",'Port Bloomberg'!M598)</f>
        <v/>
      </c>
      <c r="N598" s="7" t="str">
        <f>IF('Port Bloomberg'!N598="","",'Port Bloomberg'!N598)</f>
        <v/>
      </c>
      <c r="O598" s="7" t="str">
        <f>IF('Port Bloomberg'!O598="","",'Port Bloomberg'!O598)</f>
        <v/>
      </c>
      <c r="P598" s="7" t="str">
        <f>IF('Port Bloomberg'!P598="","",'Port Bloomberg'!P598)</f>
        <v/>
      </c>
      <c r="Q598" s="7" t="str">
        <f>IF('Port Bloomberg'!Q598="","",'Port Bloomberg'!Q598)</f>
        <v/>
      </c>
      <c r="R598" s="7" t="str">
        <f>IF('Port Bloomberg'!R598="","",'Port Bloomberg'!R598)</f>
        <v/>
      </c>
      <c r="S598" s="5" t="str">
        <f>IF(E598="","",IFERROR(IF(MATCH(E598,[1]Instrumentos!$D:$D,0)&gt;0,1,0),0))</f>
        <v/>
      </c>
      <c r="T598" s="5" t="str">
        <f>IF(E598="","",IFERROR(IF(MATCH(E598,'Lista de excepciones'!$E:$E,0)&gt;0,1,0),0))</f>
        <v/>
      </c>
      <c r="U598" s="6" t="str">
        <f t="shared" si="10"/>
        <v/>
      </c>
    </row>
    <row r="599" spans="1:21" hidden="1" x14ac:dyDescent="0.25">
      <c r="A599" s="7" t="str">
        <f>IF('Port Bloomberg'!A599="","",'Port Bloomberg'!A599)</f>
        <v/>
      </c>
      <c r="B599" s="7" t="str">
        <f>IF('Port Bloomberg'!B599="","",'Port Bloomberg'!B599)</f>
        <v/>
      </c>
      <c r="C599" s="7" t="str">
        <f>IF('Port Bloomberg'!C599="","",'Port Bloomberg'!C599)</f>
        <v/>
      </c>
      <c r="D599" s="7" t="str">
        <f>IF('Port Bloomberg'!D599="","",'Port Bloomberg'!D599)</f>
        <v/>
      </c>
      <c r="E599" s="7" t="str">
        <f>IF('Port Bloomberg'!E599="","",'Port Bloomberg'!E599)</f>
        <v/>
      </c>
      <c r="F599" s="7" t="str">
        <f>IF('Port Bloomberg'!F599="","",'Port Bloomberg'!F599)</f>
        <v/>
      </c>
      <c r="G599" s="7" t="str">
        <f>IF('Port Bloomberg'!G599="","",'Port Bloomberg'!G599)</f>
        <v/>
      </c>
      <c r="H599" s="7" t="str">
        <f>IF('Port Bloomberg'!H599="","",'Port Bloomberg'!H599)</f>
        <v/>
      </c>
      <c r="I599" s="7" t="str">
        <f>IF('Port Bloomberg'!I599="","",'Port Bloomberg'!I599)</f>
        <v/>
      </c>
      <c r="J599" s="7" t="str">
        <f>IF('Port Bloomberg'!J599="","",'Port Bloomberg'!J599)</f>
        <v/>
      </c>
      <c r="K599" s="7" t="str">
        <f>IF('Port Bloomberg'!K599="","",'Port Bloomberg'!K599)</f>
        <v/>
      </c>
      <c r="L599" s="7" t="str">
        <f>IF('Port Bloomberg'!L599="","",'Port Bloomberg'!L599)</f>
        <v/>
      </c>
      <c r="M599" s="7" t="str">
        <f>IF('Port Bloomberg'!M599="","",'Port Bloomberg'!M599)</f>
        <v/>
      </c>
      <c r="N599" s="7" t="str">
        <f>IF('Port Bloomberg'!N599="","",'Port Bloomberg'!N599)</f>
        <v/>
      </c>
      <c r="O599" s="7" t="str">
        <f>IF('Port Bloomberg'!O599="","",'Port Bloomberg'!O599)</f>
        <v/>
      </c>
      <c r="P599" s="7" t="str">
        <f>IF('Port Bloomberg'!P599="","",'Port Bloomberg'!P599)</f>
        <v/>
      </c>
      <c r="Q599" s="7" t="str">
        <f>IF('Port Bloomberg'!Q599="","",'Port Bloomberg'!Q599)</f>
        <v/>
      </c>
      <c r="R599" s="7" t="str">
        <f>IF('Port Bloomberg'!R599="","",'Port Bloomberg'!R599)</f>
        <v/>
      </c>
      <c r="S599" s="5" t="str">
        <f>IF(E599="","",IFERROR(IF(MATCH(E599,[1]Instrumentos!$D:$D,0)&gt;0,1,0),0))</f>
        <v/>
      </c>
      <c r="T599" s="5" t="str">
        <f>IF(E599="","",IFERROR(IF(MATCH(E599,'Lista de excepciones'!$E:$E,0)&gt;0,1,0),0))</f>
        <v/>
      </c>
      <c r="U599" s="6" t="str">
        <f t="shared" si="10"/>
        <v/>
      </c>
    </row>
    <row r="600" spans="1:21" hidden="1" x14ac:dyDescent="0.25">
      <c r="A600" s="7" t="str">
        <f>IF('Port Bloomberg'!A600="","",'Port Bloomberg'!A600)</f>
        <v/>
      </c>
      <c r="B600" s="7" t="str">
        <f>IF('Port Bloomberg'!B600="","",'Port Bloomberg'!B600)</f>
        <v/>
      </c>
      <c r="C600" s="7" t="str">
        <f>IF('Port Bloomberg'!C600="","",'Port Bloomberg'!C600)</f>
        <v/>
      </c>
      <c r="D600" s="7" t="str">
        <f>IF('Port Bloomberg'!D600="","",'Port Bloomberg'!D600)</f>
        <v/>
      </c>
      <c r="E600" s="7" t="str">
        <f>IF('Port Bloomberg'!E600="","",'Port Bloomberg'!E600)</f>
        <v/>
      </c>
      <c r="F600" s="7" t="str">
        <f>IF('Port Bloomberg'!F600="","",'Port Bloomberg'!F600)</f>
        <v/>
      </c>
      <c r="G600" s="7" t="str">
        <f>IF('Port Bloomberg'!G600="","",'Port Bloomberg'!G600)</f>
        <v/>
      </c>
      <c r="H600" s="7" t="str">
        <f>IF('Port Bloomberg'!H600="","",'Port Bloomberg'!H600)</f>
        <v/>
      </c>
      <c r="I600" s="7" t="str">
        <f>IF('Port Bloomberg'!I600="","",'Port Bloomberg'!I600)</f>
        <v/>
      </c>
      <c r="J600" s="7" t="str">
        <f>IF('Port Bloomberg'!J600="","",'Port Bloomberg'!J600)</f>
        <v/>
      </c>
      <c r="K600" s="7" t="str">
        <f>IF('Port Bloomberg'!K600="","",'Port Bloomberg'!K600)</f>
        <v/>
      </c>
      <c r="L600" s="7" t="str">
        <f>IF('Port Bloomberg'!L600="","",'Port Bloomberg'!L600)</f>
        <v/>
      </c>
      <c r="M600" s="7" t="str">
        <f>IF('Port Bloomberg'!M600="","",'Port Bloomberg'!M600)</f>
        <v/>
      </c>
      <c r="N600" s="7" t="str">
        <f>IF('Port Bloomberg'!N600="","",'Port Bloomberg'!N600)</f>
        <v/>
      </c>
      <c r="O600" s="7" t="str">
        <f>IF('Port Bloomberg'!O600="","",'Port Bloomberg'!O600)</f>
        <v/>
      </c>
      <c r="P600" s="7" t="str">
        <f>IF('Port Bloomberg'!P600="","",'Port Bloomberg'!P600)</f>
        <v/>
      </c>
      <c r="Q600" s="7" t="str">
        <f>IF('Port Bloomberg'!Q600="","",'Port Bloomberg'!Q600)</f>
        <v/>
      </c>
      <c r="R600" s="7" t="str">
        <f>IF('Port Bloomberg'!R600="","",'Port Bloomberg'!R600)</f>
        <v/>
      </c>
      <c r="S600" s="5" t="str">
        <f>IF(E600="","",IFERROR(IF(MATCH(E600,[1]Instrumentos!$D:$D,0)&gt;0,1,0),0))</f>
        <v/>
      </c>
      <c r="T600" s="5" t="str">
        <f>IF(E600="","",IFERROR(IF(MATCH(E600,'Lista de excepciones'!$E:$E,0)&gt;0,1,0),0))</f>
        <v/>
      </c>
      <c r="U600" s="6" t="str">
        <f t="shared" si="10"/>
        <v/>
      </c>
    </row>
    <row r="601" spans="1:21" hidden="1" x14ac:dyDescent="0.25">
      <c r="A601" s="7" t="str">
        <f>IF('Port Bloomberg'!A601="","",'Port Bloomberg'!A601)</f>
        <v/>
      </c>
      <c r="B601" s="7" t="str">
        <f>IF('Port Bloomberg'!B601="","",'Port Bloomberg'!B601)</f>
        <v/>
      </c>
      <c r="C601" s="7" t="str">
        <f>IF('Port Bloomberg'!C601="","",'Port Bloomberg'!C601)</f>
        <v/>
      </c>
      <c r="D601" s="7" t="str">
        <f>IF('Port Bloomberg'!D601="","",'Port Bloomberg'!D601)</f>
        <v/>
      </c>
      <c r="E601" s="7" t="str">
        <f>IF('Port Bloomberg'!E601="","",'Port Bloomberg'!E601)</f>
        <v/>
      </c>
      <c r="F601" s="7" t="str">
        <f>IF('Port Bloomberg'!F601="","",'Port Bloomberg'!F601)</f>
        <v/>
      </c>
      <c r="G601" s="7" t="str">
        <f>IF('Port Bloomberg'!G601="","",'Port Bloomberg'!G601)</f>
        <v/>
      </c>
      <c r="H601" s="7" t="str">
        <f>IF('Port Bloomberg'!H601="","",'Port Bloomberg'!H601)</f>
        <v/>
      </c>
      <c r="I601" s="7" t="str">
        <f>IF('Port Bloomberg'!I601="","",'Port Bloomberg'!I601)</f>
        <v/>
      </c>
      <c r="J601" s="7" t="str">
        <f>IF('Port Bloomberg'!J601="","",'Port Bloomberg'!J601)</f>
        <v/>
      </c>
      <c r="K601" s="7" t="str">
        <f>IF('Port Bloomberg'!K601="","",'Port Bloomberg'!K601)</f>
        <v/>
      </c>
      <c r="L601" s="7" t="str">
        <f>IF('Port Bloomberg'!L601="","",'Port Bloomberg'!L601)</f>
        <v/>
      </c>
      <c r="M601" s="7" t="str">
        <f>IF('Port Bloomberg'!M601="","",'Port Bloomberg'!M601)</f>
        <v/>
      </c>
      <c r="N601" s="7" t="str">
        <f>IF('Port Bloomberg'!N601="","",'Port Bloomberg'!N601)</f>
        <v/>
      </c>
      <c r="O601" s="7" t="str">
        <f>IF('Port Bloomberg'!O601="","",'Port Bloomberg'!O601)</f>
        <v/>
      </c>
      <c r="P601" s="7" t="str">
        <f>IF('Port Bloomberg'!P601="","",'Port Bloomberg'!P601)</f>
        <v/>
      </c>
      <c r="Q601" s="7" t="str">
        <f>IF('Port Bloomberg'!Q601="","",'Port Bloomberg'!Q601)</f>
        <v/>
      </c>
      <c r="R601" s="7" t="str">
        <f>IF('Port Bloomberg'!R601="","",'Port Bloomberg'!R601)</f>
        <v/>
      </c>
      <c r="S601" s="5" t="str">
        <f>IF(E601="","",IFERROR(IF(MATCH(E601,[1]Instrumentos!$D:$D,0)&gt;0,1,0),0))</f>
        <v/>
      </c>
      <c r="T601" s="5" t="str">
        <f>IF(E601="","",IFERROR(IF(MATCH(E601,'Lista de excepciones'!$E:$E,0)&gt;0,1,0),0))</f>
        <v/>
      </c>
      <c r="U601" s="6" t="str">
        <f t="shared" si="10"/>
        <v/>
      </c>
    </row>
    <row r="602" spans="1:21" hidden="1" x14ac:dyDescent="0.25">
      <c r="A602" s="7" t="str">
        <f>IF('Port Bloomberg'!A602="","",'Port Bloomberg'!A602)</f>
        <v/>
      </c>
      <c r="B602" s="7" t="str">
        <f>IF('Port Bloomberg'!B602="","",'Port Bloomberg'!B602)</f>
        <v/>
      </c>
      <c r="C602" s="7" t="str">
        <f>IF('Port Bloomberg'!C602="","",'Port Bloomberg'!C602)</f>
        <v/>
      </c>
      <c r="D602" s="7" t="str">
        <f>IF('Port Bloomberg'!D602="","",'Port Bloomberg'!D602)</f>
        <v/>
      </c>
      <c r="E602" s="7" t="str">
        <f>IF('Port Bloomberg'!E602="","",'Port Bloomberg'!E602)</f>
        <v/>
      </c>
      <c r="F602" s="7" t="str">
        <f>IF('Port Bloomberg'!F602="","",'Port Bloomberg'!F602)</f>
        <v/>
      </c>
      <c r="G602" s="7" t="str">
        <f>IF('Port Bloomberg'!G602="","",'Port Bloomberg'!G602)</f>
        <v/>
      </c>
      <c r="H602" s="7" t="str">
        <f>IF('Port Bloomberg'!H602="","",'Port Bloomberg'!H602)</f>
        <v/>
      </c>
      <c r="I602" s="7" t="str">
        <f>IF('Port Bloomberg'!I602="","",'Port Bloomberg'!I602)</f>
        <v/>
      </c>
      <c r="J602" s="7" t="str">
        <f>IF('Port Bloomberg'!J602="","",'Port Bloomberg'!J602)</f>
        <v/>
      </c>
      <c r="K602" s="7" t="str">
        <f>IF('Port Bloomberg'!K602="","",'Port Bloomberg'!K602)</f>
        <v/>
      </c>
      <c r="L602" s="7" t="str">
        <f>IF('Port Bloomberg'!L602="","",'Port Bloomberg'!L602)</f>
        <v/>
      </c>
      <c r="M602" s="7" t="str">
        <f>IF('Port Bloomberg'!M602="","",'Port Bloomberg'!M602)</f>
        <v/>
      </c>
      <c r="N602" s="7" t="str">
        <f>IF('Port Bloomberg'!N602="","",'Port Bloomberg'!N602)</f>
        <v/>
      </c>
      <c r="O602" s="7" t="str">
        <f>IF('Port Bloomberg'!O602="","",'Port Bloomberg'!O602)</f>
        <v/>
      </c>
      <c r="P602" s="7" t="str">
        <f>IF('Port Bloomberg'!P602="","",'Port Bloomberg'!P602)</f>
        <v/>
      </c>
      <c r="Q602" s="7" t="str">
        <f>IF('Port Bloomberg'!Q602="","",'Port Bloomberg'!Q602)</f>
        <v/>
      </c>
      <c r="R602" s="7" t="str">
        <f>IF('Port Bloomberg'!R602="","",'Port Bloomberg'!R602)</f>
        <v/>
      </c>
      <c r="S602" s="5" t="str">
        <f>IF(E602="","",IFERROR(IF(MATCH(E602,[1]Instrumentos!$D:$D,0)&gt;0,1,0),0))</f>
        <v/>
      </c>
      <c r="T602" s="5" t="str">
        <f>IF(E602="","",IFERROR(IF(MATCH(E602,'Lista de excepciones'!$E:$E,0)&gt;0,1,0),0))</f>
        <v/>
      </c>
      <c r="U602" s="6" t="str">
        <f t="shared" si="10"/>
        <v/>
      </c>
    </row>
    <row r="603" spans="1:21" hidden="1" x14ac:dyDescent="0.25">
      <c r="A603" s="7" t="str">
        <f>IF('Port Bloomberg'!A603="","",'Port Bloomberg'!A603)</f>
        <v/>
      </c>
      <c r="B603" s="7" t="str">
        <f>IF('Port Bloomberg'!B603="","",'Port Bloomberg'!B603)</f>
        <v/>
      </c>
      <c r="C603" s="7" t="str">
        <f>IF('Port Bloomberg'!C603="","",'Port Bloomberg'!C603)</f>
        <v/>
      </c>
      <c r="D603" s="7" t="str">
        <f>IF('Port Bloomberg'!D603="","",'Port Bloomberg'!D603)</f>
        <v/>
      </c>
      <c r="E603" s="7" t="str">
        <f>IF('Port Bloomberg'!E603="","",'Port Bloomberg'!E603)</f>
        <v/>
      </c>
      <c r="F603" s="7" t="str">
        <f>IF('Port Bloomberg'!F603="","",'Port Bloomberg'!F603)</f>
        <v/>
      </c>
      <c r="G603" s="7" t="str">
        <f>IF('Port Bloomberg'!G603="","",'Port Bloomberg'!G603)</f>
        <v/>
      </c>
      <c r="H603" s="7" t="str">
        <f>IF('Port Bloomberg'!H603="","",'Port Bloomberg'!H603)</f>
        <v/>
      </c>
      <c r="I603" s="7" t="str">
        <f>IF('Port Bloomberg'!I603="","",'Port Bloomberg'!I603)</f>
        <v/>
      </c>
      <c r="J603" s="7" t="str">
        <f>IF('Port Bloomberg'!J603="","",'Port Bloomberg'!J603)</f>
        <v/>
      </c>
      <c r="K603" s="7" t="str">
        <f>IF('Port Bloomberg'!K603="","",'Port Bloomberg'!K603)</f>
        <v/>
      </c>
      <c r="L603" s="7" t="str">
        <f>IF('Port Bloomberg'!L603="","",'Port Bloomberg'!L603)</f>
        <v/>
      </c>
      <c r="M603" s="7" t="str">
        <f>IF('Port Bloomberg'!M603="","",'Port Bloomberg'!M603)</f>
        <v/>
      </c>
      <c r="N603" s="7" t="str">
        <f>IF('Port Bloomberg'!N603="","",'Port Bloomberg'!N603)</f>
        <v/>
      </c>
      <c r="O603" s="7" t="str">
        <f>IF('Port Bloomberg'!O603="","",'Port Bloomberg'!O603)</f>
        <v/>
      </c>
      <c r="P603" s="7" t="str">
        <f>IF('Port Bloomberg'!P603="","",'Port Bloomberg'!P603)</f>
        <v/>
      </c>
      <c r="Q603" s="7" t="str">
        <f>IF('Port Bloomberg'!Q603="","",'Port Bloomberg'!Q603)</f>
        <v/>
      </c>
      <c r="R603" s="7" t="str">
        <f>IF('Port Bloomberg'!R603="","",'Port Bloomberg'!R603)</f>
        <v/>
      </c>
      <c r="S603" s="5" t="str">
        <f>IF(E603="","",IFERROR(IF(MATCH(E603,[1]Instrumentos!$D:$D,0)&gt;0,1,0),0))</f>
        <v/>
      </c>
      <c r="T603" s="5" t="str">
        <f>IF(E603="","",IFERROR(IF(MATCH(E603,'Lista de excepciones'!$E:$E,0)&gt;0,1,0),0))</f>
        <v/>
      </c>
      <c r="U603" s="6" t="str">
        <f t="shared" si="10"/>
        <v/>
      </c>
    </row>
    <row r="604" spans="1:21" hidden="1" x14ac:dyDescent="0.25">
      <c r="A604" s="7" t="str">
        <f>IF('Port Bloomberg'!A604="","",'Port Bloomberg'!A604)</f>
        <v/>
      </c>
      <c r="B604" s="7" t="str">
        <f>IF('Port Bloomberg'!B604="","",'Port Bloomberg'!B604)</f>
        <v/>
      </c>
      <c r="C604" s="7" t="str">
        <f>IF('Port Bloomberg'!C604="","",'Port Bloomberg'!C604)</f>
        <v/>
      </c>
      <c r="D604" s="7" t="str">
        <f>IF('Port Bloomberg'!D604="","",'Port Bloomberg'!D604)</f>
        <v/>
      </c>
      <c r="E604" s="7" t="str">
        <f>IF('Port Bloomberg'!E604="","",'Port Bloomberg'!E604)</f>
        <v/>
      </c>
      <c r="F604" s="7" t="str">
        <f>IF('Port Bloomberg'!F604="","",'Port Bloomberg'!F604)</f>
        <v/>
      </c>
      <c r="G604" s="7" t="str">
        <f>IF('Port Bloomberg'!G604="","",'Port Bloomberg'!G604)</f>
        <v/>
      </c>
      <c r="H604" s="7" t="str">
        <f>IF('Port Bloomberg'!H604="","",'Port Bloomberg'!H604)</f>
        <v/>
      </c>
      <c r="I604" s="7" t="str">
        <f>IF('Port Bloomberg'!I604="","",'Port Bloomberg'!I604)</f>
        <v/>
      </c>
      <c r="J604" s="7" t="str">
        <f>IF('Port Bloomberg'!J604="","",'Port Bloomberg'!J604)</f>
        <v/>
      </c>
      <c r="K604" s="7" t="str">
        <f>IF('Port Bloomberg'!K604="","",'Port Bloomberg'!K604)</f>
        <v/>
      </c>
      <c r="L604" s="7" t="str">
        <f>IF('Port Bloomberg'!L604="","",'Port Bloomberg'!L604)</f>
        <v/>
      </c>
      <c r="M604" s="7" t="str">
        <f>IF('Port Bloomberg'!M604="","",'Port Bloomberg'!M604)</f>
        <v/>
      </c>
      <c r="N604" s="7" t="str">
        <f>IF('Port Bloomberg'!N604="","",'Port Bloomberg'!N604)</f>
        <v/>
      </c>
      <c r="O604" s="7" t="str">
        <f>IF('Port Bloomberg'!O604="","",'Port Bloomberg'!O604)</f>
        <v/>
      </c>
      <c r="P604" s="7" t="str">
        <f>IF('Port Bloomberg'!P604="","",'Port Bloomberg'!P604)</f>
        <v/>
      </c>
      <c r="Q604" s="7" t="str">
        <f>IF('Port Bloomberg'!Q604="","",'Port Bloomberg'!Q604)</f>
        <v/>
      </c>
      <c r="R604" s="7" t="str">
        <f>IF('Port Bloomberg'!R604="","",'Port Bloomberg'!R604)</f>
        <v/>
      </c>
      <c r="S604" s="5" t="str">
        <f>IF(E604="","",IFERROR(IF(MATCH(E604,[1]Instrumentos!$D:$D,0)&gt;0,1,0),0))</f>
        <v/>
      </c>
      <c r="T604" s="5" t="str">
        <f>IF(E604="","",IFERROR(IF(MATCH(E604,'Lista de excepciones'!$E:$E,0)&gt;0,1,0),0))</f>
        <v/>
      </c>
      <c r="U604" s="6" t="str">
        <f t="shared" si="10"/>
        <v/>
      </c>
    </row>
    <row r="605" spans="1:21" hidden="1" x14ac:dyDescent="0.25">
      <c r="A605" s="7" t="str">
        <f>IF('Port Bloomberg'!A605="","",'Port Bloomberg'!A605)</f>
        <v/>
      </c>
      <c r="B605" s="7" t="str">
        <f>IF('Port Bloomberg'!B605="","",'Port Bloomberg'!B605)</f>
        <v/>
      </c>
      <c r="C605" s="7" t="str">
        <f>IF('Port Bloomberg'!C605="","",'Port Bloomberg'!C605)</f>
        <v/>
      </c>
      <c r="D605" s="7" t="str">
        <f>IF('Port Bloomberg'!D605="","",'Port Bloomberg'!D605)</f>
        <v/>
      </c>
      <c r="E605" s="7" t="str">
        <f>IF('Port Bloomberg'!E605="","",'Port Bloomberg'!E605)</f>
        <v/>
      </c>
      <c r="F605" s="7" t="str">
        <f>IF('Port Bloomberg'!F605="","",'Port Bloomberg'!F605)</f>
        <v/>
      </c>
      <c r="G605" s="7" t="str">
        <f>IF('Port Bloomberg'!G605="","",'Port Bloomberg'!G605)</f>
        <v/>
      </c>
      <c r="H605" s="7" t="str">
        <f>IF('Port Bloomberg'!H605="","",'Port Bloomberg'!H605)</f>
        <v/>
      </c>
      <c r="I605" s="7" t="str">
        <f>IF('Port Bloomberg'!I605="","",'Port Bloomberg'!I605)</f>
        <v/>
      </c>
      <c r="J605" s="7" t="str">
        <f>IF('Port Bloomberg'!J605="","",'Port Bloomberg'!J605)</f>
        <v/>
      </c>
      <c r="K605" s="7" t="str">
        <f>IF('Port Bloomberg'!K605="","",'Port Bloomberg'!K605)</f>
        <v/>
      </c>
      <c r="L605" s="7" t="str">
        <f>IF('Port Bloomberg'!L605="","",'Port Bloomberg'!L605)</f>
        <v/>
      </c>
      <c r="M605" s="7" t="str">
        <f>IF('Port Bloomberg'!M605="","",'Port Bloomberg'!M605)</f>
        <v/>
      </c>
      <c r="N605" s="7" t="str">
        <f>IF('Port Bloomberg'!N605="","",'Port Bloomberg'!N605)</f>
        <v/>
      </c>
      <c r="O605" s="7" t="str">
        <f>IF('Port Bloomberg'!O605="","",'Port Bloomberg'!O605)</f>
        <v/>
      </c>
      <c r="P605" s="7" t="str">
        <f>IF('Port Bloomberg'!P605="","",'Port Bloomberg'!P605)</f>
        <v/>
      </c>
      <c r="Q605" s="7" t="str">
        <f>IF('Port Bloomberg'!Q605="","",'Port Bloomberg'!Q605)</f>
        <v/>
      </c>
      <c r="R605" s="7" t="str">
        <f>IF('Port Bloomberg'!R605="","",'Port Bloomberg'!R605)</f>
        <v/>
      </c>
      <c r="S605" s="5" t="str">
        <f>IF(E605="","",IFERROR(IF(MATCH(E605,[1]Instrumentos!$D:$D,0)&gt;0,1,0),0))</f>
        <v/>
      </c>
      <c r="T605" s="5" t="str">
        <f>IF(E605="","",IFERROR(IF(MATCH(E605,'Lista de excepciones'!$E:$E,0)&gt;0,1,0),0))</f>
        <v/>
      </c>
      <c r="U605" s="6" t="str">
        <f t="shared" si="10"/>
        <v/>
      </c>
    </row>
    <row r="606" spans="1:21" hidden="1" x14ac:dyDescent="0.25">
      <c r="A606" s="7" t="str">
        <f>IF('Port Bloomberg'!A606="","",'Port Bloomberg'!A606)</f>
        <v/>
      </c>
      <c r="B606" s="7" t="str">
        <f>IF('Port Bloomberg'!B606="","",'Port Bloomberg'!B606)</f>
        <v/>
      </c>
      <c r="C606" s="7" t="str">
        <f>IF('Port Bloomberg'!C606="","",'Port Bloomberg'!C606)</f>
        <v/>
      </c>
      <c r="D606" s="7" t="str">
        <f>IF('Port Bloomberg'!D606="","",'Port Bloomberg'!D606)</f>
        <v/>
      </c>
      <c r="E606" s="7" t="str">
        <f>IF('Port Bloomberg'!E606="","",'Port Bloomberg'!E606)</f>
        <v/>
      </c>
      <c r="F606" s="7" t="str">
        <f>IF('Port Bloomberg'!F606="","",'Port Bloomberg'!F606)</f>
        <v/>
      </c>
      <c r="G606" s="7" t="str">
        <f>IF('Port Bloomberg'!G606="","",'Port Bloomberg'!G606)</f>
        <v/>
      </c>
      <c r="H606" s="7" t="str">
        <f>IF('Port Bloomberg'!H606="","",'Port Bloomberg'!H606)</f>
        <v/>
      </c>
      <c r="I606" s="7" t="str">
        <f>IF('Port Bloomberg'!I606="","",'Port Bloomberg'!I606)</f>
        <v/>
      </c>
      <c r="J606" s="7" t="str">
        <f>IF('Port Bloomberg'!J606="","",'Port Bloomberg'!J606)</f>
        <v/>
      </c>
      <c r="K606" s="7" t="str">
        <f>IF('Port Bloomberg'!K606="","",'Port Bloomberg'!K606)</f>
        <v/>
      </c>
      <c r="L606" s="7" t="str">
        <f>IF('Port Bloomberg'!L606="","",'Port Bloomberg'!L606)</f>
        <v/>
      </c>
      <c r="M606" s="7" t="str">
        <f>IF('Port Bloomberg'!M606="","",'Port Bloomberg'!M606)</f>
        <v/>
      </c>
      <c r="N606" s="7" t="str">
        <f>IF('Port Bloomberg'!N606="","",'Port Bloomberg'!N606)</f>
        <v/>
      </c>
      <c r="O606" s="7" t="str">
        <f>IF('Port Bloomberg'!O606="","",'Port Bloomberg'!O606)</f>
        <v/>
      </c>
      <c r="P606" s="7" t="str">
        <f>IF('Port Bloomberg'!P606="","",'Port Bloomberg'!P606)</f>
        <v/>
      </c>
      <c r="Q606" s="7" t="str">
        <f>IF('Port Bloomberg'!Q606="","",'Port Bloomberg'!Q606)</f>
        <v/>
      </c>
      <c r="R606" s="7" t="str">
        <f>IF('Port Bloomberg'!R606="","",'Port Bloomberg'!R606)</f>
        <v/>
      </c>
      <c r="S606" s="5" t="str">
        <f>IF(E606="","",IFERROR(IF(MATCH(E606,[1]Instrumentos!$D:$D,0)&gt;0,1,0),0))</f>
        <v/>
      </c>
      <c r="T606" s="5" t="str">
        <f>IF(E606="","",IFERROR(IF(MATCH(E606,'Lista de excepciones'!$E:$E,0)&gt;0,1,0),0))</f>
        <v/>
      </c>
      <c r="U606" s="6" t="str">
        <f t="shared" si="10"/>
        <v/>
      </c>
    </row>
    <row r="607" spans="1:21" hidden="1" x14ac:dyDescent="0.25">
      <c r="A607" s="7" t="str">
        <f>IF('Port Bloomberg'!A607="","",'Port Bloomberg'!A607)</f>
        <v/>
      </c>
      <c r="B607" s="7" t="str">
        <f>IF('Port Bloomberg'!B607="","",'Port Bloomberg'!B607)</f>
        <v/>
      </c>
      <c r="C607" s="7" t="str">
        <f>IF('Port Bloomberg'!C607="","",'Port Bloomberg'!C607)</f>
        <v/>
      </c>
      <c r="D607" s="7" t="str">
        <f>IF('Port Bloomberg'!D607="","",'Port Bloomberg'!D607)</f>
        <v/>
      </c>
      <c r="E607" s="7" t="str">
        <f>IF('Port Bloomberg'!E607="","",'Port Bloomberg'!E607)</f>
        <v/>
      </c>
      <c r="F607" s="7" t="str">
        <f>IF('Port Bloomberg'!F607="","",'Port Bloomberg'!F607)</f>
        <v/>
      </c>
      <c r="G607" s="7" t="str">
        <f>IF('Port Bloomberg'!G607="","",'Port Bloomberg'!G607)</f>
        <v/>
      </c>
      <c r="H607" s="7" t="str">
        <f>IF('Port Bloomberg'!H607="","",'Port Bloomberg'!H607)</f>
        <v/>
      </c>
      <c r="I607" s="7" t="str">
        <f>IF('Port Bloomberg'!I607="","",'Port Bloomberg'!I607)</f>
        <v/>
      </c>
      <c r="J607" s="7" t="str">
        <f>IF('Port Bloomberg'!J607="","",'Port Bloomberg'!J607)</f>
        <v/>
      </c>
      <c r="K607" s="7" t="str">
        <f>IF('Port Bloomberg'!K607="","",'Port Bloomberg'!K607)</f>
        <v/>
      </c>
      <c r="L607" s="7" t="str">
        <f>IF('Port Bloomberg'!L607="","",'Port Bloomberg'!L607)</f>
        <v/>
      </c>
      <c r="M607" s="7" t="str">
        <f>IF('Port Bloomberg'!M607="","",'Port Bloomberg'!M607)</f>
        <v/>
      </c>
      <c r="N607" s="7" t="str">
        <f>IF('Port Bloomberg'!N607="","",'Port Bloomberg'!N607)</f>
        <v/>
      </c>
      <c r="O607" s="7" t="str">
        <f>IF('Port Bloomberg'!O607="","",'Port Bloomberg'!O607)</f>
        <v/>
      </c>
      <c r="P607" s="7" t="str">
        <f>IF('Port Bloomberg'!P607="","",'Port Bloomberg'!P607)</f>
        <v/>
      </c>
      <c r="Q607" s="7" t="str">
        <f>IF('Port Bloomberg'!Q607="","",'Port Bloomberg'!Q607)</f>
        <v/>
      </c>
      <c r="R607" s="7" t="str">
        <f>IF('Port Bloomberg'!R607="","",'Port Bloomberg'!R607)</f>
        <v/>
      </c>
      <c r="S607" s="5" t="str">
        <f>IF(E607="","",IFERROR(IF(MATCH(E607,[1]Instrumentos!$D:$D,0)&gt;0,1,0),0))</f>
        <v/>
      </c>
      <c r="T607" s="5" t="str">
        <f>IF(E607="","",IFERROR(IF(MATCH(E607,'Lista de excepciones'!$E:$E,0)&gt;0,1,0),0))</f>
        <v/>
      </c>
      <c r="U607" s="6" t="str">
        <f t="shared" si="10"/>
        <v/>
      </c>
    </row>
    <row r="608" spans="1:21" hidden="1" x14ac:dyDescent="0.25">
      <c r="A608" s="7" t="str">
        <f>IF('Port Bloomberg'!A608="","",'Port Bloomberg'!A608)</f>
        <v/>
      </c>
      <c r="B608" s="7" t="str">
        <f>IF('Port Bloomberg'!B608="","",'Port Bloomberg'!B608)</f>
        <v/>
      </c>
      <c r="C608" s="7" t="str">
        <f>IF('Port Bloomberg'!C608="","",'Port Bloomberg'!C608)</f>
        <v/>
      </c>
      <c r="D608" s="7" t="str">
        <f>IF('Port Bloomberg'!D608="","",'Port Bloomberg'!D608)</f>
        <v/>
      </c>
      <c r="E608" s="7" t="str">
        <f>IF('Port Bloomberg'!E608="","",'Port Bloomberg'!E608)</f>
        <v/>
      </c>
      <c r="F608" s="7" t="str">
        <f>IF('Port Bloomberg'!F608="","",'Port Bloomberg'!F608)</f>
        <v/>
      </c>
      <c r="G608" s="7" t="str">
        <f>IF('Port Bloomberg'!G608="","",'Port Bloomberg'!G608)</f>
        <v/>
      </c>
      <c r="H608" s="7" t="str">
        <f>IF('Port Bloomberg'!H608="","",'Port Bloomberg'!H608)</f>
        <v/>
      </c>
      <c r="I608" s="7" t="str">
        <f>IF('Port Bloomberg'!I608="","",'Port Bloomberg'!I608)</f>
        <v/>
      </c>
      <c r="J608" s="7" t="str">
        <f>IF('Port Bloomberg'!J608="","",'Port Bloomberg'!J608)</f>
        <v/>
      </c>
      <c r="K608" s="7" t="str">
        <f>IF('Port Bloomberg'!K608="","",'Port Bloomberg'!K608)</f>
        <v/>
      </c>
      <c r="L608" s="7" t="str">
        <f>IF('Port Bloomberg'!L608="","",'Port Bloomberg'!L608)</f>
        <v/>
      </c>
      <c r="M608" s="7" t="str">
        <f>IF('Port Bloomberg'!M608="","",'Port Bloomberg'!M608)</f>
        <v/>
      </c>
      <c r="N608" s="7" t="str">
        <f>IF('Port Bloomberg'!N608="","",'Port Bloomberg'!N608)</f>
        <v/>
      </c>
      <c r="O608" s="7" t="str">
        <f>IF('Port Bloomberg'!O608="","",'Port Bloomberg'!O608)</f>
        <v/>
      </c>
      <c r="P608" s="7" t="str">
        <f>IF('Port Bloomberg'!P608="","",'Port Bloomberg'!P608)</f>
        <v/>
      </c>
      <c r="Q608" s="7" t="str">
        <f>IF('Port Bloomberg'!Q608="","",'Port Bloomberg'!Q608)</f>
        <v/>
      </c>
      <c r="R608" s="7" t="str">
        <f>IF('Port Bloomberg'!R608="","",'Port Bloomberg'!R608)</f>
        <v/>
      </c>
      <c r="S608" s="5" t="str">
        <f>IF(E608="","",IFERROR(IF(MATCH(E608,[1]Instrumentos!$D:$D,0)&gt;0,1,0),0))</f>
        <v/>
      </c>
      <c r="T608" s="5" t="str">
        <f>IF(E608="","",IFERROR(IF(MATCH(E608,'Lista de excepciones'!$E:$E,0)&gt;0,1,0),0))</f>
        <v/>
      </c>
      <c r="U608" s="6" t="str">
        <f t="shared" si="10"/>
        <v/>
      </c>
    </row>
    <row r="609" spans="1:21" hidden="1" x14ac:dyDescent="0.25">
      <c r="A609" s="7" t="str">
        <f>IF('Port Bloomberg'!A609="","",'Port Bloomberg'!A609)</f>
        <v/>
      </c>
      <c r="B609" s="7" t="str">
        <f>IF('Port Bloomberg'!B609="","",'Port Bloomberg'!B609)</f>
        <v/>
      </c>
      <c r="C609" s="7" t="str">
        <f>IF('Port Bloomberg'!C609="","",'Port Bloomberg'!C609)</f>
        <v/>
      </c>
      <c r="D609" s="7" t="str">
        <f>IF('Port Bloomberg'!D609="","",'Port Bloomberg'!D609)</f>
        <v/>
      </c>
      <c r="E609" s="7" t="str">
        <f>IF('Port Bloomberg'!E609="","",'Port Bloomberg'!E609)</f>
        <v/>
      </c>
      <c r="F609" s="7" t="str">
        <f>IF('Port Bloomberg'!F609="","",'Port Bloomberg'!F609)</f>
        <v/>
      </c>
      <c r="G609" s="7" t="str">
        <f>IF('Port Bloomberg'!G609="","",'Port Bloomberg'!G609)</f>
        <v/>
      </c>
      <c r="H609" s="7" t="str">
        <f>IF('Port Bloomberg'!H609="","",'Port Bloomberg'!H609)</f>
        <v/>
      </c>
      <c r="I609" s="7" t="str">
        <f>IF('Port Bloomberg'!I609="","",'Port Bloomberg'!I609)</f>
        <v/>
      </c>
      <c r="J609" s="7" t="str">
        <f>IF('Port Bloomberg'!J609="","",'Port Bloomberg'!J609)</f>
        <v/>
      </c>
      <c r="K609" s="7" t="str">
        <f>IF('Port Bloomberg'!K609="","",'Port Bloomberg'!K609)</f>
        <v/>
      </c>
      <c r="L609" s="7" t="str">
        <f>IF('Port Bloomberg'!L609="","",'Port Bloomberg'!L609)</f>
        <v/>
      </c>
      <c r="M609" s="7" t="str">
        <f>IF('Port Bloomberg'!M609="","",'Port Bloomberg'!M609)</f>
        <v/>
      </c>
      <c r="N609" s="7" t="str">
        <f>IF('Port Bloomberg'!N609="","",'Port Bloomberg'!N609)</f>
        <v/>
      </c>
      <c r="O609" s="7" t="str">
        <f>IF('Port Bloomberg'!O609="","",'Port Bloomberg'!O609)</f>
        <v/>
      </c>
      <c r="P609" s="7" t="str">
        <f>IF('Port Bloomberg'!P609="","",'Port Bloomberg'!P609)</f>
        <v/>
      </c>
      <c r="Q609" s="7" t="str">
        <f>IF('Port Bloomberg'!Q609="","",'Port Bloomberg'!Q609)</f>
        <v/>
      </c>
      <c r="R609" s="7" t="str">
        <f>IF('Port Bloomberg'!R609="","",'Port Bloomberg'!R609)</f>
        <v/>
      </c>
      <c r="S609" s="5" t="str">
        <f>IF(E609="","",IFERROR(IF(MATCH(E609,[1]Instrumentos!$D:$D,0)&gt;0,1,0),0))</f>
        <v/>
      </c>
      <c r="T609" s="5" t="str">
        <f>IF(E609="","",IFERROR(IF(MATCH(E609,'Lista de excepciones'!$E:$E,0)&gt;0,1,0),0))</f>
        <v/>
      </c>
      <c r="U609" s="6" t="str">
        <f t="shared" si="10"/>
        <v/>
      </c>
    </row>
    <row r="610" spans="1:21" hidden="1" x14ac:dyDescent="0.25">
      <c r="A610" s="7" t="str">
        <f>IF('Port Bloomberg'!A610="","",'Port Bloomberg'!A610)</f>
        <v/>
      </c>
      <c r="B610" s="7" t="str">
        <f>IF('Port Bloomberg'!B610="","",'Port Bloomberg'!B610)</f>
        <v/>
      </c>
      <c r="C610" s="7" t="str">
        <f>IF('Port Bloomberg'!C610="","",'Port Bloomberg'!C610)</f>
        <v/>
      </c>
      <c r="D610" s="7" t="str">
        <f>IF('Port Bloomberg'!D610="","",'Port Bloomberg'!D610)</f>
        <v/>
      </c>
      <c r="E610" s="7" t="str">
        <f>IF('Port Bloomberg'!E610="","",'Port Bloomberg'!E610)</f>
        <v/>
      </c>
      <c r="F610" s="7" t="str">
        <f>IF('Port Bloomberg'!F610="","",'Port Bloomberg'!F610)</f>
        <v/>
      </c>
      <c r="G610" s="7" t="str">
        <f>IF('Port Bloomberg'!G610="","",'Port Bloomberg'!G610)</f>
        <v/>
      </c>
      <c r="H610" s="7" t="str">
        <f>IF('Port Bloomberg'!H610="","",'Port Bloomberg'!H610)</f>
        <v/>
      </c>
      <c r="I610" s="7" t="str">
        <f>IF('Port Bloomberg'!I610="","",'Port Bloomberg'!I610)</f>
        <v/>
      </c>
      <c r="J610" s="7" t="str">
        <f>IF('Port Bloomberg'!J610="","",'Port Bloomberg'!J610)</f>
        <v/>
      </c>
      <c r="K610" s="7" t="str">
        <f>IF('Port Bloomberg'!K610="","",'Port Bloomberg'!K610)</f>
        <v/>
      </c>
      <c r="L610" s="7" t="str">
        <f>IF('Port Bloomberg'!L610="","",'Port Bloomberg'!L610)</f>
        <v/>
      </c>
      <c r="M610" s="7" t="str">
        <f>IF('Port Bloomberg'!M610="","",'Port Bloomberg'!M610)</f>
        <v/>
      </c>
      <c r="N610" s="7" t="str">
        <f>IF('Port Bloomberg'!N610="","",'Port Bloomberg'!N610)</f>
        <v/>
      </c>
      <c r="O610" s="7" t="str">
        <f>IF('Port Bloomberg'!O610="","",'Port Bloomberg'!O610)</f>
        <v/>
      </c>
      <c r="P610" s="7" t="str">
        <f>IF('Port Bloomberg'!P610="","",'Port Bloomberg'!P610)</f>
        <v/>
      </c>
      <c r="Q610" s="7" t="str">
        <f>IF('Port Bloomberg'!Q610="","",'Port Bloomberg'!Q610)</f>
        <v/>
      </c>
      <c r="R610" s="7" t="str">
        <f>IF('Port Bloomberg'!R610="","",'Port Bloomberg'!R610)</f>
        <v/>
      </c>
      <c r="S610" s="5" t="str">
        <f>IF(E610="","",IFERROR(IF(MATCH(E610,[1]Instrumentos!$D:$D,0)&gt;0,1,0),0))</f>
        <v/>
      </c>
      <c r="T610" s="5" t="str">
        <f>IF(E610="","",IFERROR(IF(MATCH(E610,'Lista de excepciones'!$E:$E,0)&gt;0,1,0),0))</f>
        <v/>
      </c>
      <c r="U610" s="6" t="str">
        <f t="shared" si="10"/>
        <v/>
      </c>
    </row>
    <row r="611" spans="1:21" hidden="1" x14ac:dyDescent="0.25">
      <c r="A611" s="7" t="str">
        <f>IF('Port Bloomberg'!A611="","",'Port Bloomberg'!A611)</f>
        <v/>
      </c>
      <c r="B611" s="7" t="str">
        <f>IF('Port Bloomberg'!B611="","",'Port Bloomberg'!B611)</f>
        <v/>
      </c>
      <c r="C611" s="7" t="str">
        <f>IF('Port Bloomberg'!C611="","",'Port Bloomberg'!C611)</f>
        <v/>
      </c>
      <c r="D611" s="7" t="str">
        <f>IF('Port Bloomberg'!D611="","",'Port Bloomberg'!D611)</f>
        <v/>
      </c>
      <c r="E611" s="7" t="str">
        <f>IF('Port Bloomberg'!E611="","",'Port Bloomberg'!E611)</f>
        <v/>
      </c>
      <c r="F611" s="7" t="str">
        <f>IF('Port Bloomberg'!F611="","",'Port Bloomberg'!F611)</f>
        <v/>
      </c>
      <c r="G611" s="7" t="str">
        <f>IF('Port Bloomberg'!G611="","",'Port Bloomberg'!G611)</f>
        <v/>
      </c>
      <c r="H611" s="7" t="str">
        <f>IF('Port Bloomberg'!H611="","",'Port Bloomberg'!H611)</f>
        <v/>
      </c>
      <c r="I611" s="7" t="str">
        <f>IF('Port Bloomberg'!I611="","",'Port Bloomberg'!I611)</f>
        <v/>
      </c>
      <c r="J611" s="7" t="str">
        <f>IF('Port Bloomberg'!J611="","",'Port Bloomberg'!J611)</f>
        <v/>
      </c>
      <c r="K611" s="7" t="str">
        <f>IF('Port Bloomberg'!K611="","",'Port Bloomberg'!K611)</f>
        <v/>
      </c>
      <c r="L611" s="7" t="str">
        <f>IF('Port Bloomberg'!L611="","",'Port Bloomberg'!L611)</f>
        <v/>
      </c>
      <c r="M611" s="7" t="str">
        <f>IF('Port Bloomberg'!M611="","",'Port Bloomberg'!M611)</f>
        <v/>
      </c>
      <c r="N611" s="7" t="str">
        <f>IF('Port Bloomberg'!N611="","",'Port Bloomberg'!N611)</f>
        <v/>
      </c>
      <c r="O611" s="7" t="str">
        <f>IF('Port Bloomberg'!O611="","",'Port Bloomberg'!O611)</f>
        <v/>
      </c>
      <c r="P611" s="7" t="str">
        <f>IF('Port Bloomberg'!P611="","",'Port Bloomberg'!P611)</f>
        <v/>
      </c>
      <c r="Q611" s="7" t="str">
        <f>IF('Port Bloomberg'!Q611="","",'Port Bloomberg'!Q611)</f>
        <v/>
      </c>
      <c r="R611" s="7" t="str">
        <f>IF('Port Bloomberg'!R611="","",'Port Bloomberg'!R611)</f>
        <v/>
      </c>
      <c r="S611" s="5" t="str">
        <f>IF(E611="","",IFERROR(IF(MATCH(E611,[1]Instrumentos!$D:$D,0)&gt;0,1,0),0))</f>
        <v/>
      </c>
      <c r="T611" s="5" t="str">
        <f>IF(E611="","",IFERROR(IF(MATCH(E611,'Lista de excepciones'!$E:$E,0)&gt;0,1,0),0))</f>
        <v/>
      </c>
      <c r="U611" s="6" t="str">
        <f t="shared" si="10"/>
        <v/>
      </c>
    </row>
    <row r="612" spans="1:21" hidden="1" x14ac:dyDescent="0.25">
      <c r="A612" s="7" t="str">
        <f>IF('Port Bloomberg'!A612="","",'Port Bloomberg'!A612)</f>
        <v/>
      </c>
      <c r="B612" s="7" t="str">
        <f>IF('Port Bloomberg'!B612="","",'Port Bloomberg'!B612)</f>
        <v/>
      </c>
      <c r="C612" s="7" t="str">
        <f>IF('Port Bloomberg'!C612="","",'Port Bloomberg'!C612)</f>
        <v/>
      </c>
      <c r="D612" s="7" t="str">
        <f>IF('Port Bloomberg'!D612="","",'Port Bloomberg'!D612)</f>
        <v/>
      </c>
      <c r="E612" s="7" t="str">
        <f>IF('Port Bloomberg'!E612="","",'Port Bloomberg'!E612)</f>
        <v/>
      </c>
      <c r="F612" s="7" t="str">
        <f>IF('Port Bloomberg'!F612="","",'Port Bloomberg'!F612)</f>
        <v/>
      </c>
      <c r="G612" s="7" t="str">
        <f>IF('Port Bloomberg'!G612="","",'Port Bloomberg'!G612)</f>
        <v/>
      </c>
      <c r="H612" s="7" t="str">
        <f>IF('Port Bloomberg'!H612="","",'Port Bloomberg'!H612)</f>
        <v/>
      </c>
      <c r="I612" s="7" t="str">
        <f>IF('Port Bloomberg'!I612="","",'Port Bloomberg'!I612)</f>
        <v/>
      </c>
      <c r="J612" s="7" t="str">
        <f>IF('Port Bloomberg'!J612="","",'Port Bloomberg'!J612)</f>
        <v/>
      </c>
      <c r="K612" s="7" t="str">
        <f>IF('Port Bloomberg'!K612="","",'Port Bloomberg'!K612)</f>
        <v/>
      </c>
      <c r="L612" s="7" t="str">
        <f>IF('Port Bloomberg'!L612="","",'Port Bloomberg'!L612)</f>
        <v/>
      </c>
      <c r="M612" s="7" t="str">
        <f>IF('Port Bloomberg'!M612="","",'Port Bloomberg'!M612)</f>
        <v/>
      </c>
      <c r="N612" s="7" t="str">
        <f>IF('Port Bloomberg'!N612="","",'Port Bloomberg'!N612)</f>
        <v/>
      </c>
      <c r="O612" s="7" t="str">
        <f>IF('Port Bloomberg'!O612="","",'Port Bloomberg'!O612)</f>
        <v/>
      </c>
      <c r="P612" s="7" t="str">
        <f>IF('Port Bloomberg'!P612="","",'Port Bloomberg'!P612)</f>
        <v/>
      </c>
      <c r="Q612" s="7" t="str">
        <f>IF('Port Bloomberg'!Q612="","",'Port Bloomberg'!Q612)</f>
        <v/>
      </c>
      <c r="R612" s="7" t="str">
        <f>IF('Port Bloomberg'!R612="","",'Port Bloomberg'!R612)</f>
        <v/>
      </c>
      <c r="S612" s="5" t="str">
        <f>IF(E612="","",IFERROR(IF(MATCH(E612,[1]Instrumentos!$D:$D,0)&gt;0,1,0),0))</f>
        <v/>
      </c>
      <c r="T612" s="5" t="str">
        <f>IF(E612="","",IFERROR(IF(MATCH(E612,'Lista de excepciones'!$E:$E,0)&gt;0,1,0),0))</f>
        <v/>
      </c>
      <c r="U612" s="6" t="str">
        <f t="shared" si="10"/>
        <v/>
      </c>
    </row>
    <row r="613" spans="1:21" hidden="1" x14ac:dyDescent="0.25">
      <c r="A613" s="7" t="str">
        <f>IF('Port Bloomberg'!A613="","",'Port Bloomberg'!A613)</f>
        <v/>
      </c>
      <c r="B613" s="7" t="str">
        <f>IF('Port Bloomberg'!B613="","",'Port Bloomberg'!B613)</f>
        <v/>
      </c>
      <c r="C613" s="7" t="str">
        <f>IF('Port Bloomberg'!C613="","",'Port Bloomberg'!C613)</f>
        <v/>
      </c>
      <c r="D613" s="7" t="str">
        <f>IF('Port Bloomberg'!D613="","",'Port Bloomberg'!D613)</f>
        <v/>
      </c>
      <c r="E613" s="7" t="str">
        <f>IF('Port Bloomberg'!E613="","",'Port Bloomberg'!E613)</f>
        <v/>
      </c>
      <c r="F613" s="7" t="str">
        <f>IF('Port Bloomberg'!F613="","",'Port Bloomberg'!F613)</f>
        <v/>
      </c>
      <c r="G613" s="7" t="str">
        <f>IF('Port Bloomberg'!G613="","",'Port Bloomberg'!G613)</f>
        <v/>
      </c>
      <c r="H613" s="7" t="str">
        <f>IF('Port Bloomberg'!H613="","",'Port Bloomberg'!H613)</f>
        <v/>
      </c>
      <c r="I613" s="7" t="str">
        <f>IF('Port Bloomberg'!I613="","",'Port Bloomberg'!I613)</f>
        <v/>
      </c>
      <c r="J613" s="7" t="str">
        <f>IF('Port Bloomberg'!J613="","",'Port Bloomberg'!J613)</f>
        <v/>
      </c>
      <c r="K613" s="7" t="str">
        <f>IF('Port Bloomberg'!K613="","",'Port Bloomberg'!K613)</f>
        <v/>
      </c>
      <c r="L613" s="7" t="str">
        <f>IF('Port Bloomberg'!L613="","",'Port Bloomberg'!L613)</f>
        <v/>
      </c>
      <c r="M613" s="7" t="str">
        <f>IF('Port Bloomberg'!M613="","",'Port Bloomberg'!M613)</f>
        <v/>
      </c>
      <c r="N613" s="7" t="str">
        <f>IF('Port Bloomberg'!N613="","",'Port Bloomberg'!N613)</f>
        <v/>
      </c>
      <c r="O613" s="7" t="str">
        <f>IF('Port Bloomberg'!O613="","",'Port Bloomberg'!O613)</f>
        <v/>
      </c>
      <c r="P613" s="7" t="str">
        <f>IF('Port Bloomberg'!P613="","",'Port Bloomberg'!P613)</f>
        <v/>
      </c>
      <c r="Q613" s="7" t="str">
        <f>IF('Port Bloomberg'!Q613="","",'Port Bloomberg'!Q613)</f>
        <v/>
      </c>
      <c r="R613" s="7" t="str">
        <f>IF('Port Bloomberg'!R613="","",'Port Bloomberg'!R613)</f>
        <v/>
      </c>
      <c r="S613" s="5" t="str">
        <f>IF(E613="","",IFERROR(IF(MATCH(E613,[1]Instrumentos!$D:$D,0)&gt;0,1,0),0))</f>
        <v/>
      </c>
      <c r="T613" s="5" t="str">
        <f>IF(E613="","",IFERROR(IF(MATCH(E613,'Lista de excepciones'!$E:$E,0)&gt;0,1,0),0))</f>
        <v/>
      </c>
      <c r="U613" s="6" t="str">
        <f t="shared" si="10"/>
        <v/>
      </c>
    </row>
    <row r="614" spans="1:21" hidden="1" x14ac:dyDescent="0.25">
      <c r="A614" s="7" t="str">
        <f>IF('Port Bloomberg'!A614="","",'Port Bloomberg'!A614)</f>
        <v/>
      </c>
      <c r="B614" s="7" t="str">
        <f>IF('Port Bloomberg'!B614="","",'Port Bloomberg'!B614)</f>
        <v/>
      </c>
      <c r="C614" s="7" t="str">
        <f>IF('Port Bloomberg'!C614="","",'Port Bloomberg'!C614)</f>
        <v/>
      </c>
      <c r="D614" s="7" t="str">
        <f>IF('Port Bloomberg'!D614="","",'Port Bloomberg'!D614)</f>
        <v/>
      </c>
      <c r="E614" s="7" t="str">
        <f>IF('Port Bloomberg'!E614="","",'Port Bloomberg'!E614)</f>
        <v/>
      </c>
      <c r="F614" s="7" t="str">
        <f>IF('Port Bloomberg'!F614="","",'Port Bloomberg'!F614)</f>
        <v/>
      </c>
      <c r="G614" s="7" t="str">
        <f>IF('Port Bloomberg'!G614="","",'Port Bloomberg'!G614)</f>
        <v/>
      </c>
      <c r="H614" s="7" t="str">
        <f>IF('Port Bloomberg'!H614="","",'Port Bloomberg'!H614)</f>
        <v/>
      </c>
      <c r="I614" s="7" t="str">
        <f>IF('Port Bloomberg'!I614="","",'Port Bloomberg'!I614)</f>
        <v/>
      </c>
      <c r="J614" s="7" t="str">
        <f>IF('Port Bloomberg'!J614="","",'Port Bloomberg'!J614)</f>
        <v/>
      </c>
      <c r="K614" s="7" t="str">
        <f>IF('Port Bloomberg'!K614="","",'Port Bloomberg'!K614)</f>
        <v/>
      </c>
      <c r="L614" s="7" t="str">
        <f>IF('Port Bloomberg'!L614="","",'Port Bloomberg'!L614)</f>
        <v/>
      </c>
      <c r="M614" s="7" t="str">
        <f>IF('Port Bloomberg'!M614="","",'Port Bloomberg'!M614)</f>
        <v/>
      </c>
      <c r="N614" s="7" t="str">
        <f>IF('Port Bloomberg'!N614="","",'Port Bloomberg'!N614)</f>
        <v/>
      </c>
      <c r="O614" s="7" t="str">
        <f>IF('Port Bloomberg'!O614="","",'Port Bloomberg'!O614)</f>
        <v/>
      </c>
      <c r="P614" s="7" t="str">
        <f>IF('Port Bloomberg'!P614="","",'Port Bloomberg'!P614)</f>
        <v/>
      </c>
      <c r="Q614" s="7" t="str">
        <f>IF('Port Bloomberg'!Q614="","",'Port Bloomberg'!Q614)</f>
        <v/>
      </c>
      <c r="R614" s="7" t="str">
        <f>IF('Port Bloomberg'!R614="","",'Port Bloomberg'!R614)</f>
        <v/>
      </c>
      <c r="S614" s="5" t="str">
        <f>IF(E614="","",IFERROR(IF(MATCH(E614,[1]Instrumentos!$D:$D,0)&gt;0,1,0),0))</f>
        <v/>
      </c>
      <c r="T614" s="5" t="str">
        <f>IF(E614="","",IFERROR(IF(MATCH(E614,'Lista de excepciones'!$E:$E,0)&gt;0,1,0),0))</f>
        <v/>
      </c>
      <c r="U614" s="6" t="str">
        <f t="shared" si="10"/>
        <v/>
      </c>
    </row>
    <row r="615" spans="1:21" hidden="1" x14ac:dyDescent="0.25">
      <c r="A615" s="7" t="str">
        <f>IF('Port Bloomberg'!A615="","",'Port Bloomberg'!A615)</f>
        <v/>
      </c>
      <c r="B615" s="7" t="str">
        <f>IF('Port Bloomberg'!B615="","",'Port Bloomberg'!B615)</f>
        <v/>
      </c>
      <c r="C615" s="7" t="str">
        <f>IF('Port Bloomberg'!C615="","",'Port Bloomberg'!C615)</f>
        <v/>
      </c>
      <c r="D615" s="7" t="str">
        <f>IF('Port Bloomberg'!D615="","",'Port Bloomberg'!D615)</f>
        <v/>
      </c>
      <c r="E615" s="7" t="str">
        <f>IF('Port Bloomberg'!E615="","",'Port Bloomberg'!E615)</f>
        <v/>
      </c>
      <c r="F615" s="7" t="str">
        <f>IF('Port Bloomberg'!F615="","",'Port Bloomberg'!F615)</f>
        <v/>
      </c>
      <c r="G615" s="7" t="str">
        <f>IF('Port Bloomberg'!G615="","",'Port Bloomberg'!G615)</f>
        <v/>
      </c>
      <c r="H615" s="7" t="str">
        <f>IF('Port Bloomberg'!H615="","",'Port Bloomberg'!H615)</f>
        <v/>
      </c>
      <c r="I615" s="7" t="str">
        <f>IF('Port Bloomberg'!I615="","",'Port Bloomberg'!I615)</f>
        <v/>
      </c>
      <c r="J615" s="7" t="str">
        <f>IF('Port Bloomberg'!J615="","",'Port Bloomberg'!J615)</f>
        <v/>
      </c>
      <c r="K615" s="7" t="str">
        <f>IF('Port Bloomberg'!K615="","",'Port Bloomberg'!K615)</f>
        <v/>
      </c>
      <c r="L615" s="7" t="str">
        <f>IF('Port Bloomberg'!L615="","",'Port Bloomberg'!L615)</f>
        <v/>
      </c>
      <c r="M615" s="7" t="str">
        <f>IF('Port Bloomberg'!M615="","",'Port Bloomberg'!M615)</f>
        <v/>
      </c>
      <c r="N615" s="7" t="str">
        <f>IF('Port Bloomberg'!N615="","",'Port Bloomberg'!N615)</f>
        <v/>
      </c>
      <c r="O615" s="7" t="str">
        <f>IF('Port Bloomberg'!O615="","",'Port Bloomberg'!O615)</f>
        <v/>
      </c>
      <c r="P615" s="7" t="str">
        <f>IF('Port Bloomberg'!P615="","",'Port Bloomberg'!P615)</f>
        <v/>
      </c>
      <c r="Q615" s="7" t="str">
        <f>IF('Port Bloomberg'!Q615="","",'Port Bloomberg'!Q615)</f>
        <v/>
      </c>
      <c r="R615" s="7" t="str">
        <f>IF('Port Bloomberg'!R615="","",'Port Bloomberg'!R615)</f>
        <v/>
      </c>
      <c r="S615" s="5" t="str">
        <f>IF(E615="","",IFERROR(IF(MATCH(E615,[1]Instrumentos!$D:$D,0)&gt;0,1,0),0))</f>
        <v/>
      </c>
      <c r="T615" s="5" t="str">
        <f>IF(E615="","",IFERROR(IF(MATCH(E615,'Lista de excepciones'!$E:$E,0)&gt;0,1,0),0))</f>
        <v/>
      </c>
      <c r="U615" s="6" t="str">
        <f t="shared" si="10"/>
        <v/>
      </c>
    </row>
    <row r="616" spans="1:21" hidden="1" x14ac:dyDescent="0.25">
      <c r="A616" s="7" t="str">
        <f>IF('Port Bloomberg'!A616="","",'Port Bloomberg'!A616)</f>
        <v/>
      </c>
      <c r="B616" s="7" t="str">
        <f>IF('Port Bloomberg'!B616="","",'Port Bloomberg'!B616)</f>
        <v/>
      </c>
      <c r="C616" s="7" t="str">
        <f>IF('Port Bloomberg'!C616="","",'Port Bloomberg'!C616)</f>
        <v/>
      </c>
      <c r="D616" s="7" t="str">
        <f>IF('Port Bloomberg'!D616="","",'Port Bloomberg'!D616)</f>
        <v/>
      </c>
      <c r="E616" s="7" t="str">
        <f>IF('Port Bloomberg'!E616="","",'Port Bloomberg'!E616)</f>
        <v/>
      </c>
      <c r="F616" s="7" t="str">
        <f>IF('Port Bloomberg'!F616="","",'Port Bloomberg'!F616)</f>
        <v/>
      </c>
      <c r="G616" s="7" t="str">
        <f>IF('Port Bloomberg'!G616="","",'Port Bloomberg'!G616)</f>
        <v/>
      </c>
      <c r="H616" s="7" t="str">
        <f>IF('Port Bloomberg'!H616="","",'Port Bloomberg'!H616)</f>
        <v/>
      </c>
      <c r="I616" s="7" t="str">
        <f>IF('Port Bloomberg'!I616="","",'Port Bloomberg'!I616)</f>
        <v/>
      </c>
      <c r="J616" s="7" t="str">
        <f>IF('Port Bloomberg'!J616="","",'Port Bloomberg'!J616)</f>
        <v/>
      </c>
      <c r="K616" s="7" t="str">
        <f>IF('Port Bloomberg'!K616="","",'Port Bloomberg'!K616)</f>
        <v/>
      </c>
      <c r="L616" s="7" t="str">
        <f>IF('Port Bloomberg'!L616="","",'Port Bloomberg'!L616)</f>
        <v/>
      </c>
      <c r="M616" s="7" t="str">
        <f>IF('Port Bloomberg'!M616="","",'Port Bloomberg'!M616)</f>
        <v/>
      </c>
      <c r="N616" s="7" t="str">
        <f>IF('Port Bloomberg'!N616="","",'Port Bloomberg'!N616)</f>
        <v/>
      </c>
      <c r="O616" s="7" t="str">
        <f>IF('Port Bloomberg'!O616="","",'Port Bloomberg'!O616)</f>
        <v/>
      </c>
      <c r="P616" s="7" t="str">
        <f>IF('Port Bloomberg'!P616="","",'Port Bloomberg'!P616)</f>
        <v/>
      </c>
      <c r="Q616" s="7" t="str">
        <f>IF('Port Bloomberg'!Q616="","",'Port Bloomberg'!Q616)</f>
        <v/>
      </c>
      <c r="R616" s="7" t="str">
        <f>IF('Port Bloomberg'!R616="","",'Port Bloomberg'!R616)</f>
        <v/>
      </c>
      <c r="S616" s="5" t="str">
        <f>IF(E616="","",IFERROR(IF(MATCH(E616,[1]Instrumentos!$D:$D,0)&gt;0,1,0),0))</f>
        <v/>
      </c>
      <c r="T616" s="5" t="str">
        <f>IF(E616="","",IFERROR(IF(MATCH(E616,'Lista de excepciones'!$E:$E,0)&gt;0,1,0),0))</f>
        <v/>
      </c>
      <c r="U616" s="6" t="str">
        <f t="shared" si="10"/>
        <v/>
      </c>
    </row>
    <row r="617" spans="1:21" hidden="1" x14ac:dyDescent="0.25">
      <c r="A617" s="7" t="str">
        <f>IF('Port Bloomberg'!A617="","",'Port Bloomberg'!A617)</f>
        <v/>
      </c>
      <c r="B617" s="7" t="str">
        <f>IF('Port Bloomberg'!B617="","",'Port Bloomberg'!B617)</f>
        <v/>
      </c>
      <c r="C617" s="7" t="str">
        <f>IF('Port Bloomberg'!C617="","",'Port Bloomberg'!C617)</f>
        <v/>
      </c>
      <c r="D617" s="7" t="str">
        <f>IF('Port Bloomberg'!D617="","",'Port Bloomberg'!D617)</f>
        <v/>
      </c>
      <c r="E617" s="7" t="str">
        <f>IF('Port Bloomberg'!E617="","",'Port Bloomberg'!E617)</f>
        <v/>
      </c>
      <c r="F617" s="7" t="str">
        <f>IF('Port Bloomberg'!F617="","",'Port Bloomberg'!F617)</f>
        <v/>
      </c>
      <c r="G617" s="7" t="str">
        <f>IF('Port Bloomberg'!G617="","",'Port Bloomberg'!G617)</f>
        <v/>
      </c>
      <c r="H617" s="7" t="str">
        <f>IF('Port Bloomberg'!H617="","",'Port Bloomberg'!H617)</f>
        <v/>
      </c>
      <c r="I617" s="7" t="str">
        <f>IF('Port Bloomberg'!I617="","",'Port Bloomberg'!I617)</f>
        <v/>
      </c>
      <c r="J617" s="7" t="str">
        <f>IF('Port Bloomberg'!J617="","",'Port Bloomberg'!J617)</f>
        <v/>
      </c>
      <c r="K617" s="7" t="str">
        <f>IF('Port Bloomberg'!K617="","",'Port Bloomberg'!K617)</f>
        <v/>
      </c>
      <c r="L617" s="7" t="str">
        <f>IF('Port Bloomberg'!L617="","",'Port Bloomberg'!L617)</f>
        <v/>
      </c>
      <c r="M617" s="7" t="str">
        <f>IF('Port Bloomberg'!M617="","",'Port Bloomberg'!M617)</f>
        <v/>
      </c>
      <c r="N617" s="7" t="str">
        <f>IF('Port Bloomberg'!N617="","",'Port Bloomberg'!N617)</f>
        <v/>
      </c>
      <c r="O617" s="7" t="str">
        <f>IF('Port Bloomberg'!O617="","",'Port Bloomberg'!O617)</f>
        <v/>
      </c>
      <c r="P617" s="7" t="str">
        <f>IF('Port Bloomberg'!P617="","",'Port Bloomberg'!P617)</f>
        <v/>
      </c>
      <c r="Q617" s="7" t="str">
        <f>IF('Port Bloomberg'!Q617="","",'Port Bloomberg'!Q617)</f>
        <v/>
      </c>
      <c r="R617" s="7" t="str">
        <f>IF('Port Bloomberg'!R617="","",'Port Bloomberg'!R617)</f>
        <v/>
      </c>
      <c r="S617" s="5" t="str">
        <f>IF(E617="","",IFERROR(IF(MATCH(E617,[1]Instrumentos!$D:$D,0)&gt;0,1,0),0))</f>
        <v/>
      </c>
      <c r="T617" s="5" t="str">
        <f>IF(E617="","",IFERROR(IF(MATCH(E617,'Lista de excepciones'!$E:$E,0)&gt;0,1,0),0))</f>
        <v/>
      </c>
      <c r="U617" s="6" t="str">
        <f t="shared" si="10"/>
        <v/>
      </c>
    </row>
    <row r="618" spans="1:21" hidden="1" x14ac:dyDescent="0.25">
      <c r="A618" s="7" t="str">
        <f>IF('Port Bloomberg'!A618="","",'Port Bloomberg'!A618)</f>
        <v/>
      </c>
      <c r="B618" s="7" t="str">
        <f>IF('Port Bloomberg'!B618="","",'Port Bloomberg'!B618)</f>
        <v/>
      </c>
      <c r="C618" s="7" t="str">
        <f>IF('Port Bloomberg'!C618="","",'Port Bloomberg'!C618)</f>
        <v/>
      </c>
      <c r="D618" s="7" t="str">
        <f>IF('Port Bloomberg'!D618="","",'Port Bloomberg'!D618)</f>
        <v/>
      </c>
      <c r="E618" s="7" t="str">
        <f>IF('Port Bloomberg'!E618="","",'Port Bloomberg'!E618)</f>
        <v/>
      </c>
      <c r="F618" s="7" t="str">
        <f>IF('Port Bloomberg'!F618="","",'Port Bloomberg'!F618)</f>
        <v/>
      </c>
      <c r="G618" s="7" t="str">
        <f>IF('Port Bloomberg'!G618="","",'Port Bloomberg'!G618)</f>
        <v/>
      </c>
      <c r="H618" s="7" t="str">
        <f>IF('Port Bloomberg'!H618="","",'Port Bloomberg'!H618)</f>
        <v/>
      </c>
      <c r="I618" s="7" t="str">
        <f>IF('Port Bloomberg'!I618="","",'Port Bloomberg'!I618)</f>
        <v/>
      </c>
      <c r="J618" s="7" t="str">
        <f>IF('Port Bloomberg'!J618="","",'Port Bloomberg'!J618)</f>
        <v/>
      </c>
      <c r="K618" s="7" t="str">
        <f>IF('Port Bloomberg'!K618="","",'Port Bloomberg'!K618)</f>
        <v/>
      </c>
      <c r="L618" s="7" t="str">
        <f>IF('Port Bloomberg'!L618="","",'Port Bloomberg'!L618)</f>
        <v/>
      </c>
      <c r="M618" s="7" t="str">
        <f>IF('Port Bloomberg'!M618="","",'Port Bloomberg'!M618)</f>
        <v/>
      </c>
      <c r="N618" s="7" t="str">
        <f>IF('Port Bloomberg'!N618="","",'Port Bloomberg'!N618)</f>
        <v/>
      </c>
      <c r="O618" s="7" t="str">
        <f>IF('Port Bloomberg'!O618="","",'Port Bloomberg'!O618)</f>
        <v/>
      </c>
      <c r="P618" s="7" t="str">
        <f>IF('Port Bloomberg'!P618="","",'Port Bloomberg'!P618)</f>
        <v/>
      </c>
      <c r="Q618" s="7" t="str">
        <f>IF('Port Bloomberg'!Q618="","",'Port Bloomberg'!Q618)</f>
        <v/>
      </c>
      <c r="R618" s="7" t="str">
        <f>IF('Port Bloomberg'!R618="","",'Port Bloomberg'!R618)</f>
        <v/>
      </c>
      <c r="S618" s="5" t="str">
        <f>IF(E618="","",IFERROR(IF(MATCH(E618,[1]Instrumentos!$D:$D,0)&gt;0,1,0),0))</f>
        <v/>
      </c>
      <c r="T618" s="5" t="str">
        <f>IF(E618="","",IFERROR(IF(MATCH(E618,'Lista de excepciones'!$E:$E,0)&gt;0,1,0),0))</f>
        <v/>
      </c>
      <c r="U618" s="6" t="str">
        <f t="shared" si="10"/>
        <v/>
      </c>
    </row>
    <row r="619" spans="1:21" hidden="1" x14ac:dyDescent="0.25">
      <c r="A619" s="7" t="str">
        <f>IF('Port Bloomberg'!A619="","",'Port Bloomberg'!A619)</f>
        <v/>
      </c>
      <c r="B619" s="7" t="str">
        <f>IF('Port Bloomberg'!B619="","",'Port Bloomberg'!B619)</f>
        <v/>
      </c>
      <c r="C619" s="7" t="str">
        <f>IF('Port Bloomberg'!C619="","",'Port Bloomberg'!C619)</f>
        <v/>
      </c>
      <c r="D619" s="7" t="str">
        <f>IF('Port Bloomberg'!D619="","",'Port Bloomberg'!D619)</f>
        <v/>
      </c>
      <c r="E619" s="7" t="str">
        <f>IF('Port Bloomberg'!E619="","",'Port Bloomberg'!E619)</f>
        <v/>
      </c>
      <c r="F619" s="7" t="str">
        <f>IF('Port Bloomberg'!F619="","",'Port Bloomberg'!F619)</f>
        <v/>
      </c>
      <c r="G619" s="7" t="str">
        <f>IF('Port Bloomberg'!G619="","",'Port Bloomberg'!G619)</f>
        <v/>
      </c>
      <c r="H619" s="7" t="str">
        <f>IF('Port Bloomberg'!H619="","",'Port Bloomberg'!H619)</f>
        <v/>
      </c>
      <c r="I619" s="7" t="str">
        <f>IF('Port Bloomberg'!I619="","",'Port Bloomberg'!I619)</f>
        <v/>
      </c>
      <c r="J619" s="7" t="str">
        <f>IF('Port Bloomberg'!J619="","",'Port Bloomberg'!J619)</f>
        <v/>
      </c>
      <c r="K619" s="7" t="str">
        <f>IF('Port Bloomberg'!K619="","",'Port Bloomberg'!K619)</f>
        <v/>
      </c>
      <c r="L619" s="7" t="str">
        <f>IF('Port Bloomberg'!L619="","",'Port Bloomberg'!L619)</f>
        <v/>
      </c>
      <c r="M619" s="7" t="str">
        <f>IF('Port Bloomberg'!M619="","",'Port Bloomberg'!M619)</f>
        <v/>
      </c>
      <c r="N619" s="7" t="str">
        <f>IF('Port Bloomberg'!N619="","",'Port Bloomberg'!N619)</f>
        <v/>
      </c>
      <c r="O619" s="7" t="str">
        <f>IF('Port Bloomberg'!O619="","",'Port Bloomberg'!O619)</f>
        <v/>
      </c>
      <c r="P619" s="7" t="str">
        <f>IF('Port Bloomberg'!P619="","",'Port Bloomberg'!P619)</f>
        <v/>
      </c>
      <c r="Q619" s="7" t="str">
        <f>IF('Port Bloomberg'!Q619="","",'Port Bloomberg'!Q619)</f>
        <v/>
      </c>
      <c r="R619" s="7" t="str">
        <f>IF('Port Bloomberg'!R619="","",'Port Bloomberg'!R619)</f>
        <v/>
      </c>
      <c r="S619" s="5" t="str">
        <f>IF(E619="","",IFERROR(IF(MATCH(E619,[1]Instrumentos!$D:$D,0)&gt;0,1,0),0))</f>
        <v/>
      </c>
      <c r="T619" s="5" t="str">
        <f>IF(E619="","",IFERROR(IF(MATCH(E619,'Lista de excepciones'!$E:$E,0)&gt;0,1,0),0))</f>
        <v/>
      </c>
      <c r="U619" s="6" t="str">
        <f t="shared" si="10"/>
        <v/>
      </c>
    </row>
    <row r="620" spans="1:21" hidden="1" x14ac:dyDescent="0.25">
      <c r="A620" s="7" t="str">
        <f>IF('Port Bloomberg'!A620="","",'Port Bloomberg'!A620)</f>
        <v/>
      </c>
      <c r="B620" s="7" t="str">
        <f>IF('Port Bloomberg'!B620="","",'Port Bloomberg'!B620)</f>
        <v/>
      </c>
      <c r="C620" s="7" t="str">
        <f>IF('Port Bloomberg'!C620="","",'Port Bloomberg'!C620)</f>
        <v/>
      </c>
      <c r="D620" s="7" t="str">
        <f>IF('Port Bloomberg'!D620="","",'Port Bloomberg'!D620)</f>
        <v/>
      </c>
      <c r="E620" s="7" t="str">
        <f>IF('Port Bloomberg'!E620="","",'Port Bloomberg'!E620)</f>
        <v/>
      </c>
      <c r="F620" s="7" t="str">
        <f>IF('Port Bloomberg'!F620="","",'Port Bloomberg'!F620)</f>
        <v/>
      </c>
      <c r="G620" s="7" t="str">
        <f>IF('Port Bloomberg'!G620="","",'Port Bloomberg'!G620)</f>
        <v/>
      </c>
      <c r="H620" s="7" t="str">
        <f>IF('Port Bloomberg'!H620="","",'Port Bloomberg'!H620)</f>
        <v/>
      </c>
      <c r="I620" s="7" t="str">
        <f>IF('Port Bloomberg'!I620="","",'Port Bloomberg'!I620)</f>
        <v/>
      </c>
      <c r="J620" s="7" t="str">
        <f>IF('Port Bloomberg'!J620="","",'Port Bloomberg'!J620)</f>
        <v/>
      </c>
      <c r="K620" s="7" t="str">
        <f>IF('Port Bloomberg'!K620="","",'Port Bloomberg'!K620)</f>
        <v/>
      </c>
      <c r="L620" s="7" t="str">
        <f>IF('Port Bloomberg'!L620="","",'Port Bloomberg'!L620)</f>
        <v/>
      </c>
      <c r="M620" s="7" t="str">
        <f>IF('Port Bloomberg'!M620="","",'Port Bloomberg'!M620)</f>
        <v/>
      </c>
      <c r="N620" s="7" t="str">
        <f>IF('Port Bloomberg'!N620="","",'Port Bloomberg'!N620)</f>
        <v/>
      </c>
      <c r="O620" s="7" t="str">
        <f>IF('Port Bloomberg'!O620="","",'Port Bloomberg'!O620)</f>
        <v/>
      </c>
      <c r="P620" s="7" t="str">
        <f>IF('Port Bloomberg'!P620="","",'Port Bloomberg'!P620)</f>
        <v/>
      </c>
      <c r="Q620" s="7" t="str">
        <f>IF('Port Bloomberg'!Q620="","",'Port Bloomberg'!Q620)</f>
        <v/>
      </c>
      <c r="R620" s="7" t="str">
        <f>IF('Port Bloomberg'!R620="","",'Port Bloomberg'!R620)</f>
        <v/>
      </c>
      <c r="S620" s="5" t="str">
        <f>IF(E620="","",IFERROR(IF(MATCH(E620,[1]Instrumentos!$D:$D,0)&gt;0,1,0),0))</f>
        <v/>
      </c>
      <c r="T620" s="5" t="str">
        <f>IF(E620="","",IFERROR(IF(MATCH(E620,'Lista de excepciones'!$E:$E,0)&gt;0,1,0),0))</f>
        <v/>
      </c>
      <c r="U620" s="6" t="str">
        <f t="shared" si="10"/>
        <v/>
      </c>
    </row>
    <row r="621" spans="1:21" hidden="1" x14ac:dyDescent="0.25">
      <c r="A621" s="7" t="str">
        <f>IF('Port Bloomberg'!A621="","",'Port Bloomberg'!A621)</f>
        <v/>
      </c>
      <c r="B621" s="7" t="str">
        <f>IF('Port Bloomberg'!B621="","",'Port Bloomberg'!B621)</f>
        <v/>
      </c>
      <c r="C621" s="7" t="str">
        <f>IF('Port Bloomberg'!C621="","",'Port Bloomberg'!C621)</f>
        <v/>
      </c>
      <c r="D621" s="7" t="str">
        <f>IF('Port Bloomberg'!D621="","",'Port Bloomberg'!D621)</f>
        <v/>
      </c>
      <c r="E621" s="7" t="str">
        <f>IF('Port Bloomberg'!E621="","",'Port Bloomberg'!E621)</f>
        <v/>
      </c>
      <c r="F621" s="7" t="str">
        <f>IF('Port Bloomberg'!F621="","",'Port Bloomberg'!F621)</f>
        <v/>
      </c>
      <c r="G621" s="7" t="str">
        <f>IF('Port Bloomberg'!G621="","",'Port Bloomberg'!G621)</f>
        <v/>
      </c>
      <c r="H621" s="7" t="str">
        <f>IF('Port Bloomberg'!H621="","",'Port Bloomberg'!H621)</f>
        <v/>
      </c>
      <c r="I621" s="7" t="str">
        <f>IF('Port Bloomberg'!I621="","",'Port Bloomberg'!I621)</f>
        <v/>
      </c>
      <c r="J621" s="7" t="str">
        <f>IF('Port Bloomberg'!J621="","",'Port Bloomberg'!J621)</f>
        <v/>
      </c>
      <c r="K621" s="7" t="str">
        <f>IF('Port Bloomberg'!K621="","",'Port Bloomberg'!K621)</f>
        <v/>
      </c>
      <c r="L621" s="7" t="str">
        <f>IF('Port Bloomberg'!L621="","",'Port Bloomberg'!L621)</f>
        <v/>
      </c>
      <c r="M621" s="7" t="str">
        <f>IF('Port Bloomberg'!M621="","",'Port Bloomberg'!M621)</f>
        <v/>
      </c>
      <c r="N621" s="7" t="str">
        <f>IF('Port Bloomberg'!N621="","",'Port Bloomberg'!N621)</f>
        <v/>
      </c>
      <c r="O621" s="7" t="str">
        <f>IF('Port Bloomberg'!O621="","",'Port Bloomberg'!O621)</f>
        <v/>
      </c>
      <c r="P621" s="7" t="str">
        <f>IF('Port Bloomberg'!P621="","",'Port Bloomberg'!P621)</f>
        <v/>
      </c>
      <c r="Q621" s="7" t="str">
        <f>IF('Port Bloomberg'!Q621="","",'Port Bloomberg'!Q621)</f>
        <v/>
      </c>
      <c r="R621" s="7" t="str">
        <f>IF('Port Bloomberg'!R621="","",'Port Bloomberg'!R621)</f>
        <v/>
      </c>
      <c r="S621" s="5" t="str">
        <f>IF(E621="","",IFERROR(IF(MATCH(E621,[1]Instrumentos!$D:$D,0)&gt;0,1,0),0))</f>
        <v/>
      </c>
      <c r="T621" s="5" t="str">
        <f>IF(E621="","",IFERROR(IF(MATCH(E621,'Lista de excepciones'!$E:$E,0)&gt;0,1,0),0))</f>
        <v/>
      </c>
      <c r="U621" s="6" t="str">
        <f t="shared" si="10"/>
        <v/>
      </c>
    </row>
    <row r="622" spans="1:21" hidden="1" x14ac:dyDescent="0.25">
      <c r="A622" s="7" t="str">
        <f>IF('Port Bloomberg'!A622="","",'Port Bloomberg'!A622)</f>
        <v/>
      </c>
      <c r="B622" s="7" t="str">
        <f>IF('Port Bloomberg'!B622="","",'Port Bloomberg'!B622)</f>
        <v/>
      </c>
      <c r="C622" s="7" t="str">
        <f>IF('Port Bloomberg'!C622="","",'Port Bloomberg'!C622)</f>
        <v/>
      </c>
      <c r="D622" s="7" t="str">
        <f>IF('Port Bloomberg'!D622="","",'Port Bloomberg'!D622)</f>
        <v/>
      </c>
      <c r="E622" s="7" t="str">
        <f>IF('Port Bloomberg'!E622="","",'Port Bloomberg'!E622)</f>
        <v/>
      </c>
      <c r="F622" s="7" t="str">
        <f>IF('Port Bloomberg'!F622="","",'Port Bloomberg'!F622)</f>
        <v/>
      </c>
      <c r="G622" s="7" t="str">
        <f>IF('Port Bloomberg'!G622="","",'Port Bloomberg'!G622)</f>
        <v/>
      </c>
      <c r="H622" s="7" t="str">
        <f>IF('Port Bloomberg'!H622="","",'Port Bloomberg'!H622)</f>
        <v/>
      </c>
      <c r="I622" s="7" t="str">
        <f>IF('Port Bloomberg'!I622="","",'Port Bloomberg'!I622)</f>
        <v/>
      </c>
      <c r="J622" s="7" t="str">
        <f>IF('Port Bloomberg'!J622="","",'Port Bloomberg'!J622)</f>
        <v/>
      </c>
      <c r="K622" s="7" t="str">
        <f>IF('Port Bloomberg'!K622="","",'Port Bloomberg'!K622)</f>
        <v/>
      </c>
      <c r="L622" s="7" t="str">
        <f>IF('Port Bloomberg'!L622="","",'Port Bloomberg'!L622)</f>
        <v/>
      </c>
      <c r="M622" s="7" t="str">
        <f>IF('Port Bloomberg'!M622="","",'Port Bloomberg'!M622)</f>
        <v/>
      </c>
      <c r="N622" s="7" t="str">
        <f>IF('Port Bloomberg'!N622="","",'Port Bloomberg'!N622)</f>
        <v/>
      </c>
      <c r="O622" s="7" t="str">
        <f>IF('Port Bloomberg'!O622="","",'Port Bloomberg'!O622)</f>
        <v/>
      </c>
      <c r="P622" s="7" t="str">
        <f>IF('Port Bloomberg'!P622="","",'Port Bloomberg'!P622)</f>
        <v/>
      </c>
      <c r="Q622" s="7" t="str">
        <f>IF('Port Bloomberg'!Q622="","",'Port Bloomberg'!Q622)</f>
        <v/>
      </c>
      <c r="R622" s="7" t="str">
        <f>IF('Port Bloomberg'!R622="","",'Port Bloomberg'!R622)</f>
        <v/>
      </c>
      <c r="S622" s="5" t="str">
        <f>IF(E622="","",IFERROR(IF(MATCH(E622,[1]Instrumentos!$D:$D,0)&gt;0,1,0),0))</f>
        <v/>
      </c>
      <c r="T622" s="5" t="str">
        <f>IF(E622="","",IFERROR(IF(MATCH(E622,'Lista de excepciones'!$E:$E,0)&gt;0,1,0),0))</f>
        <v/>
      </c>
      <c r="U622" s="6" t="str">
        <f t="shared" si="10"/>
        <v/>
      </c>
    </row>
    <row r="623" spans="1:21" hidden="1" x14ac:dyDescent="0.25">
      <c r="A623" s="7" t="str">
        <f>IF('Port Bloomberg'!A623="","",'Port Bloomberg'!A623)</f>
        <v/>
      </c>
      <c r="B623" s="7" t="str">
        <f>IF('Port Bloomberg'!B623="","",'Port Bloomberg'!B623)</f>
        <v/>
      </c>
      <c r="C623" s="7" t="str">
        <f>IF('Port Bloomberg'!C623="","",'Port Bloomberg'!C623)</f>
        <v/>
      </c>
      <c r="D623" s="7" t="str">
        <f>IF('Port Bloomberg'!D623="","",'Port Bloomberg'!D623)</f>
        <v/>
      </c>
      <c r="E623" s="7" t="str">
        <f>IF('Port Bloomberg'!E623="","",'Port Bloomberg'!E623)</f>
        <v/>
      </c>
      <c r="F623" s="7" t="str">
        <f>IF('Port Bloomberg'!F623="","",'Port Bloomberg'!F623)</f>
        <v/>
      </c>
      <c r="G623" s="7" t="str">
        <f>IF('Port Bloomberg'!G623="","",'Port Bloomberg'!G623)</f>
        <v/>
      </c>
      <c r="H623" s="7" t="str">
        <f>IF('Port Bloomberg'!H623="","",'Port Bloomberg'!H623)</f>
        <v/>
      </c>
      <c r="I623" s="7" t="str">
        <f>IF('Port Bloomberg'!I623="","",'Port Bloomberg'!I623)</f>
        <v/>
      </c>
      <c r="J623" s="7" t="str">
        <f>IF('Port Bloomberg'!J623="","",'Port Bloomberg'!J623)</f>
        <v/>
      </c>
      <c r="K623" s="7" t="str">
        <f>IF('Port Bloomberg'!K623="","",'Port Bloomberg'!K623)</f>
        <v/>
      </c>
      <c r="L623" s="7" t="str">
        <f>IF('Port Bloomberg'!L623="","",'Port Bloomberg'!L623)</f>
        <v/>
      </c>
      <c r="M623" s="7" t="str">
        <f>IF('Port Bloomberg'!M623="","",'Port Bloomberg'!M623)</f>
        <v/>
      </c>
      <c r="N623" s="7" t="str">
        <f>IF('Port Bloomberg'!N623="","",'Port Bloomberg'!N623)</f>
        <v/>
      </c>
      <c r="O623" s="7" t="str">
        <f>IF('Port Bloomberg'!O623="","",'Port Bloomberg'!O623)</f>
        <v/>
      </c>
      <c r="P623" s="7" t="str">
        <f>IF('Port Bloomberg'!P623="","",'Port Bloomberg'!P623)</f>
        <v/>
      </c>
      <c r="Q623" s="7" t="str">
        <f>IF('Port Bloomberg'!Q623="","",'Port Bloomberg'!Q623)</f>
        <v/>
      </c>
      <c r="R623" s="7" t="str">
        <f>IF('Port Bloomberg'!R623="","",'Port Bloomberg'!R623)</f>
        <v/>
      </c>
      <c r="S623" s="5" t="str">
        <f>IF(E623="","",IFERROR(IF(MATCH(E623,[1]Instrumentos!$D:$D,0)&gt;0,1,0),0))</f>
        <v/>
      </c>
      <c r="T623" s="5" t="str">
        <f>IF(E623="","",IFERROR(IF(MATCH(E623,'Lista de excepciones'!$E:$E,0)&gt;0,1,0),0))</f>
        <v/>
      </c>
      <c r="U623" s="6" t="str">
        <f t="shared" si="10"/>
        <v/>
      </c>
    </row>
    <row r="624" spans="1:21" hidden="1" x14ac:dyDescent="0.25">
      <c r="A624" s="7" t="str">
        <f>IF('Port Bloomberg'!A624="","",'Port Bloomberg'!A624)</f>
        <v/>
      </c>
      <c r="B624" s="7" t="str">
        <f>IF('Port Bloomberg'!B624="","",'Port Bloomberg'!B624)</f>
        <v/>
      </c>
      <c r="C624" s="7" t="str">
        <f>IF('Port Bloomberg'!C624="","",'Port Bloomberg'!C624)</f>
        <v/>
      </c>
      <c r="D624" s="7" t="str">
        <f>IF('Port Bloomberg'!D624="","",'Port Bloomberg'!D624)</f>
        <v/>
      </c>
      <c r="E624" s="7" t="str">
        <f>IF('Port Bloomberg'!E624="","",'Port Bloomberg'!E624)</f>
        <v/>
      </c>
      <c r="F624" s="7" t="str">
        <f>IF('Port Bloomberg'!F624="","",'Port Bloomberg'!F624)</f>
        <v/>
      </c>
      <c r="G624" s="7" t="str">
        <f>IF('Port Bloomberg'!G624="","",'Port Bloomberg'!G624)</f>
        <v/>
      </c>
      <c r="H624" s="7" t="str">
        <f>IF('Port Bloomberg'!H624="","",'Port Bloomberg'!H624)</f>
        <v/>
      </c>
      <c r="I624" s="7" t="str">
        <f>IF('Port Bloomberg'!I624="","",'Port Bloomberg'!I624)</f>
        <v/>
      </c>
      <c r="J624" s="7" t="str">
        <f>IF('Port Bloomberg'!J624="","",'Port Bloomberg'!J624)</f>
        <v/>
      </c>
      <c r="K624" s="7" t="str">
        <f>IF('Port Bloomberg'!K624="","",'Port Bloomberg'!K624)</f>
        <v/>
      </c>
      <c r="L624" s="7" t="str">
        <f>IF('Port Bloomberg'!L624="","",'Port Bloomberg'!L624)</f>
        <v/>
      </c>
      <c r="M624" s="7" t="str">
        <f>IF('Port Bloomberg'!M624="","",'Port Bloomberg'!M624)</f>
        <v/>
      </c>
      <c r="N624" s="7" t="str">
        <f>IF('Port Bloomberg'!N624="","",'Port Bloomberg'!N624)</f>
        <v/>
      </c>
      <c r="O624" s="7" t="str">
        <f>IF('Port Bloomberg'!O624="","",'Port Bloomberg'!O624)</f>
        <v/>
      </c>
      <c r="P624" s="7" t="str">
        <f>IF('Port Bloomberg'!P624="","",'Port Bloomberg'!P624)</f>
        <v/>
      </c>
      <c r="Q624" s="7" t="str">
        <f>IF('Port Bloomberg'!Q624="","",'Port Bloomberg'!Q624)</f>
        <v/>
      </c>
      <c r="R624" s="7" t="str">
        <f>IF('Port Bloomberg'!R624="","",'Port Bloomberg'!R624)</f>
        <v/>
      </c>
      <c r="S624" s="5" t="str">
        <f>IF(E624="","",IFERROR(IF(MATCH(E624,[1]Instrumentos!$D:$D,0)&gt;0,1,0),0))</f>
        <v/>
      </c>
      <c r="T624" s="5" t="str">
        <f>IF(E624="","",IFERROR(IF(MATCH(E624,'Lista de excepciones'!$E:$E,0)&gt;0,1,0),0))</f>
        <v/>
      </c>
      <c r="U624" s="6" t="str">
        <f t="shared" si="10"/>
        <v/>
      </c>
    </row>
    <row r="625" spans="1:21" hidden="1" x14ac:dyDescent="0.25">
      <c r="A625" s="7" t="str">
        <f>IF('Port Bloomberg'!A625="","",'Port Bloomberg'!A625)</f>
        <v/>
      </c>
      <c r="B625" s="7" t="str">
        <f>IF('Port Bloomberg'!B625="","",'Port Bloomberg'!B625)</f>
        <v/>
      </c>
      <c r="C625" s="7" t="str">
        <f>IF('Port Bloomberg'!C625="","",'Port Bloomberg'!C625)</f>
        <v/>
      </c>
      <c r="D625" s="7" t="str">
        <f>IF('Port Bloomberg'!D625="","",'Port Bloomberg'!D625)</f>
        <v/>
      </c>
      <c r="E625" s="7" t="str">
        <f>IF('Port Bloomberg'!E625="","",'Port Bloomberg'!E625)</f>
        <v/>
      </c>
      <c r="F625" s="7" t="str">
        <f>IF('Port Bloomberg'!F625="","",'Port Bloomberg'!F625)</f>
        <v/>
      </c>
      <c r="G625" s="7" t="str">
        <f>IF('Port Bloomberg'!G625="","",'Port Bloomberg'!G625)</f>
        <v/>
      </c>
      <c r="H625" s="7" t="str">
        <f>IF('Port Bloomberg'!H625="","",'Port Bloomberg'!H625)</f>
        <v/>
      </c>
      <c r="I625" s="7" t="str">
        <f>IF('Port Bloomberg'!I625="","",'Port Bloomberg'!I625)</f>
        <v/>
      </c>
      <c r="J625" s="7" t="str">
        <f>IF('Port Bloomberg'!J625="","",'Port Bloomberg'!J625)</f>
        <v/>
      </c>
      <c r="K625" s="7" t="str">
        <f>IF('Port Bloomberg'!K625="","",'Port Bloomberg'!K625)</f>
        <v/>
      </c>
      <c r="L625" s="7" t="str">
        <f>IF('Port Bloomberg'!L625="","",'Port Bloomberg'!L625)</f>
        <v/>
      </c>
      <c r="M625" s="7" t="str">
        <f>IF('Port Bloomberg'!M625="","",'Port Bloomberg'!M625)</f>
        <v/>
      </c>
      <c r="N625" s="7" t="str">
        <f>IF('Port Bloomberg'!N625="","",'Port Bloomberg'!N625)</f>
        <v/>
      </c>
      <c r="O625" s="7" t="str">
        <f>IF('Port Bloomberg'!O625="","",'Port Bloomberg'!O625)</f>
        <v/>
      </c>
      <c r="P625" s="7" t="str">
        <f>IF('Port Bloomberg'!P625="","",'Port Bloomberg'!P625)</f>
        <v/>
      </c>
      <c r="Q625" s="7" t="str">
        <f>IF('Port Bloomberg'!Q625="","",'Port Bloomberg'!Q625)</f>
        <v/>
      </c>
      <c r="R625" s="7" t="str">
        <f>IF('Port Bloomberg'!R625="","",'Port Bloomberg'!R625)</f>
        <v/>
      </c>
      <c r="S625" s="5" t="str">
        <f>IF(E625="","",IFERROR(IF(MATCH(E625,[1]Instrumentos!$D:$D,0)&gt;0,1,0),0))</f>
        <v/>
      </c>
      <c r="T625" s="5" t="str">
        <f>IF(E625="","",IFERROR(IF(MATCH(E625,'Lista de excepciones'!$E:$E,0)&gt;0,1,0),0))</f>
        <v/>
      </c>
      <c r="U625" s="6" t="str">
        <f t="shared" si="10"/>
        <v/>
      </c>
    </row>
    <row r="626" spans="1:21" hidden="1" x14ac:dyDescent="0.25">
      <c r="A626" s="7" t="str">
        <f>IF('Port Bloomberg'!A626="","",'Port Bloomberg'!A626)</f>
        <v/>
      </c>
      <c r="B626" s="7" t="str">
        <f>IF('Port Bloomberg'!B626="","",'Port Bloomberg'!B626)</f>
        <v/>
      </c>
      <c r="C626" s="7" t="str">
        <f>IF('Port Bloomberg'!C626="","",'Port Bloomberg'!C626)</f>
        <v/>
      </c>
      <c r="D626" s="7" t="str">
        <f>IF('Port Bloomberg'!D626="","",'Port Bloomberg'!D626)</f>
        <v/>
      </c>
      <c r="E626" s="7" t="str">
        <f>IF('Port Bloomberg'!E626="","",'Port Bloomberg'!E626)</f>
        <v/>
      </c>
      <c r="F626" s="7" t="str">
        <f>IF('Port Bloomberg'!F626="","",'Port Bloomberg'!F626)</f>
        <v/>
      </c>
      <c r="G626" s="7" t="str">
        <f>IF('Port Bloomberg'!G626="","",'Port Bloomberg'!G626)</f>
        <v/>
      </c>
      <c r="H626" s="7" t="str">
        <f>IF('Port Bloomberg'!H626="","",'Port Bloomberg'!H626)</f>
        <v/>
      </c>
      <c r="I626" s="7" t="str">
        <f>IF('Port Bloomberg'!I626="","",'Port Bloomberg'!I626)</f>
        <v/>
      </c>
      <c r="J626" s="7" t="str">
        <f>IF('Port Bloomberg'!J626="","",'Port Bloomberg'!J626)</f>
        <v/>
      </c>
      <c r="K626" s="7" t="str">
        <f>IF('Port Bloomberg'!K626="","",'Port Bloomberg'!K626)</f>
        <v/>
      </c>
      <c r="L626" s="7" t="str">
        <f>IF('Port Bloomberg'!L626="","",'Port Bloomberg'!L626)</f>
        <v/>
      </c>
      <c r="M626" s="7" t="str">
        <f>IF('Port Bloomberg'!M626="","",'Port Bloomberg'!M626)</f>
        <v/>
      </c>
      <c r="N626" s="7" t="str">
        <f>IF('Port Bloomberg'!N626="","",'Port Bloomberg'!N626)</f>
        <v/>
      </c>
      <c r="O626" s="7" t="str">
        <f>IF('Port Bloomberg'!O626="","",'Port Bloomberg'!O626)</f>
        <v/>
      </c>
      <c r="P626" s="7" t="str">
        <f>IF('Port Bloomberg'!P626="","",'Port Bloomberg'!P626)</f>
        <v/>
      </c>
      <c r="Q626" s="7" t="str">
        <f>IF('Port Bloomberg'!Q626="","",'Port Bloomberg'!Q626)</f>
        <v/>
      </c>
      <c r="R626" s="7" t="str">
        <f>IF('Port Bloomberg'!R626="","",'Port Bloomberg'!R626)</f>
        <v/>
      </c>
      <c r="S626" s="5" t="str">
        <f>IF(E626="","",IFERROR(IF(MATCH(E626,[1]Instrumentos!$D:$D,0)&gt;0,1,0),0))</f>
        <v/>
      </c>
      <c r="T626" s="5" t="str">
        <f>IF(E626="","",IFERROR(IF(MATCH(E626,'Lista de excepciones'!$E:$E,0)&gt;0,1,0),0))</f>
        <v/>
      </c>
      <c r="U626" s="6" t="str">
        <f t="shared" si="10"/>
        <v/>
      </c>
    </row>
    <row r="627" spans="1:21" hidden="1" x14ac:dyDescent="0.25">
      <c r="A627" s="7" t="str">
        <f>IF('Port Bloomberg'!A627="","",'Port Bloomberg'!A627)</f>
        <v/>
      </c>
      <c r="B627" s="7" t="str">
        <f>IF('Port Bloomberg'!B627="","",'Port Bloomberg'!B627)</f>
        <v/>
      </c>
      <c r="C627" s="7" t="str">
        <f>IF('Port Bloomberg'!C627="","",'Port Bloomberg'!C627)</f>
        <v/>
      </c>
      <c r="D627" s="7" t="str">
        <f>IF('Port Bloomberg'!D627="","",'Port Bloomberg'!D627)</f>
        <v/>
      </c>
      <c r="E627" s="7" t="str">
        <f>IF('Port Bloomberg'!E627="","",'Port Bloomberg'!E627)</f>
        <v/>
      </c>
      <c r="F627" s="7" t="str">
        <f>IF('Port Bloomberg'!F627="","",'Port Bloomberg'!F627)</f>
        <v/>
      </c>
      <c r="G627" s="7" t="str">
        <f>IF('Port Bloomberg'!G627="","",'Port Bloomberg'!G627)</f>
        <v/>
      </c>
      <c r="H627" s="7" t="str">
        <f>IF('Port Bloomberg'!H627="","",'Port Bloomberg'!H627)</f>
        <v/>
      </c>
      <c r="I627" s="7" t="str">
        <f>IF('Port Bloomberg'!I627="","",'Port Bloomberg'!I627)</f>
        <v/>
      </c>
      <c r="J627" s="7" t="str">
        <f>IF('Port Bloomberg'!J627="","",'Port Bloomberg'!J627)</f>
        <v/>
      </c>
      <c r="K627" s="7" t="str">
        <f>IF('Port Bloomberg'!K627="","",'Port Bloomberg'!K627)</f>
        <v/>
      </c>
      <c r="L627" s="7" t="str">
        <f>IF('Port Bloomberg'!L627="","",'Port Bloomberg'!L627)</f>
        <v/>
      </c>
      <c r="M627" s="7" t="str">
        <f>IF('Port Bloomberg'!M627="","",'Port Bloomberg'!M627)</f>
        <v/>
      </c>
      <c r="N627" s="7" t="str">
        <f>IF('Port Bloomberg'!N627="","",'Port Bloomberg'!N627)</f>
        <v/>
      </c>
      <c r="O627" s="7" t="str">
        <f>IF('Port Bloomberg'!O627="","",'Port Bloomberg'!O627)</f>
        <v/>
      </c>
      <c r="P627" s="7" t="str">
        <f>IF('Port Bloomberg'!P627="","",'Port Bloomberg'!P627)</f>
        <v/>
      </c>
      <c r="Q627" s="7" t="str">
        <f>IF('Port Bloomberg'!Q627="","",'Port Bloomberg'!Q627)</f>
        <v/>
      </c>
      <c r="R627" s="7" t="str">
        <f>IF('Port Bloomberg'!R627="","",'Port Bloomberg'!R627)</f>
        <v/>
      </c>
      <c r="S627" s="5" t="str">
        <f>IF(E627="","",IFERROR(IF(MATCH(E627,[1]Instrumentos!$D:$D,0)&gt;0,1,0),0))</f>
        <v/>
      </c>
      <c r="T627" s="5" t="str">
        <f>IF(E627="","",IFERROR(IF(MATCH(E627,'Lista de excepciones'!$E:$E,0)&gt;0,1,0),0))</f>
        <v/>
      </c>
      <c r="U627" s="6" t="str">
        <f t="shared" si="10"/>
        <v/>
      </c>
    </row>
    <row r="628" spans="1:21" hidden="1" x14ac:dyDescent="0.25">
      <c r="A628" s="7" t="str">
        <f>IF('Port Bloomberg'!A628="","",'Port Bloomberg'!A628)</f>
        <v/>
      </c>
      <c r="B628" s="7" t="str">
        <f>IF('Port Bloomberg'!B628="","",'Port Bloomberg'!B628)</f>
        <v/>
      </c>
      <c r="C628" s="7" t="str">
        <f>IF('Port Bloomberg'!C628="","",'Port Bloomberg'!C628)</f>
        <v/>
      </c>
      <c r="D628" s="7" t="str">
        <f>IF('Port Bloomberg'!D628="","",'Port Bloomberg'!D628)</f>
        <v/>
      </c>
      <c r="E628" s="7" t="str">
        <f>IF('Port Bloomberg'!E628="","",'Port Bloomberg'!E628)</f>
        <v/>
      </c>
      <c r="F628" s="7" t="str">
        <f>IF('Port Bloomberg'!F628="","",'Port Bloomberg'!F628)</f>
        <v/>
      </c>
      <c r="G628" s="7" t="str">
        <f>IF('Port Bloomberg'!G628="","",'Port Bloomberg'!G628)</f>
        <v/>
      </c>
      <c r="H628" s="7" t="str">
        <f>IF('Port Bloomberg'!H628="","",'Port Bloomberg'!H628)</f>
        <v/>
      </c>
      <c r="I628" s="7" t="str">
        <f>IF('Port Bloomberg'!I628="","",'Port Bloomberg'!I628)</f>
        <v/>
      </c>
      <c r="J628" s="7" t="str">
        <f>IF('Port Bloomberg'!J628="","",'Port Bloomberg'!J628)</f>
        <v/>
      </c>
      <c r="K628" s="7" t="str">
        <f>IF('Port Bloomberg'!K628="","",'Port Bloomberg'!K628)</f>
        <v/>
      </c>
      <c r="L628" s="7" t="str">
        <f>IF('Port Bloomberg'!L628="","",'Port Bloomberg'!L628)</f>
        <v/>
      </c>
      <c r="M628" s="7" t="str">
        <f>IF('Port Bloomberg'!M628="","",'Port Bloomberg'!M628)</f>
        <v/>
      </c>
      <c r="N628" s="7" t="str">
        <f>IF('Port Bloomberg'!N628="","",'Port Bloomberg'!N628)</f>
        <v/>
      </c>
      <c r="O628" s="7" t="str">
        <f>IF('Port Bloomberg'!O628="","",'Port Bloomberg'!O628)</f>
        <v/>
      </c>
      <c r="P628" s="7" t="str">
        <f>IF('Port Bloomberg'!P628="","",'Port Bloomberg'!P628)</f>
        <v/>
      </c>
      <c r="Q628" s="7" t="str">
        <f>IF('Port Bloomberg'!Q628="","",'Port Bloomberg'!Q628)</f>
        <v/>
      </c>
      <c r="R628" s="7" t="str">
        <f>IF('Port Bloomberg'!R628="","",'Port Bloomberg'!R628)</f>
        <v/>
      </c>
      <c r="S628" s="5" t="str">
        <f>IF(E628="","",IFERROR(IF(MATCH(E628,[1]Instrumentos!$D:$D,0)&gt;0,1,0),0))</f>
        <v/>
      </c>
      <c r="T628" s="5" t="str">
        <f>IF(E628="","",IFERROR(IF(MATCH(E628,'Lista de excepciones'!$E:$E,0)&gt;0,1,0),0))</f>
        <v/>
      </c>
      <c r="U628" s="6" t="str">
        <f t="shared" si="10"/>
        <v/>
      </c>
    </row>
    <row r="629" spans="1:21" hidden="1" x14ac:dyDescent="0.25">
      <c r="A629" s="7" t="str">
        <f>IF('Port Bloomberg'!A629="","",'Port Bloomberg'!A629)</f>
        <v/>
      </c>
      <c r="B629" s="7" t="str">
        <f>IF('Port Bloomberg'!B629="","",'Port Bloomberg'!B629)</f>
        <v/>
      </c>
      <c r="C629" s="7" t="str">
        <f>IF('Port Bloomberg'!C629="","",'Port Bloomberg'!C629)</f>
        <v/>
      </c>
      <c r="D629" s="7" t="str">
        <f>IF('Port Bloomberg'!D629="","",'Port Bloomberg'!D629)</f>
        <v/>
      </c>
      <c r="E629" s="7" t="str">
        <f>IF('Port Bloomberg'!E629="","",'Port Bloomberg'!E629)</f>
        <v/>
      </c>
      <c r="F629" s="7" t="str">
        <f>IF('Port Bloomberg'!F629="","",'Port Bloomberg'!F629)</f>
        <v/>
      </c>
      <c r="G629" s="7" t="str">
        <f>IF('Port Bloomberg'!G629="","",'Port Bloomberg'!G629)</f>
        <v/>
      </c>
      <c r="H629" s="7" t="str">
        <f>IF('Port Bloomberg'!H629="","",'Port Bloomberg'!H629)</f>
        <v/>
      </c>
      <c r="I629" s="7" t="str">
        <f>IF('Port Bloomberg'!I629="","",'Port Bloomberg'!I629)</f>
        <v/>
      </c>
      <c r="J629" s="7" t="str">
        <f>IF('Port Bloomberg'!J629="","",'Port Bloomberg'!J629)</f>
        <v/>
      </c>
      <c r="K629" s="7" t="str">
        <f>IF('Port Bloomberg'!K629="","",'Port Bloomberg'!K629)</f>
        <v/>
      </c>
      <c r="L629" s="7" t="str">
        <f>IF('Port Bloomberg'!L629="","",'Port Bloomberg'!L629)</f>
        <v/>
      </c>
      <c r="M629" s="7" t="str">
        <f>IF('Port Bloomberg'!M629="","",'Port Bloomberg'!M629)</f>
        <v/>
      </c>
      <c r="N629" s="7" t="str">
        <f>IF('Port Bloomberg'!N629="","",'Port Bloomberg'!N629)</f>
        <v/>
      </c>
      <c r="O629" s="7" t="str">
        <f>IF('Port Bloomberg'!O629="","",'Port Bloomberg'!O629)</f>
        <v/>
      </c>
      <c r="P629" s="7" t="str">
        <f>IF('Port Bloomberg'!P629="","",'Port Bloomberg'!P629)</f>
        <v/>
      </c>
      <c r="Q629" s="7" t="str">
        <f>IF('Port Bloomberg'!Q629="","",'Port Bloomberg'!Q629)</f>
        <v/>
      </c>
      <c r="R629" s="7" t="str">
        <f>IF('Port Bloomberg'!R629="","",'Port Bloomberg'!R629)</f>
        <v/>
      </c>
      <c r="S629" s="5" t="str">
        <f>IF(E629="","",IFERROR(IF(MATCH(E629,[1]Instrumentos!$D:$D,0)&gt;0,1,0),0))</f>
        <v/>
      </c>
      <c r="T629" s="5" t="str">
        <f>IF(E629="","",IFERROR(IF(MATCH(E629,'Lista de excepciones'!$E:$E,0)&gt;0,1,0),0))</f>
        <v/>
      </c>
      <c r="U629" s="6" t="str">
        <f t="shared" si="10"/>
        <v/>
      </c>
    </row>
    <row r="630" spans="1:21" hidden="1" x14ac:dyDescent="0.25">
      <c r="A630" s="7" t="str">
        <f>IF('Port Bloomberg'!A630="","",'Port Bloomberg'!A630)</f>
        <v/>
      </c>
      <c r="B630" s="7" t="str">
        <f>IF('Port Bloomberg'!B630="","",'Port Bloomberg'!B630)</f>
        <v/>
      </c>
      <c r="C630" s="7" t="str">
        <f>IF('Port Bloomberg'!C630="","",'Port Bloomberg'!C630)</f>
        <v/>
      </c>
      <c r="D630" s="7" t="str">
        <f>IF('Port Bloomberg'!D630="","",'Port Bloomberg'!D630)</f>
        <v/>
      </c>
      <c r="E630" s="7" t="str">
        <f>IF('Port Bloomberg'!E630="","",'Port Bloomberg'!E630)</f>
        <v/>
      </c>
      <c r="F630" s="7" t="str">
        <f>IF('Port Bloomberg'!F630="","",'Port Bloomberg'!F630)</f>
        <v/>
      </c>
      <c r="G630" s="7" t="str">
        <f>IF('Port Bloomberg'!G630="","",'Port Bloomberg'!G630)</f>
        <v/>
      </c>
      <c r="H630" s="7" t="str">
        <f>IF('Port Bloomberg'!H630="","",'Port Bloomberg'!H630)</f>
        <v/>
      </c>
      <c r="I630" s="7" t="str">
        <f>IF('Port Bloomberg'!I630="","",'Port Bloomberg'!I630)</f>
        <v/>
      </c>
      <c r="J630" s="7" t="str">
        <f>IF('Port Bloomberg'!J630="","",'Port Bloomberg'!J630)</f>
        <v/>
      </c>
      <c r="K630" s="7" t="str">
        <f>IF('Port Bloomberg'!K630="","",'Port Bloomberg'!K630)</f>
        <v/>
      </c>
      <c r="L630" s="7" t="str">
        <f>IF('Port Bloomberg'!L630="","",'Port Bloomberg'!L630)</f>
        <v/>
      </c>
      <c r="M630" s="7" t="str">
        <f>IF('Port Bloomberg'!M630="","",'Port Bloomberg'!M630)</f>
        <v/>
      </c>
      <c r="N630" s="7" t="str">
        <f>IF('Port Bloomberg'!N630="","",'Port Bloomberg'!N630)</f>
        <v/>
      </c>
      <c r="O630" s="7" t="str">
        <f>IF('Port Bloomberg'!O630="","",'Port Bloomberg'!O630)</f>
        <v/>
      </c>
      <c r="P630" s="7" t="str">
        <f>IF('Port Bloomberg'!P630="","",'Port Bloomberg'!P630)</f>
        <v/>
      </c>
      <c r="Q630" s="7" t="str">
        <f>IF('Port Bloomberg'!Q630="","",'Port Bloomberg'!Q630)</f>
        <v/>
      </c>
      <c r="R630" s="7" t="str">
        <f>IF('Port Bloomberg'!R630="","",'Port Bloomberg'!R630)</f>
        <v/>
      </c>
      <c r="S630" s="5" t="str">
        <f>IF(E630="","",IFERROR(IF(MATCH(E630,[1]Instrumentos!$D:$D,0)&gt;0,1,0),0))</f>
        <v/>
      </c>
      <c r="T630" s="5" t="str">
        <f>IF(E630="","",IFERROR(IF(MATCH(E630,'Lista de excepciones'!$E:$E,0)&gt;0,1,0),0))</f>
        <v/>
      </c>
      <c r="U630" s="6" t="str">
        <f t="shared" si="10"/>
        <v/>
      </c>
    </row>
    <row r="631" spans="1:21" hidden="1" x14ac:dyDescent="0.25">
      <c r="A631" s="7" t="str">
        <f>IF('Port Bloomberg'!A631="","",'Port Bloomberg'!A631)</f>
        <v/>
      </c>
      <c r="B631" s="7" t="str">
        <f>IF('Port Bloomberg'!B631="","",'Port Bloomberg'!B631)</f>
        <v/>
      </c>
      <c r="C631" s="7" t="str">
        <f>IF('Port Bloomberg'!C631="","",'Port Bloomberg'!C631)</f>
        <v/>
      </c>
      <c r="D631" s="7" t="str">
        <f>IF('Port Bloomberg'!D631="","",'Port Bloomberg'!D631)</f>
        <v/>
      </c>
      <c r="E631" s="7" t="str">
        <f>IF('Port Bloomberg'!E631="","",'Port Bloomberg'!E631)</f>
        <v/>
      </c>
      <c r="F631" s="7" t="str">
        <f>IF('Port Bloomberg'!F631="","",'Port Bloomberg'!F631)</f>
        <v/>
      </c>
      <c r="G631" s="7" t="str">
        <f>IF('Port Bloomberg'!G631="","",'Port Bloomberg'!G631)</f>
        <v/>
      </c>
      <c r="H631" s="7" t="str">
        <f>IF('Port Bloomberg'!H631="","",'Port Bloomberg'!H631)</f>
        <v/>
      </c>
      <c r="I631" s="7" t="str">
        <f>IF('Port Bloomberg'!I631="","",'Port Bloomberg'!I631)</f>
        <v/>
      </c>
      <c r="J631" s="7" t="str">
        <f>IF('Port Bloomberg'!J631="","",'Port Bloomberg'!J631)</f>
        <v/>
      </c>
      <c r="K631" s="7" t="str">
        <f>IF('Port Bloomberg'!K631="","",'Port Bloomberg'!K631)</f>
        <v/>
      </c>
      <c r="L631" s="7" t="str">
        <f>IF('Port Bloomberg'!L631="","",'Port Bloomberg'!L631)</f>
        <v/>
      </c>
      <c r="M631" s="7" t="str">
        <f>IF('Port Bloomberg'!M631="","",'Port Bloomberg'!M631)</f>
        <v/>
      </c>
      <c r="N631" s="7" t="str">
        <f>IF('Port Bloomberg'!N631="","",'Port Bloomberg'!N631)</f>
        <v/>
      </c>
      <c r="O631" s="7" t="str">
        <f>IF('Port Bloomberg'!O631="","",'Port Bloomberg'!O631)</f>
        <v/>
      </c>
      <c r="P631" s="7" t="str">
        <f>IF('Port Bloomberg'!P631="","",'Port Bloomberg'!P631)</f>
        <v/>
      </c>
      <c r="Q631" s="7" t="str">
        <f>IF('Port Bloomberg'!Q631="","",'Port Bloomberg'!Q631)</f>
        <v/>
      </c>
      <c r="R631" s="7" t="str">
        <f>IF('Port Bloomberg'!R631="","",'Port Bloomberg'!R631)</f>
        <v/>
      </c>
      <c r="S631" s="5" t="str">
        <f>IF(E631="","",IFERROR(IF(MATCH(E631,[1]Instrumentos!$D:$D,0)&gt;0,1,0),0))</f>
        <v/>
      </c>
      <c r="T631" s="5" t="str">
        <f>IF(E631="","",IFERROR(IF(MATCH(E631,'Lista de excepciones'!$E:$E,0)&gt;0,1,0),0))</f>
        <v/>
      </c>
      <c r="U631" s="6" t="str">
        <f t="shared" si="10"/>
        <v/>
      </c>
    </row>
    <row r="632" spans="1:21" hidden="1" x14ac:dyDescent="0.25">
      <c r="A632" s="7" t="str">
        <f>IF('Port Bloomberg'!A632="","",'Port Bloomberg'!A632)</f>
        <v/>
      </c>
      <c r="B632" s="7" t="str">
        <f>IF('Port Bloomberg'!B632="","",'Port Bloomberg'!B632)</f>
        <v/>
      </c>
      <c r="C632" s="7" t="str">
        <f>IF('Port Bloomberg'!C632="","",'Port Bloomberg'!C632)</f>
        <v/>
      </c>
      <c r="D632" s="7" t="str">
        <f>IF('Port Bloomberg'!D632="","",'Port Bloomberg'!D632)</f>
        <v/>
      </c>
      <c r="E632" s="7" t="str">
        <f>IF('Port Bloomberg'!E632="","",'Port Bloomberg'!E632)</f>
        <v/>
      </c>
      <c r="F632" s="7" t="str">
        <f>IF('Port Bloomberg'!F632="","",'Port Bloomberg'!F632)</f>
        <v/>
      </c>
      <c r="G632" s="7" t="str">
        <f>IF('Port Bloomberg'!G632="","",'Port Bloomberg'!G632)</f>
        <v/>
      </c>
      <c r="H632" s="7" t="str">
        <f>IF('Port Bloomberg'!H632="","",'Port Bloomberg'!H632)</f>
        <v/>
      </c>
      <c r="I632" s="7" t="str">
        <f>IF('Port Bloomberg'!I632="","",'Port Bloomberg'!I632)</f>
        <v/>
      </c>
      <c r="J632" s="7" t="str">
        <f>IF('Port Bloomberg'!J632="","",'Port Bloomberg'!J632)</f>
        <v/>
      </c>
      <c r="K632" s="7" t="str">
        <f>IF('Port Bloomberg'!K632="","",'Port Bloomberg'!K632)</f>
        <v/>
      </c>
      <c r="L632" s="7" t="str">
        <f>IF('Port Bloomberg'!L632="","",'Port Bloomberg'!L632)</f>
        <v/>
      </c>
      <c r="M632" s="7" t="str">
        <f>IF('Port Bloomberg'!M632="","",'Port Bloomberg'!M632)</f>
        <v/>
      </c>
      <c r="N632" s="7" t="str">
        <f>IF('Port Bloomberg'!N632="","",'Port Bloomberg'!N632)</f>
        <v/>
      </c>
      <c r="O632" s="7" t="str">
        <f>IF('Port Bloomberg'!O632="","",'Port Bloomberg'!O632)</f>
        <v/>
      </c>
      <c r="P632" s="7" t="str">
        <f>IF('Port Bloomberg'!P632="","",'Port Bloomberg'!P632)</f>
        <v/>
      </c>
      <c r="Q632" s="7" t="str">
        <f>IF('Port Bloomberg'!Q632="","",'Port Bloomberg'!Q632)</f>
        <v/>
      </c>
      <c r="R632" s="7" t="str">
        <f>IF('Port Bloomberg'!R632="","",'Port Bloomberg'!R632)</f>
        <v/>
      </c>
      <c r="S632" s="5" t="str">
        <f>IF(E632="","",IFERROR(IF(MATCH(E632,[1]Instrumentos!$D:$D,0)&gt;0,1,0),0))</f>
        <v/>
      </c>
      <c r="T632" s="5" t="str">
        <f>IF(E632="","",IFERROR(IF(MATCH(E632,'Lista de excepciones'!$E:$E,0)&gt;0,1,0),0))</f>
        <v/>
      </c>
      <c r="U632" s="6" t="str">
        <f t="shared" si="10"/>
        <v/>
      </c>
    </row>
    <row r="633" spans="1:21" hidden="1" x14ac:dyDescent="0.25">
      <c r="A633" s="7" t="str">
        <f>IF('Port Bloomberg'!A633="","",'Port Bloomberg'!A633)</f>
        <v/>
      </c>
      <c r="B633" s="7" t="str">
        <f>IF('Port Bloomberg'!B633="","",'Port Bloomberg'!B633)</f>
        <v/>
      </c>
      <c r="C633" s="7" t="str">
        <f>IF('Port Bloomberg'!C633="","",'Port Bloomberg'!C633)</f>
        <v/>
      </c>
      <c r="D633" s="7" t="str">
        <f>IF('Port Bloomberg'!D633="","",'Port Bloomberg'!D633)</f>
        <v/>
      </c>
      <c r="E633" s="7" t="str">
        <f>IF('Port Bloomberg'!E633="","",'Port Bloomberg'!E633)</f>
        <v/>
      </c>
      <c r="F633" s="7" t="str">
        <f>IF('Port Bloomberg'!F633="","",'Port Bloomberg'!F633)</f>
        <v/>
      </c>
      <c r="G633" s="7" t="str">
        <f>IF('Port Bloomberg'!G633="","",'Port Bloomberg'!G633)</f>
        <v/>
      </c>
      <c r="H633" s="7" t="str">
        <f>IF('Port Bloomberg'!H633="","",'Port Bloomberg'!H633)</f>
        <v/>
      </c>
      <c r="I633" s="7" t="str">
        <f>IF('Port Bloomberg'!I633="","",'Port Bloomberg'!I633)</f>
        <v/>
      </c>
      <c r="J633" s="7" t="str">
        <f>IF('Port Bloomberg'!J633="","",'Port Bloomberg'!J633)</f>
        <v/>
      </c>
      <c r="K633" s="7" t="str">
        <f>IF('Port Bloomberg'!K633="","",'Port Bloomberg'!K633)</f>
        <v/>
      </c>
      <c r="L633" s="7" t="str">
        <f>IF('Port Bloomberg'!L633="","",'Port Bloomberg'!L633)</f>
        <v/>
      </c>
      <c r="M633" s="7" t="str">
        <f>IF('Port Bloomberg'!M633="","",'Port Bloomberg'!M633)</f>
        <v/>
      </c>
      <c r="N633" s="7" t="str">
        <f>IF('Port Bloomberg'!N633="","",'Port Bloomberg'!N633)</f>
        <v/>
      </c>
      <c r="O633" s="7" t="str">
        <f>IF('Port Bloomberg'!O633="","",'Port Bloomberg'!O633)</f>
        <v/>
      </c>
      <c r="P633" s="7" t="str">
        <f>IF('Port Bloomberg'!P633="","",'Port Bloomberg'!P633)</f>
        <v/>
      </c>
      <c r="Q633" s="7" t="str">
        <f>IF('Port Bloomberg'!Q633="","",'Port Bloomberg'!Q633)</f>
        <v/>
      </c>
      <c r="R633" s="7" t="str">
        <f>IF('Port Bloomberg'!R633="","",'Port Bloomberg'!R633)</f>
        <v/>
      </c>
      <c r="S633" s="5" t="str">
        <f>IF(E633="","",IFERROR(IF(MATCH(E633,[1]Instrumentos!$D:$D,0)&gt;0,1,0),0))</f>
        <v/>
      </c>
      <c r="T633" s="5" t="str">
        <f>IF(E633="","",IFERROR(IF(MATCH(E633,'Lista de excepciones'!$E:$E,0)&gt;0,1,0),0))</f>
        <v/>
      </c>
      <c r="U633" s="6" t="str">
        <f t="shared" si="10"/>
        <v/>
      </c>
    </row>
    <row r="634" spans="1:21" hidden="1" x14ac:dyDescent="0.25">
      <c r="A634" s="7" t="str">
        <f>IF('Port Bloomberg'!A634="","",'Port Bloomberg'!A634)</f>
        <v/>
      </c>
      <c r="B634" s="7" t="str">
        <f>IF('Port Bloomberg'!B634="","",'Port Bloomberg'!B634)</f>
        <v/>
      </c>
      <c r="C634" s="7" t="str">
        <f>IF('Port Bloomberg'!C634="","",'Port Bloomberg'!C634)</f>
        <v/>
      </c>
      <c r="D634" s="7" t="str">
        <f>IF('Port Bloomberg'!D634="","",'Port Bloomberg'!D634)</f>
        <v/>
      </c>
      <c r="E634" s="7" t="str">
        <f>IF('Port Bloomberg'!E634="","",'Port Bloomberg'!E634)</f>
        <v/>
      </c>
      <c r="F634" s="7" t="str">
        <f>IF('Port Bloomberg'!F634="","",'Port Bloomberg'!F634)</f>
        <v/>
      </c>
      <c r="G634" s="7" t="str">
        <f>IF('Port Bloomberg'!G634="","",'Port Bloomberg'!G634)</f>
        <v/>
      </c>
      <c r="H634" s="7" t="str">
        <f>IF('Port Bloomberg'!H634="","",'Port Bloomberg'!H634)</f>
        <v/>
      </c>
      <c r="I634" s="7" t="str">
        <f>IF('Port Bloomberg'!I634="","",'Port Bloomberg'!I634)</f>
        <v/>
      </c>
      <c r="J634" s="7" t="str">
        <f>IF('Port Bloomberg'!J634="","",'Port Bloomberg'!J634)</f>
        <v/>
      </c>
      <c r="K634" s="7" t="str">
        <f>IF('Port Bloomberg'!K634="","",'Port Bloomberg'!K634)</f>
        <v/>
      </c>
      <c r="L634" s="7" t="str">
        <f>IF('Port Bloomberg'!L634="","",'Port Bloomberg'!L634)</f>
        <v/>
      </c>
      <c r="M634" s="7" t="str">
        <f>IF('Port Bloomberg'!M634="","",'Port Bloomberg'!M634)</f>
        <v/>
      </c>
      <c r="N634" s="7" t="str">
        <f>IF('Port Bloomberg'!N634="","",'Port Bloomberg'!N634)</f>
        <v/>
      </c>
      <c r="O634" s="7" t="str">
        <f>IF('Port Bloomberg'!O634="","",'Port Bloomberg'!O634)</f>
        <v/>
      </c>
      <c r="P634" s="7" t="str">
        <f>IF('Port Bloomberg'!P634="","",'Port Bloomberg'!P634)</f>
        <v/>
      </c>
      <c r="Q634" s="7" t="str">
        <f>IF('Port Bloomberg'!Q634="","",'Port Bloomberg'!Q634)</f>
        <v/>
      </c>
      <c r="R634" s="7" t="str">
        <f>IF('Port Bloomberg'!R634="","",'Port Bloomberg'!R634)</f>
        <v/>
      </c>
      <c r="S634" s="5" t="str">
        <f>IF(E634="","",IFERROR(IF(MATCH(E634,[1]Instrumentos!$D:$D,0)&gt;0,1,0),0))</f>
        <v/>
      </c>
      <c r="T634" s="5" t="str">
        <f>IF(E634="","",IFERROR(IF(MATCH(E634,'Lista de excepciones'!$E:$E,0)&gt;0,1,0),0))</f>
        <v/>
      </c>
      <c r="U634" s="6" t="str">
        <f t="shared" si="10"/>
        <v/>
      </c>
    </row>
    <row r="635" spans="1:21" hidden="1" x14ac:dyDescent="0.25">
      <c r="A635" s="7" t="str">
        <f>IF('Port Bloomberg'!A635="","",'Port Bloomberg'!A635)</f>
        <v/>
      </c>
      <c r="B635" s="7" t="str">
        <f>IF('Port Bloomberg'!B635="","",'Port Bloomberg'!B635)</f>
        <v/>
      </c>
      <c r="C635" s="7" t="str">
        <f>IF('Port Bloomberg'!C635="","",'Port Bloomberg'!C635)</f>
        <v/>
      </c>
      <c r="D635" s="7" t="str">
        <f>IF('Port Bloomberg'!D635="","",'Port Bloomberg'!D635)</f>
        <v/>
      </c>
      <c r="E635" s="7" t="str">
        <f>IF('Port Bloomberg'!E635="","",'Port Bloomberg'!E635)</f>
        <v/>
      </c>
      <c r="F635" s="7" t="str">
        <f>IF('Port Bloomberg'!F635="","",'Port Bloomberg'!F635)</f>
        <v/>
      </c>
      <c r="G635" s="7" t="str">
        <f>IF('Port Bloomberg'!G635="","",'Port Bloomberg'!G635)</f>
        <v/>
      </c>
      <c r="H635" s="7" t="str">
        <f>IF('Port Bloomberg'!H635="","",'Port Bloomberg'!H635)</f>
        <v/>
      </c>
      <c r="I635" s="7" t="str">
        <f>IF('Port Bloomberg'!I635="","",'Port Bloomberg'!I635)</f>
        <v/>
      </c>
      <c r="J635" s="7" t="str">
        <f>IF('Port Bloomberg'!J635="","",'Port Bloomberg'!J635)</f>
        <v/>
      </c>
      <c r="K635" s="7" t="str">
        <f>IF('Port Bloomberg'!K635="","",'Port Bloomberg'!K635)</f>
        <v/>
      </c>
      <c r="L635" s="7" t="str">
        <f>IF('Port Bloomberg'!L635="","",'Port Bloomberg'!L635)</f>
        <v/>
      </c>
      <c r="M635" s="7" t="str">
        <f>IF('Port Bloomberg'!M635="","",'Port Bloomberg'!M635)</f>
        <v/>
      </c>
      <c r="N635" s="7" t="str">
        <f>IF('Port Bloomberg'!N635="","",'Port Bloomberg'!N635)</f>
        <v/>
      </c>
      <c r="O635" s="7" t="str">
        <f>IF('Port Bloomberg'!O635="","",'Port Bloomberg'!O635)</f>
        <v/>
      </c>
      <c r="P635" s="7" t="str">
        <f>IF('Port Bloomberg'!P635="","",'Port Bloomberg'!P635)</f>
        <v/>
      </c>
      <c r="Q635" s="7" t="str">
        <f>IF('Port Bloomberg'!Q635="","",'Port Bloomberg'!Q635)</f>
        <v/>
      </c>
      <c r="R635" s="7" t="str">
        <f>IF('Port Bloomberg'!R635="","",'Port Bloomberg'!R635)</f>
        <v/>
      </c>
      <c r="S635" s="5" t="str">
        <f>IF(E635="","",IFERROR(IF(MATCH(E635,[1]Instrumentos!$D:$D,0)&gt;0,1,0),0))</f>
        <v/>
      </c>
      <c r="T635" s="5" t="str">
        <f>IF(E635="","",IFERROR(IF(MATCH(E635,'Lista de excepciones'!$E:$E,0)&gt;0,1,0),0))</f>
        <v/>
      </c>
      <c r="U635" s="6" t="str">
        <f t="shared" si="10"/>
        <v/>
      </c>
    </row>
    <row r="636" spans="1:21" hidden="1" x14ac:dyDescent="0.25">
      <c r="A636" s="7" t="str">
        <f>IF('Port Bloomberg'!A636="","",'Port Bloomberg'!A636)</f>
        <v/>
      </c>
      <c r="B636" s="7" t="str">
        <f>IF('Port Bloomberg'!B636="","",'Port Bloomberg'!B636)</f>
        <v/>
      </c>
      <c r="C636" s="7" t="str">
        <f>IF('Port Bloomberg'!C636="","",'Port Bloomberg'!C636)</f>
        <v/>
      </c>
      <c r="D636" s="7" t="str">
        <f>IF('Port Bloomberg'!D636="","",'Port Bloomberg'!D636)</f>
        <v/>
      </c>
      <c r="E636" s="7" t="str">
        <f>IF('Port Bloomberg'!E636="","",'Port Bloomberg'!E636)</f>
        <v/>
      </c>
      <c r="F636" s="7" t="str">
        <f>IF('Port Bloomberg'!F636="","",'Port Bloomberg'!F636)</f>
        <v/>
      </c>
      <c r="G636" s="7" t="str">
        <f>IF('Port Bloomberg'!G636="","",'Port Bloomberg'!G636)</f>
        <v/>
      </c>
      <c r="H636" s="7" t="str">
        <f>IF('Port Bloomberg'!H636="","",'Port Bloomberg'!H636)</f>
        <v/>
      </c>
      <c r="I636" s="7" t="str">
        <f>IF('Port Bloomberg'!I636="","",'Port Bloomberg'!I636)</f>
        <v/>
      </c>
      <c r="J636" s="7" t="str">
        <f>IF('Port Bloomberg'!J636="","",'Port Bloomberg'!J636)</f>
        <v/>
      </c>
      <c r="K636" s="7" t="str">
        <f>IF('Port Bloomberg'!K636="","",'Port Bloomberg'!K636)</f>
        <v/>
      </c>
      <c r="L636" s="7" t="str">
        <f>IF('Port Bloomberg'!L636="","",'Port Bloomberg'!L636)</f>
        <v/>
      </c>
      <c r="M636" s="7" t="str">
        <f>IF('Port Bloomberg'!M636="","",'Port Bloomberg'!M636)</f>
        <v/>
      </c>
      <c r="N636" s="7" t="str">
        <f>IF('Port Bloomberg'!N636="","",'Port Bloomberg'!N636)</f>
        <v/>
      </c>
      <c r="O636" s="7" t="str">
        <f>IF('Port Bloomberg'!O636="","",'Port Bloomberg'!O636)</f>
        <v/>
      </c>
      <c r="P636" s="7" t="str">
        <f>IF('Port Bloomberg'!P636="","",'Port Bloomberg'!P636)</f>
        <v/>
      </c>
      <c r="Q636" s="7" t="str">
        <f>IF('Port Bloomberg'!Q636="","",'Port Bloomberg'!Q636)</f>
        <v/>
      </c>
      <c r="R636" s="7" t="str">
        <f>IF('Port Bloomberg'!R636="","",'Port Bloomberg'!R636)</f>
        <v/>
      </c>
      <c r="S636" s="5" t="str">
        <f>IF(E636="","",IFERROR(IF(MATCH(E636,[1]Instrumentos!$D:$D,0)&gt;0,1,0),0))</f>
        <v/>
      </c>
      <c r="T636" s="5" t="str">
        <f>IF(E636="","",IFERROR(IF(MATCH(E636,'Lista de excepciones'!$E:$E,0)&gt;0,1,0),0))</f>
        <v/>
      </c>
      <c r="U636" s="6" t="str">
        <f t="shared" si="10"/>
        <v/>
      </c>
    </row>
    <row r="637" spans="1:21" hidden="1" x14ac:dyDescent="0.25">
      <c r="A637" s="7" t="str">
        <f>IF('Port Bloomberg'!A637="","",'Port Bloomberg'!A637)</f>
        <v/>
      </c>
      <c r="B637" s="7" t="str">
        <f>IF('Port Bloomberg'!B637="","",'Port Bloomberg'!B637)</f>
        <v/>
      </c>
      <c r="C637" s="7" t="str">
        <f>IF('Port Bloomberg'!C637="","",'Port Bloomberg'!C637)</f>
        <v/>
      </c>
      <c r="D637" s="7" t="str">
        <f>IF('Port Bloomberg'!D637="","",'Port Bloomberg'!D637)</f>
        <v/>
      </c>
      <c r="E637" s="7" t="str">
        <f>IF('Port Bloomberg'!E637="","",'Port Bloomberg'!E637)</f>
        <v/>
      </c>
      <c r="F637" s="7" t="str">
        <f>IF('Port Bloomberg'!F637="","",'Port Bloomberg'!F637)</f>
        <v/>
      </c>
      <c r="G637" s="7" t="str">
        <f>IF('Port Bloomberg'!G637="","",'Port Bloomberg'!G637)</f>
        <v/>
      </c>
      <c r="H637" s="7" t="str">
        <f>IF('Port Bloomberg'!H637="","",'Port Bloomberg'!H637)</f>
        <v/>
      </c>
      <c r="I637" s="7" t="str">
        <f>IF('Port Bloomberg'!I637="","",'Port Bloomberg'!I637)</f>
        <v/>
      </c>
      <c r="J637" s="7" t="str">
        <f>IF('Port Bloomberg'!J637="","",'Port Bloomberg'!J637)</f>
        <v/>
      </c>
      <c r="K637" s="7" t="str">
        <f>IF('Port Bloomberg'!K637="","",'Port Bloomberg'!K637)</f>
        <v/>
      </c>
      <c r="L637" s="7" t="str">
        <f>IF('Port Bloomberg'!L637="","",'Port Bloomberg'!L637)</f>
        <v/>
      </c>
      <c r="M637" s="7" t="str">
        <f>IF('Port Bloomberg'!M637="","",'Port Bloomberg'!M637)</f>
        <v/>
      </c>
      <c r="N637" s="7" t="str">
        <f>IF('Port Bloomberg'!N637="","",'Port Bloomberg'!N637)</f>
        <v/>
      </c>
      <c r="O637" s="7" t="str">
        <f>IF('Port Bloomberg'!O637="","",'Port Bloomberg'!O637)</f>
        <v/>
      </c>
      <c r="P637" s="7" t="str">
        <f>IF('Port Bloomberg'!P637="","",'Port Bloomberg'!P637)</f>
        <v/>
      </c>
      <c r="Q637" s="7" t="str">
        <f>IF('Port Bloomberg'!Q637="","",'Port Bloomberg'!Q637)</f>
        <v/>
      </c>
      <c r="R637" s="7" t="str">
        <f>IF('Port Bloomberg'!R637="","",'Port Bloomberg'!R637)</f>
        <v/>
      </c>
      <c r="S637" s="5" t="str">
        <f>IF(E637="","",IFERROR(IF(MATCH(E637,[1]Instrumentos!$D:$D,0)&gt;0,1,0),0))</f>
        <v/>
      </c>
      <c r="T637" s="5" t="str">
        <f>IF(E637="","",IFERROR(IF(MATCH(E637,'Lista de excepciones'!$E:$E,0)&gt;0,1,0),0))</f>
        <v/>
      </c>
      <c r="U637" s="6" t="str">
        <f t="shared" si="10"/>
        <v/>
      </c>
    </row>
    <row r="638" spans="1:21" hidden="1" x14ac:dyDescent="0.25">
      <c r="A638" s="7" t="str">
        <f>IF('Port Bloomberg'!A638="","",'Port Bloomberg'!A638)</f>
        <v/>
      </c>
      <c r="B638" s="7" t="str">
        <f>IF('Port Bloomberg'!B638="","",'Port Bloomberg'!B638)</f>
        <v/>
      </c>
      <c r="C638" s="7" t="str">
        <f>IF('Port Bloomberg'!C638="","",'Port Bloomberg'!C638)</f>
        <v/>
      </c>
      <c r="D638" s="7" t="str">
        <f>IF('Port Bloomberg'!D638="","",'Port Bloomberg'!D638)</f>
        <v/>
      </c>
      <c r="E638" s="7" t="str">
        <f>IF('Port Bloomberg'!E638="","",'Port Bloomberg'!E638)</f>
        <v/>
      </c>
      <c r="F638" s="7" t="str">
        <f>IF('Port Bloomberg'!F638="","",'Port Bloomberg'!F638)</f>
        <v/>
      </c>
      <c r="G638" s="7" t="str">
        <f>IF('Port Bloomberg'!G638="","",'Port Bloomberg'!G638)</f>
        <v/>
      </c>
      <c r="H638" s="7" t="str">
        <f>IF('Port Bloomberg'!H638="","",'Port Bloomberg'!H638)</f>
        <v/>
      </c>
      <c r="I638" s="7" t="str">
        <f>IF('Port Bloomberg'!I638="","",'Port Bloomberg'!I638)</f>
        <v/>
      </c>
      <c r="J638" s="7" t="str">
        <f>IF('Port Bloomberg'!J638="","",'Port Bloomberg'!J638)</f>
        <v/>
      </c>
      <c r="K638" s="7" t="str">
        <f>IF('Port Bloomberg'!K638="","",'Port Bloomberg'!K638)</f>
        <v/>
      </c>
      <c r="L638" s="7" t="str">
        <f>IF('Port Bloomberg'!L638="","",'Port Bloomberg'!L638)</f>
        <v/>
      </c>
      <c r="M638" s="7" t="str">
        <f>IF('Port Bloomberg'!M638="","",'Port Bloomberg'!M638)</f>
        <v/>
      </c>
      <c r="N638" s="7" t="str">
        <f>IF('Port Bloomberg'!N638="","",'Port Bloomberg'!N638)</f>
        <v/>
      </c>
      <c r="O638" s="7" t="str">
        <f>IF('Port Bloomberg'!O638="","",'Port Bloomberg'!O638)</f>
        <v/>
      </c>
      <c r="P638" s="7" t="str">
        <f>IF('Port Bloomberg'!P638="","",'Port Bloomberg'!P638)</f>
        <v/>
      </c>
      <c r="Q638" s="7" t="str">
        <f>IF('Port Bloomberg'!Q638="","",'Port Bloomberg'!Q638)</f>
        <v/>
      </c>
      <c r="R638" s="7" t="str">
        <f>IF('Port Bloomberg'!R638="","",'Port Bloomberg'!R638)</f>
        <v/>
      </c>
      <c r="S638" s="5" t="str">
        <f>IF(E638="","",IFERROR(IF(MATCH(E638,[1]Instrumentos!$D:$D,0)&gt;0,1,0),0))</f>
        <v/>
      </c>
      <c r="T638" s="5" t="str">
        <f>IF(E638="","",IFERROR(IF(MATCH(E638,'Lista de excepciones'!$E:$E,0)&gt;0,1,0),0))</f>
        <v/>
      </c>
      <c r="U638" s="6" t="str">
        <f t="shared" si="10"/>
        <v/>
      </c>
    </row>
    <row r="639" spans="1:21" hidden="1" x14ac:dyDescent="0.25">
      <c r="A639" s="7" t="str">
        <f>IF('Port Bloomberg'!A639="","",'Port Bloomberg'!A639)</f>
        <v/>
      </c>
      <c r="B639" s="7" t="str">
        <f>IF('Port Bloomberg'!B639="","",'Port Bloomberg'!B639)</f>
        <v/>
      </c>
      <c r="C639" s="7" t="str">
        <f>IF('Port Bloomberg'!C639="","",'Port Bloomberg'!C639)</f>
        <v/>
      </c>
      <c r="D639" s="7" t="str">
        <f>IF('Port Bloomberg'!D639="","",'Port Bloomberg'!D639)</f>
        <v/>
      </c>
      <c r="E639" s="7" t="str">
        <f>IF('Port Bloomberg'!E639="","",'Port Bloomberg'!E639)</f>
        <v/>
      </c>
      <c r="F639" s="7" t="str">
        <f>IF('Port Bloomberg'!F639="","",'Port Bloomberg'!F639)</f>
        <v/>
      </c>
      <c r="G639" s="7" t="str">
        <f>IF('Port Bloomberg'!G639="","",'Port Bloomberg'!G639)</f>
        <v/>
      </c>
      <c r="H639" s="7" t="str">
        <f>IF('Port Bloomberg'!H639="","",'Port Bloomberg'!H639)</f>
        <v/>
      </c>
      <c r="I639" s="7" t="str">
        <f>IF('Port Bloomberg'!I639="","",'Port Bloomberg'!I639)</f>
        <v/>
      </c>
      <c r="J639" s="7" t="str">
        <f>IF('Port Bloomberg'!J639="","",'Port Bloomberg'!J639)</f>
        <v/>
      </c>
      <c r="K639" s="7" t="str">
        <f>IF('Port Bloomberg'!K639="","",'Port Bloomberg'!K639)</f>
        <v/>
      </c>
      <c r="L639" s="7" t="str">
        <f>IF('Port Bloomberg'!L639="","",'Port Bloomberg'!L639)</f>
        <v/>
      </c>
      <c r="M639" s="7" t="str">
        <f>IF('Port Bloomberg'!M639="","",'Port Bloomberg'!M639)</f>
        <v/>
      </c>
      <c r="N639" s="7" t="str">
        <f>IF('Port Bloomberg'!N639="","",'Port Bloomberg'!N639)</f>
        <v/>
      </c>
      <c r="O639" s="7" t="str">
        <f>IF('Port Bloomberg'!O639="","",'Port Bloomberg'!O639)</f>
        <v/>
      </c>
      <c r="P639" s="7" t="str">
        <f>IF('Port Bloomberg'!P639="","",'Port Bloomberg'!P639)</f>
        <v/>
      </c>
      <c r="Q639" s="7" t="str">
        <f>IF('Port Bloomberg'!Q639="","",'Port Bloomberg'!Q639)</f>
        <v/>
      </c>
      <c r="R639" s="7" t="str">
        <f>IF('Port Bloomberg'!R639="","",'Port Bloomberg'!R639)</f>
        <v/>
      </c>
      <c r="S639" s="5" t="str">
        <f>IF(E639="","",IFERROR(IF(MATCH(E639,[1]Instrumentos!$D:$D,0)&gt;0,1,0),0))</f>
        <v/>
      </c>
      <c r="T639" s="5" t="str">
        <f>IF(E639="","",IFERROR(IF(MATCH(E639,'Lista de excepciones'!$E:$E,0)&gt;0,1,0),0))</f>
        <v/>
      </c>
      <c r="U639" s="6" t="str">
        <f t="shared" si="10"/>
        <v/>
      </c>
    </row>
    <row r="640" spans="1:21" hidden="1" x14ac:dyDescent="0.25">
      <c r="A640" s="7" t="str">
        <f>IF('Port Bloomberg'!A640="","",'Port Bloomberg'!A640)</f>
        <v/>
      </c>
      <c r="B640" s="7" t="str">
        <f>IF('Port Bloomberg'!B640="","",'Port Bloomberg'!B640)</f>
        <v/>
      </c>
      <c r="C640" s="7" t="str">
        <f>IF('Port Bloomberg'!C640="","",'Port Bloomberg'!C640)</f>
        <v/>
      </c>
      <c r="D640" s="7" t="str">
        <f>IF('Port Bloomberg'!D640="","",'Port Bloomberg'!D640)</f>
        <v/>
      </c>
      <c r="E640" s="7" t="str">
        <f>IF('Port Bloomberg'!E640="","",'Port Bloomberg'!E640)</f>
        <v/>
      </c>
      <c r="F640" s="7" t="str">
        <f>IF('Port Bloomberg'!F640="","",'Port Bloomberg'!F640)</f>
        <v/>
      </c>
      <c r="G640" s="7" t="str">
        <f>IF('Port Bloomberg'!G640="","",'Port Bloomberg'!G640)</f>
        <v/>
      </c>
      <c r="H640" s="7" t="str">
        <f>IF('Port Bloomberg'!H640="","",'Port Bloomberg'!H640)</f>
        <v/>
      </c>
      <c r="I640" s="7" t="str">
        <f>IF('Port Bloomberg'!I640="","",'Port Bloomberg'!I640)</f>
        <v/>
      </c>
      <c r="J640" s="7" t="str">
        <f>IF('Port Bloomberg'!J640="","",'Port Bloomberg'!J640)</f>
        <v/>
      </c>
      <c r="K640" s="7" t="str">
        <f>IF('Port Bloomberg'!K640="","",'Port Bloomberg'!K640)</f>
        <v/>
      </c>
      <c r="L640" s="7" t="str">
        <f>IF('Port Bloomberg'!L640="","",'Port Bloomberg'!L640)</f>
        <v/>
      </c>
      <c r="M640" s="7" t="str">
        <f>IF('Port Bloomberg'!M640="","",'Port Bloomberg'!M640)</f>
        <v/>
      </c>
      <c r="N640" s="7" t="str">
        <f>IF('Port Bloomberg'!N640="","",'Port Bloomberg'!N640)</f>
        <v/>
      </c>
      <c r="O640" s="7" t="str">
        <f>IF('Port Bloomberg'!O640="","",'Port Bloomberg'!O640)</f>
        <v/>
      </c>
      <c r="P640" s="7" t="str">
        <f>IF('Port Bloomberg'!P640="","",'Port Bloomberg'!P640)</f>
        <v/>
      </c>
      <c r="Q640" s="7" t="str">
        <f>IF('Port Bloomberg'!Q640="","",'Port Bloomberg'!Q640)</f>
        <v/>
      </c>
      <c r="R640" s="7" t="str">
        <f>IF('Port Bloomberg'!R640="","",'Port Bloomberg'!R640)</f>
        <v/>
      </c>
      <c r="S640" s="5" t="str">
        <f>IF(E640="","",IFERROR(IF(MATCH(E640,[1]Instrumentos!$D:$D,0)&gt;0,1,0),0))</f>
        <v/>
      </c>
      <c r="T640" s="5" t="str">
        <f>IF(E640="","",IFERROR(IF(MATCH(E640,'Lista de excepciones'!$E:$E,0)&gt;0,1,0),0))</f>
        <v/>
      </c>
      <c r="U640" s="6" t="str">
        <f t="shared" si="10"/>
        <v/>
      </c>
    </row>
    <row r="641" spans="1:21" hidden="1" x14ac:dyDescent="0.25">
      <c r="A641" s="7" t="str">
        <f>IF('Port Bloomberg'!A641="","",'Port Bloomberg'!A641)</f>
        <v/>
      </c>
      <c r="B641" s="7" t="str">
        <f>IF('Port Bloomberg'!B641="","",'Port Bloomberg'!B641)</f>
        <v/>
      </c>
      <c r="C641" s="7" t="str">
        <f>IF('Port Bloomberg'!C641="","",'Port Bloomberg'!C641)</f>
        <v/>
      </c>
      <c r="D641" s="7" t="str">
        <f>IF('Port Bloomberg'!D641="","",'Port Bloomberg'!D641)</f>
        <v/>
      </c>
      <c r="E641" s="7" t="str">
        <f>IF('Port Bloomberg'!E641="","",'Port Bloomberg'!E641)</f>
        <v/>
      </c>
      <c r="F641" s="7" t="str">
        <f>IF('Port Bloomberg'!F641="","",'Port Bloomberg'!F641)</f>
        <v/>
      </c>
      <c r="G641" s="7" t="str">
        <f>IF('Port Bloomberg'!G641="","",'Port Bloomberg'!G641)</f>
        <v/>
      </c>
      <c r="H641" s="7" t="str">
        <f>IF('Port Bloomberg'!H641="","",'Port Bloomberg'!H641)</f>
        <v/>
      </c>
      <c r="I641" s="7" t="str">
        <f>IF('Port Bloomberg'!I641="","",'Port Bloomberg'!I641)</f>
        <v/>
      </c>
      <c r="J641" s="7" t="str">
        <f>IF('Port Bloomberg'!J641="","",'Port Bloomberg'!J641)</f>
        <v/>
      </c>
      <c r="K641" s="7" t="str">
        <f>IF('Port Bloomberg'!K641="","",'Port Bloomberg'!K641)</f>
        <v/>
      </c>
      <c r="L641" s="7" t="str">
        <f>IF('Port Bloomberg'!L641="","",'Port Bloomberg'!L641)</f>
        <v/>
      </c>
      <c r="M641" s="7" t="str">
        <f>IF('Port Bloomberg'!M641="","",'Port Bloomberg'!M641)</f>
        <v/>
      </c>
      <c r="N641" s="7" t="str">
        <f>IF('Port Bloomberg'!N641="","",'Port Bloomberg'!N641)</f>
        <v/>
      </c>
      <c r="O641" s="7" t="str">
        <f>IF('Port Bloomberg'!O641="","",'Port Bloomberg'!O641)</f>
        <v/>
      </c>
      <c r="P641" s="7" t="str">
        <f>IF('Port Bloomberg'!P641="","",'Port Bloomberg'!P641)</f>
        <v/>
      </c>
      <c r="Q641" s="7" t="str">
        <f>IF('Port Bloomberg'!Q641="","",'Port Bloomberg'!Q641)</f>
        <v/>
      </c>
      <c r="R641" s="7" t="str">
        <f>IF('Port Bloomberg'!R641="","",'Port Bloomberg'!R641)</f>
        <v/>
      </c>
      <c r="S641" s="5" t="str">
        <f>IF(E641="","",IFERROR(IF(MATCH(E641,[1]Instrumentos!$D:$D,0)&gt;0,1,0),0))</f>
        <v/>
      </c>
      <c r="T641" s="5" t="str">
        <f>IF(E641="","",IFERROR(IF(MATCH(E641,'Lista de excepciones'!$E:$E,0)&gt;0,1,0),0))</f>
        <v/>
      </c>
      <c r="U641" s="6" t="str">
        <f t="shared" si="10"/>
        <v/>
      </c>
    </row>
    <row r="642" spans="1:21" hidden="1" x14ac:dyDescent="0.25">
      <c r="A642" s="7" t="str">
        <f>IF('Port Bloomberg'!A642="","",'Port Bloomberg'!A642)</f>
        <v/>
      </c>
      <c r="B642" s="7" t="str">
        <f>IF('Port Bloomberg'!B642="","",'Port Bloomberg'!B642)</f>
        <v/>
      </c>
      <c r="C642" s="7" t="str">
        <f>IF('Port Bloomberg'!C642="","",'Port Bloomberg'!C642)</f>
        <v/>
      </c>
      <c r="D642" s="7" t="str">
        <f>IF('Port Bloomberg'!D642="","",'Port Bloomberg'!D642)</f>
        <v/>
      </c>
      <c r="E642" s="7" t="str">
        <f>IF('Port Bloomberg'!E642="","",'Port Bloomberg'!E642)</f>
        <v/>
      </c>
      <c r="F642" s="7" t="str">
        <f>IF('Port Bloomberg'!F642="","",'Port Bloomberg'!F642)</f>
        <v/>
      </c>
      <c r="G642" s="7" t="str">
        <f>IF('Port Bloomberg'!G642="","",'Port Bloomberg'!G642)</f>
        <v/>
      </c>
      <c r="H642" s="7" t="str">
        <f>IF('Port Bloomberg'!H642="","",'Port Bloomberg'!H642)</f>
        <v/>
      </c>
      <c r="I642" s="7" t="str">
        <f>IF('Port Bloomberg'!I642="","",'Port Bloomberg'!I642)</f>
        <v/>
      </c>
      <c r="J642" s="7" t="str">
        <f>IF('Port Bloomberg'!J642="","",'Port Bloomberg'!J642)</f>
        <v/>
      </c>
      <c r="K642" s="7" t="str">
        <f>IF('Port Bloomberg'!K642="","",'Port Bloomberg'!K642)</f>
        <v/>
      </c>
      <c r="L642" s="7" t="str">
        <f>IF('Port Bloomberg'!L642="","",'Port Bloomberg'!L642)</f>
        <v/>
      </c>
      <c r="M642" s="7" t="str">
        <f>IF('Port Bloomberg'!M642="","",'Port Bloomberg'!M642)</f>
        <v/>
      </c>
      <c r="N642" s="7" t="str">
        <f>IF('Port Bloomberg'!N642="","",'Port Bloomberg'!N642)</f>
        <v/>
      </c>
      <c r="O642" s="7" t="str">
        <f>IF('Port Bloomberg'!O642="","",'Port Bloomberg'!O642)</f>
        <v/>
      </c>
      <c r="P642" s="7" t="str">
        <f>IF('Port Bloomberg'!P642="","",'Port Bloomberg'!P642)</f>
        <v/>
      </c>
      <c r="Q642" s="7" t="str">
        <f>IF('Port Bloomberg'!Q642="","",'Port Bloomberg'!Q642)</f>
        <v/>
      </c>
      <c r="R642" s="7" t="str">
        <f>IF('Port Bloomberg'!R642="","",'Port Bloomberg'!R642)</f>
        <v/>
      </c>
      <c r="S642" s="5" t="str">
        <f>IF(E642="","",IFERROR(IF(MATCH(E642,[1]Instrumentos!$D:$D,0)&gt;0,1,0),0))</f>
        <v/>
      </c>
      <c r="T642" s="5" t="str">
        <f>IF(E642="","",IFERROR(IF(MATCH(E642,'Lista de excepciones'!$E:$E,0)&gt;0,1,0),0))</f>
        <v/>
      </c>
      <c r="U642" s="6" t="str">
        <f t="shared" si="10"/>
        <v/>
      </c>
    </row>
    <row r="643" spans="1:21" hidden="1" x14ac:dyDescent="0.25">
      <c r="A643" s="7" t="str">
        <f>IF('Port Bloomberg'!A643="","",'Port Bloomberg'!A643)</f>
        <v/>
      </c>
      <c r="B643" s="7" t="str">
        <f>IF('Port Bloomberg'!B643="","",'Port Bloomberg'!B643)</f>
        <v/>
      </c>
      <c r="C643" s="7" t="str">
        <f>IF('Port Bloomberg'!C643="","",'Port Bloomberg'!C643)</f>
        <v/>
      </c>
      <c r="D643" s="7" t="str">
        <f>IF('Port Bloomberg'!D643="","",'Port Bloomberg'!D643)</f>
        <v/>
      </c>
      <c r="E643" s="7" t="str">
        <f>IF('Port Bloomberg'!E643="","",'Port Bloomberg'!E643)</f>
        <v/>
      </c>
      <c r="F643" s="7" t="str">
        <f>IF('Port Bloomberg'!F643="","",'Port Bloomberg'!F643)</f>
        <v/>
      </c>
      <c r="G643" s="7" t="str">
        <f>IF('Port Bloomberg'!G643="","",'Port Bloomberg'!G643)</f>
        <v/>
      </c>
      <c r="H643" s="7" t="str">
        <f>IF('Port Bloomberg'!H643="","",'Port Bloomberg'!H643)</f>
        <v/>
      </c>
      <c r="I643" s="7" t="str">
        <f>IF('Port Bloomberg'!I643="","",'Port Bloomberg'!I643)</f>
        <v/>
      </c>
      <c r="J643" s="7" t="str">
        <f>IF('Port Bloomberg'!J643="","",'Port Bloomberg'!J643)</f>
        <v/>
      </c>
      <c r="K643" s="7" t="str">
        <f>IF('Port Bloomberg'!K643="","",'Port Bloomberg'!K643)</f>
        <v/>
      </c>
      <c r="L643" s="7" t="str">
        <f>IF('Port Bloomberg'!L643="","",'Port Bloomberg'!L643)</f>
        <v/>
      </c>
      <c r="M643" s="7" t="str">
        <f>IF('Port Bloomberg'!M643="","",'Port Bloomberg'!M643)</f>
        <v/>
      </c>
      <c r="N643" s="7" t="str">
        <f>IF('Port Bloomberg'!N643="","",'Port Bloomberg'!N643)</f>
        <v/>
      </c>
      <c r="O643" s="7" t="str">
        <f>IF('Port Bloomberg'!O643="","",'Port Bloomberg'!O643)</f>
        <v/>
      </c>
      <c r="P643" s="7" t="str">
        <f>IF('Port Bloomberg'!P643="","",'Port Bloomberg'!P643)</f>
        <v/>
      </c>
      <c r="Q643" s="7" t="str">
        <f>IF('Port Bloomberg'!Q643="","",'Port Bloomberg'!Q643)</f>
        <v/>
      </c>
      <c r="R643" s="7" t="str">
        <f>IF('Port Bloomberg'!R643="","",'Port Bloomberg'!R643)</f>
        <v/>
      </c>
      <c r="S643" s="5" t="str">
        <f>IF(E643="","",IFERROR(IF(MATCH(E643,[1]Instrumentos!$D:$D,0)&gt;0,1,0),0))</f>
        <v/>
      </c>
      <c r="T643" s="5" t="str">
        <f>IF(E643="","",IFERROR(IF(MATCH(E643,'Lista de excepciones'!$E:$E,0)&gt;0,1,0),0))</f>
        <v/>
      </c>
      <c r="U643" s="6" t="str">
        <f t="shared" ref="U643:U706" si="11">IF(E643="","",IF(S643+T643=0,"AGREGAR/REVISAR","NO"))</f>
        <v/>
      </c>
    </row>
    <row r="644" spans="1:21" hidden="1" x14ac:dyDescent="0.25">
      <c r="A644" s="7" t="str">
        <f>IF('Port Bloomberg'!A644="","",'Port Bloomberg'!A644)</f>
        <v/>
      </c>
      <c r="B644" s="7" t="str">
        <f>IF('Port Bloomberg'!B644="","",'Port Bloomberg'!B644)</f>
        <v/>
      </c>
      <c r="C644" s="7" t="str">
        <f>IF('Port Bloomberg'!C644="","",'Port Bloomberg'!C644)</f>
        <v/>
      </c>
      <c r="D644" s="7" t="str">
        <f>IF('Port Bloomberg'!D644="","",'Port Bloomberg'!D644)</f>
        <v/>
      </c>
      <c r="E644" s="7" t="str">
        <f>IF('Port Bloomberg'!E644="","",'Port Bloomberg'!E644)</f>
        <v/>
      </c>
      <c r="F644" s="7" t="str">
        <f>IF('Port Bloomberg'!F644="","",'Port Bloomberg'!F644)</f>
        <v/>
      </c>
      <c r="G644" s="7" t="str">
        <f>IF('Port Bloomberg'!G644="","",'Port Bloomberg'!G644)</f>
        <v/>
      </c>
      <c r="H644" s="7" t="str">
        <f>IF('Port Bloomberg'!H644="","",'Port Bloomberg'!H644)</f>
        <v/>
      </c>
      <c r="I644" s="7" t="str">
        <f>IF('Port Bloomberg'!I644="","",'Port Bloomberg'!I644)</f>
        <v/>
      </c>
      <c r="J644" s="7" t="str">
        <f>IF('Port Bloomberg'!J644="","",'Port Bloomberg'!J644)</f>
        <v/>
      </c>
      <c r="K644" s="7" t="str">
        <f>IF('Port Bloomberg'!K644="","",'Port Bloomberg'!K644)</f>
        <v/>
      </c>
      <c r="L644" s="7" t="str">
        <f>IF('Port Bloomberg'!L644="","",'Port Bloomberg'!L644)</f>
        <v/>
      </c>
      <c r="M644" s="7" t="str">
        <f>IF('Port Bloomberg'!M644="","",'Port Bloomberg'!M644)</f>
        <v/>
      </c>
      <c r="N644" s="7" t="str">
        <f>IF('Port Bloomberg'!N644="","",'Port Bloomberg'!N644)</f>
        <v/>
      </c>
      <c r="O644" s="7" t="str">
        <f>IF('Port Bloomberg'!O644="","",'Port Bloomberg'!O644)</f>
        <v/>
      </c>
      <c r="P644" s="7" t="str">
        <f>IF('Port Bloomberg'!P644="","",'Port Bloomberg'!P644)</f>
        <v/>
      </c>
      <c r="Q644" s="7" t="str">
        <f>IF('Port Bloomberg'!Q644="","",'Port Bloomberg'!Q644)</f>
        <v/>
      </c>
      <c r="R644" s="7" t="str">
        <f>IF('Port Bloomberg'!R644="","",'Port Bloomberg'!R644)</f>
        <v/>
      </c>
      <c r="S644" s="5" t="str">
        <f>IF(E644="","",IFERROR(IF(MATCH(E644,[1]Instrumentos!$D:$D,0)&gt;0,1,0),0))</f>
        <v/>
      </c>
      <c r="T644" s="5" t="str">
        <f>IF(E644="","",IFERROR(IF(MATCH(E644,'Lista de excepciones'!$E:$E,0)&gt;0,1,0),0))</f>
        <v/>
      </c>
      <c r="U644" s="6" t="str">
        <f t="shared" si="11"/>
        <v/>
      </c>
    </row>
    <row r="645" spans="1:21" hidden="1" x14ac:dyDescent="0.25">
      <c r="A645" s="7" t="str">
        <f>IF('Port Bloomberg'!A645="","",'Port Bloomberg'!A645)</f>
        <v/>
      </c>
      <c r="B645" s="7" t="str">
        <f>IF('Port Bloomberg'!B645="","",'Port Bloomberg'!B645)</f>
        <v/>
      </c>
      <c r="C645" s="7" t="str">
        <f>IF('Port Bloomberg'!C645="","",'Port Bloomberg'!C645)</f>
        <v/>
      </c>
      <c r="D645" s="7" t="str">
        <f>IF('Port Bloomberg'!D645="","",'Port Bloomberg'!D645)</f>
        <v/>
      </c>
      <c r="E645" s="7" t="str">
        <f>IF('Port Bloomberg'!E645="","",'Port Bloomberg'!E645)</f>
        <v/>
      </c>
      <c r="F645" s="7" t="str">
        <f>IF('Port Bloomberg'!F645="","",'Port Bloomberg'!F645)</f>
        <v/>
      </c>
      <c r="G645" s="7" t="str">
        <f>IF('Port Bloomberg'!G645="","",'Port Bloomberg'!G645)</f>
        <v/>
      </c>
      <c r="H645" s="7" t="str">
        <f>IF('Port Bloomberg'!H645="","",'Port Bloomberg'!H645)</f>
        <v/>
      </c>
      <c r="I645" s="7" t="str">
        <f>IF('Port Bloomberg'!I645="","",'Port Bloomberg'!I645)</f>
        <v/>
      </c>
      <c r="J645" s="7" t="str">
        <f>IF('Port Bloomberg'!J645="","",'Port Bloomberg'!J645)</f>
        <v/>
      </c>
      <c r="K645" s="7" t="str">
        <f>IF('Port Bloomberg'!K645="","",'Port Bloomberg'!K645)</f>
        <v/>
      </c>
      <c r="L645" s="7" t="str">
        <f>IF('Port Bloomberg'!L645="","",'Port Bloomberg'!L645)</f>
        <v/>
      </c>
      <c r="M645" s="7" t="str">
        <f>IF('Port Bloomberg'!M645="","",'Port Bloomberg'!M645)</f>
        <v/>
      </c>
      <c r="N645" s="7" t="str">
        <f>IF('Port Bloomberg'!N645="","",'Port Bloomberg'!N645)</f>
        <v/>
      </c>
      <c r="O645" s="7" t="str">
        <f>IF('Port Bloomberg'!O645="","",'Port Bloomberg'!O645)</f>
        <v/>
      </c>
      <c r="P645" s="7" t="str">
        <f>IF('Port Bloomberg'!P645="","",'Port Bloomberg'!P645)</f>
        <v/>
      </c>
      <c r="Q645" s="7" t="str">
        <f>IF('Port Bloomberg'!Q645="","",'Port Bloomberg'!Q645)</f>
        <v/>
      </c>
      <c r="R645" s="7" t="str">
        <f>IF('Port Bloomberg'!R645="","",'Port Bloomberg'!R645)</f>
        <v/>
      </c>
      <c r="S645" s="5" t="str">
        <f>IF(E645="","",IFERROR(IF(MATCH(E645,[1]Instrumentos!$D:$D,0)&gt;0,1,0),0))</f>
        <v/>
      </c>
      <c r="T645" s="5" t="str">
        <f>IF(E645="","",IFERROR(IF(MATCH(E645,'Lista de excepciones'!$E:$E,0)&gt;0,1,0),0))</f>
        <v/>
      </c>
      <c r="U645" s="6" t="str">
        <f t="shared" si="11"/>
        <v/>
      </c>
    </row>
    <row r="646" spans="1:21" hidden="1" x14ac:dyDescent="0.25">
      <c r="A646" s="7" t="str">
        <f>IF('Port Bloomberg'!A646="","",'Port Bloomberg'!A646)</f>
        <v/>
      </c>
      <c r="B646" s="7" t="str">
        <f>IF('Port Bloomberg'!B646="","",'Port Bloomberg'!B646)</f>
        <v/>
      </c>
      <c r="C646" s="7" t="str">
        <f>IF('Port Bloomberg'!C646="","",'Port Bloomberg'!C646)</f>
        <v/>
      </c>
      <c r="D646" s="7" t="str">
        <f>IF('Port Bloomberg'!D646="","",'Port Bloomberg'!D646)</f>
        <v/>
      </c>
      <c r="E646" s="7" t="str">
        <f>IF('Port Bloomberg'!E646="","",'Port Bloomberg'!E646)</f>
        <v/>
      </c>
      <c r="F646" s="7" t="str">
        <f>IF('Port Bloomberg'!F646="","",'Port Bloomberg'!F646)</f>
        <v/>
      </c>
      <c r="G646" s="7" t="str">
        <f>IF('Port Bloomberg'!G646="","",'Port Bloomberg'!G646)</f>
        <v/>
      </c>
      <c r="H646" s="7" t="str">
        <f>IF('Port Bloomberg'!H646="","",'Port Bloomberg'!H646)</f>
        <v/>
      </c>
      <c r="I646" s="7" t="str">
        <f>IF('Port Bloomberg'!I646="","",'Port Bloomberg'!I646)</f>
        <v/>
      </c>
      <c r="J646" s="7" t="str">
        <f>IF('Port Bloomberg'!J646="","",'Port Bloomberg'!J646)</f>
        <v/>
      </c>
      <c r="K646" s="7" t="str">
        <f>IF('Port Bloomberg'!K646="","",'Port Bloomberg'!K646)</f>
        <v/>
      </c>
      <c r="L646" s="7" t="str">
        <f>IF('Port Bloomberg'!L646="","",'Port Bloomberg'!L646)</f>
        <v/>
      </c>
      <c r="M646" s="7" t="str">
        <f>IF('Port Bloomberg'!M646="","",'Port Bloomberg'!M646)</f>
        <v/>
      </c>
      <c r="N646" s="7" t="str">
        <f>IF('Port Bloomberg'!N646="","",'Port Bloomberg'!N646)</f>
        <v/>
      </c>
      <c r="O646" s="7" t="str">
        <f>IF('Port Bloomberg'!O646="","",'Port Bloomberg'!O646)</f>
        <v/>
      </c>
      <c r="P646" s="7" t="str">
        <f>IF('Port Bloomberg'!P646="","",'Port Bloomberg'!P646)</f>
        <v/>
      </c>
      <c r="Q646" s="7" t="str">
        <f>IF('Port Bloomberg'!Q646="","",'Port Bloomberg'!Q646)</f>
        <v/>
      </c>
      <c r="R646" s="7" t="str">
        <f>IF('Port Bloomberg'!R646="","",'Port Bloomberg'!R646)</f>
        <v/>
      </c>
      <c r="S646" s="5" t="str">
        <f>IF(E646="","",IFERROR(IF(MATCH(E646,[1]Instrumentos!$D:$D,0)&gt;0,1,0),0))</f>
        <v/>
      </c>
      <c r="T646" s="5" t="str">
        <f>IF(E646="","",IFERROR(IF(MATCH(E646,'Lista de excepciones'!$E:$E,0)&gt;0,1,0),0))</f>
        <v/>
      </c>
      <c r="U646" s="6" t="str">
        <f t="shared" si="11"/>
        <v/>
      </c>
    </row>
    <row r="647" spans="1:21" hidden="1" x14ac:dyDescent="0.25">
      <c r="A647" s="7" t="str">
        <f>IF('Port Bloomberg'!A647="","",'Port Bloomberg'!A647)</f>
        <v/>
      </c>
      <c r="B647" s="7" t="str">
        <f>IF('Port Bloomberg'!B647="","",'Port Bloomberg'!B647)</f>
        <v/>
      </c>
      <c r="C647" s="7" t="str">
        <f>IF('Port Bloomberg'!C647="","",'Port Bloomberg'!C647)</f>
        <v/>
      </c>
      <c r="D647" s="7" t="str">
        <f>IF('Port Bloomberg'!D647="","",'Port Bloomberg'!D647)</f>
        <v/>
      </c>
      <c r="E647" s="7" t="str">
        <f>IF('Port Bloomberg'!E647="","",'Port Bloomberg'!E647)</f>
        <v/>
      </c>
      <c r="F647" s="7" t="str">
        <f>IF('Port Bloomberg'!F647="","",'Port Bloomberg'!F647)</f>
        <v/>
      </c>
      <c r="G647" s="7" t="str">
        <f>IF('Port Bloomberg'!G647="","",'Port Bloomberg'!G647)</f>
        <v/>
      </c>
      <c r="H647" s="7" t="str">
        <f>IF('Port Bloomberg'!H647="","",'Port Bloomberg'!H647)</f>
        <v/>
      </c>
      <c r="I647" s="7" t="str">
        <f>IF('Port Bloomberg'!I647="","",'Port Bloomberg'!I647)</f>
        <v/>
      </c>
      <c r="J647" s="7" t="str">
        <f>IF('Port Bloomberg'!J647="","",'Port Bloomberg'!J647)</f>
        <v/>
      </c>
      <c r="K647" s="7" t="str">
        <f>IF('Port Bloomberg'!K647="","",'Port Bloomberg'!K647)</f>
        <v/>
      </c>
      <c r="L647" s="7" t="str">
        <f>IF('Port Bloomberg'!L647="","",'Port Bloomberg'!L647)</f>
        <v/>
      </c>
      <c r="M647" s="7" t="str">
        <f>IF('Port Bloomberg'!M647="","",'Port Bloomberg'!M647)</f>
        <v/>
      </c>
      <c r="N647" s="7" t="str">
        <f>IF('Port Bloomberg'!N647="","",'Port Bloomberg'!N647)</f>
        <v/>
      </c>
      <c r="O647" s="7" t="str">
        <f>IF('Port Bloomberg'!O647="","",'Port Bloomberg'!O647)</f>
        <v/>
      </c>
      <c r="P647" s="7" t="str">
        <f>IF('Port Bloomberg'!P647="","",'Port Bloomberg'!P647)</f>
        <v/>
      </c>
      <c r="Q647" s="7" t="str">
        <f>IF('Port Bloomberg'!Q647="","",'Port Bloomberg'!Q647)</f>
        <v/>
      </c>
      <c r="R647" s="7" t="str">
        <f>IF('Port Bloomberg'!R647="","",'Port Bloomberg'!R647)</f>
        <v/>
      </c>
      <c r="S647" s="5" t="str">
        <f>IF(E647="","",IFERROR(IF(MATCH(E647,[1]Instrumentos!$D:$D,0)&gt;0,1,0),0))</f>
        <v/>
      </c>
      <c r="T647" s="5" t="str">
        <f>IF(E647="","",IFERROR(IF(MATCH(E647,'Lista de excepciones'!$E:$E,0)&gt;0,1,0),0))</f>
        <v/>
      </c>
      <c r="U647" s="6" t="str">
        <f t="shared" si="11"/>
        <v/>
      </c>
    </row>
    <row r="648" spans="1:21" hidden="1" x14ac:dyDescent="0.25">
      <c r="A648" s="7" t="str">
        <f>IF('Port Bloomberg'!A648="","",'Port Bloomberg'!A648)</f>
        <v/>
      </c>
      <c r="B648" s="7" t="str">
        <f>IF('Port Bloomberg'!B648="","",'Port Bloomberg'!B648)</f>
        <v/>
      </c>
      <c r="C648" s="7" t="str">
        <f>IF('Port Bloomberg'!C648="","",'Port Bloomberg'!C648)</f>
        <v/>
      </c>
      <c r="D648" s="7" t="str">
        <f>IF('Port Bloomberg'!D648="","",'Port Bloomberg'!D648)</f>
        <v/>
      </c>
      <c r="E648" s="7" t="str">
        <f>IF('Port Bloomberg'!E648="","",'Port Bloomberg'!E648)</f>
        <v/>
      </c>
      <c r="F648" s="7" t="str">
        <f>IF('Port Bloomberg'!F648="","",'Port Bloomberg'!F648)</f>
        <v/>
      </c>
      <c r="G648" s="7" t="str">
        <f>IF('Port Bloomberg'!G648="","",'Port Bloomberg'!G648)</f>
        <v/>
      </c>
      <c r="H648" s="7" t="str">
        <f>IF('Port Bloomberg'!H648="","",'Port Bloomberg'!H648)</f>
        <v/>
      </c>
      <c r="I648" s="7" t="str">
        <f>IF('Port Bloomberg'!I648="","",'Port Bloomberg'!I648)</f>
        <v/>
      </c>
      <c r="J648" s="7" t="str">
        <f>IF('Port Bloomberg'!J648="","",'Port Bloomberg'!J648)</f>
        <v/>
      </c>
      <c r="K648" s="7" t="str">
        <f>IF('Port Bloomberg'!K648="","",'Port Bloomberg'!K648)</f>
        <v/>
      </c>
      <c r="L648" s="7" t="str">
        <f>IF('Port Bloomberg'!L648="","",'Port Bloomberg'!L648)</f>
        <v/>
      </c>
      <c r="M648" s="7" t="str">
        <f>IF('Port Bloomberg'!M648="","",'Port Bloomberg'!M648)</f>
        <v/>
      </c>
      <c r="N648" s="7" t="str">
        <f>IF('Port Bloomberg'!N648="","",'Port Bloomberg'!N648)</f>
        <v/>
      </c>
      <c r="O648" s="7" t="str">
        <f>IF('Port Bloomberg'!O648="","",'Port Bloomberg'!O648)</f>
        <v/>
      </c>
      <c r="P648" s="7" t="str">
        <f>IF('Port Bloomberg'!P648="","",'Port Bloomberg'!P648)</f>
        <v/>
      </c>
      <c r="Q648" s="7" t="str">
        <f>IF('Port Bloomberg'!Q648="","",'Port Bloomberg'!Q648)</f>
        <v/>
      </c>
      <c r="R648" s="7" t="str">
        <f>IF('Port Bloomberg'!R648="","",'Port Bloomberg'!R648)</f>
        <v/>
      </c>
      <c r="S648" s="5" t="str">
        <f>IF(E648="","",IFERROR(IF(MATCH(E648,[1]Instrumentos!$D:$D,0)&gt;0,1,0),0))</f>
        <v/>
      </c>
      <c r="T648" s="5" t="str">
        <f>IF(E648="","",IFERROR(IF(MATCH(E648,'Lista de excepciones'!$E:$E,0)&gt;0,1,0),0))</f>
        <v/>
      </c>
      <c r="U648" s="6" t="str">
        <f t="shared" si="11"/>
        <v/>
      </c>
    </row>
    <row r="649" spans="1:21" hidden="1" x14ac:dyDescent="0.25">
      <c r="A649" s="7" t="str">
        <f>IF('Port Bloomberg'!A649="","",'Port Bloomberg'!A649)</f>
        <v/>
      </c>
      <c r="B649" s="7" t="str">
        <f>IF('Port Bloomberg'!B649="","",'Port Bloomberg'!B649)</f>
        <v/>
      </c>
      <c r="C649" s="7" t="str">
        <f>IF('Port Bloomberg'!C649="","",'Port Bloomberg'!C649)</f>
        <v/>
      </c>
      <c r="D649" s="7" t="str">
        <f>IF('Port Bloomberg'!D649="","",'Port Bloomberg'!D649)</f>
        <v/>
      </c>
      <c r="E649" s="7" t="str">
        <f>IF('Port Bloomberg'!E649="","",'Port Bloomberg'!E649)</f>
        <v/>
      </c>
      <c r="F649" s="7" t="str">
        <f>IF('Port Bloomberg'!F649="","",'Port Bloomberg'!F649)</f>
        <v/>
      </c>
      <c r="G649" s="7" t="str">
        <f>IF('Port Bloomberg'!G649="","",'Port Bloomberg'!G649)</f>
        <v/>
      </c>
      <c r="H649" s="7" t="str">
        <f>IF('Port Bloomberg'!H649="","",'Port Bloomberg'!H649)</f>
        <v/>
      </c>
      <c r="I649" s="7" t="str">
        <f>IF('Port Bloomberg'!I649="","",'Port Bloomberg'!I649)</f>
        <v/>
      </c>
      <c r="J649" s="7" t="str">
        <f>IF('Port Bloomberg'!J649="","",'Port Bloomberg'!J649)</f>
        <v/>
      </c>
      <c r="K649" s="7" t="str">
        <f>IF('Port Bloomberg'!K649="","",'Port Bloomberg'!K649)</f>
        <v/>
      </c>
      <c r="L649" s="7" t="str">
        <f>IF('Port Bloomberg'!L649="","",'Port Bloomberg'!L649)</f>
        <v/>
      </c>
      <c r="M649" s="7" t="str">
        <f>IF('Port Bloomberg'!M649="","",'Port Bloomberg'!M649)</f>
        <v/>
      </c>
      <c r="N649" s="7" t="str">
        <f>IF('Port Bloomberg'!N649="","",'Port Bloomberg'!N649)</f>
        <v/>
      </c>
      <c r="O649" s="7" t="str">
        <f>IF('Port Bloomberg'!O649="","",'Port Bloomberg'!O649)</f>
        <v/>
      </c>
      <c r="P649" s="7" t="str">
        <f>IF('Port Bloomberg'!P649="","",'Port Bloomberg'!P649)</f>
        <v/>
      </c>
      <c r="Q649" s="7" t="str">
        <f>IF('Port Bloomberg'!Q649="","",'Port Bloomberg'!Q649)</f>
        <v/>
      </c>
      <c r="R649" s="7" t="str">
        <f>IF('Port Bloomberg'!R649="","",'Port Bloomberg'!R649)</f>
        <v/>
      </c>
      <c r="S649" s="5" t="str">
        <f>IF(E649="","",IFERROR(IF(MATCH(E649,[1]Instrumentos!$D:$D,0)&gt;0,1,0),0))</f>
        <v/>
      </c>
      <c r="T649" s="5" t="str">
        <f>IF(E649="","",IFERROR(IF(MATCH(E649,'Lista de excepciones'!$E:$E,0)&gt;0,1,0),0))</f>
        <v/>
      </c>
      <c r="U649" s="6" t="str">
        <f t="shared" si="11"/>
        <v/>
      </c>
    </row>
    <row r="650" spans="1:21" hidden="1" x14ac:dyDescent="0.25">
      <c r="A650" s="7" t="str">
        <f>IF('Port Bloomberg'!A650="","",'Port Bloomberg'!A650)</f>
        <v/>
      </c>
      <c r="B650" s="7" t="str">
        <f>IF('Port Bloomberg'!B650="","",'Port Bloomberg'!B650)</f>
        <v/>
      </c>
      <c r="C650" s="7" t="str">
        <f>IF('Port Bloomberg'!C650="","",'Port Bloomberg'!C650)</f>
        <v/>
      </c>
      <c r="D650" s="7" t="str">
        <f>IF('Port Bloomberg'!D650="","",'Port Bloomberg'!D650)</f>
        <v/>
      </c>
      <c r="E650" s="7" t="str">
        <f>IF('Port Bloomberg'!E650="","",'Port Bloomberg'!E650)</f>
        <v/>
      </c>
      <c r="F650" s="7" t="str">
        <f>IF('Port Bloomberg'!F650="","",'Port Bloomberg'!F650)</f>
        <v/>
      </c>
      <c r="G650" s="7" t="str">
        <f>IF('Port Bloomberg'!G650="","",'Port Bloomberg'!G650)</f>
        <v/>
      </c>
      <c r="H650" s="7" t="str">
        <f>IF('Port Bloomberg'!H650="","",'Port Bloomberg'!H650)</f>
        <v/>
      </c>
      <c r="I650" s="7" t="str">
        <f>IF('Port Bloomberg'!I650="","",'Port Bloomberg'!I650)</f>
        <v/>
      </c>
      <c r="J650" s="7" t="str">
        <f>IF('Port Bloomberg'!J650="","",'Port Bloomberg'!J650)</f>
        <v/>
      </c>
      <c r="K650" s="7" t="str">
        <f>IF('Port Bloomberg'!K650="","",'Port Bloomberg'!K650)</f>
        <v/>
      </c>
      <c r="L650" s="7" t="str">
        <f>IF('Port Bloomberg'!L650="","",'Port Bloomberg'!L650)</f>
        <v/>
      </c>
      <c r="M650" s="7" t="str">
        <f>IF('Port Bloomberg'!M650="","",'Port Bloomberg'!M650)</f>
        <v/>
      </c>
      <c r="N650" s="7" t="str">
        <f>IF('Port Bloomberg'!N650="","",'Port Bloomberg'!N650)</f>
        <v/>
      </c>
      <c r="O650" s="7" t="str">
        <f>IF('Port Bloomberg'!O650="","",'Port Bloomberg'!O650)</f>
        <v/>
      </c>
      <c r="P650" s="7" t="str">
        <f>IF('Port Bloomberg'!P650="","",'Port Bloomberg'!P650)</f>
        <v/>
      </c>
      <c r="Q650" s="7" t="str">
        <f>IF('Port Bloomberg'!Q650="","",'Port Bloomberg'!Q650)</f>
        <v/>
      </c>
      <c r="R650" s="7" t="str">
        <f>IF('Port Bloomberg'!R650="","",'Port Bloomberg'!R650)</f>
        <v/>
      </c>
      <c r="S650" s="5" t="str">
        <f>IF(E650="","",IFERROR(IF(MATCH(E650,[1]Instrumentos!$D:$D,0)&gt;0,1,0),0))</f>
        <v/>
      </c>
      <c r="T650" s="5" t="str">
        <f>IF(E650="","",IFERROR(IF(MATCH(E650,'Lista de excepciones'!$E:$E,0)&gt;0,1,0),0))</f>
        <v/>
      </c>
      <c r="U650" s="6" t="str">
        <f t="shared" si="11"/>
        <v/>
      </c>
    </row>
    <row r="651" spans="1:21" hidden="1" x14ac:dyDescent="0.25">
      <c r="A651" s="7" t="str">
        <f>IF('Port Bloomberg'!A651="","",'Port Bloomberg'!A651)</f>
        <v/>
      </c>
      <c r="B651" s="7" t="str">
        <f>IF('Port Bloomberg'!B651="","",'Port Bloomberg'!B651)</f>
        <v/>
      </c>
      <c r="C651" s="7" t="str">
        <f>IF('Port Bloomberg'!C651="","",'Port Bloomberg'!C651)</f>
        <v/>
      </c>
      <c r="D651" s="7" t="str">
        <f>IF('Port Bloomberg'!D651="","",'Port Bloomberg'!D651)</f>
        <v/>
      </c>
      <c r="E651" s="7" t="str">
        <f>IF('Port Bloomberg'!E651="","",'Port Bloomberg'!E651)</f>
        <v/>
      </c>
      <c r="F651" s="7" t="str">
        <f>IF('Port Bloomberg'!F651="","",'Port Bloomberg'!F651)</f>
        <v/>
      </c>
      <c r="G651" s="7" t="str">
        <f>IF('Port Bloomberg'!G651="","",'Port Bloomberg'!G651)</f>
        <v/>
      </c>
      <c r="H651" s="7" t="str">
        <f>IF('Port Bloomberg'!H651="","",'Port Bloomberg'!H651)</f>
        <v/>
      </c>
      <c r="I651" s="7" t="str">
        <f>IF('Port Bloomberg'!I651="","",'Port Bloomberg'!I651)</f>
        <v/>
      </c>
      <c r="J651" s="7" t="str">
        <f>IF('Port Bloomberg'!J651="","",'Port Bloomberg'!J651)</f>
        <v/>
      </c>
      <c r="K651" s="7" t="str">
        <f>IF('Port Bloomberg'!K651="","",'Port Bloomberg'!K651)</f>
        <v/>
      </c>
      <c r="L651" s="7" t="str">
        <f>IF('Port Bloomberg'!L651="","",'Port Bloomberg'!L651)</f>
        <v/>
      </c>
      <c r="M651" s="7" t="str">
        <f>IF('Port Bloomberg'!M651="","",'Port Bloomberg'!M651)</f>
        <v/>
      </c>
      <c r="N651" s="7" t="str">
        <f>IF('Port Bloomberg'!N651="","",'Port Bloomberg'!N651)</f>
        <v/>
      </c>
      <c r="O651" s="7" t="str">
        <f>IF('Port Bloomberg'!O651="","",'Port Bloomberg'!O651)</f>
        <v/>
      </c>
      <c r="P651" s="7" t="str">
        <f>IF('Port Bloomberg'!P651="","",'Port Bloomberg'!P651)</f>
        <v/>
      </c>
      <c r="Q651" s="7" t="str">
        <f>IF('Port Bloomberg'!Q651="","",'Port Bloomberg'!Q651)</f>
        <v/>
      </c>
      <c r="R651" s="7" t="str">
        <f>IF('Port Bloomberg'!R651="","",'Port Bloomberg'!R651)</f>
        <v/>
      </c>
      <c r="S651" s="5" t="str">
        <f>IF(E651="","",IFERROR(IF(MATCH(E651,[1]Instrumentos!$D:$D,0)&gt;0,1,0),0))</f>
        <v/>
      </c>
      <c r="T651" s="5" t="str">
        <f>IF(E651="","",IFERROR(IF(MATCH(E651,'Lista de excepciones'!$E:$E,0)&gt;0,1,0),0))</f>
        <v/>
      </c>
      <c r="U651" s="6" t="str">
        <f t="shared" si="11"/>
        <v/>
      </c>
    </row>
    <row r="652" spans="1:21" hidden="1" x14ac:dyDescent="0.25">
      <c r="A652" s="7" t="str">
        <f>IF('Port Bloomberg'!A652="","",'Port Bloomberg'!A652)</f>
        <v/>
      </c>
      <c r="B652" s="7" t="str">
        <f>IF('Port Bloomberg'!B652="","",'Port Bloomberg'!B652)</f>
        <v/>
      </c>
      <c r="C652" s="7" t="str">
        <f>IF('Port Bloomberg'!C652="","",'Port Bloomberg'!C652)</f>
        <v/>
      </c>
      <c r="D652" s="7" t="str">
        <f>IF('Port Bloomberg'!D652="","",'Port Bloomberg'!D652)</f>
        <v/>
      </c>
      <c r="E652" s="7" t="str">
        <f>IF('Port Bloomberg'!E652="","",'Port Bloomberg'!E652)</f>
        <v/>
      </c>
      <c r="F652" s="7" t="str">
        <f>IF('Port Bloomberg'!F652="","",'Port Bloomberg'!F652)</f>
        <v/>
      </c>
      <c r="G652" s="7" t="str">
        <f>IF('Port Bloomberg'!G652="","",'Port Bloomberg'!G652)</f>
        <v/>
      </c>
      <c r="H652" s="7" t="str">
        <f>IF('Port Bloomberg'!H652="","",'Port Bloomberg'!H652)</f>
        <v/>
      </c>
      <c r="I652" s="7" t="str">
        <f>IF('Port Bloomberg'!I652="","",'Port Bloomberg'!I652)</f>
        <v/>
      </c>
      <c r="J652" s="7" t="str">
        <f>IF('Port Bloomberg'!J652="","",'Port Bloomberg'!J652)</f>
        <v/>
      </c>
      <c r="K652" s="7" t="str">
        <f>IF('Port Bloomberg'!K652="","",'Port Bloomberg'!K652)</f>
        <v/>
      </c>
      <c r="L652" s="7" t="str">
        <f>IF('Port Bloomberg'!L652="","",'Port Bloomberg'!L652)</f>
        <v/>
      </c>
      <c r="M652" s="7" t="str">
        <f>IF('Port Bloomberg'!M652="","",'Port Bloomberg'!M652)</f>
        <v/>
      </c>
      <c r="N652" s="7" t="str">
        <f>IF('Port Bloomberg'!N652="","",'Port Bloomberg'!N652)</f>
        <v/>
      </c>
      <c r="O652" s="7" t="str">
        <f>IF('Port Bloomberg'!O652="","",'Port Bloomberg'!O652)</f>
        <v/>
      </c>
      <c r="P652" s="7" t="str">
        <f>IF('Port Bloomberg'!P652="","",'Port Bloomberg'!P652)</f>
        <v/>
      </c>
      <c r="Q652" s="7" t="str">
        <f>IF('Port Bloomberg'!Q652="","",'Port Bloomberg'!Q652)</f>
        <v/>
      </c>
      <c r="R652" s="7" t="str">
        <f>IF('Port Bloomberg'!R652="","",'Port Bloomberg'!R652)</f>
        <v/>
      </c>
      <c r="S652" s="5" t="str">
        <f>IF(E652="","",IFERROR(IF(MATCH(E652,[1]Instrumentos!$D:$D,0)&gt;0,1,0),0))</f>
        <v/>
      </c>
      <c r="T652" s="5" t="str">
        <f>IF(E652="","",IFERROR(IF(MATCH(E652,'Lista de excepciones'!$E:$E,0)&gt;0,1,0),0))</f>
        <v/>
      </c>
      <c r="U652" s="6" t="str">
        <f t="shared" si="11"/>
        <v/>
      </c>
    </row>
    <row r="653" spans="1:21" hidden="1" x14ac:dyDescent="0.25">
      <c r="A653" s="7" t="str">
        <f>IF('Port Bloomberg'!A653="","",'Port Bloomberg'!A653)</f>
        <v/>
      </c>
      <c r="B653" s="7" t="str">
        <f>IF('Port Bloomberg'!B653="","",'Port Bloomberg'!B653)</f>
        <v/>
      </c>
      <c r="C653" s="7" t="str">
        <f>IF('Port Bloomberg'!C653="","",'Port Bloomberg'!C653)</f>
        <v/>
      </c>
      <c r="D653" s="7" t="str">
        <f>IF('Port Bloomberg'!D653="","",'Port Bloomberg'!D653)</f>
        <v/>
      </c>
      <c r="E653" s="7" t="str">
        <f>IF('Port Bloomberg'!E653="","",'Port Bloomberg'!E653)</f>
        <v/>
      </c>
      <c r="F653" s="7" t="str">
        <f>IF('Port Bloomberg'!F653="","",'Port Bloomberg'!F653)</f>
        <v/>
      </c>
      <c r="G653" s="7" t="str">
        <f>IF('Port Bloomberg'!G653="","",'Port Bloomberg'!G653)</f>
        <v/>
      </c>
      <c r="H653" s="7" t="str">
        <f>IF('Port Bloomberg'!H653="","",'Port Bloomberg'!H653)</f>
        <v/>
      </c>
      <c r="I653" s="7" t="str">
        <f>IF('Port Bloomberg'!I653="","",'Port Bloomberg'!I653)</f>
        <v/>
      </c>
      <c r="J653" s="7" t="str">
        <f>IF('Port Bloomberg'!J653="","",'Port Bloomberg'!J653)</f>
        <v/>
      </c>
      <c r="K653" s="7" t="str">
        <f>IF('Port Bloomberg'!K653="","",'Port Bloomberg'!K653)</f>
        <v/>
      </c>
      <c r="L653" s="7" t="str">
        <f>IF('Port Bloomberg'!L653="","",'Port Bloomberg'!L653)</f>
        <v/>
      </c>
      <c r="M653" s="7" t="str">
        <f>IF('Port Bloomberg'!M653="","",'Port Bloomberg'!M653)</f>
        <v/>
      </c>
      <c r="N653" s="7" t="str">
        <f>IF('Port Bloomberg'!N653="","",'Port Bloomberg'!N653)</f>
        <v/>
      </c>
      <c r="O653" s="7" t="str">
        <f>IF('Port Bloomberg'!O653="","",'Port Bloomberg'!O653)</f>
        <v/>
      </c>
      <c r="P653" s="7" t="str">
        <f>IF('Port Bloomberg'!P653="","",'Port Bloomberg'!P653)</f>
        <v/>
      </c>
      <c r="Q653" s="7" t="str">
        <f>IF('Port Bloomberg'!Q653="","",'Port Bloomberg'!Q653)</f>
        <v/>
      </c>
      <c r="R653" s="7" t="str">
        <f>IF('Port Bloomberg'!R653="","",'Port Bloomberg'!R653)</f>
        <v/>
      </c>
      <c r="S653" s="5" t="str">
        <f>IF(E653="","",IFERROR(IF(MATCH(E653,[1]Instrumentos!$D:$D,0)&gt;0,1,0),0))</f>
        <v/>
      </c>
      <c r="T653" s="5" t="str">
        <f>IF(E653="","",IFERROR(IF(MATCH(E653,'Lista de excepciones'!$E:$E,0)&gt;0,1,0),0))</f>
        <v/>
      </c>
      <c r="U653" s="6" t="str">
        <f t="shared" si="11"/>
        <v/>
      </c>
    </row>
    <row r="654" spans="1:21" hidden="1" x14ac:dyDescent="0.25">
      <c r="A654" s="7" t="str">
        <f>IF('Port Bloomberg'!A654="","",'Port Bloomberg'!A654)</f>
        <v/>
      </c>
      <c r="B654" s="7" t="str">
        <f>IF('Port Bloomberg'!B654="","",'Port Bloomberg'!B654)</f>
        <v/>
      </c>
      <c r="C654" s="7" t="str">
        <f>IF('Port Bloomberg'!C654="","",'Port Bloomberg'!C654)</f>
        <v/>
      </c>
      <c r="D654" s="7" t="str">
        <f>IF('Port Bloomberg'!D654="","",'Port Bloomberg'!D654)</f>
        <v/>
      </c>
      <c r="E654" s="7" t="str">
        <f>IF('Port Bloomberg'!E654="","",'Port Bloomberg'!E654)</f>
        <v/>
      </c>
      <c r="F654" s="7" t="str">
        <f>IF('Port Bloomberg'!F654="","",'Port Bloomberg'!F654)</f>
        <v/>
      </c>
      <c r="G654" s="7" t="str">
        <f>IF('Port Bloomberg'!G654="","",'Port Bloomberg'!G654)</f>
        <v/>
      </c>
      <c r="H654" s="7" t="str">
        <f>IF('Port Bloomberg'!H654="","",'Port Bloomberg'!H654)</f>
        <v/>
      </c>
      <c r="I654" s="7" t="str">
        <f>IF('Port Bloomberg'!I654="","",'Port Bloomberg'!I654)</f>
        <v/>
      </c>
      <c r="J654" s="7" t="str">
        <f>IF('Port Bloomberg'!J654="","",'Port Bloomberg'!J654)</f>
        <v/>
      </c>
      <c r="K654" s="7" t="str">
        <f>IF('Port Bloomberg'!K654="","",'Port Bloomberg'!K654)</f>
        <v/>
      </c>
      <c r="L654" s="7" t="str">
        <f>IF('Port Bloomberg'!L654="","",'Port Bloomberg'!L654)</f>
        <v/>
      </c>
      <c r="M654" s="7" t="str">
        <f>IF('Port Bloomberg'!M654="","",'Port Bloomberg'!M654)</f>
        <v/>
      </c>
      <c r="N654" s="7" t="str">
        <f>IF('Port Bloomberg'!N654="","",'Port Bloomberg'!N654)</f>
        <v/>
      </c>
      <c r="O654" s="7" t="str">
        <f>IF('Port Bloomberg'!O654="","",'Port Bloomberg'!O654)</f>
        <v/>
      </c>
      <c r="P654" s="7" t="str">
        <f>IF('Port Bloomberg'!P654="","",'Port Bloomberg'!P654)</f>
        <v/>
      </c>
      <c r="Q654" s="7" t="str">
        <f>IF('Port Bloomberg'!Q654="","",'Port Bloomberg'!Q654)</f>
        <v/>
      </c>
      <c r="R654" s="7" t="str">
        <f>IF('Port Bloomberg'!R654="","",'Port Bloomberg'!R654)</f>
        <v/>
      </c>
      <c r="S654" s="5" t="str">
        <f>IF(E654="","",IFERROR(IF(MATCH(E654,[1]Instrumentos!$D:$D,0)&gt;0,1,0),0))</f>
        <v/>
      </c>
      <c r="T654" s="5" t="str">
        <f>IF(E654="","",IFERROR(IF(MATCH(E654,'Lista de excepciones'!$E:$E,0)&gt;0,1,0),0))</f>
        <v/>
      </c>
      <c r="U654" s="6" t="str">
        <f t="shared" si="11"/>
        <v/>
      </c>
    </row>
    <row r="655" spans="1:21" hidden="1" x14ac:dyDescent="0.25">
      <c r="A655" s="7" t="str">
        <f>IF('Port Bloomberg'!A655="","",'Port Bloomberg'!A655)</f>
        <v/>
      </c>
      <c r="B655" s="7" t="str">
        <f>IF('Port Bloomberg'!B655="","",'Port Bloomberg'!B655)</f>
        <v/>
      </c>
      <c r="C655" s="7" t="str">
        <f>IF('Port Bloomberg'!C655="","",'Port Bloomberg'!C655)</f>
        <v/>
      </c>
      <c r="D655" s="7" t="str">
        <f>IF('Port Bloomberg'!D655="","",'Port Bloomberg'!D655)</f>
        <v/>
      </c>
      <c r="E655" s="7" t="str">
        <f>IF('Port Bloomberg'!E655="","",'Port Bloomberg'!E655)</f>
        <v/>
      </c>
      <c r="F655" s="7" t="str">
        <f>IF('Port Bloomberg'!F655="","",'Port Bloomberg'!F655)</f>
        <v/>
      </c>
      <c r="G655" s="7" t="str">
        <f>IF('Port Bloomberg'!G655="","",'Port Bloomberg'!G655)</f>
        <v/>
      </c>
      <c r="H655" s="7" t="str">
        <f>IF('Port Bloomberg'!H655="","",'Port Bloomberg'!H655)</f>
        <v/>
      </c>
      <c r="I655" s="7" t="str">
        <f>IF('Port Bloomberg'!I655="","",'Port Bloomberg'!I655)</f>
        <v/>
      </c>
      <c r="J655" s="7" t="str">
        <f>IF('Port Bloomberg'!J655="","",'Port Bloomberg'!J655)</f>
        <v/>
      </c>
      <c r="K655" s="7" t="str">
        <f>IF('Port Bloomberg'!K655="","",'Port Bloomberg'!K655)</f>
        <v/>
      </c>
      <c r="L655" s="7" t="str">
        <f>IF('Port Bloomberg'!L655="","",'Port Bloomberg'!L655)</f>
        <v/>
      </c>
      <c r="M655" s="7" t="str">
        <f>IF('Port Bloomberg'!M655="","",'Port Bloomberg'!M655)</f>
        <v/>
      </c>
      <c r="N655" s="7" t="str">
        <f>IF('Port Bloomberg'!N655="","",'Port Bloomberg'!N655)</f>
        <v/>
      </c>
      <c r="O655" s="7" t="str">
        <f>IF('Port Bloomberg'!O655="","",'Port Bloomberg'!O655)</f>
        <v/>
      </c>
      <c r="P655" s="7" t="str">
        <f>IF('Port Bloomberg'!P655="","",'Port Bloomberg'!P655)</f>
        <v/>
      </c>
      <c r="Q655" s="7" t="str">
        <f>IF('Port Bloomberg'!Q655="","",'Port Bloomberg'!Q655)</f>
        <v/>
      </c>
      <c r="R655" s="7" t="str">
        <f>IF('Port Bloomberg'!R655="","",'Port Bloomberg'!R655)</f>
        <v/>
      </c>
      <c r="S655" s="5" t="str">
        <f>IF(E655="","",IFERROR(IF(MATCH(E655,[1]Instrumentos!$D:$D,0)&gt;0,1,0),0))</f>
        <v/>
      </c>
      <c r="T655" s="5" t="str">
        <f>IF(E655="","",IFERROR(IF(MATCH(E655,'Lista de excepciones'!$E:$E,0)&gt;0,1,0),0))</f>
        <v/>
      </c>
      <c r="U655" s="6" t="str">
        <f t="shared" si="11"/>
        <v/>
      </c>
    </row>
    <row r="656" spans="1:21" hidden="1" x14ac:dyDescent="0.25">
      <c r="A656" s="7" t="str">
        <f>IF('Port Bloomberg'!A656="","",'Port Bloomberg'!A656)</f>
        <v/>
      </c>
      <c r="B656" s="7" t="str">
        <f>IF('Port Bloomberg'!B656="","",'Port Bloomberg'!B656)</f>
        <v/>
      </c>
      <c r="C656" s="7" t="str">
        <f>IF('Port Bloomberg'!C656="","",'Port Bloomberg'!C656)</f>
        <v/>
      </c>
      <c r="D656" s="7" t="str">
        <f>IF('Port Bloomberg'!D656="","",'Port Bloomberg'!D656)</f>
        <v/>
      </c>
      <c r="E656" s="7" t="str">
        <f>IF('Port Bloomberg'!E656="","",'Port Bloomberg'!E656)</f>
        <v/>
      </c>
      <c r="F656" s="7" t="str">
        <f>IF('Port Bloomberg'!F656="","",'Port Bloomberg'!F656)</f>
        <v/>
      </c>
      <c r="G656" s="7" t="str">
        <f>IF('Port Bloomberg'!G656="","",'Port Bloomberg'!G656)</f>
        <v/>
      </c>
      <c r="H656" s="7" t="str">
        <f>IF('Port Bloomberg'!H656="","",'Port Bloomberg'!H656)</f>
        <v/>
      </c>
      <c r="I656" s="7" t="str">
        <f>IF('Port Bloomberg'!I656="","",'Port Bloomberg'!I656)</f>
        <v/>
      </c>
      <c r="J656" s="7" t="str">
        <f>IF('Port Bloomberg'!J656="","",'Port Bloomberg'!J656)</f>
        <v/>
      </c>
      <c r="K656" s="7" t="str">
        <f>IF('Port Bloomberg'!K656="","",'Port Bloomberg'!K656)</f>
        <v/>
      </c>
      <c r="L656" s="7" t="str">
        <f>IF('Port Bloomberg'!L656="","",'Port Bloomberg'!L656)</f>
        <v/>
      </c>
      <c r="M656" s="7" t="str">
        <f>IF('Port Bloomberg'!M656="","",'Port Bloomberg'!M656)</f>
        <v/>
      </c>
      <c r="N656" s="7" t="str">
        <f>IF('Port Bloomberg'!N656="","",'Port Bloomberg'!N656)</f>
        <v/>
      </c>
      <c r="O656" s="7" t="str">
        <f>IF('Port Bloomberg'!O656="","",'Port Bloomberg'!O656)</f>
        <v/>
      </c>
      <c r="P656" s="7" t="str">
        <f>IF('Port Bloomberg'!P656="","",'Port Bloomberg'!P656)</f>
        <v/>
      </c>
      <c r="Q656" s="7" t="str">
        <f>IF('Port Bloomberg'!Q656="","",'Port Bloomberg'!Q656)</f>
        <v/>
      </c>
      <c r="R656" s="7" t="str">
        <f>IF('Port Bloomberg'!R656="","",'Port Bloomberg'!R656)</f>
        <v/>
      </c>
      <c r="S656" s="5" t="str">
        <f>IF(E656="","",IFERROR(IF(MATCH(E656,[1]Instrumentos!$D:$D,0)&gt;0,1,0),0))</f>
        <v/>
      </c>
      <c r="T656" s="5" t="str">
        <f>IF(E656="","",IFERROR(IF(MATCH(E656,'Lista de excepciones'!$E:$E,0)&gt;0,1,0),0))</f>
        <v/>
      </c>
      <c r="U656" s="6" t="str">
        <f t="shared" si="11"/>
        <v/>
      </c>
    </row>
    <row r="657" spans="1:21" hidden="1" x14ac:dyDescent="0.25">
      <c r="A657" s="7" t="str">
        <f>IF('Port Bloomberg'!A657="","",'Port Bloomberg'!A657)</f>
        <v/>
      </c>
      <c r="B657" s="7" t="str">
        <f>IF('Port Bloomberg'!B657="","",'Port Bloomberg'!B657)</f>
        <v/>
      </c>
      <c r="C657" s="7" t="str">
        <f>IF('Port Bloomberg'!C657="","",'Port Bloomberg'!C657)</f>
        <v/>
      </c>
      <c r="D657" s="7" t="str">
        <f>IF('Port Bloomberg'!D657="","",'Port Bloomberg'!D657)</f>
        <v/>
      </c>
      <c r="E657" s="7" t="str">
        <f>IF('Port Bloomberg'!E657="","",'Port Bloomberg'!E657)</f>
        <v/>
      </c>
      <c r="F657" s="7" t="str">
        <f>IF('Port Bloomberg'!F657="","",'Port Bloomberg'!F657)</f>
        <v/>
      </c>
      <c r="G657" s="7" t="str">
        <f>IF('Port Bloomberg'!G657="","",'Port Bloomberg'!G657)</f>
        <v/>
      </c>
      <c r="H657" s="7" t="str">
        <f>IF('Port Bloomberg'!H657="","",'Port Bloomberg'!H657)</f>
        <v/>
      </c>
      <c r="I657" s="7" t="str">
        <f>IF('Port Bloomberg'!I657="","",'Port Bloomberg'!I657)</f>
        <v/>
      </c>
      <c r="J657" s="7" t="str">
        <f>IF('Port Bloomberg'!J657="","",'Port Bloomberg'!J657)</f>
        <v/>
      </c>
      <c r="K657" s="7" t="str">
        <f>IF('Port Bloomberg'!K657="","",'Port Bloomberg'!K657)</f>
        <v/>
      </c>
      <c r="L657" s="7" t="str">
        <f>IF('Port Bloomberg'!L657="","",'Port Bloomberg'!L657)</f>
        <v/>
      </c>
      <c r="M657" s="7" t="str">
        <f>IF('Port Bloomberg'!M657="","",'Port Bloomberg'!M657)</f>
        <v/>
      </c>
      <c r="N657" s="7" t="str">
        <f>IF('Port Bloomberg'!N657="","",'Port Bloomberg'!N657)</f>
        <v/>
      </c>
      <c r="O657" s="7" t="str">
        <f>IF('Port Bloomberg'!O657="","",'Port Bloomberg'!O657)</f>
        <v/>
      </c>
      <c r="P657" s="7" t="str">
        <f>IF('Port Bloomberg'!P657="","",'Port Bloomberg'!P657)</f>
        <v/>
      </c>
      <c r="Q657" s="7" t="str">
        <f>IF('Port Bloomberg'!Q657="","",'Port Bloomberg'!Q657)</f>
        <v/>
      </c>
      <c r="R657" s="7" t="str">
        <f>IF('Port Bloomberg'!R657="","",'Port Bloomberg'!R657)</f>
        <v/>
      </c>
      <c r="S657" s="5" t="str">
        <f>IF(E657="","",IFERROR(IF(MATCH(E657,[1]Instrumentos!$D:$D,0)&gt;0,1,0),0))</f>
        <v/>
      </c>
      <c r="T657" s="5" t="str">
        <f>IF(E657="","",IFERROR(IF(MATCH(E657,'Lista de excepciones'!$E:$E,0)&gt;0,1,0),0))</f>
        <v/>
      </c>
      <c r="U657" s="6" t="str">
        <f t="shared" si="11"/>
        <v/>
      </c>
    </row>
    <row r="658" spans="1:21" hidden="1" x14ac:dyDescent="0.25">
      <c r="A658" s="7" t="str">
        <f>IF('Port Bloomberg'!A658="","",'Port Bloomberg'!A658)</f>
        <v/>
      </c>
      <c r="B658" s="7" t="str">
        <f>IF('Port Bloomberg'!B658="","",'Port Bloomberg'!B658)</f>
        <v/>
      </c>
      <c r="C658" s="7" t="str">
        <f>IF('Port Bloomberg'!C658="","",'Port Bloomberg'!C658)</f>
        <v/>
      </c>
      <c r="D658" s="7" t="str">
        <f>IF('Port Bloomberg'!D658="","",'Port Bloomberg'!D658)</f>
        <v/>
      </c>
      <c r="E658" s="7" t="str">
        <f>IF('Port Bloomberg'!E658="","",'Port Bloomberg'!E658)</f>
        <v/>
      </c>
      <c r="F658" s="7" t="str">
        <f>IF('Port Bloomberg'!F658="","",'Port Bloomberg'!F658)</f>
        <v/>
      </c>
      <c r="G658" s="7" t="str">
        <f>IF('Port Bloomberg'!G658="","",'Port Bloomberg'!G658)</f>
        <v/>
      </c>
      <c r="H658" s="7" t="str">
        <f>IF('Port Bloomberg'!H658="","",'Port Bloomberg'!H658)</f>
        <v/>
      </c>
      <c r="I658" s="7" t="str">
        <f>IF('Port Bloomberg'!I658="","",'Port Bloomberg'!I658)</f>
        <v/>
      </c>
      <c r="J658" s="7" t="str">
        <f>IF('Port Bloomberg'!J658="","",'Port Bloomberg'!J658)</f>
        <v/>
      </c>
      <c r="K658" s="7" t="str">
        <f>IF('Port Bloomberg'!K658="","",'Port Bloomberg'!K658)</f>
        <v/>
      </c>
      <c r="L658" s="7" t="str">
        <f>IF('Port Bloomberg'!L658="","",'Port Bloomberg'!L658)</f>
        <v/>
      </c>
      <c r="M658" s="7" t="str">
        <f>IF('Port Bloomberg'!M658="","",'Port Bloomberg'!M658)</f>
        <v/>
      </c>
      <c r="N658" s="7" t="str">
        <f>IF('Port Bloomberg'!N658="","",'Port Bloomberg'!N658)</f>
        <v/>
      </c>
      <c r="O658" s="7" t="str">
        <f>IF('Port Bloomberg'!O658="","",'Port Bloomberg'!O658)</f>
        <v/>
      </c>
      <c r="P658" s="7" t="str">
        <f>IF('Port Bloomberg'!P658="","",'Port Bloomberg'!P658)</f>
        <v/>
      </c>
      <c r="Q658" s="7" t="str">
        <f>IF('Port Bloomberg'!Q658="","",'Port Bloomberg'!Q658)</f>
        <v/>
      </c>
      <c r="R658" s="7" t="str">
        <f>IF('Port Bloomberg'!R658="","",'Port Bloomberg'!R658)</f>
        <v/>
      </c>
      <c r="S658" s="5" t="str">
        <f>IF(E658="","",IFERROR(IF(MATCH(E658,[1]Instrumentos!$D:$D,0)&gt;0,1,0),0))</f>
        <v/>
      </c>
      <c r="T658" s="5" t="str">
        <f>IF(E658="","",IFERROR(IF(MATCH(E658,'Lista de excepciones'!$E:$E,0)&gt;0,1,0),0))</f>
        <v/>
      </c>
      <c r="U658" s="6" t="str">
        <f t="shared" si="11"/>
        <v/>
      </c>
    </row>
    <row r="659" spans="1:21" hidden="1" x14ac:dyDescent="0.25">
      <c r="A659" s="7" t="str">
        <f>IF('Port Bloomberg'!A659="","",'Port Bloomberg'!A659)</f>
        <v/>
      </c>
      <c r="B659" s="7" t="str">
        <f>IF('Port Bloomberg'!B659="","",'Port Bloomberg'!B659)</f>
        <v/>
      </c>
      <c r="C659" s="7" t="str">
        <f>IF('Port Bloomberg'!C659="","",'Port Bloomberg'!C659)</f>
        <v/>
      </c>
      <c r="D659" s="7" t="str">
        <f>IF('Port Bloomberg'!D659="","",'Port Bloomberg'!D659)</f>
        <v/>
      </c>
      <c r="E659" s="7" t="str">
        <f>IF('Port Bloomberg'!E659="","",'Port Bloomberg'!E659)</f>
        <v/>
      </c>
      <c r="F659" s="7" t="str">
        <f>IF('Port Bloomberg'!F659="","",'Port Bloomberg'!F659)</f>
        <v/>
      </c>
      <c r="G659" s="7" t="str">
        <f>IF('Port Bloomberg'!G659="","",'Port Bloomberg'!G659)</f>
        <v/>
      </c>
      <c r="H659" s="7" t="str">
        <f>IF('Port Bloomberg'!H659="","",'Port Bloomberg'!H659)</f>
        <v/>
      </c>
      <c r="I659" s="7" t="str">
        <f>IF('Port Bloomberg'!I659="","",'Port Bloomberg'!I659)</f>
        <v/>
      </c>
      <c r="J659" s="7" t="str">
        <f>IF('Port Bloomberg'!J659="","",'Port Bloomberg'!J659)</f>
        <v/>
      </c>
      <c r="K659" s="7" t="str">
        <f>IF('Port Bloomberg'!K659="","",'Port Bloomberg'!K659)</f>
        <v/>
      </c>
      <c r="L659" s="7" t="str">
        <f>IF('Port Bloomberg'!L659="","",'Port Bloomberg'!L659)</f>
        <v/>
      </c>
      <c r="M659" s="7" t="str">
        <f>IF('Port Bloomberg'!M659="","",'Port Bloomberg'!M659)</f>
        <v/>
      </c>
      <c r="N659" s="7" t="str">
        <f>IF('Port Bloomberg'!N659="","",'Port Bloomberg'!N659)</f>
        <v/>
      </c>
      <c r="O659" s="7" t="str">
        <f>IF('Port Bloomberg'!O659="","",'Port Bloomberg'!O659)</f>
        <v/>
      </c>
      <c r="P659" s="7" t="str">
        <f>IF('Port Bloomberg'!P659="","",'Port Bloomberg'!P659)</f>
        <v/>
      </c>
      <c r="Q659" s="7" t="str">
        <f>IF('Port Bloomberg'!Q659="","",'Port Bloomberg'!Q659)</f>
        <v/>
      </c>
      <c r="R659" s="7" t="str">
        <f>IF('Port Bloomberg'!R659="","",'Port Bloomberg'!R659)</f>
        <v/>
      </c>
      <c r="S659" s="5" t="str">
        <f>IF(E659="","",IFERROR(IF(MATCH(E659,[1]Instrumentos!$D:$D,0)&gt;0,1,0),0))</f>
        <v/>
      </c>
      <c r="T659" s="5" t="str">
        <f>IF(E659="","",IFERROR(IF(MATCH(E659,'Lista de excepciones'!$E:$E,0)&gt;0,1,0),0))</f>
        <v/>
      </c>
      <c r="U659" s="6" t="str">
        <f t="shared" si="11"/>
        <v/>
      </c>
    </row>
    <row r="660" spans="1:21" hidden="1" x14ac:dyDescent="0.25">
      <c r="A660" s="7" t="str">
        <f>IF('Port Bloomberg'!A660="","",'Port Bloomberg'!A660)</f>
        <v/>
      </c>
      <c r="B660" s="7" t="str">
        <f>IF('Port Bloomberg'!B660="","",'Port Bloomberg'!B660)</f>
        <v/>
      </c>
      <c r="C660" s="7" t="str">
        <f>IF('Port Bloomberg'!C660="","",'Port Bloomberg'!C660)</f>
        <v/>
      </c>
      <c r="D660" s="7" t="str">
        <f>IF('Port Bloomberg'!D660="","",'Port Bloomberg'!D660)</f>
        <v/>
      </c>
      <c r="E660" s="7" t="str">
        <f>IF('Port Bloomberg'!E660="","",'Port Bloomberg'!E660)</f>
        <v/>
      </c>
      <c r="F660" s="7" t="str">
        <f>IF('Port Bloomberg'!F660="","",'Port Bloomberg'!F660)</f>
        <v/>
      </c>
      <c r="G660" s="7" t="str">
        <f>IF('Port Bloomberg'!G660="","",'Port Bloomberg'!G660)</f>
        <v/>
      </c>
      <c r="H660" s="7" t="str">
        <f>IF('Port Bloomberg'!H660="","",'Port Bloomberg'!H660)</f>
        <v/>
      </c>
      <c r="I660" s="7" t="str">
        <f>IF('Port Bloomberg'!I660="","",'Port Bloomberg'!I660)</f>
        <v/>
      </c>
      <c r="J660" s="7" t="str">
        <f>IF('Port Bloomberg'!J660="","",'Port Bloomberg'!J660)</f>
        <v/>
      </c>
      <c r="K660" s="7" t="str">
        <f>IF('Port Bloomberg'!K660="","",'Port Bloomberg'!K660)</f>
        <v/>
      </c>
      <c r="L660" s="7" t="str">
        <f>IF('Port Bloomberg'!L660="","",'Port Bloomberg'!L660)</f>
        <v/>
      </c>
      <c r="M660" s="7" t="str">
        <f>IF('Port Bloomberg'!M660="","",'Port Bloomberg'!M660)</f>
        <v/>
      </c>
      <c r="N660" s="7" t="str">
        <f>IF('Port Bloomberg'!N660="","",'Port Bloomberg'!N660)</f>
        <v/>
      </c>
      <c r="O660" s="7" t="str">
        <f>IF('Port Bloomberg'!O660="","",'Port Bloomberg'!O660)</f>
        <v/>
      </c>
      <c r="P660" s="7" t="str">
        <f>IF('Port Bloomberg'!P660="","",'Port Bloomberg'!P660)</f>
        <v/>
      </c>
      <c r="Q660" s="7" t="str">
        <f>IF('Port Bloomberg'!Q660="","",'Port Bloomberg'!Q660)</f>
        <v/>
      </c>
      <c r="R660" s="7" t="str">
        <f>IF('Port Bloomberg'!R660="","",'Port Bloomberg'!R660)</f>
        <v/>
      </c>
      <c r="S660" s="5" t="str">
        <f>IF(E660="","",IFERROR(IF(MATCH(E660,[1]Instrumentos!$D:$D,0)&gt;0,1,0),0))</f>
        <v/>
      </c>
      <c r="T660" s="5" t="str">
        <f>IF(E660="","",IFERROR(IF(MATCH(E660,'Lista de excepciones'!$E:$E,0)&gt;0,1,0),0))</f>
        <v/>
      </c>
      <c r="U660" s="6" t="str">
        <f t="shared" si="11"/>
        <v/>
      </c>
    </row>
    <row r="661" spans="1:21" hidden="1" x14ac:dyDescent="0.25">
      <c r="A661" s="7" t="str">
        <f>IF('Port Bloomberg'!A661="","",'Port Bloomberg'!A661)</f>
        <v/>
      </c>
      <c r="B661" s="7" t="str">
        <f>IF('Port Bloomberg'!B661="","",'Port Bloomberg'!B661)</f>
        <v/>
      </c>
      <c r="C661" s="7" t="str">
        <f>IF('Port Bloomberg'!C661="","",'Port Bloomberg'!C661)</f>
        <v/>
      </c>
      <c r="D661" s="7" t="str">
        <f>IF('Port Bloomberg'!D661="","",'Port Bloomberg'!D661)</f>
        <v/>
      </c>
      <c r="E661" s="7" t="str">
        <f>IF('Port Bloomberg'!E661="","",'Port Bloomberg'!E661)</f>
        <v/>
      </c>
      <c r="F661" s="7" t="str">
        <f>IF('Port Bloomberg'!F661="","",'Port Bloomberg'!F661)</f>
        <v/>
      </c>
      <c r="G661" s="7" t="str">
        <f>IF('Port Bloomberg'!G661="","",'Port Bloomberg'!G661)</f>
        <v/>
      </c>
      <c r="H661" s="7" t="str">
        <f>IF('Port Bloomberg'!H661="","",'Port Bloomberg'!H661)</f>
        <v/>
      </c>
      <c r="I661" s="7" t="str">
        <f>IF('Port Bloomberg'!I661="","",'Port Bloomberg'!I661)</f>
        <v/>
      </c>
      <c r="J661" s="7" t="str">
        <f>IF('Port Bloomberg'!J661="","",'Port Bloomberg'!J661)</f>
        <v/>
      </c>
      <c r="K661" s="7" t="str">
        <f>IF('Port Bloomberg'!K661="","",'Port Bloomberg'!K661)</f>
        <v/>
      </c>
      <c r="L661" s="7" t="str">
        <f>IF('Port Bloomberg'!L661="","",'Port Bloomberg'!L661)</f>
        <v/>
      </c>
      <c r="M661" s="7" t="str">
        <f>IF('Port Bloomberg'!M661="","",'Port Bloomberg'!M661)</f>
        <v/>
      </c>
      <c r="N661" s="7" t="str">
        <f>IF('Port Bloomberg'!N661="","",'Port Bloomberg'!N661)</f>
        <v/>
      </c>
      <c r="O661" s="7" t="str">
        <f>IF('Port Bloomberg'!O661="","",'Port Bloomberg'!O661)</f>
        <v/>
      </c>
      <c r="P661" s="7" t="str">
        <f>IF('Port Bloomberg'!P661="","",'Port Bloomberg'!P661)</f>
        <v/>
      </c>
      <c r="Q661" s="7" t="str">
        <f>IF('Port Bloomberg'!Q661="","",'Port Bloomberg'!Q661)</f>
        <v/>
      </c>
      <c r="R661" s="7" t="str">
        <f>IF('Port Bloomberg'!R661="","",'Port Bloomberg'!R661)</f>
        <v/>
      </c>
      <c r="S661" s="5" t="str">
        <f>IF(E661="","",IFERROR(IF(MATCH(E661,[1]Instrumentos!$D:$D,0)&gt;0,1,0),0))</f>
        <v/>
      </c>
      <c r="T661" s="5" t="str">
        <f>IF(E661="","",IFERROR(IF(MATCH(E661,'Lista de excepciones'!$E:$E,0)&gt;0,1,0),0))</f>
        <v/>
      </c>
      <c r="U661" s="6" t="str">
        <f t="shared" si="11"/>
        <v/>
      </c>
    </row>
    <row r="662" spans="1:21" hidden="1" x14ac:dyDescent="0.25">
      <c r="A662" s="7" t="str">
        <f>IF('Port Bloomberg'!A662="","",'Port Bloomberg'!A662)</f>
        <v/>
      </c>
      <c r="B662" s="7" t="str">
        <f>IF('Port Bloomberg'!B662="","",'Port Bloomberg'!B662)</f>
        <v/>
      </c>
      <c r="C662" s="7" t="str">
        <f>IF('Port Bloomberg'!C662="","",'Port Bloomberg'!C662)</f>
        <v/>
      </c>
      <c r="D662" s="7" t="str">
        <f>IF('Port Bloomberg'!D662="","",'Port Bloomberg'!D662)</f>
        <v/>
      </c>
      <c r="E662" s="7" t="str">
        <f>IF('Port Bloomberg'!E662="","",'Port Bloomberg'!E662)</f>
        <v/>
      </c>
      <c r="F662" s="7" t="str">
        <f>IF('Port Bloomberg'!F662="","",'Port Bloomberg'!F662)</f>
        <v/>
      </c>
      <c r="G662" s="7" t="str">
        <f>IF('Port Bloomberg'!G662="","",'Port Bloomberg'!G662)</f>
        <v/>
      </c>
      <c r="H662" s="7" t="str">
        <f>IF('Port Bloomberg'!H662="","",'Port Bloomberg'!H662)</f>
        <v/>
      </c>
      <c r="I662" s="7" t="str">
        <f>IF('Port Bloomberg'!I662="","",'Port Bloomberg'!I662)</f>
        <v/>
      </c>
      <c r="J662" s="7" t="str">
        <f>IF('Port Bloomberg'!J662="","",'Port Bloomberg'!J662)</f>
        <v/>
      </c>
      <c r="K662" s="7" t="str">
        <f>IF('Port Bloomberg'!K662="","",'Port Bloomberg'!K662)</f>
        <v/>
      </c>
      <c r="L662" s="7" t="str">
        <f>IF('Port Bloomberg'!L662="","",'Port Bloomberg'!L662)</f>
        <v/>
      </c>
      <c r="M662" s="7" t="str">
        <f>IF('Port Bloomberg'!M662="","",'Port Bloomberg'!M662)</f>
        <v/>
      </c>
      <c r="N662" s="7" t="str">
        <f>IF('Port Bloomberg'!N662="","",'Port Bloomberg'!N662)</f>
        <v/>
      </c>
      <c r="O662" s="7" t="str">
        <f>IF('Port Bloomberg'!O662="","",'Port Bloomberg'!O662)</f>
        <v/>
      </c>
      <c r="P662" s="7" t="str">
        <f>IF('Port Bloomberg'!P662="","",'Port Bloomberg'!P662)</f>
        <v/>
      </c>
      <c r="Q662" s="7" t="str">
        <f>IF('Port Bloomberg'!Q662="","",'Port Bloomberg'!Q662)</f>
        <v/>
      </c>
      <c r="R662" s="7" t="str">
        <f>IF('Port Bloomberg'!R662="","",'Port Bloomberg'!R662)</f>
        <v/>
      </c>
      <c r="S662" s="5" t="str">
        <f>IF(E662="","",IFERROR(IF(MATCH(E662,[1]Instrumentos!$D:$D,0)&gt;0,1,0),0))</f>
        <v/>
      </c>
      <c r="T662" s="5" t="str">
        <f>IF(E662="","",IFERROR(IF(MATCH(E662,'Lista de excepciones'!$E:$E,0)&gt;0,1,0),0))</f>
        <v/>
      </c>
      <c r="U662" s="6" t="str">
        <f t="shared" si="11"/>
        <v/>
      </c>
    </row>
    <row r="663" spans="1:21" hidden="1" x14ac:dyDescent="0.25">
      <c r="A663" s="7" t="str">
        <f>IF('Port Bloomberg'!A663="","",'Port Bloomberg'!A663)</f>
        <v/>
      </c>
      <c r="B663" s="7" t="str">
        <f>IF('Port Bloomberg'!B663="","",'Port Bloomberg'!B663)</f>
        <v/>
      </c>
      <c r="C663" s="7" t="str">
        <f>IF('Port Bloomberg'!C663="","",'Port Bloomberg'!C663)</f>
        <v/>
      </c>
      <c r="D663" s="7" t="str">
        <f>IF('Port Bloomberg'!D663="","",'Port Bloomberg'!D663)</f>
        <v/>
      </c>
      <c r="E663" s="7" t="str">
        <f>IF('Port Bloomberg'!E663="","",'Port Bloomberg'!E663)</f>
        <v/>
      </c>
      <c r="F663" s="7" t="str">
        <f>IF('Port Bloomberg'!F663="","",'Port Bloomberg'!F663)</f>
        <v/>
      </c>
      <c r="G663" s="7" t="str">
        <f>IF('Port Bloomberg'!G663="","",'Port Bloomberg'!G663)</f>
        <v/>
      </c>
      <c r="H663" s="7" t="str">
        <f>IF('Port Bloomberg'!H663="","",'Port Bloomberg'!H663)</f>
        <v/>
      </c>
      <c r="I663" s="7" t="str">
        <f>IF('Port Bloomberg'!I663="","",'Port Bloomberg'!I663)</f>
        <v/>
      </c>
      <c r="J663" s="7" t="str">
        <f>IF('Port Bloomberg'!J663="","",'Port Bloomberg'!J663)</f>
        <v/>
      </c>
      <c r="K663" s="7" t="str">
        <f>IF('Port Bloomberg'!K663="","",'Port Bloomberg'!K663)</f>
        <v/>
      </c>
      <c r="L663" s="7" t="str">
        <f>IF('Port Bloomberg'!L663="","",'Port Bloomberg'!L663)</f>
        <v/>
      </c>
      <c r="M663" s="7" t="str">
        <f>IF('Port Bloomberg'!M663="","",'Port Bloomberg'!M663)</f>
        <v/>
      </c>
      <c r="N663" s="7" t="str">
        <f>IF('Port Bloomberg'!N663="","",'Port Bloomberg'!N663)</f>
        <v/>
      </c>
      <c r="O663" s="7" t="str">
        <f>IF('Port Bloomberg'!O663="","",'Port Bloomberg'!O663)</f>
        <v/>
      </c>
      <c r="P663" s="7" t="str">
        <f>IF('Port Bloomberg'!P663="","",'Port Bloomberg'!P663)</f>
        <v/>
      </c>
      <c r="Q663" s="7" t="str">
        <f>IF('Port Bloomberg'!Q663="","",'Port Bloomberg'!Q663)</f>
        <v/>
      </c>
      <c r="R663" s="7" t="str">
        <f>IF('Port Bloomberg'!R663="","",'Port Bloomberg'!R663)</f>
        <v/>
      </c>
      <c r="S663" s="5" t="str">
        <f>IF(E663="","",IFERROR(IF(MATCH(E663,[1]Instrumentos!$D:$D,0)&gt;0,1,0),0))</f>
        <v/>
      </c>
      <c r="T663" s="5" t="str">
        <f>IF(E663="","",IFERROR(IF(MATCH(E663,'Lista de excepciones'!$E:$E,0)&gt;0,1,0),0))</f>
        <v/>
      </c>
      <c r="U663" s="6" t="str">
        <f t="shared" si="11"/>
        <v/>
      </c>
    </row>
    <row r="664" spans="1:21" hidden="1" x14ac:dyDescent="0.25">
      <c r="A664" s="7" t="str">
        <f>IF('Port Bloomberg'!A664="","",'Port Bloomberg'!A664)</f>
        <v/>
      </c>
      <c r="B664" s="7" t="str">
        <f>IF('Port Bloomberg'!B664="","",'Port Bloomberg'!B664)</f>
        <v/>
      </c>
      <c r="C664" s="7" t="str">
        <f>IF('Port Bloomberg'!C664="","",'Port Bloomberg'!C664)</f>
        <v/>
      </c>
      <c r="D664" s="7" t="str">
        <f>IF('Port Bloomberg'!D664="","",'Port Bloomberg'!D664)</f>
        <v/>
      </c>
      <c r="E664" s="7" t="str">
        <f>IF('Port Bloomberg'!E664="","",'Port Bloomberg'!E664)</f>
        <v/>
      </c>
      <c r="F664" s="7" t="str">
        <f>IF('Port Bloomberg'!F664="","",'Port Bloomberg'!F664)</f>
        <v/>
      </c>
      <c r="G664" s="7" t="str">
        <f>IF('Port Bloomberg'!G664="","",'Port Bloomberg'!G664)</f>
        <v/>
      </c>
      <c r="H664" s="7" t="str">
        <f>IF('Port Bloomberg'!H664="","",'Port Bloomberg'!H664)</f>
        <v/>
      </c>
      <c r="I664" s="7" t="str">
        <f>IF('Port Bloomberg'!I664="","",'Port Bloomberg'!I664)</f>
        <v/>
      </c>
      <c r="J664" s="7" t="str">
        <f>IF('Port Bloomberg'!J664="","",'Port Bloomberg'!J664)</f>
        <v/>
      </c>
      <c r="K664" s="7" t="str">
        <f>IF('Port Bloomberg'!K664="","",'Port Bloomberg'!K664)</f>
        <v/>
      </c>
      <c r="L664" s="7" t="str">
        <f>IF('Port Bloomberg'!L664="","",'Port Bloomberg'!L664)</f>
        <v/>
      </c>
      <c r="M664" s="7" t="str">
        <f>IF('Port Bloomberg'!M664="","",'Port Bloomberg'!M664)</f>
        <v/>
      </c>
      <c r="N664" s="7" t="str">
        <f>IF('Port Bloomberg'!N664="","",'Port Bloomberg'!N664)</f>
        <v/>
      </c>
      <c r="O664" s="7" t="str">
        <f>IF('Port Bloomberg'!O664="","",'Port Bloomberg'!O664)</f>
        <v/>
      </c>
      <c r="P664" s="7" t="str">
        <f>IF('Port Bloomberg'!P664="","",'Port Bloomberg'!P664)</f>
        <v/>
      </c>
      <c r="Q664" s="7" t="str">
        <f>IF('Port Bloomberg'!Q664="","",'Port Bloomberg'!Q664)</f>
        <v/>
      </c>
      <c r="R664" s="7" t="str">
        <f>IF('Port Bloomberg'!R664="","",'Port Bloomberg'!R664)</f>
        <v/>
      </c>
      <c r="S664" s="5" t="str">
        <f>IF(E664="","",IFERROR(IF(MATCH(E664,[1]Instrumentos!$D:$D,0)&gt;0,1,0),0))</f>
        <v/>
      </c>
      <c r="T664" s="5" t="str">
        <f>IF(E664="","",IFERROR(IF(MATCH(E664,'Lista de excepciones'!$E:$E,0)&gt;0,1,0),0))</f>
        <v/>
      </c>
      <c r="U664" s="6" t="str">
        <f t="shared" si="11"/>
        <v/>
      </c>
    </row>
    <row r="665" spans="1:21" hidden="1" x14ac:dyDescent="0.25">
      <c r="A665" s="7" t="str">
        <f>IF('Port Bloomberg'!A665="","",'Port Bloomberg'!A665)</f>
        <v/>
      </c>
      <c r="B665" s="7" t="str">
        <f>IF('Port Bloomberg'!B665="","",'Port Bloomberg'!B665)</f>
        <v/>
      </c>
      <c r="C665" s="7" t="str">
        <f>IF('Port Bloomberg'!C665="","",'Port Bloomberg'!C665)</f>
        <v/>
      </c>
      <c r="D665" s="7" t="str">
        <f>IF('Port Bloomberg'!D665="","",'Port Bloomberg'!D665)</f>
        <v/>
      </c>
      <c r="E665" s="7" t="str">
        <f>IF('Port Bloomberg'!E665="","",'Port Bloomberg'!E665)</f>
        <v/>
      </c>
      <c r="F665" s="7" t="str">
        <f>IF('Port Bloomberg'!F665="","",'Port Bloomberg'!F665)</f>
        <v/>
      </c>
      <c r="G665" s="7" t="str">
        <f>IF('Port Bloomberg'!G665="","",'Port Bloomberg'!G665)</f>
        <v/>
      </c>
      <c r="H665" s="7" t="str">
        <f>IF('Port Bloomberg'!H665="","",'Port Bloomberg'!H665)</f>
        <v/>
      </c>
      <c r="I665" s="7" t="str">
        <f>IF('Port Bloomberg'!I665="","",'Port Bloomberg'!I665)</f>
        <v/>
      </c>
      <c r="J665" s="7" t="str">
        <f>IF('Port Bloomberg'!J665="","",'Port Bloomberg'!J665)</f>
        <v/>
      </c>
      <c r="K665" s="7" t="str">
        <f>IF('Port Bloomberg'!K665="","",'Port Bloomberg'!K665)</f>
        <v/>
      </c>
      <c r="L665" s="7" t="str">
        <f>IF('Port Bloomberg'!L665="","",'Port Bloomberg'!L665)</f>
        <v/>
      </c>
      <c r="M665" s="7" t="str">
        <f>IF('Port Bloomberg'!M665="","",'Port Bloomberg'!M665)</f>
        <v/>
      </c>
      <c r="N665" s="7" t="str">
        <f>IF('Port Bloomberg'!N665="","",'Port Bloomberg'!N665)</f>
        <v/>
      </c>
      <c r="O665" s="7" t="str">
        <f>IF('Port Bloomberg'!O665="","",'Port Bloomberg'!O665)</f>
        <v/>
      </c>
      <c r="P665" s="7" t="str">
        <f>IF('Port Bloomberg'!P665="","",'Port Bloomberg'!P665)</f>
        <v/>
      </c>
      <c r="Q665" s="7" t="str">
        <f>IF('Port Bloomberg'!Q665="","",'Port Bloomberg'!Q665)</f>
        <v/>
      </c>
      <c r="R665" s="7" t="str">
        <f>IF('Port Bloomberg'!R665="","",'Port Bloomberg'!R665)</f>
        <v/>
      </c>
      <c r="S665" s="5" t="str">
        <f>IF(E665="","",IFERROR(IF(MATCH(E665,[1]Instrumentos!$D:$D,0)&gt;0,1,0),0))</f>
        <v/>
      </c>
      <c r="T665" s="5" t="str">
        <f>IF(E665="","",IFERROR(IF(MATCH(E665,'Lista de excepciones'!$E:$E,0)&gt;0,1,0),0))</f>
        <v/>
      </c>
      <c r="U665" s="6" t="str">
        <f t="shared" si="11"/>
        <v/>
      </c>
    </row>
    <row r="666" spans="1:21" hidden="1" x14ac:dyDescent="0.25">
      <c r="A666" s="7" t="str">
        <f>IF('Port Bloomberg'!A666="","",'Port Bloomberg'!A666)</f>
        <v/>
      </c>
      <c r="B666" s="7" t="str">
        <f>IF('Port Bloomberg'!B666="","",'Port Bloomberg'!B666)</f>
        <v/>
      </c>
      <c r="C666" s="7" t="str">
        <f>IF('Port Bloomberg'!C666="","",'Port Bloomberg'!C666)</f>
        <v/>
      </c>
      <c r="D666" s="7" t="str">
        <f>IF('Port Bloomberg'!D666="","",'Port Bloomberg'!D666)</f>
        <v/>
      </c>
      <c r="E666" s="7" t="str">
        <f>IF('Port Bloomberg'!E666="","",'Port Bloomberg'!E666)</f>
        <v/>
      </c>
      <c r="F666" s="7" t="str">
        <f>IF('Port Bloomberg'!F666="","",'Port Bloomberg'!F666)</f>
        <v/>
      </c>
      <c r="G666" s="7" t="str">
        <f>IF('Port Bloomberg'!G666="","",'Port Bloomberg'!G666)</f>
        <v/>
      </c>
      <c r="H666" s="7" t="str">
        <f>IF('Port Bloomberg'!H666="","",'Port Bloomberg'!H666)</f>
        <v/>
      </c>
      <c r="I666" s="7" t="str">
        <f>IF('Port Bloomberg'!I666="","",'Port Bloomberg'!I666)</f>
        <v/>
      </c>
      <c r="J666" s="7" t="str">
        <f>IF('Port Bloomberg'!J666="","",'Port Bloomberg'!J666)</f>
        <v/>
      </c>
      <c r="K666" s="7" t="str">
        <f>IF('Port Bloomberg'!K666="","",'Port Bloomberg'!K666)</f>
        <v/>
      </c>
      <c r="L666" s="7" t="str">
        <f>IF('Port Bloomberg'!L666="","",'Port Bloomberg'!L666)</f>
        <v/>
      </c>
      <c r="M666" s="7" t="str">
        <f>IF('Port Bloomberg'!M666="","",'Port Bloomberg'!M666)</f>
        <v/>
      </c>
      <c r="N666" s="7" t="str">
        <f>IF('Port Bloomberg'!N666="","",'Port Bloomberg'!N666)</f>
        <v/>
      </c>
      <c r="O666" s="7" t="str">
        <f>IF('Port Bloomberg'!O666="","",'Port Bloomberg'!O666)</f>
        <v/>
      </c>
      <c r="P666" s="7" t="str">
        <f>IF('Port Bloomberg'!P666="","",'Port Bloomberg'!P666)</f>
        <v/>
      </c>
      <c r="Q666" s="7" t="str">
        <f>IF('Port Bloomberg'!Q666="","",'Port Bloomberg'!Q666)</f>
        <v/>
      </c>
      <c r="R666" s="7" t="str">
        <f>IF('Port Bloomberg'!R666="","",'Port Bloomberg'!R666)</f>
        <v/>
      </c>
      <c r="S666" s="5" t="str">
        <f>IF(E666="","",IFERROR(IF(MATCH(E666,[1]Instrumentos!$D:$D,0)&gt;0,1,0),0))</f>
        <v/>
      </c>
      <c r="T666" s="5" t="str">
        <f>IF(E666="","",IFERROR(IF(MATCH(E666,'Lista de excepciones'!$E:$E,0)&gt;0,1,0),0))</f>
        <v/>
      </c>
      <c r="U666" s="6" t="str">
        <f t="shared" si="11"/>
        <v/>
      </c>
    </row>
    <row r="667" spans="1:21" hidden="1" x14ac:dyDescent="0.25">
      <c r="A667" s="7" t="str">
        <f>IF('Port Bloomberg'!A667="","",'Port Bloomberg'!A667)</f>
        <v/>
      </c>
      <c r="B667" s="7" t="str">
        <f>IF('Port Bloomberg'!B667="","",'Port Bloomberg'!B667)</f>
        <v/>
      </c>
      <c r="C667" s="7" t="str">
        <f>IF('Port Bloomberg'!C667="","",'Port Bloomberg'!C667)</f>
        <v/>
      </c>
      <c r="D667" s="7" t="str">
        <f>IF('Port Bloomberg'!D667="","",'Port Bloomberg'!D667)</f>
        <v/>
      </c>
      <c r="E667" s="7" t="str">
        <f>IF('Port Bloomberg'!E667="","",'Port Bloomberg'!E667)</f>
        <v/>
      </c>
      <c r="F667" s="7" t="str">
        <f>IF('Port Bloomberg'!F667="","",'Port Bloomberg'!F667)</f>
        <v/>
      </c>
      <c r="G667" s="7" t="str">
        <f>IF('Port Bloomberg'!G667="","",'Port Bloomberg'!G667)</f>
        <v/>
      </c>
      <c r="H667" s="7" t="str">
        <f>IF('Port Bloomberg'!H667="","",'Port Bloomberg'!H667)</f>
        <v/>
      </c>
      <c r="I667" s="7" t="str">
        <f>IF('Port Bloomberg'!I667="","",'Port Bloomberg'!I667)</f>
        <v/>
      </c>
      <c r="J667" s="7" t="str">
        <f>IF('Port Bloomberg'!J667="","",'Port Bloomberg'!J667)</f>
        <v/>
      </c>
      <c r="K667" s="7" t="str">
        <f>IF('Port Bloomberg'!K667="","",'Port Bloomberg'!K667)</f>
        <v/>
      </c>
      <c r="L667" s="7" t="str">
        <f>IF('Port Bloomberg'!L667="","",'Port Bloomberg'!L667)</f>
        <v/>
      </c>
      <c r="M667" s="7" t="str">
        <f>IF('Port Bloomberg'!M667="","",'Port Bloomberg'!M667)</f>
        <v/>
      </c>
      <c r="N667" s="7" t="str">
        <f>IF('Port Bloomberg'!N667="","",'Port Bloomberg'!N667)</f>
        <v/>
      </c>
      <c r="O667" s="7" t="str">
        <f>IF('Port Bloomberg'!O667="","",'Port Bloomberg'!O667)</f>
        <v/>
      </c>
      <c r="P667" s="7" t="str">
        <f>IF('Port Bloomberg'!P667="","",'Port Bloomberg'!P667)</f>
        <v/>
      </c>
      <c r="Q667" s="7" t="str">
        <f>IF('Port Bloomberg'!Q667="","",'Port Bloomberg'!Q667)</f>
        <v/>
      </c>
      <c r="R667" s="7" t="str">
        <f>IF('Port Bloomberg'!R667="","",'Port Bloomberg'!R667)</f>
        <v/>
      </c>
      <c r="S667" s="5" t="str">
        <f>IF(E667="","",IFERROR(IF(MATCH(E667,[1]Instrumentos!$D:$D,0)&gt;0,1,0),0))</f>
        <v/>
      </c>
      <c r="T667" s="5" t="str">
        <f>IF(E667="","",IFERROR(IF(MATCH(E667,'Lista de excepciones'!$E:$E,0)&gt;0,1,0),0))</f>
        <v/>
      </c>
      <c r="U667" s="6" t="str">
        <f t="shared" si="11"/>
        <v/>
      </c>
    </row>
    <row r="668" spans="1:21" hidden="1" x14ac:dyDescent="0.25">
      <c r="A668" s="7" t="str">
        <f>IF('Port Bloomberg'!A668="","",'Port Bloomberg'!A668)</f>
        <v/>
      </c>
      <c r="B668" s="7" t="str">
        <f>IF('Port Bloomberg'!B668="","",'Port Bloomberg'!B668)</f>
        <v/>
      </c>
      <c r="C668" s="7" t="str">
        <f>IF('Port Bloomberg'!C668="","",'Port Bloomberg'!C668)</f>
        <v/>
      </c>
      <c r="D668" s="7" t="str">
        <f>IF('Port Bloomberg'!D668="","",'Port Bloomberg'!D668)</f>
        <v/>
      </c>
      <c r="E668" s="7" t="str">
        <f>IF('Port Bloomberg'!E668="","",'Port Bloomberg'!E668)</f>
        <v/>
      </c>
      <c r="F668" s="7" t="str">
        <f>IF('Port Bloomberg'!F668="","",'Port Bloomberg'!F668)</f>
        <v/>
      </c>
      <c r="G668" s="7" t="str">
        <f>IF('Port Bloomberg'!G668="","",'Port Bloomberg'!G668)</f>
        <v/>
      </c>
      <c r="H668" s="7" t="str">
        <f>IF('Port Bloomberg'!H668="","",'Port Bloomberg'!H668)</f>
        <v/>
      </c>
      <c r="I668" s="7" t="str">
        <f>IF('Port Bloomberg'!I668="","",'Port Bloomberg'!I668)</f>
        <v/>
      </c>
      <c r="J668" s="7" t="str">
        <f>IF('Port Bloomberg'!J668="","",'Port Bloomberg'!J668)</f>
        <v/>
      </c>
      <c r="K668" s="7" t="str">
        <f>IF('Port Bloomberg'!K668="","",'Port Bloomberg'!K668)</f>
        <v/>
      </c>
      <c r="L668" s="7" t="str">
        <f>IF('Port Bloomberg'!L668="","",'Port Bloomberg'!L668)</f>
        <v/>
      </c>
      <c r="M668" s="7" t="str">
        <f>IF('Port Bloomberg'!M668="","",'Port Bloomberg'!M668)</f>
        <v/>
      </c>
      <c r="N668" s="7" t="str">
        <f>IF('Port Bloomberg'!N668="","",'Port Bloomberg'!N668)</f>
        <v/>
      </c>
      <c r="O668" s="7" t="str">
        <f>IF('Port Bloomberg'!O668="","",'Port Bloomberg'!O668)</f>
        <v/>
      </c>
      <c r="P668" s="7" t="str">
        <f>IF('Port Bloomberg'!P668="","",'Port Bloomberg'!P668)</f>
        <v/>
      </c>
      <c r="Q668" s="7" t="str">
        <f>IF('Port Bloomberg'!Q668="","",'Port Bloomberg'!Q668)</f>
        <v/>
      </c>
      <c r="R668" s="7" t="str">
        <f>IF('Port Bloomberg'!R668="","",'Port Bloomberg'!R668)</f>
        <v/>
      </c>
      <c r="S668" s="5" t="str">
        <f>IF(E668="","",IFERROR(IF(MATCH(E668,[1]Instrumentos!$D:$D,0)&gt;0,1,0),0))</f>
        <v/>
      </c>
      <c r="T668" s="5" t="str">
        <f>IF(E668="","",IFERROR(IF(MATCH(E668,'Lista de excepciones'!$E:$E,0)&gt;0,1,0),0))</f>
        <v/>
      </c>
      <c r="U668" s="6" t="str">
        <f t="shared" si="11"/>
        <v/>
      </c>
    </row>
    <row r="669" spans="1:21" hidden="1" x14ac:dyDescent="0.25">
      <c r="A669" s="7" t="str">
        <f>IF('Port Bloomberg'!A669="","",'Port Bloomberg'!A669)</f>
        <v/>
      </c>
      <c r="B669" s="7" t="str">
        <f>IF('Port Bloomberg'!B669="","",'Port Bloomberg'!B669)</f>
        <v/>
      </c>
      <c r="C669" s="7" t="str">
        <f>IF('Port Bloomberg'!C669="","",'Port Bloomberg'!C669)</f>
        <v/>
      </c>
      <c r="D669" s="7" t="str">
        <f>IF('Port Bloomberg'!D669="","",'Port Bloomberg'!D669)</f>
        <v/>
      </c>
      <c r="E669" s="7" t="str">
        <f>IF('Port Bloomberg'!E669="","",'Port Bloomberg'!E669)</f>
        <v/>
      </c>
      <c r="F669" s="7" t="str">
        <f>IF('Port Bloomberg'!F669="","",'Port Bloomberg'!F669)</f>
        <v/>
      </c>
      <c r="G669" s="7" t="str">
        <f>IF('Port Bloomberg'!G669="","",'Port Bloomberg'!G669)</f>
        <v/>
      </c>
      <c r="H669" s="7" t="str">
        <f>IF('Port Bloomberg'!H669="","",'Port Bloomberg'!H669)</f>
        <v/>
      </c>
      <c r="I669" s="7" t="str">
        <f>IF('Port Bloomberg'!I669="","",'Port Bloomberg'!I669)</f>
        <v/>
      </c>
      <c r="J669" s="7" t="str">
        <f>IF('Port Bloomberg'!J669="","",'Port Bloomberg'!J669)</f>
        <v/>
      </c>
      <c r="K669" s="7" t="str">
        <f>IF('Port Bloomberg'!K669="","",'Port Bloomberg'!K669)</f>
        <v/>
      </c>
      <c r="L669" s="7" t="str">
        <f>IF('Port Bloomberg'!L669="","",'Port Bloomberg'!L669)</f>
        <v/>
      </c>
      <c r="M669" s="7" t="str">
        <f>IF('Port Bloomberg'!M669="","",'Port Bloomberg'!M669)</f>
        <v/>
      </c>
      <c r="N669" s="7" t="str">
        <f>IF('Port Bloomberg'!N669="","",'Port Bloomberg'!N669)</f>
        <v/>
      </c>
      <c r="O669" s="7" t="str">
        <f>IF('Port Bloomberg'!O669="","",'Port Bloomberg'!O669)</f>
        <v/>
      </c>
      <c r="P669" s="7" t="str">
        <f>IF('Port Bloomberg'!P669="","",'Port Bloomberg'!P669)</f>
        <v/>
      </c>
      <c r="Q669" s="7" t="str">
        <f>IF('Port Bloomberg'!Q669="","",'Port Bloomberg'!Q669)</f>
        <v/>
      </c>
      <c r="R669" s="7" t="str">
        <f>IF('Port Bloomberg'!R669="","",'Port Bloomberg'!R669)</f>
        <v/>
      </c>
      <c r="S669" s="5" t="str">
        <f>IF(E669="","",IFERROR(IF(MATCH(E669,[1]Instrumentos!$D:$D,0)&gt;0,1,0),0))</f>
        <v/>
      </c>
      <c r="T669" s="5" t="str">
        <f>IF(E669="","",IFERROR(IF(MATCH(E669,'Lista de excepciones'!$E:$E,0)&gt;0,1,0),0))</f>
        <v/>
      </c>
      <c r="U669" s="6" t="str">
        <f t="shared" si="11"/>
        <v/>
      </c>
    </row>
    <row r="670" spans="1:21" hidden="1" x14ac:dyDescent="0.25">
      <c r="A670" s="7" t="str">
        <f>IF('Port Bloomberg'!A670="","",'Port Bloomberg'!A670)</f>
        <v/>
      </c>
      <c r="B670" s="7" t="str">
        <f>IF('Port Bloomberg'!B670="","",'Port Bloomberg'!B670)</f>
        <v/>
      </c>
      <c r="C670" s="7" t="str">
        <f>IF('Port Bloomberg'!C670="","",'Port Bloomberg'!C670)</f>
        <v/>
      </c>
      <c r="D670" s="7" t="str">
        <f>IF('Port Bloomberg'!D670="","",'Port Bloomberg'!D670)</f>
        <v/>
      </c>
      <c r="E670" s="7" t="str">
        <f>IF('Port Bloomberg'!E670="","",'Port Bloomberg'!E670)</f>
        <v/>
      </c>
      <c r="F670" s="7" t="str">
        <f>IF('Port Bloomberg'!F670="","",'Port Bloomberg'!F670)</f>
        <v/>
      </c>
      <c r="G670" s="7" t="str">
        <f>IF('Port Bloomberg'!G670="","",'Port Bloomberg'!G670)</f>
        <v/>
      </c>
      <c r="H670" s="7" t="str">
        <f>IF('Port Bloomberg'!H670="","",'Port Bloomberg'!H670)</f>
        <v/>
      </c>
      <c r="I670" s="7" t="str">
        <f>IF('Port Bloomberg'!I670="","",'Port Bloomberg'!I670)</f>
        <v/>
      </c>
      <c r="J670" s="7" t="str">
        <f>IF('Port Bloomberg'!J670="","",'Port Bloomberg'!J670)</f>
        <v/>
      </c>
      <c r="K670" s="7" t="str">
        <f>IF('Port Bloomberg'!K670="","",'Port Bloomberg'!K670)</f>
        <v/>
      </c>
      <c r="L670" s="7" t="str">
        <f>IF('Port Bloomberg'!L670="","",'Port Bloomberg'!L670)</f>
        <v/>
      </c>
      <c r="M670" s="7" t="str">
        <f>IF('Port Bloomberg'!M670="","",'Port Bloomberg'!M670)</f>
        <v/>
      </c>
      <c r="N670" s="7" t="str">
        <f>IF('Port Bloomberg'!N670="","",'Port Bloomberg'!N670)</f>
        <v/>
      </c>
      <c r="O670" s="7" t="str">
        <f>IF('Port Bloomberg'!O670="","",'Port Bloomberg'!O670)</f>
        <v/>
      </c>
      <c r="P670" s="7" t="str">
        <f>IF('Port Bloomberg'!P670="","",'Port Bloomberg'!P670)</f>
        <v/>
      </c>
      <c r="Q670" s="7" t="str">
        <f>IF('Port Bloomberg'!Q670="","",'Port Bloomberg'!Q670)</f>
        <v/>
      </c>
      <c r="R670" s="7" t="str">
        <f>IF('Port Bloomberg'!R670="","",'Port Bloomberg'!R670)</f>
        <v/>
      </c>
      <c r="S670" s="5" t="str">
        <f>IF(E670="","",IFERROR(IF(MATCH(E670,[1]Instrumentos!$D:$D,0)&gt;0,1,0),0))</f>
        <v/>
      </c>
      <c r="T670" s="5" t="str">
        <f>IF(E670="","",IFERROR(IF(MATCH(E670,'Lista de excepciones'!$E:$E,0)&gt;0,1,0),0))</f>
        <v/>
      </c>
      <c r="U670" s="6" t="str">
        <f t="shared" si="11"/>
        <v/>
      </c>
    </row>
    <row r="671" spans="1:21" hidden="1" x14ac:dyDescent="0.25">
      <c r="A671" s="7" t="str">
        <f>IF('Port Bloomberg'!A671="","",'Port Bloomberg'!A671)</f>
        <v/>
      </c>
      <c r="B671" s="7" t="str">
        <f>IF('Port Bloomberg'!B671="","",'Port Bloomberg'!B671)</f>
        <v/>
      </c>
      <c r="C671" s="7" t="str">
        <f>IF('Port Bloomberg'!C671="","",'Port Bloomberg'!C671)</f>
        <v/>
      </c>
      <c r="D671" s="7" t="str">
        <f>IF('Port Bloomberg'!D671="","",'Port Bloomberg'!D671)</f>
        <v/>
      </c>
      <c r="E671" s="7" t="str">
        <f>IF('Port Bloomberg'!E671="","",'Port Bloomberg'!E671)</f>
        <v/>
      </c>
      <c r="F671" s="7" t="str">
        <f>IF('Port Bloomberg'!F671="","",'Port Bloomberg'!F671)</f>
        <v/>
      </c>
      <c r="G671" s="7" t="str">
        <f>IF('Port Bloomberg'!G671="","",'Port Bloomberg'!G671)</f>
        <v/>
      </c>
      <c r="H671" s="7" t="str">
        <f>IF('Port Bloomberg'!H671="","",'Port Bloomberg'!H671)</f>
        <v/>
      </c>
      <c r="I671" s="7" t="str">
        <f>IF('Port Bloomberg'!I671="","",'Port Bloomberg'!I671)</f>
        <v/>
      </c>
      <c r="J671" s="7" t="str">
        <f>IF('Port Bloomberg'!J671="","",'Port Bloomberg'!J671)</f>
        <v/>
      </c>
      <c r="K671" s="7" t="str">
        <f>IF('Port Bloomberg'!K671="","",'Port Bloomberg'!K671)</f>
        <v/>
      </c>
      <c r="L671" s="7" t="str">
        <f>IF('Port Bloomberg'!L671="","",'Port Bloomberg'!L671)</f>
        <v/>
      </c>
      <c r="M671" s="7" t="str">
        <f>IF('Port Bloomberg'!M671="","",'Port Bloomberg'!M671)</f>
        <v/>
      </c>
      <c r="N671" s="7" t="str">
        <f>IF('Port Bloomberg'!N671="","",'Port Bloomberg'!N671)</f>
        <v/>
      </c>
      <c r="O671" s="7" t="str">
        <f>IF('Port Bloomberg'!O671="","",'Port Bloomberg'!O671)</f>
        <v/>
      </c>
      <c r="P671" s="7" t="str">
        <f>IF('Port Bloomberg'!P671="","",'Port Bloomberg'!P671)</f>
        <v/>
      </c>
      <c r="Q671" s="7" t="str">
        <f>IF('Port Bloomberg'!Q671="","",'Port Bloomberg'!Q671)</f>
        <v/>
      </c>
      <c r="R671" s="7" t="str">
        <f>IF('Port Bloomberg'!R671="","",'Port Bloomberg'!R671)</f>
        <v/>
      </c>
      <c r="S671" s="5" t="str">
        <f>IF(E671="","",IFERROR(IF(MATCH(E671,[1]Instrumentos!$D:$D,0)&gt;0,1,0),0))</f>
        <v/>
      </c>
      <c r="T671" s="5" t="str">
        <f>IF(E671="","",IFERROR(IF(MATCH(E671,'Lista de excepciones'!$E:$E,0)&gt;0,1,0),0))</f>
        <v/>
      </c>
      <c r="U671" s="6" t="str">
        <f t="shared" si="11"/>
        <v/>
      </c>
    </row>
    <row r="672" spans="1:21" hidden="1" x14ac:dyDescent="0.25">
      <c r="A672" s="7" t="str">
        <f>IF('Port Bloomberg'!A672="","",'Port Bloomberg'!A672)</f>
        <v/>
      </c>
      <c r="B672" s="7" t="str">
        <f>IF('Port Bloomberg'!B672="","",'Port Bloomberg'!B672)</f>
        <v/>
      </c>
      <c r="C672" s="7" t="str">
        <f>IF('Port Bloomberg'!C672="","",'Port Bloomberg'!C672)</f>
        <v/>
      </c>
      <c r="D672" s="7" t="str">
        <f>IF('Port Bloomberg'!D672="","",'Port Bloomberg'!D672)</f>
        <v/>
      </c>
      <c r="E672" s="7" t="str">
        <f>IF('Port Bloomberg'!E672="","",'Port Bloomberg'!E672)</f>
        <v/>
      </c>
      <c r="F672" s="7" t="str">
        <f>IF('Port Bloomberg'!F672="","",'Port Bloomberg'!F672)</f>
        <v/>
      </c>
      <c r="G672" s="7" t="str">
        <f>IF('Port Bloomberg'!G672="","",'Port Bloomberg'!G672)</f>
        <v/>
      </c>
      <c r="H672" s="7" t="str">
        <f>IF('Port Bloomberg'!H672="","",'Port Bloomberg'!H672)</f>
        <v/>
      </c>
      <c r="I672" s="7" t="str">
        <f>IF('Port Bloomberg'!I672="","",'Port Bloomberg'!I672)</f>
        <v/>
      </c>
      <c r="J672" s="7" t="str">
        <f>IF('Port Bloomberg'!J672="","",'Port Bloomberg'!J672)</f>
        <v/>
      </c>
      <c r="K672" s="7" t="str">
        <f>IF('Port Bloomberg'!K672="","",'Port Bloomberg'!K672)</f>
        <v/>
      </c>
      <c r="L672" s="7" t="str">
        <f>IF('Port Bloomberg'!L672="","",'Port Bloomberg'!L672)</f>
        <v/>
      </c>
      <c r="M672" s="7" t="str">
        <f>IF('Port Bloomberg'!M672="","",'Port Bloomberg'!M672)</f>
        <v/>
      </c>
      <c r="N672" s="7" t="str">
        <f>IF('Port Bloomberg'!N672="","",'Port Bloomberg'!N672)</f>
        <v/>
      </c>
      <c r="O672" s="7" t="str">
        <f>IF('Port Bloomberg'!O672="","",'Port Bloomberg'!O672)</f>
        <v/>
      </c>
      <c r="P672" s="7" t="str">
        <f>IF('Port Bloomberg'!P672="","",'Port Bloomberg'!P672)</f>
        <v/>
      </c>
      <c r="Q672" s="7" t="str">
        <f>IF('Port Bloomberg'!Q672="","",'Port Bloomberg'!Q672)</f>
        <v/>
      </c>
      <c r="R672" s="7" t="str">
        <f>IF('Port Bloomberg'!R672="","",'Port Bloomberg'!R672)</f>
        <v/>
      </c>
      <c r="S672" s="5" t="str">
        <f>IF(E672="","",IFERROR(IF(MATCH(E672,[1]Instrumentos!$D:$D,0)&gt;0,1,0),0))</f>
        <v/>
      </c>
      <c r="T672" s="5" t="str">
        <f>IF(E672="","",IFERROR(IF(MATCH(E672,'Lista de excepciones'!$E:$E,0)&gt;0,1,0),0))</f>
        <v/>
      </c>
      <c r="U672" s="6" t="str">
        <f t="shared" si="11"/>
        <v/>
      </c>
    </row>
    <row r="673" spans="1:21" hidden="1" x14ac:dyDescent="0.25">
      <c r="A673" s="7" t="str">
        <f>IF('Port Bloomberg'!A673="","",'Port Bloomberg'!A673)</f>
        <v/>
      </c>
      <c r="B673" s="7" t="str">
        <f>IF('Port Bloomberg'!B673="","",'Port Bloomberg'!B673)</f>
        <v/>
      </c>
      <c r="C673" s="7" t="str">
        <f>IF('Port Bloomberg'!C673="","",'Port Bloomberg'!C673)</f>
        <v/>
      </c>
      <c r="D673" s="7" t="str">
        <f>IF('Port Bloomberg'!D673="","",'Port Bloomberg'!D673)</f>
        <v/>
      </c>
      <c r="E673" s="7" t="str">
        <f>IF('Port Bloomberg'!E673="","",'Port Bloomberg'!E673)</f>
        <v/>
      </c>
      <c r="F673" s="7" t="str">
        <f>IF('Port Bloomberg'!F673="","",'Port Bloomberg'!F673)</f>
        <v/>
      </c>
      <c r="G673" s="7" t="str">
        <f>IF('Port Bloomberg'!G673="","",'Port Bloomberg'!G673)</f>
        <v/>
      </c>
      <c r="H673" s="7" t="str">
        <f>IF('Port Bloomberg'!H673="","",'Port Bloomberg'!H673)</f>
        <v/>
      </c>
      <c r="I673" s="7" t="str">
        <f>IF('Port Bloomberg'!I673="","",'Port Bloomberg'!I673)</f>
        <v/>
      </c>
      <c r="J673" s="7" t="str">
        <f>IF('Port Bloomberg'!J673="","",'Port Bloomberg'!J673)</f>
        <v/>
      </c>
      <c r="K673" s="7" t="str">
        <f>IF('Port Bloomberg'!K673="","",'Port Bloomberg'!K673)</f>
        <v/>
      </c>
      <c r="L673" s="7" t="str">
        <f>IF('Port Bloomberg'!L673="","",'Port Bloomberg'!L673)</f>
        <v/>
      </c>
      <c r="M673" s="7" t="str">
        <f>IF('Port Bloomberg'!M673="","",'Port Bloomberg'!M673)</f>
        <v/>
      </c>
      <c r="N673" s="7" t="str">
        <f>IF('Port Bloomberg'!N673="","",'Port Bloomberg'!N673)</f>
        <v/>
      </c>
      <c r="O673" s="7" t="str">
        <f>IF('Port Bloomberg'!O673="","",'Port Bloomberg'!O673)</f>
        <v/>
      </c>
      <c r="P673" s="7" t="str">
        <f>IF('Port Bloomberg'!P673="","",'Port Bloomberg'!P673)</f>
        <v/>
      </c>
      <c r="Q673" s="7" t="str">
        <f>IF('Port Bloomberg'!Q673="","",'Port Bloomberg'!Q673)</f>
        <v/>
      </c>
      <c r="R673" s="7" t="str">
        <f>IF('Port Bloomberg'!R673="","",'Port Bloomberg'!R673)</f>
        <v/>
      </c>
      <c r="S673" s="5" t="str">
        <f>IF(E673="","",IFERROR(IF(MATCH(E673,[1]Instrumentos!$D:$D,0)&gt;0,1,0),0))</f>
        <v/>
      </c>
      <c r="T673" s="5" t="str">
        <f>IF(E673="","",IFERROR(IF(MATCH(E673,'Lista de excepciones'!$E:$E,0)&gt;0,1,0),0))</f>
        <v/>
      </c>
      <c r="U673" s="6" t="str">
        <f t="shared" si="11"/>
        <v/>
      </c>
    </row>
    <row r="674" spans="1:21" hidden="1" x14ac:dyDescent="0.25">
      <c r="A674" s="7" t="str">
        <f>IF('Port Bloomberg'!A674="","",'Port Bloomberg'!A674)</f>
        <v/>
      </c>
      <c r="B674" s="7" t="str">
        <f>IF('Port Bloomberg'!B674="","",'Port Bloomberg'!B674)</f>
        <v/>
      </c>
      <c r="C674" s="7" t="str">
        <f>IF('Port Bloomberg'!C674="","",'Port Bloomberg'!C674)</f>
        <v/>
      </c>
      <c r="D674" s="7" t="str">
        <f>IF('Port Bloomberg'!D674="","",'Port Bloomberg'!D674)</f>
        <v/>
      </c>
      <c r="E674" s="7" t="str">
        <f>IF('Port Bloomberg'!E674="","",'Port Bloomberg'!E674)</f>
        <v/>
      </c>
      <c r="F674" s="7" t="str">
        <f>IF('Port Bloomberg'!F674="","",'Port Bloomberg'!F674)</f>
        <v/>
      </c>
      <c r="G674" s="7" t="str">
        <f>IF('Port Bloomberg'!G674="","",'Port Bloomberg'!G674)</f>
        <v/>
      </c>
      <c r="H674" s="7" t="str">
        <f>IF('Port Bloomberg'!H674="","",'Port Bloomberg'!H674)</f>
        <v/>
      </c>
      <c r="I674" s="7" t="str">
        <f>IF('Port Bloomberg'!I674="","",'Port Bloomberg'!I674)</f>
        <v/>
      </c>
      <c r="J674" s="7" t="str">
        <f>IF('Port Bloomberg'!J674="","",'Port Bloomberg'!J674)</f>
        <v/>
      </c>
      <c r="K674" s="7" t="str">
        <f>IF('Port Bloomberg'!K674="","",'Port Bloomberg'!K674)</f>
        <v/>
      </c>
      <c r="L674" s="7" t="str">
        <f>IF('Port Bloomberg'!L674="","",'Port Bloomberg'!L674)</f>
        <v/>
      </c>
      <c r="M674" s="7" t="str">
        <f>IF('Port Bloomberg'!M674="","",'Port Bloomberg'!M674)</f>
        <v/>
      </c>
      <c r="N674" s="7" t="str">
        <f>IF('Port Bloomberg'!N674="","",'Port Bloomberg'!N674)</f>
        <v/>
      </c>
      <c r="O674" s="7" t="str">
        <f>IF('Port Bloomberg'!O674="","",'Port Bloomberg'!O674)</f>
        <v/>
      </c>
      <c r="P674" s="7" t="str">
        <f>IF('Port Bloomberg'!P674="","",'Port Bloomberg'!P674)</f>
        <v/>
      </c>
      <c r="Q674" s="7" t="str">
        <f>IF('Port Bloomberg'!Q674="","",'Port Bloomberg'!Q674)</f>
        <v/>
      </c>
      <c r="R674" s="7" t="str">
        <f>IF('Port Bloomberg'!R674="","",'Port Bloomberg'!R674)</f>
        <v/>
      </c>
      <c r="S674" s="5" t="str">
        <f>IF(E674="","",IFERROR(IF(MATCH(E674,[1]Instrumentos!$D:$D,0)&gt;0,1,0),0))</f>
        <v/>
      </c>
      <c r="T674" s="5" t="str">
        <f>IF(E674="","",IFERROR(IF(MATCH(E674,'Lista de excepciones'!$E:$E,0)&gt;0,1,0),0))</f>
        <v/>
      </c>
      <c r="U674" s="6" t="str">
        <f t="shared" si="11"/>
        <v/>
      </c>
    </row>
    <row r="675" spans="1:21" hidden="1" x14ac:dyDescent="0.25">
      <c r="A675" s="7" t="str">
        <f>IF('Port Bloomberg'!A675="","",'Port Bloomberg'!A675)</f>
        <v/>
      </c>
      <c r="B675" s="7" t="str">
        <f>IF('Port Bloomberg'!B675="","",'Port Bloomberg'!B675)</f>
        <v/>
      </c>
      <c r="C675" s="7" t="str">
        <f>IF('Port Bloomberg'!C675="","",'Port Bloomberg'!C675)</f>
        <v/>
      </c>
      <c r="D675" s="7" t="str">
        <f>IF('Port Bloomberg'!D675="","",'Port Bloomberg'!D675)</f>
        <v/>
      </c>
      <c r="E675" s="7" t="str">
        <f>IF('Port Bloomberg'!E675="","",'Port Bloomberg'!E675)</f>
        <v/>
      </c>
      <c r="F675" s="7" t="str">
        <f>IF('Port Bloomberg'!F675="","",'Port Bloomberg'!F675)</f>
        <v/>
      </c>
      <c r="G675" s="7" t="str">
        <f>IF('Port Bloomberg'!G675="","",'Port Bloomberg'!G675)</f>
        <v/>
      </c>
      <c r="H675" s="7" t="str">
        <f>IF('Port Bloomberg'!H675="","",'Port Bloomberg'!H675)</f>
        <v/>
      </c>
      <c r="I675" s="7" t="str">
        <f>IF('Port Bloomberg'!I675="","",'Port Bloomberg'!I675)</f>
        <v/>
      </c>
      <c r="J675" s="7" t="str">
        <f>IF('Port Bloomberg'!J675="","",'Port Bloomberg'!J675)</f>
        <v/>
      </c>
      <c r="K675" s="7" t="str">
        <f>IF('Port Bloomberg'!K675="","",'Port Bloomberg'!K675)</f>
        <v/>
      </c>
      <c r="L675" s="7" t="str">
        <f>IF('Port Bloomberg'!L675="","",'Port Bloomberg'!L675)</f>
        <v/>
      </c>
      <c r="M675" s="7" t="str">
        <f>IF('Port Bloomberg'!M675="","",'Port Bloomberg'!M675)</f>
        <v/>
      </c>
      <c r="N675" s="7" t="str">
        <f>IF('Port Bloomberg'!N675="","",'Port Bloomberg'!N675)</f>
        <v/>
      </c>
      <c r="O675" s="7" t="str">
        <f>IF('Port Bloomberg'!O675="","",'Port Bloomberg'!O675)</f>
        <v/>
      </c>
      <c r="P675" s="7" t="str">
        <f>IF('Port Bloomberg'!P675="","",'Port Bloomberg'!P675)</f>
        <v/>
      </c>
      <c r="Q675" s="7" t="str">
        <f>IF('Port Bloomberg'!Q675="","",'Port Bloomberg'!Q675)</f>
        <v/>
      </c>
      <c r="R675" s="7" t="str">
        <f>IF('Port Bloomberg'!R675="","",'Port Bloomberg'!R675)</f>
        <v/>
      </c>
      <c r="S675" s="5" t="str">
        <f>IF(E675="","",IFERROR(IF(MATCH(E675,[1]Instrumentos!$D:$D,0)&gt;0,1,0),0))</f>
        <v/>
      </c>
      <c r="T675" s="5" t="str">
        <f>IF(E675="","",IFERROR(IF(MATCH(E675,'Lista de excepciones'!$E:$E,0)&gt;0,1,0),0))</f>
        <v/>
      </c>
      <c r="U675" s="6" t="str">
        <f t="shared" si="11"/>
        <v/>
      </c>
    </row>
    <row r="676" spans="1:21" hidden="1" x14ac:dyDescent="0.25">
      <c r="A676" s="7" t="str">
        <f>IF('Port Bloomberg'!A676="","",'Port Bloomberg'!A676)</f>
        <v/>
      </c>
      <c r="B676" s="7" t="str">
        <f>IF('Port Bloomberg'!B676="","",'Port Bloomberg'!B676)</f>
        <v/>
      </c>
      <c r="C676" s="7" t="str">
        <f>IF('Port Bloomberg'!C676="","",'Port Bloomberg'!C676)</f>
        <v/>
      </c>
      <c r="D676" s="7" t="str">
        <f>IF('Port Bloomberg'!D676="","",'Port Bloomberg'!D676)</f>
        <v/>
      </c>
      <c r="E676" s="7" t="str">
        <f>IF('Port Bloomberg'!E676="","",'Port Bloomberg'!E676)</f>
        <v/>
      </c>
      <c r="F676" s="7" t="str">
        <f>IF('Port Bloomberg'!F676="","",'Port Bloomberg'!F676)</f>
        <v/>
      </c>
      <c r="G676" s="7" t="str">
        <f>IF('Port Bloomberg'!G676="","",'Port Bloomberg'!G676)</f>
        <v/>
      </c>
      <c r="H676" s="7" t="str">
        <f>IF('Port Bloomberg'!H676="","",'Port Bloomberg'!H676)</f>
        <v/>
      </c>
      <c r="I676" s="7" t="str">
        <f>IF('Port Bloomberg'!I676="","",'Port Bloomberg'!I676)</f>
        <v/>
      </c>
      <c r="J676" s="7" t="str">
        <f>IF('Port Bloomberg'!J676="","",'Port Bloomberg'!J676)</f>
        <v/>
      </c>
      <c r="K676" s="7" t="str">
        <f>IF('Port Bloomberg'!K676="","",'Port Bloomberg'!K676)</f>
        <v/>
      </c>
      <c r="L676" s="7" t="str">
        <f>IF('Port Bloomberg'!L676="","",'Port Bloomberg'!L676)</f>
        <v/>
      </c>
      <c r="M676" s="7" t="str">
        <f>IF('Port Bloomberg'!M676="","",'Port Bloomberg'!M676)</f>
        <v/>
      </c>
      <c r="N676" s="7" t="str">
        <f>IF('Port Bloomberg'!N676="","",'Port Bloomberg'!N676)</f>
        <v/>
      </c>
      <c r="O676" s="7" t="str">
        <f>IF('Port Bloomberg'!O676="","",'Port Bloomberg'!O676)</f>
        <v/>
      </c>
      <c r="P676" s="7" t="str">
        <f>IF('Port Bloomberg'!P676="","",'Port Bloomberg'!P676)</f>
        <v/>
      </c>
      <c r="Q676" s="7" t="str">
        <f>IF('Port Bloomberg'!Q676="","",'Port Bloomberg'!Q676)</f>
        <v/>
      </c>
      <c r="R676" s="7" t="str">
        <f>IF('Port Bloomberg'!R676="","",'Port Bloomberg'!R676)</f>
        <v/>
      </c>
      <c r="S676" s="5" t="str">
        <f>IF(E676="","",IFERROR(IF(MATCH(E676,[1]Instrumentos!$D:$D,0)&gt;0,1,0),0))</f>
        <v/>
      </c>
      <c r="T676" s="5" t="str">
        <f>IF(E676="","",IFERROR(IF(MATCH(E676,'Lista de excepciones'!$E:$E,0)&gt;0,1,0),0))</f>
        <v/>
      </c>
      <c r="U676" s="6" t="str">
        <f t="shared" si="11"/>
        <v/>
      </c>
    </row>
    <row r="677" spans="1:21" hidden="1" x14ac:dyDescent="0.25">
      <c r="A677" s="7" t="str">
        <f>IF('Port Bloomberg'!A677="","",'Port Bloomberg'!A677)</f>
        <v/>
      </c>
      <c r="B677" s="7" t="str">
        <f>IF('Port Bloomberg'!B677="","",'Port Bloomberg'!B677)</f>
        <v/>
      </c>
      <c r="C677" s="7" t="str">
        <f>IF('Port Bloomberg'!C677="","",'Port Bloomberg'!C677)</f>
        <v/>
      </c>
      <c r="D677" s="7" t="str">
        <f>IF('Port Bloomberg'!D677="","",'Port Bloomberg'!D677)</f>
        <v/>
      </c>
      <c r="E677" s="7" t="str">
        <f>IF('Port Bloomberg'!E677="","",'Port Bloomberg'!E677)</f>
        <v/>
      </c>
      <c r="F677" s="7" t="str">
        <f>IF('Port Bloomberg'!F677="","",'Port Bloomberg'!F677)</f>
        <v/>
      </c>
      <c r="G677" s="7" t="str">
        <f>IF('Port Bloomberg'!G677="","",'Port Bloomberg'!G677)</f>
        <v/>
      </c>
      <c r="H677" s="7" t="str">
        <f>IF('Port Bloomberg'!H677="","",'Port Bloomberg'!H677)</f>
        <v/>
      </c>
      <c r="I677" s="7" t="str">
        <f>IF('Port Bloomberg'!I677="","",'Port Bloomberg'!I677)</f>
        <v/>
      </c>
      <c r="J677" s="7" t="str">
        <f>IF('Port Bloomberg'!J677="","",'Port Bloomberg'!J677)</f>
        <v/>
      </c>
      <c r="K677" s="7" t="str">
        <f>IF('Port Bloomberg'!K677="","",'Port Bloomberg'!K677)</f>
        <v/>
      </c>
      <c r="L677" s="7" t="str">
        <f>IF('Port Bloomberg'!L677="","",'Port Bloomberg'!L677)</f>
        <v/>
      </c>
      <c r="M677" s="7" t="str">
        <f>IF('Port Bloomberg'!M677="","",'Port Bloomberg'!M677)</f>
        <v/>
      </c>
      <c r="N677" s="7" t="str">
        <f>IF('Port Bloomberg'!N677="","",'Port Bloomberg'!N677)</f>
        <v/>
      </c>
      <c r="O677" s="7" t="str">
        <f>IF('Port Bloomberg'!O677="","",'Port Bloomberg'!O677)</f>
        <v/>
      </c>
      <c r="P677" s="7" t="str">
        <f>IF('Port Bloomberg'!P677="","",'Port Bloomberg'!P677)</f>
        <v/>
      </c>
      <c r="Q677" s="7" t="str">
        <f>IF('Port Bloomberg'!Q677="","",'Port Bloomberg'!Q677)</f>
        <v/>
      </c>
      <c r="R677" s="7" t="str">
        <f>IF('Port Bloomberg'!R677="","",'Port Bloomberg'!R677)</f>
        <v/>
      </c>
      <c r="S677" s="5" t="str">
        <f>IF(E677="","",IFERROR(IF(MATCH(E677,[1]Instrumentos!$D:$D,0)&gt;0,1,0),0))</f>
        <v/>
      </c>
      <c r="T677" s="5" t="str">
        <f>IF(E677="","",IFERROR(IF(MATCH(E677,'Lista de excepciones'!$E:$E,0)&gt;0,1,0),0))</f>
        <v/>
      </c>
      <c r="U677" s="6" t="str">
        <f t="shared" si="11"/>
        <v/>
      </c>
    </row>
    <row r="678" spans="1:21" hidden="1" x14ac:dyDescent="0.25">
      <c r="A678" s="7" t="str">
        <f>IF('Port Bloomberg'!A678="","",'Port Bloomberg'!A678)</f>
        <v/>
      </c>
      <c r="B678" s="7" t="str">
        <f>IF('Port Bloomberg'!B678="","",'Port Bloomberg'!B678)</f>
        <v/>
      </c>
      <c r="C678" s="7" t="str">
        <f>IF('Port Bloomberg'!C678="","",'Port Bloomberg'!C678)</f>
        <v/>
      </c>
      <c r="D678" s="7" t="str">
        <f>IF('Port Bloomberg'!D678="","",'Port Bloomberg'!D678)</f>
        <v/>
      </c>
      <c r="E678" s="7" t="str">
        <f>IF('Port Bloomberg'!E678="","",'Port Bloomberg'!E678)</f>
        <v/>
      </c>
      <c r="F678" s="7" t="str">
        <f>IF('Port Bloomberg'!F678="","",'Port Bloomberg'!F678)</f>
        <v/>
      </c>
      <c r="G678" s="7" t="str">
        <f>IF('Port Bloomberg'!G678="","",'Port Bloomberg'!G678)</f>
        <v/>
      </c>
      <c r="H678" s="7" t="str">
        <f>IF('Port Bloomberg'!H678="","",'Port Bloomberg'!H678)</f>
        <v/>
      </c>
      <c r="I678" s="7" t="str">
        <f>IF('Port Bloomberg'!I678="","",'Port Bloomberg'!I678)</f>
        <v/>
      </c>
      <c r="J678" s="7" t="str">
        <f>IF('Port Bloomberg'!J678="","",'Port Bloomberg'!J678)</f>
        <v/>
      </c>
      <c r="K678" s="7" t="str">
        <f>IF('Port Bloomberg'!K678="","",'Port Bloomberg'!K678)</f>
        <v/>
      </c>
      <c r="L678" s="7" t="str">
        <f>IF('Port Bloomberg'!L678="","",'Port Bloomberg'!L678)</f>
        <v/>
      </c>
      <c r="M678" s="7" t="str">
        <f>IF('Port Bloomberg'!M678="","",'Port Bloomberg'!M678)</f>
        <v/>
      </c>
      <c r="N678" s="7" t="str">
        <f>IF('Port Bloomberg'!N678="","",'Port Bloomberg'!N678)</f>
        <v/>
      </c>
      <c r="O678" s="7" t="str">
        <f>IF('Port Bloomberg'!O678="","",'Port Bloomberg'!O678)</f>
        <v/>
      </c>
      <c r="P678" s="7" t="str">
        <f>IF('Port Bloomberg'!P678="","",'Port Bloomberg'!P678)</f>
        <v/>
      </c>
      <c r="Q678" s="7" t="str">
        <f>IF('Port Bloomberg'!Q678="","",'Port Bloomberg'!Q678)</f>
        <v/>
      </c>
      <c r="R678" s="7" t="str">
        <f>IF('Port Bloomberg'!R678="","",'Port Bloomberg'!R678)</f>
        <v/>
      </c>
      <c r="S678" s="5" t="str">
        <f>IF(E678="","",IFERROR(IF(MATCH(E678,[1]Instrumentos!$D:$D,0)&gt;0,1,0),0))</f>
        <v/>
      </c>
      <c r="T678" s="5" t="str">
        <f>IF(E678="","",IFERROR(IF(MATCH(E678,'Lista de excepciones'!$E:$E,0)&gt;0,1,0),0))</f>
        <v/>
      </c>
      <c r="U678" s="6" t="str">
        <f t="shared" si="11"/>
        <v/>
      </c>
    </row>
    <row r="679" spans="1:21" hidden="1" x14ac:dyDescent="0.25">
      <c r="A679" s="7" t="str">
        <f>IF('Port Bloomberg'!A679="","",'Port Bloomberg'!A679)</f>
        <v/>
      </c>
      <c r="B679" s="7" t="str">
        <f>IF('Port Bloomberg'!B679="","",'Port Bloomberg'!B679)</f>
        <v/>
      </c>
      <c r="C679" s="7" t="str">
        <f>IF('Port Bloomberg'!C679="","",'Port Bloomberg'!C679)</f>
        <v/>
      </c>
      <c r="D679" s="7" t="str">
        <f>IF('Port Bloomberg'!D679="","",'Port Bloomberg'!D679)</f>
        <v/>
      </c>
      <c r="E679" s="7" t="str">
        <f>IF('Port Bloomberg'!E679="","",'Port Bloomberg'!E679)</f>
        <v/>
      </c>
      <c r="F679" s="7" t="str">
        <f>IF('Port Bloomberg'!F679="","",'Port Bloomberg'!F679)</f>
        <v/>
      </c>
      <c r="G679" s="7" t="str">
        <f>IF('Port Bloomberg'!G679="","",'Port Bloomberg'!G679)</f>
        <v/>
      </c>
      <c r="H679" s="7" t="str">
        <f>IF('Port Bloomberg'!H679="","",'Port Bloomberg'!H679)</f>
        <v/>
      </c>
      <c r="I679" s="7" t="str">
        <f>IF('Port Bloomberg'!I679="","",'Port Bloomberg'!I679)</f>
        <v/>
      </c>
      <c r="J679" s="7" t="str">
        <f>IF('Port Bloomberg'!J679="","",'Port Bloomberg'!J679)</f>
        <v/>
      </c>
      <c r="K679" s="7" t="str">
        <f>IF('Port Bloomberg'!K679="","",'Port Bloomberg'!K679)</f>
        <v/>
      </c>
      <c r="L679" s="7" t="str">
        <f>IF('Port Bloomberg'!L679="","",'Port Bloomberg'!L679)</f>
        <v/>
      </c>
      <c r="M679" s="7" t="str">
        <f>IF('Port Bloomberg'!M679="","",'Port Bloomberg'!M679)</f>
        <v/>
      </c>
      <c r="N679" s="7" t="str">
        <f>IF('Port Bloomberg'!N679="","",'Port Bloomberg'!N679)</f>
        <v/>
      </c>
      <c r="O679" s="7" t="str">
        <f>IF('Port Bloomberg'!O679="","",'Port Bloomberg'!O679)</f>
        <v/>
      </c>
      <c r="P679" s="7" t="str">
        <f>IF('Port Bloomberg'!P679="","",'Port Bloomberg'!P679)</f>
        <v/>
      </c>
      <c r="Q679" s="7" t="str">
        <f>IF('Port Bloomberg'!Q679="","",'Port Bloomberg'!Q679)</f>
        <v/>
      </c>
      <c r="R679" s="7" t="str">
        <f>IF('Port Bloomberg'!R679="","",'Port Bloomberg'!R679)</f>
        <v/>
      </c>
      <c r="S679" s="5" t="str">
        <f>IF(E679="","",IFERROR(IF(MATCH(E679,[1]Instrumentos!$D:$D,0)&gt;0,1,0),0))</f>
        <v/>
      </c>
      <c r="T679" s="5" t="str">
        <f>IF(E679="","",IFERROR(IF(MATCH(E679,'Lista de excepciones'!$E:$E,0)&gt;0,1,0),0))</f>
        <v/>
      </c>
      <c r="U679" s="6" t="str">
        <f t="shared" si="11"/>
        <v/>
      </c>
    </row>
    <row r="680" spans="1:21" hidden="1" x14ac:dyDescent="0.25">
      <c r="A680" s="7" t="str">
        <f>IF('Port Bloomberg'!A680="","",'Port Bloomberg'!A680)</f>
        <v/>
      </c>
      <c r="B680" s="7" t="str">
        <f>IF('Port Bloomberg'!B680="","",'Port Bloomberg'!B680)</f>
        <v/>
      </c>
      <c r="C680" s="7" t="str">
        <f>IF('Port Bloomberg'!C680="","",'Port Bloomberg'!C680)</f>
        <v/>
      </c>
      <c r="D680" s="7" t="str">
        <f>IF('Port Bloomberg'!D680="","",'Port Bloomberg'!D680)</f>
        <v/>
      </c>
      <c r="E680" s="7" t="str">
        <f>IF('Port Bloomberg'!E680="","",'Port Bloomberg'!E680)</f>
        <v/>
      </c>
      <c r="F680" s="7" t="str">
        <f>IF('Port Bloomberg'!F680="","",'Port Bloomberg'!F680)</f>
        <v/>
      </c>
      <c r="G680" s="7" t="str">
        <f>IF('Port Bloomberg'!G680="","",'Port Bloomberg'!G680)</f>
        <v/>
      </c>
      <c r="H680" s="7" t="str">
        <f>IF('Port Bloomberg'!H680="","",'Port Bloomberg'!H680)</f>
        <v/>
      </c>
      <c r="I680" s="7" t="str">
        <f>IF('Port Bloomberg'!I680="","",'Port Bloomberg'!I680)</f>
        <v/>
      </c>
      <c r="J680" s="7" t="str">
        <f>IF('Port Bloomberg'!J680="","",'Port Bloomberg'!J680)</f>
        <v/>
      </c>
      <c r="K680" s="7" t="str">
        <f>IF('Port Bloomberg'!K680="","",'Port Bloomberg'!K680)</f>
        <v/>
      </c>
      <c r="L680" s="7" t="str">
        <f>IF('Port Bloomberg'!L680="","",'Port Bloomberg'!L680)</f>
        <v/>
      </c>
      <c r="M680" s="7" t="str">
        <f>IF('Port Bloomberg'!M680="","",'Port Bloomberg'!M680)</f>
        <v/>
      </c>
      <c r="N680" s="7" t="str">
        <f>IF('Port Bloomberg'!N680="","",'Port Bloomberg'!N680)</f>
        <v/>
      </c>
      <c r="O680" s="7" t="str">
        <f>IF('Port Bloomberg'!O680="","",'Port Bloomberg'!O680)</f>
        <v/>
      </c>
      <c r="P680" s="7" t="str">
        <f>IF('Port Bloomberg'!P680="","",'Port Bloomberg'!P680)</f>
        <v/>
      </c>
      <c r="Q680" s="7" t="str">
        <f>IF('Port Bloomberg'!Q680="","",'Port Bloomberg'!Q680)</f>
        <v/>
      </c>
      <c r="R680" s="7" t="str">
        <f>IF('Port Bloomberg'!R680="","",'Port Bloomberg'!R680)</f>
        <v/>
      </c>
      <c r="S680" s="5" t="str">
        <f>IF(E680="","",IFERROR(IF(MATCH(E680,[1]Instrumentos!$D:$D,0)&gt;0,1,0),0))</f>
        <v/>
      </c>
      <c r="T680" s="5" t="str">
        <f>IF(E680="","",IFERROR(IF(MATCH(E680,'Lista de excepciones'!$E:$E,0)&gt;0,1,0),0))</f>
        <v/>
      </c>
      <c r="U680" s="6" t="str">
        <f t="shared" si="11"/>
        <v/>
      </c>
    </row>
    <row r="681" spans="1:21" hidden="1" x14ac:dyDescent="0.25">
      <c r="A681" s="7" t="str">
        <f>IF('Port Bloomberg'!A681="","",'Port Bloomberg'!A681)</f>
        <v/>
      </c>
      <c r="B681" s="7" t="str">
        <f>IF('Port Bloomberg'!B681="","",'Port Bloomberg'!B681)</f>
        <v/>
      </c>
      <c r="C681" s="7" t="str">
        <f>IF('Port Bloomberg'!C681="","",'Port Bloomberg'!C681)</f>
        <v/>
      </c>
      <c r="D681" s="7" t="str">
        <f>IF('Port Bloomberg'!D681="","",'Port Bloomberg'!D681)</f>
        <v/>
      </c>
      <c r="E681" s="7" t="str">
        <f>IF('Port Bloomberg'!E681="","",'Port Bloomberg'!E681)</f>
        <v/>
      </c>
      <c r="F681" s="7" t="str">
        <f>IF('Port Bloomberg'!F681="","",'Port Bloomberg'!F681)</f>
        <v/>
      </c>
      <c r="G681" s="7" t="str">
        <f>IF('Port Bloomberg'!G681="","",'Port Bloomberg'!G681)</f>
        <v/>
      </c>
      <c r="H681" s="7" t="str">
        <f>IF('Port Bloomberg'!H681="","",'Port Bloomberg'!H681)</f>
        <v/>
      </c>
      <c r="I681" s="7" t="str">
        <f>IF('Port Bloomberg'!I681="","",'Port Bloomberg'!I681)</f>
        <v/>
      </c>
      <c r="J681" s="7" t="str">
        <f>IF('Port Bloomberg'!J681="","",'Port Bloomberg'!J681)</f>
        <v/>
      </c>
      <c r="K681" s="7" t="str">
        <f>IF('Port Bloomberg'!K681="","",'Port Bloomberg'!K681)</f>
        <v/>
      </c>
      <c r="L681" s="7" t="str">
        <f>IF('Port Bloomberg'!L681="","",'Port Bloomberg'!L681)</f>
        <v/>
      </c>
      <c r="M681" s="7" t="str">
        <f>IF('Port Bloomberg'!M681="","",'Port Bloomberg'!M681)</f>
        <v/>
      </c>
      <c r="N681" s="7" t="str">
        <f>IF('Port Bloomberg'!N681="","",'Port Bloomberg'!N681)</f>
        <v/>
      </c>
      <c r="O681" s="7" t="str">
        <f>IF('Port Bloomberg'!O681="","",'Port Bloomberg'!O681)</f>
        <v/>
      </c>
      <c r="P681" s="7" t="str">
        <f>IF('Port Bloomberg'!P681="","",'Port Bloomberg'!P681)</f>
        <v/>
      </c>
      <c r="Q681" s="7" t="str">
        <f>IF('Port Bloomberg'!Q681="","",'Port Bloomberg'!Q681)</f>
        <v/>
      </c>
      <c r="R681" s="7" t="str">
        <f>IF('Port Bloomberg'!R681="","",'Port Bloomberg'!R681)</f>
        <v/>
      </c>
      <c r="S681" s="5" t="str">
        <f>IF(E681="","",IFERROR(IF(MATCH(E681,[1]Instrumentos!$D:$D,0)&gt;0,1,0),0))</f>
        <v/>
      </c>
      <c r="T681" s="5" t="str">
        <f>IF(E681="","",IFERROR(IF(MATCH(E681,'Lista de excepciones'!$E:$E,0)&gt;0,1,0),0))</f>
        <v/>
      </c>
      <c r="U681" s="6" t="str">
        <f t="shared" si="11"/>
        <v/>
      </c>
    </row>
    <row r="682" spans="1:21" hidden="1" x14ac:dyDescent="0.25">
      <c r="A682" s="7" t="str">
        <f>IF('Port Bloomberg'!A682="","",'Port Bloomberg'!A682)</f>
        <v/>
      </c>
      <c r="B682" s="7" t="str">
        <f>IF('Port Bloomberg'!B682="","",'Port Bloomberg'!B682)</f>
        <v/>
      </c>
      <c r="C682" s="7" t="str">
        <f>IF('Port Bloomberg'!C682="","",'Port Bloomberg'!C682)</f>
        <v/>
      </c>
      <c r="D682" s="7" t="str">
        <f>IF('Port Bloomberg'!D682="","",'Port Bloomberg'!D682)</f>
        <v/>
      </c>
      <c r="E682" s="7" t="str">
        <f>IF('Port Bloomberg'!E682="","",'Port Bloomberg'!E682)</f>
        <v/>
      </c>
      <c r="F682" s="7" t="str">
        <f>IF('Port Bloomberg'!F682="","",'Port Bloomberg'!F682)</f>
        <v/>
      </c>
      <c r="G682" s="7" t="str">
        <f>IF('Port Bloomberg'!G682="","",'Port Bloomberg'!G682)</f>
        <v/>
      </c>
      <c r="H682" s="7" t="str">
        <f>IF('Port Bloomberg'!H682="","",'Port Bloomberg'!H682)</f>
        <v/>
      </c>
      <c r="I682" s="7" t="str">
        <f>IF('Port Bloomberg'!I682="","",'Port Bloomberg'!I682)</f>
        <v/>
      </c>
      <c r="J682" s="7" t="str">
        <f>IF('Port Bloomberg'!J682="","",'Port Bloomberg'!J682)</f>
        <v/>
      </c>
      <c r="K682" s="7" t="str">
        <f>IF('Port Bloomberg'!K682="","",'Port Bloomberg'!K682)</f>
        <v/>
      </c>
      <c r="L682" s="7" t="str">
        <f>IF('Port Bloomberg'!L682="","",'Port Bloomberg'!L682)</f>
        <v/>
      </c>
      <c r="M682" s="7" t="str">
        <f>IF('Port Bloomberg'!M682="","",'Port Bloomberg'!M682)</f>
        <v/>
      </c>
      <c r="N682" s="7" t="str">
        <f>IF('Port Bloomberg'!N682="","",'Port Bloomberg'!N682)</f>
        <v/>
      </c>
      <c r="O682" s="7" t="str">
        <f>IF('Port Bloomberg'!O682="","",'Port Bloomberg'!O682)</f>
        <v/>
      </c>
      <c r="P682" s="7" t="str">
        <f>IF('Port Bloomberg'!P682="","",'Port Bloomberg'!P682)</f>
        <v/>
      </c>
      <c r="Q682" s="7" t="str">
        <f>IF('Port Bloomberg'!Q682="","",'Port Bloomberg'!Q682)</f>
        <v/>
      </c>
      <c r="R682" s="7" t="str">
        <f>IF('Port Bloomberg'!R682="","",'Port Bloomberg'!R682)</f>
        <v/>
      </c>
      <c r="S682" s="5" t="str">
        <f>IF(E682="","",IFERROR(IF(MATCH(E682,[1]Instrumentos!$D:$D,0)&gt;0,1,0),0))</f>
        <v/>
      </c>
      <c r="T682" s="5" t="str">
        <f>IF(E682="","",IFERROR(IF(MATCH(E682,'Lista de excepciones'!$E:$E,0)&gt;0,1,0),0))</f>
        <v/>
      </c>
      <c r="U682" s="6" t="str">
        <f t="shared" si="11"/>
        <v/>
      </c>
    </row>
    <row r="683" spans="1:21" hidden="1" x14ac:dyDescent="0.25">
      <c r="A683" s="7" t="str">
        <f>IF('Port Bloomberg'!A683="","",'Port Bloomberg'!A683)</f>
        <v/>
      </c>
      <c r="B683" s="7" t="str">
        <f>IF('Port Bloomberg'!B683="","",'Port Bloomberg'!B683)</f>
        <v/>
      </c>
      <c r="C683" s="7" t="str">
        <f>IF('Port Bloomberg'!C683="","",'Port Bloomberg'!C683)</f>
        <v/>
      </c>
      <c r="D683" s="7" t="str">
        <f>IF('Port Bloomberg'!D683="","",'Port Bloomberg'!D683)</f>
        <v/>
      </c>
      <c r="E683" s="7" t="str">
        <f>IF('Port Bloomberg'!E683="","",'Port Bloomberg'!E683)</f>
        <v/>
      </c>
      <c r="F683" s="7" t="str">
        <f>IF('Port Bloomberg'!F683="","",'Port Bloomberg'!F683)</f>
        <v/>
      </c>
      <c r="G683" s="7" t="str">
        <f>IF('Port Bloomberg'!G683="","",'Port Bloomberg'!G683)</f>
        <v/>
      </c>
      <c r="H683" s="7" t="str">
        <f>IF('Port Bloomberg'!H683="","",'Port Bloomberg'!H683)</f>
        <v/>
      </c>
      <c r="I683" s="7" t="str">
        <f>IF('Port Bloomberg'!I683="","",'Port Bloomberg'!I683)</f>
        <v/>
      </c>
      <c r="J683" s="7" t="str">
        <f>IF('Port Bloomberg'!J683="","",'Port Bloomberg'!J683)</f>
        <v/>
      </c>
      <c r="K683" s="7" t="str">
        <f>IF('Port Bloomberg'!K683="","",'Port Bloomberg'!K683)</f>
        <v/>
      </c>
      <c r="L683" s="7" t="str">
        <f>IF('Port Bloomberg'!L683="","",'Port Bloomberg'!L683)</f>
        <v/>
      </c>
      <c r="M683" s="7" t="str">
        <f>IF('Port Bloomberg'!M683="","",'Port Bloomberg'!M683)</f>
        <v/>
      </c>
      <c r="N683" s="7" t="str">
        <f>IF('Port Bloomberg'!N683="","",'Port Bloomberg'!N683)</f>
        <v/>
      </c>
      <c r="O683" s="7" t="str">
        <f>IF('Port Bloomberg'!O683="","",'Port Bloomberg'!O683)</f>
        <v/>
      </c>
      <c r="P683" s="7" t="str">
        <f>IF('Port Bloomberg'!P683="","",'Port Bloomberg'!P683)</f>
        <v/>
      </c>
      <c r="Q683" s="7" t="str">
        <f>IF('Port Bloomberg'!Q683="","",'Port Bloomberg'!Q683)</f>
        <v/>
      </c>
      <c r="R683" s="7" t="str">
        <f>IF('Port Bloomberg'!R683="","",'Port Bloomberg'!R683)</f>
        <v/>
      </c>
      <c r="S683" s="5" t="str">
        <f>IF(E683="","",IFERROR(IF(MATCH(E683,[1]Instrumentos!$D:$D,0)&gt;0,1,0),0))</f>
        <v/>
      </c>
      <c r="T683" s="5" t="str">
        <f>IF(E683="","",IFERROR(IF(MATCH(E683,'Lista de excepciones'!$E:$E,0)&gt;0,1,0),0))</f>
        <v/>
      </c>
      <c r="U683" s="6" t="str">
        <f t="shared" si="11"/>
        <v/>
      </c>
    </row>
    <row r="684" spans="1:21" hidden="1" x14ac:dyDescent="0.25">
      <c r="A684" s="7" t="str">
        <f>IF('Port Bloomberg'!A684="","",'Port Bloomberg'!A684)</f>
        <v/>
      </c>
      <c r="B684" s="7" t="str">
        <f>IF('Port Bloomberg'!B684="","",'Port Bloomberg'!B684)</f>
        <v/>
      </c>
      <c r="C684" s="7" t="str">
        <f>IF('Port Bloomberg'!C684="","",'Port Bloomberg'!C684)</f>
        <v/>
      </c>
      <c r="D684" s="7" t="str">
        <f>IF('Port Bloomberg'!D684="","",'Port Bloomberg'!D684)</f>
        <v/>
      </c>
      <c r="E684" s="7" t="str">
        <f>IF('Port Bloomberg'!E684="","",'Port Bloomberg'!E684)</f>
        <v/>
      </c>
      <c r="F684" s="7" t="str">
        <f>IF('Port Bloomberg'!F684="","",'Port Bloomberg'!F684)</f>
        <v/>
      </c>
      <c r="G684" s="7" t="str">
        <f>IF('Port Bloomberg'!G684="","",'Port Bloomberg'!G684)</f>
        <v/>
      </c>
      <c r="H684" s="7" t="str">
        <f>IF('Port Bloomberg'!H684="","",'Port Bloomberg'!H684)</f>
        <v/>
      </c>
      <c r="I684" s="7" t="str">
        <f>IF('Port Bloomberg'!I684="","",'Port Bloomberg'!I684)</f>
        <v/>
      </c>
      <c r="J684" s="7" t="str">
        <f>IF('Port Bloomberg'!J684="","",'Port Bloomberg'!J684)</f>
        <v/>
      </c>
      <c r="K684" s="7" t="str">
        <f>IF('Port Bloomberg'!K684="","",'Port Bloomberg'!K684)</f>
        <v/>
      </c>
      <c r="L684" s="7" t="str">
        <f>IF('Port Bloomberg'!L684="","",'Port Bloomberg'!L684)</f>
        <v/>
      </c>
      <c r="M684" s="7" t="str">
        <f>IF('Port Bloomberg'!M684="","",'Port Bloomberg'!M684)</f>
        <v/>
      </c>
      <c r="N684" s="7" t="str">
        <f>IF('Port Bloomberg'!N684="","",'Port Bloomberg'!N684)</f>
        <v/>
      </c>
      <c r="O684" s="7" t="str">
        <f>IF('Port Bloomberg'!O684="","",'Port Bloomberg'!O684)</f>
        <v/>
      </c>
      <c r="P684" s="7" t="str">
        <f>IF('Port Bloomberg'!P684="","",'Port Bloomberg'!P684)</f>
        <v/>
      </c>
      <c r="Q684" s="7" t="str">
        <f>IF('Port Bloomberg'!Q684="","",'Port Bloomberg'!Q684)</f>
        <v/>
      </c>
      <c r="R684" s="7" t="str">
        <f>IF('Port Bloomberg'!R684="","",'Port Bloomberg'!R684)</f>
        <v/>
      </c>
      <c r="S684" s="5" t="str">
        <f>IF(E684="","",IFERROR(IF(MATCH(E684,[1]Instrumentos!$D:$D,0)&gt;0,1,0),0))</f>
        <v/>
      </c>
      <c r="T684" s="5" t="str">
        <f>IF(E684="","",IFERROR(IF(MATCH(E684,'Lista de excepciones'!$E:$E,0)&gt;0,1,0),0))</f>
        <v/>
      </c>
      <c r="U684" s="6" t="str">
        <f t="shared" si="11"/>
        <v/>
      </c>
    </row>
    <row r="685" spans="1:21" hidden="1" x14ac:dyDescent="0.25">
      <c r="A685" s="7" t="str">
        <f>IF('Port Bloomberg'!A685="","",'Port Bloomberg'!A685)</f>
        <v/>
      </c>
      <c r="B685" s="7" t="str">
        <f>IF('Port Bloomberg'!B685="","",'Port Bloomberg'!B685)</f>
        <v/>
      </c>
      <c r="C685" s="7" t="str">
        <f>IF('Port Bloomberg'!C685="","",'Port Bloomberg'!C685)</f>
        <v/>
      </c>
      <c r="D685" s="7" t="str">
        <f>IF('Port Bloomberg'!D685="","",'Port Bloomberg'!D685)</f>
        <v/>
      </c>
      <c r="E685" s="7" t="str">
        <f>IF('Port Bloomberg'!E685="","",'Port Bloomberg'!E685)</f>
        <v/>
      </c>
      <c r="F685" s="7" t="str">
        <f>IF('Port Bloomberg'!F685="","",'Port Bloomberg'!F685)</f>
        <v/>
      </c>
      <c r="G685" s="7" t="str">
        <f>IF('Port Bloomberg'!G685="","",'Port Bloomberg'!G685)</f>
        <v/>
      </c>
      <c r="H685" s="7" t="str">
        <f>IF('Port Bloomberg'!H685="","",'Port Bloomberg'!H685)</f>
        <v/>
      </c>
      <c r="I685" s="7" t="str">
        <f>IF('Port Bloomberg'!I685="","",'Port Bloomberg'!I685)</f>
        <v/>
      </c>
      <c r="J685" s="7" t="str">
        <f>IF('Port Bloomberg'!J685="","",'Port Bloomberg'!J685)</f>
        <v/>
      </c>
      <c r="K685" s="7" t="str">
        <f>IF('Port Bloomberg'!K685="","",'Port Bloomberg'!K685)</f>
        <v/>
      </c>
      <c r="L685" s="7" t="str">
        <f>IF('Port Bloomberg'!L685="","",'Port Bloomberg'!L685)</f>
        <v/>
      </c>
      <c r="M685" s="7" t="str">
        <f>IF('Port Bloomberg'!M685="","",'Port Bloomberg'!M685)</f>
        <v/>
      </c>
      <c r="N685" s="7" t="str">
        <f>IF('Port Bloomberg'!N685="","",'Port Bloomberg'!N685)</f>
        <v/>
      </c>
      <c r="O685" s="7" t="str">
        <f>IF('Port Bloomberg'!O685="","",'Port Bloomberg'!O685)</f>
        <v/>
      </c>
      <c r="P685" s="7" t="str">
        <f>IF('Port Bloomberg'!P685="","",'Port Bloomberg'!P685)</f>
        <v/>
      </c>
      <c r="Q685" s="7" t="str">
        <f>IF('Port Bloomberg'!Q685="","",'Port Bloomberg'!Q685)</f>
        <v/>
      </c>
      <c r="R685" s="7" t="str">
        <f>IF('Port Bloomberg'!R685="","",'Port Bloomberg'!R685)</f>
        <v/>
      </c>
      <c r="S685" s="5" t="str">
        <f>IF(E685="","",IFERROR(IF(MATCH(E685,[1]Instrumentos!$D:$D,0)&gt;0,1,0),0))</f>
        <v/>
      </c>
      <c r="T685" s="5" t="str">
        <f>IF(E685="","",IFERROR(IF(MATCH(E685,'Lista de excepciones'!$E:$E,0)&gt;0,1,0),0))</f>
        <v/>
      </c>
      <c r="U685" s="6" t="str">
        <f t="shared" si="11"/>
        <v/>
      </c>
    </row>
    <row r="686" spans="1:21" hidden="1" x14ac:dyDescent="0.25">
      <c r="A686" s="7" t="str">
        <f>IF('Port Bloomberg'!A686="","",'Port Bloomberg'!A686)</f>
        <v/>
      </c>
      <c r="B686" s="7" t="str">
        <f>IF('Port Bloomberg'!B686="","",'Port Bloomberg'!B686)</f>
        <v/>
      </c>
      <c r="C686" s="7" t="str">
        <f>IF('Port Bloomberg'!C686="","",'Port Bloomberg'!C686)</f>
        <v/>
      </c>
      <c r="D686" s="7" t="str">
        <f>IF('Port Bloomberg'!D686="","",'Port Bloomberg'!D686)</f>
        <v/>
      </c>
      <c r="E686" s="7" t="str">
        <f>IF('Port Bloomberg'!E686="","",'Port Bloomberg'!E686)</f>
        <v/>
      </c>
      <c r="F686" s="7" t="str">
        <f>IF('Port Bloomberg'!F686="","",'Port Bloomberg'!F686)</f>
        <v/>
      </c>
      <c r="G686" s="7" t="str">
        <f>IF('Port Bloomberg'!G686="","",'Port Bloomberg'!G686)</f>
        <v/>
      </c>
      <c r="H686" s="7" t="str">
        <f>IF('Port Bloomberg'!H686="","",'Port Bloomberg'!H686)</f>
        <v/>
      </c>
      <c r="I686" s="7" t="str">
        <f>IF('Port Bloomberg'!I686="","",'Port Bloomberg'!I686)</f>
        <v/>
      </c>
      <c r="J686" s="7" t="str">
        <f>IF('Port Bloomberg'!J686="","",'Port Bloomberg'!J686)</f>
        <v/>
      </c>
      <c r="K686" s="7" t="str">
        <f>IF('Port Bloomberg'!K686="","",'Port Bloomberg'!K686)</f>
        <v/>
      </c>
      <c r="L686" s="7" t="str">
        <f>IF('Port Bloomberg'!L686="","",'Port Bloomberg'!L686)</f>
        <v/>
      </c>
      <c r="M686" s="7" t="str">
        <f>IF('Port Bloomberg'!M686="","",'Port Bloomberg'!M686)</f>
        <v/>
      </c>
      <c r="N686" s="7" t="str">
        <f>IF('Port Bloomberg'!N686="","",'Port Bloomberg'!N686)</f>
        <v/>
      </c>
      <c r="O686" s="7" t="str">
        <f>IF('Port Bloomberg'!O686="","",'Port Bloomberg'!O686)</f>
        <v/>
      </c>
      <c r="P686" s="7" t="str">
        <f>IF('Port Bloomberg'!P686="","",'Port Bloomberg'!P686)</f>
        <v/>
      </c>
      <c r="Q686" s="7" t="str">
        <f>IF('Port Bloomberg'!Q686="","",'Port Bloomberg'!Q686)</f>
        <v/>
      </c>
      <c r="R686" s="7" t="str">
        <f>IF('Port Bloomberg'!R686="","",'Port Bloomberg'!R686)</f>
        <v/>
      </c>
      <c r="S686" s="5" t="str">
        <f>IF(E686="","",IFERROR(IF(MATCH(E686,[1]Instrumentos!$D:$D,0)&gt;0,1,0),0))</f>
        <v/>
      </c>
      <c r="T686" s="5" t="str">
        <f>IF(E686="","",IFERROR(IF(MATCH(E686,'Lista de excepciones'!$E:$E,0)&gt;0,1,0),0))</f>
        <v/>
      </c>
      <c r="U686" s="6" t="str">
        <f t="shared" si="11"/>
        <v/>
      </c>
    </row>
    <row r="687" spans="1:21" hidden="1" x14ac:dyDescent="0.25">
      <c r="A687" s="7" t="str">
        <f>IF('Port Bloomberg'!A687="","",'Port Bloomberg'!A687)</f>
        <v/>
      </c>
      <c r="B687" s="7" t="str">
        <f>IF('Port Bloomberg'!B687="","",'Port Bloomberg'!B687)</f>
        <v/>
      </c>
      <c r="C687" s="7" t="str">
        <f>IF('Port Bloomberg'!C687="","",'Port Bloomberg'!C687)</f>
        <v/>
      </c>
      <c r="D687" s="7" t="str">
        <f>IF('Port Bloomberg'!D687="","",'Port Bloomberg'!D687)</f>
        <v/>
      </c>
      <c r="E687" s="7" t="str">
        <f>IF('Port Bloomberg'!E687="","",'Port Bloomberg'!E687)</f>
        <v/>
      </c>
      <c r="F687" s="7" t="str">
        <f>IF('Port Bloomberg'!F687="","",'Port Bloomberg'!F687)</f>
        <v/>
      </c>
      <c r="G687" s="7" t="str">
        <f>IF('Port Bloomberg'!G687="","",'Port Bloomberg'!G687)</f>
        <v/>
      </c>
      <c r="H687" s="7" t="str">
        <f>IF('Port Bloomberg'!H687="","",'Port Bloomberg'!H687)</f>
        <v/>
      </c>
      <c r="I687" s="7" t="str">
        <f>IF('Port Bloomberg'!I687="","",'Port Bloomberg'!I687)</f>
        <v/>
      </c>
      <c r="J687" s="7" t="str">
        <f>IF('Port Bloomberg'!J687="","",'Port Bloomberg'!J687)</f>
        <v/>
      </c>
      <c r="K687" s="7" t="str">
        <f>IF('Port Bloomberg'!K687="","",'Port Bloomberg'!K687)</f>
        <v/>
      </c>
      <c r="L687" s="7" t="str">
        <f>IF('Port Bloomberg'!L687="","",'Port Bloomberg'!L687)</f>
        <v/>
      </c>
      <c r="M687" s="7" t="str">
        <f>IF('Port Bloomberg'!M687="","",'Port Bloomberg'!M687)</f>
        <v/>
      </c>
      <c r="N687" s="7" t="str">
        <f>IF('Port Bloomberg'!N687="","",'Port Bloomberg'!N687)</f>
        <v/>
      </c>
      <c r="O687" s="7" t="str">
        <f>IF('Port Bloomberg'!O687="","",'Port Bloomberg'!O687)</f>
        <v/>
      </c>
      <c r="P687" s="7" t="str">
        <f>IF('Port Bloomberg'!P687="","",'Port Bloomberg'!P687)</f>
        <v/>
      </c>
      <c r="Q687" s="7" t="str">
        <f>IF('Port Bloomberg'!Q687="","",'Port Bloomberg'!Q687)</f>
        <v/>
      </c>
      <c r="R687" s="7" t="str">
        <f>IF('Port Bloomberg'!R687="","",'Port Bloomberg'!R687)</f>
        <v/>
      </c>
      <c r="S687" s="5" t="str">
        <f>IF(E687="","",IFERROR(IF(MATCH(E687,[1]Instrumentos!$D:$D,0)&gt;0,1,0),0))</f>
        <v/>
      </c>
      <c r="T687" s="5" t="str">
        <f>IF(E687="","",IFERROR(IF(MATCH(E687,'Lista de excepciones'!$E:$E,0)&gt;0,1,0),0))</f>
        <v/>
      </c>
      <c r="U687" s="6" t="str">
        <f t="shared" si="11"/>
        <v/>
      </c>
    </row>
    <row r="688" spans="1:21" hidden="1" x14ac:dyDescent="0.25">
      <c r="A688" s="7" t="str">
        <f>IF('Port Bloomberg'!A688="","",'Port Bloomberg'!A688)</f>
        <v/>
      </c>
      <c r="B688" s="7" t="str">
        <f>IF('Port Bloomberg'!B688="","",'Port Bloomberg'!B688)</f>
        <v/>
      </c>
      <c r="C688" s="7" t="str">
        <f>IF('Port Bloomberg'!C688="","",'Port Bloomberg'!C688)</f>
        <v/>
      </c>
      <c r="D688" s="7" t="str">
        <f>IF('Port Bloomberg'!D688="","",'Port Bloomberg'!D688)</f>
        <v/>
      </c>
      <c r="E688" s="7" t="str">
        <f>IF('Port Bloomberg'!E688="","",'Port Bloomberg'!E688)</f>
        <v/>
      </c>
      <c r="F688" s="7" t="str">
        <f>IF('Port Bloomberg'!F688="","",'Port Bloomberg'!F688)</f>
        <v/>
      </c>
      <c r="G688" s="7" t="str">
        <f>IF('Port Bloomberg'!G688="","",'Port Bloomberg'!G688)</f>
        <v/>
      </c>
      <c r="H688" s="7" t="str">
        <f>IF('Port Bloomberg'!H688="","",'Port Bloomberg'!H688)</f>
        <v/>
      </c>
      <c r="I688" s="7" t="str">
        <f>IF('Port Bloomberg'!I688="","",'Port Bloomberg'!I688)</f>
        <v/>
      </c>
      <c r="J688" s="7" t="str">
        <f>IF('Port Bloomberg'!J688="","",'Port Bloomberg'!J688)</f>
        <v/>
      </c>
      <c r="K688" s="7" t="str">
        <f>IF('Port Bloomberg'!K688="","",'Port Bloomberg'!K688)</f>
        <v/>
      </c>
      <c r="L688" s="7" t="str">
        <f>IF('Port Bloomberg'!L688="","",'Port Bloomberg'!L688)</f>
        <v/>
      </c>
      <c r="M688" s="7" t="str">
        <f>IF('Port Bloomberg'!M688="","",'Port Bloomberg'!M688)</f>
        <v/>
      </c>
      <c r="N688" s="7" t="str">
        <f>IF('Port Bloomberg'!N688="","",'Port Bloomberg'!N688)</f>
        <v/>
      </c>
      <c r="O688" s="7" t="str">
        <f>IF('Port Bloomberg'!O688="","",'Port Bloomberg'!O688)</f>
        <v/>
      </c>
      <c r="P688" s="7" t="str">
        <f>IF('Port Bloomberg'!P688="","",'Port Bloomberg'!P688)</f>
        <v/>
      </c>
      <c r="Q688" s="7" t="str">
        <f>IF('Port Bloomberg'!Q688="","",'Port Bloomberg'!Q688)</f>
        <v/>
      </c>
      <c r="R688" s="7" t="str">
        <f>IF('Port Bloomberg'!R688="","",'Port Bloomberg'!R688)</f>
        <v/>
      </c>
      <c r="S688" s="5" t="str">
        <f>IF(E688="","",IFERROR(IF(MATCH(E688,[1]Instrumentos!$D:$D,0)&gt;0,1,0),0))</f>
        <v/>
      </c>
      <c r="T688" s="5" t="str">
        <f>IF(E688="","",IFERROR(IF(MATCH(E688,'Lista de excepciones'!$E:$E,0)&gt;0,1,0),0))</f>
        <v/>
      </c>
      <c r="U688" s="6" t="str">
        <f t="shared" si="11"/>
        <v/>
      </c>
    </row>
    <row r="689" spans="1:21" hidden="1" x14ac:dyDescent="0.25">
      <c r="A689" s="7" t="str">
        <f>IF('Port Bloomberg'!A689="","",'Port Bloomberg'!A689)</f>
        <v/>
      </c>
      <c r="B689" s="7" t="str">
        <f>IF('Port Bloomberg'!B689="","",'Port Bloomberg'!B689)</f>
        <v/>
      </c>
      <c r="C689" s="7" t="str">
        <f>IF('Port Bloomberg'!C689="","",'Port Bloomberg'!C689)</f>
        <v/>
      </c>
      <c r="D689" s="7" t="str">
        <f>IF('Port Bloomberg'!D689="","",'Port Bloomberg'!D689)</f>
        <v/>
      </c>
      <c r="E689" s="7" t="str">
        <f>IF('Port Bloomberg'!E689="","",'Port Bloomberg'!E689)</f>
        <v/>
      </c>
      <c r="F689" s="7" t="str">
        <f>IF('Port Bloomberg'!F689="","",'Port Bloomberg'!F689)</f>
        <v/>
      </c>
      <c r="G689" s="7" t="str">
        <f>IF('Port Bloomberg'!G689="","",'Port Bloomberg'!G689)</f>
        <v/>
      </c>
      <c r="H689" s="7" t="str">
        <f>IF('Port Bloomberg'!H689="","",'Port Bloomberg'!H689)</f>
        <v/>
      </c>
      <c r="I689" s="7" t="str">
        <f>IF('Port Bloomberg'!I689="","",'Port Bloomberg'!I689)</f>
        <v/>
      </c>
      <c r="J689" s="7" t="str">
        <f>IF('Port Bloomberg'!J689="","",'Port Bloomberg'!J689)</f>
        <v/>
      </c>
      <c r="K689" s="7" t="str">
        <f>IF('Port Bloomberg'!K689="","",'Port Bloomberg'!K689)</f>
        <v/>
      </c>
      <c r="L689" s="7" t="str">
        <f>IF('Port Bloomberg'!L689="","",'Port Bloomberg'!L689)</f>
        <v/>
      </c>
      <c r="M689" s="7" t="str">
        <f>IF('Port Bloomberg'!M689="","",'Port Bloomberg'!M689)</f>
        <v/>
      </c>
      <c r="N689" s="7" t="str">
        <f>IF('Port Bloomberg'!N689="","",'Port Bloomberg'!N689)</f>
        <v/>
      </c>
      <c r="O689" s="7" t="str">
        <f>IF('Port Bloomberg'!O689="","",'Port Bloomberg'!O689)</f>
        <v/>
      </c>
      <c r="P689" s="7" t="str">
        <f>IF('Port Bloomberg'!P689="","",'Port Bloomberg'!P689)</f>
        <v/>
      </c>
      <c r="Q689" s="7" t="str">
        <f>IF('Port Bloomberg'!Q689="","",'Port Bloomberg'!Q689)</f>
        <v/>
      </c>
      <c r="R689" s="7" t="str">
        <f>IF('Port Bloomberg'!R689="","",'Port Bloomberg'!R689)</f>
        <v/>
      </c>
      <c r="S689" s="5" t="str">
        <f>IF(E689="","",IFERROR(IF(MATCH(E689,[1]Instrumentos!$D:$D,0)&gt;0,1,0),0))</f>
        <v/>
      </c>
      <c r="T689" s="5" t="str">
        <f>IF(E689="","",IFERROR(IF(MATCH(E689,'Lista de excepciones'!$E:$E,0)&gt;0,1,0),0))</f>
        <v/>
      </c>
      <c r="U689" s="6" t="str">
        <f t="shared" si="11"/>
        <v/>
      </c>
    </row>
    <row r="690" spans="1:21" hidden="1" x14ac:dyDescent="0.25">
      <c r="A690" s="7" t="str">
        <f>IF('Port Bloomberg'!A690="","",'Port Bloomberg'!A690)</f>
        <v/>
      </c>
      <c r="B690" s="7" t="str">
        <f>IF('Port Bloomberg'!B690="","",'Port Bloomberg'!B690)</f>
        <v/>
      </c>
      <c r="C690" s="7" t="str">
        <f>IF('Port Bloomberg'!C690="","",'Port Bloomberg'!C690)</f>
        <v/>
      </c>
      <c r="D690" s="7" t="str">
        <f>IF('Port Bloomberg'!D690="","",'Port Bloomberg'!D690)</f>
        <v/>
      </c>
      <c r="E690" s="7" t="str">
        <f>IF('Port Bloomberg'!E690="","",'Port Bloomberg'!E690)</f>
        <v/>
      </c>
      <c r="F690" s="7" t="str">
        <f>IF('Port Bloomberg'!F690="","",'Port Bloomberg'!F690)</f>
        <v/>
      </c>
      <c r="G690" s="7" t="str">
        <f>IF('Port Bloomberg'!G690="","",'Port Bloomberg'!G690)</f>
        <v/>
      </c>
      <c r="H690" s="7" t="str">
        <f>IF('Port Bloomberg'!H690="","",'Port Bloomberg'!H690)</f>
        <v/>
      </c>
      <c r="I690" s="7" t="str">
        <f>IF('Port Bloomberg'!I690="","",'Port Bloomberg'!I690)</f>
        <v/>
      </c>
      <c r="J690" s="7" t="str">
        <f>IF('Port Bloomberg'!J690="","",'Port Bloomberg'!J690)</f>
        <v/>
      </c>
      <c r="K690" s="7" t="str">
        <f>IF('Port Bloomberg'!K690="","",'Port Bloomberg'!K690)</f>
        <v/>
      </c>
      <c r="L690" s="7" t="str">
        <f>IF('Port Bloomberg'!L690="","",'Port Bloomberg'!L690)</f>
        <v/>
      </c>
      <c r="M690" s="7" t="str">
        <f>IF('Port Bloomberg'!M690="","",'Port Bloomberg'!M690)</f>
        <v/>
      </c>
      <c r="N690" s="7" t="str">
        <f>IF('Port Bloomberg'!N690="","",'Port Bloomberg'!N690)</f>
        <v/>
      </c>
      <c r="O690" s="7" t="str">
        <f>IF('Port Bloomberg'!O690="","",'Port Bloomberg'!O690)</f>
        <v/>
      </c>
      <c r="P690" s="7" t="str">
        <f>IF('Port Bloomberg'!P690="","",'Port Bloomberg'!P690)</f>
        <v/>
      </c>
      <c r="Q690" s="7" t="str">
        <f>IF('Port Bloomberg'!Q690="","",'Port Bloomberg'!Q690)</f>
        <v/>
      </c>
      <c r="R690" s="7" t="str">
        <f>IF('Port Bloomberg'!R690="","",'Port Bloomberg'!R690)</f>
        <v/>
      </c>
      <c r="S690" s="5" t="str">
        <f>IF(E690="","",IFERROR(IF(MATCH(E690,[1]Instrumentos!$D:$D,0)&gt;0,1,0),0))</f>
        <v/>
      </c>
      <c r="T690" s="5" t="str">
        <f>IF(E690="","",IFERROR(IF(MATCH(E690,'Lista de excepciones'!$E:$E,0)&gt;0,1,0),0))</f>
        <v/>
      </c>
      <c r="U690" s="6" t="str">
        <f t="shared" si="11"/>
        <v/>
      </c>
    </row>
    <row r="691" spans="1:21" hidden="1" x14ac:dyDescent="0.25">
      <c r="A691" s="7" t="str">
        <f>IF('Port Bloomberg'!A691="","",'Port Bloomberg'!A691)</f>
        <v/>
      </c>
      <c r="B691" s="7" t="str">
        <f>IF('Port Bloomberg'!B691="","",'Port Bloomberg'!B691)</f>
        <v/>
      </c>
      <c r="C691" s="7" t="str">
        <f>IF('Port Bloomberg'!C691="","",'Port Bloomberg'!C691)</f>
        <v/>
      </c>
      <c r="D691" s="7" t="str">
        <f>IF('Port Bloomberg'!D691="","",'Port Bloomberg'!D691)</f>
        <v/>
      </c>
      <c r="E691" s="7" t="str">
        <f>IF('Port Bloomberg'!E691="","",'Port Bloomberg'!E691)</f>
        <v/>
      </c>
      <c r="F691" s="7" t="str">
        <f>IF('Port Bloomberg'!F691="","",'Port Bloomberg'!F691)</f>
        <v/>
      </c>
      <c r="G691" s="7" t="str">
        <f>IF('Port Bloomberg'!G691="","",'Port Bloomberg'!G691)</f>
        <v/>
      </c>
      <c r="H691" s="7" t="str">
        <f>IF('Port Bloomberg'!H691="","",'Port Bloomberg'!H691)</f>
        <v/>
      </c>
      <c r="I691" s="7" t="str">
        <f>IF('Port Bloomberg'!I691="","",'Port Bloomberg'!I691)</f>
        <v/>
      </c>
      <c r="J691" s="7" t="str">
        <f>IF('Port Bloomberg'!J691="","",'Port Bloomberg'!J691)</f>
        <v/>
      </c>
      <c r="K691" s="7" t="str">
        <f>IF('Port Bloomberg'!K691="","",'Port Bloomberg'!K691)</f>
        <v/>
      </c>
      <c r="L691" s="7" t="str">
        <f>IF('Port Bloomberg'!L691="","",'Port Bloomberg'!L691)</f>
        <v/>
      </c>
      <c r="M691" s="7" t="str">
        <f>IF('Port Bloomberg'!M691="","",'Port Bloomberg'!M691)</f>
        <v/>
      </c>
      <c r="N691" s="7" t="str">
        <f>IF('Port Bloomberg'!N691="","",'Port Bloomberg'!N691)</f>
        <v/>
      </c>
      <c r="O691" s="7" t="str">
        <f>IF('Port Bloomberg'!O691="","",'Port Bloomberg'!O691)</f>
        <v/>
      </c>
      <c r="P691" s="7" t="str">
        <f>IF('Port Bloomberg'!P691="","",'Port Bloomberg'!P691)</f>
        <v/>
      </c>
      <c r="Q691" s="7" t="str">
        <f>IF('Port Bloomberg'!Q691="","",'Port Bloomberg'!Q691)</f>
        <v/>
      </c>
      <c r="R691" s="7" t="str">
        <f>IF('Port Bloomberg'!R691="","",'Port Bloomberg'!R691)</f>
        <v/>
      </c>
      <c r="S691" s="5" t="str">
        <f>IF(E691="","",IFERROR(IF(MATCH(E691,[1]Instrumentos!$D:$D,0)&gt;0,1,0),0))</f>
        <v/>
      </c>
      <c r="T691" s="5" t="str">
        <f>IF(E691="","",IFERROR(IF(MATCH(E691,'Lista de excepciones'!$E:$E,0)&gt;0,1,0),0))</f>
        <v/>
      </c>
      <c r="U691" s="6" t="str">
        <f t="shared" si="11"/>
        <v/>
      </c>
    </row>
    <row r="692" spans="1:21" hidden="1" x14ac:dyDescent="0.25">
      <c r="A692" s="7" t="str">
        <f>IF('Port Bloomberg'!A692="","",'Port Bloomberg'!A692)</f>
        <v/>
      </c>
      <c r="B692" s="7" t="str">
        <f>IF('Port Bloomberg'!B692="","",'Port Bloomberg'!B692)</f>
        <v/>
      </c>
      <c r="C692" s="7" t="str">
        <f>IF('Port Bloomberg'!C692="","",'Port Bloomberg'!C692)</f>
        <v/>
      </c>
      <c r="D692" s="7" t="str">
        <f>IF('Port Bloomberg'!D692="","",'Port Bloomberg'!D692)</f>
        <v/>
      </c>
      <c r="E692" s="7" t="str">
        <f>IF('Port Bloomberg'!E692="","",'Port Bloomberg'!E692)</f>
        <v/>
      </c>
      <c r="F692" s="7" t="str">
        <f>IF('Port Bloomberg'!F692="","",'Port Bloomberg'!F692)</f>
        <v/>
      </c>
      <c r="G692" s="7" t="str">
        <f>IF('Port Bloomberg'!G692="","",'Port Bloomberg'!G692)</f>
        <v/>
      </c>
      <c r="H692" s="7" t="str">
        <f>IF('Port Bloomberg'!H692="","",'Port Bloomberg'!H692)</f>
        <v/>
      </c>
      <c r="I692" s="7" t="str">
        <f>IF('Port Bloomberg'!I692="","",'Port Bloomberg'!I692)</f>
        <v/>
      </c>
      <c r="J692" s="7" t="str">
        <f>IF('Port Bloomberg'!J692="","",'Port Bloomberg'!J692)</f>
        <v/>
      </c>
      <c r="K692" s="7" t="str">
        <f>IF('Port Bloomberg'!K692="","",'Port Bloomberg'!K692)</f>
        <v/>
      </c>
      <c r="L692" s="7" t="str">
        <f>IF('Port Bloomberg'!L692="","",'Port Bloomberg'!L692)</f>
        <v/>
      </c>
      <c r="M692" s="7" t="str">
        <f>IF('Port Bloomberg'!M692="","",'Port Bloomberg'!M692)</f>
        <v/>
      </c>
      <c r="N692" s="7" t="str">
        <f>IF('Port Bloomberg'!N692="","",'Port Bloomberg'!N692)</f>
        <v/>
      </c>
      <c r="O692" s="7" t="str">
        <f>IF('Port Bloomberg'!O692="","",'Port Bloomberg'!O692)</f>
        <v/>
      </c>
      <c r="P692" s="7" t="str">
        <f>IF('Port Bloomberg'!P692="","",'Port Bloomberg'!P692)</f>
        <v/>
      </c>
      <c r="Q692" s="7" t="str">
        <f>IF('Port Bloomberg'!Q692="","",'Port Bloomberg'!Q692)</f>
        <v/>
      </c>
      <c r="R692" s="7" t="str">
        <f>IF('Port Bloomberg'!R692="","",'Port Bloomberg'!R692)</f>
        <v/>
      </c>
      <c r="S692" s="5" t="str">
        <f>IF(E692="","",IFERROR(IF(MATCH(E692,[1]Instrumentos!$D:$D,0)&gt;0,1,0),0))</f>
        <v/>
      </c>
      <c r="T692" s="5" t="str">
        <f>IF(E692="","",IFERROR(IF(MATCH(E692,'Lista de excepciones'!$E:$E,0)&gt;0,1,0),0))</f>
        <v/>
      </c>
      <c r="U692" s="6" t="str">
        <f t="shared" si="11"/>
        <v/>
      </c>
    </row>
    <row r="693" spans="1:21" hidden="1" x14ac:dyDescent="0.25">
      <c r="A693" s="7" t="str">
        <f>IF('Port Bloomberg'!A693="","",'Port Bloomberg'!A693)</f>
        <v/>
      </c>
      <c r="B693" s="7" t="str">
        <f>IF('Port Bloomberg'!B693="","",'Port Bloomberg'!B693)</f>
        <v/>
      </c>
      <c r="C693" s="7" t="str">
        <f>IF('Port Bloomberg'!C693="","",'Port Bloomberg'!C693)</f>
        <v/>
      </c>
      <c r="D693" s="7" t="str">
        <f>IF('Port Bloomberg'!D693="","",'Port Bloomberg'!D693)</f>
        <v/>
      </c>
      <c r="E693" s="7" t="str">
        <f>IF('Port Bloomberg'!E693="","",'Port Bloomberg'!E693)</f>
        <v/>
      </c>
      <c r="F693" s="7" t="str">
        <f>IF('Port Bloomberg'!F693="","",'Port Bloomberg'!F693)</f>
        <v/>
      </c>
      <c r="G693" s="7" t="str">
        <f>IF('Port Bloomberg'!G693="","",'Port Bloomberg'!G693)</f>
        <v/>
      </c>
      <c r="H693" s="7" t="str">
        <f>IF('Port Bloomberg'!H693="","",'Port Bloomberg'!H693)</f>
        <v/>
      </c>
      <c r="I693" s="7" t="str">
        <f>IF('Port Bloomberg'!I693="","",'Port Bloomberg'!I693)</f>
        <v/>
      </c>
      <c r="J693" s="7" t="str">
        <f>IF('Port Bloomberg'!J693="","",'Port Bloomberg'!J693)</f>
        <v/>
      </c>
      <c r="K693" s="7" t="str">
        <f>IF('Port Bloomberg'!K693="","",'Port Bloomberg'!K693)</f>
        <v/>
      </c>
      <c r="L693" s="7" t="str">
        <f>IF('Port Bloomberg'!L693="","",'Port Bloomberg'!L693)</f>
        <v/>
      </c>
      <c r="M693" s="7" t="str">
        <f>IF('Port Bloomberg'!M693="","",'Port Bloomberg'!M693)</f>
        <v/>
      </c>
      <c r="N693" s="7" t="str">
        <f>IF('Port Bloomberg'!N693="","",'Port Bloomberg'!N693)</f>
        <v/>
      </c>
      <c r="O693" s="7" t="str">
        <f>IF('Port Bloomberg'!O693="","",'Port Bloomberg'!O693)</f>
        <v/>
      </c>
      <c r="P693" s="7" t="str">
        <f>IF('Port Bloomberg'!P693="","",'Port Bloomberg'!P693)</f>
        <v/>
      </c>
      <c r="Q693" s="7" t="str">
        <f>IF('Port Bloomberg'!Q693="","",'Port Bloomberg'!Q693)</f>
        <v/>
      </c>
      <c r="R693" s="7" t="str">
        <f>IF('Port Bloomberg'!R693="","",'Port Bloomberg'!R693)</f>
        <v/>
      </c>
      <c r="S693" s="5" t="str">
        <f>IF(E693="","",IFERROR(IF(MATCH(E693,[1]Instrumentos!$D:$D,0)&gt;0,1,0),0))</f>
        <v/>
      </c>
      <c r="T693" s="5" t="str">
        <f>IF(E693="","",IFERROR(IF(MATCH(E693,'Lista de excepciones'!$E:$E,0)&gt;0,1,0),0))</f>
        <v/>
      </c>
      <c r="U693" s="6" t="str">
        <f t="shared" si="11"/>
        <v/>
      </c>
    </row>
    <row r="694" spans="1:21" hidden="1" x14ac:dyDescent="0.25">
      <c r="A694" s="7" t="str">
        <f>IF('Port Bloomberg'!A694="","",'Port Bloomberg'!A694)</f>
        <v/>
      </c>
      <c r="B694" s="7" t="str">
        <f>IF('Port Bloomberg'!B694="","",'Port Bloomberg'!B694)</f>
        <v/>
      </c>
      <c r="C694" s="7" t="str">
        <f>IF('Port Bloomberg'!C694="","",'Port Bloomberg'!C694)</f>
        <v/>
      </c>
      <c r="D694" s="7" t="str">
        <f>IF('Port Bloomberg'!D694="","",'Port Bloomberg'!D694)</f>
        <v/>
      </c>
      <c r="E694" s="7" t="str">
        <f>IF('Port Bloomberg'!E694="","",'Port Bloomberg'!E694)</f>
        <v/>
      </c>
      <c r="F694" s="7" t="str">
        <f>IF('Port Bloomberg'!F694="","",'Port Bloomberg'!F694)</f>
        <v/>
      </c>
      <c r="G694" s="7" t="str">
        <f>IF('Port Bloomberg'!G694="","",'Port Bloomberg'!G694)</f>
        <v/>
      </c>
      <c r="H694" s="7" t="str">
        <f>IF('Port Bloomberg'!H694="","",'Port Bloomberg'!H694)</f>
        <v/>
      </c>
      <c r="I694" s="7" t="str">
        <f>IF('Port Bloomberg'!I694="","",'Port Bloomberg'!I694)</f>
        <v/>
      </c>
      <c r="J694" s="7" t="str">
        <f>IF('Port Bloomberg'!J694="","",'Port Bloomberg'!J694)</f>
        <v/>
      </c>
      <c r="K694" s="7" t="str">
        <f>IF('Port Bloomberg'!K694="","",'Port Bloomberg'!K694)</f>
        <v/>
      </c>
      <c r="L694" s="7" t="str">
        <f>IF('Port Bloomberg'!L694="","",'Port Bloomberg'!L694)</f>
        <v/>
      </c>
      <c r="M694" s="7" t="str">
        <f>IF('Port Bloomberg'!M694="","",'Port Bloomberg'!M694)</f>
        <v/>
      </c>
      <c r="N694" s="7" t="str">
        <f>IF('Port Bloomberg'!N694="","",'Port Bloomberg'!N694)</f>
        <v/>
      </c>
      <c r="O694" s="7" t="str">
        <f>IF('Port Bloomberg'!O694="","",'Port Bloomberg'!O694)</f>
        <v/>
      </c>
      <c r="P694" s="7" t="str">
        <f>IF('Port Bloomberg'!P694="","",'Port Bloomberg'!P694)</f>
        <v/>
      </c>
      <c r="Q694" s="7" t="str">
        <f>IF('Port Bloomberg'!Q694="","",'Port Bloomberg'!Q694)</f>
        <v/>
      </c>
      <c r="R694" s="7" t="str">
        <f>IF('Port Bloomberg'!R694="","",'Port Bloomberg'!R694)</f>
        <v/>
      </c>
      <c r="S694" s="5" t="str">
        <f>IF(E694="","",IFERROR(IF(MATCH(E694,[1]Instrumentos!$D:$D,0)&gt;0,1,0),0))</f>
        <v/>
      </c>
      <c r="T694" s="5" t="str">
        <f>IF(E694="","",IFERROR(IF(MATCH(E694,'Lista de excepciones'!$E:$E,0)&gt;0,1,0),0))</f>
        <v/>
      </c>
      <c r="U694" s="6" t="str">
        <f t="shared" si="11"/>
        <v/>
      </c>
    </row>
    <row r="695" spans="1:21" hidden="1" x14ac:dyDescent="0.25">
      <c r="A695" s="7" t="str">
        <f>IF('Port Bloomberg'!A695="","",'Port Bloomberg'!A695)</f>
        <v/>
      </c>
      <c r="B695" s="7" t="str">
        <f>IF('Port Bloomberg'!B695="","",'Port Bloomberg'!B695)</f>
        <v/>
      </c>
      <c r="C695" s="7" t="str">
        <f>IF('Port Bloomberg'!C695="","",'Port Bloomberg'!C695)</f>
        <v/>
      </c>
      <c r="D695" s="7" t="str">
        <f>IF('Port Bloomberg'!D695="","",'Port Bloomberg'!D695)</f>
        <v/>
      </c>
      <c r="E695" s="7" t="str">
        <f>IF('Port Bloomberg'!E695="","",'Port Bloomberg'!E695)</f>
        <v/>
      </c>
      <c r="F695" s="7" t="str">
        <f>IF('Port Bloomberg'!F695="","",'Port Bloomberg'!F695)</f>
        <v/>
      </c>
      <c r="G695" s="7" t="str">
        <f>IF('Port Bloomberg'!G695="","",'Port Bloomberg'!G695)</f>
        <v/>
      </c>
      <c r="H695" s="7" t="str">
        <f>IF('Port Bloomberg'!H695="","",'Port Bloomberg'!H695)</f>
        <v/>
      </c>
      <c r="I695" s="7" t="str">
        <f>IF('Port Bloomberg'!I695="","",'Port Bloomberg'!I695)</f>
        <v/>
      </c>
      <c r="J695" s="7" t="str">
        <f>IF('Port Bloomberg'!J695="","",'Port Bloomberg'!J695)</f>
        <v/>
      </c>
      <c r="K695" s="7" t="str">
        <f>IF('Port Bloomberg'!K695="","",'Port Bloomberg'!K695)</f>
        <v/>
      </c>
      <c r="L695" s="7" t="str">
        <f>IF('Port Bloomberg'!L695="","",'Port Bloomberg'!L695)</f>
        <v/>
      </c>
      <c r="M695" s="7" t="str">
        <f>IF('Port Bloomberg'!M695="","",'Port Bloomberg'!M695)</f>
        <v/>
      </c>
      <c r="N695" s="7" t="str">
        <f>IF('Port Bloomberg'!N695="","",'Port Bloomberg'!N695)</f>
        <v/>
      </c>
      <c r="O695" s="7" t="str">
        <f>IF('Port Bloomberg'!O695="","",'Port Bloomberg'!O695)</f>
        <v/>
      </c>
      <c r="P695" s="7" t="str">
        <f>IF('Port Bloomberg'!P695="","",'Port Bloomberg'!P695)</f>
        <v/>
      </c>
      <c r="Q695" s="7" t="str">
        <f>IF('Port Bloomberg'!Q695="","",'Port Bloomberg'!Q695)</f>
        <v/>
      </c>
      <c r="R695" s="7" t="str">
        <f>IF('Port Bloomberg'!R695="","",'Port Bloomberg'!R695)</f>
        <v/>
      </c>
      <c r="S695" s="5" t="str">
        <f>IF(E695="","",IFERROR(IF(MATCH(E695,[1]Instrumentos!$D:$D,0)&gt;0,1,0),0))</f>
        <v/>
      </c>
      <c r="T695" s="5" t="str">
        <f>IF(E695="","",IFERROR(IF(MATCH(E695,'Lista de excepciones'!$E:$E,0)&gt;0,1,0),0))</f>
        <v/>
      </c>
      <c r="U695" s="6" t="str">
        <f t="shared" si="11"/>
        <v/>
      </c>
    </row>
    <row r="696" spans="1:21" hidden="1" x14ac:dyDescent="0.25">
      <c r="A696" s="7" t="str">
        <f>IF('Port Bloomberg'!A696="","",'Port Bloomberg'!A696)</f>
        <v/>
      </c>
      <c r="B696" s="7" t="str">
        <f>IF('Port Bloomberg'!B696="","",'Port Bloomberg'!B696)</f>
        <v/>
      </c>
      <c r="C696" s="7" t="str">
        <f>IF('Port Bloomberg'!C696="","",'Port Bloomberg'!C696)</f>
        <v/>
      </c>
      <c r="D696" s="7" t="str">
        <f>IF('Port Bloomberg'!D696="","",'Port Bloomberg'!D696)</f>
        <v/>
      </c>
      <c r="E696" s="7" t="str">
        <f>IF('Port Bloomberg'!E696="","",'Port Bloomberg'!E696)</f>
        <v/>
      </c>
      <c r="F696" s="7" t="str">
        <f>IF('Port Bloomberg'!F696="","",'Port Bloomberg'!F696)</f>
        <v/>
      </c>
      <c r="G696" s="7" t="str">
        <f>IF('Port Bloomberg'!G696="","",'Port Bloomberg'!G696)</f>
        <v/>
      </c>
      <c r="H696" s="7" t="str">
        <f>IF('Port Bloomberg'!H696="","",'Port Bloomberg'!H696)</f>
        <v/>
      </c>
      <c r="I696" s="7" t="str">
        <f>IF('Port Bloomberg'!I696="","",'Port Bloomberg'!I696)</f>
        <v/>
      </c>
      <c r="J696" s="7" t="str">
        <f>IF('Port Bloomberg'!J696="","",'Port Bloomberg'!J696)</f>
        <v/>
      </c>
      <c r="K696" s="7" t="str">
        <f>IF('Port Bloomberg'!K696="","",'Port Bloomberg'!K696)</f>
        <v/>
      </c>
      <c r="L696" s="7" t="str">
        <f>IF('Port Bloomberg'!L696="","",'Port Bloomberg'!L696)</f>
        <v/>
      </c>
      <c r="M696" s="7" t="str">
        <f>IF('Port Bloomberg'!M696="","",'Port Bloomberg'!M696)</f>
        <v/>
      </c>
      <c r="N696" s="7" t="str">
        <f>IF('Port Bloomberg'!N696="","",'Port Bloomberg'!N696)</f>
        <v/>
      </c>
      <c r="O696" s="7" t="str">
        <f>IF('Port Bloomberg'!O696="","",'Port Bloomberg'!O696)</f>
        <v/>
      </c>
      <c r="P696" s="7" t="str">
        <f>IF('Port Bloomberg'!P696="","",'Port Bloomberg'!P696)</f>
        <v/>
      </c>
      <c r="Q696" s="7" t="str">
        <f>IF('Port Bloomberg'!Q696="","",'Port Bloomberg'!Q696)</f>
        <v/>
      </c>
      <c r="R696" s="7" t="str">
        <f>IF('Port Bloomberg'!R696="","",'Port Bloomberg'!R696)</f>
        <v/>
      </c>
      <c r="S696" s="5" t="str">
        <f>IF(E696="","",IFERROR(IF(MATCH(E696,[1]Instrumentos!$D:$D,0)&gt;0,1,0),0))</f>
        <v/>
      </c>
      <c r="T696" s="5" t="str">
        <f>IF(E696="","",IFERROR(IF(MATCH(E696,'Lista de excepciones'!$E:$E,0)&gt;0,1,0),0))</f>
        <v/>
      </c>
      <c r="U696" s="6" t="str">
        <f t="shared" si="11"/>
        <v/>
      </c>
    </row>
    <row r="697" spans="1:21" hidden="1" x14ac:dyDescent="0.25">
      <c r="A697" s="7" t="str">
        <f>IF('Port Bloomberg'!A697="","",'Port Bloomberg'!A697)</f>
        <v/>
      </c>
      <c r="B697" s="7" t="str">
        <f>IF('Port Bloomberg'!B697="","",'Port Bloomberg'!B697)</f>
        <v/>
      </c>
      <c r="C697" s="7" t="str">
        <f>IF('Port Bloomberg'!C697="","",'Port Bloomberg'!C697)</f>
        <v/>
      </c>
      <c r="D697" s="7" t="str">
        <f>IF('Port Bloomberg'!D697="","",'Port Bloomberg'!D697)</f>
        <v/>
      </c>
      <c r="E697" s="7" t="str">
        <f>IF('Port Bloomberg'!E697="","",'Port Bloomberg'!E697)</f>
        <v/>
      </c>
      <c r="F697" s="7" t="str">
        <f>IF('Port Bloomberg'!F697="","",'Port Bloomberg'!F697)</f>
        <v/>
      </c>
      <c r="G697" s="7" t="str">
        <f>IF('Port Bloomberg'!G697="","",'Port Bloomberg'!G697)</f>
        <v/>
      </c>
      <c r="H697" s="7" t="str">
        <f>IF('Port Bloomberg'!H697="","",'Port Bloomberg'!H697)</f>
        <v/>
      </c>
      <c r="I697" s="7" t="str">
        <f>IF('Port Bloomberg'!I697="","",'Port Bloomberg'!I697)</f>
        <v/>
      </c>
      <c r="J697" s="7" t="str">
        <f>IF('Port Bloomberg'!J697="","",'Port Bloomberg'!J697)</f>
        <v/>
      </c>
      <c r="K697" s="7" t="str">
        <f>IF('Port Bloomberg'!K697="","",'Port Bloomberg'!K697)</f>
        <v/>
      </c>
      <c r="L697" s="7" t="str">
        <f>IF('Port Bloomberg'!L697="","",'Port Bloomberg'!L697)</f>
        <v/>
      </c>
      <c r="M697" s="7" t="str">
        <f>IF('Port Bloomberg'!M697="","",'Port Bloomberg'!M697)</f>
        <v/>
      </c>
      <c r="N697" s="7" t="str">
        <f>IF('Port Bloomberg'!N697="","",'Port Bloomberg'!N697)</f>
        <v/>
      </c>
      <c r="O697" s="7" t="str">
        <f>IF('Port Bloomberg'!O697="","",'Port Bloomberg'!O697)</f>
        <v/>
      </c>
      <c r="P697" s="7" t="str">
        <f>IF('Port Bloomberg'!P697="","",'Port Bloomberg'!P697)</f>
        <v/>
      </c>
      <c r="Q697" s="7" t="str">
        <f>IF('Port Bloomberg'!Q697="","",'Port Bloomberg'!Q697)</f>
        <v/>
      </c>
      <c r="R697" s="7" t="str">
        <f>IF('Port Bloomberg'!R697="","",'Port Bloomberg'!R697)</f>
        <v/>
      </c>
      <c r="S697" s="5" t="str">
        <f>IF(E697="","",IFERROR(IF(MATCH(E697,[1]Instrumentos!$D:$D,0)&gt;0,1,0),0))</f>
        <v/>
      </c>
      <c r="T697" s="5" t="str">
        <f>IF(E697="","",IFERROR(IF(MATCH(E697,'Lista de excepciones'!$E:$E,0)&gt;0,1,0),0))</f>
        <v/>
      </c>
      <c r="U697" s="6" t="str">
        <f t="shared" si="11"/>
        <v/>
      </c>
    </row>
    <row r="698" spans="1:21" hidden="1" x14ac:dyDescent="0.25">
      <c r="A698" s="7" t="str">
        <f>IF('Port Bloomberg'!A698="","",'Port Bloomberg'!A698)</f>
        <v/>
      </c>
      <c r="B698" s="7" t="str">
        <f>IF('Port Bloomberg'!B698="","",'Port Bloomberg'!B698)</f>
        <v/>
      </c>
      <c r="C698" s="7" t="str">
        <f>IF('Port Bloomberg'!C698="","",'Port Bloomberg'!C698)</f>
        <v/>
      </c>
      <c r="D698" s="7" t="str">
        <f>IF('Port Bloomberg'!D698="","",'Port Bloomberg'!D698)</f>
        <v/>
      </c>
      <c r="E698" s="7" t="str">
        <f>IF('Port Bloomberg'!E698="","",'Port Bloomberg'!E698)</f>
        <v/>
      </c>
      <c r="F698" s="7" t="str">
        <f>IF('Port Bloomberg'!F698="","",'Port Bloomberg'!F698)</f>
        <v/>
      </c>
      <c r="G698" s="7" t="str">
        <f>IF('Port Bloomberg'!G698="","",'Port Bloomberg'!G698)</f>
        <v/>
      </c>
      <c r="H698" s="7" t="str">
        <f>IF('Port Bloomberg'!H698="","",'Port Bloomberg'!H698)</f>
        <v/>
      </c>
      <c r="I698" s="7" t="str">
        <f>IF('Port Bloomberg'!I698="","",'Port Bloomberg'!I698)</f>
        <v/>
      </c>
      <c r="J698" s="7" t="str">
        <f>IF('Port Bloomberg'!J698="","",'Port Bloomberg'!J698)</f>
        <v/>
      </c>
      <c r="K698" s="7" t="str">
        <f>IF('Port Bloomberg'!K698="","",'Port Bloomberg'!K698)</f>
        <v/>
      </c>
      <c r="L698" s="7" t="str">
        <f>IF('Port Bloomberg'!L698="","",'Port Bloomberg'!L698)</f>
        <v/>
      </c>
      <c r="M698" s="7" t="str">
        <f>IF('Port Bloomberg'!M698="","",'Port Bloomberg'!M698)</f>
        <v/>
      </c>
      <c r="N698" s="7" t="str">
        <f>IF('Port Bloomberg'!N698="","",'Port Bloomberg'!N698)</f>
        <v/>
      </c>
      <c r="O698" s="7" t="str">
        <f>IF('Port Bloomberg'!O698="","",'Port Bloomberg'!O698)</f>
        <v/>
      </c>
      <c r="P698" s="7" t="str">
        <f>IF('Port Bloomberg'!P698="","",'Port Bloomberg'!P698)</f>
        <v/>
      </c>
      <c r="Q698" s="7" t="str">
        <f>IF('Port Bloomberg'!Q698="","",'Port Bloomberg'!Q698)</f>
        <v/>
      </c>
      <c r="R698" s="7" t="str">
        <f>IF('Port Bloomberg'!R698="","",'Port Bloomberg'!R698)</f>
        <v/>
      </c>
      <c r="S698" s="5" t="str">
        <f>IF(E698="","",IFERROR(IF(MATCH(E698,[1]Instrumentos!$D:$D,0)&gt;0,1,0),0))</f>
        <v/>
      </c>
      <c r="T698" s="5" t="str">
        <f>IF(E698="","",IFERROR(IF(MATCH(E698,'Lista de excepciones'!$E:$E,0)&gt;0,1,0),0))</f>
        <v/>
      </c>
      <c r="U698" s="6" t="str">
        <f t="shared" si="11"/>
        <v/>
      </c>
    </row>
    <row r="699" spans="1:21" hidden="1" x14ac:dyDescent="0.25">
      <c r="A699" s="7" t="str">
        <f>IF('Port Bloomberg'!A699="","",'Port Bloomberg'!A699)</f>
        <v/>
      </c>
      <c r="B699" s="7" t="str">
        <f>IF('Port Bloomberg'!B699="","",'Port Bloomberg'!B699)</f>
        <v/>
      </c>
      <c r="C699" s="7" t="str">
        <f>IF('Port Bloomberg'!C699="","",'Port Bloomberg'!C699)</f>
        <v/>
      </c>
      <c r="D699" s="7" t="str">
        <f>IF('Port Bloomberg'!D699="","",'Port Bloomberg'!D699)</f>
        <v/>
      </c>
      <c r="E699" s="7" t="str">
        <f>IF('Port Bloomberg'!E699="","",'Port Bloomberg'!E699)</f>
        <v/>
      </c>
      <c r="F699" s="7" t="str">
        <f>IF('Port Bloomberg'!F699="","",'Port Bloomberg'!F699)</f>
        <v/>
      </c>
      <c r="G699" s="7" t="str">
        <f>IF('Port Bloomberg'!G699="","",'Port Bloomberg'!G699)</f>
        <v/>
      </c>
      <c r="H699" s="7" t="str">
        <f>IF('Port Bloomberg'!H699="","",'Port Bloomberg'!H699)</f>
        <v/>
      </c>
      <c r="I699" s="7" t="str">
        <f>IF('Port Bloomberg'!I699="","",'Port Bloomberg'!I699)</f>
        <v/>
      </c>
      <c r="J699" s="7" t="str">
        <f>IF('Port Bloomberg'!J699="","",'Port Bloomberg'!J699)</f>
        <v/>
      </c>
      <c r="K699" s="7" t="str">
        <f>IF('Port Bloomberg'!K699="","",'Port Bloomberg'!K699)</f>
        <v/>
      </c>
      <c r="L699" s="7" t="str">
        <f>IF('Port Bloomberg'!L699="","",'Port Bloomberg'!L699)</f>
        <v/>
      </c>
      <c r="M699" s="7" t="str">
        <f>IF('Port Bloomberg'!M699="","",'Port Bloomberg'!M699)</f>
        <v/>
      </c>
      <c r="N699" s="7" t="str">
        <f>IF('Port Bloomberg'!N699="","",'Port Bloomberg'!N699)</f>
        <v/>
      </c>
      <c r="O699" s="7" t="str">
        <f>IF('Port Bloomberg'!O699="","",'Port Bloomberg'!O699)</f>
        <v/>
      </c>
      <c r="P699" s="7" t="str">
        <f>IF('Port Bloomberg'!P699="","",'Port Bloomberg'!P699)</f>
        <v/>
      </c>
      <c r="Q699" s="7" t="str">
        <f>IF('Port Bloomberg'!Q699="","",'Port Bloomberg'!Q699)</f>
        <v/>
      </c>
      <c r="R699" s="7" t="str">
        <f>IF('Port Bloomberg'!R699="","",'Port Bloomberg'!R699)</f>
        <v/>
      </c>
      <c r="S699" s="5" t="str">
        <f>IF(E699="","",IFERROR(IF(MATCH(E699,[1]Instrumentos!$D:$D,0)&gt;0,1,0),0))</f>
        <v/>
      </c>
      <c r="T699" s="5" t="str">
        <f>IF(E699="","",IFERROR(IF(MATCH(E699,'Lista de excepciones'!$E:$E,0)&gt;0,1,0),0))</f>
        <v/>
      </c>
      <c r="U699" s="6" t="str">
        <f t="shared" si="11"/>
        <v/>
      </c>
    </row>
    <row r="700" spans="1:21" hidden="1" x14ac:dyDescent="0.25">
      <c r="A700" s="7" t="str">
        <f>IF('Port Bloomberg'!A700="","",'Port Bloomberg'!A700)</f>
        <v/>
      </c>
      <c r="B700" s="7" t="str">
        <f>IF('Port Bloomberg'!B700="","",'Port Bloomberg'!B700)</f>
        <v/>
      </c>
      <c r="C700" s="7" t="str">
        <f>IF('Port Bloomberg'!C700="","",'Port Bloomberg'!C700)</f>
        <v/>
      </c>
      <c r="D700" s="7" t="str">
        <f>IF('Port Bloomberg'!D700="","",'Port Bloomberg'!D700)</f>
        <v/>
      </c>
      <c r="E700" s="7" t="str">
        <f>IF('Port Bloomberg'!E700="","",'Port Bloomberg'!E700)</f>
        <v/>
      </c>
      <c r="F700" s="7" t="str">
        <f>IF('Port Bloomberg'!F700="","",'Port Bloomberg'!F700)</f>
        <v/>
      </c>
      <c r="G700" s="7" t="str">
        <f>IF('Port Bloomberg'!G700="","",'Port Bloomberg'!G700)</f>
        <v/>
      </c>
      <c r="H700" s="7" t="str">
        <f>IF('Port Bloomberg'!H700="","",'Port Bloomberg'!H700)</f>
        <v/>
      </c>
      <c r="I700" s="7" t="str">
        <f>IF('Port Bloomberg'!I700="","",'Port Bloomberg'!I700)</f>
        <v/>
      </c>
      <c r="J700" s="7" t="str">
        <f>IF('Port Bloomberg'!J700="","",'Port Bloomberg'!J700)</f>
        <v/>
      </c>
      <c r="K700" s="7" t="str">
        <f>IF('Port Bloomberg'!K700="","",'Port Bloomberg'!K700)</f>
        <v/>
      </c>
      <c r="L700" s="7" t="str">
        <f>IF('Port Bloomberg'!L700="","",'Port Bloomberg'!L700)</f>
        <v/>
      </c>
      <c r="M700" s="7" t="str">
        <f>IF('Port Bloomberg'!M700="","",'Port Bloomberg'!M700)</f>
        <v/>
      </c>
      <c r="N700" s="7" t="str">
        <f>IF('Port Bloomberg'!N700="","",'Port Bloomberg'!N700)</f>
        <v/>
      </c>
      <c r="O700" s="7" t="str">
        <f>IF('Port Bloomberg'!O700="","",'Port Bloomberg'!O700)</f>
        <v/>
      </c>
      <c r="P700" s="7" t="str">
        <f>IF('Port Bloomberg'!P700="","",'Port Bloomberg'!P700)</f>
        <v/>
      </c>
      <c r="Q700" s="7" t="str">
        <f>IF('Port Bloomberg'!Q700="","",'Port Bloomberg'!Q700)</f>
        <v/>
      </c>
      <c r="R700" s="7" t="str">
        <f>IF('Port Bloomberg'!R700="","",'Port Bloomberg'!R700)</f>
        <v/>
      </c>
      <c r="S700" s="5" t="str">
        <f>IF(E700="","",IFERROR(IF(MATCH(E700,[1]Instrumentos!$D:$D,0)&gt;0,1,0),0))</f>
        <v/>
      </c>
      <c r="T700" s="5" t="str">
        <f>IF(E700="","",IFERROR(IF(MATCH(E700,'Lista de excepciones'!$E:$E,0)&gt;0,1,0),0))</f>
        <v/>
      </c>
      <c r="U700" s="6" t="str">
        <f t="shared" si="11"/>
        <v/>
      </c>
    </row>
    <row r="701" spans="1:21" hidden="1" x14ac:dyDescent="0.25">
      <c r="A701" s="7" t="str">
        <f>IF('Port Bloomberg'!A701="","",'Port Bloomberg'!A701)</f>
        <v/>
      </c>
      <c r="B701" s="7" t="str">
        <f>IF('Port Bloomberg'!B701="","",'Port Bloomberg'!B701)</f>
        <v/>
      </c>
      <c r="C701" s="7" t="str">
        <f>IF('Port Bloomberg'!C701="","",'Port Bloomberg'!C701)</f>
        <v/>
      </c>
      <c r="D701" s="7" t="str">
        <f>IF('Port Bloomberg'!D701="","",'Port Bloomberg'!D701)</f>
        <v/>
      </c>
      <c r="E701" s="7" t="str">
        <f>IF('Port Bloomberg'!E701="","",'Port Bloomberg'!E701)</f>
        <v/>
      </c>
      <c r="F701" s="7" t="str">
        <f>IF('Port Bloomberg'!F701="","",'Port Bloomberg'!F701)</f>
        <v/>
      </c>
      <c r="G701" s="7" t="str">
        <f>IF('Port Bloomberg'!G701="","",'Port Bloomberg'!G701)</f>
        <v/>
      </c>
      <c r="H701" s="7" t="str">
        <f>IF('Port Bloomberg'!H701="","",'Port Bloomberg'!H701)</f>
        <v/>
      </c>
      <c r="I701" s="7" t="str">
        <f>IF('Port Bloomberg'!I701="","",'Port Bloomberg'!I701)</f>
        <v/>
      </c>
      <c r="J701" s="7" t="str">
        <f>IF('Port Bloomberg'!J701="","",'Port Bloomberg'!J701)</f>
        <v/>
      </c>
      <c r="K701" s="7" t="str">
        <f>IF('Port Bloomberg'!K701="","",'Port Bloomberg'!K701)</f>
        <v/>
      </c>
      <c r="L701" s="7" t="str">
        <f>IF('Port Bloomberg'!L701="","",'Port Bloomberg'!L701)</f>
        <v/>
      </c>
      <c r="M701" s="7" t="str">
        <f>IF('Port Bloomberg'!M701="","",'Port Bloomberg'!M701)</f>
        <v/>
      </c>
      <c r="N701" s="7" t="str">
        <f>IF('Port Bloomberg'!N701="","",'Port Bloomberg'!N701)</f>
        <v/>
      </c>
      <c r="O701" s="7" t="str">
        <f>IF('Port Bloomberg'!O701="","",'Port Bloomberg'!O701)</f>
        <v/>
      </c>
      <c r="P701" s="7" t="str">
        <f>IF('Port Bloomberg'!P701="","",'Port Bloomberg'!P701)</f>
        <v/>
      </c>
      <c r="Q701" s="7" t="str">
        <f>IF('Port Bloomberg'!Q701="","",'Port Bloomberg'!Q701)</f>
        <v/>
      </c>
      <c r="R701" s="7" t="str">
        <f>IF('Port Bloomberg'!R701="","",'Port Bloomberg'!R701)</f>
        <v/>
      </c>
      <c r="S701" s="5" t="str">
        <f>IF(E701="","",IFERROR(IF(MATCH(E701,[1]Instrumentos!$D:$D,0)&gt;0,1,0),0))</f>
        <v/>
      </c>
      <c r="T701" s="5" t="str">
        <f>IF(E701="","",IFERROR(IF(MATCH(E701,'Lista de excepciones'!$E:$E,0)&gt;0,1,0),0))</f>
        <v/>
      </c>
      <c r="U701" s="6" t="str">
        <f t="shared" si="11"/>
        <v/>
      </c>
    </row>
    <row r="702" spans="1:21" hidden="1" x14ac:dyDescent="0.25">
      <c r="A702" s="7" t="str">
        <f>IF('Port Bloomberg'!A702="","",'Port Bloomberg'!A702)</f>
        <v/>
      </c>
      <c r="B702" s="7" t="str">
        <f>IF('Port Bloomberg'!B702="","",'Port Bloomberg'!B702)</f>
        <v/>
      </c>
      <c r="C702" s="7" t="str">
        <f>IF('Port Bloomberg'!C702="","",'Port Bloomberg'!C702)</f>
        <v/>
      </c>
      <c r="D702" s="7" t="str">
        <f>IF('Port Bloomberg'!D702="","",'Port Bloomberg'!D702)</f>
        <v/>
      </c>
      <c r="E702" s="7" t="str">
        <f>IF('Port Bloomberg'!E702="","",'Port Bloomberg'!E702)</f>
        <v/>
      </c>
      <c r="F702" s="7" t="str">
        <f>IF('Port Bloomberg'!F702="","",'Port Bloomberg'!F702)</f>
        <v/>
      </c>
      <c r="G702" s="7" t="str">
        <f>IF('Port Bloomberg'!G702="","",'Port Bloomberg'!G702)</f>
        <v/>
      </c>
      <c r="H702" s="7" t="str">
        <f>IF('Port Bloomberg'!H702="","",'Port Bloomberg'!H702)</f>
        <v/>
      </c>
      <c r="I702" s="7" t="str">
        <f>IF('Port Bloomberg'!I702="","",'Port Bloomberg'!I702)</f>
        <v/>
      </c>
      <c r="J702" s="7" t="str">
        <f>IF('Port Bloomberg'!J702="","",'Port Bloomberg'!J702)</f>
        <v/>
      </c>
      <c r="K702" s="7" t="str">
        <f>IF('Port Bloomberg'!K702="","",'Port Bloomberg'!K702)</f>
        <v/>
      </c>
      <c r="L702" s="7" t="str">
        <f>IF('Port Bloomberg'!L702="","",'Port Bloomberg'!L702)</f>
        <v/>
      </c>
      <c r="M702" s="7" t="str">
        <f>IF('Port Bloomberg'!M702="","",'Port Bloomberg'!M702)</f>
        <v/>
      </c>
      <c r="N702" s="7" t="str">
        <f>IF('Port Bloomberg'!N702="","",'Port Bloomberg'!N702)</f>
        <v/>
      </c>
      <c r="O702" s="7" t="str">
        <f>IF('Port Bloomberg'!O702="","",'Port Bloomberg'!O702)</f>
        <v/>
      </c>
      <c r="P702" s="7" t="str">
        <f>IF('Port Bloomberg'!P702="","",'Port Bloomberg'!P702)</f>
        <v/>
      </c>
      <c r="Q702" s="7" t="str">
        <f>IF('Port Bloomberg'!Q702="","",'Port Bloomberg'!Q702)</f>
        <v/>
      </c>
      <c r="R702" s="7" t="str">
        <f>IF('Port Bloomberg'!R702="","",'Port Bloomberg'!R702)</f>
        <v/>
      </c>
      <c r="S702" s="5" t="str">
        <f>IF(E702="","",IFERROR(IF(MATCH(E702,[1]Instrumentos!$D:$D,0)&gt;0,1,0),0))</f>
        <v/>
      </c>
      <c r="T702" s="5" t="str">
        <f>IF(E702="","",IFERROR(IF(MATCH(E702,'Lista de excepciones'!$E:$E,0)&gt;0,1,0),0))</f>
        <v/>
      </c>
      <c r="U702" s="6" t="str">
        <f t="shared" si="11"/>
        <v/>
      </c>
    </row>
    <row r="703" spans="1:21" hidden="1" x14ac:dyDescent="0.25">
      <c r="A703" s="7" t="str">
        <f>IF('Port Bloomberg'!A703="","",'Port Bloomberg'!A703)</f>
        <v/>
      </c>
      <c r="B703" s="7" t="str">
        <f>IF('Port Bloomberg'!B703="","",'Port Bloomberg'!B703)</f>
        <v/>
      </c>
      <c r="C703" s="7" t="str">
        <f>IF('Port Bloomberg'!C703="","",'Port Bloomberg'!C703)</f>
        <v/>
      </c>
      <c r="D703" s="7" t="str">
        <f>IF('Port Bloomberg'!D703="","",'Port Bloomberg'!D703)</f>
        <v/>
      </c>
      <c r="E703" s="7" t="str">
        <f>IF('Port Bloomberg'!E703="","",'Port Bloomberg'!E703)</f>
        <v/>
      </c>
      <c r="F703" s="7" t="str">
        <f>IF('Port Bloomberg'!F703="","",'Port Bloomberg'!F703)</f>
        <v/>
      </c>
      <c r="G703" s="7" t="str">
        <f>IF('Port Bloomberg'!G703="","",'Port Bloomberg'!G703)</f>
        <v/>
      </c>
      <c r="H703" s="7" t="str">
        <f>IF('Port Bloomberg'!H703="","",'Port Bloomberg'!H703)</f>
        <v/>
      </c>
      <c r="I703" s="7" t="str">
        <f>IF('Port Bloomberg'!I703="","",'Port Bloomberg'!I703)</f>
        <v/>
      </c>
      <c r="J703" s="7" t="str">
        <f>IF('Port Bloomberg'!J703="","",'Port Bloomberg'!J703)</f>
        <v/>
      </c>
      <c r="K703" s="7" t="str">
        <f>IF('Port Bloomberg'!K703="","",'Port Bloomberg'!K703)</f>
        <v/>
      </c>
      <c r="L703" s="7" t="str">
        <f>IF('Port Bloomberg'!L703="","",'Port Bloomberg'!L703)</f>
        <v/>
      </c>
      <c r="M703" s="7" t="str">
        <f>IF('Port Bloomberg'!M703="","",'Port Bloomberg'!M703)</f>
        <v/>
      </c>
      <c r="N703" s="7" t="str">
        <f>IF('Port Bloomberg'!N703="","",'Port Bloomberg'!N703)</f>
        <v/>
      </c>
      <c r="O703" s="7" t="str">
        <f>IF('Port Bloomberg'!O703="","",'Port Bloomberg'!O703)</f>
        <v/>
      </c>
      <c r="P703" s="7" t="str">
        <f>IF('Port Bloomberg'!P703="","",'Port Bloomberg'!P703)</f>
        <v/>
      </c>
      <c r="Q703" s="7" t="str">
        <f>IF('Port Bloomberg'!Q703="","",'Port Bloomberg'!Q703)</f>
        <v/>
      </c>
      <c r="R703" s="7" t="str">
        <f>IF('Port Bloomberg'!R703="","",'Port Bloomberg'!R703)</f>
        <v/>
      </c>
      <c r="S703" s="5" t="str">
        <f>IF(E703="","",IFERROR(IF(MATCH(E703,[1]Instrumentos!$D:$D,0)&gt;0,1,0),0))</f>
        <v/>
      </c>
      <c r="T703" s="5" t="str">
        <f>IF(E703="","",IFERROR(IF(MATCH(E703,'Lista de excepciones'!$E:$E,0)&gt;0,1,0),0))</f>
        <v/>
      </c>
      <c r="U703" s="6" t="str">
        <f t="shared" si="11"/>
        <v/>
      </c>
    </row>
    <row r="704" spans="1:21" hidden="1" x14ac:dyDescent="0.25">
      <c r="A704" s="7" t="str">
        <f>IF('Port Bloomberg'!A704="","",'Port Bloomberg'!A704)</f>
        <v/>
      </c>
      <c r="B704" s="7" t="str">
        <f>IF('Port Bloomberg'!B704="","",'Port Bloomberg'!B704)</f>
        <v/>
      </c>
      <c r="C704" s="7" t="str">
        <f>IF('Port Bloomberg'!C704="","",'Port Bloomberg'!C704)</f>
        <v/>
      </c>
      <c r="D704" s="7" t="str">
        <f>IF('Port Bloomberg'!D704="","",'Port Bloomberg'!D704)</f>
        <v/>
      </c>
      <c r="E704" s="7" t="str">
        <f>IF('Port Bloomberg'!E704="","",'Port Bloomberg'!E704)</f>
        <v/>
      </c>
      <c r="F704" s="7" t="str">
        <f>IF('Port Bloomberg'!F704="","",'Port Bloomberg'!F704)</f>
        <v/>
      </c>
      <c r="G704" s="7" t="str">
        <f>IF('Port Bloomberg'!G704="","",'Port Bloomberg'!G704)</f>
        <v/>
      </c>
      <c r="H704" s="7" t="str">
        <f>IF('Port Bloomberg'!H704="","",'Port Bloomberg'!H704)</f>
        <v/>
      </c>
      <c r="I704" s="7" t="str">
        <f>IF('Port Bloomberg'!I704="","",'Port Bloomberg'!I704)</f>
        <v/>
      </c>
      <c r="J704" s="7" t="str">
        <f>IF('Port Bloomberg'!J704="","",'Port Bloomberg'!J704)</f>
        <v/>
      </c>
      <c r="K704" s="7" t="str">
        <f>IF('Port Bloomberg'!K704="","",'Port Bloomberg'!K704)</f>
        <v/>
      </c>
      <c r="L704" s="7" t="str">
        <f>IF('Port Bloomberg'!L704="","",'Port Bloomberg'!L704)</f>
        <v/>
      </c>
      <c r="M704" s="7" t="str">
        <f>IF('Port Bloomberg'!M704="","",'Port Bloomberg'!M704)</f>
        <v/>
      </c>
      <c r="N704" s="7" t="str">
        <f>IF('Port Bloomberg'!N704="","",'Port Bloomberg'!N704)</f>
        <v/>
      </c>
      <c r="O704" s="7" t="str">
        <f>IF('Port Bloomberg'!O704="","",'Port Bloomberg'!O704)</f>
        <v/>
      </c>
      <c r="P704" s="7" t="str">
        <f>IF('Port Bloomberg'!P704="","",'Port Bloomberg'!P704)</f>
        <v/>
      </c>
      <c r="Q704" s="7" t="str">
        <f>IF('Port Bloomberg'!Q704="","",'Port Bloomberg'!Q704)</f>
        <v/>
      </c>
      <c r="R704" s="7" t="str">
        <f>IF('Port Bloomberg'!R704="","",'Port Bloomberg'!R704)</f>
        <v/>
      </c>
      <c r="S704" s="5" t="str">
        <f>IF(E704="","",IFERROR(IF(MATCH(E704,[1]Instrumentos!$D:$D,0)&gt;0,1,0),0))</f>
        <v/>
      </c>
      <c r="T704" s="5" t="str">
        <f>IF(E704="","",IFERROR(IF(MATCH(E704,'Lista de excepciones'!$E:$E,0)&gt;0,1,0),0))</f>
        <v/>
      </c>
      <c r="U704" s="6" t="str">
        <f t="shared" si="11"/>
        <v/>
      </c>
    </row>
    <row r="705" spans="1:21" hidden="1" x14ac:dyDescent="0.25">
      <c r="A705" s="7" t="str">
        <f>IF('Port Bloomberg'!A705="","",'Port Bloomberg'!A705)</f>
        <v/>
      </c>
      <c r="B705" s="7" t="str">
        <f>IF('Port Bloomberg'!B705="","",'Port Bloomberg'!B705)</f>
        <v/>
      </c>
      <c r="C705" s="7" t="str">
        <f>IF('Port Bloomberg'!C705="","",'Port Bloomberg'!C705)</f>
        <v/>
      </c>
      <c r="D705" s="7" t="str">
        <f>IF('Port Bloomberg'!D705="","",'Port Bloomberg'!D705)</f>
        <v/>
      </c>
      <c r="E705" s="7" t="str">
        <f>IF('Port Bloomberg'!E705="","",'Port Bloomberg'!E705)</f>
        <v/>
      </c>
      <c r="F705" s="7" t="str">
        <f>IF('Port Bloomberg'!F705="","",'Port Bloomberg'!F705)</f>
        <v/>
      </c>
      <c r="G705" s="7" t="str">
        <f>IF('Port Bloomberg'!G705="","",'Port Bloomberg'!G705)</f>
        <v/>
      </c>
      <c r="H705" s="7" t="str">
        <f>IF('Port Bloomberg'!H705="","",'Port Bloomberg'!H705)</f>
        <v/>
      </c>
      <c r="I705" s="7" t="str">
        <f>IF('Port Bloomberg'!I705="","",'Port Bloomberg'!I705)</f>
        <v/>
      </c>
      <c r="J705" s="7" t="str">
        <f>IF('Port Bloomberg'!J705="","",'Port Bloomberg'!J705)</f>
        <v/>
      </c>
      <c r="K705" s="7" t="str">
        <f>IF('Port Bloomberg'!K705="","",'Port Bloomberg'!K705)</f>
        <v/>
      </c>
      <c r="L705" s="7" t="str">
        <f>IF('Port Bloomberg'!L705="","",'Port Bloomberg'!L705)</f>
        <v/>
      </c>
      <c r="M705" s="7" t="str">
        <f>IF('Port Bloomberg'!M705="","",'Port Bloomberg'!M705)</f>
        <v/>
      </c>
      <c r="N705" s="7" t="str">
        <f>IF('Port Bloomberg'!N705="","",'Port Bloomberg'!N705)</f>
        <v/>
      </c>
      <c r="O705" s="7" t="str">
        <f>IF('Port Bloomberg'!O705="","",'Port Bloomberg'!O705)</f>
        <v/>
      </c>
      <c r="P705" s="7" t="str">
        <f>IF('Port Bloomberg'!P705="","",'Port Bloomberg'!P705)</f>
        <v/>
      </c>
      <c r="Q705" s="7" t="str">
        <f>IF('Port Bloomberg'!Q705="","",'Port Bloomberg'!Q705)</f>
        <v/>
      </c>
      <c r="R705" s="7" t="str">
        <f>IF('Port Bloomberg'!R705="","",'Port Bloomberg'!R705)</f>
        <v/>
      </c>
      <c r="S705" s="5" t="str">
        <f>IF(E705="","",IFERROR(IF(MATCH(E705,[1]Instrumentos!$D:$D,0)&gt;0,1,0),0))</f>
        <v/>
      </c>
      <c r="T705" s="5" t="str">
        <f>IF(E705="","",IFERROR(IF(MATCH(E705,'Lista de excepciones'!$E:$E,0)&gt;0,1,0),0))</f>
        <v/>
      </c>
      <c r="U705" s="6" t="str">
        <f t="shared" si="11"/>
        <v/>
      </c>
    </row>
    <row r="706" spans="1:21" hidden="1" x14ac:dyDescent="0.25">
      <c r="A706" s="7" t="str">
        <f>IF('Port Bloomberg'!A706="","",'Port Bloomberg'!A706)</f>
        <v/>
      </c>
      <c r="B706" s="7" t="str">
        <f>IF('Port Bloomberg'!B706="","",'Port Bloomberg'!B706)</f>
        <v/>
      </c>
      <c r="C706" s="7" t="str">
        <f>IF('Port Bloomberg'!C706="","",'Port Bloomberg'!C706)</f>
        <v/>
      </c>
      <c r="D706" s="7" t="str">
        <f>IF('Port Bloomberg'!D706="","",'Port Bloomberg'!D706)</f>
        <v/>
      </c>
      <c r="E706" s="7" t="str">
        <f>IF('Port Bloomberg'!E706="","",'Port Bloomberg'!E706)</f>
        <v/>
      </c>
      <c r="F706" s="7" t="str">
        <f>IF('Port Bloomberg'!F706="","",'Port Bloomberg'!F706)</f>
        <v/>
      </c>
      <c r="G706" s="7" t="str">
        <f>IF('Port Bloomberg'!G706="","",'Port Bloomberg'!G706)</f>
        <v/>
      </c>
      <c r="H706" s="7" t="str">
        <f>IF('Port Bloomberg'!H706="","",'Port Bloomberg'!H706)</f>
        <v/>
      </c>
      <c r="I706" s="7" t="str">
        <f>IF('Port Bloomberg'!I706="","",'Port Bloomberg'!I706)</f>
        <v/>
      </c>
      <c r="J706" s="7" t="str">
        <f>IF('Port Bloomberg'!J706="","",'Port Bloomberg'!J706)</f>
        <v/>
      </c>
      <c r="K706" s="7" t="str">
        <f>IF('Port Bloomberg'!K706="","",'Port Bloomberg'!K706)</f>
        <v/>
      </c>
      <c r="L706" s="7" t="str">
        <f>IF('Port Bloomberg'!L706="","",'Port Bloomberg'!L706)</f>
        <v/>
      </c>
      <c r="M706" s="7" t="str">
        <f>IF('Port Bloomberg'!M706="","",'Port Bloomberg'!M706)</f>
        <v/>
      </c>
      <c r="N706" s="7" t="str">
        <f>IF('Port Bloomberg'!N706="","",'Port Bloomberg'!N706)</f>
        <v/>
      </c>
      <c r="O706" s="7" t="str">
        <f>IF('Port Bloomberg'!O706="","",'Port Bloomberg'!O706)</f>
        <v/>
      </c>
      <c r="P706" s="7" t="str">
        <f>IF('Port Bloomberg'!P706="","",'Port Bloomberg'!P706)</f>
        <v/>
      </c>
      <c r="Q706" s="7" t="str">
        <f>IF('Port Bloomberg'!Q706="","",'Port Bloomberg'!Q706)</f>
        <v/>
      </c>
      <c r="R706" s="7" t="str">
        <f>IF('Port Bloomberg'!R706="","",'Port Bloomberg'!R706)</f>
        <v/>
      </c>
      <c r="S706" s="5" t="str">
        <f>IF(E706="","",IFERROR(IF(MATCH(E706,[1]Instrumentos!$D:$D,0)&gt;0,1,0),0))</f>
        <v/>
      </c>
      <c r="T706" s="5" t="str">
        <f>IF(E706="","",IFERROR(IF(MATCH(E706,'Lista de excepciones'!$E:$E,0)&gt;0,1,0),0))</f>
        <v/>
      </c>
      <c r="U706" s="6" t="str">
        <f t="shared" si="11"/>
        <v/>
      </c>
    </row>
    <row r="707" spans="1:21" hidden="1" x14ac:dyDescent="0.25">
      <c r="A707" s="7" t="str">
        <f>IF('Port Bloomberg'!A707="","",'Port Bloomberg'!A707)</f>
        <v/>
      </c>
      <c r="B707" s="7" t="str">
        <f>IF('Port Bloomberg'!B707="","",'Port Bloomberg'!B707)</f>
        <v/>
      </c>
      <c r="C707" s="7" t="str">
        <f>IF('Port Bloomberg'!C707="","",'Port Bloomberg'!C707)</f>
        <v/>
      </c>
      <c r="D707" s="7" t="str">
        <f>IF('Port Bloomberg'!D707="","",'Port Bloomberg'!D707)</f>
        <v/>
      </c>
      <c r="E707" s="7" t="str">
        <f>IF('Port Bloomberg'!E707="","",'Port Bloomberg'!E707)</f>
        <v/>
      </c>
      <c r="F707" s="7" t="str">
        <f>IF('Port Bloomberg'!F707="","",'Port Bloomberg'!F707)</f>
        <v/>
      </c>
      <c r="G707" s="7" t="str">
        <f>IF('Port Bloomberg'!G707="","",'Port Bloomberg'!G707)</f>
        <v/>
      </c>
      <c r="H707" s="7" t="str">
        <f>IF('Port Bloomberg'!H707="","",'Port Bloomberg'!H707)</f>
        <v/>
      </c>
      <c r="I707" s="7" t="str">
        <f>IF('Port Bloomberg'!I707="","",'Port Bloomberg'!I707)</f>
        <v/>
      </c>
      <c r="J707" s="7" t="str">
        <f>IF('Port Bloomberg'!J707="","",'Port Bloomberg'!J707)</f>
        <v/>
      </c>
      <c r="K707" s="7" t="str">
        <f>IF('Port Bloomberg'!K707="","",'Port Bloomberg'!K707)</f>
        <v/>
      </c>
      <c r="L707" s="7" t="str">
        <f>IF('Port Bloomberg'!L707="","",'Port Bloomberg'!L707)</f>
        <v/>
      </c>
      <c r="M707" s="7" t="str">
        <f>IF('Port Bloomberg'!M707="","",'Port Bloomberg'!M707)</f>
        <v/>
      </c>
      <c r="N707" s="7" t="str">
        <f>IF('Port Bloomberg'!N707="","",'Port Bloomberg'!N707)</f>
        <v/>
      </c>
      <c r="O707" s="7" t="str">
        <f>IF('Port Bloomberg'!O707="","",'Port Bloomberg'!O707)</f>
        <v/>
      </c>
      <c r="P707" s="7" t="str">
        <f>IF('Port Bloomberg'!P707="","",'Port Bloomberg'!P707)</f>
        <v/>
      </c>
      <c r="Q707" s="7" t="str">
        <f>IF('Port Bloomberg'!Q707="","",'Port Bloomberg'!Q707)</f>
        <v/>
      </c>
      <c r="R707" s="7" t="str">
        <f>IF('Port Bloomberg'!R707="","",'Port Bloomberg'!R707)</f>
        <v/>
      </c>
      <c r="S707" s="5" t="str">
        <f>IF(E707="","",IFERROR(IF(MATCH(E707,[1]Instrumentos!$D:$D,0)&gt;0,1,0),0))</f>
        <v/>
      </c>
      <c r="T707" s="5" t="str">
        <f>IF(E707="","",IFERROR(IF(MATCH(E707,'Lista de excepciones'!$E:$E,0)&gt;0,1,0),0))</f>
        <v/>
      </c>
      <c r="U707" s="6" t="str">
        <f t="shared" ref="U707:U770" si="12">IF(E707="","",IF(S707+T707=0,"AGREGAR/REVISAR","NO"))</f>
        <v/>
      </c>
    </row>
    <row r="708" spans="1:21" hidden="1" x14ac:dyDescent="0.25">
      <c r="A708" s="7" t="str">
        <f>IF('Port Bloomberg'!A708="","",'Port Bloomberg'!A708)</f>
        <v/>
      </c>
      <c r="B708" s="7" t="str">
        <f>IF('Port Bloomberg'!B708="","",'Port Bloomberg'!B708)</f>
        <v/>
      </c>
      <c r="C708" s="7" t="str">
        <f>IF('Port Bloomberg'!C708="","",'Port Bloomberg'!C708)</f>
        <v/>
      </c>
      <c r="D708" s="7" t="str">
        <f>IF('Port Bloomberg'!D708="","",'Port Bloomberg'!D708)</f>
        <v/>
      </c>
      <c r="E708" s="7" t="str">
        <f>IF('Port Bloomberg'!E708="","",'Port Bloomberg'!E708)</f>
        <v/>
      </c>
      <c r="F708" s="7" t="str">
        <f>IF('Port Bloomberg'!F708="","",'Port Bloomberg'!F708)</f>
        <v/>
      </c>
      <c r="G708" s="7" t="str">
        <f>IF('Port Bloomberg'!G708="","",'Port Bloomberg'!G708)</f>
        <v/>
      </c>
      <c r="H708" s="7" t="str">
        <f>IF('Port Bloomberg'!H708="","",'Port Bloomberg'!H708)</f>
        <v/>
      </c>
      <c r="I708" s="7" t="str">
        <f>IF('Port Bloomberg'!I708="","",'Port Bloomberg'!I708)</f>
        <v/>
      </c>
      <c r="J708" s="7" t="str">
        <f>IF('Port Bloomberg'!J708="","",'Port Bloomberg'!J708)</f>
        <v/>
      </c>
      <c r="K708" s="7" t="str">
        <f>IF('Port Bloomberg'!K708="","",'Port Bloomberg'!K708)</f>
        <v/>
      </c>
      <c r="L708" s="7" t="str">
        <f>IF('Port Bloomberg'!L708="","",'Port Bloomberg'!L708)</f>
        <v/>
      </c>
      <c r="M708" s="7" t="str">
        <f>IF('Port Bloomberg'!M708="","",'Port Bloomberg'!M708)</f>
        <v/>
      </c>
      <c r="N708" s="7" t="str">
        <f>IF('Port Bloomberg'!N708="","",'Port Bloomberg'!N708)</f>
        <v/>
      </c>
      <c r="O708" s="7" t="str">
        <f>IF('Port Bloomberg'!O708="","",'Port Bloomberg'!O708)</f>
        <v/>
      </c>
      <c r="P708" s="7" t="str">
        <f>IF('Port Bloomberg'!P708="","",'Port Bloomberg'!P708)</f>
        <v/>
      </c>
      <c r="Q708" s="7" t="str">
        <f>IF('Port Bloomberg'!Q708="","",'Port Bloomberg'!Q708)</f>
        <v/>
      </c>
      <c r="R708" s="7" t="str">
        <f>IF('Port Bloomberg'!R708="","",'Port Bloomberg'!R708)</f>
        <v/>
      </c>
      <c r="S708" s="5" t="str">
        <f>IF(E708="","",IFERROR(IF(MATCH(E708,[1]Instrumentos!$D:$D,0)&gt;0,1,0),0))</f>
        <v/>
      </c>
      <c r="T708" s="5" t="str">
        <f>IF(E708="","",IFERROR(IF(MATCH(E708,'Lista de excepciones'!$E:$E,0)&gt;0,1,0),0))</f>
        <v/>
      </c>
      <c r="U708" s="6" t="str">
        <f t="shared" si="12"/>
        <v/>
      </c>
    </row>
    <row r="709" spans="1:21" hidden="1" x14ac:dyDescent="0.25">
      <c r="A709" s="7" t="str">
        <f>IF('Port Bloomberg'!A709="","",'Port Bloomberg'!A709)</f>
        <v/>
      </c>
      <c r="B709" s="7" t="str">
        <f>IF('Port Bloomberg'!B709="","",'Port Bloomberg'!B709)</f>
        <v/>
      </c>
      <c r="C709" s="7" t="str">
        <f>IF('Port Bloomberg'!C709="","",'Port Bloomberg'!C709)</f>
        <v/>
      </c>
      <c r="D709" s="7" t="str">
        <f>IF('Port Bloomberg'!D709="","",'Port Bloomberg'!D709)</f>
        <v/>
      </c>
      <c r="E709" s="7" t="str">
        <f>IF('Port Bloomberg'!E709="","",'Port Bloomberg'!E709)</f>
        <v/>
      </c>
      <c r="F709" s="7" t="str">
        <f>IF('Port Bloomberg'!F709="","",'Port Bloomberg'!F709)</f>
        <v/>
      </c>
      <c r="G709" s="7" t="str">
        <f>IF('Port Bloomberg'!G709="","",'Port Bloomberg'!G709)</f>
        <v/>
      </c>
      <c r="H709" s="7" t="str">
        <f>IF('Port Bloomberg'!H709="","",'Port Bloomberg'!H709)</f>
        <v/>
      </c>
      <c r="I709" s="7" t="str">
        <f>IF('Port Bloomberg'!I709="","",'Port Bloomberg'!I709)</f>
        <v/>
      </c>
      <c r="J709" s="7" t="str">
        <f>IF('Port Bloomberg'!J709="","",'Port Bloomberg'!J709)</f>
        <v/>
      </c>
      <c r="K709" s="7" t="str">
        <f>IF('Port Bloomberg'!K709="","",'Port Bloomberg'!K709)</f>
        <v/>
      </c>
      <c r="L709" s="7" t="str">
        <f>IF('Port Bloomberg'!L709="","",'Port Bloomberg'!L709)</f>
        <v/>
      </c>
      <c r="M709" s="7" t="str">
        <f>IF('Port Bloomberg'!M709="","",'Port Bloomberg'!M709)</f>
        <v/>
      </c>
      <c r="N709" s="7" t="str">
        <f>IF('Port Bloomberg'!N709="","",'Port Bloomberg'!N709)</f>
        <v/>
      </c>
      <c r="O709" s="7" t="str">
        <f>IF('Port Bloomberg'!O709="","",'Port Bloomberg'!O709)</f>
        <v/>
      </c>
      <c r="P709" s="7" t="str">
        <f>IF('Port Bloomberg'!P709="","",'Port Bloomberg'!P709)</f>
        <v/>
      </c>
      <c r="Q709" s="7" t="str">
        <f>IF('Port Bloomberg'!Q709="","",'Port Bloomberg'!Q709)</f>
        <v/>
      </c>
      <c r="R709" s="7" t="str">
        <f>IF('Port Bloomberg'!R709="","",'Port Bloomberg'!R709)</f>
        <v/>
      </c>
      <c r="S709" s="5" t="str">
        <f>IF(E709="","",IFERROR(IF(MATCH(E709,[1]Instrumentos!$D:$D,0)&gt;0,1,0),0))</f>
        <v/>
      </c>
      <c r="T709" s="5" t="str">
        <f>IF(E709="","",IFERROR(IF(MATCH(E709,'Lista de excepciones'!$E:$E,0)&gt;0,1,0),0))</f>
        <v/>
      </c>
      <c r="U709" s="6" t="str">
        <f t="shared" si="12"/>
        <v/>
      </c>
    </row>
    <row r="710" spans="1:21" hidden="1" x14ac:dyDescent="0.25">
      <c r="A710" s="7" t="str">
        <f>IF('Port Bloomberg'!A710="","",'Port Bloomberg'!A710)</f>
        <v/>
      </c>
      <c r="B710" s="7" t="str">
        <f>IF('Port Bloomberg'!B710="","",'Port Bloomberg'!B710)</f>
        <v/>
      </c>
      <c r="C710" s="7" t="str">
        <f>IF('Port Bloomberg'!C710="","",'Port Bloomberg'!C710)</f>
        <v/>
      </c>
      <c r="D710" s="7" t="str">
        <f>IF('Port Bloomberg'!D710="","",'Port Bloomberg'!D710)</f>
        <v/>
      </c>
      <c r="E710" s="7" t="str">
        <f>IF('Port Bloomberg'!E710="","",'Port Bloomberg'!E710)</f>
        <v/>
      </c>
      <c r="F710" s="7" t="str">
        <f>IF('Port Bloomberg'!F710="","",'Port Bloomberg'!F710)</f>
        <v/>
      </c>
      <c r="G710" s="7" t="str">
        <f>IF('Port Bloomberg'!G710="","",'Port Bloomberg'!G710)</f>
        <v/>
      </c>
      <c r="H710" s="7" t="str">
        <f>IF('Port Bloomberg'!H710="","",'Port Bloomberg'!H710)</f>
        <v/>
      </c>
      <c r="I710" s="7" t="str">
        <f>IF('Port Bloomberg'!I710="","",'Port Bloomberg'!I710)</f>
        <v/>
      </c>
      <c r="J710" s="7" t="str">
        <f>IF('Port Bloomberg'!J710="","",'Port Bloomberg'!J710)</f>
        <v/>
      </c>
      <c r="K710" s="7" t="str">
        <f>IF('Port Bloomberg'!K710="","",'Port Bloomberg'!K710)</f>
        <v/>
      </c>
      <c r="L710" s="7" t="str">
        <f>IF('Port Bloomberg'!L710="","",'Port Bloomberg'!L710)</f>
        <v/>
      </c>
      <c r="M710" s="7" t="str">
        <f>IF('Port Bloomberg'!M710="","",'Port Bloomberg'!M710)</f>
        <v/>
      </c>
      <c r="N710" s="7" t="str">
        <f>IF('Port Bloomberg'!N710="","",'Port Bloomberg'!N710)</f>
        <v/>
      </c>
      <c r="O710" s="7" t="str">
        <f>IF('Port Bloomberg'!O710="","",'Port Bloomberg'!O710)</f>
        <v/>
      </c>
      <c r="P710" s="7" t="str">
        <f>IF('Port Bloomberg'!P710="","",'Port Bloomberg'!P710)</f>
        <v/>
      </c>
      <c r="Q710" s="7" t="str">
        <f>IF('Port Bloomberg'!Q710="","",'Port Bloomberg'!Q710)</f>
        <v/>
      </c>
      <c r="R710" s="7" t="str">
        <f>IF('Port Bloomberg'!R710="","",'Port Bloomberg'!R710)</f>
        <v/>
      </c>
      <c r="S710" s="5" t="str">
        <f>IF(E710="","",IFERROR(IF(MATCH(E710,[1]Instrumentos!$D:$D,0)&gt;0,1,0),0))</f>
        <v/>
      </c>
      <c r="T710" s="5" t="str">
        <f>IF(E710="","",IFERROR(IF(MATCH(E710,'Lista de excepciones'!$E:$E,0)&gt;0,1,0),0))</f>
        <v/>
      </c>
      <c r="U710" s="6" t="str">
        <f t="shared" si="12"/>
        <v/>
      </c>
    </row>
    <row r="711" spans="1:21" hidden="1" x14ac:dyDescent="0.25">
      <c r="A711" s="7" t="str">
        <f>IF('Port Bloomberg'!A711="","",'Port Bloomberg'!A711)</f>
        <v/>
      </c>
      <c r="B711" s="7" t="str">
        <f>IF('Port Bloomberg'!B711="","",'Port Bloomberg'!B711)</f>
        <v/>
      </c>
      <c r="C711" s="7" t="str">
        <f>IF('Port Bloomberg'!C711="","",'Port Bloomberg'!C711)</f>
        <v/>
      </c>
      <c r="D711" s="7" t="str">
        <f>IF('Port Bloomberg'!D711="","",'Port Bloomberg'!D711)</f>
        <v/>
      </c>
      <c r="E711" s="7" t="str">
        <f>IF('Port Bloomberg'!E711="","",'Port Bloomberg'!E711)</f>
        <v/>
      </c>
      <c r="F711" s="7" t="str">
        <f>IF('Port Bloomberg'!F711="","",'Port Bloomberg'!F711)</f>
        <v/>
      </c>
      <c r="G711" s="7" t="str">
        <f>IF('Port Bloomberg'!G711="","",'Port Bloomberg'!G711)</f>
        <v/>
      </c>
      <c r="H711" s="7" t="str">
        <f>IF('Port Bloomberg'!H711="","",'Port Bloomberg'!H711)</f>
        <v/>
      </c>
      <c r="I711" s="7" t="str">
        <f>IF('Port Bloomberg'!I711="","",'Port Bloomberg'!I711)</f>
        <v/>
      </c>
      <c r="J711" s="7" t="str">
        <f>IF('Port Bloomberg'!J711="","",'Port Bloomberg'!J711)</f>
        <v/>
      </c>
      <c r="K711" s="7" t="str">
        <f>IF('Port Bloomberg'!K711="","",'Port Bloomberg'!K711)</f>
        <v/>
      </c>
      <c r="L711" s="7" t="str">
        <f>IF('Port Bloomberg'!L711="","",'Port Bloomberg'!L711)</f>
        <v/>
      </c>
      <c r="M711" s="7" t="str">
        <f>IF('Port Bloomberg'!M711="","",'Port Bloomberg'!M711)</f>
        <v/>
      </c>
      <c r="N711" s="7" t="str">
        <f>IF('Port Bloomberg'!N711="","",'Port Bloomberg'!N711)</f>
        <v/>
      </c>
      <c r="O711" s="7" t="str">
        <f>IF('Port Bloomberg'!O711="","",'Port Bloomberg'!O711)</f>
        <v/>
      </c>
      <c r="P711" s="7" t="str">
        <f>IF('Port Bloomberg'!P711="","",'Port Bloomberg'!P711)</f>
        <v/>
      </c>
      <c r="Q711" s="7" t="str">
        <f>IF('Port Bloomberg'!Q711="","",'Port Bloomberg'!Q711)</f>
        <v/>
      </c>
      <c r="R711" s="7" t="str">
        <f>IF('Port Bloomberg'!R711="","",'Port Bloomberg'!R711)</f>
        <v/>
      </c>
      <c r="S711" s="5" t="str">
        <f>IF(E711="","",IFERROR(IF(MATCH(E711,[1]Instrumentos!$D:$D,0)&gt;0,1,0),0))</f>
        <v/>
      </c>
      <c r="T711" s="5" t="str">
        <f>IF(E711="","",IFERROR(IF(MATCH(E711,'Lista de excepciones'!$E:$E,0)&gt;0,1,0),0))</f>
        <v/>
      </c>
      <c r="U711" s="6" t="str">
        <f t="shared" si="12"/>
        <v/>
      </c>
    </row>
    <row r="712" spans="1:21" hidden="1" x14ac:dyDescent="0.25">
      <c r="A712" s="7" t="str">
        <f>IF('Port Bloomberg'!A712="","",'Port Bloomberg'!A712)</f>
        <v/>
      </c>
      <c r="B712" s="7" t="str">
        <f>IF('Port Bloomberg'!B712="","",'Port Bloomberg'!B712)</f>
        <v/>
      </c>
      <c r="C712" s="7" t="str">
        <f>IF('Port Bloomberg'!C712="","",'Port Bloomberg'!C712)</f>
        <v/>
      </c>
      <c r="D712" s="7" t="str">
        <f>IF('Port Bloomberg'!D712="","",'Port Bloomberg'!D712)</f>
        <v/>
      </c>
      <c r="E712" s="7" t="str">
        <f>IF('Port Bloomberg'!E712="","",'Port Bloomberg'!E712)</f>
        <v/>
      </c>
      <c r="F712" s="7" t="str">
        <f>IF('Port Bloomberg'!F712="","",'Port Bloomberg'!F712)</f>
        <v/>
      </c>
      <c r="G712" s="7" t="str">
        <f>IF('Port Bloomberg'!G712="","",'Port Bloomberg'!G712)</f>
        <v/>
      </c>
      <c r="H712" s="7" t="str">
        <f>IF('Port Bloomberg'!H712="","",'Port Bloomberg'!H712)</f>
        <v/>
      </c>
      <c r="I712" s="7" t="str">
        <f>IF('Port Bloomberg'!I712="","",'Port Bloomberg'!I712)</f>
        <v/>
      </c>
      <c r="J712" s="7" t="str">
        <f>IF('Port Bloomberg'!J712="","",'Port Bloomberg'!J712)</f>
        <v/>
      </c>
      <c r="K712" s="7" t="str">
        <f>IF('Port Bloomberg'!K712="","",'Port Bloomberg'!K712)</f>
        <v/>
      </c>
      <c r="L712" s="7" t="str">
        <f>IF('Port Bloomberg'!L712="","",'Port Bloomberg'!L712)</f>
        <v/>
      </c>
      <c r="M712" s="7" t="str">
        <f>IF('Port Bloomberg'!M712="","",'Port Bloomberg'!M712)</f>
        <v/>
      </c>
      <c r="N712" s="7" t="str">
        <f>IF('Port Bloomberg'!N712="","",'Port Bloomberg'!N712)</f>
        <v/>
      </c>
      <c r="O712" s="7" t="str">
        <f>IF('Port Bloomberg'!O712="","",'Port Bloomberg'!O712)</f>
        <v/>
      </c>
      <c r="P712" s="7" t="str">
        <f>IF('Port Bloomberg'!P712="","",'Port Bloomberg'!P712)</f>
        <v/>
      </c>
      <c r="Q712" s="7" t="str">
        <f>IF('Port Bloomberg'!Q712="","",'Port Bloomberg'!Q712)</f>
        <v/>
      </c>
      <c r="R712" s="7" t="str">
        <f>IF('Port Bloomberg'!R712="","",'Port Bloomberg'!R712)</f>
        <v/>
      </c>
      <c r="S712" s="5" t="str">
        <f>IF(E712="","",IFERROR(IF(MATCH(E712,[1]Instrumentos!$D:$D,0)&gt;0,1,0),0))</f>
        <v/>
      </c>
      <c r="T712" s="5" t="str">
        <f>IF(E712="","",IFERROR(IF(MATCH(E712,'Lista de excepciones'!$E:$E,0)&gt;0,1,0),0))</f>
        <v/>
      </c>
      <c r="U712" s="6" t="str">
        <f t="shared" si="12"/>
        <v/>
      </c>
    </row>
    <row r="713" spans="1:21" hidden="1" x14ac:dyDescent="0.25">
      <c r="A713" s="7" t="str">
        <f>IF('Port Bloomberg'!A713="","",'Port Bloomberg'!A713)</f>
        <v/>
      </c>
      <c r="B713" s="7" t="str">
        <f>IF('Port Bloomberg'!B713="","",'Port Bloomberg'!B713)</f>
        <v/>
      </c>
      <c r="C713" s="7" t="str">
        <f>IF('Port Bloomberg'!C713="","",'Port Bloomberg'!C713)</f>
        <v/>
      </c>
      <c r="D713" s="7" t="str">
        <f>IF('Port Bloomberg'!D713="","",'Port Bloomberg'!D713)</f>
        <v/>
      </c>
      <c r="E713" s="7" t="str">
        <f>IF('Port Bloomberg'!E713="","",'Port Bloomberg'!E713)</f>
        <v/>
      </c>
      <c r="F713" s="7" t="str">
        <f>IF('Port Bloomberg'!F713="","",'Port Bloomberg'!F713)</f>
        <v/>
      </c>
      <c r="G713" s="7" t="str">
        <f>IF('Port Bloomberg'!G713="","",'Port Bloomberg'!G713)</f>
        <v/>
      </c>
      <c r="H713" s="7" t="str">
        <f>IF('Port Bloomberg'!H713="","",'Port Bloomberg'!H713)</f>
        <v/>
      </c>
      <c r="I713" s="7" t="str">
        <f>IF('Port Bloomberg'!I713="","",'Port Bloomberg'!I713)</f>
        <v/>
      </c>
      <c r="J713" s="7" t="str">
        <f>IF('Port Bloomberg'!J713="","",'Port Bloomberg'!J713)</f>
        <v/>
      </c>
      <c r="K713" s="7" t="str">
        <f>IF('Port Bloomberg'!K713="","",'Port Bloomberg'!K713)</f>
        <v/>
      </c>
      <c r="L713" s="7" t="str">
        <f>IF('Port Bloomberg'!L713="","",'Port Bloomberg'!L713)</f>
        <v/>
      </c>
      <c r="M713" s="7" t="str">
        <f>IF('Port Bloomberg'!M713="","",'Port Bloomberg'!M713)</f>
        <v/>
      </c>
      <c r="N713" s="7" t="str">
        <f>IF('Port Bloomberg'!N713="","",'Port Bloomberg'!N713)</f>
        <v/>
      </c>
      <c r="O713" s="7" t="str">
        <f>IF('Port Bloomberg'!O713="","",'Port Bloomberg'!O713)</f>
        <v/>
      </c>
      <c r="P713" s="7" t="str">
        <f>IF('Port Bloomberg'!P713="","",'Port Bloomberg'!P713)</f>
        <v/>
      </c>
      <c r="Q713" s="7" t="str">
        <f>IF('Port Bloomberg'!Q713="","",'Port Bloomberg'!Q713)</f>
        <v/>
      </c>
      <c r="R713" s="7" t="str">
        <f>IF('Port Bloomberg'!R713="","",'Port Bloomberg'!R713)</f>
        <v/>
      </c>
      <c r="S713" s="5" t="str">
        <f>IF(E713="","",IFERROR(IF(MATCH(E713,[1]Instrumentos!$D:$D,0)&gt;0,1,0),0))</f>
        <v/>
      </c>
      <c r="T713" s="5" t="str">
        <f>IF(E713="","",IFERROR(IF(MATCH(E713,'Lista de excepciones'!$E:$E,0)&gt;0,1,0),0))</f>
        <v/>
      </c>
      <c r="U713" s="6" t="str">
        <f t="shared" si="12"/>
        <v/>
      </c>
    </row>
    <row r="714" spans="1:21" hidden="1" x14ac:dyDescent="0.25">
      <c r="A714" s="7" t="str">
        <f>IF('Port Bloomberg'!A714="","",'Port Bloomberg'!A714)</f>
        <v/>
      </c>
      <c r="B714" s="7" t="str">
        <f>IF('Port Bloomberg'!B714="","",'Port Bloomberg'!B714)</f>
        <v/>
      </c>
      <c r="C714" s="7" t="str">
        <f>IF('Port Bloomberg'!C714="","",'Port Bloomberg'!C714)</f>
        <v/>
      </c>
      <c r="D714" s="7" t="str">
        <f>IF('Port Bloomberg'!D714="","",'Port Bloomberg'!D714)</f>
        <v/>
      </c>
      <c r="E714" s="7" t="str">
        <f>IF('Port Bloomberg'!E714="","",'Port Bloomberg'!E714)</f>
        <v/>
      </c>
      <c r="F714" s="7" t="str">
        <f>IF('Port Bloomberg'!F714="","",'Port Bloomberg'!F714)</f>
        <v/>
      </c>
      <c r="G714" s="7" t="str">
        <f>IF('Port Bloomberg'!G714="","",'Port Bloomberg'!G714)</f>
        <v/>
      </c>
      <c r="H714" s="7" t="str">
        <f>IF('Port Bloomberg'!H714="","",'Port Bloomberg'!H714)</f>
        <v/>
      </c>
      <c r="I714" s="7" t="str">
        <f>IF('Port Bloomberg'!I714="","",'Port Bloomberg'!I714)</f>
        <v/>
      </c>
      <c r="J714" s="7" t="str">
        <f>IF('Port Bloomberg'!J714="","",'Port Bloomberg'!J714)</f>
        <v/>
      </c>
      <c r="K714" s="7" t="str">
        <f>IF('Port Bloomberg'!K714="","",'Port Bloomberg'!K714)</f>
        <v/>
      </c>
      <c r="L714" s="7" t="str">
        <f>IF('Port Bloomberg'!L714="","",'Port Bloomberg'!L714)</f>
        <v/>
      </c>
      <c r="M714" s="7" t="str">
        <f>IF('Port Bloomberg'!M714="","",'Port Bloomberg'!M714)</f>
        <v/>
      </c>
      <c r="N714" s="7" t="str">
        <f>IF('Port Bloomberg'!N714="","",'Port Bloomberg'!N714)</f>
        <v/>
      </c>
      <c r="O714" s="7" t="str">
        <f>IF('Port Bloomberg'!O714="","",'Port Bloomberg'!O714)</f>
        <v/>
      </c>
      <c r="P714" s="7" t="str">
        <f>IF('Port Bloomberg'!P714="","",'Port Bloomberg'!P714)</f>
        <v/>
      </c>
      <c r="Q714" s="7" t="str">
        <f>IF('Port Bloomberg'!Q714="","",'Port Bloomberg'!Q714)</f>
        <v/>
      </c>
      <c r="R714" s="7" t="str">
        <f>IF('Port Bloomberg'!R714="","",'Port Bloomberg'!R714)</f>
        <v/>
      </c>
      <c r="S714" s="5" t="str">
        <f>IF(E714="","",IFERROR(IF(MATCH(E714,[1]Instrumentos!$D:$D,0)&gt;0,1,0),0))</f>
        <v/>
      </c>
      <c r="T714" s="5" t="str">
        <f>IF(E714="","",IFERROR(IF(MATCH(E714,'Lista de excepciones'!$E:$E,0)&gt;0,1,0),0))</f>
        <v/>
      </c>
      <c r="U714" s="6" t="str">
        <f t="shared" si="12"/>
        <v/>
      </c>
    </row>
    <row r="715" spans="1:21" hidden="1" x14ac:dyDescent="0.25">
      <c r="A715" s="7" t="str">
        <f>IF('Port Bloomberg'!A715="","",'Port Bloomberg'!A715)</f>
        <v/>
      </c>
      <c r="B715" s="7" t="str">
        <f>IF('Port Bloomberg'!B715="","",'Port Bloomberg'!B715)</f>
        <v/>
      </c>
      <c r="C715" s="7" t="str">
        <f>IF('Port Bloomberg'!C715="","",'Port Bloomberg'!C715)</f>
        <v/>
      </c>
      <c r="D715" s="7" t="str">
        <f>IF('Port Bloomberg'!D715="","",'Port Bloomberg'!D715)</f>
        <v/>
      </c>
      <c r="E715" s="7" t="str">
        <f>IF('Port Bloomberg'!E715="","",'Port Bloomberg'!E715)</f>
        <v/>
      </c>
      <c r="F715" s="7" t="str">
        <f>IF('Port Bloomberg'!F715="","",'Port Bloomberg'!F715)</f>
        <v/>
      </c>
      <c r="G715" s="7" t="str">
        <f>IF('Port Bloomberg'!G715="","",'Port Bloomberg'!G715)</f>
        <v/>
      </c>
      <c r="H715" s="7" t="str">
        <f>IF('Port Bloomberg'!H715="","",'Port Bloomberg'!H715)</f>
        <v/>
      </c>
      <c r="I715" s="7" t="str">
        <f>IF('Port Bloomberg'!I715="","",'Port Bloomberg'!I715)</f>
        <v/>
      </c>
      <c r="J715" s="7" t="str">
        <f>IF('Port Bloomberg'!J715="","",'Port Bloomberg'!J715)</f>
        <v/>
      </c>
      <c r="K715" s="7" t="str">
        <f>IF('Port Bloomberg'!K715="","",'Port Bloomberg'!K715)</f>
        <v/>
      </c>
      <c r="L715" s="7" t="str">
        <f>IF('Port Bloomberg'!L715="","",'Port Bloomberg'!L715)</f>
        <v/>
      </c>
      <c r="M715" s="7" t="str">
        <f>IF('Port Bloomberg'!M715="","",'Port Bloomberg'!M715)</f>
        <v/>
      </c>
      <c r="N715" s="7" t="str">
        <f>IF('Port Bloomberg'!N715="","",'Port Bloomberg'!N715)</f>
        <v/>
      </c>
      <c r="O715" s="7" t="str">
        <f>IF('Port Bloomberg'!O715="","",'Port Bloomberg'!O715)</f>
        <v/>
      </c>
      <c r="P715" s="7" t="str">
        <f>IF('Port Bloomberg'!P715="","",'Port Bloomberg'!P715)</f>
        <v/>
      </c>
      <c r="Q715" s="7" t="str">
        <f>IF('Port Bloomberg'!Q715="","",'Port Bloomberg'!Q715)</f>
        <v/>
      </c>
      <c r="R715" s="7" t="str">
        <f>IF('Port Bloomberg'!R715="","",'Port Bloomberg'!R715)</f>
        <v/>
      </c>
      <c r="S715" s="5" t="str">
        <f>IF(E715="","",IFERROR(IF(MATCH(E715,[1]Instrumentos!$D:$D,0)&gt;0,1,0),0))</f>
        <v/>
      </c>
      <c r="T715" s="5" t="str">
        <f>IF(E715="","",IFERROR(IF(MATCH(E715,'Lista de excepciones'!$E:$E,0)&gt;0,1,0),0))</f>
        <v/>
      </c>
      <c r="U715" s="6" t="str">
        <f t="shared" si="12"/>
        <v/>
      </c>
    </row>
    <row r="716" spans="1:21" hidden="1" x14ac:dyDescent="0.25">
      <c r="A716" s="7" t="str">
        <f>IF('Port Bloomberg'!A716="","",'Port Bloomberg'!A716)</f>
        <v/>
      </c>
      <c r="B716" s="7" t="str">
        <f>IF('Port Bloomberg'!B716="","",'Port Bloomberg'!B716)</f>
        <v/>
      </c>
      <c r="C716" s="7" t="str">
        <f>IF('Port Bloomberg'!C716="","",'Port Bloomberg'!C716)</f>
        <v/>
      </c>
      <c r="D716" s="7" t="str">
        <f>IF('Port Bloomberg'!D716="","",'Port Bloomberg'!D716)</f>
        <v/>
      </c>
      <c r="E716" s="7" t="str">
        <f>IF('Port Bloomberg'!E716="","",'Port Bloomberg'!E716)</f>
        <v/>
      </c>
      <c r="F716" s="7" t="str">
        <f>IF('Port Bloomberg'!F716="","",'Port Bloomberg'!F716)</f>
        <v/>
      </c>
      <c r="G716" s="7" t="str">
        <f>IF('Port Bloomberg'!G716="","",'Port Bloomberg'!G716)</f>
        <v/>
      </c>
      <c r="H716" s="7" t="str">
        <f>IF('Port Bloomberg'!H716="","",'Port Bloomberg'!H716)</f>
        <v/>
      </c>
      <c r="I716" s="7" t="str">
        <f>IF('Port Bloomberg'!I716="","",'Port Bloomberg'!I716)</f>
        <v/>
      </c>
      <c r="J716" s="7" t="str">
        <f>IF('Port Bloomberg'!J716="","",'Port Bloomberg'!J716)</f>
        <v/>
      </c>
      <c r="K716" s="7" t="str">
        <f>IF('Port Bloomberg'!K716="","",'Port Bloomberg'!K716)</f>
        <v/>
      </c>
      <c r="L716" s="7" t="str">
        <f>IF('Port Bloomberg'!L716="","",'Port Bloomberg'!L716)</f>
        <v/>
      </c>
      <c r="M716" s="7" t="str">
        <f>IF('Port Bloomberg'!M716="","",'Port Bloomberg'!M716)</f>
        <v/>
      </c>
      <c r="N716" s="7" t="str">
        <f>IF('Port Bloomberg'!N716="","",'Port Bloomberg'!N716)</f>
        <v/>
      </c>
      <c r="O716" s="7" t="str">
        <f>IF('Port Bloomberg'!O716="","",'Port Bloomberg'!O716)</f>
        <v/>
      </c>
      <c r="P716" s="7" t="str">
        <f>IF('Port Bloomberg'!P716="","",'Port Bloomberg'!P716)</f>
        <v/>
      </c>
      <c r="Q716" s="7" t="str">
        <f>IF('Port Bloomberg'!Q716="","",'Port Bloomberg'!Q716)</f>
        <v/>
      </c>
      <c r="R716" s="7" t="str">
        <f>IF('Port Bloomberg'!R716="","",'Port Bloomberg'!R716)</f>
        <v/>
      </c>
      <c r="S716" s="5" t="str">
        <f>IF(E716="","",IFERROR(IF(MATCH(E716,[1]Instrumentos!$D:$D,0)&gt;0,1,0),0))</f>
        <v/>
      </c>
      <c r="T716" s="5" t="str">
        <f>IF(E716="","",IFERROR(IF(MATCH(E716,'Lista de excepciones'!$E:$E,0)&gt;0,1,0),0))</f>
        <v/>
      </c>
      <c r="U716" s="6" t="str">
        <f t="shared" si="12"/>
        <v/>
      </c>
    </row>
    <row r="717" spans="1:21" hidden="1" x14ac:dyDescent="0.25">
      <c r="A717" s="7" t="str">
        <f>IF('Port Bloomberg'!A717="","",'Port Bloomberg'!A717)</f>
        <v/>
      </c>
      <c r="B717" s="7" t="str">
        <f>IF('Port Bloomberg'!B717="","",'Port Bloomberg'!B717)</f>
        <v/>
      </c>
      <c r="C717" s="7" t="str">
        <f>IF('Port Bloomberg'!C717="","",'Port Bloomberg'!C717)</f>
        <v/>
      </c>
      <c r="D717" s="7" t="str">
        <f>IF('Port Bloomberg'!D717="","",'Port Bloomberg'!D717)</f>
        <v/>
      </c>
      <c r="E717" s="7" t="str">
        <f>IF('Port Bloomberg'!E717="","",'Port Bloomberg'!E717)</f>
        <v/>
      </c>
      <c r="F717" s="7" t="str">
        <f>IF('Port Bloomberg'!F717="","",'Port Bloomberg'!F717)</f>
        <v/>
      </c>
      <c r="G717" s="7" t="str">
        <f>IF('Port Bloomberg'!G717="","",'Port Bloomberg'!G717)</f>
        <v/>
      </c>
      <c r="H717" s="7" t="str">
        <f>IF('Port Bloomberg'!H717="","",'Port Bloomberg'!H717)</f>
        <v/>
      </c>
      <c r="I717" s="7" t="str">
        <f>IF('Port Bloomberg'!I717="","",'Port Bloomberg'!I717)</f>
        <v/>
      </c>
      <c r="J717" s="7" t="str">
        <f>IF('Port Bloomberg'!J717="","",'Port Bloomberg'!J717)</f>
        <v/>
      </c>
      <c r="K717" s="7" t="str">
        <f>IF('Port Bloomberg'!K717="","",'Port Bloomberg'!K717)</f>
        <v/>
      </c>
      <c r="L717" s="7" t="str">
        <f>IF('Port Bloomberg'!L717="","",'Port Bloomberg'!L717)</f>
        <v/>
      </c>
      <c r="M717" s="7" t="str">
        <f>IF('Port Bloomberg'!M717="","",'Port Bloomberg'!M717)</f>
        <v/>
      </c>
      <c r="N717" s="7" t="str">
        <f>IF('Port Bloomberg'!N717="","",'Port Bloomberg'!N717)</f>
        <v/>
      </c>
      <c r="O717" s="7" t="str">
        <f>IF('Port Bloomberg'!O717="","",'Port Bloomberg'!O717)</f>
        <v/>
      </c>
      <c r="P717" s="7" t="str">
        <f>IF('Port Bloomberg'!P717="","",'Port Bloomberg'!P717)</f>
        <v/>
      </c>
      <c r="Q717" s="7" t="str">
        <f>IF('Port Bloomberg'!Q717="","",'Port Bloomberg'!Q717)</f>
        <v/>
      </c>
      <c r="R717" s="7" t="str">
        <f>IF('Port Bloomberg'!R717="","",'Port Bloomberg'!R717)</f>
        <v/>
      </c>
      <c r="S717" s="5" t="str">
        <f>IF(E717="","",IFERROR(IF(MATCH(E717,[1]Instrumentos!$D:$D,0)&gt;0,1,0),0))</f>
        <v/>
      </c>
      <c r="T717" s="5" t="str">
        <f>IF(E717="","",IFERROR(IF(MATCH(E717,'Lista de excepciones'!$E:$E,0)&gt;0,1,0),0))</f>
        <v/>
      </c>
      <c r="U717" s="6" t="str">
        <f t="shared" si="12"/>
        <v/>
      </c>
    </row>
    <row r="718" spans="1:21" hidden="1" x14ac:dyDescent="0.25">
      <c r="A718" s="7" t="str">
        <f>IF('Port Bloomberg'!A718="","",'Port Bloomberg'!A718)</f>
        <v/>
      </c>
      <c r="B718" s="7" t="str">
        <f>IF('Port Bloomberg'!B718="","",'Port Bloomberg'!B718)</f>
        <v/>
      </c>
      <c r="C718" s="7" t="str">
        <f>IF('Port Bloomberg'!C718="","",'Port Bloomberg'!C718)</f>
        <v/>
      </c>
      <c r="D718" s="7" t="str">
        <f>IF('Port Bloomberg'!D718="","",'Port Bloomberg'!D718)</f>
        <v/>
      </c>
      <c r="E718" s="7" t="str">
        <f>IF('Port Bloomberg'!E718="","",'Port Bloomberg'!E718)</f>
        <v/>
      </c>
      <c r="F718" s="7" t="str">
        <f>IF('Port Bloomberg'!F718="","",'Port Bloomberg'!F718)</f>
        <v/>
      </c>
      <c r="G718" s="7" t="str">
        <f>IF('Port Bloomberg'!G718="","",'Port Bloomberg'!G718)</f>
        <v/>
      </c>
      <c r="H718" s="7" t="str">
        <f>IF('Port Bloomberg'!H718="","",'Port Bloomberg'!H718)</f>
        <v/>
      </c>
      <c r="I718" s="7" t="str">
        <f>IF('Port Bloomberg'!I718="","",'Port Bloomberg'!I718)</f>
        <v/>
      </c>
      <c r="J718" s="7" t="str">
        <f>IF('Port Bloomberg'!J718="","",'Port Bloomberg'!J718)</f>
        <v/>
      </c>
      <c r="K718" s="7" t="str">
        <f>IF('Port Bloomberg'!K718="","",'Port Bloomberg'!K718)</f>
        <v/>
      </c>
      <c r="L718" s="7" t="str">
        <f>IF('Port Bloomberg'!L718="","",'Port Bloomberg'!L718)</f>
        <v/>
      </c>
      <c r="M718" s="7" t="str">
        <f>IF('Port Bloomberg'!M718="","",'Port Bloomberg'!M718)</f>
        <v/>
      </c>
      <c r="N718" s="7" t="str">
        <f>IF('Port Bloomberg'!N718="","",'Port Bloomberg'!N718)</f>
        <v/>
      </c>
      <c r="O718" s="7" t="str">
        <f>IF('Port Bloomberg'!O718="","",'Port Bloomberg'!O718)</f>
        <v/>
      </c>
      <c r="P718" s="7" t="str">
        <f>IF('Port Bloomberg'!P718="","",'Port Bloomberg'!P718)</f>
        <v/>
      </c>
      <c r="Q718" s="7" t="str">
        <f>IF('Port Bloomberg'!Q718="","",'Port Bloomberg'!Q718)</f>
        <v/>
      </c>
      <c r="R718" s="7" t="str">
        <f>IF('Port Bloomberg'!R718="","",'Port Bloomberg'!R718)</f>
        <v/>
      </c>
      <c r="S718" s="5" t="str">
        <f>IF(E718="","",IFERROR(IF(MATCH(E718,[1]Instrumentos!$D:$D,0)&gt;0,1,0),0))</f>
        <v/>
      </c>
      <c r="T718" s="5" t="str">
        <f>IF(E718="","",IFERROR(IF(MATCH(E718,'Lista de excepciones'!$E:$E,0)&gt;0,1,0),0))</f>
        <v/>
      </c>
      <c r="U718" s="6" t="str">
        <f t="shared" si="12"/>
        <v/>
      </c>
    </row>
    <row r="719" spans="1:21" hidden="1" x14ac:dyDescent="0.25">
      <c r="A719" s="7" t="str">
        <f>IF('Port Bloomberg'!A719="","",'Port Bloomberg'!A719)</f>
        <v/>
      </c>
      <c r="B719" s="7" t="str">
        <f>IF('Port Bloomberg'!B719="","",'Port Bloomberg'!B719)</f>
        <v/>
      </c>
      <c r="C719" s="7" t="str">
        <f>IF('Port Bloomberg'!C719="","",'Port Bloomberg'!C719)</f>
        <v/>
      </c>
      <c r="D719" s="7" t="str">
        <f>IF('Port Bloomberg'!D719="","",'Port Bloomberg'!D719)</f>
        <v/>
      </c>
      <c r="E719" s="7" t="str">
        <f>IF('Port Bloomberg'!E719="","",'Port Bloomberg'!E719)</f>
        <v/>
      </c>
      <c r="F719" s="7" t="str">
        <f>IF('Port Bloomberg'!F719="","",'Port Bloomberg'!F719)</f>
        <v/>
      </c>
      <c r="G719" s="7" t="str">
        <f>IF('Port Bloomberg'!G719="","",'Port Bloomberg'!G719)</f>
        <v/>
      </c>
      <c r="H719" s="7" t="str">
        <f>IF('Port Bloomberg'!H719="","",'Port Bloomberg'!H719)</f>
        <v/>
      </c>
      <c r="I719" s="7" t="str">
        <f>IF('Port Bloomberg'!I719="","",'Port Bloomberg'!I719)</f>
        <v/>
      </c>
      <c r="J719" s="7" t="str">
        <f>IF('Port Bloomberg'!J719="","",'Port Bloomberg'!J719)</f>
        <v/>
      </c>
      <c r="K719" s="7" t="str">
        <f>IF('Port Bloomberg'!K719="","",'Port Bloomberg'!K719)</f>
        <v/>
      </c>
      <c r="L719" s="7" t="str">
        <f>IF('Port Bloomberg'!L719="","",'Port Bloomberg'!L719)</f>
        <v/>
      </c>
      <c r="M719" s="7" t="str">
        <f>IF('Port Bloomberg'!M719="","",'Port Bloomberg'!M719)</f>
        <v/>
      </c>
      <c r="N719" s="7" t="str">
        <f>IF('Port Bloomberg'!N719="","",'Port Bloomberg'!N719)</f>
        <v/>
      </c>
      <c r="O719" s="7" t="str">
        <f>IF('Port Bloomberg'!O719="","",'Port Bloomberg'!O719)</f>
        <v/>
      </c>
      <c r="P719" s="7" t="str">
        <f>IF('Port Bloomberg'!P719="","",'Port Bloomberg'!P719)</f>
        <v/>
      </c>
      <c r="Q719" s="7" t="str">
        <f>IF('Port Bloomberg'!Q719="","",'Port Bloomberg'!Q719)</f>
        <v/>
      </c>
      <c r="R719" s="7" t="str">
        <f>IF('Port Bloomberg'!R719="","",'Port Bloomberg'!R719)</f>
        <v/>
      </c>
      <c r="S719" s="5" t="str">
        <f>IF(E719="","",IFERROR(IF(MATCH(E719,[1]Instrumentos!$D:$D,0)&gt;0,1,0),0))</f>
        <v/>
      </c>
      <c r="T719" s="5" t="str">
        <f>IF(E719="","",IFERROR(IF(MATCH(E719,'Lista de excepciones'!$E:$E,0)&gt;0,1,0),0))</f>
        <v/>
      </c>
      <c r="U719" s="6" t="str">
        <f t="shared" si="12"/>
        <v/>
      </c>
    </row>
    <row r="720" spans="1:21" hidden="1" x14ac:dyDescent="0.25">
      <c r="A720" s="7" t="str">
        <f>IF('Port Bloomberg'!A720="","",'Port Bloomberg'!A720)</f>
        <v/>
      </c>
      <c r="B720" s="7" t="str">
        <f>IF('Port Bloomberg'!B720="","",'Port Bloomberg'!B720)</f>
        <v/>
      </c>
      <c r="C720" s="7" t="str">
        <f>IF('Port Bloomberg'!C720="","",'Port Bloomberg'!C720)</f>
        <v/>
      </c>
      <c r="D720" s="7" t="str">
        <f>IF('Port Bloomberg'!D720="","",'Port Bloomberg'!D720)</f>
        <v/>
      </c>
      <c r="E720" s="7" t="str">
        <f>IF('Port Bloomberg'!E720="","",'Port Bloomberg'!E720)</f>
        <v/>
      </c>
      <c r="F720" s="7" t="str">
        <f>IF('Port Bloomberg'!F720="","",'Port Bloomberg'!F720)</f>
        <v/>
      </c>
      <c r="G720" s="7" t="str">
        <f>IF('Port Bloomberg'!G720="","",'Port Bloomberg'!G720)</f>
        <v/>
      </c>
      <c r="H720" s="7" t="str">
        <f>IF('Port Bloomberg'!H720="","",'Port Bloomberg'!H720)</f>
        <v/>
      </c>
      <c r="I720" s="7" t="str">
        <f>IF('Port Bloomberg'!I720="","",'Port Bloomberg'!I720)</f>
        <v/>
      </c>
      <c r="J720" s="7" t="str">
        <f>IF('Port Bloomberg'!J720="","",'Port Bloomberg'!J720)</f>
        <v/>
      </c>
      <c r="K720" s="7" t="str">
        <f>IF('Port Bloomberg'!K720="","",'Port Bloomberg'!K720)</f>
        <v/>
      </c>
      <c r="L720" s="7" t="str">
        <f>IF('Port Bloomberg'!L720="","",'Port Bloomberg'!L720)</f>
        <v/>
      </c>
      <c r="M720" s="7" t="str">
        <f>IF('Port Bloomberg'!M720="","",'Port Bloomberg'!M720)</f>
        <v/>
      </c>
      <c r="N720" s="7" t="str">
        <f>IF('Port Bloomberg'!N720="","",'Port Bloomberg'!N720)</f>
        <v/>
      </c>
      <c r="O720" s="7" t="str">
        <f>IF('Port Bloomberg'!O720="","",'Port Bloomberg'!O720)</f>
        <v/>
      </c>
      <c r="P720" s="7" t="str">
        <f>IF('Port Bloomberg'!P720="","",'Port Bloomberg'!P720)</f>
        <v/>
      </c>
      <c r="Q720" s="7" t="str">
        <f>IF('Port Bloomberg'!Q720="","",'Port Bloomberg'!Q720)</f>
        <v/>
      </c>
      <c r="R720" s="7" t="str">
        <f>IF('Port Bloomberg'!R720="","",'Port Bloomberg'!R720)</f>
        <v/>
      </c>
      <c r="S720" s="5" t="str">
        <f>IF(E720="","",IFERROR(IF(MATCH(E720,[1]Instrumentos!$D:$D,0)&gt;0,1,0),0))</f>
        <v/>
      </c>
      <c r="T720" s="5" t="str">
        <f>IF(E720="","",IFERROR(IF(MATCH(E720,'Lista de excepciones'!$E:$E,0)&gt;0,1,0),0))</f>
        <v/>
      </c>
      <c r="U720" s="6" t="str">
        <f t="shared" si="12"/>
        <v/>
      </c>
    </row>
    <row r="721" spans="1:21" hidden="1" x14ac:dyDescent="0.25">
      <c r="A721" s="7" t="str">
        <f>IF('Port Bloomberg'!A721="","",'Port Bloomberg'!A721)</f>
        <v/>
      </c>
      <c r="B721" s="7" t="str">
        <f>IF('Port Bloomberg'!B721="","",'Port Bloomberg'!B721)</f>
        <v/>
      </c>
      <c r="C721" s="7" t="str">
        <f>IF('Port Bloomberg'!C721="","",'Port Bloomberg'!C721)</f>
        <v/>
      </c>
      <c r="D721" s="7" t="str">
        <f>IF('Port Bloomberg'!D721="","",'Port Bloomberg'!D721)</f>
        <v/>
      </c>
      <c r="E721" s="7" t="str">
        <f>IF('Port Bloomberg'!E721="","",'Port Bloomberg'!E721)</f>
        <v/>
      </c>
      <c r="F721" s="7" t="str">
        <f>IF('Port Bloomberg'!F721="","",'Port Bloomberg'!F721)</f>
        <v/>
      </c>
      <c r="G721" s="7" t="str">
        <f>IF('Port Bloomberg'!G721="","",'Port Bloomberg'!G721)</f>
        <v/>
      </c>
      <c r="H721" s="7" t="str">
        <f>IF('Port Bloomberg'!H721="","",'Port Bloomberg'!H721)</f>
        <v/>
      </c>
      <c r="I721" s="7" t="str">
        <f>IF('Port Bloomberg'!I721="","",'Port Bloomberg'!I721)</f>
        <v/>
      </c>
      <c r="J721" s="7" t="str">
        <f>IF('Port Bloomberg'!J721="","",'Port Bloomberg'!J721)</f>
        <v/>
      </c>
      <c r="K721" s="7" t="str">
        <f>IF('Port Bloomberg'!K721="","",'Port Bloomberg'!K721)</f>
        <v/>
      </c>
      <c r="L721" s="7" t="str">
        <f>IF('Port Bloomberg'!L721="","",'Port Bloomberg'!L721)</f>
        <v/>
      </c>
      <c r="M721" s="7" t="str">
        <f>IF('Port Bloomberg'!M721="","",'Port Bloomberg'!M721)</f>
        <v/>
      </c>
      <c r="N721" s="7" t="str">
        <f>IF('Port Bloomberg'!N721="","",'Port Bloomberg'!N721)</f>
        <v/>
      </c>
      <c r="O721" s="7" t="str">
        <f>IF('Port Bloomberg'!O721="","",'Port Bloomberg'!O721)</f>
        <v/>
      </c>
      <c r="P721" s="7" t="str">
        <f>IF('Port Bloomberg'!P721="","",'Port Bloomberg'!P721)</f>
        <v/>
      </c>
      <c r="Q721" s="7" t="str">
        <f>IF('Port Bloomberg'!Q721="","",'Port Bloomberg'!Q721)</f>
        <v/>
      </c>
      <c r="R721" s="7" t="str">
        <f>IF('Port Bloomberg'!R721="","",'Port Bloomberg'!R721)</f>
        <v/>
      </c>
      <c r="S721" s="5" t="str">
        <f>IF(E721="","",IFERROR(IF(MATCH(E721,[1]Instrumentos!$D:$D,0)&gt;0,1,0),0))</f>
        <v/>
      </c>
      <c r="T721" s="5" t="str">
        <f>IF(E721="","",IFERROR(IF(MATCH(E721,'Lista de excepciones'!$E:$E,0)&gt;0,1,0),0))</f>
        <v/>
      </c>
      <c r="U721" s="6" t="str">
        <f t="shared" si="12"/>
        <v/>
      </c>
    </row>
    <row r="722" spans="1:21" hidden="1" x14ac:dyDescent="0.25">
      <c r="A722" s="7" t="str">
        <f>IF('Port Bloomberg'!A722="","",'Port Bloomberg'!A722)</f>
        <v/>
      </c>
      <c r="B722" s="7" t="str">
        <f>IF('Port Bloomberg'!B722="","",'Port Bloomberg'!B722)</f>
        <v/>
      </c>
      <c r="C722" s="7" t="str">
        <f>IF('Port Bloomberg'!C722="","",'Port Bloomberg'!C722)</f>
        <v/>
      </c>
      <c r="D722" s="7" t="str">
        <f>IF('Port Bloomberg'!D722="","",'Port Bloomberg'!D722)</f>
        <v/>
      </c>
      <c r="E722" s="7" t="str">
        <f>IF('Port Bloomberg'!E722="","",'Port Bloomberg'!E722)</f>
        <v/>
      </c>
      <c r="F722" s="7" t="str">
        <f>IF('Port Bloomberg'!F722="","",'Port Bloomberg'!F722)</f>
        <v/>
      </c>
      <c r="G722" s="7" t="str">
        <f>IF('Port Bloomberg'!G722="","",'Port Bloomberg'!G722)</f>
        <v/>
      </c>
      <c r="H722" s="7" t="str">
        <f>IF('Port Bloomberg'!H722="","",'Port Bloomberg'!H722)</f>
        <v/>
      </c>
      <c r="I722" s="7" t="str">
        <f>IF('Port Bloomberg'!I722="","",'Port Bloomberg'!I722)</f>
        <v/>
      </c>
      <c r="J722" s="7" t="str">
        <f>IF('Port Bloomberg'!J722="","",'Port Bloomberg'!J722)</f>
        <v/>
      </c>
      <c r="K722" s="7" t="str">
        <f>IF('Port Bloomberg'!K722="","",'Port Bloomberg'!K722)</f>
        <v/>
      </c>
      <c r="L722" s="7" t="str">
        <f>IF('Port Bloomberg'!L722="","",'Port Bloomberg'!L722)</f>
        <v/>
      </c>
      <c r="M722" s="7" t="str">
        <f>IF('Port Bloomberg'!M722="","",'Port Bloomberg'!M722)</f>
        <v/>
      </c>
      <c r="N722" s="7" t="str">
        <f>IF('Port Bloomberg'!N722="","",'Port Bloomberg'!N722)</f>
        <v/>
      </c>
      <c r="O722" s="7" t="str">
        <f>IF('Port Bloomberg'!O722="","",'Port Bloomberg'!O722)</f>
        <v/>
      </c>
      <c r="P722" s="7" t="str">
        <f>IF('Port Bloomberg'!P722="","",'Port Bloomberg'!P722)</f>
        <v/>
      </c>
      <c r="Q722" s="7" t="str">
        <f>IF('Port Bloomberg'!Q722="","",'Port Bloomberg'!Q722)</f>
        <v/>
      </c>
      <c r="R722" s="7" t="str">
        <f>IF('Port Bloomberg'!R722="","",'Port Bloomberg'!R722)</f>
        <v/>
      </c>
      <c r="S722" s="5" t="str">
        <f>IF(E722="","",IFERROR(IF(MATCH(E722,[1]Instrumentos!$D:$D,0)&gt;0,1,0),0))</f>
        <v/>
      </c>
      <c r="T722" s="5" t="str">
        <f>IF(E722="","",IFERROR(IF(MATCH(E722,'Lista de excepciones'!$E:$E,0)&gt;0,1,0),0))</f>
        <v/>
      </c>
      <c r="U722" s="6" t="str">
        <f t="shared" si="12"/>
        <v/>
      </c>
    </row>
    <row r="723" spans="1:21" hidden="1" x14ac:dyDescent="0.25">
      <c r="A723" s="7" t="str">
        <f>IF('Port Bloomberg'!A723="","",'Port Bloomberg'!A723)</f>
        <v/>
      </c>
      <c r="B723" s="7" t="str">
        <f>IF('Port Bloomberg'!B723="","",'Port Bloomberg'!B723)</f>
        <v/>
      </c>
      <c r="C723" s="7" t="str">
        <f>IF('Port Bloomberg'!C723="","",'Port Bloomberg'!C723)</f>
        <v/>
      </c>
      <c r="D723" s="7" t="str">
        <f>IF('Port Bloomberg'!D723="","",'Port Bloomberg'!D723)</f>
        <v/>
      </c>
      <c r="E723" s="7" t="str">
        <f>IF('Port Bloomberg'!E723="","",'Port Bloomberg'!E723)</f>
        <v/>
      </c>
      <c r="F723" s="7" t="str">
        <f>IF('Port Bloomberg'!F723="","",'Port Bloomberg'!F723)</f>
        <v/>
      </c>
      <c r="G723" s="7" t="str">
        <f>IF('Port Bloomberg'!G723="","",'Port Bloomberg'!G723)</f>
        <v/>
      </c>
      <c r="H723" s="7" t="str">
        <f>IF('Port Bloomberg'!H723="","",'Port Bloomberg'!H723)</f>
        <v/>
      </c>
      <c r="I723" s="7" t="str">
        <f>IF('Port Bloomberg'!I723="","",'Port Bloomberg'!I723)</f>
        <v/>
      </c>
      <c r="J723" s="7" t="str">
        <f>IF('Port Bloomberg'!J723="","",'Port Bloomberg'!J723)</f>
        <v/>
      </c>
      <c r="K723" s="7" t="str">
        <f>IF('Port Bloomberg'!K723="","",'Port Bloomberg'!K723)</f>
        <v/>
      </c>
      <c r="L723" s="7" t="str">
        <f>IF('Port Bloomberg'!L723="","",'Port Bloomberg'!L723)</f>
        <v/>
      </c>
      <c r="M723" s="7" t="str">
        <f>IF('Port Bloomberg'!M723="","",'Port Bloomberg'!M723)</f>
        <v/>
      </c>
      <c r="N723" s="7" t="str">
        <f>IF('Port Bloomberg'!N723="","",'Port Bloomberg'!N723)</f>
        <v/>
      </c>
      <c r="O723" s="7" t="str">
        <f>IF('Port Bloomberg'!O723="","",'Port Bloomberg'!O723)</f>
        <v/>
      </c>
      <c r="P723" s="7" t="str">
        <f>IF('Port Bloomberg'!P723="","",'Port Bloomberg'!P723)</f>
        <v/>
      </c>
      <c r="Q723" s="7" t="str">
        <f>IF('Port Bloomberg'!Q723="","",'Port Bloomberg'!Q723)</f>
        <v/>
      </c>
      <c r="R723" s="7" t="str">
        <f>IF('Port Bloomberg'!R723="","",'Port Bloomberg'!R723)</f>
        <v/>
      </c>
      <c r="S723" s="5" t="str">
        <f>IF(E723="","",IFERROR(IF(MATCH(E723,[1]Instrumentos!$D:$D,0)&gt;0,1,0),0))</f>
        <v/>
      </c>
      <c r="T723" s="5" t="str">
        <f>IF(E723="","",IFERROR(IF(MATCH(E723,'Lista de excepciones'!$E:$E,0)&gt;0,1,0),0))</f>
        <v/>
      </c>
      <c r="U723" s="6" t="str">
        <f t="shared" si="12"/>
        <v/>
      </c>
    </row>
    <row r="724" spans="1:21" hidden="1" x14ac:dyDescent="0.25">
      <c r="A724" s="7" t="str">
        <f>IF('Port Bloomberg'!A724="","",'Port Bloomberg'!A724)</f>
        <v/>
      </c>
      <c r="B724" s="7" t="str">
        <f>IF('Port Bloomberg'!B724="","",'Port Bloomberg'!B724)</f>
        <v/>
      </c>
      <c r="C724" s="7" t="str">
        <f>IF('Port Bloomberg'!C724="","",'Port Bloomberg'!C724)</f>
        <v/>
      </c>
      <c r="D724" s="7" t="str">
        <f>IF('Port Bloomberg'!D724="","",'Port Bloomberg'!D724)</f>
        <v/>
      </c>
      <c r="E724" s="7" t="str">
        <f>IF('Port Bloomberg'!E724="","",'Port Bloomberg'!E724)</f>
        <v/>
      </c>
      <c r="F724" s="7" t="str">
        <f>IF('Port Bloomberg'!F724="","",'Port Bloomberg'!F724)</f>
        <v/>
      </c>
      <c r="G724" s="7" t="str">
        <f>IF('Port Bloomberg'!G724="","",'Port Bloomberg'!G724)</f>
        <v/>
      </c>
      <c r="H724" s="7" t="str">
        <f>IF('Port Bloomberg'!H724="","",'Port Bloomberg'!H724)</f>
        <v/>
      </c>
      <c r="I724" s="7" t="str">
        <f>IF('Port Bloomberg'!I724="","",'Port Bloomberg'!I724)</f>
        <v/>
      </c>
      <c r="J724" s="7" t="str">
        <f>IF('Port Bloomberg'!J724="","",'Port Bloomberg'!J724)</f>
        <v/>
      </c>
      <c r="K724" s="7" t="str">
        <f>IF('Port Bloomberg'!K724="","",'Port Bloomberg'!K724)</f>
        <v/>
      </c>
      <c r="L724" s="7" t="str">
        <f>IF('Port Bloomberg'!L724="","",'Port Bloomberg'!L724)</f>
        <v/>
      </c>
      <c r="M724" s="7" t="str">
        <f>IF('Port Bloomberg'!M724="","",'Port Bloomberg'!M724)</f>
        <v/>
      </c>
      <c r="N724" s="7" t="str">
        <f>IF('Port Bloomberg'!N724="","",'Port Bloomberg'!N724)</f>
        <v/>
      </c>
      <c r="O724" s="7" t="str">
        <f>IF('Port Bloomberg'!O724="","",'Port Bloomberg'!O724)</f>
        <v/>
      </c>
      <c r="P724" s="7" t="str">
        <f>IF('Port Bloomberg'!P724="","",'Port Bloomberg'!P724)</f>
        <v/>
      </c>
      <c r="Q724" s="7" t="str">
        <f>IF('Port Bloomberg'!Q724="","",'Port Bloomberg'!Q724)</f>
        <v/>
      </c>
      <c r="R724" s="7" t="str">
        <f>IF('Port Bloomberg'!R724="","",'Port Bloomberg'!R724)</f>
        <v/>
      </c>
      <c r="S724" s="5" t="str">
        <f>IF(E724="","",IFERROR(IF(MATCH(E724,[1]Instrumentos!$D:$D,0)&gt;0,1,0),0))</f>
        <v/>
      </c>
      <c r="T724" s="5" t="str">
        <f>IF(E724="","",IFERROR(IF(MATCH(E724,'Lista de excepciones'!$E:$E,0)&gt;0,1,0),0))</f>
        <v/>
      </c>
      <c r="U724" s="6" t="str">
        <f t="shared" si="12"/>
        <v/>
      </c>
    </row>
    <row r="725" spans="1:21" hidden="1" x14ac:dyDescent="0.25">
      <c r="A725" s="7" t="str">
        <f>IF('Port Bloomberg'!A725="","",'Port Bloomberg'!A725)</f>
        <v/>
      </c>
      <c r="B725" s="7" t="str">
        <f>IF('Port Bloomberg'!B725="","",'Port Bloomberg'!B725)</f>
        <v/>
      </c>
      <c r="C725" s="7" t="str">
        <f>IF('Port Bloomberg'!C725="","",'Port Bloomberg'!C725)</f>
        <v/>
      </c>
      <c r="D725" s="7" t="str">
        <f>IF('Port Bloomberg'!D725="","",'Port Bloomberg'!D725)</f>
        <v/>
      </c>
      <c r="E725" s="7" t="str">
        <f>IF('Port Bloomberg'!E725="","",'Port Bloomberg'!E725)</f>
        <v/>
      </c>
      <c r="F725" s="7" t="str">
        <f>IF('Port Bloomberg'!F725="","",'Port Bloomberg'!F725)</f>
        <v/>
      </c>
      <c r="G725" s="7" t="str">
        <f>IF('Port Bloomberg'!G725="","",'Port Bloomberg'!G725)</f>
        <v/>
      </c>
      <c r="H725" s="7" t="str">
        <f>IF('Port Bloomberg'!H725="","",'Port Bloomberg'!H725)</f>
        <v/>
      </c>
      <c r="I725" s="7" t="str">
        <f>IF('Port Bloomberg'!I725="","",'Port Bloomberg'!I725)</f>
        <v/>
      </c>
      <c r="J725" s="7" t="str">
        <f>IF('Port Bloomberg'!J725="","",'Port Bloomberg'!J725)</f>
        <v/>
      </c>
      <c r="K725" s="7" t="str">
        <f>IF('Port Bloomberg'!K725="","",'Port Bloomberg'!K725)</f>
        <v/>
      </c>
      <c r="L725" s="7" t="str">
        <f>IF('Port Bloomberg'!L725="","",'Port Bloomberg'!L725)</f>
        <v/>
      </c>
      <c r="M725" s="7" t="str">
        <f>IF('Port Bloomberg'!M725="","",'Port Bloomberg'!M725)</f>
        <v/>
      </c>
      <c r="N725" s="7" t="str">
        <f>IF('Port Bloomberg'!N725="","",'Port Bloomberg'!N725)</f>
        <v/>
      </c>
      <c r="O725" s="7" t="str">
        <f>IF('Port Bloomberg'!O725="","",'Port Bloomberg'!O725)</f>
        <v/>
      </c>
      <c r="P725" s="7" t="str">
        <f>IF('Port Bloomberg'!P725="","",'Port Bloomberg'!P725)</f>
        <v/>
      </c>
      <c r="Q725" s="7" t="str">
        <f>IF('Port Bloomberg'!Q725="","",'Port Bloomberg'!Q725)</f>
        <v/>
      </c>
      <c r="R725" s="7" t="str">
        <f>IF('Port Bloomberg'!R725="","",'Port Bloomberg'!R725)</f>
        <v/>
      </c>
      <c r="S725" s="5" t="str">
        <f>IF(E725="","",IFERROR(IF(MATCH(E725,[1]Instrumentos!$D:$D,0)&gt;0,1,0),0))</f>
        <v/>
      </c>
      <c r="T725" s="5" t="str">
        <f>IF(E725="","",IFERROR(IF(MATCH(E725,'Lista de excepciones'!$E:$E,0)&gt;0,1,0),0))</f>
        <v/>
      </c>
      <c r="U725" s="6" t="str">
        <f t="shared" si="12"/>
        <v/>
      </c>
    </row>
    <row r="726" spans="1:21" hidden="1" x14ac:dyDescent="0.25">
      <c r="A726" s="7" t="str">
        <f>IF('Port Bloomberg'!A726="","",'Port Bloomberg'!A726)</f>
        <v/>
      </c>
      <c r="B726" s="7" t="str">
        <f>IF('Port Bloomberg'!B726="","",'Port Bloomberg'!B726)</f>
        <v/>
      </c>
      <c r="C726" s="7" t="str">
        <f>IF('Port Bloomberg'!C726="","",'Port Bloomberg'!C726)</f>
        <v/>
      </c>
      <c r="D726" s="7" t="str">
        <f>IF('Port Bloomberg'!D726="","",'Port Bloomberg'!D726)</f>
        <v/>
      </c>
      <c r="E726" s="7" t="str">
        <f>IF('Port Bloomberg'!E726="","",'Port Bloomberg'!E726)</f>
        <v/>
      </c>
      <c r="F726" s="7" t="str">
        <f>IF('Port Bloomberg'!F726="","",'Port Bloomberg'!F726)</f>
        <v/>
      </c>
      <c r="G726" s="7" t="str">
        <f>IF('Port Bloomberg'!G726="","",'Port Bloomberg'!G726)</f>
        <v/>
      </c>
      <c r="H726" s="7" t="str">
        <f>IF('Port Bloomberg'!H726="","",'Port Bloomberg'!H726)</f>
        <v/>
      </c>
      <c r="I726" s="7" t="str">
        <f>IF('Port Bloomberg'!I726="","",'Port Bloomberg'!I726)</f>
        <v/>
      </c>
      <c r="J726" s="7" t="str">
        <f>IF('Port Bloomberg'!J726="","",'Port Bloomberg'!J726)</f>
        <v/>
      </c>
      <c r="K726" s="7" t="str">
        <f>IF('Port Bloomberg'!K726="","",'Port Bloomberg'!K726)</f>
        <v/>
      </c>
      <c r="L726" s="7" t="str">
        <f>IF('Port Bloomberg'!L726="","",'Port Bloomberg'!L726)</f>
        <v/>
      </c>
      <c r="M726" s="7" t="str">
        <f>IF('Port Bloomberg'!M726="","",'Port Bloomberg'!M726)</f>
        <v/>
      </c>
      <c r="N726" s="7" t="str">
        <f>IF('Port Bloomberg'!N726="","",'Port Bloomberg'!N726)</f>
        <v/>
      </c>
      <c r="O726" s="7" t="str">
        <f>IF('Port Bloomberg'!O726="","",'Port Bloomberg'!O726)</f>
        <v/>
      </c>
      <c r="P726" s="7" t="str">
        <f>IF('Port Bloomberg'!P726="","",'Port Bloomberg'!P726)</f>
        <v/>
      </c>
      <c r="Q726" s="7" t="str">
        <f>IF('Port Bloomberg'!Q726="","",'Port Bloomberg'!Q726)</f>
        <v/>
      </c>
      <c r="R726" s="7" t="str">
        <f>IF('Port Bloomberg'!R726="","",'Port Bloomberg'!R726)</f>
        <v/>
      </c>
      <c r="S726" s="5" t="str">
        <f>IF(E726="","",IFERROR(IF(MATCH(E726,[1]Instrumentos!$D:$D,0)&gt;0,1,0),0))</f>
        <v/>
      </c>
      <c r="T726" s="5" t="str">
        <f>IF(E726="","",IFERROR(IF(MATCH(E726,'Lista de excepciones'!$E:$E,0)&gt;0,1,0),0))</f>
        <v/>
      </c>
      <c r="U726" s="6" t="str">
        <f t="shared" si="12"/>
        <v/>
      </c>
    </row>
    <row r="727" spans="1:21" hidden="1" x14ac:dyDescent="0.25">
      <c r="A727" s="7" t="str">
        <f>IF('Port Bloomberg'!A727="","",'Port Bloomberg'!A727)</f>
        <v/>
      </c>
      <c r="B727" s="7" t="str">
        <f>IF('Port Bloomberg'!B727="","",'Port Bloomberg'!B727)</f>
        <v/>
      </c>
      <c r="C727" s="7" t="str">
        <f>IF('Port Bloomberg'!C727="","",'Port Bloomberg'!C727)</f>
        <v/>
      </c>
      <c r="D727" s="7" t="str">
        <f>IF('Port Bloomberg'!D727="","",'Port Bloomberg'!D727)</f>
        <v/>
      </c>
      <c r="E727" s="7" t="str">
        <f>IF('Port Bloomberg'!E727="","",'Port Bloomberg'!E727)</f>
        <v/>
      </c>
      <c r="F727" s="7" t="str">
        <f>IF('Port Bloomberg'!F727="","",'Port Bloomberg'!F727)</f>
        <v/>
      </c>
      <c r="G727" s="7" t="str">
        <f>IF('Port Bloomberg'!G727="","",'Port Bloomberg'!G727)</f>
        <v/>
      </c>
      <c r="H727" s="7" t="str">
        <f>IF('Port Bloomberg'!H727="","",'Port Bloomberg'!H727)</f>
        <v/>
      </c>
      <c r="I727" s="7" t="str">
        <f>IF('Port Bloomberg'!I727="","",'Port Bloomberg'!I727)</f>
        <v/>
      </c>
      <c r="J727" s="7" t="str">
        <f>IF('Port Bloomberg'!J727="","",'Port Bloomberg'!J727)</f>
        <v/>
      </c>
      <c r="K727" s="7" t="str">
        <f>IF('Port Bloomberg'!K727="","",'Port Bloomberg'!K727)</f>
        <v/>
      </c>
      <c r="L727" s="7" t="str">
        <f>IF('Port Bloomberg'!L727="","",'Port Bloomberg'!L727)</f>
        <v/>
      </c>
      <c r="M727" s="7" t="str">
        <f>IF('Port Bloomberg'!M727="","",'Port Bloomberg'!M727)</f>
        <v/>
      </c>
      <c r="N727" s="7" t="str">
        <f>IF('Port Bloomberg'!N727="","",'Port Bloomberg'!N727)</f>
        <v/>
      </c>
      <c r="O727" s="7" t="str">
        <f>IF('Port Bloomberg'!O727="","",'Port Bloomberg'!O727)</f>
        <v/>
      </c>
      <c r="P727" s="7" t="str">
        <f>IF('Port Bloomberg'!P727="","",'Port Bloomberg'!P727)</f>
        <v/>
      </c>
      <c r="Q727" s="7" t="str">
        <f>IF('Port Bloomberg'!Q727="","",'Port Bloomberg'!Q727)</f>
        <v/>
      </c>
      <c r="R727" s="7" t="str">
        <f>IF('Port Bloomberg'!R727="","",'Port Bloomberg'!R727)</f>
        <v/>
      </c>
      <c r="S727" s="5" t="str">
        <f>IF(E727="","",IFERROR(IF(MATCH(E727,[1]Instrumentos!$D:$D,0)&gt;0,1,0),0))</f>
        <v/>
      </c>
      <c r="T727" s="5" t="str">
        <f>IF(E727="","",IFERROR(IF(MATCH(E727,'Lista de excepciones'!$E:$E,0)&gt;0,1,0),0))</f>
        <v/>
      </c>
      <c r="U727" s="6" t="str">
        <f t="shared" si="12"/>
        <v/>
      </c>
    </row>
    <row r="728" spans="1:21" hidden="1" x14ac:dyDescent="0.25">
      <c r="A728" s="7" t="str">
        <f>IF('Port Bloomberg'!A728="","",'Port Bloomberg'!A728)</f>
        <v/>
      </c>
      <c r="B728" s="7" t="str">
        <f>IF('Port Bloomberg'!B728="","",'Port Bloomberg'!B728)</f>
        <v/>
      </c>
      <c r="C728" s="7" t="str">
        <f>IF('Port Bloomberg'!C728="","",'Port Bloomberg'!C728)</f>
        <v/>
      </c>
      <c r="D728" s="7" t="str">
        <f>IF('Port Bloomberg'!D728="","",'Port Bloomberg'!D728)</f>
        <v/>
      </c>
      <c r="E728" s="7" t="str">
        <f>IF('Port Bloomberg'!E728="","",'Port Bloomberg'!E728)</f>
        <v/>
      </c>
      <c r="F728" s="7" t="str">
        <f>IF('Port Bloomberg'!F728="","",'Port Bloomberg'!F728)</f>
        <v/>
      </c>
      <c r="G728" s="7" t="str">
        <f>IF('Port Bloomberg'!G728="","",'Port Bloomberg'!G728)</f>
        <v/>
      </c>
      <c r="H728" s="7" t="str">
        <f>IF('Port Bloomberg'!H728="","",'Port Bloomberg'!H728)</f>
        <v/>
      </c>
      <c r="I728" s="7" t="str">
        <f>IF('Port Bloomberg'!I728="","",'Port Bloomberg'!I728)</f>
        <v/>
      </c>
      <c r="J728" s="7" t="str">
        <f>IF('Port Bloomberg'!J728="","",'Port Bloomberg'!J728)</f>
        <v/>
      </c>
      <c r="K728" s="7" t="str">
        <f>IF('Port Bloomberg'!K728="","",'Port Bloomberg'!K728)</f>
        <v/>
      </c>
      <c r="L728" s="7" t="str">
        <f>IF('Port Bloomberg'!L728="","",'Port Bloomberg'!L728)</f>
        <v/>
      </c>
      <c r="M728" s="7" t="str">
        <f>IF('Port Bloomberg'!M728="","",'Port Bloomberg'!M728)</f>
        <v/>
      </c>
      <c r="N728" s="7" t="str">
        <f>IF('Port Bloomberg'!N728="","",'Port Bloomberg'!N728)</f>
        <v/>
      </c>
      <c r="O728" s="7" t="str">
        <f>IF('Port Bloomberg'!O728="","",'Port Bloomberg'!O728)</f>
        <v/>
      </c>
      <c r="P728" s="7" t="str">
        <f>IF('Port Bloomberg'!P728="","",'Port Bloomberg'!P728)</f>
        <v/>
      </c>
      <c r="Q728" s="7" t="str">
        <f>IF('Port Bloomberg'!Q728="","",'Port Bloomberg'!Q728)</f>
        <v/>
      </c>
      <c r="R728" s="7" t="str">
        <f>IF('Port Bloomberg'!R728="","",'Port Bloomberg'!R728)</f>
        <v/>
      </c>
      <c r="S728" s="5" t="str">
        <f>IF(E728="","",IFERROR(IF(MATCH(E728,[1]Instrumentos!$D:$D,0)&gt;0,1,0),0))</f>
        <v/>
      </c>
      <c r="T728" s="5" t="str">
        <f>IF(E728="","",IFERROR(IF(MATCH(E728,'Lista de excepciones'!$E:$E,0)&gt;0,1,0),0))</f>
        <v/>
      </c>
      <c r="U728" s="6" t="str">
        <f t="shared" si="12"/>
        <v/>
      </c>
    </row>
    <row r="729" spans="1:21" hidden="1" x14ac:dyDescent="0.25">
      <c r="A729" s="7" t="str">
        <f>IF('Port Bloomberg'!A729="","",'Port Bloomberg'!A729)</f>
        <v/>
      </c>
      <c r="B729" s="7" t="str">
        <f>IF('Port Bloomberg'!B729="","",'Port Bloomberg'!B729)</f>
        <v/>
      </c>
      <c r="C729" s="7" t="str">
        <f>IF('Port Bloomberg'!C729="","",'Port Bloomberg'!C729)</f>
        <v/>
      </c>
      <c r="D729" s="7" t="str">
        <f>IF('Port Bloomberg'!D729="","",'Port Bloomberg'!D729)</f>
        <v/>
      </c>
      <c r="E729" s="7" t="str">
        <f>IF('Port Bloomberg'!E729="","",'Port Bloomberg'!E729)</f>
        <v/>
      </c>
      <c r="F729" s="7" t="str">
        <f>IF('Port Bloomberg'!F729="","",'Port Bloomberg'!F729)</f>
        <v/>
      </c>
      <c r="G729" s="7" t="str">
        <f>IF('Port Bloomberg'!G729="","",'Port Bloomberg'!G729)</f>
        <v/>
      </c>
      <c r="H729" s="7" t="str">
        <f>IF('Port Bloomberg'!H729="","",'Port Bloomberg'!H729)</f>
        <v/>
      </c>
      <c r="I729" s="7" t="str">
        <f>IF('Port Bloomberg'!I729="","",'Port Bloomberg'!I729)</f>
        <v/>
      </c>
      <c r="J729" s="7" t="str">
        <f>IF('Port Bloomberg'!J729="","",'Port Bloomberg'!J729)</f>
        <v/>
      </c>
      <c r="K729" s="7" t="str">
        <f>IF('Port Bloomberg'!K729="","",'Port Bloomberg'!K729)</f>
        <v/>
      </c>
      <c r="L729" s="7" t="str">
        <f>IF('Port Bloomberg'!L729="","",'Port Bloomberg'!L729)</f>
        <v/>
      </c>
      <c r="M729" s="7" t="str">
        <f>IF('Port Bloomberg'!M729="","",'Port Bloomberg'!M729)</f>
        <v/>
      </c>
      <c r="N729" s="7" t="str">
        <f>IF('Port Bloomberg'!N729="","",'Port Bloomberg'!N729)</f>
        <v/>
      </c>
      <c r="O729" s="7" t="str">
        <f>IF('Port Bloomberg'!O729="","",'Port Bloomberg'!O729)</f>
        <v/>
      </c>
      <c r="P729" s="7" t="str">
        <f>IF('Port Bloomberg'!P729="","",'Port Bloomberg'!P729)</f>
        <v/>
      </c>
      <c r="Q729" s="7" t="str">
        <f>IF('Port Bloomberg'!Q729="","",'Port Bloomberg'!Q729)</f>
        <v/>
      </c>
      <c r="R729" s="7" t="str">
        <f>IF('Port Bloomberg'!R729="","",'Port Bloomberg'!R729)</f>
        <v/>
      </c>
      <c r="S729" s="5" t="str">
        <f>IF(E729="","",IFERROR(IF(MATCH(E729,[1]Instrumentos!$D:$D,0)&gt;0,1,0),0))</f>
        <v/>
      </c>
      <c r="T729" s="5" t="str">
        <f>IF(E729="","",IFERROR(IF(MATCH(E729,'Lista de excepciones'!$E:$E,0)&gt;0,1,0),0))</f>
        <v/>
      </c>
      <c r="U729" s="6" t="str">
        <f t="shared" si="12"/>
        <v/>
      </c>
    </row>
    <row r="730" spans="1:21" hidden="1" x14ac:dyDescent="0.25">
      <c r="A730" s="7" t="str">
        <f>IF('Port Bloomberg'!A730="","",'Port Bloomberg'!A730)</f>
        <v/>
      </c>
      <c r="B730" s="7" t="str">
        <f>IF('Port Bloomberg'!B730="","",'Port Bloomberg'!B730)</f>
        <v/>
      </c>
      <c r="C730" s="7" t="str">
        <f>IF('Port Bloomberg'!C730="","",'Port Bloomberg'!C730)</f>
        <v/>
      </c>
      <c r="D730" s="7" t="str">
        <f>IF('Port Bloomberg'!D730="","",'Port Bloomberg'!D730)</f>
        <v/>
      </c>
      <c r="E730" s="7" t="str">
        <f>IF('Port Bloomberg'!E730="","",'Port Bloomberg'!E730)</f>
        <v/>
      </c>
      <c r="F730" s="7" t="str">
        <f>IF('Port Bloomberg'!F730="","",'Port Bloomberg'!F730)</f>
        <v/>
      </c>
      <c r="G730" s="7" t="str">
        <f>IF('Port Bloomberg'!G730="","",'Port Bloomberg'!G730)</f>
        <v/>
      </c>
      <c r="H730" s="7" t="str">
        <f>IF('Port Bloomberg'!H730="","",'Port Bloomberg'!H730)</f>
        <v/>
      </c>
      <c r="I730" s="7" t="str">
        <f>IF('Port Bloomberg'!I730="","",'Port Bloomberg'!I730)</f>
        <v/>
      </c>
      <c r="J730" s="7" t="str">
        <f>IF('Port Bloomberg'!J730="","",'Port Bloomberg'!J730)</f>
        <v/>
      </c>
      <c r="K730" s="7" t="str">
        <f>IF('Port Bloomberg'!K730="","",'Port Bloomberg'!K730)</f>
        <v/>
      </c>
      <c r="L730" s="7" t="str">
        <f>IF('Port Bloomberg'!L730="","",'Port Bloomberg'!L730)</f>
        <v/>
      </c>
      <c r="M730" s="7" t="str">
        <f>IF('Port Bloomberg'!M730="","",'Port Bloomberg'!M730)</f>
        <v/>
      </c>
      <c r="N730" s="7" t="str">
        <f>IF('Port Bloomberg'!N730="","",'Port Bloomberg'!N730)</f>
        <v/>
      </c>
      <c r="O730" s="7" t="str">
        <f>IF('Port Bloomberg'!O730="","",'Port Bloomberg'!O730)</f>
        <v/>
      </c>
      <c r="P730" s="7" t="str">
        <f>IF('Port Bloomberg'!P730="","",'Port Bloomberg'!P730)</f>
        <v/>
      </c>
      <c r="Q730" s="7" t="str">
        <f>IF('Port Bloomberg'!Q730="","",'Port Bloomberg'!Q730)</f>
        <v/>
      </c>
      <c r="R730" s="7" t="str">
        <f>IF('Port Bloomberg'!R730="","",'Port Bloomberg'!R730)</f>
        <v/>
      </c>
      <c r="S730" s="5" t="str">
        <f>IF(E730="","",IFERROR(IF(MATCH(E730,[1]Instrumentos!$D:$D,0)&gt;0,1,0),0))</f>
        <v/>
      </c>
      <c r="T730" s="5" t="str">
        <f>IF(E730="","",IFERROR(IF(MATCH(E730,'Lista de excepciones'!$E:$E,0)&gt;0,1,0),0))</f>
        <v/>
      </c>
      <c r="U730" s="6" t="str">
        <f t="shared" si="12"/>
        <v/>
      </c>
    </row>
    <row r="731" spans="1:21" hidden="1" x14ac:dyDescent="0.25">
      <c r="A731" s="7" t="str">
        <f>IF('Port Bloomberg'!A731="","",'Port Bloomberg'!A731)</f>
        <v/>
      </c>
      <c r="B731" s="7" t="str">
        <f>IF('Port Bloomberg'!B731="","",'Port Bloomberg'!B731)</f>
        <v/>
      </c>
      <c r="C731" s="7" t="str">
        <f>IF('Port Bloomberg'!C731="","",'Port Bloomberg'!C731)</f>
        <v/>
      </c>
      <c r="D731" s="7" t="str">
        <f>IF('Port Bloomberg'!D731="","",'Port Bloomberg'!D731)</f>
        <v/>
      </c>
      <c r="E731" s="7" t="str">
        <f>IF('Port Bloomberg'!E731="","",'Port Bloomberg'!E731)</f>
        <v/>
      </c>
      <c r="F731" s="7" t="str">
        <f>IF('Port Bloomberg'!F731="","",'Port Bloomberg'!F731)</f>
        <v/>
      </c>
      <c r="G731" s="7" t="str">
        <f>IF('Port Bloomberg'!G731="","",'Port Bloomberg'!G731)</f>
        <v/>
      </c>
      <c r="H731" s="7" t="str">
        <f>IF('Port Bloomberg'!H731="","",'Port Bloomberg'!H731)</f>
        <v/>
      </c>
      <c r="I731" s="7" t="str">
        <f>IF('Port Bloomberg'!I731="","",'Port Bloomberg'!I731)</f>
        <v/>
      </c>
      <c r="J731" s="7" t="str">
        <f>IF('Port Bloomberg'!J731="","",'Port Bloomberg'!J731)</f>
        <v/>
      </c>
      <c r="K731" s="7" t="str">
        <f>IF('Port Bloomberg'!K731="","",'Port Bloomberg'!K731)</f>
        <v/>
      </c>
      <c r="L731" s="7" t="str">
        <f>IF('Port Bloomberg'!L731="","",'Port Bloomberg'!L731)</f>
        <v/>
      </c>
      <c r="M731" s="7" t="str">
        <f>IF('Port Bloomberg'!M731="","",'Port Bloomberg'!M731)</f>
        <v/>
      </c>
      <c r="N731" s="7" t="str">
        <f>IF('Port Bloomberg'!N731="","",'Port Bloomberg'!N731)</f>
        <v/>
      </c>
      <c r="O731" s="7" t="str">
        <f>IF('Port Bloomberg'!O731="","",'Port Bloomberg'!O731)</f>
        <v/>
      </c>
      <c r="P731" s="7" t="str">
        <f>IF('Port Bloomberg'!P731="","",'Port Bloomberg'!P731)</f>
        <v/>
      </c>
      <c r="Q731" s="7" t="str">
        <f>IF('Port Bloomberg'!Q731="","",'Port Bloomberg'!Q731)</f>
        <v/>
      </c>
      <c r="R731" s="7" t="str">
        <f>IF('Port Bloomberg'!R731="","",'Port Bloomberg'!R731)</f>
        <v/>
      </c>
      <c r="S731" s="5" t="str">
        <f>IF(E731="","",IFERROR(IF(MATCH(E731,[1]Instrumentos!$D:$D,0)&gt;0,1,0),0))</f>
        <v/>
      </c>
      <c r="T731" s="5" t="str">
        <f>IF(E731="","",IFERROR(IF(MATCH(E731,'Lista de excepciones'!$E:$E,0)&gt;0,1,0),0))</f>
        <v/>
      </c>
      <c r="U731" s="6" t="str">
        <f t="shared" si="12"/>
        <v/>
      </c>
    </row>
    <row r="732" spans="1:21" hidden="1" x14ac:dyDescent="0.25">
      <c r="A732" s="7" t="str">
        <f>IF('Port Bloomberg'!A732="","",'Port Bloomberg'!A732)</f>
        <v/>
      </c>
      <c r="B732" s="7" t="str">
        <f>IF('Port Bloomberg'!B732="","",'Port Bloomberg'!B732)</f>
        <v/>
      </c>
      <c r="C732" s="7" t="str">
        <f>IF('Port Bloomberg'!C732="","",'Port Bloomberg'!C732)</f>
        <v/>
      </c>
      <c r="D732" s="7" t="str">
        <f>IF('Port Bloomberg'!D732="","",'Port Bloomberg'!D732)</f>
        <v/>
      </c>
      <c r="E732" s="7" t="str">
        <f>IF('Port Bloomberg'!E732="","",'Port Bloomberg'!E732)</f>
        <v/>
      </c>
      <c r="F732" s="7" t="str">
        <f>IF('Port Bloomberg'!F732="","",'Port Bloomberg'!F732)</f>
        <v/>
      </c>
      <c r="G732" s="7" t="str">
        <f>IF('Port Bloomberg'!G732="","",'Port Bloomberg'!G732)</f>
        <v/>
      </c>
      <c r="H732" s="7" t="str">
        <f>IF('Port Bloomberg'!H732="","",'Port Bloomberg'!H732)</f>
        <v/>
      </c>
      <c r="I732" s="7" t="str">
        <f>IF('Port Bloomberg'!I732="","",'Port Bloomberg'!I732)</f>
        <v/>
      </c>
      <c r="J732" s="7" t="str">
        <f>IF('Port Bloomberg'!J732="","",'Port Bloomberg'!J732)</f>
        <v/>
      </c>
      <c r="K732" s="7" t="str">
        <f>IF('Port Bloomberg'!K732="","",'Port Bloomberg'!K732)</f>
        <v/>
      </c>
      <c r="L732" s="7" t="str">
        <f>IF('Port Bloomberg'!L732="","",'Port Bloomberg'!L732)</f>
        <v/>
      </c>
      <c r="M732" s="7" t="str">
        <f>IF('Port Bloomberg'!M732="","",'Port Bloomberg'!M732)</f>
        <v/>
      </c>
      <c r="N732" s="7" t="str">
        <f>IF('Port Bloomberg'!N732="","",'Port Bloomberg'!N732)</f>
        <v/>
      </c>
      <c r="O732" s="7" t="str">
        <f>IF('Port Bloomberg'!O732="","",'Port Bloomberg'!O732)</f>
        <v/>
      </c>
      <c r="P732" s="7" t="str">
        <f>IF('Port Bloomberg'!P732="","",'Port Bloomberg'!P732)</f>
        <v/>
      </c>
      <c r="Q732" s="7" t="str">
        <f>IF('Port Bloomberg'!Q732="","",'Port Bloomberg'!Q732)</f>
        <v/>
      </c>
      <c r="R732" s="7" t="str">
        <f>IF('Port Bloomberg'!R732="","",'Port Bloomberg'!R732)</f>
        <v/>
      </c>
      <c r="S732" s="5" t="str">
        <f>IF(E732="","",IFERROR(IF(MATCH(E732,[1]Instrumentos!$D:$D,0)&gt;0,1,0),0))</f>
        <v/>
      </c>
      <c r="T732" s="5" t="str">
        <f>IF(E732="","",IFERROR(IF(MATCH(E732,'Lista de excepciones'!$E:$E,0)&gt;0,1,0),0))</f>
        <v/>
      </c>
      <c r="U732" s="6" t="str">
        <f t="shared" si="12"/>
        <v/>
      </c>
    </row>
    <row r="733" spans="1:21" hidden="1" x14ac:dyDescent="0.25">
      <c r="A733" s="7" t="str">
        <f>IF('Port Bloomberg'!A733="","",'Port Bloomberg'!A733)</f>
        <v/>
      </c>
      <c r="B733" s="7" t="str">
        <f>IF('Port Bloomberg'!B733="","",'Port Bloomberg'!B733)</f>
        <v/>
      </c>
      <c r="C733" s="7" t="str">
        <f>IF('Port Bloomberg'!C733="","",'Port Bloomberg'!C733)</f>
        <v/>
      </c>
      <c r="D733" s="7" t="str">
        <f>IF('Port Bloomberg'!D733="","",'Port Bloomberg'!D733)</f>
        <v/>
      </c>
      <c r="E733" s="7" t="str">
        <f>IF('Port Bloomberg'!E733="","",'Port Bloomberg'!E733)</f>
        <v/>
      </c>
      <c r="F733" s="7" t="str">
        <f>IF('Port Bloomberg'!F733="","",'Port Bloomberg'!F733)</f>
        <v/>
      </c>
      <c r="G733" s="7" t="str">
        <f>IF('Port Bloomberg'!G733="","",'Port Bloomberg'!G733)</f>
        <v/>
      </c>
      <c r="H733" s="7" t="str">
        <f>IF('Port Bloomberg'!H733="","",'Port Bloomberg'!H733)</f>
        <v/>
      </c>
      <c r="I733" s="7" t="str">
        <f>IF('Port Bloomberg'!I733="","",'Port Bloomberg'!I733)</f>
        <v/>
      </c>
      <c r="J733" s="7" t="str">
        <f>IF('Port Bloomberg'!J733="","",'Port Bloomberg'!J733)</f>
        <v/>
      </c>
      <c r="K733" s="7" t="str">
        <f>IF('Port Bloomberg'!K733="","",'Port Bloomberg'!K733)</f>
        <v/>
      </c>
      <c r="L733" s="7" t="str">
        <f>IF('Port Bloomberg'!L733="","",'Port Bloomberg'!L733)</f>
        <v/>
      </c>
      <c r="M733" s="7" t="str">
        <f>IF('Port Bloomberg'!M733="","",'Port Bloomberg'!M733)</f>
        <v/>
      </c>
      <c r="N733" s="7" t="str">
        <f>IF('Port Bloomberg'!N733="","",'Port Bloomberg'!N733)</f>
        <v/>
      </c>
      <c r="O733" s="7" t="str">
        <f>IF('Port Bloomberg'!O733="","",'Port Bloomberg'!O733)</f>
        <v/>
      </c>
      <c r="P733" s="7" t="str">
        <f>IF('Port Bloomberg'!P733="","",'Port Bloomberg'!P733)</f>
        <v/>
      </c>
      <c r="Q733" s="7" t="str">
        <f>IF('Port Bloomberg'!Q733="","",'Port Bloomberg'!Q733)</f>
        <v/>
      </c>
      <c r="R733" s="7" t="str">
        <f>IF('Port Bloomberg'!R733="","",'Port Bloomberg'!R733)</f>
        <v/>
      </c>
      <c r="S733" s="5" t="str">
        <f>IF(E733="","",IFERROR(IF(MATCH(E733,[1]Instrumentos!$D:$D,0)&gt;0,1,0),0))</f>
        <v/>
      </c>
      <c r="T733" s="5" t="str">
        <f>IF(E733="","",IFERROR(IF(MATCH(E733,'Lista de excepciones'!$E:$E,0)&gt;0,1,0),0))</f>
        <v/>
      </c>
      <c r="U733" s="6" t="str">
        <f t="shared" si="12"/>
        <v/>
      </c>
    </row>
    <row r="734" spans="1:21" hidden="1" x14ac:dyDescent="0.25">
      <c r="A734" s="7" t="str">
        <f>IF('Port Bloomberg'!A734="","",'Port Bloomberg'!A734)</f>
        <v/>
      </c>
      <c r="B734" s="7" t="str">
        <f>IF('Port Bloomberg'!B734="","",'Port Bloomberg'!B734)</f>
        <v/>
      </c>
      <c r="C734" s="7" t="str">
        <f>IF('Port Bloomberg'!C734="","",'Port Bloomberg'!C734)</f>
        <v/>
      </c>
      <c r="D734" s="7" t="str">
        <f>IF('Port Bloomberg'!D734="","",'Port Bloomberg'!D734)</f>
        <v/>
      </c>
      <c r="E734" s="7" t="str">
        <f>IF('Port Bloomberg'!E734="","",'Port Bloomberg'!E734)</f>
        <v/>
      </c>
      <c r="F734" s="7" t="str">
        <f>IF('Port Bloomberg'!F734="","",'Port Bloomberg'!F734)</f>
        <v/>
      </c>
      <c r="G734" s="7" t="str">
        <f>IF('Port Bloomberg'!G734="","",'Port Bloomberg'!G734)</f>
        <v/>
      </c>
      <c r="H734" s="7" t="str">
        <f>IF('Port Bloomberg'!H734="","",'Port Bloomberg'!H734)</f>
        <v/>
      </c>
      <c r="I734" s="7" t="str">
        <f>IF('Port Bloomberg'!I734="","",'Port Bloomberg'!I734)</f>
        <v/>
      </c>
      <c r="J734" s="7" t="str">
        <f>IF('Port Bloomberg'!J734="","",'Port Bloomberg'!J734)</f>
        <v/>
      </c>
      <c r="K734" s="7" t="str">
        <f>IF('Port Bloomberg'!K734="","",'Port Bloomberg'!K734)</f>
        <v/>
      </c>
      <c r="L734" s="7" t="str">
        <f>IF('Port Bloomberg'!L734="","",'Port Bloomberg'!L734)</f>
        <v/>
      </c>
      <c r="M734" s="7" t="str">
        <f>IF('Port Bloomberg'!M734="","",'Port Bloomberg'!M734)</f>
        <v/>
      </c>
      <c r="N734" s="7" t="str">
        <f>IF('Port Bloomberg'!N734="","",'Port Bloomberg'!N734)</f>
        <v/>
      </c>
      <c r="O734" s="7" t="str">
        <f>IF('Port Bloomberg'!O734="","",'Port Bloomberg'!O734)</f>
        <v/>
      </c>
      <c r="P734" s="7" t="str">
        <f>IF('Port Bloomberg'!P734="","",'Port Bloomberg'!P734)</f>
        <v/>
      </c>
      <c r="Q734" s="7" t="str">
        <f>IF('Port Bloomberg'!Q734="","",'Port Bloomberg'!Q734)</f>
        <v/>
      </c>
      <c r="R734" s="7" t="str">
        <f>IF('Port Bloomberg'!R734="","",'Port Bloomberg'!R734)</f>
        <v/>
      </c>
      <c r="S734" s="5" t="str">
        <f>IF(E734="","",IFERROR(IF(MATCH(E734,[1]Instrumentos!$D:$D,0)&gt;0,1,0),0))</f>
        <v/>
      </c>
      <c r="T734" s="5" t="str">
        <f>IF(E734="","",IFERROR(IF(MATCH(E734,'Lista de excepciones'!$E:$E,0)&gt;0,1,0),0))</f>
        <v/>
      </c>
      <c r="U734" s="6" t="str">
        <f t="shared" si="12"/>
        <v/>
      </c>
    </row>
    <row r="735" spans="1:21" hidden="1" x14ac:dyDescent="0.25">
      <c r="A735" s="7" t="str">
        <f>IF('Port Bloomberg'!A735="","",'Port Bloomberg'!A735)</f>
        <v/>
      </c>
      <c r="B735" s="7" t="str">
        <f>IF('Port Bloomberg'!B735="","",'Port Bloomberg'!B735)</f>
        <v/>
      </c>
      <c r="C735" s="7" t="str">
        <f>IF('Port Bloomberg'!C735="","",'Port Bloomberg'!C735)</f>
        <v/>
      </c>
      <c r="D735" s="7" t="str">
        <f>IF('Port Bloomberg'!D735="","",'Port Bloomberg'!D735)</f>
        <v/>
      </c>
      <c r="E735" s="7" t="str">
        <f>IF('Port Bloomberg'!E735="","",'Port Bloomberg'!E735)</f>
        <v/>
      </c>
      <c r="F735" s="7" t="str">
        <f>IF('Port Bloomberg'!F735="","",'Port Bloomberg'!F735)</f>
        <v/>
      </c>
      <c r="G735" s="7" t="str">
        <f>IF('Port Bloomberg'!G735="","",'Port Bloomberg'!G735)</f>
        <v/>
      </c>
      <c r="H735" s="7" t="str">
        <f>IF('Port Bloomberg'!H735="","",'Port Bloomberg'!H735)</f>
        <v/>
      </c>
      <c r="I735" s="7" t="str">
        <f>IF('Port Bloomberg'!I735="","",'Port Bloomberg'!I735)</f>
        <v/>
      </c>
      <c r="J735" s="7" t="str">
        <f>IF('Port Bloomberg'!J735="","",'Port Bloomberg'!J735)</f>
        <v/>
      </c>
      <c r="K735" s="7" t="str">
        <f>IF('Port Bloomberg'!K735="","",'Port Bloomberg'!K735)</f>
        <v/>
      </c>
      <c r="L735" s="7" t="str">
        <f>IF('Port Bloomberg'!L735="","",'Port Bloomberg'!L735)</f>
        <v/>
      </c>
      <c r="M735" s="7" t="str">
        <f>IF('Port Bloomberg'!M735="","",'Port Bloomberg'!M735)</f>
        <v/>
      </c>
      <c r="N735" s="7" t="str">
        <f>IF('Port Bloomberg'!N735="","",'Port Bloomberg'!N735)</f>
        <v/>
      </c>
      <c r="O735" s="7" t="str">
        <f>IF('Port Bloomberg'!O735="","",'Port Bloomberg'!O735)</f>
        <v/>
      </c>
      <c r="P735" s="7" t="str">
        <f>IF('Port Bloomberg'!P735="","",'Port Bloomberg'!P735)</f>
        <v/>
      </c>
      <c r="Q735" s="7" t="str">
        <f>IF('Port Bloomberg'!Q735="","",'Port Bloomberg'!Q735)</f>
        <v/>
      </c>
      <c r="R735" s="7" t="str">
        <f>IF('Port Bloomberg'!R735="","",'Port Bloomberg'!R735)</f>
        <v/>
      </c>
      <c r="S735" s="5" t="str">
        <f>IF(E735="","",IFERROR(IF(MATCH(E735,[1]Instrumentos!$D:$D,0)&gt;0,1,0),0))</f>
        <v/>
      </c>
      <c r="T735" s="5" t="str">
        <f>IF(E735="","",IFERROR(IF(MATCH(E735,'Lista de excepciones'!$E:$E,0)&gt;0,1,0),0))</f>
        <v/>
      </c>
      <c r="U735" s="6" t="str">
        <f t="shared" si="12"/>
        <v/>
      </c>
    </row>
    <row r="736" spans="1:21" hidden="1" x14ac:dyDescent="0.25">
      <c r="A736" s="7" t="str">
        <f>IF('Port Bloomberg'!A736="","",'Port Bloomberg'!A736)</f>
        <v/>
      </c>
      <c r="B736" s="7" t="str">
        <f>IF('Port Bloomberg'!B736="","",'Port Bloomberg'!B736)</f>
        <v/>
      </c>
      <c r="C736" s="7" t="str">
        <f>IF('Port Bloomberg'!C736="","",'Port Bloomberg'!C736)</f>
        <v/>
      </c>
      <c r="D736" s="7" t="str">
        <f>IF('Port Bloomberg'!D736="","",'Port Bloomberg'!D736)</f>
        <v/>
      </c>
      <c r="E736" s="7" t="str">
        <f>IF('Port Bloomberg'!E736="","",'Port Bloomberg'!E736)</f>
        <v/>
      </c>
      <c r="F736" s="7" t="str">
        <f>IF('Port Bloomberg'!F736="","",'Port Bloomberg'!F736)</f>
        <v/>
      </c>
      <c r="G736" s="7" t="str">
        <f>IF('Port Bloomberg'!G736="","",'Port Bloomberg'!G736)</f>
        <v/>
      </c>
      <c r="H736" s="7" t="str">
        <f>IF('Port Bloomberg'!H736="","",'Port Bloomberg'!H736)</f>
        <v/>
      </c>
      <c r="I736" s="7" t="str">
        <f>IF('Port Bloomberg'!I736="","",'Port Bloomberg'!I736)</f>
        <v/>
      </c>
      <c r="J736" s="7" t="str">
        <f>IF('Port Bloomberg'!J736="","",'Port Bloomberg'!J736)</f>
        <v/>
      </c>
      <c r="K736" s="7" t="str">
        <f>IF('Port Bloomberg'!K736="","",'Port Bloomberg'!K736)</f>
        <v/>
      </c>
      <c r="L736" s="7" t="str">
        <f>IF('Port Bloomberg'!L736="","",'Port Bloomberg'!L736)</f>
        <v/>
      </c>
      <c r="M736" s="7" t="str">
        <f>IF('Port Bloomberg'!M736="","",'Port Bloomberg'!M736)</f>
        <v/>
      </c>
      <c r="N736" s="7" t="str">
        <f>IF('Port Bloomberg'!N736="","",'Port Bloomberg'!N736)</f>
        <v/>
      </c>
      <c r="O736" s="7" t="str">
        <f>IF('Port Bloomberg'!O736="","",'Port Bloomberg'!O736)</f>
        <v/>
      </c>
      <c r="P736" s="7" t="str">
        <f>IF('Port Bloomberg'!P736="","",'Port Bloomberg'!P736)</f>
        <v/>
      </c>
      <c r="Q736" s="7" t="str">
        <f>IF('Port Bloomberg'!Q736="","",'Port Bloomberg'!Q736)</f>
        <v/>
      </c>
      <c r="R736" s="7" t="str">
        <f>IF('Port Bloomberg'!R736="","",'Port Bloomberg'!R736)</f>
        <v/>
      </c>
      <c r="S736" s="5" t="str">
        <f>IF(E736="","",IFERROR(IF(MATCH(E736,[1]Instrumentos!$D:$D,0)&gt;0,1,0),0))</f>
        <v/>
      </c>
      <c r="T736" s="5" t="str">
        <f>IF(E736="","",IFERROR(IF(MATCH(E736,'Lista de excepciones'!$E:$E,0)&gt;0,1,0),0))</f>
        <v/>
      </c>
      <c r="U736" s="6" t="str">
        <f t="shared" si="12"/>
        <v/>
      </c>
    </row>
    <row r="737" spans="1:21" hidden="1" x14ac:dyDescent="0.25">
      <c r="A737" s="7" t="str">
        <f>IF('Port Bloomberg'!A737="","",'Port Bloomberg'!A737)</f>
        <v/>
      </c>
      <c r="B737" s="7" t="str">
        <f>IF('Port Bloomberg'!B737="","",'Port Bloomberg'!B737)</f>
        <v/>
      </c>
      <c r="C737" s="7" t="str">
        <f>IF('Port Bloomberg'!C737="","",'Port Bloomberg'!C737)</f>
        <v/>
      </c>
      <c r="D737" s="7" t="str">
        <f>IF('Port Bloomberg'!D737="","",'Port Bloomberg'!D737)</f>
        <v/>
      </c>
      <c r="E737" s="7" t="str">
        <f>IF('Port Bloomberg'!E737="","",'Port Bloomberg'!E737)</f>
        <v/>
      </c>
      <c r="F737" s="7" t="str">
        <f>IF('Port Bloomberg'!F737="","",'Port Bloomberg'!F737)</f>
        <v/>
      </c>
      <c r="G737" s="7" t="str">
        <f>IF('Port Bloomberg'!G737="","",'Port Bloomberg'!G737)</f>
        <v/>
      </c>
      <c r="H737" s="7" t="str">
        <f>IF('Port Bloomberg'!H737="","",'Port Bloomberg'!H737)</f>
        <v/>
      </c>
      <c r="I737" s="7" t="str">
        <f>IF('Port Bloomberg'!I737="","",'Port Bloomberg'!I737)</f>
        <v/>
      </c>
      <c r="J737" s="7" t="str">
        <f>IF('Port Bloomberg'!J737="","",'Port Bloomberg'!J737)</f>
        <v/>
      </c>
      <c r="K737" s="7" t="str">
        <f>IF('Port Bloomberg'!K737="","",'Port Bloomberg'!K737)</f>
        <v/>
      </c>
      <c r="L737" s="7" t="str">
        <f>IF('Port Bloomberg'!L737="","",'Port Bloomberg'!L737)</f>
        <v/>
      </c>
      <c r="M737" s="7" t="str">
        <f>IF('Port Bloomberg'!M737="","",'Port Bloomberg'!M737)</f>
        <v/>
      </c>
      <c r="N737" s="7" t="str">
        <f>IF('Port Bloomberg'!N737="","",'Port Bloomberg'!N737)</f>
        <v/>
      </c>
      <c r="O737" s="7" t="str">
        <f>IF('Port Bloomberg'!O737="","",'Port Bloomberg'!O737)</f>
        <v/>
      </c>
      <c r="P737" s="7" t="str">
        <f>IF('Port Bloomberg'!P737="","",'Port Bloomberg'!P737)</f>
        <v/>
      </c>
      <c r="Q737" s="7" t="str">
        <f>IF('Port Bloomberg'!Q737="","",'Port Bloomberg'!Q737)</f>
        <v/>
      </c>
      <c r="R737" s="7" t="str">
        <f>IF('Port Bloomberg'!R737="","",'Port Bloomberg'!R737)</f>
        <v/>
      </c>
      <c r="S737" s="5" t="str">
        <f>IF(E737="","",IFERROR(IF(MATCH(E737,[1]Instrumentos!$D:$D,0)&gt;0,1,0),0))</f>
        <v/>
      </c>
      <c r="T737" s="5" t="str">
        <f>IF(E737="","",IFERROR(IF(MATCH(E737,'Lista de excepciones'!$E:$E,0)&gt;0,1,0),0))</f>
        <v/>
      </c>
      <c r="U737" s="6" t="str">
        <f t="shared" si="12"/>
        <v/>
      </c>
    </row>
    <row r="738" spans="1:21" hidden="1" x14ac:dyDescent="0.25">
      <c r="A738" s="7" t="str">
        <f>IF('Port Bloomberg'!A738="","",'Port Bloomberg'!A738)</f>
        <v/>
      </c>
      <c r="B738" s="7" t="str">
        <f>IF('Port Bloomberg'!B738="","",'Port Bloomberg'!B738)</f>
        <v/>
      </c>
      <c r="C738" s="7" t="str">
        <f>IF('Port Bloomberg'!C738="","",'Port Bloomberg'!C738)</f>
        <v/>
      </c>
      <c r="D738" s="7" t="str">
        <f>IF('Port Bloomberg'!D738="","",'Port Bloomberg'!D738)</f>
        <v/>
      </c>
      <c r="E738" s="7" t="str">
        <f>IF('Port Bloomberg'!E738="","",'Port Bloomberg'!E738)</f>
        <v/>
      </c>
      <c r="F738" s="7" t="str">
        <f>IF('Port Bloomberg'!F738="","",'Port Bloomberg'!F738)</f>
        <v/>
      </c>
      <c r="G738" s="7" t="str">
        <f>IF('Port Bloomberg'!G738="","",'Port Bloomberg'!G738)</f>
        <v/>
      </c>
      <c r="H738" s="7" t="str">
        <f>IF('Port Bloomberg'!H738="","",'Port Bloomberg'!H738)</f>
        <v/>
      </c>
      <c r="I738" s="7" t="str">
        <f>IF('Port Bloomberg'!I738="","",'Port Bloomberg'!I738)</f>
        <v/>
      </c>
      <c r="J738" s="7" t="str">
        <f>IF('Port Bloomberg'!J738="","",'Port Bloomberg'!J738)</f>
        <v/>
      </c>
      <c r="K738" s="7" t="str">
        <f>IF('Port Bloomberg'!K738="","",'Port Bloomberg'!K738)</f>
        <v/>
      </c>
      <c r="L738" s="7" t="str">
        <f>IF('Port Bloomberg'!L738="","",'Port Bloomberg'!L738)</f>
        <v/>
      </c>
      <c r="M738" s="7" t="str">
        <f>IF('Port Bloomberg'!M738="","",'Port Bloomberg'!M738)</f>
        <v/>
      </c>
      <c r="N738" s="7" t="str">
        <f>IF('Port Bloomberg'!N738="","",'Port Bloomberg'!N738)</f>
        <v/>
      </c>
      <c r="O738" s="7" t="str">
        <f>IF('Port Bloomberg'!O738="","",'Port Bloomberg'!O738)</f>
        <v/>
      </c>
      <c r="P738" s="7" t="str">
        <f>IF('Port Bloomberg'!P738="","",'Port Bloomberg'!P738)</f>
        <v/>
      </c>
      <c r="Q738" s="7" t="str">
        <f>IF('Port Bloomberg'!Q738="","",'Port Bloomberg'!Q738)</f>
        <v/>
      </c>
      <c r="R738" s="7" t="str">
        <f>IF('Port Bloomberg'!R738="","",'Port Bloomberg'!R738)</f>
        <v/>
      </c>
      <c r="S738" s="5" t="str">
        <f>IF(E738="","",IFERROR(IF(MATCH(E738,[1]Instrumentos!$D:$D,0)&gt;0,1,0),0))</f>
        <v/>
      </c>
      <c r="T738" s="5" t="str">
        <f>IF(E738="","",IFERROR(IF(MATCH(E738,'Lista de excepciones'!$E:$E,0)&gt;0,1,0),0))</f>
        <v/>
      </c>
      <c r="U738" s="6" t="str">
        <f t="shared" si="12"/>
        <v/>
      </c>
    </row>
    <row r="739" spans="1:21" hidden="1" x14ac:dyDescent="0.25">
      <c r="A739" s="7" t="str">
        <f>IF('Port Bloomberg'!A739="","",'Port Bloomberg'!A739)</f>
        <v/>
      </c>
      <c r="B739" s="7" t="str">
        <f>IF('Port Bloomberg'!B739="","",'Port Bloomberg'!B739)</f>
        <v/>
      </c>
      <c r="C739" s="7" t="str">
        <f>IF('Port Bloomberg'!C739="","",'Port Bloomberg'!C739)</f>
        <v/>
      </c>
      <c r="D739" s="7" t="str">
        <f>IF('Port Bloomberg'!D739="","",'Port Bloomberg'!D739)</f>
        <v/>
      </c>
      <c r="E739" s="7" t="str">
        <f>IF('Port Bloomberg'!E739="","",'Port Bloomberg'!E739)</f>
        <v/>
      </c>
      <c r="F739" s="7" t="str">
        <f>IF('Port Bloomberg'!F739="","",'Port Bloomberg'!F739)</f>
        <v/>
      </c>
      <c r="G739" s="7" t="str">
        <f>IF('Port Bloomberg'!G739="","",'Port Bloomberg'!G739)</f>
        <v/>
      </c>
      <c r="H739" s="7" t="str">
        <f>IF('Port Bloomberg'!H739="","",'Port Bloomberg'!H739)</f>
        <v/>
      </c>
      <c r="I739" s="7" t="str">
        <f>IF('Port Bloomberg'!I739="","",'Port Bloomberg'!I739)</f>
        <v/>
      </c>
      <c r="J739" s="7" t="str">
        <f>IF('Port Bloomberg'!J739="","",'Port Bloomberg'!J739)</f>
        <v/>
      </c>
      <c r="K739" s="7" t="str">
        <f>IF('Port Bloomberg'!K739="","",'Port Bloomberg'!K739)</f>
        <v/>
      </c>
      <c r="L739" s="7" t="str">
        <f>IF('Port Bloomberg'!L739="","",'Port Bloomberg'!L739)</f>
        <v/>
      </c>
      <c r="M739" s="7" t="str">
        <f>IF('Port Bloomberg'!M739="","",'Port Bloomberg'!M739)</f>
        <v/>
      </c>
      <c r="N739" s="7" t="str">
        <f>IF('Port Bloomberg'!N739="","",'Port Bloomberg'!N739)</f>
        <v/>
      </c>
      <c r="O739" s="7" t="str">
        <f>IF('Port Bloomberg'!O739="","",'Port Bloomberg'!O739)</f>
        <v/>
      </c>
      <c r="P739" s="7" t="str">
        <f>IF('Port Bloomberg'!P739="","",'Port Bloomberg'!P739)</f>
        <v/>
      </c>
      <c r="Q739" s="7" t="str">
        <f>IF('Port Bloomberg'!Q739="","",'Port Bloomberg'!Q739)</f>
        <v/>
      </c>
      <c r="R739" s="7" t="str">
        <f>IF('Port Bloomberg'!R739="","",'Port Bloomberg'!R739)</f>
        <v/>
      </c>
      <c r="S739" s="5" t="str">
        <f>IF(E739="","",IFERROR(IF(MATCH(E739,[1]Instrumentos!$D:$D,0)&gt;0,1,0),0))</f>
        <v/>
      </c>
      <c r="T739" s="5" t="str">
        <f>IF(E739="","",IFERROR(IF(MATCH(E739,'Lista de excepciones'!$E:$E,0)&gt;0,1,0),0))</f>
        <v/>
      </c>
      <c r="U739" s="6" t="str">
        <f t="shared" si="12"/>
        <v/>
      </c>
    </row>
    <row r="740" spans="1:21" hidden="1" x14ac:dyDescent="0.25">
      <c r="A740" s="7" t="str">
        <f>IF('Port Bloomberg'!A740="","",'Port Bloomberg'!A740)</f>
        <v/>
      </c>
      <c r="B740" s="7" t="str">
        <f>IF('Port Bloomberg'!B740="","",'Port Bloomberg'!B740)</f>
        <v/>
      </c>
      <c r="C740" s="7" t="str">
        <f>IF('Port Bloomberg'!C740="","",'Port Bloomberg'!C740)</f>
        <v/>
      </c>
      <c r="D740" s="7" t="str">
        <f>IF('Port Bloomberg'!D740="","",'Port Bloomberg'!D740)</f>
        <v/>
      </c>
      <c r="E740" s="7" t="str">
        <f>IF('Port Bloomberg'!E740="","",'Port Bloomberg'!E740)</f>
        <v/>
      </c>
      <c r="F740" s="7" t="str">
        <f>IF('Port Bloomberg'!F740="","",'Port Bloomberg'!F740)</f>
        <v/>
      </c>
      <c r="G740" s="7" t="str">
        <f>IF('Port Bloomberg'!G740="","",'Port Bloomberg'!G740)</f>
        <v/>
      </c>
      <c r="H740" s="7" t="str">
        <f>IF('Port Bloomberg'!H740="","",'Port Bloomberg'!H740)</f>
        <v/>
      </c>
      <c r="I740" s="7" t="str">
        <f>IF('Port Bloomberg'!I740="","",'Port Bloomberg'!I740)</f>
        <v/>
      </c>
      <c r="J740" s="7" t="str">
        <f>IF('Port Bloomberg'!J740="","",'Port Bloomberg'!J740)</f>
        <v/>
      </c>
      <c r="K740" s="7" t="str">
        <f>IF('Port Bloomberg'!K740="","",'Port Bloomberg'!K740)</f>
        <v/>
      </c>
      <c r="L740" s="7" t="str">
        <f>IF('Port Bloomberg'!L740="","",'Port Bloomberg'!L740)</f>
        <v/>
      </c>
      <c r="M740" s="7" t="str">
        <f>IF('Port Bloomberg'!M740="","",'Port Bloomberg'!M740)</f>
        <v/>
      </c>
      <c r="N740" s="7" t="str">
        <f>IF('Port Bloomberg'!N740="","",'Port Bloomberg'!N740)</f>
        <v/>
      </c>
      <c r="O740" s="7" t="str">
        <f>IF('Port Bloomberg'!O740="","",'Port Bloomberg'!O740)</f>
        <v/>
      </c>
      <c r="P740" s="7" t="str">
        <f>IF('Port Bloomberg'!P740="","",'Port Bloomberg'!P740)</f>
        <v/>
      </c>
      <c r="Q740" s="7" t="str">
        <f>IF('Port Bloomberg'!Q740="","",'Port Bloomberg'!Q740)</f>
        <v/>
      </c>
      <c r="R740" s="7" t="str">
        <f>IF('Port Bloomberg'!R740="","",'Port Bloomberg'!R740)</f>
        <v/>
      </c>
      <c r="S740" s="5" t="str">
        <f>IF(E740="","",IFERROR(IF(MATCH(E740,[1]Instrumentos!$D:$D,0)&gt;0,1,0),0))</f>
        <v/>
      </c>
      <c r="T740" s="5" t="str">
        <f>IF(E740="","",IFERROR(IF(MATCH(E740,'Lista de excepciones'!$E:$E,0)&gt;0,1,0),0))</f>
        <v/>
      </c>
      <c r="U740" s="6" t="str">
        <f t="shared" si="12"/>
        <v/>
      </c>
    </row>
    <row r="741" spans="1:21" hidden="1" x14ac:dyDescent="0.25">
      <c r="A741" s="7" t="str">
        <f>IF('Port Bloomberg'!A741="","",'Port Bloomberg'!A741)</f>
        <v/>
      </c>
      <c r="B741" s="7" t="str">
        <f>IF('Port Bloomberg'!B741="","",'Port Bloomberg'!B741)</f>
        <v/>
      </c>
      <c r="C741" s="7" t="str">
        <f>IF('Port Bloomberg'!C741="","",'Port Bloomberg'!C741)</f>
        <v/>
      </c>
      <c r="D741" s="7" t="str">
        <f>IF('Port Bloomberg'!D741="","",'Port Bloomberg'!D741)</f>
        <v/>
      </c>
      <c r="E741" s="7" t="str">
        <f>IF('Port Bloomberg'!E741="","",'Port Bloomberg'!E741)</f>
        <v/>
      </c>
      <c r="F741" s="7" t="str">
        <f>IF('Port Bloomberg'!F741="","",'Port Bloomberg'!F741)</f>
        <v/>
      </c>
      <c r="G741" s="7" t="str">
        <f>IF('Port Bloomberg'!G741="","",'Port Bloomberg'!G741)</f>
        <v/>
      </c>
      <c r="H741" s="7" t="str">
        <f>IF('Port Bloomberg'!H741="","",'Port Bloomberg'!H741)</f>
        <v/>
      </c>
      <c r="I741" s="7" t="str">
        <f>IF('Port Bloomberg'!I741="","",'Port Bloomberg'!I741)</f>
        <v/>
      </c>
      <c r="J741" s="7" t="str">
        <f>IF('Port Bloomberg'!J741="","",'Port Bloomberg'!J741)</f>
        <v/>
      </c>
      <c r="K741" s="7" t="str">
        <f>IF('Port Bloomberg'!K741="","",'Port Bloomberg'!K741)</f>
        <v/>
      </c>
      <c r="L741" s="7" t="str">
        <f>IF('Port Bloomberg'!L741="","",'Port Bloomberg'!L741)</f>
        <v/>
      </c>
      <c r="M741" s="7" t="str">
        <f>IF('Port Bloomberg'!M741="","",'Port Bloomberg'!M741)</f>
        <v/>
      </c>
      <c r="N741" s="7" t="str">
        <f>IF('Port Bloomberg'!N741="","",'Port Bloomberg'!N741)</f>
        <v/>
      </c>
      <c r="O741" s="7" t="str">
        <f>IF('Port Bloomberg'!O741="","",'Port Bloomberg'!O741)</f>
        <v/>
      </c>
      <c r="P741" s="7" t="str">
        <f>IF('Port Bloomberg'!P741="","",'Port Bloomberg'!P741)</f>
        <v/>
      </c>
      <c r="Q741" s="7" t="str">
        <f>IF('Port Bloomberg'!Q741="","",'Port Bloomberg'!Q741)</f>
        <v/>
      </c>
      <c r="R741" s="7" t="str">
        <f>IF('Port Bloomberg'!R741="","",'Port Bloomberg'!R741)</f>
        <v/>
      </c>
      <c r="S741" s="5" t="str">
        <f>IF(E741="","",IFERROR(IF(MATCH(E741,[1]Instrumentos!$D:$D,0)&gt;0,1,0),0))</f>
        <v/>
      </c>
      <c r="T741" s="5" t="str">
        <f>IF(E741="","",IFERROR(IF(MATCH(E741,'Lista de excepciones'!$E:$E,0)&gt;0,1,0),0))</f>
        <v/>
      </c>
      <c r="U741" s="6" t="str">
        <f t="shared" si="12"/>
        <v/>
      </c>
    </row>
    <row r="742" spans="1:21" hidden="1" x14ac:dyDescent="0.25">
      <c r="A742" s="7" t="str">
        <f>IF('Port Bloomberg'!A742="","",'Port Bloomberg'!A742)</f>
        <v/>
      </c>
      <c r="B742" s="7" t="str">
        <f>IF('Port Bloomberg'!B742="","",'Port Bloomberg'!B742)</f>
        <v/>
      </c>
      <c r="C742" s="7" t="str">
        <f>IF('Port Bloomberg'!C742="","",'Port Bloomberg'!C742)</f>
        <v/>
      </c>
      <c r="D742" s="7" t="str">
        <f>IF('Port Bloomberg'!D742="","",'Port Bloomberg'!D742)</f>
        <v/>
      </c>
      <c r="E742" s="7" t="str">
        <f>IF('Port Bloomberg'!E742="","",'Port Bloomberg'!E742)</f>
        <v/>
      </c>
      <c r="F742" s="7" t="str">
        <f>IF('Port Bloomberg'!F742="","",'Port Bloomberg'!F742)</f>
        <v/>
      </c>
      <c r="G742" s="7" t="str">
        <f>IF('Port Bloomberg'!G742="","",'Port Bloomberg'!G742)</f>
        <v/>
      </c>
      <c r="H742" s="7" t="str">
        <f>IF('Port Bloomberg'!H742="","",'Port Bloomberg'!H742)</f>
        <v/>
      </c>
      <c r="I742" s="7" t="str">
        <f>IF('Port Bloomberg'!I742="","",'Port Bloomberg'!I742)</f>
        <v/>
      </c>
      <c r="J742" s="7" t="str">
        <f>IF('Port Bloomberg'!J742="","",'Port Bloomberg'!J742)</f>
        <v/>
      </c>
      <c r="K742" s="7" t="str">
        <f>IF('Port Bloomberg'!K742="","",'Port Bloomberg'!K742)</f>
        <v/>
      </c>
      <c r="L742" s="7" t="str">
        <f>IF('Port Bloomberg'!L742="","",'Port Bloomberg'!L742)</f>
        <v/>
      </c>
      <c r="M742" s="7" t="str">
        <f>IF('Port Bloomberg'!M742="","",'Port Bloomberg'!M742)</f>
        <v/>
      </c>
      <c r="N742" s="7" t="str">
        <f>IF('Port Bloomberg'!N742="","",'Port Bloomberg'!N742)</f>
        <v/>
      </c>
      <c r="O742" s="7" t="str">
        <f>IF('Port Bloomberg'!O742="","",'Port Bloomberg'!O742)</f>
        <v/>
      </c>
      <c r="P742" s="7" t="str">
        <f>IF('Port Bloomberg'!P742="","",'Port Bloomberg'!P742)</f>
        <v/>
      </c>
      <c r="Q742" s="7" t="str">
        <f>IF('Port Bloomberg'!Q742="","",'Port Bloomberg'!Q742)</f>
        <v/>
      </c>
      <c r="R742" s="7" t="str">
        <f>IF('Port Bloomberg'!R742="","",'Port Bloomberg'!R742)</f>
        <v/>
      </c>
      <c r="S742" s="5" t="str">
        <f>IF(E742="","",IFERROR(IF(MATCH(E742,[1]Instrumentos!$D:$D,0)&gt;0,1,0),0))</f>
        <v/>
      </c>
      <c r="T742" s="5" t="str">
        <f>IF(E742="","",IFERROR(IF(MATCH(E742,'Lista de excepciones'!$E:$E,0)&gt;0,1,0),0))</f>
        <v/>
      </c>
      <c r="U742" s="6" t="str">
        <f t="shared" si="12"/>
        <v/>
      </c>
    </row>
    <row r="743" spans="1:21" hidden="1" x14ac:dyDescent="0.25">
      <c r="A743" s="7" t="str">
        <f>IF('Port Bloomberg'!A743="","",'Port Bloomberg'!A743)</f>
        <v/>
      </c>
      <c r="B743" s="7" t="str">
        <f>IF('Port Bloomberg'!B743="","",'Port Bloomberg'!B743)</f>
        <v/>
      </c>
      <c r="C743" s="7" t="str">
        <f>IF('Port Bloomberg'!C743="","",'Port Bloomberg'!C743)</f>
        <v/>
      </c>
      <c r="D743" s="7" t="str">
        <f>IF('Port Bloomberg'!D743="","",'Port Bloomberg'!D743)</f>
        <v/>
      </c>
      <c r="E743" s="7" t="str">
        <f>IF('Port Bloomberg'!E743="","",'Port Bloomberg'!E743)</f>
        <v/>
      </c>
      <c r="F743" s="7" t="str">
        <f>IF('Port Bloomberg'!F743="","",'Port Bloomberg'!F743)</f>
        <v/>
      </c>
      <c r="G743" s="7" t="str">
        <f>IF('Port Bloomberg'!G743="","",'Port Bloomberg'!G743)</f>
        <v/>
      </c>
      <c r="H743" s="7" t="str">
        <f>IF('Port Bloomberg'!H743="","",'Port Bloomberg'!H743)</f>
        <v/>
      </c>
      <c r="I743" s="7" t="str">
        <f>IF('Port Bloomberg'!I743="","",'Port Bloomberg'!I743)</f>
        <v/>
      </c>
      <c r="J743" s="7" t="str">
        <f>IF('Port Bloomberg'!J743="","",'Port Bloomberg'!J743)</f>
        <v/>
      </c>
      <c r="K743" s="7" t="str">
        <f>IF('Port Bloomberg'!K743="","",'Port Bloomberg'!K743)</f>
        <v/>
      </c>
      <c r="L743" s="7" t="str">
        <f>IF('Port Bloomberg'!L743="","",'Port Bloomberg'!L743)</f>
        <v/>
      </c>
      <c r="M743" s="7" t="str">
        <f>IF('Port Bloomberg'!M743="","",'Port Bloomberg'!M743)</f>
        <v/>
      </c>
      <c r="N743" s="7" t="str">
        <f>IF('Port Bloomberg'!N743="","",'Port Bloomberg'!N743)</f>
        <v/>
      </c>
      <c r="O743" s="7" t="str">
        <f>IF('Port Bloomberg'!O743="","",'Port Bloomberg'!O743)</f>
        <v/>
      </c>
      <c r="P743" s="7" t="str">
        <f>IF('Port Bloomberg'!P743="","",'Port Bloomberg'!P743)</f>
        <v/>
      </c>
      <c r="Q743" s="7" t="str">
        <f>IF('Port Bloomberg'!Q743="","",'Port Bloomberg'!Q743)</f>
        <v/>
      </c>
      <c r="R743" s="7" t="str">
        <f>IF('Port Bloomberg'!R743="","",'Port Bloomberg'!R743)</f>
        <v/>
      </c>
      <c r="S743" s="5" t="str">
        <f>IF(E743="","",IFERROR(IF(MATCH(E743,[1]Instrumentos!$D:$D,0)&gt;0,1,0),0))</f>
        <v/>
      </c>
      <c r="T743" s="5" t="str">
        <f>IF(E743="","",IFERROR(IF(MATCH(E743,'Lista de excepciones'!$E:$E,0)&gt;0,1,0),0))</f>
        <v/>
      </c>
      <c r="U743" s="6" t="str">
        <f t="shared" si="12"/>
        <v/>
      </c>
    </row>
    <row r="744" spans="1:21" hidden="1" x14ac:dyDescent="0.25">
      <c r="A744" s="7" t="str">
        <f>IF('Port Bloomberg'!A744="","",'Port Bloomberg'!A744)</f>
        <v/>
      </c>
      <c r="B744" s="7" t="str">
        <f>IF('Port Bloomberg'!B744="","",'Port Bloomberg'!B744)</f>
        <v/>
      </c>
      <c r="C744" s="7" t="str">
        <f>IF('Port Bloomberg'!C744="","",'Port Bloomberg'!C744)</f>
        <v/>
      </c>
      <c r="D744" s="7" t="str">
        <f>IF('Port Bloomberg'!D744="","",'Port Bloomberg'!D744)</f>
        <v/>
      </c>
      <c r="E744" s="7" t="str">
        <f>IF('Port Bloomberg'!E744="","",'Port Bloomberg'!E744)</f>
        <v/>
      </c>
      <c r="F744" s="7" t="str">
        <f>IF('Port Bloomberg'!F744="","",'Port Bloomberg'!F744)</f>
        <v/>
      </c>
      <c r="G744" s="7" t="str">
        <f>IF('Port Bloomberg'!G744="","",'Port Bloomberg'!G744)</f>
        <v/>
      </c>
      <c r="H744" s="7" t="str">
        <f>IF('Port Bloomberg'!H744="","",'Port Bloomberg'!H744)</f>
        <v/>
      </c>
      <c r="I744" s="7" t="str">
        <f>IF('Port Bloomberg'!I744="","",'Port Bloomberg'!I744)</f>
        <v/>
      </c>
      <c r="J744" s="7" t="str">
        <f>IF('Port Bloomberg'!J744="","",'Port Bloomberg'!J744)</f>
        <v/>
      </c>
      <c r="K744" s="7" t="str">
        <f>IF('Port Bloomberg'!K744="","",'Port Bloomberg'!K744)</f>
        <v/>
      </c>
      <c r="L744" s="7" t="str">
        <f>IF('Port Bloomberg'!L744="","",'Port Bloomberg'!L744)</f>
        <v/>
      </c>
      <c r="M744" s="7" t="str">
        <f>IF('Port Bloomberg'!M744="","",'Port Bloomberg'!M744)</f>
        <v/>
      </c>
      <c r="N744" s="7" t="str">
        <f>IF('Port Bloomberg'!N744="","",'Port Bloomberg'!N744)</f>
        <v/>
      </c>
      <c r="O744" s="7" t="str">
        <f>IF('Port Bloomberg'!O744="","",'Port Bloomberg'!O744)</f>
        <v/>
      </c>
      <c r="P744" s="7" t="str">
        <f>IF('Port Bloomberg'!P744="","",'Port Bloomberg'!P744)</f>
        <v/>
      </c>
      <c r="Q744" s="7" t="str">
        <f>IF('Port Bloomberg'!Q744="","",'Port Bloomberg'!Q744)</f>
        <v/>
      </c>
      <c r="R744" s="7" t="str">
        <f>IF('Port Bloomberg'!R744="","",'Port Bloomberg'!R744)</f>
        <v/>
      </c>
      <c r="S744" s="5" t="str">
        <f>IF(E744="","",IFERROR(IF(MATCH(E744,[1]Instrumentos!$D:$D,0)&gt;0,1,0),0))</f>
        <v/>
      </c>
      <c r="T744" s="5" t="str">
        <f>IF(E744="","",IFERROR(IF(MATCH(E744,'Lista de excepciones'!$E:$E,0)&gt;0,1,0),0))</f>
        <v/>
      </c>
      <c r="U744" s="6" t="str">
        <f t="shared" si="12"/>
        <v/>
      </c>
    </row>
    <row r="745" spans="1:21" hidden="1" x14ac:dyDescent="0.25">
      <c r="A745" s="7" t="str">
        <f>IF('Port Bloomberg'!A745="","",'Port Bloomberg'!A745)</f>
        <v/>
      </c>
      <c r="B745" s="7" t="str">
        <f>IF('Port Bloomberg'!B745="","",'Port Bloomberg'!B745)</f>
        <v/>
      </c>
      <c r="C745" s="7" t="str">
        <f>IF('Port Bloomberg'!C745="","",'Port Bloomberg'!C745)</f>
        <v/>
      </c>
      <c r="D745" s="7" t="str">
        <f>IF('Port Bloomberg'!D745="","",'Port Bloomberg'!D745)</f>
        <v/>
      </c>
      <c r="E745" s="7" t="str">
        <f>IF('Port Bloomberg'!E745="","",'Port Bloomberg'!E745)</f>
        <v/>
      </c>
      <c r="F745" s="7" t="str">
        <f>IF('Port Bloomberg'!F745="","",'Port Bloomberg'!F745)</f>
        <v/>
      </c>
      <c r="G745" s="7" t="str">
        <f>IF('Port Bloomberg'!G745="","",'Port Bloomberg'!G745)</f>
        <v/>
      </c>
      <c r="H745" s="7" t="str">
        <f>IF('Port Bloomberg'!H745="","",'Port Bloomberg'!H745)</f>
        <v/>
      </c>
      <c r="I745" s="7" t="str">
        <f>IF('Port Bloomberg'!I745="","",'Port Bloomberg'!I745)</f>
        <v/>
      </c>
      <c r="J745" s="7" t="str">
        <f>IF('Port Bloomberg'!J745="","",'Port Bloomberg'!J745)</f>
        <v/>
      </c>
      <c r="K745" s="7" t="str">
        <f>IF('Port Bloomberg'!K745="","",'Port Bloomberg'!K745)</f>
        <v/>
      </c>
      <c r="L745" s="7" t="str">
        <f>IF('Port Bloomberg'!L745="","",'Port Bloomberg'!L745)</f>
        <v/>
      </c>
      <c r="M745" s="7" t="str">
        <f>IF('Port Bloomberg'!M745="","",'Port Bloomberg'!M745)</f>
        <v/>
      </c>
      <c r="N745" s="7" t="str">
        <f>IF('Port Bloomberg'!N745="","",'Port Bloomberg'!N745)</f>
        <v/>
      </c>
      <c r="O745" s="7" t="str">
        <f>IF('Port Bloomberg'!O745="","",'Port Bloomberg'!O745)</f>
        <v/>
      </c>
      <c r="P745" s="7" t="str">
        <f>IF('Port Bloomberg'!P745="","",'Port Bloomberg'!P745)</f>
        <v/>
      </c>
      <c r="Q745" s="7" t="str">
        <f>IF('Port Bloomberg'!Q745="","",'Port Bloomberg'!Q745)</f>
        <v/>
      </c>
      <c r="R745" s="7" t="str">
        <f>IF('Port Bloomberg'!R745="","",'Port Bloomberg'!R745)</f>
        <v/>
      </c>
      <c r="S745" s="5" t="str">
        <f>IF(E745="","",IFERROR(IF(MATCH(E745,[1]Instrumentos!$D:$D,0)&gt;0,1,0),0))</f>
        <v/>
      </c>
      <c r="T745" s="5" t="str">
        <f>IF(E745="","",IFERROR(IF(MATCH(E745,'Lista de excepciones'!$E:$E,0)&gt;0,1,0),0))</f>
        <v/>
      </c>
      <c r="U745" s="6" t="str">
        <f t="shared" si="12"/>
        <v/>
      </c>
    </row>
    <row r="746" spans="1:21" hidden="1" x14ac:dyDescent="0.25">
      <c r="A746" s="7" t="str">
        <f>IF('Port Bloomberg'!A746="","",'Port Bloomberg'!A746)</f>
        <v/>
      </c>
      <c r="B746" s="7" t="str">
        <f>IF('Port Bloomberg'!B746="","",'Port Bloomberg'!B746)</f>
        <v/>
      </c>
      <c r="C746" s="7" t="str">
        <f>IF('Port Bloomberg'!C746="","",'Port Bloomberg'!C746)</f>
        <v/>
      </c>
      <c r="D746" s="7" t="str">
        <f>IF('Port Bloomberg'!D746="","",'Port Bloomberg'!D746)</f>
        <v/>
      </c>
      <c r="E746" s="7" t="str">
        <f>IF('Port Bloomberg'!E746="","",'Port Bloomberg'!E746)</f>
        <v/>
      </c>
      <c r="F746" s="7" t="str">
        <f>IF('Port Bloomberg'!F746="","",'Port Bloomberg'!F746)</f>
        <v/>
      </c>
      <c r="G746" s="7" t="str">
        <f>IF('Port Bloomberg'!G746="","",'Port Bloomberg'!G746)</f>
        <v/>
      </c>
      <c r="H746" s="7" t="str">
        <f>IF('Port Bloomberg'!H746="","",'Port Bloomberg'!H746)</f>
        <v/>
      </c>
      <c r="I746" s="7" t="str">
        <f>IF('Port Bloomberg'!I746="","",'Port Bloomberg'!I746)</f>
        <v/>
      </c>
      <c r="J746" s="7" t="str">
        <f>IF('Port Bloomberg'!J746="","",'Port Bloomberg'!J746)</f>
        <v/>
      </c>
      <c r="K746" s="7" t="str">
        <f>IF('Port Bloomberg'!K746="","",'Port Bloomberg'!K746)</f>
        <v/>
      </c>
      <c r="L746" s="7" t="str">
        <f>IF('Port Bloomberg'!L746="","",'Port Bloomberg'!L746)</f>
        <v/>
      </c>
      <c r="M746" s="7" t="str">
        <f>IF('Port Bloomberg'!M746="","",'Port Bloomberg'!M746)</f>
        <v/>
      </c>
      <c r="N746" s="7" t="str">
        <f>IF('Port Bloomberg'!N746="","",'Port Bloomberg'!N746)</f>
        <v/>
      </c>
      <c r="O746" s="7" t="str">
        <f>IF('Port Bloomberg'!O746="","",'Port Bloomberg'!O746)</f>
        <v/>
      </c>
      <c r="P746" s="7" t="str">
        <f>IF('Port Bloomberg'!P746="","",'Port Bloomberg'!P746)</f>
        <v/>
      </c>
      <c r="Q746" s="7" t="str">
        <f>IF('Port Bloomberg'!Q746="","",'Port Bloomberg'!Q746)</f>
        <v/>
      </c>
      <c r="R746" s="7" t="str">
        <f>IF('Port Bloomberg'!R746="","",'Port Bloomberg'!R746)</f>
        <v/>
      </c>
      <c r="S746" s="5" t="str">
        <f>IF(E746="","",IFERROR(IF(MATCH(E746,[1]Instrumentos!$D:$D,0)&gt;0,1,0),0))</f>
        <v/>
      </c>
      <c r="T746" s="5" t="str">
        <f>IF(E746="","",IFERROR(IF(MATCH(E746,'Lista de excepciones'!$E:$E,0)&gt;0,1,0),0))</f>
        <v/>
      </c>
      <c r="U746" s="6" t="str">
        <f t="shared" si="12"/>
        <v/>
      </c>
    </row>
    <row r="747" spans="1:21" hidden="1" x14ac:dyDescent="0.25">
      <c r="A747" s="7" t="str">
        <f>IF('Port Bloomberg'!A747="","",'Port Bloomberg'!A747)</f>
        <v/>
      </c>
      <c r="B747" s="7" t="str">
        <f>IF('Port Bloomberg'!B747="","",'Port Bloomberg'!B747)</f>
        <v/>
      </c>
      <c r="C747" s="7" t="str">
        <f>IF('Port Bloomberg'!C747="","",'Port Bloomberg'!C747)</f>
        <v/>
      </c>
      <c r="D747" s="7" t="str">
        <f>IF('Port Bloomberg'!D747="","",'Port Bloomberg'!D747)</f>
        <v/>
      </c>
      <c r="E747" s="7" t="str">
        <f>IF('Port Bloomberg'!E747="","",'Port Bloomberg'!E747)</f>
        <v/>
      </c>
      <c r="F747" s="7" t="str">
        <f>IF('Port Bloomberg'!F747="","",'Port Bloomberg'!F747)</f>
        <v/>
      </c>
      <c r="G747" s="7" t="str">
        <f>IF('Port Bloomberg'!G747="","",'Port Bloomberg'!G747)</f>
        <v/>
      </c>
      <c r="H747" s="7" t="str">
        <f>IF('Port Bloomberg'!H747="","",'Port Bloomberg'!H747)</f>
        <v/>
      </c>
      <c r="I747" s="7" t="str">
        <f>IF('Port Bloomberg'!I747="","",'Port Bloomberg'!I747)</f>
        <v/>
      </c>
      <c r="J747" s="7" t="str">
        <f>IF('Port Bloomberg'!J747="","",'Port Bloomberg'!J747)</f>
        <v/>
      </c>
      <c r="K747" s="7" t="str">
        <f>IF('Port Bloomberg'!K747="","",'Port Bloomberg'!K747)</f>
        <v/>
      </c>
      <c r="L747" s="7" t="str">
        <f>IF('Port Bloomberg'!L747="","",'Port Bloomberg'!L747)</f>
        <v/>
      </c>
      <c r="M747" s="7" t="str">
        <f>IF('Port Bloomberg'!M747="","",'Port Bloomberg'!M747)</f>
        <v/>
      </c>
      <c r="N747" s="7" t="str">
        <f>IF('Port Bloomberg'!N747="","",'Port Bloomberg'!N747)</f>
        <v/>
      </c>
      <c r="O747" s="7" t="str">
        <f>IF('Port Bloomberg'!O747="","",'Port Bloomberg'!O747)</f>
        <v/>
      </c>
      <c r="P747" s="7" t="str">
        <f>IF('Port Bloomberg'!P747="","",'Port Bloomberg'!P747)</f>
        <v/>
      </c>
      <c r="Q747" s="7" t="str">
        <f>IF('Port Bloomberg'!Q747="","",'Port Bloomberg'!Q747)</f>
        <v/>
      </c>
      <c r="R747" s="7" t="str">
        <f>IF('Port Bloomberg'!R747="","",'Port Bloomberg'!R747)</f>
        <v/>
      </c>
      <c r="S747" s="5" t="str">
        <f>IF(E747="","",IFERROR(IF(MATCH(E747,[1]Instrumentos!$D:$D,0)&gt;0,1,0),0))</f>
        <v/>
      </c>
      <c r="T747" s="5" t="str">
        <f>IF(E747="","",IFERROR(IF(MATCH(E747,'Lista de excepciones'!$E:$E,0)&gt;0,1,0),0))</f>
        <v/>
      </c>
      <c r="U747" s="6" t="str">
        <f t="shared" si="12"/>
        <v/>
      </c>
    </row>
    <row r="748" spans="1:21" hidden="1" x14ac:dyDescent="0.25">
      <c r="A748" s="7" t="str">
        <f>IF('Port Bloomberg'!A748="","",'Port Bloomberg'!A748)</f>
        <v/>
      </c>
      <c r="B748" s="7" t="str">
        <f>IF('Port Bloomberg'!B748="","",'Port Bloomberg'!B748)</f>
        <v/>
      </c>
      <c r="C748" s="7" t="str">
        <f>IF('Port Bloomberg'!C748="","",'Port Bloomberg'!C748)</f>
        <v/>
      </c>
      <c r="D748" s="7" t="str">
        <f>IF('Port Bloomberg'!D748="","",'Port Bloomberg'!D748)</f>
        <v/>
      </c>
      <c r="E748" s="7" t="str">
        <f>IF('Port Bloomberg'!E748="","",'Port Bloomberg'!E748)</f>
        <v/>
      </c>
      <c r="F748" s="7" t="str">
        <f>IF('Port Bloomberg'!F748="","",'Port Bloomberg'!F748)</f>
        <v/>
      </c>
      <c r="G748" s="7" t="str">
        <f>IF('Port Bloomberg'!G748="","",'Port Bloomberg'!G748)</f>
        <v/>
      </c>
      <c r="H748" s="7" t="str">
        <f>IF('Port Bloomberg'!H748="","",'Port Bloomberg'!H748)</f>
        <v/>
      </c>
      <c r="I748" s="7" t="str">
        <f>IF('Port Bloomberg'!I748="","",'Port Bloomberg'!I748)</f>
        <v/>
      </c>
      <c r="J748" s="7" t="str">
        <f>IF('Port Bloomberg'!J748="","",'Port Bloomberg'!J748)</f>
        <v/>
      </c>
      <c r="K748" s="7" t="str">
        <f>IF('Port Bloomberg'!K748="","",'Port Bloomberg'!K748)</f>
        <v/>
      </c>
      <c r="L748" s="7" t="str">
        <f>IF('Port Bloomberg'!L748="","",'Port Bloomberg'!L748)</f>
        <v/>
      </c>
      <c r="M748" s="7" t="str">
        <f>IF('Port Bloomberg'!M748="","",'Port Bloomberg'!M748)</f>
        <v/>
      </c>
      <c r="N748" s="7" t="str">
        <f>IF('Port Bloomberg'!N748="","",'Port Bloomberg'!N748)</f>
        <v/>
      </c>
      <c r="O748" s="7" t="str">
        <f>IF('Port Bloomberg'!O748="","",'Port Bloomberg'!O748)</f>
        <v/>
      </c>
      <c r="P748" s="7" t="str">
        <f>IF('Port Bloomberg'!P748="","",'Port Bloomberg'!P748)</f>
        <v/>
      </c>
      <c r="Q748" s="7" t="str">
        <f>IF('Port Bloomberg'!Q748="","",'Port Bloomberg'!Q748)</f>
        <v/>
      </c>
      <c r="R748" s="7" t="str">
        <f>IF('Port Bloomberg'!R748="","",'Port Bloomberg'!R748)</f>
        <v/>
      </c>
      <c r="S748" s="5" t="str">
        <f>IF(E748="","",IFERROR(IF(MATCH(E748,[1]Instrumentos!$D:$D,0)&gt;0,1,0),0))</f>
        <v/>
      </c>
      <c r="T748" s="5" t="str">
        <f>IF(E748="","",IFERROR(IF(MATCH(E748,'Lista de excepciones'!$E:$E,0)&gt;0,1,0),0))</f>
        <v/>
      </c>
      <c r="U748" s="6" t="str">
        <f t="shared" si="12"/>
        <v/>
      </c>
    </row>
    <row r="749" spans="1:21" hidden="1" x14ac:dyDescent="0.25">
      <c r="A749" s="7" t="str">
        <f>IF('Port Bloomberg'!A749="","",'Port Bloomberg'!A749)</f>
        <v/>
      </c>
      <c r="B749" s="7" t="str">
        <f>IF('Port Bloomberg'!B749="","",'Port Bloomberg'!B749)</f>
        <v/>
      </c>
      <c r="C749" s="7" t="str">
        <f>IF('Port Bloomberg'!C749="","",'Port Bloomberg'!C749)</f>
        <v/>
      </c>
      <c r="D749" s="7" t="str">
        <f>IF('Port Bloomberg'!D749="","",'Port Bloomberg'!D749)</f>
        <v/>
      </c>
      <c r="E749" s="7" t="str">
        <f>IF('Port Bloomberg'!E749="","",'Port Bloomberg'!E749)</f>
        <v/>
      </c>
      <c r="F749" s="7" t="str">
        <f>IF('Port Bloomberg'!F749="","",'Port Bloomberg'!F749)</f>
        <v/>
      </c>
      <c r="G749" s="7" t="str">
        <f>IF('Port Bloomberg'!G749="","",'Port Bloomberg'!G749)</f>
        <v/>
      </c>
      <c r="H749" s="7" t="str">
        <f>IF('Port Bloomberg'!H749="","",'Port Bloomberg'!H749)</f>
        <v/>
      </c>
      <c r="I749" s="7" t="str">
        <f>IF('Port Bloomberg'!I749="","",'Port Bloomberg'!I749)</f>
        <v/>
      </c>
      <c r="J749" s="7" t="str">
        <f>IF('Port Bloomberg'!J749="","",'Port Bloomberg'!J749)</f>
        <v/>
      </c>
      <c r="K749" s="7" t="str">
        <f>IF('Port Bloomberg'!K749="","",'Port Bloomberg'!K749)</f>
        <v/>
      </c>
      <c r="L749" s="7" t="str">
        <f>IF('Port Bloomberg'!L749="","",'Port Bloomberg'!L749)</f>
        <v/>
      </c>
      <c r="M749" s="7" t="str">
        <f>IF('Port Bloomberg'!M749="","",'Port Bloomberg'!M749)</f>
        <v/>
      </c>
      <c r="N749" s="7" t="str">
        <f>IF('Port Bloomberg'!N749="","",'Port Bloomberg'!N749)</f>
        <v/>
      </c>
      <c r="O749" s="7" t="str">
        <f>IF('Port Bloomberg'!O749="","",'Port Bloomberg'!O749)</f>
        <v/>
      </c>
      <c r="P749" s="7" t="str">
        <f>IF('Port Bloomberg'!P749="","",'Port Bloomberg'!P749)</f>
        <v/>
      </c>
      <c r="Q749" s="7" t="str">
        <f>IF('Port Bloomberg'!Q749="","",'Port Bloomberg'!Q749)</f>
        <v/>
      </c>
      <c r="R749" s="7" t="str">
        <f>IF('Port Bloomberg'!R749="","",'Port Bloomberg'!R749)</f>
        <v/>
      </c>
      <c r="S749" s="5" t="str">
        <f>IF(E749="","",IFERROR(IF(MATCH(E749,[1]Instrumentos!$D:$D,0)&gt;0,1,0),0))</f>
        <v/>
      </c>
      <c r="T749" s="5" t="str">
        <f>IF(E749="","",IFERROR(IF(MATCH(E749,'Lista de excepciones'!$E:$E,0)&gt;0,1,0),0))</f>
        <v/>
      </c>
      <c r="U749" s="6" t="str">
        <f t="shared" si="12"/>
        <v/>
      </c>
    </row>
    <row r="750" spans="1:21" hidden="1" x14ac:dyDescent="0.25">
      <c r="A750" s="7" t="str">
        <f>IF('Port Bloomberg'!A750="","",'Port Bloomberg'!A750)</f>
        <v/>
      </c>
      <c r="B750" s="7" t="str">
        <f>IF('Port Bloomberg'!B750="","",'Port Bloomberg'!B750)</f>
        <v/>
      </c>
      <c r="C750" s="7" t="str">
        <f>IF('Port Bloomberg'!C750="","",'Port Bloomberg'!C750)</f>
        <v/>
      </c>
      <c r="D750" s="7" t="str">
        <f>IF('Port Bloomberg'!D750="","",'Port Bloomberg'!D750)</f>
        <v/>
      </c>
      <c r="E750" s="7" t="str">
        <f>IF('Port Bloomberg'!E750="","",'Port Bloomberg'!E750)</f>
        <v/>
      </c>
      <c r="F750" s="7" t="str">
        <f>IF('Port Bloomberg'!F750="","",'Port Bloomberg'!F750)</f>
        <v/>
      </c>
      <c r="G750" s="7" t="str">
        <f>IF('Port Bloomberg'!G750="","",'Port Bloomberg'!G750)</f>
        <v/>
      </c>
      <c r="H750" s="7" t="str">
        <f>IF('Port Bloomberg'!H750="","",'Port Bloomberg'!H750)</f>
        <v/>
      </c>
      <c r="I750" s="7" t="str">
        <f>IF('Port Bloomberg'!I750="","",'Port Bloomberg'!I750)</f>
        <v/>
      </c>
      <c r="J750" s="7" t="str">
        <f>IF('Port Bloomberg'!J750="","",'Port Bloomberg'!J750)</f>
        <v/>
      </c>
      <c r="K750" s="7" t="str">
        <f>IF('Port Bloomberg'!K750="","",'Port Bloomberg'!K750)</f>
        <v/>
      </c>
      <c r="L750" s="7" t="str">
        <f>IF('Port Bloomberg'!L750="","",'Port Bloomberg'!L750)</f>
        <v/>
      </c>
      <c r="M750" s="7" t="str">
        <f>IF('Port Bloomberg'!M750="","",'Port Bloomberg'!M750)</f>
        <v/>
      </c>
      <c r="N750" s="7" t="str">
        <f>IF('Port Bloomberg'!N750="","",'Port Bloomberg'!N750)</f>
        <v/>
      </c>
      <c r="O750" s="7" t="str">
        <f>IF('Port Bloomberg'!O750="","",'Port Bloomberg'!O750)</f>
        <v/>
      </c>
      <c r="P750" s="7" t="str">
        <f>IF('Port Bloomberg'!P750="","",'Port Bloomberg'!P750)</f>
        <v/>
      </c>
      <c r="Q750" s="7" t="str">
        <f>IF('Port Bloomberg'!Q750="","",'Port Bloomberg'!Q750)</f>
        <v/>
      </c>
      <c r="R750" s="7" t="str">
        <f>IF('Port Bloomberg'!R750="","",'Port Bloomberg'!R750)</f>
        <v/>
      </c>
      <c r="S750" s="5" t="str">
        <f>IF(E750="","",IFERROR(IF(MATCH(E750,[1]Instrumentos!$D:$D,0)&gt;0,1,0),0))</f>
        <v/>
      </c>
      <c r="T750" s="5" t="str">
        <f>IF(E750="","",IFERROR(IF(MATCH(E750,'Lista de excepciones'!$E:$E,0)&gt;0,1,0),0))</f>
        <v/>
      </c>
      <c r="U750" s="6" t="str">
        <f t="shared" si="12"/>
        <v/>
      </c>
    </row>
    <row r="751" spans="1:21" hidden="1" x14ac:dyDescent="0.25">
      <c r="A751" s="7" t="str">
        <f>IF('Port Bloomberg'!A751="","",'Port Bloomberg'!A751)</f>
        <v/>
      </c>
      <c r="B751" s="7" t="str">
        <f>IF('Port Bloomberg'!B751="","",'Port Bloomberg'!B751)</f>
        <v/>
      </c>
      <c r="C751" s="7" t="str">
        <f>IF('Port Bloomberg'!C751="","",'Port Bloomberg'!C751)</f>
        <v/>
      </c>
      <c r="D751" s="7" t="str">
        <f>IF('Port Bloomberg'!D751="","",'Port Bloomberg'!D751)</f>
        <v/>
      </c>
      <c r="E751" s="7" t="str">
        <f>IF('Port Bloomberg'!E751="","",'Port Bloomberg'!E751)</f>
        <v/>
      </c>
      <c r="F751" s="7" t="str">
        <f>IF('Port Bloomberg'!F751="","",'Port Bloomberg'!F751)</f>
        <v/>
      </c>
      <c r="G751" s="7" t="str">
        <f>IF('Port Bloomberg'!G751="","",'Port Bloomberg'!G751)</f>
        <v/>
      </c>
      <c r="H751" s="7" t="str">
        <f>IF('Port Bloomberg'!H751="","",'Port Bloomberg'!H751)</f>
        <v/>
      </c>
      <c r="I751" s="7" t="str">
        <f>IF('Port Bloomberg'!I751="","",'Port Bloomberg'!I751)</f>
        <v/>
      </c>
      <c r="J751" s="7" t="str">
        <f>IF('Port Bloomberg'!J751="","",'Port Bloomberg'!J751)</f>
        <v/>
      </c>
      <c r="K751" s="7" t="str">
        <f>IF('Port Bloomberg'!K751="","",'Port Bloomberg'!K751)</f>
        <v/>
      </c>
      <c r="L751" s="7" t="str">
        <f>IF('Port Bloomberg'!L751="","",'Port Bloomberg'!L751)</f>
        <v/>
      </c>
      <c r="M751" s="7" t="str">
        <f>IF('Port Bloomberg'!M751="","",'Port Bloomberg'!M751)</f>
        <v/>
      </c>
      <c r="N751" s="7" t="str">
        <f>IF('Port Bloomberg'!N751="","",'Port Bloomberg'!N751)</f>
        <v/>
      </c>
      <c r="O751" s="7" t="str">
        <f>IF('Port Bloomberg'!O751="","",'Port Bloomberg'!O751)</f>
        <v/>
      </c>
      <c r="P751" s="7" t="str">
        <f>IF('Port Bloomberg'!P751="","",'Port Bloomberg'!P751)</f>
        <v/>
      </c>
      <c r="Q751" s="7" t="str">
        <f>IF('Port Bloomberg'!Q751="","",'Port Bloomberg'!Q751)</f>
        <v/>
      </c>
      <c r="R751" s="7" t="str">
        <f>IF('Port Bloomberg'!R751="","",'Port Bloomberg'!R751)</f>
        <v/>
      </c>
      <c r="S751" s="5" t="str">
        <f>IF(E751="","",IFERROR(IF(MATCH(E751,[1]Instrumentos!$D:$D,0)&gt;0,1,0),0))</f>
        <v/>
      </c>
      <c r="T751" s="5" t="str">
        <f>IF(E751="","",IFERROR(IF(MATCH(E751,'Lista de excepciones'!$E:$E,0)&gt;0,1,0),0))</f>
        <v/>
      </c>
      <c r="U751" s="6" t="str">
        <f t="shared" si="12"/>
        <v/>
      </c>
    </row>
    <row r="752" spans="1:21" hidden="1" x14ac:dyDescent="0.25">
      <c r="A752" s="7" t="str">
        <f>IF('Port Bloomberg'!A752="","",'Port Bloomberg'!A752)</f>
        <v/>
      </c>
      <c r="B752" s="7" t="str">
        <f>IF('Port Bloomberg'!B752="","",'Port Bloomberg'!B752)</f>
        <v/>
      </c>
      <c r="C752" s="7" t="str">
        <f>IF('Port Bloomberg'!C752="","",'Port Bloomberg'!C752)</f>
        <v/>
      </c>
      <c r="D752" s="7" t="str">
        <f>IF('Port Bloomberg'!D752="","",'Port Bloomberg'!D752)</f>
        <v/>
      </c>
      <c r="E752" s="7" t="str">
        <f>IF('Port Bloomberg'!E752="","",'Port Bloomberg'!E752)</f>
        <v/>
      </c>
      <c r="F752" s="7" t="str">
        <f>IF('Port Bloomberg'!F752="","",'Port Bloomberg'!F752)</f>
        <v/>
      </c>
      <c r="G752" s="7" t="str">
        <f>IF('Port Bloomberg'!G752="","",'Port Bloomberg'!G752)</f>
        <v/>
      </c>
      <c r="H752" s="7" t="str">
        <f>IF('Port Bloomberg'!H752="","",'Port Bloomberg'!H752)</f>
        <v/>
      </c>
      <c r="I752" s="7" t="str">
        <f>IF('Port Bloomberg'!I752="","",'Port Bloomberg'!I752)</f>
        <v/>
      </c>
      <c r="J752" s="7" t="str">
        <f>IF('Port Bloomberg'!J752="","",'Port Bloomberg'!J752)</f>
        <v/>
      </c>
      <c r="K752" s="7" t="str">
        <f>IF('Port Bloomberg'!K752="","",'Port Bloomberg'!K752)</f>
        <v/>
      </c>
      <c r="L752" s="7" t="str">
        <f>IF('Port Bloomberg'!L752="","",'Port Bloomberg'!L752)</f>
        <v/>
      </c>
      <c r="M752" s="7" t="str">
        <f>IF('Port Bloomberg'!M752="","",'Port Bloomberg'!M752)</f>
        <v/>
      </c>
      <c r="N752" s="7" t="str">
        <f>IF('Port Bloomberg'!N752="","",'Port Bloomberg'!N752)</f>
        <v/>
      </c>
      <c r="O752" s="7" t="str">
        <f>IF('Port Bloomberg'!O752="","",'Port Bloomberg'!O752)</f>
        <v/>
      </c>
      <c r="P752" s="7" t="str">
        <f>IF('Port Bloomberg'!P752="","",'Port Bloomberg'!P752)</f>
        <v/>
      </c>
      <c r="Q752" s="7" t="str">
        <f>IF('Port Bloomberg'!Q752="","",'Port Bloomberg'!Q752)</f>
        <v/>
      </c>
      <c r="R752" s="7" t="str">
        <f>IF('Port Bloomberg'!R752="","",'Port Bloomberg'!R752)</f>
        <v/>
      </c>
      <c r="S752" s="5" t="str">
        <f>IF(E752="","",IFERROR(IF(MATCH(E752,[1]Instrumentos!$D:$D,0)&gt;0,1,0),0))</f>
        <v/>
      </c>
      <c r="T752" s="5" t="str">
        <f>IF(E752="","",IFERROR(IF(MATCH(E752,'Lista de excepciones'!$E:$E,0)&gt;0,1,0),0))</f>
        <v/>
      </c>
      <c r="U752" s="6" t="str">
        <f t="shared" si="12"/>
        <v/>
      </c>
    </row>
    <row r="753" spans="1:21" hidden="1" x14ac:dyDescent="0.25">
      <c r="A753" s="7" t="str">
        <f>IF('Port Bloomberg'!A753="","",'Port Bloomberg'!A753)</f>
        <v/>
      </c>
      <c r="B753" s="7" t="str">
        <f>IF('Port Bloomberg'!B753="","",'Port Bloomberg'!B753)</f>
        <v/>
      </c>
      <c r="C753" s="7" t="str">
        <f>IF('Port Bloomberg'!C753="","",'Port Bloomberg'!C753)</f>
        <v/>
      </c>
      <c r="D753" s="7" t="str">
        <f>IF('Port Bloomberg'!D753="","",'Port Bloomberg'!D753)</f>
        <v/>
      </c>
      <c r="E753" s="7" t="str">
        <f>IF('Port Bloomberg'!E753="","",'Port Bloomberg'!E753)</f>
        <v/>
      </c>
      <c r="F753" s="7" t="str">
        <f>IF('Port Bloomberg'!F753="","",'Port Bloomberg'!F753)</f>
        <v/>
      </c>
      <c r="G753" s="7" t="str">
        <f>IF('Port Bloomberg'!G753="","",'Port Bloomberg'!G753)</f>
        <v/>
      </c>
      <c r="H753" s="7" t="str">
        <f>IF('Port Bloomberg'!H753="","",'Port Bloomberg'!H753)</f>
        <v/>
      </c>
      <c r="I753" s="7" t="str">
        <f>IF('Port Bloomberg'!I753="","",'Port Bloomberg'!I753)</f>
        <v/>
      </c>
      <c r="J753" s="7" t="str">
        <f>IF('Port Bloomberg'!J753="","",'Port Bloomberg'!J753)</f>
        <v/>
      </c>
      <c r="K753" s="7" t="str">
        <f>IF('Port Bloomberg'!K753="","",'Port Bloomberg'!K753)</f>
        <v/>
      </c>
      <c r="L753" s="7" t="str">
        <f>IF('Port Bloomberg'!L753="","",'Port Bloomberg'!L753)</f>
        <v/>
      </c>
      <c r="M753" s="7" t="str">
        <f>IF('Port Bloomberg'!M753="","",'Port Bloomberg'!M753)</f>
        <v/>
      </c>
      <c r="N753" s="7" t="str">
        <f>IF('Port Bloomberg'!N753="","",'Port Bloomberg'!N753)</f>
        <v/>
      </c>
      <c r="O753" s="7" t="str">
        <f>IF('Port Bloomberg'!O753="","",'Port Bloomberg'!O753)</f>
        <v/>
      </c>
      <c r="P753" s="7" t="str">
        <f>IF('Port Bloomberg'!P753="","",'Port Bloomberg'!P753)</f>
        <v/>
      </c>
      <c r="Q753" s="7" t="str">
        <f>IF('Port Bloomberg'!Q753="","",'Port Bloomberg'!Q753)</f>
        <v/>
      </c>
      <c r="R753" s="7" t="str">
        <f>IF('Port Bloomberg'!R753="","",'Port Bloomberg'!R753)</f>
        <v/>
      </c>
      <c r="S753" s="5" t="str">
        <f>IF(E753="","",IFERROR(IF(MATCH(E753,[1]Instrumentos!$D:$D,0)&gt;0,1,0),0))</f>
        <v/>
      </c>
      <c r="T753" s="5" t="str">
        <f>IF(E753="","",IFERROR(IF(MATCH(E753,'Lista de excepciones'!$E:$E,0)&gt;0,1,0),0))</f>
        <v/>
      </c>
      <c r="U753" s="6" t="str">
        <f t="shared" si="12"/>
        <v/>
      </c>
    </row>
    <row r="754" spans="1:21" hidden="1" x14ac:dyDescent="0.25">
      <c r="A754" s="7" t="str">
        <f>IF('Port Bloomberg'!A754="","",'Port Bloomberg'!A754)</f>
        <v/>
      </c>
      <c r="B754" s="7" t="str">
        <f>IF('Port Bloomberg'!B754="","",'Port Bloomberg'!B754)</f>
        <v/>
      </c>
      <c r="C754" s="7" t="str">
        <f>IF('Port Bloomberg'!C754="","",'Port Bloomberg'!C754)</f>
        <v/>
      </c>
      <c r="D754" s="7" t="str">
        <f>IF('Port Bloomberg'!D754="","",'Port Bloomberg'!D754)</f>
        <v/>
      </c>
      <c r="E754" s="7" t="str">
        <f>IF('Port Bloomberg'!E754="","",'Port Bloomberg'!E754)</f>
        <v/>
      </c>
      <c r="F754" s="7" t="str">
        <f>IF('Port Bloomberg'!F754="","",'Port Bloomberg'!F754)</f>
        <v/>
      </c>
      <c r="G754" s="7" t="str">
        <f>IF('Port Bloomberg'!G754="","",'Port Bloomberg'!G754)</f>
        <v/>
      </c>
      <c r="H754" s="7" t="str">
        <f>IF('Port Bloomberg'!H754="","",'Port Bloomberg'!H754)</f>
        <v/>
      </c>
      <c r="I754" s="7" t="str">
        <f>IF('Port Bloomberg'!I754="","",'Port Bloomberg'!I754)</f>
        <v/>
      </c>
      <c r="J754" s="7" t="str">
        <f>IF('Port Bloomberg'!J754="","",'Port Bloomberg'!J754)</f>
        <v/>
      </c>
      <c r="K754" s="7" t="str">
        <f>IF('Port Bloomberg'!K754="","",'Port Bloomberg'!K754)</f>
        <v/>
      </c>
      <c r="L754" s="7" t="str">
        <f>IF('Port Bloomberg'!L754="","",'Port Bloomberg'!L754)</f>
        <v/>
      </c>
      <c r="M754" s="7" t="str">
        <f>IF('Port Bloomberg'!M754="","",'Port Bloomberg'!M754)</f>
        <v/>
      </c>
      <c r="N754" s="7" t="str">
        <f>IF('Port Bloomberg'!N754="","",'Port Bloomberg'!N754)</f>
        <v/>
      </c>
      <c r="O754" s="7" t="str">
        <f>IF('Port Bloomberg'!O754="","",'Port Bloomberg'!O754)</f>
        <v/>
      </c>
      <c r="P754" s="7" t="str">
        <f>IF('Port Bloomberg'!P754="","",'Port Bloomberg'!P754)</f>
        <v/>
      </c>
      <c r="Q754" s="7" t="str">
        <f>IF('Port Bloomberg'!Q754="","",'Port Bloomberg'!Q754)</f>
        <v/>
      </c>
      <c r="R754" s="7" t="str">
        <f>IF('Port Bloomberg'!R754="","",'Port Bloomberg'!R754)</f>
        <v/>
      </c>
      <c r="S754" s="5" t="str">
        <f>IF(E754="","",IFERROR(IF(MATCH(E754,[1]Instrumentos!$D:$D,0)&gt;0,1,0),0))</f>
        <v/>
      </c>
      <c r="T754" s="5" t="str">
        <f>IF(E754="","",IFERROR(IF(MATCH(E754,'Lista de excepciones'!$E:$E,0)&gt;0,1,0),0))</f>
        <v/>
      </c>
      <c r="U754" s="6" t="str">
        <f t="shared" si="12"/>
        <v/>
      </c>
    </row>
    <row r="755" spans="1:21" hidden="1" x14ac:dyDescent="0.25">
      <c r="A755" s="7" t="str">
        <f>IF('Port Bloomberg'!A755="","",'Port Bloomberg'!A755)</f>
        <v/>
      </c>
      <c r="B755" s="7" t="str">
        <f>IF('Port Bloomberg'!B755="","",'Port Bloomberg'!B755)</f>
        <v/>
      </c>
      <c r="C755" s="7" t="str">
        <f>IF('Port Bloomberg'!C755="","",'Port Bloomberg'!C755)</f>
        <v/>
      </c>
      <c r="D755" s="7" t="str">
        <f>IF('Port Bloomberg'!D755="","",'Port Bloomberg'!D755)</f>
        <v/>
      </c>
      <c r="E755" s="7" t="str">
        <f>IF('Port Bloomberg'!E755="","",'Port Bloomberg'!E755)</f>
        <v/>
      </c>
      <c r="F755" s="7" t="str">
        <f>IF('Port Bloomberg'!F755="","",'Port Bloomberg'!F755)</f>
        <v/>
      </c>
      <c r="G755" s="7" t="str">
        <f>IF('Port Bloomberg'!G755="","",'Port Bloomberg'!G755)</f>
        <v/>
      </c>
      <c r="H755" s="7" t="str">
        <f>IF('Port Bloomberg'!H755="","",'Port Bloomberg'!H755)</f>
        <v/>
      </c>
      <c r="I755" s="7" t="str">
        <f>IF('Port Bloomberg'!I755="","",'Port Bloomberg'!I755)</f>
        <v/>
      </c>
      <c r="J755" s="7" t="str">
        <f>IF('Port Bloomberg'!J755="","",'Port Bloomberg'!J755)</f>
        <v/>
      </c>
      <c r="K755" s="7" t="str">
        <f>IF('Port Bloomberg'!K755="","",'Port Bloomberg'!K755)</f>
        <v/>
      </c>
      <c r="L755" s="7" t="str">
        <f>IF('Port Bloomberg'!L755="","",'Port Bloomberg'!L755)</f>
        <v/>
      </c>
      <c r="M755" s="7" t="str">
        <f>IF('Port Bloomberg'!M755="","",'Port Bloomberg'!M755)</f>
        <v/>
      </c>
      <c r="N755" s="7" t="str">
        <f>IF('Port Bloomberg'!N755="","",'Port Bloomberg'!N755)</f>
        <v/>
      </c>
      <c r="O755" s="7" t="str">
        <f>IF('Port Bloomberg'!O755="","",'Port Bloomberg'!O755)</f>
        <v/>
      </c>
      <c r="P755" s="7" t="str">
        <f>IF('Port Bloomberg'!P755="","",'Port Bloomberg'!P755)</f>
        <v/>
      </c>
      <c r="Q755" s="7" t="str">
        <f>IF('Port Bloomberg'!Q755="","",'Port Bloomberg'!Q755)</f>
        <v/>
      </c>
      <c r="R755" s="7" t="str">
        <f>IF('Port Bloomberg'!R755="","",'Port Bloomberg'!R755)</f>
        <v/>
      </c>
      <c r="S755" s="5" t="str">
        <f>IF(E755="","",IFERROR(IF(MATCH(E755,[1]Instrumentos!$D:$D,0)&gt;0,1,0),0))</f>
        <v/>
      </c>
      <c r="T755" s="5" t="str">
        <f>IF(E755="","",IFERROR(IF(MATCH(E755,'Lista de excepciones'!$E:$E,0)&gt;0,1,0),0))</f>
        <v/>
      </c>
      <c r="U755" s="6" t="str">
        <f t="shared" si="12"/>
        <v/>
      </c>
    </row>
    <row r="756" spans="1:21" hidden="1" x14ac:dyDescent="0.25">
      <c r="A756" s="7" t="str">
        <f>IF('Port Bloomberg'!A756="","",'Port Bloomberg'!A756)</f>
        <v/>
      </c>
      <c r="B756" s="7" t="str">
        <f>IF('Port Bloomberg'!B756="","",'Port Bloomberg'!B756)</f>
        <v/>
      </c>
      <c r="C756" s="7" t="str">
        <f>IF('Port Bloomberg'!C756="","",'Port Bloomberg'!C756)</f>
        <v/>
      </c>
      <c r="D756" s="7" t="str">
        <f>IF('Port Bloomberg'!D756="","",'Port Bloomberg'!D756)</f>
        <v/>
      </c>
      <c r="E756" s="7" t="str">
        <f>IF('Port Bloomberg'!E756="","",'Port Bloomberg'!E756)</f>
        <v/>
      </c>
      <c r="F756" s="7" t="str">
        <f>IF('Port Bloomberg'!F756="","",'Port Bloomberg'!F756)</f>
        <v/>
      </c>
      <c r="G756" s="7" t="str">
        <f>IF('Port Bloomberg'!G756="","",'Port Bloomberg'!G756)</f>
        <v/>
      </c>
      <c r="H756" s="7" t="str">
        <f>IF('Port Bloomberg'!H756="","",'Port Bloomberg'!H756)</f>
        <v/>
      </c>
      <c r="I756" s="7" t="str">
        <f>IF('Port Bloomberg'!I756="","",'Port Bloomberg'!I756)</f>
        <v/>
      </c>
      <c r="J756" s="7" t="str">
        <f>IF('Port Bloomberg'!J756="","",'Port Bloomberg'!J756)</f>
        <v/>
      </c>
      <c r="K756" s="7" t="str">
        <f>IF('Port Bloomberg'!K756="","",'Port Bloomberg'!K756)</f>
        <v/>
      </c>
      <c r="L756" s="7" t="str">
        <f>IF('Port Bloomberg'!L756="","",'Port Bloomberg'!L756)</f>
        <v/>
      </c>
      <c r="M756" s="7" t="str">
        <f>IF('Port Bloomberg'!M756="","",'Port Bloomberg'!M756)</f>
        <v/>
      </c>
      <c r="N756" s="7" t="str">
        <f>IF('Port Bloomberg'!N756="","",'Port Bloomberg'!N756)</f>
        <v/>
      </c>
      <c r="O756" s="7" t="str">
        <f>IF('Port Bloomberg'!O756="","",'Port Bloomberg'!O756)</f>
        <v/>
      </c>
      <c r="P756" s="7" t="str">
        <f>IF('Port Bloomberg'!P756="","",'Port Bloomberg'!P756)</f>
        <v/>
      </c>
      <c r="Q756" s="7" t="str">
        <f>IF('Port Bloomberg'!Q756="","",'Port Bloomberg'!Q756)</f>
        <v/>
      </c>
      <c r="R756" s="7" t="str">
        <f>IF('Port Bloomberg'!R756="","",'Port Bloomberg'!R756)</f>
        <v/>
      </c>
      <c r="S756" s="5" t="str">
        <f>IF(E756="","",IFERROR(IF(MATCH(E756,[1]Instrumentos!$D:$D,0)&gt;0,1,0),0))</f>
        <v/>
      </c>
      <c r="T756" s="5" t="str">
        <f>IF(E756="","",IFERROR(IF(MATCH(E756,'Lista de excepciones'!$E:$E,0)&gt;0,1,0),0))</f>
        <v/>
      </c>
      <c r="U756" s="6" t="str">
        <f t="shared" si="12"/>
        <v/>
      </c>
    </row>
    <row r="757" spans="1:21" hidden="1" x14ac:dyDescent="0.25">
      <c r="A757" s="7" t="str">
        <f>IF('Port Bloomberg'!A757="","",'Port Bloomberg'!A757)</f>
        <v/>
      </c>
      <c r="B757" s="7" t="str">
        <f>IF('Port Bloomberg'!B757="","",'Port Bloomberg'!B757)</f>
        <v/>
      </c>
      <c r="C757" s="7" t="str">
        <f>IF('Port Bloomberg'!C757="","",'Port Bloomberg'!C757)</f>
        <v/>
      </c>
      <c r="D757" s="7" t="str">
        <f>IF('Port Bloomberg'!D757="","",'Port Bloomberg'!D757)</f>
        <v/>
      </c>
      <c r="E757" s="7" t="str">
        <f>IF('Port Bloomberg'!E757="","",'Port Bloomberg'!E757)</f>
        <v/>
      </c>
      <c r="F757" s="7" t="str">
        <f>IF('Port Bloomberg'!F757="","",'Port Bloomberg'!F757)</f>
        <v/>
      </c>
      <c r="G757" s="7" t="str">
        <f>IF('Port Bloomberg'!G757="","",'Port Bloomberg'!G757)</f>
        <v/>
      </c>
      <c r="H757" s="7" t="str">
        <f>IF('Port Bloomberg'!H757="","",'Port Bloomberg'!H757)</f>
        <v/>
      </c>
      <c r="I757" s="7" t="str">
        <f>IF('Port Bloomberg'!I757="","",'Port Bloomberg'!I757)</f>
        <v/>
      </c>
      <c r="J757" s="7" t="str">
        <f>IF('Port Bloomberg'!J757="","",'Port Bloomberg'!J757)</f>
        <v/>
      </c>
      <c r="K757" s="7" t="str">
        <f>IF('Port Bloomberg'!K757="","",'Port Bloomberg'!K757)</f>
        <v/>
      </c>
      <c r="L757" s="7" t="str">
        <f>IF('Port Bloomberg'!L757="","",'Port Bloomberg'!L757)</f>
        <v/>
      </c>
      <c r="M757" s="7" t="str">
        <f>IF('Port Bloomberg'!M757="","",'Port Bloomberg'!M757)</f>
        <v/>
      </c>
      <c r="N757" s="7" t="str">
        <f>IF('Port Bloomberg'!N757="","",'Port Bloomberg'!N757)</f>
        <v/>
      </c>
      <c r="O757" s="7" t="str">
        <f>IF('Port Bloomberg'!O757="","",'Port Bloomberg'!O757)</f>
        <v/>
      </c>
      <c r="P757" s="7" t="str">
        <f>IF('Port Bloomberg'!P757="","",'Port Bloomberg'!P757)</f>
        <v/>
      </c>
      <c r="Q757" s="7" t="str">
        <f>IF('Port Bloomberg'!Q757="","",'Port Bloomberg'!Q757)</f>
        <v/>
      </c>
      <c r="R757" s="7" t="str">
        <f>IF('Port Bloomberg'!R757="","",'Port Bloomberg'!R757)</f>
        <v/>
      </c>
      <c r="S757" s="5" t="str">
        <f>IF(E757="","",IFERROR(IF(MATCH(E757,[1]Instrumentos!$D:$D,0)&gt;0,1,0),0))</f>
        <v/>
      </c>
      <c r="T757" s="5" t="str">
        <f>IF(E757="","",IFERROR(IF(MATCH(E757,'Lista de excepciones'!$E:$E,0)&gt;0,1,0),0))</f>
        <v/>
      </c>
      <c r="U757" s="6" t="str">
        <f t="shared" si="12"/>
        <v/>
      </c>
    </row>
    <row r="758" spans="1:21" hidden="1" x14ac:dyDescent="0.25">
      <c r="A758" s="7" t="str">
        <f>IF('Port Bloomberg'!A758="","",'Port Bloomberg'!A758)</f>
        <v/>
      </c>
      <c r="B758" s="7" t="str">
        <f>IF('Port Bloomberg'!B758="","",'Port Bloomberg'!B758)</f>
        <v/>
      </c>
      <c r="C758" s="7" t="str">
        <f>IF('Port Bloomberg'!C758="","",'Port Bloomberg'!C758)</f>
        <v/>
      </c>
      <c r="D758" s="7" t="str">
        <f>IF('Port Bloomberg'!D758="","",'Port Bloomberg'!D758)</f>
        <v/>
      </c>
      <c r="E758" s="7" t="str">
        <f>IF('Port Bloomberg'!E758="","",'Port Bloomberg'!E758)</f>
        <v/>
      </c>
      <c r="F758" s="7" t="str">
        <f>IF('Port Bloomberg'!F758="","",'Port Bloomberg'!F758)</f>
        <v/>
      </c>
      <c r="G758" s="7" t="str">
        <f>IF('Port Bloomberg'!G758="","",'Port Bloomberg'!G758)</f>
        <v/>
      </c>
      <c r="H758" s="7" t="str">
        <f>IF('Port Bloomberg'!H758="","",'Port Bloomberg'!H758)</f>
        <v/>
      </c>
      <c r="I758" s="7" t="str">
        <f>IF('Port Bloomberg'!I758="","",'Port Bloomberg'!I758)</f>
        <v/>
      </c>
      <c r="J758" s="7" t="str">
        <f>IF('Port Bloomberg'!J758="","",'Port Bloomberg'!J758)</f>
        <v/>
      </c>
      <c r="K758" s="7" t="str">
        <f>IF('Port Bloomberg'!K758="","",'Port Bloomberg'!K758)</f>
        <v/>
      </c>
      <c r="L758" s="7" t="str">
        <f>IF('Port Bloomberg'!L758="","",'Port Bloomberg'!L758)</f>
        <v/>
      </c>
      <c r="M758" s="7" t="str">
        <f>IF('Port Bloomberg'!M758="","",'Port Bloomberg'!M758)</f>
        <v/>
      </c>
      <c r="N758" s="7" t="str">
        <f>IF('Port Bloomberg'!N758="","",'Port Bloomberg'!N758)</f>
        <v/>
      </c>
      <c r="O758" s="7" t="str">
        <f>IF('Port Bloomberg'!O758="","",'Port Bloomberg'!O758)</f>
        <v/>
      </c>
      <c r="P758" s="7" t="str">
        <f>IF('Port Bloomberg'!P758="","",'Port Bloomberg'!P758)</f>
        <v/>
      </c>
      <c r="Q758" s="7" t="str">
        <f>IF('Port Bloomberg'!Q758="","",'Port Bloomberg'!Q758)</f>
        <v/>
      </c>
      <c r="R758" s="7" t="str">
        <f>IF('Port Bloomberg'!R758="","",'Port Bloomberg'!R758)</f>
        <v/>
      </c>
      <c r="S758" s="5" t="str">
        <f>IF(E758="","",IFERROR(IF(MATCH(E758,[1]Instrumentos!$D:$D,0)&gt;0,1,0),0))</f>
        <v/>
      </c>
      <c r="T758" s="5" t="str">
        <f>IF(E758="","",IFERROR(IF(MATCH(E758,'Lista de excepciones'!$E:$E,0)&gt;0,1,0),0))</f>
        <v/>
      </c>
      <c r="U758" s="6" t="str">
        <f t="shared" si="12"/>
        <v/>
      </c>
    </row>
    <row r="759" spans="1:21" hidden="1" x14ac:dyDescent="0.25">
      <c r="A759" s="7" t="str">
        <f>IF('Port Bloomberg'!A759="","",'Port Bloomberg'!A759)</f>
        <v/>
      </c>
      <c r="B759" s="7" t="str">
        <f>IF('Port Bloomberg'!B759="","",'Port Bloomberg'!B759)</f>
        <v/>
      </c>
      <c r="C759" s="7" t="str">
        <f>IF('Port Bloomberg'!C759="","",'Port Bloomberg'!C759)</f>
        <v/>
      </c>
      <c r="D759" s="7" t="str">
        <f>IF('Port Bloomberg'!D759="","",'Port Bloomberg'!D759)</f>
        <v/>
      </c>
      <c r="E759" s="7" t="str">
        <f>IF('Port Bloomberg'!E759="","",'Port Bloomberg'!E759)</f>
        <v/>
      </c>
      <c r="F759" s="7" t="str">
        <f>IF('Port Bloomberg'!F759="","",'Port Bloomberg'!F759)</f>
        <v/>
      </c>
      <c r="G759" s="7" t="str">
        <f>IF('Port Bloomberg'!G759="","",'Port Bloomberg'!G759)</f>
        <v/>
      </c>
      <c r="H759" s="7" t="str">
        <f>IF('Port Bloomberg'!H759="","",'Port Bloomberg'!H759)</f>
        <v/>
      </c>
      <c r="I759" s="7" t="str">
        <f>IF('Port Bloomberg'!I759="","",'Port Bloomberg'!I759)</f>
        <v/>
      </c>
      <c r="J759" s="7" t="str">
        <f>IF('Port Bloomberg'!J759="","",'Port Bloomberg'!J759)</f>
        <v/>
      </c>
      <c r="K759" s="7" t="str">
        <f>IF('Port Bloomberg'!K759="","",'Port Bloomberg'!K759)</f>
        <v/>
      </c>
      <c r="L759" s="7" t="str">
        <f>IF('Port Bloomberg'!L759="","",'Port Bloomberg'!L759)</f>
        <v/>
      </c>
      <c r="M759" s="7" t="str">
        <f>IF('Port Bloomberg'!M759="","",'Port Bloomberg'!M759)</f>
        <v/>
      </c>
      <c r="N759" s="7" t="str">
        <f>IF('Port Bloomberg'!N759="","",'Port Bloomberg'!N759)</f>
        <v/>
      </c>
      <c r="O759" s="7" t="str">
        <f>IF('Port Bloomberg'!O759="","",'Port Bloomberg'!O759)</f>
        <v/>
      </c>
      <c r="P759" s="7" t="str">
        <f>IF('Port Bloomberg'!P759="","",'Port Bloomberg'!P759)</f>
        <v/>
      </c>
      <c r="Q759" s="7" t="str">
        <f>IF('Port Bloomberg'!Q759="","",'Port Bloomberg'!Q759)</f>
        <v/>
      </c>
      <c r="R759" s="7" t="str">
        <f>IF('Port Bloomberg'!R759="","",'Port Bloomberg'!R759)</f>
        <v/>
      </c>
      <c r="S759" s="5" t="str">
        <f>IF(E759="","",IFERROR(IF(MATCH(E759,[1]Instrumentos!$D:$D,0)&gt;0,1,0),0))</f>
        <v/>
      </c>
      <c r="T759" s="5" t="str">
        <f>IF(E759="","",IFERROR(IF(MATCH(E759,'Lista de excepciones'!$E:$E,0)&gt;0,1,0),0))</f>
        <v/>
      </c>
      <c r="U759" s="6" t="str">
        <f t="shared" si="12"/>
        <v/>
      </c>
    </row>
    <row r="760" spans="1:21" hidden="1" x14ac:dyDescent="0.25">
      <c r="A760" s="7" t="str">
        <f>IF('Port Bloomberg'!A760="","",'Port Bloomberg'!A760)</f>
        <v/>
      </c>
      <c r="B760" s="7" t="str">
        <f>IF('Port Bloomberg'!B760="","",'Port Bloomberg'!B760)</f>
        <v/>
      </c>
      <c r="C760" s="7" t="str">
        <f>IF('Port Bloomberg'!C760="","",'Port Bloomberg'!C760)</f>
        <v/>
      </c>
      <c r="D760" s="7" t="str">
        <f>IF('Port Bloomberg'!D760="","",'Port Bloomberg'!D760)</f>
        <v/>
      </c>
      <c r="E760" s="7" t="str">
        <f>IF('Port Bloomberg'!E760="","",'Port Bloomberg'!E760)</f>
        <v/>
      </c>
      <c r="F760" s="7" t="str">
        <f>IF('Port Bloomberg'!F760="","",'Port Bloomberg'!F760)</f>
        <v/>
      </c>
      <c r="G760" s="7" t="str">
        <f>IF('Port Bloomberg'!G760="","",'Port Bloomberg'!G760)</f>
        <v/>
      </c>
      <c r="H760" s="7" t="str">
        <f>IF('Port Bloomberg'!H760="","",'Port Bloomberg'!H760)</f>
        <v/>
      </c>
      <c r="I760" s="7" t="str">
        <f>IF('Port Bloomberg'!I760="","",'Port Bloomberg'!I760)</f>
        <v/>
      </c>
      <c r="J760" s="7" t="str">
        <f>IF('Port Bloomberg'!J760="","",'Port Bloomberg'!J760)</f>
        <v/>
      </c>
      <c r="K760" s="7" t="str">
        <f>IF('Port Bloomberg'!K760="","",'Port Bloomberg'!K760)</f>
        <v/>
      </c>
      <c r="L760" s="7" t="str">
        <f>IF('Port Bloomberg'!L760="","",'Port Bloomberg'!L760)</f>
        <v/>
      </c>
      <c r="M760" s="7" t="str">
        <f>IF('Port Bloomberg'!M760="","",'Port Bloomberg'!M760)</f>
        <v/>
      </c>
      <c r="N760" s="7" t="str">
        <f>IF('Port Bloomberg'!N760="","",'Port Bloomberg'!N760)</f>
        <v/>
      </c>
      <c r="O760" s="7" t="str">
        <f>IF('Port Bloomberg'!O760="","",'Port Bloomberg'!O760)</f>
        <v/>
      </c>
      <c r="P760" s="7" t="str">
        <f>IF('Port Bloomberg'!P760="","",'Port Bloomberg'!P760)</f>
        <v/>
      </c>
      <c r="Q760" s="7" t="str">
        <f>IF('Port Bloomberg'!Q760="","",'Port Bloomberg'!Q760)</f>
        <v/>
      </c>
      <c r="R760" s="7" t="str">
        <f>IF('Port Bloomberg'!R760="","",'Port Bloomberg'!R760)</f>
        <v/>
      </c>
      <c r="S760" s="5" t="str">
        <f>IF(E760="","",IFERROR(IF(MATCH(E760,[1]Instrumentos!$D:$D,0)&gt;0,1,0),0))</f>
        <v/>
      </c>
      <c r="T760" s="5" t="str">
        <f>IF(E760="","",IFERROR(IF(MATCH(E760,'Lista de excepciones'!$E:$E,0)&gt;0,1,0),0))</f>
        <v/>
      </c>
      <c r="U760" s="6" t="str">
        <f t="shared" si="12"/>
        <v/>
      </c>
    </row>
    <row r="761" spans="1:21" hidden="1" x14ac:dyDescent="0.25">
      <c r="A761" s="7" t="str">
        <f>IF('Port Bloomberg'!A761="","",'Port Bloomberg'!A761)</f>
        <v/>
      </c>
      <c r="B761" s="7" t="str">
        <f>IF('Port Bloomberg'!B761="","",'Port Bloomberg'!B761)</f>
        <v/>
      </c>
      <c r="C761" s="7" t="str">
        <f>IF('Port Bloomberg'!C761="","",'Port Bloomberg'!C761)</f>
        <v/>
      </c>
      <c r="D761" s="7" t="str">
        <f>IF('Port Bloomberg'!D761="","",'Port Bloomberg'!D761)</f>
        <v/>
      </c>
      <c r="E761" s="7" t="str">
        <f>IF('Port Bloomberg'!E761="","",'Port Bloomberg'!E761)</f>
        <v/>
      </c>
      <c r="F761" s="7" t="str">
        <f>IF('Port Bloomberg'!F761="","",'Port Bloomberg'!F761)</f>
        <v/>
      </c>
      <c r="G761" s="7" t="str">
        <f>IF('Port Bloomberg'!G761="","",'Port Bloomberg'!G761)</f>
        <v/>
      </c>
      <c r="H761" s="7" t="str">
        <f>IF('Port Bloomberg'!H761="","",'Port Bloomberg'!H761)</f>
        <v/>
      </c>
      <c r="I761" s="7" t="str">
        <f>IF('Port Bloomberg'!I761="","",'Port Bloomberg'!I761)</f>
        <v/>
      </c>
      <c r="J761" s="7" t="str">
        <f>IF('Port Bloomberg'!J761="","",'Port Bloomberg'!J761)</f>
        <v/>
      </c>
      <c r="K761" s="7" t="str">
        <f>IF('Port Bloomberg'!K761="","",'Port Bloomberg'!K761)</f>
        <v/>
      </c>
      <c r="L761" s="7" t="str">
        <f>IF('Port Bloomberg'!L761="","",'Port Bloomberg'!L761)</f>
        <v/>
      </c>
      <c r="M761" s="7" t="str">
        <f>IF('Port Bloomberg'!M761="","",'Port Bloomberg'!M761)</f>
        <v/>
      </c>
      <c r="N761" s="7" t="str">
        <f>IF('Port Bloomberg'!N761="","",'Port Bloomberg'!N761)</f>
        <v/>
      </c>
      <c r="O761" s="7" t="str">
        <f>IF('Port Bloomberg'!O761="","",'Port Bloomberg'!O761)</f>
        <v/>
      </c>
      <c r="P761" s="7" t="str">
        <f>IF('Port Bloomberg'!P761="","",'Port Bloomberg'!P761)</f>
        <v/>
      </c>
      <c r="Q761" s="7" t="str">
        <f>IF('Port Bloomberg'!Q761="","",'Port Bloomberg'!Q761)</f>
        <v/>
      </c>
      <c r="R761" s="7" t="str">
        <f>IF('Port Bloomberg'!R761="","",'Port Bloomberg'!R761)</f>
        <v/>
      </c>
      <c r="S761" s="5" t="str">
        <f>IF(E761="","",IFERROR(IF(MATCH(E761,[1]Instrumentos!$D:$D,0)&gt;0,1,0),0))</f>
        <v/>
      </c>
      <c r="T761" s="5" t="str">
        <f>IF(E761="","",IFERROR(IF(MATCH(E761,'Lista de excepciones'!$E:$E,0)&gt;0,1,0),0))</f>
        <v/>
      </c>
      <c r="U761" s="6" t="str">
        <f t="shared" si="12"/>
        <v/>
      </c>
    </row>
    <row r="762" spans="1:21" hidden="1" x14ac:dyDescent="0.25">
      <c r="A762" s="7" t="str">
        <f>IF('Port Bloomberg'!A762="","",'Port Bloomberg'!A762)</f>
        <v/>
      </c>
      <c r="B762" s="7" t="str">
        <f>IF('Port Bloomberg'!B762="","",'Port Bloomberg'!B762)</f>
        <v/>
      </c>
      <c r="C762" s="7" t="str">
        <f>IF('Port Bloomberg'!C762="","",'Port Bloomberg'!C762)</f>
        <v/>
      </c>
      <c r="D762" s="7" t="str">
        <f>IF('Port Bloomberg'!D762="","",'Port Bloomberg'!D762)</f>
        <v/>
      </c>
      <c r="E762" s="7" t="str">
        <f>IF('Port Bloomberg'!E762="","",'Port Bloomberg'!E762)</f>
        <v/>
      </c>
      <c r="F762" s="7" t="str">
        <f>IF('Port Bloomberg'!F762="","",'Port Bloomberg'!F762)</f>
        <v/>
      </c>
      <c r="G762" s="7" t="str">
        <f>IF('Port Bloomberg'!G762="","",'Port Bloomberg'!G762)</f>
        <v/>
      </c>
      <c r="H762" s="7" t="str">
        <f>IF('Port Bloomberg'!H762="","",'Port Bloomberg'!H762)</f>
        <v/>
      </c>
      <c r="I762" s="7" t="str">
        <f>IF('Port Bloomberg'!I762="","",'Port Bloomberg'!I762)</f>
        <v/>
      </c>
      <c r="J762" s="7" t="str">
        <f>IF('Port Bloomberg'!J762="","",'Port Bloomberg'!J762)</f>
        <v/>
      </c>
      <c r="K762" s="7" t="str">
        <f>IF('Port Bloomberg'!K762="","",'Port Bloomberg'!K762)</f>
        <v/>
      </c>
      <c r="L762" s="7" t="str">
        <f>IF('Port Bloomberg'!L762="","",'Port Bloomberg'!L762)</f>
        <v/>
      </c>
      <c r="M762" s="7" t="str">
        <f>IF('Port Bloomberg'!M762="","",'Port Bloomberg'!M762)</f>
        <v/>
      </c>
      <c r="N762" s="7" t="str">
        <f>IF('Port Bloomberg'!N762="","",'Port Bloomberg'!N762)</f>
        <v/>
      </c>
      <c r="O762" s="7" t="str">
        <f>IF('Port Bloomberg'!O762="","",'Port Bloomberg'!O762)</f>
        <v/>
      </c>
      <c r="P762" s="7" t="str">
        <f>IF('Port Bloomberg'!P762="","",'Port Bloomberg'!P762)</f>
        <v/>
      </c>
      <c r="Q762" s="7" t="str">
        <f>IF('Port Bloomberg'!Q762="","",'Port Bloomberg'!Q762)</f>
        <v/>
      </c>
      <c r="R762" s="7" t="str">
        <f>IF('Port Bloomberg'!R762="","",'Port Bloomberg'!R762)</f>
        <v/>
      </c>
      <c r="S762" s="5" t="str">
        <f>IF(E762="","",IFERROR(IF(MATCH(E762,[1]Instrumentos!$D:$D,0)&gt;0,1,0),0))</f>
        <v/>
      </c>
      <c r="T762" s="5" t="str">
        <f>IF(E762="","",IFERROR(IF(MATCH(E762,'Lista de excepciones'!$E:$E,0)&gt;0,1,0),0))</f>
        <v/>
      </c>
      <c r="U762" s="6" t="str">
        <f t="shared" si="12"/>
        <v/>
      </c>
    </row>
    <row r="763" spans="1:21" hidden="1" x14ac:dyDescent="0.25">
      <c r="A763" s="7" t="str">
        <f>IF('Port Bloomberg'!A763="","",'Port Bloomberg'!A763)</f>
        <v/>
      </c>
      <c r="B763" s="7" t="str">
        <f>IF('Port Bloomberg'!B763="","",'Port Bloomberg'!B763)</f>
        <v/>
      </c>
      <c r="C763" s="7" t="str">
        <f>IF('Port Bloomberg'!C763="","",'Port Bloomberg'!C763)</f>
        <v/>
      </c>
      <c r="D763" s="7" t="str">
        <f>IF('Port Bloomberg'!D763="","",'Port Bloomberg'!D763)</f>
        <v/>
      </c>
      <c r="E763" s="7" t="str">
        <f>IF('Port Bloomberg'!E763="","",'Port Bloomberg'!E763)</f>
        <v/>
      </c>
      <c r="F763" s="7" t="str">
        <f>IF('Port Bloomberg'!F763="","",'Port Bloomberg'!F763)</f>
        <v/>
      </c>
      <c r="G763" s="7" t="str">
        <f>IF('Port Bloomberg'!G763="","",'Port Bloomberg'!G763)</f>
        <v/>
      </c>
      <c r="H763" s="7" t="str">
        <f>IF('Port Bloomberg'!H763="","",'Port Bloomberg'!H763)</f>
        <v/>
      </c>
      <c r="I763" s="7" t="str">
        <f>IF('Port Bloomberg'!I763="","",'Port Bloomberg'!I763)</f>
        <v/>
      </c>
      <c r="J763" s="7" t="str">
        <f>IF('Port Bloomberg'!J763="","",'Port Bloomberg'!J763)</f>
        <v/>
      </c>
      <c r="K763" s="7" t="str">
        <f>IF('Port Bloomberg'!K763="","",'Port Bloomberg'!K763)</f>
        <v/>
      </c>
      <c r="L763" s="7" t="str">
        <f>IF('Port Bloomberg'!L763="","",'Port Bloomberg'!L763)</f>
        <v/>
      </c>
      <c r="M763" s="7" t="str">
        <f>IF('Port Bloomberg'!M763="","",'Port Bloomberg'!M763)</f>
        <v/>
      </c>
      <c r="N763" s="7" t="str">
        <f>IF('Port Bloomberg'!N763="","",'Port Bloomberg'!N763)</f>
        <v/>
      </c>
      <c r="O763" s="7" t="str">
        <f>IF('Port Bloomberg'!O763="","",'Port Bloomberg'!O763)</f>
        <v/>
      </c>
      <c r="P763" s="7" t="str">
        <f>IF('Port Bloomberg'!P763="","",'Port Bloomberg'!P763)</f>
        <v/>
      </c>
      <c r="Q763" s="7" t="str">
        <f>IF('Port Bloomberg'!Q763="","",'Port Bloomberg'!Q763)</f>
        <v/>
      </c>
      <c r="R763" s="7" t="str">
        <f>IF('Port Bloomberg'!R763="","",'Port Bloomberg'!R763)</f>
        <v/>
      </c>
      <c r="S763" s="5" t="str">
        <f>IF(E763="","",IFERROR(IF(MATCH(E763,[1]Instrumentos!$D:$D,0)&gt;0,1,0),0))</f>
        <v/>
      </c>
      <c r="T763" s="5" t="str">
        <f>IF(E763="","",IFERROR(IF(MATCH(E763,'Lista de excepciones'!$E:$E,0)&gt;0,1,0),0))</f>
        <v/>
      </c>
      <c r="U763" s="6" t="str">
        <f t="shared" si="12"/>
        <v/>
      </c>
    </row>
    <row r="764" spans="1:21" hidden="1" x14ac:dyDescent="0.25">
      <c r="A764" s="7" t="str">
        <f>IF('Port Bloomberg'!A764="","",'Port Bloomberg'!A764)</f>
        <v/>
      </c>
      <c r="B764" s="7" t="str">
        <f>IF('Port Bloomberg'!B764="","",'Port Bloomberg'!B764)</f>
        <v/>
      </c>
      <c r="C764" s="7" t="str">
        <f>IF('Port Bloomberg'!C764="","",'Port Bloomberg'!C764)</f>
        <v/>
      </c>
      <c r="D764" s="7" t="str">
        <f>IF('Port Bloomberg'!D764="","",'Port Bloomberg'!D764)</f>
        <v/>
      </c>
      <c r="E764" s="7" t="str">
        <f>IF('Port Bloomberg'!E764="","",'Port Bloomberg'!E764)</f>
        <v/>
      </c>
      <c r="F764" s="7" t="str">
        <f>IF('Port Bloomberg'!F764="","",'Port Bloomberg'!F764)</f>
        <v/>
      </c>
      <c r="G764" s="7" t="str">
        <f>IF('Port Bloomberg'!G764="","",'Port Bloomberg'!G764)</f>
        <v/>
      </c>
      <c r="H764" s="7" t="str">
        <f>IF('Port Bloomberg'!H764="","",'Port Bloomberg'!H764)</f>
        <v/>
      </c>
      <c r="I764" s="7" t="str">
        <f>IF('Port Bloomberg'!I764="","",'Port Bloomberg'!I764)</f>
        <v/>
      </c>
      <c r="J764" s="7" t="str">
        <f>IF('Port Bloomberg'!J764="","",'Port Bloomberg'!J764)</f>
        <v/>
      </c>
      <c r="K764" s="7" t="str">
        <f>IF('Port Bloomberg'!K764="","",'Port Bloomberg'!K764)</f>
        <v/>
      </c>
      <c r="L764" s="7" t="str">
        <f>IF('Port Bloomberg'!L764="","",'Port Bloomberg'!L764)</f>
        <v/>
      </c>
      <c r="M764" s="7" t="str">
        <f>IF('Port Bloomberg'!M764="","",'Port Bloomberg'!M764)</f>
        <v/>
      </c>
      <c r="N764" s="7" t="str">
        <f>IF('Port Bloomberg'!N764="","",'Port Bloomberg'!N764)</f>
        <v/>
      </c>
      <c r="O764" s="7" t="str">
        <f>IF('Port Bloomberg'!O764="","",'Port Bloomberg'!O764)</f>
        <v/>
      </c>
      <c r="P764" s="7" t="str">
        <f>IF('Port Bloomberg'!P764="","",'Port Bloomberg'!P764)</f>
        <v/>
      </c>
      <c r="Q764" s="7" t="str">
        <f>IF('Port Bloomberg'!Q764="","",'Port Bloomberg'!Q764)</f>
        <v/>
      </c>
      <c r="R764" s="7" t="str">
        <f>IF('Port Bloomberg'!R764="","",'Port Bloomberg'!R764)</f>
        <v/>
      </c>
      <c r="S764" s="5" t="str">
        <f>IF(E764="","",IFERROR(IF(MATCH(E764,[1]Instrumentos!$D:$D,0)&gt;0,1,0),0))</f>
        <v/>
      </c>
      <c r="T764" s="5" t="str">
        <f>IF(E764="","",IFERROR(IF(MATCH(E764,'Lista de excepciones'!$E:$E,0)&gt;0,1,0),0))</f>
        <v/>
      </c>
      <c r="U764" s="6" t="str">
        <f t="shared" si="12"/>
        <v/>
      </c>
    </row>
    <row r="765" spans="1:21" hidden="1" x14ac:dyDescent="0.25">
      <c r="A765" s="7" t="str">
        <f>IF('Port Bloomberg'!A765="","",'Port Bloomberg'!A765)</f>
        <v/>
      </c>
      <c r="B765" s="7" t="str">
        <f>IF('Port Bloomberg'!B765="","",'Port Bloomberg'!B765)</f>
        <v/>
      </c>
      <c r="C765" s="7" t="str">
        <f>IF('Port Bloomberg'!C765="","",'Port Bloomberg'!C765)</f>
        <v/>
      </c>
      <c r="D765" s="7" t="str">
        <f>IF('Port Bloomberg'!D765="","",'Port Bloomberg'!D765)</f>
        <v/>
      </c>
      <c r="E765" s="7" t="str">
        <f>IF('Port Bloomberg'!E765="","",'Port Bloomberg'!E765)</f>
        <v/>
      </c>
      <c r="F765" s="7" t="str">
        <f>IF('Port Bloomberg'!F765="","",'Port Bloomberg'!F765)</f>
        <v/>
      </c>
      <c r="G765" s="7" t="str">
        <f>IF('Port Bloomberg'!G765="","",'Port Bloomberg'!G765)</f>
        <v/>
      </c>
      <c r="H765" s="7" t="str">
        <f>IF('Port Bloomberg'!H765="","",'Port Bloomberg'!H765)</f>
        <v/>
      </c>
      <c r="I765" s="7" t="str">
        <f>IF('Port Bloomberg'!I765="","",'Port Bloomberg'!I765)</f>
        <v/>
      </c>
      <c r="J765" s="7" t="str">
        <f>IF('Port Bloomberg'!J765="","",'Port Bloomberg'!J765)</f>
        <v/>
      </c>
      <c r="K765" s="7" t="str">
        <f>IF('Port Bloomberg'!K765="","",'Port Bloomberg'!K765)</f>
        <v/>
      </c>
      <c r="L765" s="7" t="str">
        <f>IF('Port Bloomberg'!L765="","",'Port Bloomberg'!L765)</f>
        <v/>
      </c>
      <c r="M765" s="7" t="str">
        <f>IF('Port Bloomberg'!M765="","",'Port Bloomberg'!M765)</f>
        <v/>
      </c>
      <c r="N765" s="7" t="str">
        <f>IF('Port Bloomberg'!N765="","",'Port Bloomberg'!N765)</f>
        <v/>
      </c>
      <c r="O765" s="7" t="str">
        <f>IF('Port Bloomberg'!O765="","",'Port Bloomberg'!O765)</f>
        <v/>
      </c>
      <c r="P765" s="7" t="str">
        <f>IF('Port Bloomberg'!P765="","",'Port Bloomberg'!P765)</f>
        <v/>
      </c>
      <c r="Q765" s="7" t="str">
        <f>IF('Port Bloomberg'!Q765="","",'Port Bloomberg'!Q765)</f>
        <v/>
      </c>
      <c r="R765" s="7" t="str">
        <f>IF('Port Bloomberg'!R765="","",'Port Bloomberg'!R765)</f>
        <v/>
      </c>
      <c r="S765" s="5" t="str">
        <f>IF(E765="","",IFERROR(IF(MATCH(E765,[1]Instrumentos!$D:$D,0)&gt;0,1,0),0))</f>
        <v/>
      </c>
      <c r="T765" s="5" t="str">
        <f>IF(E765="","",IFERROR(IF(MATCH(E765,'Lista de excepciones'!$E:$E,0)&gt;0,1,0),0))</f>
        <v/>
      </c>
      <c r="U765" s="6" t="str">
        <f t="shared" si="12"/>
        <v/>
      </c>
    </row>
    <row r="766" spans="1:21" hidden="1" x14ac:dyDescent="0.25">
      <c r="A766" s="7" t="str">
        <f>IF('Port Bloomberg'!A766="","",'Port Bloomberg'!A766)</f>
        <v/>
      </c>
      <c r="B766" s="7" t="str">
        <f>IF('Port Bloomberg'!B766="","",'Port Bloomberg'!B766)</f>
        <v/>
      </c>
      <c r="C766" s="7" t="str">
        <f>IF('Port Bloomberg'!C766="","",'Port Bloomberg'!C766)</f>
        <v/>
      </c>
      <c r="D766" s="7" t="str">
        <f>IF('Port Bloomberg'!D766="","",'Port Bloomberg'!D766)</f>
        <v/>
      </c>
      <c r="E766" s="7" t="str">
        <f>IF('Port Bloomberg'!E766="","",'Port Bloomberg'!E766)</f>
        <v/>
      </c>
      <c r="F766" s="7" t="str">
        <f>IF('Port Bloomberg'!F766="","",'Port Bloomberg'!F766)</f>
        <v/>
      </c>
      <c r="G766" s="7" t="str">
        <f>IF('Port Bloomberg'!G766="","",'Port Bloomberg'!G766)</f>
        <v/>
      </c>
      <c r="H766" s="7" t="str">
        <f>IF('Port Bloomberg'!H766="","",'Port Bloomberg'!H766)</f>
        <v/>
      </c>
      <c r="I766" s="7" t="str">
        <f>IF('Port Bloomberg'!I766="","",'Port Bloomberg'!I766)</f>
        <v/>
      </c>
      <c r="J766" s="7" t="str">
        <f>IF('Port Bloomberg'!J766="","",'Port Bloomberg'!J766)</f>
        <v/>
      </c>
      <c r="K766" s="7" t="str">
        <f>IF('Port Bloomberg'!K766="","",'Port Bloomberg'!K766)</f>
        <v/>
      </c>
      <c r="L766" s="7" t="str">
        <f>IF('Port Bloomberg'!L766="","",'Port Bloomberg'!L766)</f>
        <v/>
      </c>
      <c r="M766" s="7" t="str">
        <f>IF('Port Bloomberg'!M766="","",'Port Bloomberg'!M766)</f>
        <v/>
      </c>
      <c r="N766" s="7" t="str">
        <f>IF('Port Bloomberg'!N766="","",'Port Bloomberg'!N766)</f>
        <v/>
      </c>
      <c r="O766" s="7" t="str">
        <f>IF('Port Bloomberg'!O766="","",'Port Bloomberg'!O766)</f>
        <v/>
      </c>
      <c r="P766" s="7" t="str">
        <f>IF('Port Bloomberg'!P766="","",'Port Bloomberg'!P766)</f>
        <v/>
      </c>
      <c r="Q766" s="7" t="str">
        <f>IF('Port Bloomberg'!Q766="","",'Port Bloomberg'!Q766)</f>
        <v/>
      </c>
      <c r="R766" s="7" t="str">
        <f>IF('Port Bloomberg'!R766="","",'Port Bloomberg'!R766)</f>
        <v/>
      </c>
      <c r="S766" s="5" t="str">
        <f>IF(E766="","",IFERROR(IF(MATCH(E766,[1]Instrumentos!$D:$D,0)&gt;0,1,0),0))</f>
        <v/>
      </c>
      <c r="T766" s="5" t="str">
        <f>IF(E766="","",IFERROR(IF(MATCH(E766,'Lista de excepciones'!$E:$E,0)&gt;0,1,0),0))</f>
        <v/>
      </c>
      <c r="U766" s="6" t="str">
        <f t="shared" si="12"/>
        <v/>
      </c>
    </row>
    <row r="767" spans="1:21" hidden="1" x14ac:dyDescent="0.25">
      <c r="A767" s="7" t="str">
        <f>IF('Port Bloomberg'!A767="","",'Port Bloomberg'!A767)</f>
        <v/>
      </c>
      <c r="B767" s="7" t="str">
        <f>IF('Port Bloomberg'!B767="","",'Port Bloomberg'!B767)</f>
        <v/>
      </c>
      <c r="C767" s="7" t="str">
        <f>IF('Port Bloomberg'!C767="","",'Port Bloomberg'!C767)</f>
        <v/>
      </c>
      <c r="D767" s="7" t="str">
        <f>IF('Port Bloomberg'!D767="","",'Port Bloomberg'!D767)</f>
        <v/>
      </c>
      <c r="E767" s="7" t="str">
        <f>IF('Port Bloomberg'!E767="","",'Port Bloomberg'!E767)</f>
        <v/>
      </c>
      <c r="F767" s="7" t="str">
        <f>IF('Port Bloomberg'!F767="","",'Port Bloomberg'!F767)</f>
        <v/>
      </c>
      <c r="G767" s="7" t="str">
        <f>IF('Port Bloomberg'!G767="","",'Port Bloomberg'!G767)</f>
        <v/>
      </c>
      <c r="H767" s="7" t="str">
        <f>IF('Port Bloomberg'!H767="","",'Port Bloomberg'!H767)</f>
        <v/>
      </c>
      <c r="I767" s="7" t="str">
        <f>IF('Port Bloomberg'!I767="","",'Port Bloomberg'!I767)</f>
        <v/>
      </c>
      <c r="J767" s="7" t="str">
        <f>IF('Port Bloomberg'!J767="","",'Port Bloomberg'!J767)</f>
        <v/>
      </c>
      <c r="K767" s="7" t="str">
        <f>IF('Port Bloomberg'!K767="","",'Port Bloomberg'!K767)</f>
        <v/>
      </c>
      <c r="L767" s="7" t="str">
        <f>IF('Port Bloomberg'!L767="","",'Port Bloomberg'!L767)</f>
        <v/>
      </c>
      <c r="M767" s="7" t="str">
        <f>IF('Port Bloomberg'!M767="","",'Port Bloomberg'!M767)</f>
        <v/>
      </c>
      <c r="N767" s="7" t="str">
        <f>IF('Port Bloomberg'!N767="","",'Port Bloomberg'!N767)</f>
        <v/>
      </c>
      <c r="O767" s="7" t="str">
        <f>IF('Port Bloomberg'!O767="","",'Port Bloomberg'!O767)</f>
        <v/>
      </c>
      <c r="P767" s="7" t="str">
        <f>IF('Port Bloomberg'!P767="","",'Port Bloomberg'!P767)</f>
        <v/>
      </c>
      <c r="Q767" s="7" t="str">
        <f>IF('Port Bloomberg'!Q767="","",'Port Bloomberg'!Q767)</f>
        <v/>
      </c>
      <c r="R767" s="7" t="str">
        <f>IF('Port Bloomberg'!R767="","",'Port Bloomberg'!R767)</f>
        <v/>
      </c>
      <c r="S767" s="5" t="str">
        <f>IF(E767="","",IFERROR(IF(MATCH(E767,[1]Instrumentos!$D:$D,0)&gt;0,1,0),0))</f>
        <v/>
      </c>
      <c r="T767" s="5" t="str">
        <f>IF(E767="","",IFERROR(IF(MATCH(E767,'Lista de excepciones'!$E:$E,0)&gt;0,1,0),0))</f>
        <v/>
      </c>
      <c r="U767" s="6" t="str">
        <f t="shared" si="12"/>
        <v/>
      </c>
    </row>
    <row r="768" spans="1:21" hidden="1" x14ac:dyDescent="0.25">
      <c r="A768" s="7" t="str">
        <f>IF('Port Bloomberg'!A768="","",'Port Bloomberg'!A768)</f>
        <v/>
      </c>
      <c r="B768" s="7" t="str">
        <f>IF('Port Bloomberg'!B768="","",'Port Bloomberg'!B768)</f>
        <v/>
      </c>
      <c r="C768" s="7" t="str">
        <f>IF('Port Bloomberg'!C768="","",'Port Bloomberg'!C768)</f>
        <v/>
      </c>
      <c r="D768" s="7" t="str">
        <f>IF('Port Bloomberg'!D768="","",'Port Bloomberg'!D768)</f>
        <v/>
      </c>
      <c r="E768" s="7" t="str">
        <f>IF('Port Bloomberg'!E768="","",'Port Bloomberg'!E768)</f>
        <v/>
      </c>
      <c r="F768" s="7" t="str">
        <f>IF('Port Bloomberg'!F768="","",'Port Bloomberg'!F768)</f>
        <v/>
      </c>
      <c r="G768" s="7" t="str">
        <f>IF('Port Bloomberg'!G768="","",'Port Bloomberg'!G768)</f>
        <v/>
      </c>
      <c r="H768" s="7" t="str">
        <f>IF('Port Bloomberg'!H768="","",'Port Bloomberg'!H768)</f>
        <v/>
      </c>
      <c r="I768" s="7" t="str">
        <f>IF('Port Bloomberg'!I768="","",'Port Bloomberg'!I768)</f>
        <v/>
      </c>
      <c r="J768" s="7" t="str">
        <f>IF('Port Bloomberg'!J768="","",'Port Bloomberg'!J768)</f>
        <v/>
      </c>
      <c r="K768" s="7" t="str">
        <f>IF('Port Bloomberg'!K768="","",'Port Bloomberg'!K768)</f>
        <v/>
      </c>
      <c r="L768" s="7" t="str">
        <f>IF('Port Bloomberg'!L768="","",'Port Bloomberg'!L768)</f>
        <v/>
      </c>
      <c r="M768" s="7" t="str">
        <f>IF('Port Bloomberg'!M768="","",'Port Bloomberg'!M768)</f>
        <v/>
      </c>
      <c r="N768" s="7" t="str">
        <f>IF('Port Bloomberg'!N768="","",'Port Bloomberg'!N768)</f>
        <v/>
      </c>
      <c r="O768" s="7" t="str">
        <f>IF('Port Bloomberg'!O768="","",'Port Bloomberg'!O768)</f>
        <v/>
      </c>
      <c r="P768" s="7" t="str">
        <f>IF('Port Bloomberg'!P768="","",'Port Bloomberg'!P768)</f>
        <v/>
      </c>
      <c r="Q768" s="7" t="str">
        <f>IF('Port Bloomberg'!Q768="","",'Port Bloomberg'!Q768)</f>
        <v/>
      </c>
      <c r="R768" s="7" t="str">
        <f>IF('Port Bloomberg'!R768="","",'Port Bloomberg'!R768)</f>
        <v/>
      </c>
      <c r="S768" s="5" t="str">
        <f>IF(E768="","",IFERROR(IF(MATCH(E768,[1]Instrumentos!$D:$D,0)&gt;0,1,0),0))</f>
        <v/>
      </c>
      <c r="T768" s="5" t="str">
        <f>IF(E768="","",IFERROR(IF(MATCH(E768,'Lista de excepciones'!$E:$E,0)&gt;0,1,0),0))</f>
        <v/>
      </c>
      <c r="U768" s="6" t="str">
        <f t="shared" si="12"/>
        <v/>
      </c>
    </row>
    <row r="769" spans="1:21" hidden="1" x14ac:dyDescent="0.25">
      <c r="A769" s="7" t="str">
        <f>IF('Port Bloomberg'!A769="","",'Port Bloomberg'!A769)</f>
        <v/>
      </c>
      <c r="B769" s="7" t="str">
        <f>IF('Port Bloomberg'!B769="","",'Port Bloomberg'!B769)</f>
        <v/>
      </c>
      <c r="C769" s="7" t="str">
        <f>IF('Port Bloomberg'!C769="","",'Port Bloomberg'!C769)</f>
        <v/>
      </c>
      <c r="D769" s="7" t="str">
        <f>IF('Port Bloomberg'!D769="","",'Port Bloomberg'!D769)</f>
        <v/>
      </c>
      <c r="E769" s="7" t="str">
        <f>IF('Port Bloomberg'!E769="","",'Port Bloomberg'!E769)</f>
        <v/>
      </c>
      <c r="F769" s="7" t="str">
        <f>IF('Port Bloomberg'!F769="","",'Port Bloomberg'!F769)</f>
        <v/>
      </c>
      <c r="G769" s="7" t="str">
        <f>IF('Port Bloomberg'!G769="","",'Port Bloomberg'!G769)</f>
        <v/>
      </c>
      <c r="H769" s="7" t="str">
        <f>IF('Port Bloomberg'!H769="","",'Port Bloomberg'!H769)</f>
        <v/>
      </c>
      <c r="I769" s="7" t="str">
        <f>IF('Port Bloomberg'!I769="","",'Port Bloomberg'!I769)</f>
        <v/>
      </c>
      <c r="J769" s="7" t="str">
        <f>IF('Port Bloomberg'!J769="","",'Port Bloomberg'!J769)</f>
        <v/>
      </c>
      <c r="K769" s="7" t="str">
        <f>IF('Port Bloomberg'!K769="","",'Port Bloomberg'!K769)</f>
        <v/>
      </c>
      <c r="L769" s="7" t="str">
        <f>IF('Port Bloomberg'!L769="","",'Port Bloomberg'!L769)</f>
        <v/>
      </c>
      <c r="M769" s="7" t="str">
        <f>IF('Port Bloomberg'!M769="","",'Port Bloomberg'!M769)</f>
        <v/>
      </c>
      <c r="N769" s="7" t="str">
        <f>IF('Port Bloomberg'!N769="","",'Port Bloomberg'!N769)</f>
        <v/>
      </c>
      <c r="O769" s="7" t="str">
        <f>IF('Port Bloomberg'!O769="","",'Port Bloomberg'!O769)</f>
        <v/>
      </c>
      <c r="P769" s="7" t="str">
        <f>IF('Port Bloomberg'!P769="","",'Port Bloomberg'!P769)</f>
        <v/>
      </c>
      <c r="Q769" s="7" t="str">
        <f>IF('Port Bloomberg'!Q769="","",'Port Bloomberg'!Q769)</f>
        <v/>
      </c>
      <c r="R769" s="7" t="str">
        <f>IF('Port Bloomberg'!R769="","",'Port Bloomberg'!R769)</f>
        <v/>
      </c>
      <c r="S769" s="5" t="str">
        <f>IF(E769="","",IFERROR(IF(MATCH(E769,[1]Instrumentos!$D:$D,0)&gt;0,1,0),0))</f>
        <v/>
      </c>
      <c r="T769" s="5" t="str">
        <f>IF(E769="","",IFERROR(IF(MATCH(E769,'Lista de excepciones'!$E:$E,0)&gt;0,1,0),0))</f>
        <v/>
      </c>
      <c r="U769" s="6" t="str">
        <f t="shared" si="12"/>
        <v/>
      </c>
    </row>
    <row r="770" spans="1:21" hidden="1" x14ac:dyDescent="0.25">
      <c r="A770" s="7" t="str">
        <f>IF('Port Bloomberg'!A770="","",'Port Bloomberg'!A770)</f>
        <v/>
      </c>
      <c r="B770" s="7" t="str">
        <f>IF('Port Bloomberg'!B770="","",'Port Bloomberg'!B770)</f>
        <v/>
      </c>
      <c r="C770" s="7" t="str">
        <f>IF('Port Bloomberg'!C770="","",'Port Bloomberg'!C770)</f>
        <v/>
      </c>
      <c r="D770" s="7" t="str">
        <f>IF('Port Bloomberg'!D770="","",'Port Bloomberg'!D770)</f>
        <v/>
      </c>
      <c r="E770" s="7" t="str">
        <f>IF('Port Bloomberg'!E770="","",'Port Bloomberg'!E770)</f>
        <v/>
      </c>
      <c r="F770" s="7" t="str">
        <f>IF('Port Bloomberg'!F770="","",'Port Bloomberg'!F770)</f>
        <v/>
      </c>
      <c r="G770" s="7" t="str">
        <f>IF('Port Bloomberg'!G770="","",'Port Bloomberg'!G770)</f>
        <v/>
      </c>
      <c r="H770" s="7" t="str">
        <f>IF('Port Bloomberg'!H770="","",'Port Bloomberg'!H770)</f>
        <v/>
      </c>
      <c r="I770" s="7" t="str">
        <f>IF('Port Bloomberg'!I770="","",'Port Bloomberg'!I770)</f>
        <v/>
      </c>
      <c r="J770" s="7" t="str">
        <f>IF('Port Bloomberg'!J770="","",'Port Bloomberg'!J770)</f>
        <v/>
      </c>
      <c r="K770" s="7" t="str">
        <f>IF('Port Bloomberg'!K770="","",'Port Bloomberg'!K770)</f>
        <v/>
      </c>
      <c r="L770" s="7" t="str">
        <f>IF('Port Bloomberg'!L770="","",'Port Bloomberg'!L770)</f>
        <v/>
      </c>
      <c r="M770" s="7" t="str">
        <f>IF('Port Bloomberg'!M770="","",'Port Bloomberg'!M770)</f>
        <v/>
      </c>
      <c r="N770" s="7" t="str">
        <f>IF('Port Bloomberg'!N770="","",'Port Bloomberg'!N770)</f>
        <v/>
      </c>
      <c r="O770" s="7" t="str">
        <f>IF('Port Bloomberg'!O770="","",'Port Bloomberg'!O770)</f>
        <v/>
      </c>
      <c r="P770" s="7" t="str">
        <f>IF('Port Bloomberg'!P770="","",'Port Bloomberg'!P770)</f>
        <v/>
      </c>
      <c r="Q770" s="7" t="str">
        <f>IF('Port Bloomberg'!Q770="","",'Port Bloomberg'!Q770)</f>
        <v/>
      </c>
      <c r="R770" s="7" t="str">
        <f>IF('Port Bloomberg'!R770="","",'Port Bloomberg'!R770)</f>
        <v/>
      </c>
      <c r="S770" s="5" t="str">
        <f>IF(E770="","",IFERROR(IF(MATCH(E770,[1]Instrumentos!$D:$D,0)&gt;0,1,0),0))</f>
        <v/>
      </c>
      <c r="T770" s="5" t="str">
        <f>IF(E770="","",IFERROR(IF(MATCH(E770,'Lista de excepciones'!$E:$E,0)&gt;0,1,0),0))</f>
        <v/>
      </c>
      <c r="U770" s="6" t="str">
        <f t="shared" si="12"/>
        <v/>
      </c>
    </row>
    <row r="771" spans="1:21" hidden="1" x14ac:dyDescent="0.25">
      <c r="A771" s="7" t="str">
        <f>IF('Port Bloomberg'!A771="","",'Port Bloomberg'!A771)</f>
        <v/>
      </c>
      <c r="B771" s="7" t="str">
        <f>IF('Port Bloomberg'!B771="","",'Port Bloomberg'!B771)</f>
        <v/>
      </c>
      <c r="C771" s="7" t="str">
        <f>IF('Port Bloomberg'!C771="","",'Port Bloomberg'!C771)</f>
        <v/>
      </c>
      <c r="D771" s="7" t="str">
        <f>IF('Port Bloomberg'!D771="","",'Port Bloomberg'!D771)</f>
        <v/>
      </c>
      <c r="E771" s="7" t="str">
        <f>IF('Port Bloomberg'!E771="","",'Port Bloomberg'!E771)</f>
        <v/>
      </c>
      <c r="F771" s="7" t="str">
        <f>IF('Port Bloomberg'!F771="","",'Port Bloomberg'!F771)</f>
        <v/>
      </c>
      <c r="G771" s="7" t="str">
        <f>IF('Port Bloomberg'!G771="","",'Port Bloomberg'!G771)</f>
        <v/>
      </c>
      <c r="H771" s="7" t="str">
        <f>IF('Port Bloomberg'!H771="","",'Port Bloomberg'!H771)</f>
        <v/>
      </c>
      <c r="I771" s="7" t="str">
        <f>IF('Port Bloomberg'!I771="","",'Port Bloomberg'!I771)</f>
        <v/>
      </c>
      <c r="J771" s="7" t="str">
        <f>IF('Port Bloomberg'!J771="","",'Port Bloomberg'!J771)</f>
        <v/>
      </c>
      <c r="K771" s="7" t="str">
        <f>IF('Port Bloomberg'!K771="","",'Port Bloomberg'!K771)</f>
        <v/>
      </c>
      <c r="L771" s="7" t="str">
        <f>IF('Port Bloomberg'!L771="","",'Port Bloomberg'!L771)</f>
        <v/>
      </c>
      <c r="M771" s="7" t="str">
        <f>IF('Port Bloomberg'!M771="","",'Port Bloomberg'!M771)</f>
        <v/>
      </c>
      <c r="N771" s="7" t="str">
        <f>IF('Port Bloomberg'!N771="","",'Port Bloomberg'!N771)</f>
        <v/>
      </c>
      <c r="O771" s="7" t="str">
        <f>IF('Port Bloomberg'!O771="","",'Port Bloomberg'!O771)</f>
        <v/>
      </c>
      <c r="P771" s="7" t="str">
        <f>IF('Port Bloomberg'!P771="","",'Port Bloomberg'!P771)</f>
        <v/>
      </c>
      <c r="Q771" s="7" t="str">
        <f>IF('Port Bloomberg'!Q771="","",'Port Bloomberg'!Q771)</f>
        <v/>
      </c>
      <c r="R771" s="7" t="str">
        <f>IF('Port Bloomberg'!R771="","",'Port Bloomberg'!R771)</f>
        <v/>
      </c>
      <c r="S771" s="5" t="str">
        <f>IF(E771="","",IFERROR(IF(MATCH(E771,[1]Instrumentos!$D:$D,0)&gt;0,1,0),0))</f>
        <v/>
      </c>
      <c r="T771" s="5" t="str">
        <f>IF(E771="","",IFERROR(IF(MATCH(E771,'Lista de excepciones'!$E:$E,0)&gt;0,1,0),0))</f>
        <v/>
      </c>
      <c r="U771" s="6" t="str">
        <f t="shared" ref="U771:U834" si="13">IF(E771="","",IF(S771+T771=0,"AGREGAR/REVISAR","NO"))</f>
        <v/>
      </c>
    </row>
    <row r="772" spans="1:21" hidden="1" x14ac:dyDescent="0.25">
      <c r="A772" s="7" t="str">
        <f>IF('Port Bloomberg'!A772="","",'Port Bloomberg'!A772)</f>
        <v/>
      </c>
      <c r="B772" s="7" t="str">
        <f>IF('Port Bloomberg'!B772="","",'Port Bloomberg'!B772)</f>
        <v/>
      </c>
      <c r="C772" s="7" t="str">
        <f>IF('Port Bloomberg'!C772="","",'Port Bloomberg'!C772)</f>
        <v/>
      </c>
      <c r="D772" s="7" t="str">
        <f>IF('Port Bloomberg'!D772="","",'Port Bloomberg'!D772)</f>
        <v/>
      </c>
      <c r="E772" s="7" t="str">
        <f>IF('Port Bloomberg'!E772="","",'Port Bloomberg'!E772)</f>
        <v/>
      </c>
      <c r="F772" s="7" t="str">
        <f>IF('Port Bloomberg'!F772="","",'Port Bloomberg'!F772)</f>
        <v/>
      </c>
      <c r="G772" s="7" t="str">
        <f>IF('Port Bloomberg'!G772="","",'Port Bloomberg'!G772)</f>
        <v/>
      </c>
      <c r="H772" s="7" t="str">
        <f>IF('Port Bloomberg'!H772="","",'Port Bloomberg'!H772)</f>
        <v/>
      </c>
      <c r="I772" s="7" t="str">
        <f>IF('Port Bloomberg'!I772="","",'Port Bloomberg'!I772)</f>
        <v/>
      </c>
      <c r="J772" s="7" t="str">
        <f>IF('Port Bloomberg'!J772="","",'Port Bloomberg'!J772)</f>
        <v/>
      </c>
      <c r="K772" s="7" t="str">
        <f>IF('Port Bloomberg'!K772="","",'Port Bloomberg'!K772)</f>
        <v/>
      </c>
      <c r="L772" s="7" t="str">
        <f>IF('Port Bloomberg'!L772="","",'Port Bloomberg'!L772)</f>
        <v/>
      </c>
      <c r="M772" s="7" t="str">
        <f>IF('Port Bloomberg'!M772="","",'Port Bloomberg'!M772)</f>
        <v/>
      </c>
      <c r="N772" s="7" t="str">
        <f>IF('Port Bloomberg'!N772="","",'Port Bloomberg'!N772)</f>
        <v/>
      </c>
      <c r="O772" s="7" t="str">
        <f>IF('Port Bloomberg'!O772="","",'Port Bloomberg'!O772)</f>
        <v/>
      </c>
      <c r="P772" s="7" t="str">
        <f>IF('Port Bloomberg'!P772="","",'Port Bloomberg'!P772)</f>
        <v/>
      </c>
      <c r="Q772" s="7" t="str">
        <f>IF('Port Bloomberg'!Q772="","",'Port Bloomberg'!Q772)</f>
        <v/>
      </c>
      <c r="R772" s="7" t="str">
        <f>IF('Port Bloomberg'!R772="","",'Port Bloomberg'!R772)</f>
        <v/>
      </c>
      <c r="S772" s="5" t="str">
        <f>IF(E772="","",IFERROR(IF(MATCH(E772,[1]Instrumentos!$D:$D,0)&gt;0,1,0),0))</f>
        <v/>
      </c>
      <c r="T772" s="5" t="str">
        <f>IF(E772="","",IFERROR(IF(MATCH(E772,'Lista de excepciones'!$E:$E,0)&gt;0,1,0),0))</f>
        <v/>
      </c>
      <c r="U772" s="6" t="str">
        <f t="shared" si="13"/>
        <v/>
      </c>
    </row>
    <row r="773" spans="1:21" hidden="1" x14ac:dyDescent="0.25">
      <c r="A773" s="7" t="str">
        <f>IF('Port Bloomberg'!A773="","",'Port Bloomberg'!A773)</f>
        <v/>
      </c>
      <c r="B773" s="7" t="str">
        <f>IF('Port Bloomberg'!B773="","",'Port Bloomberg'!B773)</f>
        <v/>
      </c>
      <c r="C773" s="7" t="str">
        <f>IF('Port Bloomberg'!C773="","",'Port Bloomberg'!C773)</f>
        <v/>
      </c>
      <c r="D773" s="7" t="str">
        <f>IF('Port Bloomberg'!D773="","",'Port Bloomberg'!D773)</f>
        <v/>
      </c>
      <c r="E773" s="7" t="str">
        <f>IF('Port Bloomberg'!E773="","",'Port Bloomberg'!E773)</f>
        <v/>
      </c>
      <c r="F773" s="7" t="str">
        <f>IF('Port Bloomberg'!F773="","",'Port Bloomberg'!F773)</f>
        <v/>
      </c>
      <c r="G773" s="7" t="str">
        <f>IF('Port Bloomberg'!G773="","",'Port Bloomberg'!G773)</f>
        <v/>
      </c>
      <c r="H773" s="7" t="str">
        <f>IF('Port Bloomberg'!H773="","",'Port Bloomberg'!H773)</f>
        <v/>
      </c>
      <c r="I773" s="7" t="str">
        <f>IF('Port Bloomberg'!I773="","",'Port Bloomberg'!I773)</f>
        <v/>
      </c>
      <c r="J773" s="7" t="str">
        <f>IF('Port Bloomberg'!J773="","",'Port Bloomberg'!J773)</f>
        <v/>
      </c>
      <c r="K773" s="7" t="str">
        <f>IF('Port Bloomberg'!K773="","",'Port Bloomberg'!K773)</f>
        <v/>
      </c>
      <c r="L773" s="7" t="str">
        <f>IF('Port Bloomberg'!L773="","",'Port Bloomberg'!L773)</f>
        <v/>
      </c>
      <c r="M773" s="7" t="str">
        <f>IF('Port Bloomberg'!M773="","",'Port Bloomberg'!M773)</f>
        <v/>
      </c>
      <c r="N773" s="7" t="str">
        <f>IF('Port Bloomberg'!N773="","",'Port Bloomberg'!N773)</f>
        <v/>
      </c>
      <c r="O773" s="7" t="str">
        <f>IF('Port Bloomberg'!O773="","",'Port Bloomberg'!O773)</f>
        <v/>
      </c>
      <c r="P773" s="7" t="str">
        <f>IF('Port Bloomberg'!P773="","",'Port Bloomberg'!P773)</f>
        <v/>
      </c>
      <c r="Q773" s="7" t="str">
        <f>IF('Port Bloomberg'!Q773="","",'Port Bloomberg'!Q773)</f>
        <v/>
      </c>
      <c r="R773" s="7" t="str">
        <f>IF('Port Bloomberg'!R773="","",'Port Bloomberg'!R773)</f>
        <v/>
      </c>
      <c r="S773" s="5" t="str">
        <f>IF(E773="","",IFERROR(IF(MATCH(E773,[1]Instrumentos!$D:$D,0)&gt;0,1,0),0))</f>
        <v/>
      </c>
      <c r="T773" s="5" t="str">
        <f>IF(E773="","",IFERROR(IF(MATCH(E773,'Lista de excepciones'!$E:$E,0)&gt;0,1,0),0))</f>
        <v/>
      </c>
      <c r="U773" s="6" t="str">
        <f t="shared" si="13"/>
        <v/>
      </c>
    </row>
    <row r="774" spans="1:21" hidden="1" x14ac:dyDescent="0.25">
      <c r="A774" s="7" t="str">
        <f>IF('Port Bloomberg'!A774="","",'Port Bloomberg'!A774)</f>
        <v/>
      </c>
      <c r="B774" s="7" t="str">
        <f>IF('Port Bloomberg'!B774="","",'Port Bloomberg'!B774)</f>
        <v/>
      </c>
      <c r="C774" s="7" t="str">
        <f>IF('Port Bloomberg'!C774="","",'Port Bloomberg'!C774)</f>
        <v/>
      </c>
      <c r="D774" s="7" t="str">
        <f>IF('Port Bloomberg'!D774="","",'Port Bloomberg'!D774)</f>
        <v/>
      </c>
      <c r="E774" s="7" t="str">
        <f>IF('Port Bloomberg'!E774="","",'Port Bloomberg'!E774)</f>
        <v/>
      </c>
      <c r="F774" s="7" t="str">
        <f>IF('Port Bloomberg'!F774="","",'Port Bloomberg'!F774)</f>
        <v/>
      </c>
      <c r="G774" s="7" t="str">
        <f>IF('Port Bloomberg'!G774="","",'Port Bloomberg'!G774)</f>
        <v/>
      </c>
      <c r="H774" s="7" t="str">
        <f>IF('Port Bloomberg'!H774="","",'Port Bloomberg'!H774)</f>
        <v/>
      </c>
      <c r="I774" s="7" t="str">
        <f>IF('Port Bloomberg'!I774="","",'Port Bloomberg'!I774)</f>
        <v/>
      </c>
      <c r="J774" s="7" t="str">
        <f>IF('Port Bloomberg'!J774="","",'Port Bloomberg'!J774)</f>
        <v/>
      </c>
      <c r="K774" s="7" t="str">
        <f>IF('Port Bloomberg'!K774="","",'Port Bloomberg'!K774)</f>
        <v/>
      </c>
      <c r="L774" s="7" t="str">
        <f>IF('Port Bloomberg'!L774="","",'Port Bloomberg'!L774)</f>
        <v/>
      </c>
      <c r="M774" s="7" t="str">
        <f>IF('Port Bloomberg'!M774="","",'Port Bloomberg'!M774)</f>
        <v/>
      </c>
      <c r="N774" s="7" t="str">
        <f>IF('Port Bloomberg'!N774="","",'Port Bloomberg'!N774)</f>
        <v/>
      </c>
      <c r="O774" s="7" t="str">
        <f>IF('Port Bloomberg'!O774="","",'Port Bloomberg'!O774)</f>
        <v/>
      </c>
      <c r="P774" s="7" t="str">
        <f>IF('Port Bloomberg'!P774="","",'Port Bloomberg'!P774)</f>
        <v/>
      </c>
      <c r="Q774" s="7" t="str">
        <f>IF('Port Bloomberg'!Q774="","",'Port Bloomberg'!Q774)</f>
        <v/>
      </c>
      <c r="R774" s="7" t="str">
        <f>IF('Port Bloomberg'!R774="","",'Port Bloomberg'!R774)</f>
        <v/>
      </c>
      <c r="S774" s="5" t="str">
        <f>IF(E774="","",IFERROR(IF(MATCH(E774,[1]Instrumentos!$D:$D,0)&gt;0,1,0),0))</f>
        <v/>
      </c>
      <c r="T774" s="5" t="str">
        <f>IF(E774="","",IFERROR(IF(MATCH(E774,'Lista de excepciones'!$E:$E,0)&gt;0,1,0),0))</f>
        <v/>
      </c>
      <c r="U774" s="6" t="str">
        <f t="shared" si="13"/>
        <v/>
      </c>
    </row>
    <row r="775" spans="1:21" hidden="1" x14ac:dyDescent="0.25">
      <c r="A775" s="7" t="str">
        <f>IF('Port Bloomberg'!A775="","",'Port Bloomberg'!A775)</f>
        <v/>
      </c>
      <c r="B775" s="7" t="str">
        <f>IF('Port Bloomberg'!B775="","",'Port Bloomberg'!B775)</f>
        <v/>
      </c>
      <c r="C775" s="7" t="str">
        <f>IF('Port Bloomberg'!C775="","",'Port Bloomberg'!C775)</f>
        <v/>
      </c>
      <c r="D775" s="7" t="str">
        <f>IF('Port Bloomberg'!D775="","",'Port Bloomberg'!D775)</f>
        <v/>
      </c>
      <c r="E775" s="7" t="str">
        <f>IF('Port Bloomberg'!E775="","",'Port Bloomberg'!E775)</f>
        <v/>
      </c>
      <c r="F775" s="7" t="str">
        <f>IF('Port Bloomberg'!F775="","",'Port Bloomberg'!F775)</f>
        <v/>
      </c>
      <c r="G775" s="7" t="str">
        <f>IF('Port Bloomberg'!G775="","",'Port Bloomberg'!G775)</f>
        <v/>
      </c>
      <c r="H775" s="7" t="str">
        <f>IF('Port Bloomberg'!H775="","",'Port Bloomberg'!H775)</f>
        <v/>
      </c>
      <c r="I775" s="7" t="str">
        <f>IF('Port Bloomberg'!I775="","",'Port Bloomberg'!I775)</f>
        <v/>
      </c>
      <c r="J775" s="7" t="str">
        <f>IF('Port Bloomberg'!J775="","",'Port Bloomberg'!J775)</f>
        <v/>
      </c>
      <c r="K775" s="7" t="str">
        <f>IF('Port Bloomberg'!K775="","",'Port Bloomberg'!K775)</f>
        <v/>
      </c>
      <c r="L775" s="7" t="str">
        <f>IF('Port Bloomberg'!L775="","",'Port Bloomberg'!L775)</f>
        <v/>
      </c>
      <c r="M775" s="7" t="str">
        <f>IF('Port Bloomberg'!M775="","",'Port Bloomberg'!M775)</f>
        <v/>
      </c>
      <c r="N775" s="7" t="str">
        <f>IF('Port Bloomberg'!N775="","",'Port Bloomberg'!N775)</f>
        <v/>
      </c>
      <c r="O775" s="7" t="str">
        <f>IF('Port Bloomberg'!O775="","",'Port Bloomberg'!O775)</f>
        <v/>
      </c>
      <c r="P775" s="7" t="str">
        <f>IF('Port Bloomberg'!P775="","",'Port Bloomberg'!P775)</f>
        <v/>
      </c>
      <c r="Q775" s="7" t="str">
        <f>IF('Port Bloomberg'!Q775="","",'Port Bloomberg'!Q775)</f>
        <v/>
      </c>
      <c r="R775" s="7" t="str">
        <f>IF('Port Bloomberg'!R775="","",'Port Bloomberg'!R775)</f>
        <v/>
      </c>
      <c r="S775" s="5" t="str">
        <f>IF(E775="","",IFERROR(IF(MATCH(E775,[1]Instrumentos!$D:$D,0)&gt;0,1,0),0))</f>
        <v/>
      </c>
      <c r="T775" s="5" t="str">
        <f>IF(E775="","",IFERROR(IF(MATCH(E775,'Lista de excepciones'!$E:$E,0)&gt;0,1,0),0))</f>
        <v/>
      </c>
      <c r="U775" s="6" t="str">
        <f t="shared" si="13"/>
        <v/>
      </c>
    </row>
    <row r="776" spans="1:21" hidden="1" x14ac:dyDescent="0.25">
      <c r="A776" s="7" t="str">
        <f>IF('Port Bloomberg'!A776="","",'Port Bloomberg'!A776)</f>
        <v/>
      </c>
      <c r="B776" s="7" t="str">
        <f>IF('Port Bloomberg'!B776="","",'Port Bloomberg'!B776)</f>
        <v/>
      </c>
      <c r="C776" s="7" t="str">
        <f>IF('Port Bloomberg'!C776="","",'Port Bloomberg'!C776)</f>
        <v/>
      </c>
      <c r="D776" s="7" t="str">
        <f>IF('Port Bloomberg'!D776="","",'Port Bloomberg'!D776)</f>
        <v/>
      </c>
      <c r="E776" s="7" t="str">
        <f>IF('Port Bloomberg'!E776="","",'Port Bloomberg'!E776)</f>
        <v/>
      </c>
      <c r="F776" s="7" t="str">
        <f>IF('Port Bloomberg'!F776="","",'Port Bloomberg'!F776)</f>
        <v/>
      </c>
      <c r="G776" s="7" t="str">
        <f>IF('Port Bloomberg'!G776="","",'Port Bloomberg'!G776)</f>
        <v/>
      </c>
      <c r="H776" s="7" t="str">
        <f>IF('Port Bloomberg'!H776="","",'Port Bloomberg'!H776)</f>
        <v/>
      </c>
      <c r="I776" s="7" t="str">
        <f>IF('Port Bloomberg'!I776="","",'Port Bloomberg'!I776)</f>
        <v/>
      </c>
      <c r="J776" s="7" t="str">
        <f>IF('Port Bloomberg'!J776="","",'Port Bloomberg'!J776)</f>
        <v/>
      </c>
      <c r="K776" s="7" t="str">
        <f>IF('Port Bloomberg'!K776="","",'Port Bloomberg'!K776)</f>
        <v/>
      </c>
      <c r="L776" s="7" t="str">
        <f>IF('Port Bloomberg'!L776="","",'Port Bloomberg'!L776)</f>
        <v/>
      </c>
      <c r="M776" s="7" t="str">
        <f>IF('Port Bloomberg'!M776="","",'Port Bloomberg'!M776)</f>
        <v/>
      </c>
      <c r="N776" s="7" t="str">
        <f>IF('Port Bloomberg'!N776="","",'Port Bloomberg'!N776)</f>
        <v/>
      </c>
      <c r="O776" s="7" t="str">
        <f>IF('Port Bloomberg'!O776="","",'Port Bloomberg'!O776)</f>
        <v/>
      </c>
      <c r="P776" s="7" t="str">
        <f>IF('Port Bloomberg'!P776="","",'Port Bloomberg'!P776)</f>
        <v/>
      </c>
      <c r="Q776" s="7" t="str">
        <f>IF('Port Bloomberg'!Q776="","",'Port Bloomberg'!Q776)</f>
        <v/>
      </c>
      <c r="R776" s="7" t="str">
        <f>IF('Port Bloomberg'!R776="","",'Port Bloomberg'!R776)</f>
        <v/>
      </c>
      <c r="S776" s="5" t="str">
        <f>IF(E776="","",IFERROR(IF(MATCH(E776,[1]Instrumentos!$D:$D,0)&gt;0,1,0),0))</f>
        <v/>
      </c>
      <c r="T776" s="5" t="str">
        <f>IF(E776="","",IFERROR(IF(MATCH(E776,'Lista de excepciones'!$E:$E,0)&gt;0,1,0),0))</f>
        <v/>
      </c>
      <c r="U776" s="6" t="str">
        <f t="shared" si="13"/>
        <v/>
      </c>
    </row>
    <row r="777" spans="1:21" hidden="1" x14ac:dyDescent="0.25">
      <c r="A777" s="7" t="str">
        <f>IF('Port Bloomberg'!A777="","",'Port Bloomberg'!A777)</f>
        <v/>
      </c>
      <c r="B777" s="7" t="str">
        <f>IF('Port Bloomberg'!B777="","",'Port Bloomberg'!B777)</f>
        <v/>
      </c>
      <c r="C777" s="7" t="str">
        <f>IF('Port Bloomberg'!C777="","",'Port Bloomberg'!C777)</f>
        <v/>
      </c>
      <c r="D777" s="7" t="str">
        <f>IF('Port Bloomberg'!D777="","",'Port Bloomberg'!D777)</f>
        <v/>
      </c>
      <c r="E777" s="7" t="str">
        <f>IF('Port Bloomberg'!E777="","",'Port Bloomberg'!E777)</f>
        <v/>
      </c>
      <c r="F777" s="7" t="str">
        <f>IF('Port Bloomberg'!F777="","",'Port Bloomberg'!F777)</f>
        <v/>
      </c>
      <c r="G777" s="7" t="str">
        <f>IF('Port Bloomberg'!G777="","",'Port Bloomberg'!G777)</f>
        <v/>
      </c>
      <c r="H777" s="7" t="str">
        <f>IF('Port Bloomberg'!H777="","",'Port Bloomberg'!H777)</f>
        <v/>
      </c>
      <c r="I777" s="7" t="str">
        <f>IF('Port Bloomberg'!I777="","",'Port Bloomberg'!I777)</f>
        <v/>
      </c>
      <c r="J777" s="7" t="str">
        <f>IF('Port Bloomberg'!J777="","",'Port Bloomberg'!J777)</f>
        <v/>
      </c>
      <c r="K777" s="7" t="str">
        <f>IF('Port Bloomberg'!K777="","",'Port Bloomberg'!K777)</f>
        <v/>
      </c>
      <c r="L777" s="7" t="str">
        <f>IF('Port Bloomberg'!L777="","",'Port Bloomberg'!L777)</f>
        <v/>
      </c>
      <c r="M777" s="7" t="str">
        <f>IF('Port Bloomberg'!M777="","",'Port Bloomberg'!M777)</f>
        <v/>
      </c>
      <c r="N777" s="7" t="str">
        <f>IF('Port Bloomberg'!N777="","",'Port Bloomberg'!N777)</f>
        <v/>
      </c>
      <c r="O777" s="7" t="str">
        <f>IF('Port Bloomberg'!O777="","",'Port Bloomberg'!O777)</f>
        <v/>
      </c>
      <c r="P777" s="7" t="str">
        <f>IF('Port Bloomberg'!P777="","",'Port Bloomberg'!P777)</f>
        <v/>
      </c>
      <c r="Q777" s="7" t="str">
        <f>IF('Port Bloomberg'!Q777="","",'Port Bloomberg'!Q777)</f>
        <v/>
      </c>
      <c r="R777" s="7" t="str">
        <f>IF('Port Bloomberg'!R777="","",'Port Bloomberg'!R777)</f>
        <v/>
      </c>
      <c r="S777" s="5" t="str">
        <f>IF(E777="","",IFERROR(IF(MATCH(E777,[1]Instrumentos!$D:$D,0)&gt;0,1,0),0))</f>
        <v/>
      </c>
      <c r="T777" s="5" t="str">
        <f>IF(E777="","",IFERROR(IF(MATCH(E777,'Lista de excepciones'!$E:$E,0)&gt;0,1,0),0))</f>
        <v/>
      </c>
      <c r="U777" s="6" t="str">
        <f t="shared" si="13"/>
        <v/>
      </c>
    </row>
    <row r="778" spans="1:21" hidden="1" x14ac:dyDescent="0.25">
      <c r="A778" s="7" t="str">
        <f>IF('Port Bloomberg'!A778="","",'Port Bloomberg'!A778)</f>
        <v/>
      </c>
      <c r="B778" s="7" t="str">
        <f>IF('Port Bloomberg'!B778="","",'Port Bloomberg'!B778)</f>
        <v/>
      </c>
      <c r="C778" s="7" t="str">
        <f>IF('Port Bloomberg'!C778="","",'Port Bloomberg'!C778)</f>
        <v/>
      </c>
      <c r="D778" s="7" t="str">
        <f>IF('Port Bloomberg'!D778="","",'Port Bloomberg'!D778)</f>
        <v/>
      </c>
      <c r="E778" s="7" t="str">
        <f>IF('Port Bloomberg'!E778="","",'Port Bloomberg'!E778)</f>
        <v/>
      </c>
      <c r="F778" s="7" t="str">
        <f>IF('Port Bloomberg'!F778="","",'Port Bloomberg'!F778)</f>
        <v/>
      </c>
      <c r="G778" s="7" t="str">
        <f>IF('Port Bloomberg'!G778="","",'Port Bloomberg'!G778)</f>
        <v/>
      </c>
      <c r="H778" s="7" t="str">
        <f>IF('Port Bloomberg'!H778="","",'Port Bloomberg'!H778)</f>
        <v/>
      </c>
      <c r="I778" s="7" t="str">
        <f>IF('Port Bloomberg'!I778="","",'Port Bloomberg'!I778)</f>
        <v/>
      </c>
      <c r="J778" s="7" t="str">
        <f>IF('Port Bloomberg'!J778="","",'Port Bloomberg'!J778)</f>
        <v/>
      </c>
      <c r="K778" s="7" t="str">
        <f>IF('Port Bloomberg'!K778="","",'Port Bloomberg'!K778)</f>
        <v/>
      </c>
      <c r="L778" s="7" t="str">
        <f>IF('Port Bloomberg'!L778="","",'Port Bloomberg'!L778)</f>
        <v/>
      </c>
      <c r="M778" s="7" t="str">
        <f>IF('Port Bloomberg'!M778="","",'Port Bloomberg'!M778)</f>
        <v/>
      </c>
      <c r="N778" s="7" t="str">
        <f>IF('Port Bloomberg'!N778="","",'Port Bloomberg'!N778)</f>
        <v/>
      </c>
      <c r="O778" s="7" t="str">
        <f>IF('Port Bloomberg'!O778="","",'Port Bloomberg'!O778)</f>
        <v/>
      </c>
      <c r="P778" s="7" t="str">
        <f>IF('Port Bloomberg'!P778="","",'Port Bloomberg'!P778)</f>
        <v/>
      </c>
      <c r="Q778" s="7" t="str">
        <f>IF('Port Bloomberg'!Q778="","",'Port Bloomberg'!Q778)</f>
        <v/>
      </c>
      <c r="R778" s="7" t="str">
        <f>IF('Port Bloomberg'!R778="","",'Port Bloomberg'!R778)</f>
        <v/>
      </c>
      <c r="S778" s="5" t="str">
        <f>IF(E778="","",IFERROR(IF(MATCH(E778,[1]Instrumentos!$D:$D,0)&gt;0,1,0),0))</f>
        <v/>
      </c>
      <c r="T778" s="5" t="str">
        <f>IF(E778="","",IFERROR(IF(MATCH(E778,'Lista de excepciones'!$E:$E,0)&gt;0,1,0),0))</f>
        <v/>
      </c>
      <c r="U778" s="6" t="str">
        <f t="shared" si="13"/>
        <v/>
      </c>
    </row>
    <row r="779" spans="1:21" hidden="1" x14ac:dyDescent="0.25">
      <c r="A779" s="7" t="str">
        <f>IF('Port Bloomberg'!A779="","",'Port Bloomberg'!A779)</f>
        <v/>
      </c>
      <c r="B779" s="7" t="str">
        <f>IF('Port Bloomberg'!B779="","",'Port Bloomberg'!B779)</f>
        <v/>
      </c>
      <c r="C779" s="7" t="str">
        <f>IF('Port Bloomberg'!C779="","",'Port Bloomberg'!C779)</f>
        <v/>
      </c>
      <c r="D779" s="7" t="str">
        <f>IF('Port Bloomberg'!D779="","",'Port Bloomberg'!D779)</f>
        <v/>
      </c>
      <c r="E779" s="7" t="str">
        <f>IF('Port Bloomberg'!E779="","",'Port Bloomberg'!E779)</f>
        <v/>
      </c>
      <c r="F779" s="7" t="str">
        <f>IF('Port Bloomberg'!F779="","",'Port Bloomberg'!F779)</f>
        <v/>
      </c>
      <c r="G779" s="7" t="str">
        <f>IF('Port Bloomberg'!G779="","",'Port Bloomberg'!G779)</f>
        <v/>
      </c>
      <c r="H779" s="7" t="str">
        <f>IF('Port Bloomberg'!H779="","",'Port Bloomberg'!H779)</f>
        <v/>
      </c>
      <c r="I779" s="7" t="str">
        <f>IF('Port Bloomberg'!I779="","",'Port Bloomberg'!I779)</f>
        <v/>
      </c>
      <c r="J779" s="7" t="str">
        <f>IF('Port Bloomberg'!J779="","",'Port Bloomberg'!J779)</f>
        <v/>
      </c>
      <c r="K779" s="7" t="str">
        <f>IF('Port Bloomberg'!K779="","",'Port Bloomberg'!K779)</f>
        <v/>
      </c>
      <c r="L779" s="7" t="str">
        <f>IF('Port Bloomberg'!L779="","",'Port Bloomberg'!L779)</f>
        <v/>
      </c>
      <c r="M779" s="7" t="str">
        <f>IF('Port Bloomberg'!M779="","",'Port Bloomberg'!M779)</f>
        <v/>
      </c>
      <c r="N779" s="7" t="str">
        <f>IF('Port Bloomberg'!N779="","",'Port Bloomberg'!N779)</f>
        <v/>
      </c>
      <c r="O779" s="7" t="str">
        <f>IF('Port Bloomberg'!O779="","",'Port Bloomberg'!O779)</f>
        <v/>
      </c>
      <c r="P779" s="7" t="str">
        <f>IF('Port Bloomberg'!P779="","",'Port Bloomberg'!P779)</f>
        <v/>
      </c>
      <c r="Q779" s="7" t="str">
        <f>IF('Port Bloomberg'!Q779="","",'Port Bloomberg'!Q779)</f>
        <v/>
      </c>
      <c r="R779" s="7" t="str">
        <f>IF('Port Bloomberg'!R779="","",'Port Bloomberg'!R779)</f>
        <v/>
      </c>
      <c r="S779" s="5" t="str">
        <f>IF(E779="","",IFERROR(IF(MATCH(E779,[1]Instrumentos!$D:$D,0)&gt;0,1,0),0))</f>
        <v/>
      </c>
      <c r="T779" s="5" t="str">
        <f>IF(E779="","",IFERROR(IF(MATCH(E779,'Lista de excepciones'!$E:$E,0)&gt;0,1,0),0))</f>
        <v/>
      </c>
      <c r="U779" s="6" t="str">
        <f t="shared" si="13"/>
        <v/>
      </c>
    </row>
    <row r="780" spans="1:21" hidden="1" x14ac:dyDescent="0.25">
      <c r="A780" s="7" t="str">
        <f>IF('Port Bloomberg'!A780="","",'Port Bloomberg'!A780)</f>
        <v/>
      </c>
      <c r="B780" s="7" t="str">
        <f>IF('Port Bloomberg'!B780="","",'Port Bloomberg'!B780)</f>
        <v/>
      </c>
      <c r="C780" s="7" t="str">
        <f>IF('Port Bloomberg'!C780="","",'Port Bloomberg'!C780)</f>
        <v/>
      </c>
      <c r="D780" s="7" t="str">
        <f>IF('Port Bloomberg'!D780="","",'Port Bloomberg'!D780)</f>
        <v/>
      </c>
      <c r="E780" s="7" t="str">
        <f>IF('Port Bloomberg'!E780="","",'Port Bloomberg'!E780)</f>
        <v/>
      </c>
      <c r="F780" s="7" t="str">
        <f>IF('Port Bloomberg'!F780="","",'Port Bloomberg'!F780)</f>
        <v/>
      </c>
      <c r="G780" s="7" t="str">
        <f>IF('Port Bloomberg'!G780="","",'Port Bloomberg'!G780)</f>
        <v/>
      </c>
      <c r="H780" s="7" t="str">
        <f>IF('Port Bloomberg'!H780="","",'Port Bloomberg'!H780)</f>
        <v/>
      </c>
      <c r="I780" s="7" t="str">
        <f>IF('Port Bloomberg'!I780="","",'Port Bloomberg'!I780)</f>
        <v/>
      </c>
      <c r="J780" s="7" t="str">
        <f>IF('Port Bloomberg'!J780="","",'Port Bloomberg'!J780)</f>
        <v/>
      </c>
      <c r="K780" s="7" t="str">
        <f>IF('Port Bloomberg'!K780="","",'Port Bloomberg'!K780)</f>
        <v/>
      </c>
      <c r="L780" s="7" t="str">
        <f>IF('Port Bloomberg'!L780="","",'Port Bloomberg'!L780)</f>
        <v/>
      </c>
      <c r="M780" s="7" t="str">
        <f>IF('Port Bloomberg'!M780="","",'Port Bloomberg'!M780)</f>
        <v/>
      </c>
      <c r="N780" s="7" t="str">
        <f>IF('Port Bloomberg'!N780="","",'Port Bloomberg'!N780)</f>
        <v/>
      </c>
      <c r="O780" s="7" t="str">
        <f>IF('Port Bloomberg'!O780="","",'Port Bloomberg'!O780)</f>
        <v/>
      </c>
      <c r="P780" s="7" t="str">
        <f>IF('Port Bloomberg'!P780="","",'Port Bloomberg'!P780)</f>
        <v/>
      </c>
      <c r="Q780" s="7" t="str">
        <f>IF('Port Bloomberg'!Q780="","",'Port Bloomberg'!Q780)</f>
        <v/>
      </c>
      <c r="R780" s="7" t="str">
        <f>IF('Port Bloomberg'!R780="","",'Port Bloomberg'!R780)</f>
        <v/>
      </c>
      <c r="S780" s="5" t="str">
        <f>IF(E780="","",IFERROR(IF(MATCH(E780,[1]Instrumentos!$D:$D,0)&gt;0,1,0),0))</f>
        <v/>
      </c>
      <c r="T780" s="5" t="str">
        <f>IF(E780="","",IFERROR(IF(MATCH(E780,'Lista de excepciones'!$E:$E,0)&gt;0,1,0),0))</f>
        <v/>
      </c>
      <c r="U780" s="6" t="str">
        <f t="shared" si="13"/>
        <v/>
      </c>
    </row>
    <row r="781" spans="1:21" hidden="1" x14ac:dyDescent="0.25">
      <c r="A781" s="7" t="str">
        <f>IF('Port Bloomberg'!A781="","",'Port Bloomberg'!A781)</f>
        <v/>
      </c>
      <c r="B781" s="7" t="str">
        <f>IF('Port Bloomberg'!B781="","",'Port Bloomberg'!B781)</f>
        <v/>
      </c>
      <c r="C781" s="7" t="str">
        <f>IF('Port Bloomberg'!C781="","",'Port Bloomberg'!C781)</f>
        <v/>
      </c>
      <c r="D781" s="7" t="str">
        <f>IF('Port Bloomberg'!D781="","",'Port Bloomberg'!D781)</f>
        <v/>
      </c>
      <c r="E781" s="7" t="str">
        <f>IF('Port Bloomberg'!E781="","",'Port Bloomberg'!E781)</f>
        <v/>
      </c>
      <c r="F781" s="7" t="str">
        <f>IF('Port Bloomberg'!F781="","",'Port Bloomberg'!F781)</f>
        <v/>
      </c>
      <c r="G781" s="7" t="str">
        <f>IF('Port Bloomberg'!G781="","",'Port Bloomberg'!G781)</f>
        <v/>
      </c>
      <c r="H781" s="7" t="str">
        <f>IF('Port Bloomberg'!H781="","",'Port Bloomberg'!H781)</f>
        <v/>
      </c>
      <c r="I781" s="7" t="str">
        <f>IF('Port Bloomberg'!I781="","",'Port Bloomberg'!I781)</f>
        <v/>
      </c>
      <c r="J781" s="7" t="str">
        <f>IF('Port Bloomberg'!J781="","",'Port Bloomberg'!J781)</f>
        <v/>
      </c>
      <c r="K781" s="7" t="str">
        <f>IF('Port Bloomberg'!K781="","",'Port Bloomberg'!K781)</f>
        <v/>
      </c>
      <c r="L781" s="7" t="str">
        <f>IF('Port Bloomberg'!L781="","",'Port Bloomberg'!L781)</f>
        <v/>
      </c>
      <c r="M781" s="7" t="str">
        <f>IF('Port Bloomberg'!M781="","",'Port Bloomberg'!M781)</f>
        <v/>
      </c>
      <c r="N781" s="7" t="str">
        <f>IF('Port Bloomberg'!N781="","",'Port Bloomberg'!N781)</f>
        <v/>
      </c>
      <c r="O781" s="7" t="str">
        <f>IF('Port Bloomberg'!O781="","",'Port Bloomberg'!O781)</f>
        <v/>
      </c>
      <c r="P781" s="7" t="str">
        <f>IF('Port Bloomberg'!P781="","",'Port Bloomberg'!P781)</f>
        <v/>
      </c>
      <c r="Q781" s="7" t="str">
        <f>IF('Port Bloomberg'!Q781="","",'Port Bloomberg'!Q781)</f>
        <v/>
      </c>
      <c r="R781" s="7" t="str">
        <f>IF('Port Bloomberg'!R781="","",'Port Bloomberg'!R781)</f>
        <v/>
      </c>
      <c r="S781" s="5" t="str">
        <f>IF(E781="","",IFERROR(IF(MATCH(E781,[1]Instrumentos!$D:$D,0)&gt;0,1,0),0))</f>
        <v/>
      </c>
      <c r="T781" s="5" t="str">
        <f>IF(E781="","",IFERROR(IF(MATCH(E781,'Lista de excepciones'!$E:$E,0)&gt;0,1,0),0))</f>
        <v/>
      </c>
      <c r="U781" s="6" t="str">
        <f t="shared" si="13"/>
        <v/>
      </c>
    </row>
    <row r="782" spans="1:21" hidden="1" x14ac:dyDescent="0.25">
      <c r="A782" s="7" t="str">
        <f>IF('Port Bloomberg'!A782="","",'Port Bloomberg'!A782)</f>
        <v/>
      </c>
      <c r="B782" s="7" t="str">
        <f>IF('Port Bloomberg'!B782="","",'Port Bloomberg'!B782)</f>
        <v/>
      </c>
      <c r="C782" s="7" t="str">
        <f>IF('Port Bloomberg'!C782="","",'Port Bloomberg'!C782)</f>
        <v/>
      </c>
      <c r="D782" s="7" t="str">
        <f>IF('Port Bloomberg'!D782="","",'Port Bloomberg'!D782)</f>
        <v/>
      </c>
      <c r="E782" s="7" t="str">
        <f>IF('Port Bloomberg'!E782="","",'Port Bloomberg'!E782)</f>
        <v/>
      </c>
      <c r="F782" s="7" t="str">
        <f>IF('Port Bloomberg'!F782="","",'Port Bloomberg'!F782)</f>
        <v/>
      </c>
      <c r="G782" s="7" t="str">
        <f>IF('Port Bloomberg'!G782="","",'Port Bloomberg'!G782)</f>
        <v/>
      </c>
      <c r="H782" s="7" t="str">
        <f>IF('Port Bloomberg'!H782="","",'Port Bloomberg'!H782)</f>
        <v/>
      </c>
      <c r="I782" s="7" t="str">
        <f>IF('Port Bloomberg'!I782="","",'Port Bloomberg'!I782)</f>
        <v/>
      </c>
      <c r="J782" s="7" t="str">
        <f>IF('Port Bloomberg'!J782="","",'Port Bloomberg'!J782)</f>
        <v/>
      </c>
      <c r="K782" s="7" t="str">
        <f>IF('Port Bloomberg'!K782="","",'Port Bloomberg'!K782)</f>
        <v/>
      </c>
      <c r="L782" s="7" t="str">
        <f>IF('Port Bloomberg'!L782="","",'Port Bloomberg'!L782)</f>
        <v/>
      </c>
      <c r="M782" s="7" t="str">
        <f>IF('Port Bloomberg'!M782="","",'Port Bloomberg'!M782)</f>
        <v/>
      </c>
      <c r="N782" s="7" t="str">
        <f>IF('Port Bloomberg'!N782="","",'Port Bloomberg'!N782)</f>
        <v/>
      </c>
      <c r="O782" s="7" t="str">
        <f>IF('Port Bloomberg'!O782="","",'Port Bloomberg'!O782)</f>
        <v/>
      </c>
      <c r="P782" s="7" t="str">
        <f>IF('Port Bloomberg'!P782="","",'Port Bloomberg'!P782)</f>
        <v/>
      </c>
      <c r="Q782" s="7" t="str">
        <f>IF('Port Bloomberg'!Q782="","",'Port Bloomberg'!Q782)</f>
        <v/>
      </c>
      <c r="R782" s="7" t="str">
        <f>IF('Port Bloomberg'!R782="","",'Port Bloomberg'!R782)</f>
        <v/>
      </c>
      <c r="S782" s="5" t="str">
        <f>IF(E782="","",IFERROR(IF(MATCH(E782,[1]Instrumentos!$D:$D,0)&gt;0,1,0),0))</f>
        <v/>
      </c>
      <c r="T782" s="5" t="str">
        <f>IF(E782="","",IFERROR(IF(MATCH(E782,'Lista de excepciones'!$E:$E,0)&gt;0,1,0),0))</f>
        <v/>
      </c>
      <c r="U782" s="6" t="str">
        <f t="shared" si="13"/>
        <v/>
      </c>
    </row>
    <row r="783" spans="1:21" hidden="1" x14ac:dyDescent="0.25">
      <c r="A783" s="7" t="str">
        <f>IF('Port Bloomberg'!A783="","",'Port Bloomberg'!A783)</f>
        <v/>
      </c>
      <c r="B783" s="7" t="str">
        <f>IF('Port Bloomberg'!B783="","",'Port Bloomberg'!B783)</f>
        <v/>
      </c>
      <c r="C783" s="7" t="str">
        <f>IF('Port Bloomberg'!C783="","",'Port Bloomberg'!C783)</f>
        <v/>
      </c>
      <c r="D783" s="7" t="str">
        <f>IF('Port Bloomberg'!D783="","",'Port Bloomberg'!D783)</f>
        <v/>
      </c>
      <c r="E783" s="7" t="str">
        <f>IF('Port Bloomberg'!E783="","",'Port Bloomberg'!E783)</f>
        <v/>
      </c>
      <c r="F783" s="7" t="str">
        <f>IF('Port Bloomberg'!F783="","",'Port Bloomberg'!F783)</f>
        <v/>
      </c>
      <c r="G783" s="7" t="str">
        <f>IF('Port Bloomberg'!G783="","",'Port Bloomberg'!G783)</f>
        <v/>
      </c>
      <c r="H783" s="7" t="str">
        <f>IF('Port Bloomberg'!H783="","",'Port Bloomberg'!H783)</f>
        <v/>
      </c>
      <c r="I783" s="7" t="str">
        <f>IF('Port Bloomberg'!I783="","",'Port Bloomberg'!I783)</f>
        <v/>
      </c>
      <c r="J783" s="7" t="str">
        <f>IF('Port Bloomberg'!J783="","",'Port Bloomberg'!J783)</f>
        <v/>
      </c>
      <c r="K783" s="7" t="str">
        <f>IF('Port Bloomberg'!K783="","",'Port Bloomberg'!K783)</f>
        <v/>
      </c>
      <c r="L783" s="7" t="str">
        <f>IF('Port Bloomberg'!L783="","",'Port Bloomberg'!L783)</f>
        <v/>
      </c>
      <c r="M783" s="7" t="str">
        <f>IF('Port Bloomberg'!M783="","",'Port Bloomberg'!M783)</f>
        <v/>
      </c>
      <c r="N783" s="7" t="str">
        <f>IF('Port Bloomberg'!N783="","",'Port Bloomberg'!N783)</f>
        <v/>
      </c>
      <c r="O783" s="7" t="str">
        <f>IF('Port Bloomberg'!O783="","",'Port Bloomberg'!O783)</f>
        <v/>
      </c>
      <c r="P783" s="7" t="str">
        <f>IF('Port Bloomberg'!P783="","",'Port Bloomberg'!P783)</f>
        <v/>
      </c>
      <c r="Q783" s="7" t="str">
        <f>IF('Port Bloomberg'!Q783="","",'Port Bloomberg'!Q783)</f>
        <v/>
      </c>
      <c r="R783" s="7" t="str">
        <f>IF('Port Bloomberg'!R783="","",'Port Bloomberg'!R783)</f>
        <v/>
      </c>
      <c r="S783" s="5" t="str">
        <f>IF(E783="","",IFERROR(IF(MATCH(E783,[1]Instrumentos!$D:$D,0)&gt;0,1,0),0))</f>
        <v/>
      </c>
      <c r="T783" s="5" t="str">
        <f>IF(E783="","",IFERROR(IF(MATCH(E783,'Lista de excepciones'!$E:$E,0)&gt;0,1,0),0))</f>
        <v/>
      </c>
      <c r="U783" s="6" t="str">
        <f t="shared" si="13"/>
        <v/>
      </c>
    </row>
    <row r="784" spans="1:21" hidden="1" x14ac:dyDescent="0.25">
      <c r="A784" s="7" t="str">
        <f>IF('Port Bloomberg'!A784="","",'Port Bloomberg'!A784)</f>
        <v/>
      </c>
      <c r="B784" s="7" t="str">
        <f>IF('Port Bloomberg'!B784="","",'Port Bloomberg'!B784)</f>
        <v/>
      </c>
      <c r="C784" s="7" t="str">
        <f>IF('Port Bloomberg'!C784="","",'Port Bloomberg'!C784)</f>
        <v/>
      </c>
      <c r="D784" s="7" t="str">
        <f>IF('Port Bloomberg'!D784="","",'Port Bloomberg'!D784)</f>
        <v/>
      </c>
      <c r="E784" s="7" t="str">
        <f>IF('Port Bloomberg'!E784="","",'Port Bloomberg'!E784)</f>
        <v/>
      </c>
      <c r="F784" s="7" t="str">
        <f>IF('Port Bloomberg'!F784="","",'Port Bloomberg'!F784)</f>
        <v/>
      </c>
      <c r="G784" s="7" t="str">
        <f>IF('Port Bloomberg'!G784="","",'Port Bloomberg'!G784)</f>
        <v/>
      </c>
      <c r="H784" s="7" t="str">
        <f>IF('Port Bloomberg'!H784="","",'Port Bloomberg'!H784)</f>
        <v/>
      </c>
      <c r="I784" s="7" t="str">
        <f>IF('Port Bloomberg'!I784="","",'Port Bloomberg'!I784)</f>
        <v/>
      </c>
      <c r="J784" s="7" t="str">
        <f>IF('Port Bloomberg'!J784="","",'Port Bloomberg'!J784)</f>
        <v/>
      </c>
      <c r="K784" s="7" t="str">
        <f>IF('Port Bloomberg'!K784="","",'Port Bloomberg'!K784)</f>
        <v/>
      </c>
      <c r="L784" s="7" t="str">
        <f>IF('Port Bloomberg'!L784="","",'Port Bloomberg'!L784)</f>
        <v/>
      </c>
      <c r="M784" s="7" t="str">
        <f>IF('Port Bloomberg'!M784="","",'Port Bloomberg'!M784)</f>
        <v/>
      </c>
      <c r="N784" s="7" t="str">
        <f>IF('Port Bloomberg'!N784="","",'Port Bloomberg'!N784)</f>
        <v/>
      </c>
      <c r="O784" s="7" t="str">
        <f>IF('Port Bloomberg'!O784="","",'Port Bloomberg'!O784)</f>
        <v/>
      </c>
      <c r="P784" s="7" t="str">
        <f>IF('Port Bloomberg'!P784="","",'Port Bloomberg'!P784)</f>
        <v/>
      </c>
      <c r="Q784" s="7" t="str">
        <f>IF('Port Bloomberg'!Q784="","",'Port Bloomberg'!Q784)</f>
        <v/>
      </c>
      <c r="R784" s="7" t="str">
        <f>IF('Port Bloomberg'!R784="","",'Port Bloomberg'!R784)</f>
        <v/>
      </c>
      <c r="S784" s="5" t="str">
        <f>IF(E784="","",IFERROR(IF(MATCH(E784,[1]Instrumentos!$D:$D,0)&gt;0,1,0),0))</f>
        <v/>
      </c>
      <c r="T784" s="5" t="str">
        <f>IF(E784="","",IFERROR(IF(MATCH(E784,'Lista de excepciones'!$E:$E,0)&gt;0,1,0),0))</f>
        <v/>
      </c>
      <c r="U784" s="6" t="str">
        <f t="shared" si="13"/>
        <v/>
      </c>
    </row>
    <row r="785" spans="1:21" hidden="1" x14ac:dyDescent="0.25">
      <c r="A785" s="7" t="str">
        <f>IF('Port Bloomberg'!A785="","",'Port Bloomberg'!A785)</f>
        <v/>
      </c>
      <c r="B785" s="7" t="str">
        <f>IF('Port Bloomberg'!B785="","",'Port Bloomberg'!B785)</f>
        <v/>
      </c>
      <c r="C785" s="7" t="str">
        <f>IF('Port Bloomberg'!C785="","",'Port Bloomberg'!C785)</f>
        <v/>
      </c>
      <c r="D785" s="7" t="str">
        <f>IF('Port Bloomberg'!D785="","",'Port Bloomberg'!D785)</f>
        <v/>
      </c>
      <c r="E785" s="7" t="str">
        <f>IF('Port Bloomberg'!E785="","",'Port Bloomberg'!E785)</f>
        <v/>
      </c>
      <c r="F785" s="7" t="str">
        <f>IF('Port Bloomberg'!F785="","",'Port Bloomberg'!F785)</f>
        <v/>
      </c>
      <c r="G785" s="7" t="str">
        <f>IF('Port Bloomberg'!G785="","",'Port Bloomberg'!G785)</f>
        <v/>
      </c>
      <c r="H785" s="7" t="str">
        <f>IF('Port Bloomberg'!H785="","",'Port Bloomberg'!H785)</f>
        <v/>
      </c>
      <c r="I785" s="7" t="str">
        <f>IF('Port Bloomberg'!I785="","",'Port Bloomberg'!I785)</f>
        <v/>
      </c>
      <c r="J785" s="7" t="str">
        <f>IF('Port Bloomberg'!J785="","",'Port Bloomberg'!J785)</f>
        <v/>
      </c>
      <c r="K785" s="7" t="str">
        <f>IF('Port Bloomberg'!K785="","",'Port Bloomberg'!K785)</f>
        <v/>
      </c>
      <c r="L785" s="7" t="str">
        <f>IF('Port Bloomberg'!L785="","",'Port Bloomberg'!L785)</f>
        <v/>
      </c>
      <c r="M785" s="7" t="str">
        <f>IF('Port Bloomberg'!M785="","",'Port Bloomberg'!M785)</f>
        <v/>
      </c>
      <c r="N785" s="7" t="str">
        <f>IF('Port Bloomberg'!N785="","",'Port Bloomberg'!N785)</f>
        <v/>
      </c>
      <c r="O785" s="7" t="str">
        <f>IF('Port Bloomberg'!O785="","",'Port Bloomberg'!O785)</f>
        <v/>
      </c>
      <c r="P785" s="7" t="str">
        <f>IF('Port Bloomberg'!P785="","",'Port Bloomberg'!P785)</f>
        <v/>
      </c>
      <c r="Q785" s="7" t="str">
        <f>IF('Port Bloomberg'!Q785="","",'Port Bloomberg'!Q785)</f>
        <v/>
      </c>
      <c r="R785" s="7" t="str">
        <f>IF('Port Bloomberg'!R785="","",'Port Bloomberg'!R785)</f>
        <v/>
      </c>
      <c r="S785" s="5" t="str">
        <f>IF(E785="","",IFERROR(IF(MATCH(E785,[1]Instrumentos!$D:$D,0)&gt;0,1,0),0))</f>
        <v/>
      </c>
      <c r="T785" s="5" t="str">
        <f>IF(E785="","",IFERROR(IF(MATCH(E785,'Lista de excepciones'!$E:$E,0)&gt;0,1,0),0))</f>
        <v/>
      </c>
      <c r="U785" s="6" t="str">
        <f t="shared" si="13"/>
        <v/>
      </c>
    </row>
    <row r="786" spans="1:21" hidden="1" x14ac:dyDescent="0.25">
      <c r="A786" s="7" t="str">
        <f>IF('Port Bloomberg'!A786="","",'Port Bloomberg'!A786)</f>
        <v/>
      </c>
      <c r="B786" s="7" t="str">
        <f>IF('Port Bloomberg'!B786="","",'Port Bloomberg'!B786)</f>
        <v/>
      </c>
      <c r="C786" s="7" t="str">
        <f>IF('Port Bloomberg'!C786="","",'Port Bloomberg'!C786)</f>
        <v/>
      </c>
      <c r="D786" s="7" t="str">
        <f>IF('Port Bloomberg'!D786="","",'Port Bloomberg'!D786)</f>
        <v/>
      </c>
      <c r="E786" s="7" t="str">
        <f>IF('Port Bloomberg'!E786="","",'Port Bloomberg'!E786)</f>
        <v/>
      </c>
      <c r="F786" s="7" t="str">
        <f>IF('Port Bloomberg'!F786="","",'Port Bloomberg'!F786)</f>
        <v/>
      </c>
      <c r="G786" s="7" t="str">
        <f>IF('Port Bloomberg'!G786="","",'Port Bloomberg'!G786)</f>
        <v/>
      </c>
      <c r="H786" s="7" t="str">
        <f>IF('Port Bloomberg'!H786="","",'Port Bloomberg'!H786)</f>
        <v/>
      </c>
      <c r="I786" s="7" t="str">
        <f>IF('Port Bloomberg'!I786="","",'Port Bloomberg'!I786)</f>
        <v/>
      </c>
      <c r="J786" s="7" t="str">
        <f>IF('Port Bloomberg'!J786="","",'Port Bloomberg'!J786)</f>
        <v/>
      </c>
      <c r="K786" s="7" t="str">
        <f>IF('Port Bloomberg'!K786="","",'Port Bloomberg'!K786)</f>
        <v/>
      </c>
      <c r="L786" s="7" t="str">
        <f>IF('Port Bloomberg'!L786="","",'Port Bloomberg'!L786)</f>
        <v/>
      </c>
      <c r="M786" s="7" t="str">
        <f>IF('Port Bloomberg'!M786="","",'Port Bloomberg'!M786)</f>
        <v/>
      </c>
      <c r="N786" s="7" t="str">
        <f>IF('Port Bloomberg'!N786="","",'Port Bloomberg'!N786)</f>
        <v/>
      </c>
      <c r="O786" s="7" t="str">
        <f>IF('Port Bloomberg'!O786="","",'Port Bloomberg'!O786)</f>
        <v/>
      </c>
      <c r="P786" s="7" t="str">
        <f>IF('Port Bloomberg'!P786="","",'Port Bloomberg'!P786)</f>
        <v/>
      </c>
      <c r="Q786" s="7" t="str">
        <f>IF('Port Bloomberg'!Q786="","",'Port Bloomberg'!Q786)</f>
        <v/>
      </c>
      <c r="R786" s="7" t="str">
        <f>IF('Port Bloomberg'!R786="","",'Port Bloomberg'!R786)</f>
        <v/>
      </c>
      <c r="S786" s="5" t="str">
        <f>IF(E786="","",IFERROR(IF(MATCH(E786,[1]Instrumentos!$D:$D,0)&gt;0,1,0),0))</f>
        <v/>
      </c>
      <c r="T786" s="5" t="str">
        <f>IF(E786="","",IFERROR(IF(MATCH(E786,'Lista de excepciones'!$E:$E,0)&gt;0,1,0),0))</f>
        <v/>
      </c>
      <c r="U786" s="6" t="str">
        <f t="shared" si="13"/>
        <v/>
      </c>
    </row>
    <row r="787" spans="1:21" hidden="1" x14ac:dyDescent="0.25">
      <c r="A787" s="7" t="str">
        <f>IF('Port Bloomberg'!A787="","",'Port Bloomberg'!A787)</f>
        <v/>
      </c>
      <c r="B787" s="7" t="str">
        <f>IF('Port Bloomberg'!B787="","",'Port Bloomberg'!B787)</f>
        <v/>
      </c>
      <c r="C787" s="7" t="str">
        <f>IF('Port Bloomberg'!C787="","",'Port Bloomberg'!C787)</f>
        <v/>
      </c>
      <c r="D787" s="7" t="str">
        <f>IF('Port Bloomberg'!D787="","",'Port Bloomberg'!D787)</f>
        <v/>
      </c>
      <c r="E787" s="7" t="str">
        <f>IF('Port Bloomberg'!E787="","",'Port Bloomberg'!E787)</f>
        <v/>
      </c>
      <c r="F787" s="7" t="str">
        <f>IF('Port Bloomberg'!F787="","",'Port Bloomberg'!F787)</f>
        <v/>
      </c>
      <c r="G787" s="7" t="str">
        <f>IF('Port Bloomberg'!G787="","",'Port Bloomberg'!G787)</f>
        <v/>
      </c>
      <c r="H787" s="7" t="str">
        <f>IF('Port Bloomberg'!H787="","",'Port Bloomberg'!H787)</f>
        <v/>
      </c>
      <c r="I787" s="7" t="str">
        <f>IF('Port Bloomberg'!I787="","",'Port Bloomberg'!I787)</f>
        <v/>
      </c>
      <c r="J787" s="7" t="str">
        <f>IF('Port Bloomberg'!J787="","",'Port Bloomberg'!J787)</f>
        <v/>
      </c>
      <c r="K787" s="7" t="str">
        <f>IF('Port Bloomberg'!K787="","",'Port Bloomberg'!K787)</f>
        <v/>
      </c>
      <c r="L787" s="7" t="str">
        <f>IF('Port Bloomberg'!L787="","",'Port Bloomberg'!L787)</f>
        <v/>
      </c>
      <c r="M787" s="7" t="str">
        <f>IF('Port Bloomberg'!M787="","",'Port Bloomberg'!M787)</f>
        <v/>
      </c>
      <c r="N787" s="7" t="str">
        <f>IF('Port Bloomberg'!N787="","",'Port Bloomberg'!N787)</f>
        <v/>
      </c>
      <c r="O787" s="7" t="str">
        <f>IF('Port Bloomberg'!O787="","",'Port Bloomberg'!O787)</f>
        <v/>
      </c>
      <c r="P787" s="7" t="str">
        <f>IF('Port Bloomberg'!P787="","",'Port Bloomberg'!P787)</f>
        <v/>
      </c>
      <c r="Q787" s="7" t="str">
        <f>IF('Port Bloomberg'!Q787="","",'Port Bloomberg'!Q787)</f>
        <v/>
      </c>
      <c r="R787" s="7" t="str">
        <f>IF('Port Bloomberg'!R787="","",'Port Bloomberg'!R787)</f>
        <v/>
      </c>
      <c r="S787" s="5" t="str">
        <f>IF(E787="","",IFERROR(IF(MATCH(E787,[1]Instrumentos!$D:$D,0)&gt;0,1,0),0))</f>
        <v/>
      </c>
      <c r="T787" s="5" t="str">
        <f>IF(E787="","",IFERROR(IF(MATCH(E787,'Lista de excepciones'!$E:$E,0)&gt;0,1,0),0))</f>
        <v/>
      </c>
      <c r="U787" s="6" t="str">
        <f t="shared" si="13"/>
        <v/>
      </c>
    </row>
    <row r="788" spans="1:21" hidden="1" x14ac:dyDescent="0.25">
      <c r="A788" s="7" t="str">
        <f>IF('Port Bloomberg'!A788="","",'Port Bloomberg'!A788)</f>
        <v/>
      </c>
      <c r="B788" s="7" t="str">
        <f>IF('Port Bloomberg'!B788="","",'Port Bloomberg'!B788)</f>
        <v/>
      </c>
      <c r="C788" s="7" t="str">
        <f>IF('Port Bloomberg'!C788="","",'Port Bloomberg'!C788)</f>
        <v/>
      </c>
      <c r="D788" s="7" t="str">
        <f>IF('Port Bloomberg'!D788="","",'Port Bloomberg'!D788)</f>
        <v/>
      </c>
      <c r="E788" s="7" t="str">
        <f>IF('Port Bloomberg'!E788="","",'Port Bloomberg'!E788)</f>
        <v/>
      </c>
      <c r="F788" s="7" t="str">
        <f>IF('Port Bloomberg'!F788="","",'Port Bloomberg'!F788)</f>
        <v/>
      </c>
      <c r="G788" s="7" t="str">
        <f>IF('Port Bloomberg'!G788="","",'Port Bloomberg'!G788)</f>
        <v/>
      </c>
      <c r="H788" s="7" t="str">
        <f>IF('Port Bloomberg'!H788="","",'Port Bloomberg'!H788)</f>
        <v/>
      </c>
      <c r="I788" s="7" t="str">
        <f>IF('Port Bloomberg'!I788="","",'Port Bloomberg'!I788)</f>
        <v/>
      </c>
      <c r="J788" s="7" t="str">
        <f>IF('Port Bloomberg'!J788="","",'Port Bloomberg'!J788)</f>
        <v/>
      </c>
      <c r="K788" s="7" t="str">
        <f>IF('Port Bloomberg'!K788="","",'Port Bloomberg'!K788)</f>
        <v/>
      </c>
      <c r="L788" s="7" t="str">
        <f>IF('Port Bloomberg'!L788="","",'Port Bloomberg'!L788)</f>
        <v/>
      </c>
      <c r="M788" s="7" t="str">
        <f>IF('Port Bloomberg'!M788="","",'Port Bloomberg'!M788)</f>
        <v/>
      </c>
      <c r="N788" s="7" t="str">
        <f>IF('Port Bloomberg'!N788="","",'Port Bloomberg'!N788)</f>
        <v/>
      </c>
      <c r="O788" s="7" t="str">
        <f>IF('Port Bloomberg'!O788="","",'Port Bloomberg'!O788)</f>
        <v/>
      </c>
      <c r="P788" s="7" t="str">
        <f>IF('Port Bloomberg'!P788="","",'Port Bloomberg'!P788)</f>
        <v/>
      </c>
      <c r="Q788" s="7" t="str">
        <f>IF('Port Bloomberg'!Q788="","",'Port Bloomberg'!Q788)</f>
        <v/>
      </c>
      <c r="R788" s="7" t="str">
        <f>IF('Port Bloomberg'!R788="","",'Port Bloomberg'!R788)</f>
        <v/>
      </c>
      <c r="S788" s="5" t="str">
        <f>IF(E788="","",IFERROR(IF(MATCH(E788,[1]Instrumentos!$D:$D,0)&gt;0,1,0),0))</f>
        <v/>
      </c>
      <c r="T788" s="5" t="str">
        <f>IF(E788="","",IFERROR(IF(MATCH(E788,'Lista de excepciones'!$E:$E,0)&gt;0,1,0),0))</f>
        <v/>
      </c>
      <c r="U788" s="6" t="str">
        <f t="shared" si="13"/>
        <v/>
      </c>
    </row>
    <row r="789" spans="1:21" hidden="1" x14ac:dyDescent="0.25">
      <c r="A789" s="7" t="str">
        <f>IF('Port Bloomberg'!A789="","",'Port Bloomberg'!A789)</f>
        <v/>
      </c>
      <c r="B789" s="7" t="str">
        <f>IF('Port Bloomberg'!B789="","",'Port Bloomberg'!B789)</f>
        <v/>
      </c>
      <c r="C789" s="7" t="str">
        <f>IF('Port Bloomberg'!C789="","",'Port Bloomberg'!C789)</f>
        <v/>
      </c>
      <c r="D789" s="7" t="str">
        <f>IF('Port Bloomberg'!D789="","",'Port Bloomberg'!D789)</f>
        <v/>
      </c>
      <c r="E789" s="7" t="str">
        <f>IF('Port Bloomberg'!E789="","",'Port Bloomberg'!E789)</f>
        <v/>
      </c>
      <c r="F789" s="7" t="str">
        <f>IF('Port Bloomberg'!F789="","",'Port Bloomberg'!F789)</f>
        <v/>
      </c>
      <c r="G789" s="7" t="str">
        <f>IF('Port Bloomberg'!G789="","",'Port Bloomberg'!G789)</f>
        <v/>
      </c>
      <c r="H789" s="7" t="str">
        <f>IF('Port Bloomberg'!H789="","",'Port Bloomberg'!H789)</f>
        <v/>
      </c>
      <c r="I789" s="7" t="str">
        <f>IF('Port Bloomberg'!I789="","",'Port Bloomberg'!I789)</f>
        <v/>
      </c>
      <c r="J789" s="7" t="str">
        <f>IF('Port Bloomberg'!J789="","",'Port Bloomberg'!J789)</f>
        <v/>
      </c>
      <c r="K789" s="7" t="str">
        <f>IF('Port Bloomberg'!K789="","",'Port Bloomberg'!K789)</f>
        <v/>
      </c>
      <c r="L789" s="7" t="str">
        <f>IF('Port Bloomberg'!L789="","",'Port Bloomberg'!L789)</f>
        <v/>
      </c>
      <c r="M789" s="7" t="str">
        <f>IF('Port Bloomberg'!M789="","",'Port Bloomberg'!M789)</f>
        <v/>
      </c>
      <c r="N789" s="7" t="str">
        <f>IF('Port Bloomberg'!N789="","",'Port Bloomberg'!N789)</f>
        <v/>
      </c>
      <c r="O789" s="7" t="str">
        <f>IF('Port Bloomberg'!O789="","",'Port Bloomberg'!O789)</f>
        <v/>
      </c>
      <c r="P789" s="7" t="str">
        <f>IF('Port Bloomberg'!P789="","",'Port Bloomberg'!P789)</f>
        <v/>
      </c>
      <c r="Q789" s="7" t="str">
        <f>IF('Port Bloomberg'!Q789="","",'Port Bloomberg'!Q789)</f>
        <v/>
      </c>
      <c r="R789" s="7" t="str">
        <f>IF('Port Bloomberg'!R789="","",'Port Bloomberg'!R789)</f>
        <v/>
      </c>
      <c r="S789" s="5" t="str">
        <f>IF(E789="","",IFERROR(IF(MATCH(E789,[1]Instrumentos!$D:$D,0)&gt;0,1,0),0))</f>
        <v/>
      </c>
      <c r="T789" s="5" t="str">
        <f>IF(E789="","",IFERROR(IF(MATCH(E789,'Lista de excepciones'!$E:$E,0)&gt;0,1,0),0))</f>
        <v/>
      </c>
      <c r="U789" s="6" t="str">
        <f t="shared" si="13"/>
        <v/>
      </c>
    </row>
    <row r="790" spans="1:21" hidden="1" x14ac:dyDescent="0.25">
      <c r="A790" s="7" t="str">
        <f>IF('Port Bloomberg'!A790="","",'Port Bloomberg'!A790)</f>
        <v/>
      </c>
      <c r="B790" s="7" t="str">
        <f>IF('Port Bloomberg'!B790="","",'Port Bloomberg'!B790)</f>
        <v/>
      </c>
      <c r="C790" s="7" t="str">
        <f>IF('Port Bloomberg'!C790="","",'Port Bloomberg'!C790)</f>
        <v/>
      </c>
      <c r="D790" s="7" t="str">
        <f>IF('Port Bloomberg'!D790="","",'Port Bloomberg'!D790)</f>
        <v/>
      </c>
      <c r="E790" s="7" t="str">
        <f>IF('Port Bloomberg'!E790="","",'Port Bloomberg'!E790)</f>
        <v/>
      </c>
      <c r="F790" s="7" t="str">
        <f>IF('Port Bloomberg'!F790="","",'Port Bloomberg'!F790)</f>
        <v/>
      </c>
      <c r="G790" s="7" t="str">
        <f>IF('Port Bloomberg'!G790="","",'Port Bloomberg'!G790)</f>
        <v/>
      </c>
      <c r="H790" s="7" t="str">
        <f>IF('Port Bloomberg'!H790="","",'Port Bloomberg'!H790)</f>
        <v/>
      </c>
      <c r="I790" s="7" t="str">
        <f>IF('Port Bloomberg'!I790="","",'Port Bloomberg'!I790)</f>
        <v/>
      </c>
      <c r="J790" s="7" t="str">
        <f>IF('Port Bloomberg'!J790="","",'Port Bloomberg'!J790)</f>
        <v/>
      </c>
      <c r="K790" s="7" t="str">
        <f>IF('Port Bloomberg'!K790="","",'Port Bloomberg'!K790)</f>
        <v/>
      </c>
      <c r="L790" s="7" t="str">
        <f>IF('Port Bloomberg'!L790="","",'Port Bloomberg'!L790)</f>
        <v/>
      </c>
      <c r="M790" s="7" t="str">
        <f>IF('Port Bloomberg'!M790="","",'Port Bloomberg'!M790)</f>
        <v/>
      </c>
      <c r="N790" s="7" t="str">
        <f>IF('Port Bloomberg'!N790="","",'Port Bloomberg'!N790)</f>
        <v/>
      </c>
      <c r="O790" s="7" t="str">
        <f>IF('Port Bloomberg'!O790="","",'Port Bloomberg'!O790)</f>
        <v/>
      </c>
      <c r="P790" s="7" t="str">
        <f>IF('Port Bloomberg'!P790="","",'Port Bloomberg'!P790)</f>
        <v/>
      </c>
      <c r="Q790" s="7" t="str">
        <f>IF('Port Bloomberg'!Q790="","",'Port Bloomberg'!Q790)</f>
        <v/>
      </c>
      <c r="R790" s="7" t="str">
        <f>IF('Port Bloomberg'!R790="","",'Port Bloomberg'!R790)</f>
        <v/>
      </c>
      <c r="S790" s="5" t="str">
        <f>IF(E790="","",IFERROR(IF(MATCH(E790,[1]Instrumentos!$D:$D,0)&gt;0,1,0),0))</f>
        <v/>
      </c>
      <c r="T790" s="5" t="str">
        <f>IF(E790="","",IFERROR(IF(MATCH(E790,'Lista de excepciones'!$E:$E,0)&gt;0,1,0),0))</f>
        <v/>
      </c>
      <c r="U790" s="6" t="str">
        <f t="shared" si="13"/>
        <v/>
      </c>
    </row>
    <row r="791" spans="1:21" hidden="1" x14ac:dyDescent="0.25">
      <c r="A791" s="7" t="str">
        <f>IF('Port Bloomberg'!A791="","",'Port Bloomberg'!A791)</f>
        <v/>
      </c>
      <c r="B791" s="7" t="str">
        <f>IF('Port Bloomberg'!B791="","",'Port Bloomberg'!B791)</f>
        <v/>
      </c>
      <c r="C791" s="7" t="str">
        <f>IF('Port Bloomberg'!C791="","",'Port Bloomberg'!C791)</f>
        <v/>
      </c>
      <c r="D791" s="7" t="str">
        <f>IF('Port Bloomberg'!D791="","",'Port Bloomberg'!D791)</f>
        <v/>
      </c>
      <c r="E791" s="7" t="str">
        <f>IF('Port Bloomberg'!E791="","",'Port Bloomberg'!E791)</f>
        <v/>
      </c>
      <c r="F791" s="7" t="str">
        <f>IF('Port Bloomberg'!F791="","",'Port Bloomberg'!F791)</f>
        <v/>
      </c>
      <c r="G791" s="7" t="str">
        <f>IF('Port Bloomberg'!G791="","",'Port Bloomberg'!G791)</f>
        <v/>
      </c>
      <c r="H791" s="7" t="str">
        <f>IF('Port Bloomberg'!H791="","",'Port Bloomberg'!H791)</f>
        <v/>
      </c>
      <c r="I791" s="7" t="str">
        <f>IF('Port Bloomberg'!I791="","",'Port Bloomberg'!I791)</f>
        <v/>
      </c>
      <c r="J791" s="7" t="str">
        <f>IF('Port Bloomberg'!J791="","",'Port Bloomberg'!J791)</f>
        <v/>
      </c>
      <c r="K791" s="7" t="str">
        <f>IF('Port Bloomberg'!K791="","",'Port Bloomberg'!K791)</f>
        <v/>
      </c>
      <c r="L791" s="7" t="str">
        <f>IF('Port Bloomberg'!L791="","",'Port Bloomberg'!L791)</f>
        <v/>
      </c>
      <c r="M791" s="7" t="str">
        <f>IF('Port Bloomberg'!M791="","",'Port Bloomberg'!M791)</f>
        <v/>
      </c>
      <c r="N791" s="7" t="str">
        <f>IF('Port Bloomberg'!N791="","",'Port Bloomberg'!N791)</f>
        <v/>
      </c>
      <c r="O791" s="7" t="str">
        <f>IF('Port Bloomberg'!O791="","",'Port Bloomberg'!O791)</f>
        <v/>
      </c>
      <c r="P791" s="7" t="str">
        <f>IF('Port Bloomberg'!P791="","",'Port Bloomberg'!P791)</f>
        <v/>
      </c>
      <c r="Q791" s="7" t="str">
        <f>IF('Port Bloomberg'!Q791="","",'Port Bloomberg'!Q791)</f>
        <v/>
      </c>
      <c r="R791" s="7" t="str">
        <f>IF('Port Bloomberg'!R791="","",'Port Bloomberg'!R791)</f>
        <v/>
      </c>
      <c r="S791" s="5" t="str">
        <f>IF(E791="","",IFERROR(IF(MATCH(E791,[1]Instrumentos!$D:$D,0)&gt;0,1,0),0))</f>
        <v/>
      </c>
      <c r="T791" s="5" t="str">
        <f>IF(E791="","",IFERROR(IF(MATCH(E791,'Lista de excepciones'!$E:$E,0)&gt;0,1,0),0))</f>
        <v/>
      </c>
      <c r="U791" s="6" t="str">
        <f t="shared" si="13"/>
        <v/>
      </c>
    </row>
    <row r="792" spans="1:21" hidden="1" x14ac:dyDescent="0.25">
      <c r="A792" s="7" t="str">
        <f>IF('Port Bloomberg'!A792="","",'Port Bloomberg'!A792)</f>
        <v/>
      </c>
      <c r="B792" s="7" t="str">
        <f>IF('Port Bloomberg'!B792="","",'Port Bloomberg'!B792)</f>
        <v/>
      </c>
      <c r="C792" s="7" t="str">
        <f>IF('Port Bloomberg'!C792="","",'Port Bloomberg'!C792)</f>
        <v/>
      </c>
      <c r="D792" s="7" t="str">
        <f>IF('Port Bloomberg'!D792="","",'Port Bloomberg'!D792)</f>
        <v/>
      </c>
      <c r="E792" s="7" t="str">
        <f>IF('Port Bloomberg'!E792="","",'Port Bloomberg'!E792)</f>
        <v/>
      </c>
      <c r="F792" s="7" t="str">
        <f>IF('Port Bloomberg'!F792="","",'Port Bloomberg'!F792)</f>
        <v/>
      </c>
      <c r="G792" s="7" t="str">
        <f>IF('Port Bloomberg'!G792="","",'Port Bloomberg'!G792)</f>
        <v/>
      </c>
      <c r="H792" s="7" t="str">
        <f>IF('Port Bloomberg'!H792="","",'Port Bloomberg'!H792)</f>
        <v/>
      </c>
      <c r="I792" s="7" t="str">
        <f>IF('Port Bloomberg'!I792="","",'Port Bloomberg'!I792)</f>
        <v/>
      </c>
      <c r="J792" s="7" t="str">
        <f>IF('Port Bloomberg'!J792="","",'Port Bloomberg'!J792)</f>
        <v/>
      </c>
      <c r="K792" s="7" t="str">
        <f>IF('Port Bloomberg'!K792="","",'Port Bloomberg'!K792)</f>
        <v/>
      </c>
      <c r="L792" s="7" t="str">
        <f>IF('Port Bloomberg'!L792="","",'Port Bloomberg'!L792)</f>
        <v/>
      </c>
      <c r="M792" s="7" t="str">
        <f>IF('Port Bloomberg'!M792="","",'Port Bloomberg'!M792)</f>
        <v/>
      </c>
      <c r="N792" s="7" t="str">
        <f>IF('Port Bloomberg'!N792="","",'Port Bloomberg'!N792)</f>
        <v/>
      </c>
      <c r="O792" s="7" t="str">
        <f>IF('Port Bloomberg'!O792="","",'Port Bloomberg'!O792)</f>
        <v/>
      </c>
      <c r="P792" s="7" t="str">
        <f>IF('Port Bloomberg'!P792="","",'Port Bloomberg'!P792)</f>
        <v/>
      </c>
      <c r="Q792" s="7" t="str">
        <f>IF('Port Bloomberg'!Q792="","",'Port Bloomberg'!Q792)</f>
        <v/>
      </c>
      <c r="R792" s="7" t="str">
        <f>IF('Port Bloomberg'!R792="","",'Port Bloomberg'!R792)</f>
        <v/>
      </c>
      <c r="S792" s="5" t="str">
        <f>IF(E792="","",IFERROR(IF(MATCH(E792,[1]Instrumentos!$D:$D,0)&gt;0,1,0),0))</f>
        <v/>
      </c>
      <c r="T792" s="5" t="str">
        <f>IF(E792="","",IFERROR(IF(MATCH(E792,'Lista de excepciones'!$E:$E,0)&gt;0,1,0),0))</f>
        <v/>
      </c>
      <c r="U792" s="6" t="str">
        <f t="shared" si="13"/>
        <v/>
      </c>
    </row>
    <row r="793" spans="1:21" hidden="1" x14ac:dyDescent="0.25">
      <c r="A793" s="7" t="str">
        <f>IF('Port Bloomberg'!A793="","",'Port Bloomberg'!A793)</f>
        <v/>
      </c>
      <c r="B793" s="7" t="str">
        <f>IF('Port Bloomberg'!B793="","",'Port Bloomberg'!B793)</f>
        <v/>
      </c>
      <c r="C793" s="7" t="str">
        <f>IF('Port Bloomberg'!C793="","",'Port Bloomberg'!C793)</f>
        <v/>
      </c>
      <c r="D793" s="7" t="str">
        <f>IF('Port Bloomberg'!D793="","",'Port Bloomberg'!D793)</f>
        <v/>
      </c>
      <c r="E793" s="7" t="str">
        <f>IF('Port Bloomberg'!E793="","",'Port Bloomberg'!E793)</f>
        <v/>
      </c>
      <c r="F793" s="7" t="str">
        <f>IF('Port Bloomberg'!F793="","",'Port Bloomberg'!F793)</f>
        <v/>
      </c>
      <c r="G793" s="7" t="str">
        <f>IF('Port Bloomberg'!G793="","",'Port Bloomberg'!G793)</f>
        <v/>
      </c>
      <c r="H793" s="7" t="str">
        <f>IF('Port Bloomberg'!H793="","",'Port Bloomberg'!H793)</f>
        <v/>
      </c>
      <c r="I793" s="7" t="str">
        <f>IF('Port Bloomberg'!I793="","",'Port Bloomberg'!I793)</f>
        <v/>
      </c>
      <c r="J793" s="7" t="str">
        <f>IF('Port Bloomberg'!J793="","",'Port Bloomberg'!J793)</f>
        <v/>
      </c>
      <c r="K793" s="7" t="str">
        <f>IF('Port Bloomberg'!K793="","",'Port Bloomberg'!K793)</f>
        <v/>
      </c>
      <c r="L793" s="7" t="str">
        <f>IF('Port Bloomberg'!L793="","",'Port Bloomberg'!L793)</f>
        <v/>
      </c>
      <c r="M793" s="7" t="str">
        <f>IF('Port Bloomberg'!M793="","",'Port Bloomberg'!M793)</f>
        <v/>
      </c>
      <c r="N793" s="7" t="str">
        <f>IF('Port Bloomberg'!N793="","",'Port Bloomberg'!N793)</f>
        <v/>
      </c>
      <c r="O793" s="7" t="str">
        <f>IF('Port Bloomberg'!O793="","",'Port Bloomberg'!O793)</f>
        <v/>
      </c>
      <c r="P793" s="7" t="str">
        <f>IF('Port Bloomberg'!P793="","",'Port Bloomberg'!P793)</f>
        <v/>
      </c>
      <c r="Q793" s="7" t="str">
        <f>IF('Port Bloomberg'!Q793="","",'Port Bloomberg'!Q793)</f>
        <v/>
      </c>
      <c r="R793" s="7" t="str">
        <f>IF('Port Bloomberg'!R793="","",'Port Bloomberg'!R793)</f>
        <v/>
      </c>
      <c r="S793" s="5" t="str">
        <f>IF(E793="","",IFERROR(IF(MATCH(E793,[1]Instrumentos!$D:$D,0)&gt;0,1,0),0))</f>
        <v/>
      </c>
      <c r="T793" s="5" t="str">
        <f>IF(E793="","",IFERROR(IF(MATCH(E793,'Lista de excepciones'!$E:$E,0)&gt;0,1,0),0))</f>
        <v/>
      </c>
      <c r="U793" s="6" t="str">
        <f t="shared" si="13"/>
        <v/>
      </c>
    </row>
    <row r="794" spans="1:21" hidden="1" x14ac:dyDescent="0.25">
      <c r="A794" s="7" t="str">
        <f>IF('Port Bloomberg'!A794="","",'Port Bloomberg'!A794)</f>
        <v/>
      </c>
      <c r="B794" s="7" t="str">
        <f>IF('Port Bloomberg'!B794="","",'Port Bloomberg'!B794)</f>
        <v/>
      </c>
      <c r="C794" s="7" t="str">
        <f>IF('Port Bloomberg'!C794="","",'Port Bloomberg'!C794)</f>
        <v/>
      </c>
      <c r="D794" s="7" t="str">
        <f>IF('Port Bloomberg'!D794="","",'Port Bloomberg'!D794)</f>
        <v/>
      </c>
      <c r="E794" s="7" t="str">
        <f>IF('Port Bloomberg'!E794="","",'Port Bloomberg'!E794)</f>
        <v/>
      </c>
      <c r="F794" s="7" t="str">
        <f>IF('Port Bloomberg'!F794="","",'Port Bloomberg'!F794)</f>
        <v/>
      </c>
      <c r="G794" s="7" t="str">
        <f>IF('Port Bloomberg'!G794="","",'Port Bloomberg'!G794)</f>
        <v/>
      </c>
      <c r="H794" s="7" t="str">
        <f>IF('Port Bloomberg'!H794="","",'Port Bloomberg'!H794)</f>
        <v/>
      </c>
      <c r="I794" s="7" t="str">
        <f>IF('Port Bloomberg'!I794="","",'Port Bloomberg'!I794)</f>
        <v/>
      </c>
      <c r="J794" s="7" t="str">
        <f>IF('Port Bloomberg'!J794="","",'Port Bloomberg'!J794)</f>
        <v/>
      </c>
      <c r="K794" s="7" t="str">
        <f>IF('Port Bloomberg'!K794="","",'Port Bloomberg'!K794)</f>
        <v/>
      </c>
      <c r="L794" s="7" t="str">
        <f>IF('Port Bloomberg'!L794="","",'Port Bloomberg'!L794)</f>
        <v/>
      </c>
      <c r="M794" s="7" t="str">
        <f>IF('Port Bloomberg'!M794="","",'Port Bloomberg'!M794)</f>
        <v/>
      </c>
      <c r="N794" s="7" t="str">
        <f>IF('Port Bloomberg'!N794="","",'Port Bloomberg'!N794)</f>
        <v/>
      </c>
      <c r="O794" s="7" t="str">
        <f>IF('Port Bloomberg'!O794="","",'Port Bloomberg'!O794)</f>
        <v/>
      </c>
      <c r="P794" s="7" t="str">
        <f>IF('Port Bloomberg'!P794="","",'Port Bloomberg'!P794)</f>
        <v/>
      </c>
      <c r="Q794" s="7" t="str">
        <f>IF('Port Bloomberg'!Q794="","",'Port Bloomberg'!Q794)</f>
        <v/>
      </c>
      <c r="R794" s="7" t="str">
        <f>IF('Port Bloomberg'!R794="","",'Port Bloomberg'!R794)</f>
        <v/>
      </c>
      <c r="S794" s="5" t="str">
        <f>IF(E794="","",IFERROR(IF(MATCH(E794,[1]Instrumentos!$D:$D,0)&gt;0,1,0),0))</f>
        <v/>
      </c>
      <c r="T794" s="5" t="str">
        <f>IF(E794="","",IFERROR(IF(MATCH(E794,'Lista de excepciones'!$E:$E,0)&gt;0,1,0),0))</f>
        <v/>
      </c>
      <c r="U794" s="6" t="str">
        <f t="shared" si="13"/>
        <v/>
      </c>
    </row>
    <row r="795" spans="1:21" hidden="1" x14ac:dyDescent="0.25">
      <c r="A795" s="7" t="str">
        <f>IF('Port Bloomberg'!A795="","",'Port Bloomberg'!A795)</f>
        <v/>
      </c>
      <c r="B795" s="7" t="str">
        <f>IF('Port Bloomberg'!B795="","",'Port Bloomberg'!B795)</f>
        <v/>
      </c>
      <c r="C795" s="7" t="str">
        <f>IF('Port Bloomberg'!C795="","",'Port Bloomberg'!C795)</f>
        <v/>
      </c>
      <c r="D795" s="7" t="str">
        <f>IF('Port Bloomberg'!D795="","",'Port Bloomberg'!D795)</f>
        <v/>
      </c>
      <c r="E795" s="7" t="str">
        <f>IF('Port Bloomberg'!E795="","",'Port Bloomberg'!E795)</f>
        <v/>
      </c>
      <c r="F795" s="7" t="str">
        <f>IF('Port Bloomberg'!F795="","",'Port Bloomberg'!F795)</f>
        <v/>
      </c>
      <c r="G795" s="7" t="str">
        <f>IF('Port Bloomberg'!G795="","",'Port Bloomberg'!G795)</f>
        <v/>
      </c>
      <c r="H795" s="7" t="str">
        <f>IF('Port Bloomberg'!H795="","",'Port Bloomberg'!H795)</f>
        <v/>
      </c>
      <c r="I795" s="7" t="str">
        <f>IF('Port Bloomberg'!I795="","",'Port Bloomberg'!I795)</f>
        <v/>
      </c>
      <c r="J795" s="7" t="str">
        <f>IF('Port Bloomberg'!J795="","",'Port Bloomberg'!J795)</f>
        <v/>
      </c>
      <c r="K795" s="7" t="str">
        <f>IF('Port Bloomberg'!K795="","",'Port Bloomberg'!K795)</f>
        <v/>
      </c>
      <c r="L795" s="7" t="str">
        <f>IF('Port Bloomberg'!L795="","",'Port Bloomberg'!L795)</f>
        <v/>
      </c>
      <c r="M795" s="7" t="str">
        <f>IF('Port Bloomberg'!M795="","",'Port Bloomberg'!M795)</f>
        <v/>
      </c>
      <c r="N795" s="7" t="str">
        <f>IF('Port Bloomberg'!N795="","",'Port Bloomberg'!N795)</f>
        <v/>
      </c>
      <c r="O795" s="7" t="str">
        <f>IF('Port Bloomberg'!O795="","",'Port Bloomberg'!O795)</f>
        <v/>
      </c>
      <c r="P795" s="7" t="str">
        <f>IF('Port Bloomberg'!P795="","",'Port Bloomberg'!P795)</f>
        <v/>
      </c>
      <c r="Q795" s="7" t="str">
        <f>IF('Port Bloomberg'!Q795="","",'Port Bloomberg'!Q795)</f>
        <v/>
      </c>
      <c r="R795" s="7" t="str">
        <f>IF('Port Bloomberg'!R795="","",'Port Bloomberg'!R795)</f>
        <v/>
      </c>
      <c r="S795" s="5" t="str">
        <f>IF(E795="","",IFERROR(IF(MATCH(E795,[1]Instrumentos!$D:$D,0)&gt;0,1,0),0))</f>
        <v/>
      </c>
      <c r="T795" s="5" t="str">
        <f>IF(E795="","",IFERROR(IF(MATCH(E795,'Lista de excepciones'!$E:$E,0)&gt;0,1,0),0))</f>
        <v/>
      </c>
      <c r="U795" s="6" t="str">
        <f t="shared" si="13"/>
        <v/>
      </c>
    </row>
    <row r="796" spans="1:21" hidden="1" x14ac:dyDescent="0.25">
      <c r="A796" s="7" t="str">
        <f>IF('Port Bloomberg'!A796="","",'Port Bloomberg'!A796)</f>
        <v/>
      </c>
      <c r="B796" s="7" t="str">
        <f>IF('Port Bloomberg'!B796="","",'Port Bloomberg'!B796)</f>
        <v/>
      </c>
      <c r="C796" s="7" t="str">
        <f>IF('Port Bloomberg'!C796="","",'Port Bloomberg'!C796)</f>
        <v/>
      </c>
      <c r="D796" s="7" t="str">
        <f>IF('Port Bloomberg'!D796="","",'Port Bloomberg'!D796)</f>
        <v/>
      </c>
      <c r="E796" s="7" t="str">
        <f>IF('Port Bloomberg'!E796="","",'Port Bloomberg'!E796)</f>
        <v/>
      </c>
      <c r="F796" s="7" t="str">
        <f>IF('Port Bloomberg'!F796="","",'Port Bloomberg'!F796)</f>
        <v/>
      </c>
      <c r="G796" s="7" t="str">
        <f>IF('Port Bloomberg'!G796="","",'Port Bloomberg'!G796)</f>
        <v/>
      </c>
      <c r="H796" s="7" t="str">
        <f>IF('Port Bloomberg'!H796="","",'Port Bloomberg'!H796)</f>
        <v/>
      </c>
      <c r="I796" s="7" t="str">
        <f>IF('Port Bloomberg'!I796="","",'Port Bloomberg'!I796)</f>
        <v/>
      </c>
      <c r="J796" s="7" t="str">
        <f>IF('Port Bloomberg'!J796="","",'Port Bloomberg'!J796)</f>
        <v/>
      </c>
      <c r="K796" s="7" t="str">
        <f>IF('Port Bloomberg'!K796="","",'Port Bloomberg'!K796)</f>
        <v/>
      </c>
      <c r="L796" s="7" t="str">
        <f>IF('Port Bloomberg'!L796="","",'Port Bloomberg'!L796)</f>
        <v/>
      </c>
      <c r="M796" s="7" t="str">
        <f>IF('Port Bloomberg'!M796="","",'Port Bloomberg'!M796)</f>
        <v/>
      </c>
      <c r="N796" s="7" t="str">
        <f>IF('Port Bloomberg'!N796="","",'Port Bloomberg'!N796)</f>
        <v/>
      </c>
      <c r="O796" s="7" t="str">
        <f>IF('Port Bloomberg'!O796="","",'Port Bloomberg'!O796)</f>
        <v/>
      </c>
      <c r="P796" s="7" t="str">
        <f>IF('Port Bloomberg'!P796="","",'Port Bloomberg'!P796)</f>
        <v/>
      </c>
      <c r="Q796" s="7" t="str">
        <f>IF('Port Bloomberg'!Q796="","",'Port Bloomberg'!Q796)</f>
        <v/>
      </c>
      <c r="R796" s="7" t="str">
        <f>IF('Port Bloomberg'!R796="","",'Port Bloomberg'!R796)</f>
        <v/>
      </c>
      <c r="S796" s="5" t="str">
        <f>IF(E796="","",IFERROR(IF(MATCH(E796,[1]Instrumentos!$D:$D,0)&gt;0,1,0),0))</f>
        <v/>
      </c>
      <c r="T796" s="5" t="str">
        <f>IF(E796="","",IFERROR(IF(MATCH(E796,'Lista de excepciones'!$E:$E,0)&gt;0,1,0),0))</f>
        <v/>
      </c>
      <c r="U796" s="6" t="str">
        <f t="shared" si="13"/>
        <v/>
      </c>
    </row>
    <row r="797" spans="1:21" hidden="1" x14ac:dyDescent="0.25">
      <c r="A797" s="7" t="str">
        <f>IF('Port Bloomberg'!A797="","",'Port Bloomberg'!A797)</f>
        <v/>
      </c>
      <c r="B797" s="7" t="str">
        <f>IF('Port Bloomberg'!B797="","",'Port Bloomberg'!B797)</f>
        <v/>
      </c>
      <c r="C797" s="7" t="str">
        <f>IF('Port Bloomberg'!C797="","",'Port Bloomberg'!C797)</f>
        <v/>
      </c>
      <c r="D797" s="7" t="str">
        <f>IF('Port Bloomberg'!D797="","",'Port Bloomberg'!D797)</f>
        <v/>
      </c>
      <c r="E797" s="7" t="str">
        <f>IF('Port Bloomberg'!E797="","",'Port Bloomberg'!E797)</f>
        <v/>
      </c>
      <c r="F797" s="7" t="str">
        <f>IF('Port Bloomberg'!F797="","",'Port Bloomberg'!F797)</f>
        <v/>
      </c>
      <c r="G797" s="7" t="str">
        <f>IF('Port Bloomberg'!G797="","",'Port Bloomberg'!G797)</f>
        <v/>
      </c>
      <c r="H797" s="7" t="str">
        <f>IF('Port Bloomberg'!H797="","",'Port Bloomberg'!H797)</f>
        <v/>
      </c>
      <c r="I797" s="7" t="str">
        <f>IF('Port Bloomberg'!I797="","",'Port Bloomberg'!I797)</f>
        <v/>
      </c>
      <c r="J797" s="7" t="str">
        <f>IF('Port Bloomberg'!J797="","",'Port Bloomberg'!J797)</f>
        <v/>
      </c>
      <c r="K797" s="7" t="str">
        <f>IF('Port Bloomberg'!K797="","",'Port Bloomberg'!K797)</f>
        <v/>
      </c>
      <c r="L797" s="7" t="str">
        <f>IF('Port Bloomberg'!L797="","",'Port Bloomberg'!L797)</f>
        <v/>
      </c>
      <c r="M797" s="7" t="str">
        <f>IF('Port Bloomberg'!M797="","",'Port Bloomberg'!M797)</f>
        <v/>
      </c>
      <c r="N797" s="7" t="str">
        <f>IF('Port Bloomberg'!N797="","",'Port Bloomberg'!N797)</f>
        <v/>
      </c>
      <c r="O797" s="7" t="str">
        <f>IF('Port Bloomberg'!O797="","",'Port Bloomberg'!O797)</f>
        <v/>
      </c>
      <c r="P797" s="7" t="str">
        <f>IF('Port Bloomberg'!P797="","",'Port Bloomberg'!P797)</f>
        <v/>
      </c>
      <c r="Q797" s="7" t="str">
        <f>IF('Port Bloomberg'!Q797="","",'Port Bloomberg'!Q797)</f>
        <v/>
      </c>
      <c r="R797" s="7" t="str">
        <f>IF('Port Bloomberg'!R797="","",'Port Bloomberg'!R797)</f>
        <v/>
      </c>
      <c r="S797" s="5" t="str">
        <f>IF(E797="","",IFERROR(IF(MATCH(E797,[1]Instrumentos!$D:$D,0)&gt;0,1,0),0))</f>
        <v/>
      </c>
      <c r="T797" s="5" t="str">
        <f>IF(E797="","",IFERROR(IF(MATCH(E797,'Lista de excepciones'!$E:$E,0)&gt;0,1,0),0))</f>
        <v/>
      </c>
      <c r="U797" s="6" t="str">
        <f t="shared" si="13"/>
        <v/>
      </c>
    </row>
    <row r="798" spans="1:21" hidden="1" x14ac:dyDescent="0.25">
      <c r="A798" s="7" t="str">
        <f>IF('Port Bloomberg'!A798="","",'Port Bloomberg'!A798)</f>
        <v/>
      </c>
      <c r="B798" s="7" t="str">
        <f>IF('Port Bloomberg'!B798="","",'Port Bloomberg'!B798)</f>
        <v/>
      </c>
      <c r="C798" s="7" t="str">
        <f>IF('Port Bloomberg'!C798="","",'Port Bloomberg'!C798)</f>
        <v/>
      </c>
      <c r="D798" s="7" t="str">
        <f>IF('Port Bloomberg'!D798="","",'Port Bloomberg'!D798)</f>
        <v/>
      </c>
      <c r="E798" s="7" t="str">
        <f>IF('Port Bloomberg'!E798="","",'Port Bloomberg'!E798)</f>
        <v/>
      </c>
      <c r="F798" s="7" t="str">
        <f>IF('Port Bloomberg'!F798="","",'Port Bloomberg'!F798)</f>
        <v/>
      </c>
      <c r="G798" s="7" t="str">
        <f>IF('Port Bloomberg'!G798="","",'Port Bloomberg'!G798)</f>
        <v/>
      </c>
      <c r="H798" s="7" t="str">
        <f>IF('Port Bloomberg'!H798="","",'Port Bloomberg'!H798)</f>
        <v/>
      </c>
      <c r="I798" s="7" t="str">
        <f>IF('Port Bloomberg'!I798="","",'Port Bloomberg'!I798)</f>
        <v/>
      </c>
      <c r="J798" s="7" t="str">
        <f>IF('Port Bloomberg'!J798="","",'Port Bloomberg'!J798)</f>
        <v/>
      </c>
      <c r="K798" s="7" t="str">
        <f>IF('Port Bloomberg'!K798="","",'Port Bloomberg'!K798)</f>
        <v/>
      </c>
      <c r="L798" s="7" t="str">
        <f>IF('Port Bloomberg'!L798="","",'Port Bloomberg'!L798)</f>
        <v/>
      </c>
      <c r="M798" s="7" t="str">
        <f>IF('Port Bloomberg'!M798="","",'Port Bloomberg'!M798)</f>
        <v/>
      </c>
      <c r="N798" s="7" t="str">
        <f>IF('Port Bloomberg'!N798="","",'Port Bloomberg'!N798)</f>
        <v/>
      </c>
      <c r="O798" s="7" t="str">
        <f>IF('Port Bloomberg'!O798="","",'Port Bloomberg'!O798)</f>
        <v/>
      </c>
      <c r="P798" s="7" t="str">
        <f>IF('Port Bloomberg'!P798="","",'Port Bloomberg'!P798)</f>
        <v/>
      </c>
      <c r="Q798" s="7" t="str">
        <f>IF('Port Bloomberg'!Q798="","",'Port Bloomberg'!Q798)</f>
        <v/>
      </c>
      <c r="R798" s="7" t="str">
        <f>IF('Port Bloomberg'!R798="","",'Port Bloomberg'!R798)</f>
        <v/>
      </c>
      <c r="S798" s="5" t="str">
        <f>IF(E798="","",IFERROR(IF(MATCH(E798,[1]Instrumentos!$D:$D,0)&gt;0,1,0),0))</f>
        <v/>
      </c>
      <c r="T798" s="5" t="str">
        <f>IF(E798="","",IFERROR(IF(MATCH(E798,'Lista de excepciones'!$E:$E,0)&gt;0,1,0),0))</f>
        <v/>
      </c>
      <c r="U798" s="6" t="str">
        <f t="shared" si="13"/>
        <v/>
      </c>
    </row>
    <row r="799" spans="1:21" hidden="1" x14ac:dyDescent="0.25">
      <c r="A799" s="7" t="str">
        <f>IF('Port Bloomberg'!A799="","",'Port Bloomberg'!A799)</f>
        <v/>
      </c>
      <c r="B799" s="7" t="str">
        <f>IF('Port Bloomberg'!B799="","",'Port Bloomberg'!B799)</f>
        <v/>
      </c>
      <c r="C799" s="7" t="str">
        <f>IF('Port Bloomberg'!C799="","",'Port Bloomberg'!C799)</f>
        <v/>
      </c>
      <c r="D799" s="7" t="str">
        <f>IF('Port Bloomberg'!D799="","",'Port Bloomberg'!D799)</f>
        <v/>
      </c>
      <c r="E799" s="7" t="str">
        <f>IF('Port Bloomberg'!E799="","",'Port Bloomberg'!E799)</f>
        <v/>
      </c>
      <c r="F799" s="7" t="str">
        <f>IF('Port Bloomberg'!F799="","",'Port Bloomberg'!F799)</f>
        <v/>
      </c>
      <c r="G799" s="7" t="str">
        <f>IF('Port Bloomberg'!G799="","",'Port Bloomberg'!G799)</f>
        <v/>
      </c>
      <c r="H799" s="7" t="str">
        <f>IF('Port Bloomberg'!H799="","",'Port Bloomberg'!H799)</f>
        <v/>
      </c>
      <c r="I799" s="7" t="str">
        <f>IF('Port Bloomberg'!I799="","",'Port Bloomberg'!I799)</f>
        <v/>
      </c>
      <c r="J799" s="7" t="str">
        <f>IF('Port Bloomberg'!J799="","",'Port Bloomberg'!J799)</f>
        <v/>
      </c>
      <c r="K799" s="7" t="str">
        <f>IF('Port Bloomberg'!K799="","",'Port Bloomberg'!K799)</f>
        <v/>
      </c>
      <c r="L799" s="7" t="str">
        <f>IF('Port Bloomberg'!L799="","",'Port Bloomberg'!L799)</f>
        <v/>
      </c>
      <c r="M799" s="7" t="str">
        <f>IF('Port Bloomberg'!M799="","",'Port Bloomberg'!M799)</f>
        <v/>
      </c>
      <c r="N799" s="7" t="str">
        <f>IF('Port Bloomberg'!N799="","",'Port Bloomberg'!N799)</f>
        <v/>
      </c>
      <c r="O799" s="7" t="str">
        <f>IF('Port Bloomberg'!O799="","",'Port Bloomberg'!O799)</f>
        <v/>
      </c>
      <c r="P799" s="7" t="str">
        <f>IF('Port Bloomberg'!P799="","",'Port Bloomberg'!P799)</f>
        <v/>
      </c>
      <c r="Q799" s="7" t="str">
        <f>IF('Port Bloomberg'!Q799="","",'Port Bloomberg'!Q799)</f>
        <v/>
      </c>
      <c r="R799" s="7" t="str">
        <f>IF('Port Bloomberg'!R799="","",'Port Bloomberg'!R799)</f>
        <v/>
      </c>
      <c r="S799" s="5" t="str">
        <f>IF(E799="","",IFERROR(IF(MATCH(E799,[1]Instrumentos!$D:$D,0)&gt;0,1,0),0))</f>
        <v/>
      </c>
      <c r="T799" s="5" t="str">
        <f>IF(E799="","",IFERROR(IF(MATCH(E799,'Lista de excepciones'!$E:$E,0)&gt;0,1,0),0))</f>
        <v/>
      </c>
      <c r="U799" s="6" t="str">
        <f t="shared" si="13"/>
        <v/>
      </c>
    </row>
    <row r="800" spans="1:21" hidden="1" x14ac:dyDescent="0.25">
      <c r="A800" s="7" t="str">
        <f>IF('Port Bloomberg'!A800="","",'Port Bloomberg'!A800)</f>
        <v/>
      </c>
      <c r="B800" s="7" t="str">
        <f>IF('Port Bloomberg'!B800="","",'Port Bloomberg'!B800)</f>
        <v/>
      </c>
      <c r="C800" s="7" t="str">
        <f>IF('Port Bloomberg'!C800="","",'Port Bloomberg'!C800)</f>
        <v/>
      </c>
      <c r="D800" s="7" t="str">
        <f>IF('Port Bloomberg'!D800="","",'Port Bloomberg'!D800)</f>
        <v/>
      </c>
      <c r="E800" s="7" t="str">
        <f>IF('Port Bloomberg'!E800="","",'Port Bloomberg'!E800)</f>
        <v/>
      </c>
      <c r="F800" s="7" t="str">
        <f>IF('Port Bloomberg'!F800="","",'Port Bloomberg'!F800)</f>
        <v/>
      </c>
      <c r="G800" s="7" t="str">
        <f>IF('Port Bloomberg'!G800="","",'Port Bloomberg'!G800)</f>
        <v/>
      </c>
      <c r="H800" s="7" t="str">
        <f>IF('Port Bloomberg'!H800="","",'Port Bloomberg'!H800)</f>
        <v/>
      </c>
      <c r="I800" s="7" t="str">
        <f>IF('Port Bloomberg'!I800="","",'Port Bloomberg'!I800)</f>
        <v/>
      </c>
      <c r="J800" s="7" t="str">
        <f>IF('Port Bloomberg'!J800="","",'Port Bloomberg'!J800)</f>
        <v/>
      </c>
      <c r="K800" s="7" t="str">
        <f>IF('Port Bloomberg'!K800="","",'Port Bloomberg'!K800)</f>
        <v/>
      </c>
      <c r="L800" s="7" t="str">
        <f>IF('Port Bloomberg'!L800="","",'Port Bloomberg'!L800)</f>
        <v/>
      </c>
      <c r="M800" s="7" t="str">
        <f>IF('Port Bloomberg'!M800="","",'Port Bloomberg'!M800)</f>
        <v/>
      </c>
      <c r="N800" s="7" t="str">
        <f>IF('Port Bloomberg'!N800="","",'Port Bloomberg'!N800)</f>
        <v/>
      </c>
      <c r="O800" s="7" t="str">
        <f>IF('Port Bloomberg'!O800="","",'Port Bloomberg'!O800)</f>
        <v/>
      </c>
      <c r="P800" s="7" t="str">
        <f>IF('Port Bloomberg'!P800="","",'Port Bloomberg'!P800)</f>
        <v/>
      </c>
      <c r="Q800" s="7" t="str">
        <f>IF('Port Bloomberg'!Q800="","",'Port Bloomberg'!Q800)</f>
        <v/>
      </c>
      <c r="R800" s="7" t="str">
        <f>IF('Port Bloomberg'!R800="","",'Port Bloomberg'!R800)</f>
        <v/>
      </c>
      <c r="S800" s="5" t="str">
        <f>IF(E800="","",IFERROR(IF(MATCH(E800,[1]Instrumentos!$D:$D,0)&gt;0,1,0),0))</f>
        <v/>
      </c>
      <c r="T800" s="5" t="str">
        <f>IF(E800="","",IFERROR(IF(MATCH(E800,'Lista de excepciones'!$E:$E,0)&gt;0,1,0),0))</f>
        <v/>
      </c>
      <c r="U800" s="6" t="str">
        <f t="shared" si="13"/>
        <v/>
      </c>
    </row>
    <row r="801" spans="1:21" hidden="1" x14ac:dyDescent="0.25">
      <c r="A801" s="7" t="str">
        <f>IF('Port Bloomberg'!A801="","",'Port Bloomberg'!A801)</f>
        <v/>
      </c>
      <c r="B801" s="7" t="str">
        <f>IF('Port Bloomberg'!B801="","",'Port Bloomberg'!B801)</f>
        <v/>
      </c>
      <c r="C801" s="7" t="str">
        <f>IF('Port Bloomberg'!C801="","",'Port Bloomberg'!C801)</f>
        <v/>
      </c>
      <c r="D801" s="7" t="str">
        <f>IF('Port Bloomberg'!D801="","",'Port Bloomberg'!D801)</f>
        <v/>
      </c>
      <c r="E801" s="7" t="str">
        <f>IF('Port Bloomberg'!E801="","",'Port Bloomberg'!E801)</f>
        <v/>
      </c>
      <c r="F801" s="7" t="str">
        <f>IF('Port Bloomberg'!F801="","",'Port Bloomberg'!F801)</f>
        <v/>
      </c>
      <c r="G801" s="7" t="str">
        <f>IF('Port Bloomberg'!G801="","",'Port Bloomberg'!G801)</f>
        <v/>
      </c>
      <c r="H801" s="7" t="str">
        <f>IF('Port Bloomberg'!H801="","",'Port Bloomberg'!H801)</f>
        <v/>
      </c>
      <c r="I801" s="7" t="str">
        <f>IF('Port Bloomberg'!I801="","",'Port Bloomberg'!I801)</f>
        <v/>
      </c>
      <c r="J801" s="7" t="str">
        <f>IF('Port Bloomberg'!J801="","",'Port Bloomberg'!J801)</f>
        <v/>
      </c>
      <c r="K801" s="7" t="str">
        <f>IF('Port Bloomberg'!K801="","",'Port Bloomberg'!K801)</f>
        <v/>
      </c>
      <c r="L801" s="7" t="str">
        <f>IF('Port Bloomberg'!L801="","",'Port Bloomberg'!L801)</f>
        <v/>
      </c>
      <c r="M801" s="7" t="str">
        <f>IF('Port Bloomberg'!M801="","",'Port Bloomberg'!M801)</f>
        <v/>
      </c>
      <c r="N801" s="7" t="str">
        <f>IF('Port Bloomberg'!N801="","",'Port Bloomberg'!N801)</f>
        <v/>
      </c>
      <c r="O801" s="7" t="str">
        <f>IF('Port Bloomberg'!O801="","",'Port Bloomberg'!O801)</f>
        <v/>
      </c>
      <c r="P801" s="7" t="str">
        <f>IF('Port Bloomberg'!P801="","",'Port Bloomberg'!P801)</f>
        <v/>
      </c>
      <c r="Q801" s="7" t="str">
        <f>IF('Port Bloomberg'!Q801="","",'Port Bloomberg'!Q801)</f>
        <v/>
      </c>
      <c r="R801" s="7" t="str">
        <f>IF('Port Bloomberg'!R801="","",'Port Bloomberg'!R801)</f>
        <v/>
      </c>
      <c r="S801" s="5" t="str">
        <f>IF(E801="","",IFERROR(IF(MATCH(E801,[1]Instrumentos!$D:$D,0)&gt;0,1,0),0))</f>
        <v/>
      </c>
      <c r="T801" s="5" t="str">
        <f>IF(E801="","",IFERROR(IF(MATCH(E801,'Lista de excepciones'!$E:$E,0)&gt;0,1,0),0))</f>
        <v/>
      </c>
      <c r="U801" s="6" t="str">
        <f t="shared" si="13"/>
        <v/>
      </c>
    </row>
    <row r="802" spans="1:21" hidden="1" x14ac:dyDescent="0.25">
      <c r="A802" s="7" t="str">
        <f>IF('Port Bloomberg'!A802="","",'Port Bloomberg'!A802)</f>
        <v/>
      </c>
      <c r="B802" s="7" t="str">
        <f>IF('Port Bloomberg'!B802="","",'Port Bloomberg'!B802)</f>
        <v/>
      </c>
      <c r="C802" s="7" t="str">
        <f>IF('Port Bloomberg'!C802="","",'Port Bloomberg'!C802)</f>
        <v/>
      </c>
      <c r="D802" s="7" t="str">
        <f>IF('Port Bloomberg'!D802="","",'Port Bloomberg'!D802)</f>
        <v/>
      </c>
      <c r="E802" s="7" t="str">
        <f>IF('Port Bloomberg'!E802="","",'Port Bloomberg'!E802)</f>
        <v/>
      </c>
      <c r="F802" s="7" t="str">
        <f>IF('Port Bloomberg'!F802="","",'Port Bloomberg'!F802)</f>
        <v/>
      </c>
      <c r="G802" s="7" t="str">
        <f>IF('Port Bloomberg'!G802="","",'Port Bloomberg'!G802)</f>
        <v/>
      </c>
      <c r="H802" s="7" t="str">
        <f>IF('Port Bloomberg'!H802="","",'Port Bloomberg'!H802)</f>
        <v/>
      </c>
      <c r="I802" s="7" t="str">
        <f>IF('Port Bloomberg'!I802="","",'Port Bloomberg'!I802)</f>
        <v/>
      </c>
      <c r="J802" s="7" t="str">
        <f>IF('Port Bloomberg'!J802="","",'Port Bloomberg'!J802)</f>
        <v/>
      </c>
      <c r="K802" s="7" t="str">
        <f>IF('Port Bloomberg'!K802="","",'Port Bloomberg'!K802)</f>
        <v/>
      </c>
      <c r="L802" s="7" t="str">
        <f>IF('Port Bloomberg'!L802="","",'Port Bloomberg'!L802)</f>
        <v/>
      </c>
      <c r="M802" s="7" t="str">
        <f>IF('Port Bloomberg'!M802="","",'Port Bloomberg'!M802)</f>
        <v/>
      </c>
      <c r="N802" s="7" t="str">
        <f>IF('Port Bloomberg'!N802="","",'Port Bloomberg'!N802)</f>
        <v/>
      </c>
      <c r="O802" s="7" t="str">
        <f>IF('Port Bloomberg'!O802="","",'Port Bloomberg'!O802)</f>
        <v/>
      </c>
      <c r="P802" s="7" t="str">
        <f>IF('Port Bloomberg'!P802="","",'Port Bloomberg'!P802)</f>
        <v/>
      </c>
      <c r="Q802" s="7" t="str">
        <f>IF('Port Bloomberg'!Q802="","",'Port Bloomberg'!Q802)</f>
        <v/>
      </c>
      <c r="R802" s="7" t="str">
        <f>IF('Port Bloomberg'!R802="","",'Port Bloomberg'!R802)</f>
        <v/>
      </c>
      <c r="S802" s="5" t="str">
        <f>IF(E802="","",IFERROR(IF(MATCH(E802,[1]Instrumentos!$D:$D,0)&gt;0,1,0),0))</f>
        <v/>
      </c>
      <c r="T802" s="5" t="str">
        <f>IF(E802="","",IFERROR(IF(MATCH(E802,'Lista de excepciones'!$E:$E,0)&gt;0,1,0),0))</f>
        <v/>
      </c>
      <c r="U802" s="6" t="str">
        <f t="shared" si="13"/>
        <v/>
      </c>
    </row>
    <row r="803" spans="1:21" hidden="1" x14ac:dyDescent="0.25">
      <c r="A803" s="7" t="str">
        <f>IF('Port Bloomberg'!A803="","",'Port Bloomberg'!A803)</f>
        <v/>
      </c>
      <c r="B803" s="7" t="str">
        <f>IF('Port Bloomberg'!B803="","",'Port Bloomberg'!B803)</f>
        <v/>
      </c>
      <c r="C803" s="7" t="str">
        <f>IF('Port Bloomberg'!C803="","",'Port Bloomberg'!C803)</f>
        <v/>
      </c>
      <c r="D803" s="7" t="str">
        <f>IF('Port Bloomberg'!D803="","",'Port Bloomberg'!D803)</f>
        <v/>
      </c>
      <c r="E803" s="7" t="str">
        <f>IF('Port Bloomberg'!E803="","",'Port Bloomberg'!E803)</f>
        <v/>
      </c>
      <c r="F803" s="7" t="str">
        <f>IF('Port Bloomberg'!F803="","",'Port Bloomberg'!F803)</f>
        <v/>
      </c>
      <c r="G803" s="7" t="str">
        <f>IF('Port Bloomberg'!G803="","",'Port Bloomberg'!G803)</f>
        <v/>
      </c>
      <c r="H803" s="7" t="str">
        <f>IF('Port Bloomberg'!H803="","",'Port Bloomberg'!H803)</f>
        <v/>
      </c>
      <c r="I803" s="7" t="str">
        <f>IF('Port Bloomberg'!I803="","",'Port Bloomberg'!I803)</f>
        <v/>
      </c>
      <c r="J803" s="7" t="str">
        <f>IF('Port Bloomberg'!J803="","",'Port Bloomberg'!J803)</f>
        <v/>
      </c>
      <c r="K803" s="7" t="str">
        <f>IF('Port Bloomberg'!K803="","",'Port Bloomberg'!K803)</f>
        <v/>
      </c>
      <c r="L803" s="7" t="str">
        <f>IF('Port Bloomberg'!L803="","",'Port Bloomberg'!L803)</f>
        <v/>
      </c>
      <c r="M803" s="7" t="str">
        <f>IF('Port Bloomberg'!M803="","",'Port Bloomberg'!M803)</f>
        <v/>
      </c>
      <c r="N803" s="7" t="str">
        <f>IF('Port Bloomberg'!N803="","",'Port Bloomberg'!N803)</f>
        <v/>
      </c>
      <c r="O803" s="7" t="str">
        <f>IF('Port Bloomberg'!O803="","",'Port Bloomberg'!O803)</f>
        <v/>
      </c>
      <c r="P803" s="7" t="str">
        <f>IF('Port Bloomberg'!P803="","",'Port Bloomberg'!P803)</f>
        <v/>
      </c>
      <c r="Q803" s="7" t="str">
        <f>IF('Port Bloomberg'!Q803="","",'Port Bloomberg'!Q803)</f>
        <v/>
      </c>
      <c r="R803" s="7" t="str">
        <f>IF('Port Bloomberg'!R803="","",'Port Bloomberg'!R803)</f>
        <v/>
      </c>
      <c r="S803" s="5" t="str">
        <f>IF(E803="","",IFERROR(IF(MATCH(E803,[1]Instrumentos!$D:$D,0)&gt;0,1,0),0))</f>
        <v/>
      </c>
      <c r="T803" s="5" t="str">
        <f>IF(E803="","",IFERROR(IF(MATCH(E803,'Lista de excepciones'!$E:$E,0)&gt;0,1,0),0))</f>
        <v/>
      </c>
      <c r="U803" s="6" t="str">
        <f t="shared" si="13"/>
        <v/>
      </c>
    </row>
    <row r="804" spans="1:21" hidden="1" x14ac:dyDescent="0.25">
      <c r="A804" s="7" t="str">
        <f>IF('Port Bloomberg'!A804="","",'Port Bloomberg'!A804)</f>
        <v/>
      </c>
      <c r="B804" s="7" t="str">
        <f>IF('Port Bloomberg'!B804="","",'Port Bloomberg'!B804)</f>
        <v/>
      </c>
      <c r="C804" s="7" t="str">
        <f>IF('Port Bloomberg'!C804="","",'Port Bloomberg'!C804)</f>
        <v/>
      </c>
      <c r="D804" s="7" t="str">
        <f>IF('Port Bloomberg'!D804="","",'Port Bloomberg'!D804)</f>
        <v/>
      </c>
      <c r="E804" s="7" t="str">
        <f>IF('Port Bloomberg'!E804="","",'Port Bloomberg'!E804)</f>
        <v/>
      </c>
      <c r="F804" s="7" t="str">
        <f>IF('Port Bloomberg'!F804="","",'Port Bloomberg'!F804)</f>
        <v/>
      </c>
      <c r="G804" s="7" t="str">
        <f>IF('Port Bloomberg'!G804="","",'Port Bloomberg'!G804)</f>
        <v/>
      </c>
      <c r="H804" s="7" t="str">
        <f>IF('Port Bloomberg'!H804="","",'Port Bloomberg'!H804)</f>
        <v/>
      </c>
      <c r="I804" s="7" t="str">
        <f>IF('Port Bloomberg'!I804="","",'Port Bloomberg'!I804)</f>
        <v/>
      </c>
      <c r="J804" s="7" t="str">
        <f>IF('Port Bloomberg'!J804="","",'Port Bloomberg'!J804)</f>
        <v/>
      </c>
      <c r="K804" s="7" t="str">
        <f>IF('Port Bloomberg'!K804="","",'Port Bloomberg'!K804)</f>
        <v/>
      </c>
      <c r="L804" s="7" t="str">
        <f>IF('Port Bloomberg'!L804="","",'Port Bloomberg'!L804)</f>
        <v/>
      </c>
      <c r="M804" s="7" t="str">
        <f>IF('Port Bloomberg'!M804="","",'Port Bloomberg'!M804)</f>
        <v/>
      </c>
      <c r="N804" s="7" t="str">
        <f>IF('Port Bloomberg'!N804="","",'Port Bloomberg'!N804)</f>
        <v/>
      </c>
      <c r="O804" s="7" t="str">
        <f>IF('Port Bloomberg'!O804="","",'Port Bloomberg'!O804)</f>
        <v/>
      </c>
      <c r="P804" s="7" t="str">
        <f>IF('Port Bloomberg'!P804="","",'Port Bloomberg'!P804)</f>
        <v/>
      </c>
      <c r="Q804" s="7" t="str">
        <f>IF('Port Bloomberg'!Q804="","",'Port Bloomberg'!Q804)</f>
        <v/>
      </c>
      <c r="R804" s="7" t="str">
        <f>IF('Port Bloomberg'!R804="","",'Port Bloomberg'!R804)</f>
        <v/>
      </c>
      <c r="S804" s="5" t="str">
        <f>IF(E804="","",IFERROR(IF(MATCH(E804,[1]Instrumentos!$D:$D,0)&gt;0,1,0),0))</f>
        <v/>
      </c>
      <c r="T804" s="5" t="str">
        <f>IF(E804="","",IFERROR(IF(MATCH(E804,'Lista de excepciones'!$E:$E,0)&gt;0,1,0),0))</f>
        <v/>
      </c>
      <c r="U804" s="6" t="str">
        <f t="shared" si="13"/>
        <v/>
      </c>
    </row>
    <row r="805" spans="1:21" hidden="1" x14ac:dyDescent="0.25">
      <c r="A805" s="7" t="str">
        <f>IF('Port Bloomberg'!A805="","",'Port Bloomberg'!A805)</f>
        <v/>
      </c>
      <c r="B805" s="7" t="str">
        <f>IF('Port Bloomberg'!B805="","",'Port Bloomberg'!B805)</f>
        <v/>
      </c>
      <c r="C805" s="7" t="str">
        <f>IF('Port Bloomberg'!C805="","",'Port Bloomberg'!C805)</f>
        <v/>
      </c>
      <c r="D805" s="7" t="str">
        <f>IF('Port Bloomberg'!D805="","",'Port Bloomberg'!D805)</f>
        <v/>
      </c>
      <c r="E805" s="7" t="str">
        <f>IF('Port Bloomberg'!E805="","",'Port Bloomberg'!E805)</f>
        <v/>
      </c>
      <c r="F805" s="7" t="str">
        <f>IF('Port Bloomberg'!F805="","",'Port Bloomberg'!F805)</f>
        <v/>
      </c>
      <c r="G805" s="7" t="str">
        <f>IF('Port Bloomberg'!G805="","",'Port Bloomberg'!G805)</f>
        <v/>
      </c>
      <c r="H805" s="7" t="str">
        <f>IF('Port Bloomberg'!H805="","",'Port Bloomberg'!H805)</f>
        <v/>
      </c>
      <c r="I805" s="7" t="str">
        <f>IF('Port Bloomberg'!I805="","",'Port Bloomberg'!I805)</f>
        <v/>
      </c>
      <c r="J805" s="7" t="str">
        <f>IF('Port Bloomberg'!J805="","",'Port Bloomberg'!J805)</f>
        <v/>
      </c>
      <c r="K805" s="7" t="str">
        <f>IF('Port Bloomberg'!K805="","",'Port Bloomberg'!K805)</f>
        <v/>
      </c>
      <c r="L805" s="7" t="str">
        <f>IF('Port Bloomberg'!L805="","",'Port Bloomberg'!L805)</f>
        <v/>
      </c>
      <c r="M805" s="7" t="str">
        <f>IF('Port Bloomberg'!M805="","",'Port Bloomberg'!M805)</f>
        <v/>
      </c>
      <c r="N805" s="7" t="str">
        <f>IF('Port Bloomberg'!N805="","",'Port Bloomberg'!N805)</f>
        <v/>
      </c>
      <c r="O805" s="7" t="str">
        <f>IF('Port Bloomberg'!O805="","",'Port Bloomberg'!O805)</f>
        <v/>
      </c>
      <c r="P805" s="7" t="str">
        <f>IF('Port Bloomberg'!P805="","",'Port Bloomberg'!P805)</f>
        <v/>
      </c>
      <c r="Q805" s="7" t="str">
        <f>IF('Port Bloomberg'!Q805="","",'Port Bloomberg'!Q805)</f>
        <v/>
      </c>
      <c r="R805" s="7" t="str">
        <f>IF('Port Bloomberg'!R805="","",'Port Bloomberg'!R805)</f>
        <v/>
      </c>
      <c r="S805" s="5" t="str">
        <f>IF(E805="","",IFERROR(IF(MATCH(E805,[1]Instrumentos!$D:$D,0)&gt;0,1,0),0))</f>
        <v/>
      </c>
      <c r="T805" s="5" t="str">
        <f>IF(E805="","",IFERROR(IF(MATCH(E805,'Lista de excepciones'!$E:$E,0)&gt;0,1,0),0))</f>
        <v/>
      </c>
      <c r="U805" s="6" t="str">
        <f t="shared" si="13"/>
        <v/>
      </c>
    </row>
    <row r="806" spans="1:21" hidden="1" x14ac:dyDescent="0.25">
      <c r="A806" s="7" t="str">
        <f>IF('Port Bloomberg'!A806="","",'Port Bloomberg'!A806)</f>
        <v/>
      </c>
      <c r="B806" s="7" t="str">
        <f>IF('Port Bloomberg'!B806="","",'Port Bloomberg'!B806)</f>
        <v/>
      </c>
      <c r="C806" s="7" t="str">
        <f>IF('Port Bloomberg'!C806="","",'Port Bloomberg'!C806)</f>
        <v/>
      </c>
      <c r="D806" s="7" t="str">
        <f>IF('Port Bloomberg'!D806="","",'Port Bloomberg'!D806)</f>
        <v/>
      </c>
      <c r="E806" s="7" t="str">
        <f>IF('Port Bloomberg'!E806="","",'Port Bloomberg'!E806)</f>
        <v/>
      </c>
      <c r="F806" s="7" t="str">
        <f>IF('Port Bloomberg'!F806="","",'Port Bloomberg'!F806)</f>
        <v/>
      </c>
      <c r="G806" s="7" t="str">
        <f>IF('Port Bloomberg'!G806="","",'Port Bloomberg'!G806)</f>
        <v/>
      </c>
      <c r="H806" s="7" t="str">
        <f>IF('Port Bloomberg'!H806="","",'Port Bloomberg'!H806)</f>
        <v/>
      </c>
      <c r="I806" s="7" t="str">
        <f>IF('Port Bloomberg'!I806="","",'Port Bloomberg'!I806)</f>
        <v/>
      </c>
      <c r="J806" s="7" t="str">
        <f>IF('Port Bloomberg'!J806="","",'Port Bloomberg'!J806)</f>
        <v/>
      </c>
      <c r="K806" s="7" t="str">
        <f>IF('Port Bloomberg'!K806="","",'Port Bloomberg'!K806)</f>
        <v/>
      </c>
      <c r="L806" s="7" t="str">
        <f>IF('Port Bloomberg'!L806="","",'Port Bloomberg'!L806)</f>
        <v/>
      </c>
      <c r="M806" s="7" t="str">
        <f>IF('Port Bloomberg'!M806="","",'Port Bloomberg'!M806)</f>
        <v/>
      </c>
      <c r="N806" s="7" t="str">
        <f>IF('Port Bloomberg'!N806="","",'Port Bloomberg'!N806)</f>
        <v/>
      </c>
      <c r="O806" s="7" t="str">
        <f>IF('Port Bloomberg'!O806="","",'Port Bloomberg'!O806)</f>
        <v/>
      </c>
      <c r="P806" s="7" t="str">
        <f>IF('Port Bloomberg'!P806="","",'Port Bloomberg'!P806)</f>
        <v/>
      </c>
      <c r="Q806" s="7" t="str">
        <f>IF('Port Bloomberg'!Q806="","",'Port Bloomberg'!Q806)</f>
        <v/>
      </c>
      <c r="R806" s="7" t="str">
        <f>IF('Port Bloomberg'!R806="","",'Port Bloomberg'!R806)</f>
        <v/>
      </c>
      <c r="S806" s="5" t="str">
        <f>IF(E806="","",IFERROR(IF(MATCH(E806,[1]Instrumentos!$D:$D,0)&gt;0,1,0),0))</f>
        <v/>
      </c>
      <c r="T806" s="5" t="str">
        <f>IF(E806="","",IFERROR(IF(MATCH(E806,'Lista de excepciones'!$E:$E,0)&gt;0,1,0),0))</f>
        <v/>
      </c>
      <c r="U806" s="6" t="str">
        <f t="shared" si="13"/>
        <v/>
      </c>
    </row>
    <row r="807" spans="1:21" hidden="1" x14ac:dyDescent="0.25">
      <c r="A807" s="7" t="str">
        <f>IF('Port Bloomberg'!A807="","",'Port Bloomberg'!A807)</f>
        <v/>
      </c>
      <c r="B807" s="7" t="str">
        <f>IF('Port Bloomberg'!B807="","",'Port Bloomberg'!B807)</f>
        <v/>
      </c>
      <c r="C807" s="7" t="str">
        <f>IF('Port Bloomberg'!C807="","",'Port Bloomberg'!C807)</f>
        <v/>
      </c>
      <c r="D807" s="7" t="str">
        <f>IF('Port Bloomberg'!D807="","",'Port Bloomberg'!D807)</f>
        <v/>
      </c>
      <c r="E807" s="7" t="str">
        <f>IF('Port Bloomberg'!E807="","",'Port Bloomberg'!E807)</f>
        <v/>
      </c>
      <c r="F807" s="7" t="str">
        <f>IF('Port Bloomberg'!F807="","",'Port Bloomberg'!F807)</f>
        <v/>
      </c>
      <c r="G807" s="7" t="str">
        <f>IF('Port Bloomberg'!G807="","",'Port Bloomberg'!G807)</f>
        <v/>
      </c>
      <c r="H807" s="7" t="str">
        <f>IF('Port Bloomberg'!H807="","",'Port Bloomberg'!H807)</f>
        <v/>
      </c>
      <c r="I807" s="7" t="str">
        <f>IF('Port Bloomberg'!I807="","",'Port Bloomberg'!I807)</f>
        <v/>
      </c>
      <c r="J807" s="7" t="str">
        <f>IF('Port Bloomberg'!J807="","",'Port Bloomberg'!J807)</f>
        <v/>
      </c>
      <c r="K807" s="7" t="str">
        <f>IF('Port Bloomberg'!K807="","",'Port Bloomberg'!K807)</f>
        <v/>
      </c>
      <c r="L807" s="7" t="str">
        <f>IF('Port Bloomberg'!L807="","",'Port Bloomberg'!L807)</f>
        <v/>
      </c>
      <c r="M807" s="7" t="str">
        <f>IF('Port Bloomberg'!M807="","",'Port Bloomberg'!M807)</f>
        <v/>
      </c>
      <c r="N807" s="7" t="str">
        <f>IF('Port Bloomberg'!N807="","",'Port Bloomberg'!N807)</f>
        <v/>
      </c>
      <c r="O807" s="7" t="str">
        <f>IF('Port Bloomberg'!O807="","",'Port Bloomberg'!O807)</f>
        <v/>
      </c>
      <c r="P807" s="7" t="str">
        <f>IF('Port Bloomberg'!P807="","",'Port Bloomberg'!P807)</f>
        <v/>
      </c>
      <c r="Q807" s="7" t="str">
        <f>IF('Port Bloomberg'!Q807="","",'Port Bloomberg'!Q807)</f>
        <v/>
      </c>
      <c r="R807" s="7" t="str">
        <f>IF('Port Bloomberg'!R807="","",'Port Bloomberg'!R807)</f>
        <v/>
      </c>
      <c r="S807" s="5" t="str">
        <f>IF(E807="","",IFERROR(IF(MATCH(E807,[1]Instrumentos!$D:$D,0)&gt;0,1,0),0))</f>
        <v/>
      </c>
      <c r="T807" s="5" t="str">
        <f>IF(E807="","",IFERROR(IF(MATCH(E807,'Lista de excepciones'!$E:$E,0)&gt;0,1,0),0))</f>
        <v/>
      </c>
      <c r="U807" s="6" t="str">
        <f t="shared" si="13"/>
        <v/>
      </c>
    </row>
    <row r="808" spans="1:21" hidden="1" x14ac:dyDescent="0.25">
      <c r="A808" s="7" t="str">
        <f>IF('Port Bloomberg'!A808="","",'Port Bloomberg'!A808)</f>
        <v/>
      </c>
      <c r="B808" s="7" t="str">
        <f>IF('Port Bloomberg'!B808="","",'Port Bloomberg'!B808)</f>
        <v/>
      </c>
      <c r="C808" s="7" t="str">
        <f>IF('Port Bloomberg'!C808="","",'Port Bloomberg'!C808)</f>
        <v/>
      </c>
      <c r="D808" s="7" t="str">
        <f>IF('Port Bloomberg'!D808="","",'Port Bloomberg'!D808)</f>
        <v/>
      </c>
      <c r="E808" s="7" t="str">
        <f>IF('Port Bloomberg'!E808="","",'Port Bloomberg'!E808)</f>
        <v/>
      </c>
      <c r="F808" s="7" t="str">
        <f>IF('Port Bloomberg'!F808="","",'Port Bloomberg'!F808)</f>
        <v/>
      </c>
      <c r="G808" s="7" t="str">
        <f>IF('Port Bloomberg'!G808="","",'Port Bloomberg'!G808)</f>
        <v/>
      </c>
      <c r="H808" s="7" t="str">
        <f>IF('Port Bloomberg'!H808="","",'Port Bloomberg'!H808)</f>
        <v/>
      </c>
      <c r="I808" s="7" t="str">
        <f>IF('Port Bloomberg'!I808="","",'Port Bloomberg'!I808)</f>
        <v/>
      </c>
      <c r="J808" s="7" t="str">
        <f>IF('Port Bloomberg'!J808="","",'Port Bloomberg'!J808)</f>
        <v/>
      </c>
      <c r="K808" s="7" t="str">
        <f>IF('Port Bloomberg'!K808="","",'Port Bloomberg'!K808)</f>
        <v/>
      </c>
      <c r="L808" s="7" t="str">
        <f>IF('Port Bloomberg'!L808="","",'Port Bloomberg'!L808)</f>
        <v/>
      </c>
      <c r="M808" s="7" t="str">
        <f>IF('Port Bloomberg'!M808="","",'Port Bloomberg'!M808)</f>
        <v/>
      </c>
      <c r="N808" s="7" t="str">
        <f>IF('Port Bloomberg'!N808="","",'Port Bloomberg'!N808)</f>
        <v/>
      </c>
      <c r="O808" s="7" t="str">
        <f>IF('Port Bloomberg'!O808="","",'Port Bloomberg'!O808)</f>
        <v/>
      </c>
      <c r="P808" s="7" t="str">
        <f>IF('Port Bloomberg'!P808="","",'Port Bloomberg'!P808)</f>
        <v/>
      </c>
      <c r="Q808" s="7" t="str">
        <f>IF('Port Bloomberg'!Q808="","",'Port Bloomberg'!Q808)</f>
        <v/>
      </c>
      <c r="R808" s="7" t="str">
        <f>IF('Port Bloomberg'!R808="","",'Port Bloomberg'!R808)</f>
        <v/>
      </c>
      <c r="S808" s="5" t="str">
        <f>IF(E808="","",IFERROR(IF(MATCH(E808,[1]Instrumentos!$D:$D,0)&gt;0,1,0),0))</f>
        <v/>
      </c>
      <c r="T808" s="5" t="str">
        <f>IF(E808="","",IFERROR(IF(MATCH(E808,'Lista de excepciones'!$E:$E,0)&gt;0,1,0),0))</f>
        <v/>
      </c>
      <c r="U808" s="6" t="str">
        <f t="shared" si="13"/>
        <v/>
      </c>
    </row>
    <row r="809" spans="1:21" hidden="1" x14ac:dyDescent="0.25">
      <c r="A809" s="7" t="str">
        <f>IF('Port Bloomberg'!A809="","",'Port Bloomberg'!A809)</f>
        <v/>
      </c>
      <c r="B809" s="7" t="str">
        <f>IF('Port Bloomberg'!B809="","",'Port Bloomberg'!B809)</f>
        <v/>
      </c>
      <c r="C809" s="7" t="str">
        <f>IF('Port Bloomberg'!C809="","",'Port Bloomberg'!C809)</f>
        <v/>
      </c>
      <c r="D809" s="7" t="str">
        <f>IF('Port Bloomberg'!D809="","",'Port Bloomberg'!D809)</f>
        <v/>
      </c>
      <c r="E809" s="7" t="str">
        <f>IF('Port Bloomberg'!E809="","",'Port Bloomberg'!E809)</f>
        <v/>
      </c>
      <c r="F809" s="7" t="str">
        <f>IF('Port Bloomberg'!F809="","",'Port Bloomberg'!F809)</f>
        <v/>
      </c>
      <c r="G809" s="7" t="str">
        <f>IF('Port Bloomberg'!G809="","",'Port Bloomberg'!G809)</f>
        <v/>
      </c>
      <c r="H809" s="7" t="str">
        <f>IF('Port Bloomberg'!H809="","",'Port Bloomberg'!H809)</f>
        <v/>
      </c>
      <c r="I809" s="7" t="str">
        <f>IF('Port Bloomberg'!I809="","",'Port Bloomberg'!I809)</f>
        <v/>
      </c>
      <c r="J809" s="7" t="str">
        <f>IF('Port Bloomberg'!J809="","",'Port Bloomberg'!J809)</f>
        <v/>
      </c>
      <c r="K809" s="7" t="str">
        <f>IF('Port Bloomberg'!K809="","",'Port Bloomberg'!K809)</f>
        <v/>
      </c>
      <c r="L809" s="7" t="str">
        <f>IF('Port Bloomberg'!L809="","",'Port Bloomberg'!L809)</f>
        <v/>
      </c>
      <c r="M809" s="7" t="str">
        <f>IF('Port Bloomberg'!M809="","",'Port Bloomberg'!M809)</f>
        <v/>
      </c>
      <c r="N809" s="7" t="str">
        <f>IF('Port Bloomberg'!N809="","",'Port Bloomberg'!N809)</f>
        <v/>
      </c>
      <c r="O809" s="7" t="str">
        <f>IF('Port Bloomberg'!O809="","",'Port Bloomberg'!O809)</f>
        <v/>
      </c>
      <c r="P809" s="7" t="str">
        <f>IF('Port Bloomberg'!P809="","",'Port Bloomberg'!P809)</f>
        <v/>
      </c>
      <c r="Q809" s="7" t="str">
        <f>IF('Port Bloomberg'!Q809="","",'Port Bloomberg'!Q809)</f>
        <v/>
      </c>
      <c r="R809" s="7" t="str">
        <f>IF('Port Bloomberg'!R809="","",'Port Bloomberg'!R809)</f>
        <v/>
      </c>
      <c r="S809" s="5" t="str">
        <f>IF(E809="","",IFERROR(IF(MATCH(E809,[1]Instrumentos!$D:$D,0)&gt;0,1,0),0))</f>
        <v/>
      </c>
      <c r="T809" s="5" t="str">
        <f>IF(E809="","",IFERROR(IF(MATCH(E809,'Lista de excepciones'!$E:$E,0)&gt;0,1,0),0))</f>
        <v/>
      </c>
      <c r="U809" s="6" t="str">
        <f t="shared" si="13"/>
        <v/>
      </c>
    </row>
    <row r="810" spans="1:21" hidden="1" x14ac:dyDescent="0.25">
      <c r="A810" s="7" t="str">
        <f>IF('Port Bloomberg'!A810="","",'Port Bloomberg'!A810)</f>
        <v/>
      </c>
      <c r="B810" s="7" t="str">
        <f>IF('Port Bloomberg'!B810="","",'Port Bloomberg'!B810)</f>
        <v/>
      </c>
      <c r="C810" s="7" t="str">
        <f>IF('Port Bloomberg'!C810="","",'Port Bloomberg'!C810)</f>
        <v/>
      </c>
      <c r="D810" s="7" t="str">
        <f>IF('Port Bloomberg'!D810="","",'Port Bloomberg'!D810)</f>
        <v/>
      </c>
      <c r="E810" s="7" t="str">
        <f>IF('Port Bloomberg'!E810="","",'Port Bloomberg'!E810)</f>
        <v/>
      </c>
      <c r="F810" s="7" t="str">
        <f>IF('Port Bloomberg'!F810="","",'Port Bloomberg'!F810)</f>
        <v/>
      </c>
      <c r="G810" s="7" t="str">
        <f>IF('Port Bloomberg'!G810="","",'Port Bloomberg'!G810)</f>
        <v/>
      </c>
      <c r="H810" s="7" t="str">
        <f>IF('Port Bloomberg'!H810="","",'Port Bloomberg'!H810)</f>
        <v/>
      </c>
      <c r="I810" s="7" t="str">
        <f>IF('Port Bloomberg'!I810="","",'Port Bloomberg'!I810)</f>
        <v/>
      </c>
      <c r="J810" s="7" t="str">
        <f>IF('Port Bloomberg'!J810="","",'Port Bloomberg'!J810)</f>
        <v/>
      </c>
      <c r="K810" s="7" t="str">
        <f>IF('Port Bloomberg'!K810="","",'Port Bloomberg'!K810)</f>
        <v/>
      </c>
      <c r="L810" s="7" t="str">
        <f>IF('Port Bloomberg'!L810="","",'Port Bloomberg'!L810)</f>
        <v/>
      </c>
      <c r="M810" s="7" t="str">
        <f>IF('Port Bloomberg'!M810="","",'Port Bloomberg'!M810)</f>
        <v/>
      </c>
      <c r="N810" s="7" t="str">
        <f>IF('Port Bloomberg'!N810="","",'Port Bloomberg'!N810)</f>
        <v/>
      </c>
      <c r="O810" s="7" t="str">
        <f>IF('Port Bloomberg'!O810="","",'Port Bloomberg'!O810)</f>
        <v/>
      </c>
      <c r="P810" s="7" t="str">
        <f>IF('Port Bloomberg'!P810="","",'Port Bloomberg'!P810)</f>
        <v/>
      </c>
      <c r="Q810" s="7" t="str">
        <f>IF('Port Bloomberg'!Q810="","",'Port Bloomberg'!Q810)</f>
        <v/>
      </c>
      <c r="R810" s="7" t="str">
        <f>IF('Port Bloomberg'!R810="","",'Port Bloomberg'!R810)</f>
        <v/>
      </c>
      <c r="S810" s="5" t="str">
        <f>IF(E810="","",IFERROR(IF(MATCH(E810,[1]Instrumentos!$D:$D,0)&gt;0,1,0),0))</f>
        <v/>
      </c>
      <c r="T810" s="5" t="str">
        <f>IF(E810="","",IFERROR(IF(MATCH(E810,'Lista de excepciones'!$E:$E,0)&gt;0,1,0),0))</f>
        <v/>
      </c>
      <c r="U810" s="6" t="str">
        <f t="shared" si="13"/>
        <v/>
      </c>
    </row>
    <row r="811" spans="1:21" hidden="1" x14ac:dyDescent="0.25">
      <c r="A811" s="7" t="str">
        <f>IF('Port Bloomberg'!A811="","",'Port Bloomberg'!A811)</f>
        <v/>
      </c>
      <c r="B811" s="7" t="str">
        <f>IF('Port Bloomberg'!B811="","",'Port Bloomberg'!B811)</f>
        <v/>
      </c>
      <c r="C811" s="7" t="str">
        <f>IF('Port Bloomberg'!C811="","",'Port Bloomberg'!C811)</f>
        <v/>
      </c>
      <c r="D811" s="7" t="str">
        <f>IF('Port Bloomberg'!D811="","",'Port Bloomberg'!D811)</f>
        <v/>
      </c>
      <c r="E811" s="7" t="str">
        <f>IF('Port Bloomberg'!E811="","",'Port Bloomberg'!E811)</f>
        <v/>
      </c>
      <c r="F811" s="7" t="str">
        <f>IF('Port Bloomberg'!F811="","",'Port Bloomberg'!F811)</f>
        <v/>
      </c>
      <c r="G811" s="7" t="str">
        <f>IF('Port Bloomberg'!G811="","",'Port Bloomberg'!G811)</f>
        <v/>
      </c>
      <c r="H811" s="7" t="str">
        <f>IF('Port Bloomberg'!H811="","",'Port Bloomberg'!H811)</f>
        <v/>
      </c>
      <c r="I811" s="7" t="str">
        <f>IF('Port Bloomberg'!I811="","",'Port Bloomberg'!I811)</f>
        <v/>
      </c>
      <c r="J811" s="7" t="str">
        <f>IF('Port Bloomberg'!J811="","",'Port Bloomberg'!J811)</f>
        <v/>
      </c>
      <c r="K811" s="7" t="str">
        <f>IF('Port Bloomberg'!K811="","",'Port Bloomberg'!K811)</f>
        <v/>
      </c>
      <c r="L811" s="7" t="str">
        <f>IF('Port Bloomberg'!L811="","",'Port Bloomberg'!L811)</f>
        <v/>
      </c>
      <c r="M811" s="7" t="str">
        <f>IF('Port Bloomberg'!M811="","",'Port Bloomberg'!M811)</f>
        <v/>
      </c>
      <c r="N811" s="7" t="str">
        <f>IF('Port Bloomberg'!N811="","",'Port Bloomberg'!N811)</f>
        <v/>
      </c>
      <c r="O811" s="7" t="str">
        <f>IF('Port Bloomberg'!O811="","",'Port Bloomberg'!O811)</f>
        <v/>
      </c>
      <c r="P811" s="7" t="str">
        <f>IF('Port Bloomberg'!P811="","",'Port Bloomberg'!P811)</f>
        <v/>
      </c>
      <c r="Q811" s="7" t="str">
        <f>IF('Port Bloomberg'!Q811="","",'Port Bloomberg'!Q811)</f>
        <v/>
      </c>
      <c r="R811" s="7" t="str">
        <f>IF('Port Bloomberg'!R811="","",'Port Bloomberg'!R811)</f>
        <v/>
      </c>
      <c r="S811" s="5" t="str">
        <f>IF(E811="","",IFERROR(IF(MATCH(E811,[1]Instrumentos!$D:$D,0)&gt;0,1,0),0))</f>
        <v/>
      </c>
      <c r="T811" s="5" t="str">
        <f>IF(E811="","",IFERROR(IF(MATCH(E811,'Lista de excepciones'!$E:$E,0)&gt;0,1,0),0))</f>
        <v/>
      </c>
      <c r="U811" s="6" t="str">
        <f t="shared" si="13"/>
        <v/>
      </c>
    </row>
    <row r="812" spans="1:21" hidden="1" x14ac:dyDescent="0.25">
      <c r="A812" s="7" t="str">
        <f>IF('Port Bloomberg'!A812="","",'Port Bloomberg'!A812)</f>
        <v/>
      </c>
      <c r="B812" s="7" t="str">
        <f>IF('Port Bloomberg'!B812="","",'Port Bloomberg'!B812)</f>
        <v/>
      </c>
      <c r="C812" s="7" t="str">
        <f>IF('Port Bloomberg'!C812="","",'Port Bloomberg'!C812)</f>
        <v/>
      </c>
      <c r="D812" s="7" t="str">
        <f>IF('Port Bloomberg'!D812="","",'Port Bloomberg'!D812)</f>
        <v/>
      </c>
      <c r="E812" s="7" t="str">
        <f>IF('Port Bloomberg'!E812="","",'Port Bloomberg'!E812)</f>
        <v/>
      </c>
      <c r="F812" s="7" t="str">
        <f>IF('Port Bloomberg'!F812="","",'Port Bloomberg'!F812)</f>
        <v/>
      </c>
      <c r="G812" s="7" t="str">
        <f>IF('Port Bloomberg'!G812="","",'Port Bloomberg'!G812)</f>
        <v/>
      </c>
      <c r="H812" s="7" t="str">
        <f>IF('Port Bloomberg'!H812="","",'Port Bloomberg'!H812)</f>
        <v/>
      </c>
      <c r="I812" s="7" t="str">
        <f>IF('Port Bloomberg'!I812="","",'Port Bloomberg'!I812)</f>
        <v/>
      </c>
      <c r="J812" s="7" t="str">
        <f>IF('Port Bloomberg'!J812="","",'Port Bloomberg'!J812)</f>
        <v/>
      </c>
      <c r="K812" s="7" t="str">
        <f>IF('Port Bloomberg'!K812="","",'Port Bloomberg'!K812)</f>
        <v/>
      </c>
      <c r="L812" s="7" t="str">
        <f>IF('Port Bloomberg'!L812="","",'Port Bloomberg'!L812)</f>
        <v/>
      </c>
      <c r="M812" s="7" t="str">
        <f>IF('Port Bloomberg'!M812="","",'Port Bloomberg'!M812)</f>
        <v/>
      </c>
      <c r="N812" s="7" t="str">
        <f>IF('Port Bloomberg'!N812="","",'Port Bloomberg'!N812)</f>
        <v/>
      </c>
      <c r="O812" s="7" t="str">
        <f>IF('Port Bloomberg'!O812="","",'Port Bloomberg'!O812)</f>
        <v/>
      </c>
      <c r="P812" s="7" t="str">
        <f>IF('Port Bloomberg'!P812="","",'Port Bloomberg'!P812)</f>
        <v/>
      </c>
      <c r="Q812" s="7" t="str">
        <f>IF('Port Bloomberg'!Q812="","",'Port Bloomberg'!Q812)</f>
        <v/>
      </c>
      <c r="R812" s="7" t="str">
        <f>IF('Port Bloomberg'!R812="","",'Port Bloomberg'!R812)</f>
        <v/>
      </c>
      <c r="S812" s="5" t="str">
        <f>IF(E812="","",IFERROR(IF(MATCH(E812,[1]Instrumentos!$D:$D,0)&gt;0,1,0),0))</f>
        <v/>
      </c>
      <c r="T812" s="5" t="str">
        <f>IF(E812="","",IFERROR(IF(MATCH(E812,'Lista de excepciones'!$E:$E,0)&gt;0,1,0),0))</f>
        <v/>
      </c>
      <c r="U812" s="6" t="str">
        <f t="shared" si="13"/>
        <v/>
      </c>
    </row>
    <row r="813" spans="1:21" hidden="1" x14ac:dyDescent="0.25">
      <c r="A813" s="7" t="str">
        <f>IF('Port Bloomberg'!A813="","",'Port Bloomberg'!A813)</f>
        <v/>
      </c>
      <c r="B813" s="7" t="str">
        <f>IF('Port Bloomberg'!B813="","",'Port Bloomberg'!B813)</f>
        <v/>
      </c>
      <c r="C813" s="7" t="str">
        <f>IF('Port Bloomberg'!C813="","",'Port Bloomberg'!C813)</f>
        <v/>
      </c>
      <c r="D813" s="7" t="str">
        <f>IF('Port Bloomberg'!D813="","",'Port Bloomberg'!D813)</f>
        <v/>
      </c>
      <c r="E813" s="7" t="str">
        <f>IF('Port Bloomberg'!E813="","",'Port Bloomberg'!E813)</f>
        <v/>
      </c>
      <c r="F813" s="7" t="str">
        <f>IF('Port Bloomberg'!F813="","",'Port Bloomberg'!F813)</f>
        <v/>
      </c>
      <c r="G813" s="7" t="str">
        <f>IF('Port Bloomberg'!G813="","",'Port Bloomberg'!G813)</f>
        <v/>
      </c>
      <c r="H813" s="7" t="str">
        <f>IF('Port Bloomberg'!H813="","",'Port Bloomberg'!H813)</f>
        <v/>
      </c>
      <c r="I813" s="7" t="str">
        <f>IF('Port Bloomberg'!I813="","",'Port Bloomberg'!I813)</f>
        <v/>
      </c>
      <c r="J813" s="7" t="str">
        <f>IF('Port Bloomberg'!J813="","",'Port Bloomberg'!J813)</f>
        <v/>
      </c>
      <c r="K813" s="7" t="str">
        <f>IF('Port Bloomberg'!K813="","",'Port Bloomberg'!K813)</f>
        <v/>
      </c>
      <c r="L813" s="7" t="str">
        <f>IF('Port Bloomberg'!L813="","",'Port Bloomberg'!L813)</f>
        <v/>
      </c>
      <c r="M813" s="7" t="str">
        <f>IF('Port Bloomberg'!M813="","",'Port Bloomberg'!M813)</f>
        <v/>
      </c>
      <c r="N813" s="7" t="str">
        <f>IF('Port Bloomberg'!N813="","",'Port Bloomberg'!N813)</f>
        <v/>
      </c>
      <c r="O813" s="7" t="str">
        <f>IF('Port Bloomberg'!O813="","",'Port Bloomberg'!O813)</f>
        <v/>
      </c>
      <c r="P813" s="7" t="str">
        <f>IF('Port Bloomberg'!P813="","",'Port Bloomberg'!P813)</f>
        <v/>
      </c>
      <c r="Q813" s="7" t="str">
        <f>IF('Port Bloomberg'!Q813="","",'Port Bloomberg'!Q813)</f>
        <v/>
      </c>
      <c r="R813" s="7" t="str">
        <f>IF('Port Bloomberg'!R813="","",'Port Bloomberg'!R813)</f>
        <v/>
      </c>
      <c r="S813" s="5" t="str">
        <f>IF(E813="","",IFERROR(IF(MATCH(E813,[1]Instrumentos!$D:$D,0)&gt;0,1,0),0))</f>
        <v/>
      </c>
      <c r="T813" s="5" t="str">
        <f>IF(E813="","",IFERROR(IF(MATCH(E813,'Lista de excepciones'!$E:$E,0)&gt;0,1,0),0))</f>
        <v/>
      </c>
      <c r="U813" s="6" t="str">
        <f t="shared" si="13"/>
        <v/>
      </c>
    </row>
    <row r="814" spans="1:21" hidden="1" x14ac:dyDescent="0.25">
      <c r="A814" s="7" t="str">
        <f>IF('Port Bloomberg'!A814="","",'Port Bloomberg'!A814)</f>
        <v/>
      </c>
      <c r="B814" s="7" t="str">
        <f>IF('Port Bloomberg'!B814="","",'Port Bloomberg'!B814)</f>
        <v/>
      </c>
      <c r="C814" s="7" t="str">
        <f>IF('Port Bloomberg'!C814="","",'Port Bloomberg'!C814)</f>
        <v/>
      </c>
      <c r="D814" s="7" t="str">
        <f>IF('Port Bloomberg'!D814="","",'Port Bloomberg'!D814)</f>
        <v/>
      </c>
      <c r="E814" s="7" t="str">
        <f>IF('Port Bloomberg'!E814="","",'Port Bloomberg'!E814)</f>
        <v/>
      </c>
      <c r="F814" s="7" t="str">
        <f>IF('Port Bloomberg'!F814="","",'Port Bloomberg'!F814)</f>
        <v/>
      </c>
      <c r="G814" s="7" t="str">
        <f>IF('Port Bloomberg'!G814="","",'Port Bloomberg'!G814)</f>
        <v/>
      </c>
      <c r="H814" s="7" t="str">
        <f>IF('Port Bloomberg'!H814="","",'Port Bloomberg'!H814)</f>
        <v/>
      </c>
      <c r="I814" s="7" t="str">
        <f>IF('Port Bloomberg'!I814="","",'Port Bloomberg'!I814)</f>
        <v/>
      </c>
      <c r="J814" s="7" t="str">
        <f>IF('Port Bloomberg'!J814="","",'Port Bloomberg'!J814)</f>
        <v/>
      </c>
      <c r="K814" s="7" t="str">
        <f>IF('Port Bloomberg'!K814="","",'Port Bloomberg'!K814)</f>
        <v/>
      </c>
      <c r="L814" s="7" t="str">
        <f>IF('Port Bloomberg'!L814="","",'Port Bloomberg'!L814)</f>
        <v/>
      </c>
      <c r="M814" s="7" t="str">
        <f>IF('Port Bloomberg'!M814="","",'Port Bloomberg'!M814)</f>
        <v/>
      </c>
      <c r="N814" s="7" t="str">
        <f>IF('Port Bloomberg'!N814="","",'Port Bloomberg'!N814)</f>
        <v/>
      </c>
      <c r="O814" s="7" t="str">
        <f>IF('Port Bloomberg'!O814="","",'Port Bloomberg'!O814)</f>
        <v/>
      </c>
      <c r="P814" s="7" t="str">
        <f>IF('Port Bloomberg'!P814="","",'Port Bloomberg'!P814)</f>
        <v/>
      </c>
      <c r="Q814" s="7" t="str">
        <f>IF('Port Bloomberg'!Q814="","",'Port Bloomberg'!Q814)</f>
        <v/>
      </c>
      <c r="R814" s="7" t="str">
        <f>IF('Port Bloomberg'!R814="","",'Port Bloomberg'!R814)</f>
        <v/>
      </c>
      <c r="S814" s="5" t="str">
        <f>IF(E814="","",IFERROR(IF(MATCH(E814,[1]Instrumentos!$D:$D,0)&gt;0,1,0),0))</f>
        <v/>
      </c>
      <c r="T814" s="5" t="str">
        <f>IF(E814="","",IFERROR(IF(MATCH(E814,'Lista de excepciones'!$E:$E,0)&gt;0,1,0),0))</f>
        <v/>
      </c>
      <c r="U814" s="6" t="str">
        <f t="shared" si="13"/>
        <v/>
      </c>
    </row>
    <row r="815" spans="1:21" hidden="1" x14ac:dyDescent="0.25">
      <c r="A815" s="7" t="str">
        <f>IF('Port Bloomberg'!A815="","",'Port Bloomberg'!A815)</f>
        <v/>
      </c>
      <c r="B815" s="7" t="str">
        <f>IF('Port Bloomberg'!B815="","",'Port Bloomberg'!B815)</f>
        <v/>
      </c>
      <c r="C815" s="7" t="str">
        <f>IF('Port Bloomberg'!C815="","",'Port Bloomberg'!C815)</f>
        <v/>
      </c>
      <c r="D815" s="7" t="str">
        <f>IF('Port Bloomberg'!D815="","",'Port Bloomberg'!D815)</f>
        <v/>
      </c>
      <c r="E815" s="7" t="str">
        <f>IF('Port Bloomberg'!E815="","",'Port Bloomberg'!E815)</f>
        <v/>
      </c>
      <c r="F815" s="7" t="str">
        <f>IF('Port Bloomberg'!F815="","",'Port Bloomberg'!F815)</f>
        <v/>
      </c>
      <c r="G815" s="7" t="str">
        <f>IF('Port Bloomberg'!G815="","",'Port Bloomberg'!G815)</f>
        <v/>
      </c>
      <c r="H815" s="7" t="str">
        <f>IF('Port Bloomberg'!H815="","",'Port Bloomberg'!H815)</f>
        <v/>
      </c>
      <c r="I815" s="7" t="str">
        <f>IF('Port Bloomberg'!I815="","",'Port Bloomberg'!I815)</f>
        <v/>
      </c>
      <c r="J815" s="7" t="str">
        <f>IF('Port Bloomberg'!J815="","",'Port Bloomberg'!J815)</f>
        <v/>
      </c>
      <c r="K815" s="7" t="str">
        <f>IF('Port Bloomberg'!K815="","",'Port Bloomberg'!K815)</f>
        <v/>
      </c>
      <c r="L815" s="7" t="str">
        <f>IF('Port Bloomberg'!L815="","",'Port Bloomberg'!L815)</f>
        <v/>
      </c>
      <c r="M815" s="7" t="str">
        <f>IF('Port Bloomberg'!M815="","",'Port Bloomberg'!M815)</f>
        <v/>
      </c>
      <c r="N815" s="7" t="str">
        <f>IF('Port Bloomberg'!N815="","",'Port Bloomberg'!N815)</f>
        <v/>
      </c>
      <c r="O815" s="7" t="str">
        <f>IF('Port Bloomberg'!O815="","",'Port Bloomberg'!O815)</f>
        <v/>
      </c>
      <c r="P815" s="7" t="str">
        <f>IF('Port Bloomberg'!P815="","",'Port Bloomberg'!P815)</f>
        <v/>
      </c>
      <c r="Q815" s="7" t="str">
        <f>IF('Port Bloomberg'!Q815="","",'Port Bloomberg'!Q815)</f>
        <v/>
      </c>
      <c r="R815" s="7" t="str">
        <f>IF('Port Bloomberg'!R815="","",'Port Bloomberg'!R815)</f>
        <v/>
      </c>
      <c r="S815" s="5" t="str">
        <f>IF(E815="","",IFERROR(IF(MATCH(E815,[1]Instrumentos!$D:$D,0)&gt;0,1,0),0))</f>
        <v/>
      </c>
      <c r="T815" s="5" t="str">
        <f>IF(E815="","",IFERROR(IF(MATCH(E815,'Lista de excepciones'!$E:$E,0)&gt;0,1,0),0))</f>
        <v/>
      </c>
      <c r="U815" s="6" t="str">
        <f t="shared" si="13"/>
        <v/>
      </c>
    </row>
    <row r="816" spans="1:21" hidden="1" x14ac:dyDescent="0.25">
      <c r="A816" s="7" t="str">
        <f>IF('Port Bloomberg'!A816="","",'Port Bloomberg'!A816)</f>
        <v/>
      </c>
      <c r="B816" s="7" t="str">
        <f>IF('Port Bloomberg'!B816="","",'Port Bloomberg'!B816)</f>
        <v/>
      </c>
      <c r="C816" s="7" t="str">
        <f>IF('Port Bloomberg'!C816="","",'Port Bloomberg'!C816)</f>
        <v/>
      </c>
      <c r="D816" s="7" t="str">
        <f>IF('Port Bloomberg'!D816="","",'Port Bloomberg'!D816)</f>
        <v/>
      </c>
      <c r="E816" s="7" t="str">
        <f>IF('Port Bloomberg'!E816="","",'Port Bloomberg'!E816)</f>
        <v/>
      </c>
      <c r="F816" s="7" t="str">
        <f>IF('Port Bloomberg'!F816="","",'Port Bloomberg'!F816)</f>
        <v/>
      </c>
      <c r="G816" s="7" t="str">
        <f>IF('Port Bloomberg'!G816="","",'Port Bloomberg'!G816)</f>
        <v/>
      </c>
      <c r="H816" s="7" t="str">
        <f>IF('Port Bloomberg'!H816="","",'Port Bloomberg'!H816)</f>
        <v/>
      </c>
      <c r="I816" s="7" t="str">
        <f>IF('Port Bloomberg'!I816="","",'Port Bloomberg'!I816)</f>
        <v/>
      </c>
      <c r="J816" s="7" t="str">
        <f>IF('Port Bloomberg'!J816="","",'Port Bloomberg'!J816)</f>
        <v/>
      </c>
      <c r="K816" s="7" t="str">
        <f>IF('Port Bloomberg'!K816="","",'Port Bloomberg'!K816)</f>
        <v/>
      </c>
      <c r="L816" s="7" t="str">
        <f>IF('Port Bloomberg'!L816="","",'Port Bloomberg'!L816)</f>
        <v/>
      </c>
      <c r="M816" s="7" t="str">
        <f>IF('Port Bloomberg'!M816="","",'Port Bloomberg'!M816)</f>
        <v/>
      </c>
      <c r="N816" s="7" t="str">
        <f>IF('Port Bloomberg'!N816="","",'Port Bloomberg'!N816)</f>
        <v/>
      </c>
      <c r="O816" s="7" t="str">
        <f>IF('Port Bloomberg'!O816="","",'Port Bloomberg'!O816)</f>
        <v/>
      </c>
      <c r="P816" s="7" t="str">
        <f>IF('Port Bloomberg'!P816="","",'Port Bloomberg'!P816)</f>
        <v/>
      </c>
      <c r="Q816" s="7" t="str">
        <f>IF('Port Bloomberg'!Q816="","",'Port Bloomberg'!Q816)</f>
        <v/>
      </c>
      <c r="R816" s="7" t="str">
        <f>IF('Port Bloomberg'!R816="","",'Port Bloomberg'!R816)</f>
        <v/>
      </c>
      <c r="S816" s="5" t="str">
        <f>IF(E816="","",IFERROR(IF(MATCH(E816,[1]Instrumentos!$D:$D,0)&gt;0,1,0),0))</f>
        <v/>
      </c>
      <c r="T816" s="5" t="str">
        <f>IF(E816="","",IFERROR(IF(MATCH(E816,'Lista de excepciones'!$E:$E,0)&gt;0,1,0),0))</f>
        <v/>
      </c>
      <c r="U816" s="6" t="str">
        <f t="shared" si="13"/>
        <v/>
      </c>
    </row>
    <row r="817" spans="1:21" hidden="1" x14ac:dyDescent="0.25">
      <c r="A817" s="7" t="str">
        <f>IF('Port Bloomberg'!A817="","",'Port Bloomberg'!A817)</f>
        <v/>
      </c>
      <c r="B817" s="7" t="str">
        <f>IF('Port Bloomberg'!B817="","",'Port Bloomberg'!B817)</f>
        <v/>
      </c>
      <c r="C817" s="7" t="str">
        <f>IF('Port Bloomberg'!C817="","",'Port Bloomberg'!C817)</f>
        <v/>
      </c>
      <c r="D817" s="7" t="str">
        <f>IF('Port Bloomberg'!D817="","",'Port Bloomberg'!D817)</f>
        <v/>
      </c>
      <c r="E817" s="7" t="str">
        <f>IF('Port Bloomberg'!E817="","",'Port Bloomberg'!E817)</f>
        <v/>
      </c>
      <c r="F817" s="7" t="str">
        <f>IF('Port Bloomberg'!F817="","",'Port Bloomberg'!F817)</f>
        <v/>
      </c>
      <c r="G817" s="7" t="str">
        <f>IF('Port Bloomberg'!G817="","",'Port Bloomberg'!G817)</f>
        <v/>
      </c>
      <c r="H817" s="7" t="str">
        <f>IF('Port Bloomberg'!H817="","",'Port Bloomberg'!H817)</f>
        <v/>
      </c>
      <c r="I817" s="7" t="str">
        <f>IF('Port Bloomberg'!I817="","",'Port Bloomberg'!I817)</f>
        <v/>
      </c>
      <c r="J817" s="7" t="str">
        <f>IF('Port Bloomberg'!J817="","",'Port Bloomberg'!J817)</f>
        <v/>
      </c>
      <c r="K817" s="7" t="str">
        <f>IF('Port Bloomberg'!K817="","",'Port Bloomberg'!K817)</f>
        <v/>
      </c>
      <c r="L817" s="7" t="str">
        <f>IF('Port Bloomberg'!L817="","",'Port Bloomberg'!L817)</f>
        <v/>
      </c>
      <c r="M817" s="7" t="str">
        <f>IF('Port Bloomberg'!M817="","",'Port Bloomberg'!M817)</f>
        <v/>
      </c>
      <c r="N817" s="7" t="str">
        <f>IF('Port Bloomberg'!N817="","",'Port Bloomberg'!N817)</f>
        <v/>
      </c>
      <c r="O817" s="7" t="str">
        <f>IF('Port Bloomberg'!O817="","",'Port Bloomberg'!O817)</f>
        <v/>
      </c>
      <c r="P817" s="7" t="str">
        <f>IF('Port Bloomberg'!P817="","",'Port Bloomberg'!P817)</f>
        <v/>
      </c>
      <c r="Q817" s="7" t="str">
        <f>IF('Port Bloomberg'!Q817="","",'Port Bloomberg'!Q817)</f>
        <v/>
      </c>
      <c r="R817" s="7" t="str">
        <f>IF('Port Bloomberg'!R817="","",'Port Bloomberg'!R817)</f>
        <v/>
      </c>
      <c r="S817" s="5" t="str">
        <f>IF(E817="","",IFERROR(IF(MATCH(E817,[1]Instrumentos!$D:$D,0)&gt;0,1,0),0))</f>
        <v/>
      </c>
      <c r="T817" s="5" t="str">
        <f>IF(E817="","",IFERROR(IF(MATCH(E817,'Lista de excepciones'!$E:$E,0)&gt;0,1,0),0))</f>
        <v/>
      </c>
      <c r="U817" s="6" t="str">
        <f t="shared" si="13"/>
        <v/>
      </c>
    </row>
    <row r="818" spans="1:21" hidden="1" x14ac:dyDescent="0.25">
      <c r="A818" s="7" t="str">
        <f>IF('Port Bloomberg'!A818="","",'Port Bloomberg'!A818)</f>
        <v/>
      </c>
      <c r="B818" s="7" t="str">
        <f>IF('Port Bloomberg'!B818="","",'Port Bloomberg'!B818)</f>
        <v/>
      </c>
      <c r="C818" s="7" t="str">
        <f>IF('Port Bloomberg'!C818="","",'Port Bloomberg'!C818)</f>
        <v/>
      </c>
      <c r="D818" s="7" t="str">
        <f>IF('Port Bloomberg'!D818="","",'Port Bloomberg'!D818)</f>
        <v/>
      </c>
      <c r="E818" s="7" t="str">
        <f>IF('Port Bloomberg'!E818="","",'Port Bloomberg'!E818)</f>
        <v/>
      </c>
      <c r="F818" s="7" t="str">
        <f>IF('Port Bloomberg'!F818="","",'Port Bloomberg'!F818)</f>
        <v/>
      </c>
      <c r="G818" s="7" t="str">
        <f>IF('Port Bloomberg'!G818="","",'Port Bloomberg'!G818)</f>
        <v/>
      </c>
      <c r="H818" s="7" t="str">
        <f>IF('Port Bloomberg'!H818="","",'Port Bloomberg'!H818)</f>
        <v/>
      </c>
      <c r="I818" s="7" t="str">
        <f>IF('Port Bloomberg'!I818="","",'Port Bloomberg'!I818)</f>
        <v/>
      </c>
      <c r="J818" s="7" t="str">
        <f>IF('Port Bloomberg'!J818="","",'Port Bloomberg'!J818)</f>
        <v/>
      </c>
      <c r="K818" s="7" t="str">
        <f>IF('Port Bloomberg'!K818="","",'Port Bloomberg'!K818)</f>
        <v/>
      </c>
      <c r="L818" s="7" t="str">
        <f>IF('Port Bloomberg'!L818="","",'Port Bloomberg'!L818)</f>
        <v/>
      </c>
      <c r="M818" s="7" t="str">
        <f>IF('Port Bloomberg'!M818="","",'Port Bloomberg'!M818)</f>
        <v/>
      </c>
      <c r="N818" s="7" t="str">
        <f>IF('Port Bloomberg'!N818="","",'Port Bloomberg'!N818)</f>
        <v/>
      </c>
      <c r="O818" s="7" t="str">
        <f>IF('Port Bloomberg'!O818="","",'Port Bloomberg'!O818)</f>
        <v/>
      </c>
      <c r="P818" s="7" t="str">
        <f>IF('Port Bloomberg'!P818="","",'Port Bloomberg'!P818)</f>
        <v/>
      </c>
      <c r="Q818" s="7" t="str">
        <f>IF('Port Bloomberg'!Q818="","",'Port Bloomberg'!Q818)</f>
        <v/>
      </c>
      <c r="R818" s="7" t="str">
        <f>IF('Port Bloomberg'!R818="","",'Port Bloomberg'!R818)</f>
        <v/>
      </c>
      <c r="S818" s="5" t="str">
        <f>IF(E818="","",IFERROR(IF(MATCH(E818,[1]Instrumentos!$D:$D,0)&gt;0,1,0),0))</f>
        <v/>
      </c>
      <c r="T818" s="5" t="str">
        <f>IF(E818="","",IFERROR(IF(MATCH(E818,'Lista de excepciones'!$E:$E,0)&gt;0,1,0),0))</f>
        <v/>
      </c>
      <c r="U818" s="6" t="str">
        <f t="shared" si="13"/>
        <v/>
      </c>
    </row>
    <row r="819" spans="1:21" hidden="1" x14ac:dyDescent="0.25">
      <c r="A819" s="7" t="str">
        <f>IF('Port Bloomberg'!A819="","",'Port Bloomberg'!A819)</f>
        <v/>
      </c>
      <c r="B819" s="7" t="str">
        <f>IF('Port Bloomberg'!B819="","",'Port Bloomberg'!B819)</f>
        <v/>
      </c>
      <c r="C819" s="7" t="str">
        <f>IF('Port Bloomberg'!C819="","",'Port Bloomberg'!C819)</f>
        <v/>
      </c>
      <c r="D819" s="7" t="str">
        <f>IF('Port Bloomberg'!D819="","",'Port Bloomberg'!D819)</f>
        <v/>
      </c>
      <c r="E819" s="7" t="str">
        <f>IF('Port Bloomberg'!E819="","",'Port Bloomberg'!E819)</f>
        <v/>
      </c>
      <c r="F819" s="7" t="str">
        <f>IF('Port Bloomberg'!F819="","",'Port Bloomberg'!F819)</f>
        <v/>
      </c>
      <c r="G819" s="7" t="str">
        <f>IF('Port Bloomberg'!G819="","",'Port Bloomberg'!G819)</f>
        <v/>
      </c>
      <c r="H819" s="7" t="str">
        <f>IF('Port Bloomberg'!H819="","",'Port Bloomberg'!H819)</f>
        <v/>
      </c>
      <c r="I819" s="7" t="str">
        <f>IF('Port Bloomberg'!I819="","",'Port Bloomberg'!I819)</f>
        <v/>
      </c>
      <c r="J819" s="7" t="str">
        <f>IF('Port Bloomberg'!J819="","",'Port Bloomberg'!J819)</f>
        <v/>
      </c>
      <c r="K819" s="7" t="str">
        <f>IF('Port Bloomberg'!K819="","",'Port Bloomberg'!K819)</f>
        <v/>
      </c>
      <c r="L819" s="7" t="str">
        <f>IF('Port Bloomberg'!L819="","",'Port Bloomberg'!L819)</f>
        <v/>
      </c>
      <c r="M819" s="7" t="str">
        <f>IF('Port Bloomberg'!M819="","",'Port Bloomberg'!M819)</f>
        <v/>
      </c>
      <c r="N819" s="7" t="str">
        <f>IF('Port Bloomberg'!N819="","",'Port Bloomberg'!N819)</f>
        <v/>
      </c>
      <c r="O819" s="7" t="str">
        <f>IF('Port Bloomberg'!O819="","",'Port Bloomberg'!O819)</f>
        <v/>
      </c>
      <c r="P819" s="7" t="str">
        <f>IF('Port Bloomberg'!P819="","",'Port Bloomberg'!P819)</f>
        <v/>
      </c>
      <c r="Q819" s="7" t="str">
        <f>IF('Port Bloomberg'!Q819="","",'Port Bloomberg'!Q819)</f>
        <v/>
      </c>
      <c r="R819" s="7" t="str">
        <f>IF('Port Bloomberg'!R819="","",'Port Bloomberg'!R819)</f>
        <v/>
      </c>
      <c r="S819" s="5" t="str">
        <f>IF(E819="","",IFERROR(IF(MATCH(E819,[1]Instrumentos!$D:$D,0)&gt;0,1,0),0))</f>
        <v/>
      </c>
      <c r="T819" s="5" t="str">
        <f>IF(E819="","",IFERROR(IF(MATCH(E819,'Lista de excepciones'!$E:$E,0)&gt;0,1,0),0))</f>
        <v/>
      </c>
      <c r="U819" s="6" t="str">
        <f t="shared" si="13"/>
        <v/>
      </c>
    </row>
    <row r="820" spans="1:21" hidden="1" x14ac:dyDescent="0.25">
      <c r="A820" s="7" t="str">
        <f>IF('Port Bloomberg'!A820="","",'Port Bloomberg'!A820)</f>
        <v/>
      </c>
      <c r="B820" s="7" t="str">
        <f>IF('Port Bloomberg'!B820="","",'Port Bloomberg'!B820)</f>
        <v/>
      </c>
      <c r="C820" s="7" t="str">
        <f>IF('Port Bloomberg'!C820="","",'Port Bloomberg'!C820)</f>
        <v/>
      </c>
      <c r="D820" s="7" t="str">
        <f>IF('Port Bloomberg'!D820="","",'Port Bloomberg'!D820)</f>
        <v/>
      </c>
      <c r="E820" s="7" t="str">
        <f>IF('Port Bloomberg'!E820="","",'Port Bloomberg'!E820)</f>
        <v/>
      </c>
      <c r="F820" s="7" t="str">
        <f>IF('Port Bloomberg'!F820="","",'Port Bloomberg'!F820)</f>
        <v/>
      </c>
      <c r="G820" s="7" t="str">
        <f>IF('Port Bloomberg'!G820="","",'Port Bloomberg'!G820)</f>
        <v/>
      </c>
      <c r="H820" s="7" t="str">
        <f>IF('Port Bloomberg'!H820="","",'Port Bloomberg'!H820)</f>
        <v/>
      </c>
      <c r="I820" s="7" t="str">
        <f>IF('Port Bloomberg'!I820="","",'Port Bloomberg'!I820)</f>
        <v/>
      </c>
      <c r="J820" s="7" t="str">
        <f>IF('Port Bloomberg'!J820="","",'Port Bloomberg'!J820)</f>
        <v/>
      </c>
      <c r="K820" s="7" t="str">
        <f>IF('Port Bloomberg'!K820="","",'Port Bloomberg'!K820)</f>
        <v/>
      </c>
      <c r="L820" s="7" t="str">
        <f>IF('Port Bloomberg'!L820="","",'Port Bloomberg'!L820)</f>
        <v/>
      </c>
      <c r="M820" s="7" t="str">
        <f>IF('Port Bloomberg'!M820="","",'Port Bloomberg'!M820)</f>
        <v/>
      </c>
      <c r="N820" s="7" t="str">
        <f>IF('Port Bloomberg'!N820="","",'Port Bloomberg'!N820)</f>
        <v/>
      </c>
      <c r="O820" s="7" t="str">
        <f>IF('Port Bloomberg'!O820="","",'Port Bloomberg'!O820)</f>
        <v/>
      </c>
      <c r="P820" s="7" t="str">
        <f>IF('Port Bloomberg'!P820="","",'Port Bloomberg'!P820)</f>
        <v/>
      </c>
      <c r="Q820" s="7" t="str">
        <f>IF('Port Bloomberg'!Q820="","",'Port Bloomberg'!Q820)</f>
        <v/>
      </c>
      <c r="R820" s="7" t="str">
        <f>IF('Port Bloomberg'!R820="","",'Port Bloomberg'!R820)</f>
        <v/>
      </c>
      <c r="S820" s="5" t="str">
        <f>IF(E820="","",IFERROR(IF(MATCH(E820,[1]Instrumentos!$D:$D,0)&gt;0,1,0),0))</f>
        <v/>
      </c>
      <c r="T820" s="5" t="str">
        <f>IF(E820="","",IFERROR(IF(MATCH(E820,'Lista de excepciones'!$E:$E,0)&gt;0,1,0),0))</f>
        <v/>
      </c>
      <c r="U820" s="6" t="str">
        <f t="shared" si="13"/>
        <v/>
      </c>
    </row>
    <row r="821" spans="1:21" hidden="1" x14ac:dyDescent="0.25">
      <c r="A821" s="7" t="str">
        <f>IF('Port Bloomberg'!A821="","",'Port Bloomberg'!A821)</f>
        <v/>
      </c>
      <c r="B821" s="7" t="str">
        <f>IF('Port Bloomberg'!B821="","",'Port Bloomberg'!B821)</f>
        <v/>
      </c>
      <c r="C821" s="7" t="str">
        <f>IF('Port Bloomberg'!C821="","",'Port Bloomberg'!C821)</f>
        <v/>
      </c>
      <c r="D821" s="7" t="str">
        <f>IF('Port Bloomberg'!D821="","",'Port Bloomberg'!D821)</f>
        <v/>
      </c>
      <c r="E821" s="7" t="str">
        <f>IF('Port Bloomberg'!E821="","",'Port Bloomberg'!E821)</f>
        <v/>
      </c>
      <c r="F821" s="7" t="str">
        <f>IF('Port Bloomberg'!F821="","",'Port Bloomberg'!F821)</f>
        <v/>
      </c>
      <c r="G821" s="7" t="str">
        <f>IF('Port Bloomberg'!G821="","",'Port Bloomberg'!G821)</f>
        <v/>
      </c>
      <c r="H821" s="7" t="str">
        <f>IF('Port Bloomberg'!H821="","",'Port Bloomberg'!H821)</f>
        <v/>
      </c>
      <c r="I821" s="7" t="str">
        <f>IF('Port Bloomberg'!I821="","",'Port Bloomberg'!I821)</f>
        <v/>
      </c>
      <c r="J821" s="7" t="str">
        <f>IF('Port Bloomberg'!J821="","",'Port Bloomberg'!J821)</f>
        <v/>
      </c>
      <c r="K821" s="7" t="str">
        <f>IF('Port Bloomberg'!K821="","",'Port Bloomberg'!K821)</f>
        <v/>
      </c>
      <c r="L821" s="7" t="str">
        <f>IF('Port Bloomberg'!L821="","",'Port Bloomberg'!L821)</f>
        <v/>
      </c>
      <c r="M821" s="7" t="str">
        <f>IF('Port Bloomberg'!M821="","",'Port Bloomberg'!M821)</f>
        <v/>
      </c>
      <c r="N821" s="7" t="str">
        <f>IF('Port Bloomberg'!N821="","",'Port Bloomberg'!N821)</f>
        <v/>
      </c>
      <c r="O821" s="7" t="str">
        <f>IF('Port Bloomberg'!O821="","",'Port Bloomberg'!O821)</f>
        <v/>
      </c>
      <c r="P821" s="7" t="str">
        <f>IF('Port Bloomberg'!P821="","",'Port Bloomberg'!P821)</f>
        <v/>
      </c>
      <c r="Q821" s="7" t="str">
        <f>IF('Port Bloomberg'!Q821="","",'Port Bloomberg'!Q821)</f>
        <v/>
      </c>
      <c r="R821" s="7" t="str">
        <f>IF('Port Bloomberg'!R821="","",'Port Bloomberg'!R821)</f>
        <v/>
      </c>
      <c r="S821" s="5" t="str">
        <f>IF(E821="","",IFERROR(IF(MATCH(E821,[1]Instrumentos!$D:$D,0)&gt;0,1,0),0))</f>
        <v/>
      </c>
      <c r="T821" s="5" t="str">
        <f>IF(E821="","",IFERROR(IF(MATCH(E821,'Lista de excepciones'!$E:$E,0)&gt;0,1,0),0))</f>
        <v/>
      </c>
      <c r="U821" s="6" t="str">
        <f t="shared" si="13"/>
        <v/>
      </c>
    </row>
    <row r="822" spans="1:21" hidden="1" x14ac:dyDescent="0.25">
      <c r="A822" s="7" t="str">
        <f>IF('Port Bloomberg'!A822="","",'Port Bloomberg'!A822)</f>
        <v/>
      </c>
      <c r="B822" s="7" t="str">
        <f>IF('Port Bloomberg'!B822="","",'Port Bloomberg'!B822)</f>
        <v/>
      </c>
      <c r="C822" s="7" t="str">
        <f>IF('Port Bloomberg'!C822="","",'Port Bloomberg'!C822)</f>
        <v/>
      </c>
      <c r="D822" s="7" t="str">
        <f>IF('Port Bloomberg'!D822="","",'Port Bloomberg'!D822)</f>
        <v/>
      </c>
      <c r="E822" s="7" t="str">
        <f>IF('Port Bloomberg'!E822="","",'Port Bloomberg'!E822)</f>
        <v/>
      </c>
      <c r="F822" s="7" t="str">
        <f>IF('Port Bloomberg'!F822="","",'Port Bloomberg'!F822)</f>
        <v/>
      </c>
      <c r="G822" s="7" t="str">
        <f>IF('Port Bloomberg'!G822="","",'Port Bloomberg'!G822)</f>
        <v/>
      </c>
      <c r="H822" s="7" t="str">
        <f>IF('Port Bloomberg'!H822="","",'Port Bloomberg'!H822)</f>
        <v/>
      </c>
      <c r="I822" s="7" t="str">
        <f>IF('Port Bloomberg'!I822="","",'Port Bloomberg'!I822)</f>
        <v/>
      </c>
      <c r="J822" s="7" t="str">
        <f>IF('Port Bloomberg'!J822="","",'Port Bloomberg'!J822)</f>
        <v/>
      </c>
      <c r="K822" s="7" t="str">
        <f>IF('Port Bloomberg'!K822="","",'Port Bloomberg'!K822)</f>
        <v/>
      </c>
      <c r="L822" s="7" t="str">
        <f>IF('Port Bloomberg'!L822="","",'Port Bloomberg'!L822)</f>
        <v/>
      </c>
      <c r="M822" s="7" t="str">
        <f>IF('Port Bloomberg'!M822="","",'Port Bloomberg'!M822)</f>
        <v/>
      </c>
      <c r="N822" s="7" t="str">
        <f>IF('Port Bloomberg'!N822="","",'Port Bloomberg'!N822)</f>
        <v/>
      </c>
      <c r="O822" s="7" t="str">
        <f>IF('Port Bloomberg'!O822="","",'Port Bloomberg'!O822)</f>
        <v/>
      </c>
      <c r="P822" s="7" t="str">
        <f>IF('Port Bloomberg'!P822="","",'Port Bloomberg'!P822)</f>
        <v/>
      </c>
      <c r="Q822" s="7" t="str">
        <f>IF('Port Bloomberg'!Q822="","",'Port Bloomberg'!Q822)</f>
        <v/>
      </c>
      <c r="R822" s="7" t="str">
        <f>IF('Port Bloomberg'!R822="","",'Port Bloomberg'!R822)</f>
        <v/>
      </c>
      <c r="S822" s="5" t="str">
        <f>IF(E822="","",IFERROR(IF(MATCH(E822,[1]Instrumentos!$D:$D,0)&gt;0,1,0),0))</f>
        <v/>
      </c>
      <c r="T822" s="5" t="str">
        <f>IF(E822="","",IFERROR(IF(MATCH(E822,'Lista de excepciones'!$E:$E,0)&gt;0,1,0),0))</f>
        <v/>
      </c>
      <c r="U822" s="6" t="str">
        <f t="shared" si="13"/>
        <v/>
      </c>
    </row>
    <row r="823" spans="1:21" hidden="1" x14ac:dyDescent="0.25">
      <c r="A823" s="7" t="str">
        <f>IF('Port Bloomberg'!A823="","",'Port Bloomberg'!A823)</f>
        <v/>
      </c>
      <c r="B823" s="7" t="str">
        <f>IF('Port Bloomberg'!B823="","",'Port Bloomberg'!B823)</f>
        <v/>
      </c>
      <c r="C823" s="7" t="str">
        <f>IF('Port Bloomberg'!C823="","",'Port Bloomberg'!C823)</f>
        <v/>
      </c>
      <c r="D823" s="7" t="str">
        <f>IF('Port Bloomberg'!D823="","",'Port Bloomberg'!D823)</f>
        <v/>
      </c>
      <c r="E823" s="7" t="str">
        <f>IF('Port Bloomberg'!E823="","",'Port Bloomberg'!E823)</f>
        <v/>
      </c>
      <c r="F823" s="7" t="str">
        <f>IF('Port Bloomberg'!F823="","",'Port Bloomberg'!F823)</f>
        <v/>
      </c>
      <c r="G823" s="7" t="str">
        <f>IF('Port Bloomberg'!G823="","",'Port Bloomberg'!G823)</f>
        <v/>
      </c>
      <c r="H823" s="7" t="str">
        <f>IF('Port Bloomberg'!H823="","",'Port Bloomberg'!H823)</f>
        <v/>
      </c>
      <c r="I823" s="7" t="str">
        <f>IF('Port Bloomberg'!I823="","",'Port Bloomberg'!I823)</f>
        <v/>
      </c>
      <c r="J823" s="7" t="str">
        <f>IF('Port Bloomberg'!J823="","",'Port Bloomberg'!J823)</f>
        <v/>
      </c>
      <c r="K823" s="7" t="str">
        <f>IF('Port Bloomberg'!K823="","",'Port Bloomberg'!K823)</f>
        <v/>
      </c>
      <c r="L823" s="7" t="str">
        <f>IF('Port Bloomberg'!L823="","",'Port Bloomberg'!L823)</f>
        <v/>
      </c>
      <c r="M823" s="7" t="str">
        <f>IF('Port Bloomberg'!M823="","",'Port Bloomberg'!M823)</f>
        <v/>
      </c>
      <c r="N823" s="7" t="str">
        <f>IF('Port Bloomberg'!N823="","",'Port Bloomberg'!N823)</f>
        <v/>
      </c>
      <c r="O823" s="7" t="str">
        <f>IF('Port Bloomberg'!O823="","",'Port Bloomberg'!O823)</f>
        <v/>
      </c>
      <c r="P823" s="7" t="str">
        <f>IF('Port Bloomberg'!P823="","",'Port Bloomberg'!P823)</f>
        <v/>
      </c>
      <c r="Q823" s="7" t="str">
        <f>IF('Port Bloomberg'!Q823="","",'Port Bloomberg'!Q823)</f>
        <v/>
      </c>
      <c r="R823" s="7" t="str">
        <f>IF('Port Bloomberg'!R823="","",'Port Bloomberg'!R823)</f>
        <v/>
      </c>
      <c r="S823" s="5" t="str">
        <f>IF(E823="","",IFERROR(IF(MATCH(E823,[1]Instrumentos!$D:$D,0)&gt;0,1,0),0))</f>
        <v/>
      </c>
      <c r="T823" s="5" t="str">
        <f>IF(E823="","",IFERROR(IF(MATCH(E823,'Lista de excepciones'!$E:$E,0)&gt;0,1,0),0))</f>
        <v/>
      </c>
      <c r="U823" s="6" t="str">
        <f t="shared" si="13"/>
        <v/>
      </c>
    </row>
    <row r="824" spans="1:21" hidden="1" x14ac:dyDescent="0.25">
      <c r="A824" s="7" t="str">
        <f>IF('Port Bloomberg'!A824="","",'Port Bloomberg'!A824)</f>
        <v/>
      </c>
      <c r="B824" s="7" t="str">
        <f>IF('Port Bloomberg'!B824="","",'Port Bloomberg'!B824)</f>
        <v/>
      </c>
      <c r="C824" s="7" t="str">
        <f>IF('Port Bloomberg'!C824="","",'Port Bloomberg'!C824)</f>
        <v/>
      </c>
      <c r="D824" s="7" t="str">
        <f>IF('Port Bloomberg'!D824="","",'Port Bloomberg'!D824)</f>
        <v/>
      </c>
      <c r="E824" s="7" t="str">
        <f>IF('Port Bloomberg'!E824="","",'Port Bloomberg'!E824)</f>
        <v/>
      </c>
      <c r="F824" s="7" t="str">
        <f>IF('Port Bloomberg'!F824="","",'Port Bloomberg'!F824)</f>
        <v/>
      </c>
      <c r="G824" s="7" t="str">
        <f>IF('Port Bloomberg'!G824="","",'Port Bloomberg'!G824)</f>
        <v/>
      </c>
      <c r="H824" s="7" t="str">
        <f>IF('Port Bloomberg'!H824="","",'Port Bloomberg'!H824)</f>
        <v/>
      </c>
      <c r="I824" s="7" t="str">
        <f>IF('Port Bloomberg'!I824="","",'Port Bloomberg'!I824)</f>
        <v/>
      </c>
      <c r="J824" s="7" t="str">
        <f>IF('Port Bloomberg'!J824="","",'Port Bloomberg'!J824)</f>
        <v/>
      </c>
      <c r="K824" s="7" t="str">
        <f>IF('Port Bloomberg'!K824="","",'Port Bloomberg'!K824)</f>
        <v/>
      </c>
      <c r="L824" s="7" t="str">
        <f>IF('Port Bloomberg'!L824="","",'Port Bloomberg'!L824)</f>
        <v/>
      </c>
      <c r="M824" s="7" t="str">
        <f>IF('Port Bloomberg'!M824="","",'Port Bloomberg'!M824)</f>
        <v/>
      </c>
      <c r="N824" s="7" t="str">
        <f>IF('Port Bloomberg'!N824="","",'Port Bloomberg'!N824)</f>
        <v/>
      </c>
      <c r="O824" s="7" t="str">
        <f>IF('Port Bloomberg'!O824="","",'Port Bloomberg'!O824)</f>
        <v/>
      </c>
      <c r="P824" s="7" t="str">
        <f>IF('Port Bloomberg'!P824="","",'Port Bloomberg'!P824)</f>
        <v/>
      </c>
      <c r="Q824" s="7" t="str">
        <f>IF('Port Bloomberg'!Q824="","",'Port Bloomberg'!Q824)</f>
        <v/>
      </c>
      <c r="R824" s="7" t="str">
        <f>IF('Port Bloomberg'!R824="","",'Port Bloomberg'!R824)</f>
        <v/>
      </c>
      <c r="S824" s="5" t="str">
        <f>IF(E824="","",IFERROR(IF(MATCH(E824,[1]Instrumentos!$D:$D,0)&gt;0,1,0),0))</f>
        <v/>
      </c>
      <c r="T824" s="5" t="str">
        <f>IF(E824="","",IFERROR(IF(MATCH(E824,'Lista de excepciones'!$E:$E,0)&gt;0,1,0),0))</f>
        <v/>
      </c>
      <c r="U824" s="6" t="str">
        <f t="shared" si="13"/>
        <v/>
      </c>
    </row>
    <row r="825" spans="1:21" hidden="1" x14ac:dyDescent="0.25">
      <c r="A825" s="7" t="str">
        <f>IF('Port Bloomberg'!A825="","",'Port Bloomberg'!A825)</f>
        <v/>
      </c>
      <c r="B825" s="7" t="str">
        <f>IF('Port Bloomberg'!B825="","",'Port Bloomberg'!B825)</f>
        <v/>
      </c>
      <c r="C825" s="7" t="str">
        <f>IF('Port Bloomberg'!C825="","",'Port Bloomberg'!C825)</f>
        <v/>
      </c>
      <c r="D825" s="7" t="str">
        <f>IF('Port Bloomberg'!D825="","",'Port Bloomberg'!D825)</f>
        <v/>
      </c>
      <c r="E825" s="7" t="str">
        <f>IF('Port Bloomberg'!E825="","",'Port Bloomberg'!E825)</f>
        <v/>
      </c>
      <c r="F825" s="7" t="str">
        <f>IF('Port Bloomberg'!F825="","",'Port Bloomberg'!F825)</f>
        <v/>
      </c>
      <c r="G825" s="7" t="str">
        <f>IF('Port Bloomberg'!G825="","",'Port Bloomberg'!G825)</f>
        <v/>
      </c>
      <c r="H825" s="7" t="str">
        <f>IF('Port Bloomberg'!H825="","",'Port Bloomberg'!H825)</f>
        <v/>
      </c>
      <c r="I825" s="7" t="str">
        <f>IF('Port Bloomberg'!I825="","",'Port Bloomberg'!I825)</f>
        <v/>
      </c>
      <c r="J825" s="7" t="str">
        <f>IF('Port Bloomberg'!J825="","",'Port Bloomberg'!J825)</f>
        <v/>
      </c>
      <c r="K825" s="7" t="str">
        <f>IF('Port Bloomberg'!K825="","",'Port Bloomberg'!K825)</f>
        <v/>
      </c>
      <c r="L825" s="7" t="str">
        <f>IF('Port Bloomberg'!L825="","",'Port Bloomberg'!L825)</f>
        <v/>
      </c>
      <c r="M825" s="7" t="str">
        <f>IF('Port Bloomberg'!M825="","",'Port Bloomberg'!M825)</f>
        <v/>
      </c>
      <c r="N825" s="7" t="str">
        <f>IF('Port Bloomberg'!N825="","",'Port Bloomberg'!N825)</f>
        <v/>
      </c>
      <c r="O825" s="7" t="str">
        <f>IF('Port Bloomberg'!O825="","",'Port Bloomberg'!O825)</f>
        <v/>
      </c>
      <c r="P825" s="7" t="str">
        <f>IF('Port Bloomberg'!P825="","",'Port Bloomberg'!P825)</f>
        <v/>
      </c>
      <c r="Q825" s="7" t="str">
        <f>IF('Port Bloomberg'!Q825="","",'Port Bloomberg'!Q825)</f>
        <v/>
      </c>
      <c r="R825" s="7" t="str">
        <f>IF('Port Bloomberg'!R825="","",'Port Bloomberg'!R825)</f>
        <v/>
      </c>
      <c r="S825" s="5" t="str">
        <f>IF(E825="","",IFERROR(IF(MATCH(E825,[1]Instrumentos!$D:$D,0)&gt;0,1,0),0))</f>
        <v/>
      </c>
      <c r="T825" s="5" t="str">
        <f>IF(E825="","",IFERROR(IF(MATCH(E825,'Lista de excepciones'!$E:$E,0)&gt;0,1,0),0))</f>
        <v/>
      </c>
      <c r="U825" s="6" t="str">
        <f t="shared" si="13"/>
        <v/>
      </c>
    </row>
    <row r="826" spans="1:21" hidden="1" x14ac:dyDescent="0.25">
      <c r="A826" s="7" t="str">
        <f>IF('Port Bloomberg'!A826="","",'Port Bloomberg'!A826)</f>
        <v/>
      </c>
      <c r="B826" s="7" t="str">
        <f>IF('Port Bloomberg'!B826="","",'Port Bloomberg'!B826)</f>
        <v/>
      </c>
      <c r="C826" s="7" t="str">
        <f>IF('Port Bloomberg'!C826="","",'Port Bloomberg'!C826)</f>
        <v/>
      </c>
      <c r="D826" s="7" t="str">
        <f>IF('Port Bloomberg'!D826="","",'Port Bloomberg'!D826)</f>
        <v/>
      </c>
      <c r="E826" s="7" t="str">
        <f>IF('Port Bloomberg'!E826="","",'Port Bloomberg'!E826)</f>
        <v/>
      </c>
      <c r="F826" s="7" t="str">
        <f>IF('Port Bloomberg'!F826="","",'Port Bloomberg'!F826)</f>
        <v/>
      </c>
      <c r="G826" s="7" t="str">
        <f>IF('Port Bloomberg'!G826="","",'Port Bloomberg'!G826)</f>
        <v/>
      </c>
      <c r="H826" s="7" t="str">
        <f>IF('Port Bloomberg'!H826="","",'Port Bloomberg'!H826)</f>
        <v/>
      </c>
      <c r="I826" s="7" t="str">
        <f>IF('Port Bloomberg'!I826="","",'Port Bloomberg'!I826)</f>
        <v/>
      </c>
      <c r="J826" s="7" t="str">
        <f>IF('Port Bloomberg'!J826="","",'Port Bloomberg'!J826)</f>
        <v/>
      </c>
      <c r="K826" s="7" t="str">
        <f>IF('Port Bloomberg'!K826="","",'Port Bloomberg'!K826)</f>
        <v/>
      </c>
      <c r="L826" s="7" t="str">
        <f>IF('Port Bloomberg'!L826="","",'Port Bloomberg'!L826)</f>
        <v/>
      </c>
      <c r="M826" s="7" t="str">
        <f>IF('Port Bloomberg'!M826="","",'Port Bloomberg'!M826)</f>
        <v/>
      </c>
      <c r="N826" s="7" t="str">
        <f>IF('Port Bloomberg'!N826="","",'Port Bloomberg'!N826)</f>
        <v/>
      </c>
      <c r="O826" s="7" t="str">
        <f>IF('Port Bloomberg'!O826="","",'Port Bloomberg'!O826)</f>
        <v/>
      </c>
      <c r="P826" s="7" t="str">
        <f>IF('Port Bloomberg'!P826="","",'Port Bloomberg'!P826)</f>
        <v/>
      </c>
      <c r="Q826" s="7" t="str">
        <f>IF('Port Bloomberg'!Q826="","",'Port Bloomberg'!Q826)</f>
        <v/>
      </c>
      <c r="R826" s="7" t="str">
        <f>IF('Port Bloomberg'!R826="","",'Port Bloomberg'!R826)</f>
        <v/>
      </c>
      <c r="S826" s="5" t="str">
        <f>IF(E826="","",IFERROR(IF(MATCH(E826,[1]Instrumentos!$D:$D,0)&gt;0,1,0),0))</f>
        <v/>
      </c>
      <c r="T826" s="5" t="str">
        <f>IF(E826="","",IFERROR(IF(MATCH(E826,'Lista de excepciones'!$E:$E,0)&gt;0,1,0),0))</f>
        <v/>
      </c>
      <c r="U826" s="6" t="str">
        <f t="shared" si="13"/>
        <v/>
      </c>
    </row>
    <row r="827" spans="1:21" hidden="1" x14ac:dyDescent="0.25">
      <c r="A827" s="7" t="str">
        <f>IF('Port Bloomberg'!A827="","",'Port Bloomberg'!A827)</f>
        <v/>
      </c>
      <c r="B827" s="7" t="str">
        <f>IF('Port Bloomberg'!B827="","",'Port Bloomberg'!B827)</f>
        <v/>
      </c>
      <c r="C827" s="7" t="str">
        <f>IF('Port Bloomberg'!C827="","",'Port Bloomberg'!C827)</f>
        <v/>
      </c>
      <c r="D827" s="7" t="str">
        <f>IF('Port Bloomberg'!D827="","",'Port Bloomberg'!D827)</f>
        <v/>
      </c>
      <c r="E827" s="7" t="str">
        <f>IF('Port Bloomberg'!E827="","",'Port Bloomberg'!E827)</f>
        <v/>
      </c>
      <c r="F827" s="7" t="str">
        <f>IF('Port Bloomberg'!F827="","",'Port Bloomberg'!F827)</f>
        <v/>
      </c>
      <c r="G827" s="7" t="str">
        <f>IF('Port Bloomberg'!G827="","",'Port Bloomberg'!G827)</f>
        <v/>
      </c>
      <c r="H827" s="7" t="str">
        <f>IF('Port Bloomberg'!H827="","",'Port Bloomberg'!H827)</f>
        <v/>
      </c>
      <c r="I827" s="7" t="str">
        <f>IF('Port Bloomberg'!I827="","",'Port Bloomberg'!I827)</f>
        <v/>
      </c>
      <c r="J827" s="7" t="str">
        <f>IF('Port Bloomberg'!J827="","",'Port Bloomberg'!J827)</f>
        <v/>
      </c>
      <c r="K827" s="7" t="str">
        <f>IF('Port Bloomberg'!K827="","",'Port Bloomberg'!K827)</f>
        <v/>
      </c>
      <c r="L827" s="7" t="str">
        <f>IF('Port Bloomberg'!L827="","",'Port Bloomberg'!L827)</f>
        <v/>
      </c>
      <c r="M827" s="7" t="str">
        <f>IF('Port Bloomberg'!M827="","",'Port Bloomberg'!M827)</f>
        <v/>
      </c>
      <c r="N827" s="7" t="str">
        <f>IF('Port Bloomberg'!N827="","",'Port Bloomberg'!N827)</f>
        <v/>
      </c>
      <c r="O827" s="7" t="str">
        <f>IF('Port Bloomberg'!O827="","",'Port Bloomberg'!O827)</f>
        <v/>
      </c>
      <c r="P827" s="7" t="str">
        <f>IF('Port Bloomberg'!P827="","",'Port Bloomberg'!P827)</f>
        <v/>
      </c>
      <c r="Q827" s="7" t="str">
        <f>IF('Port Bloomberg'!Q827="","",'Port Bloomberg'!Q827)</f>
        <v/>
      </c>
      <c r="R827" s="7" t="str">
        <f>IF('Port Bloomberg'!R827="","",'Port Bloomberg'!R827)</f>
        <v/>
      </c>
      <c r="S827" s="5" t="str">
        <f>IF(E827="","",IFERROR(IF(MATCH(E827,[1]Instrumentos!$D:$D,0)&gt;0,1,0),0))</f>
        <v/>
      </c>
      <c r="T827" s="5" t="str">
        <f>IF(E827="","",IFERROR(IF(MATCH(E827,'Lista de excepciones'!$E:$E,0)&gt;0,1,0),0))</f>
        <v/>
      </c>
      <c r="U827" s="6" t="str">
        <f t="shared" si="13"/>
        <v/>
      </c>
    </row>
    <row r="828" spans="1:21" hidden="1" x14ac:dyDescent="0.25">
      <c r="A828" s="7" t="str">
        <f>IF('Port Bloomberg'!A828="","",'Port Bloomberg'!A828)</f>
        <v/>
      </c>
      <c r="B828" s="7" t="str">
        <f>IF('Port Bloomberg'!B828="","",'Port Bloomberg'!B828)</f>
        <v/>
      </c>
      <c r="C828" s="7" t="str">
        <f>IF('Port Bloomberg'!C828="","",'Port Bloomberg'!C828)</f>
        <v/>
      </c>
      <c r="D828" s="7" t="str">
        <f>IF('Port Bloomberg'!D828="","",'Port Bloomberg'!D828)</f>
        <v/>
      </c>
      <c r="E828" s="7" t="str">
        <f>IF('Port Bloomberg'!E828="","",'Port Bloomberg'!E828)</f>
        <v/>
      </c>
      <c r="F828" s="7" t="str">
        <f>IF('Port Bloomberg'!F828="","",'Port Bloomberg'!F828)</f>
        <v/>
      </c>
      <c r="G828" s="7" t="str">
        <f>IF('Port Bloomberg'!G828="","",'Port Bloomberg'!G828)</f>
        <v/>
      </c>
      <c r="H828" s="7" t="str">
        <f>IF('Port Bloomberg'!H828="","",'Port Bloomberg'!H828)</f>
        <v/>
      </c>
      <c r="I828" s="7" t="str">
        <f>IF('Port Bloomberg'!I828="","",'Port Bloomberg'!I828)</f>
        <v/>
      </c>
      <c r="J828" s="7" t="str">
        <f>IF('Port Bloomberg'!J828="","",'Port Bloomberg'!J828)</f>
        <v/>
      </c>
      <c r="K828" s="7" t="str">
        <f>IF('Port Bloomberg'!K828="","",'Port Bloomberg'!K828)</f>
        <v/>
      </c>
      <c r="L828" s="7" t="str">
        <f>IF('Port Bloomberg'!L828="","",'Port Bloomberg'!L828)</f>
        <v/>
      </c>
      <c r="M828" s="7" t="str">
        <f>IF('Port Bloomberg'!M828="","",'Port Bloomberg'!M828)</f>
        <v/>
      </c>
      <c r="N828" s="7" t="str">
        <f>IF('Port Bloomberg'!N828="","",'Port Bloomberg'!N828)</f>
        <v/>
      </c>
      <c r="O828" s="7" t="str">
        <f>IF('Port Bloomberg'!O828="","",'Port Bloomberg'!O828)</f>
        <v/>
      </c>
      <c r="P828" s="7" t="str">
        <f>IF('Port Bloomberg'!P828="","",'Port Bloomberg'!P828)</f>
        <v/>
      </c>
      <c r="Q828" s="7" t="str">
        <f>IF('Port Bloomberg'!Q828="","",'Port Bloomberg'!Q828)</f>
        <v/>
      </c>
      <c r="R828" s="7" t="str">
        <f>IF('Port Bloomberg'!R828="","",'Port Bloomberg'!R828)</f>
        <v/>
      </c>
      <c r="S828" s="5" t="str">
        <f>IF(E828="","",IFERROR(IF(MATCH(E828,[1]Instrumentos!$D:$D,0)&gt;0,1,0),0))</f>
        <v/>
      </c>
      <c r="T828" s="5" t="str">
        <f>IF(E828="","",IFERROR(IF(MATCH(E828,'Lista de excepciones'!$E:$E,0)&gt;0,1,0),0))</f>
        <v/>
      </c>
      <c r="U828" s="6" t="str">
        <f t="shared" si="13"/>
        <v/>
      </c>
    </row>
    <row r="829" spans="1:21" hidden="1" x14ac:dyDescent="0.25">
      <c r="A829" s="7" t="str">
        <f>IF('Port Bloomberg'!A829="","",'Port Bloomberg'!A829)</f>
        <v/>
      </c>
      <c r="B829" s="7" t="str">
        <f>IF('Port Bloomberg'!B829="","",'Port Bloomberg'!B829)</f>
        <v/>
      </c>
      <c r="C829" s="7" t="str">
        <f>IF('Port Bloomberg'!C829="","",'Port Bloomberg'!C829)</f>
        <v/>
      </c>
      <c r="D829" s="7" t="str">
        <f>IF('Port Bloomberg'!D829="","",'Port Bloomberg'!D829)</f>
        <v/>
      </c>
      <c r="E829" s="7" t="str">
        <f>IF('Port Bloomberg'!E829="","",'Port Bloomberg'!E829)</f>
        <v/>
      </c>
      <c r="F829" s="7" t="str">
        <f>IF('Port Bloomberg'!F829="","",'Port Bloomberg'!F829)</f>
        <v/>
      </c>
      <c r="G829" s="7" t="str">
        <f>IF('Port Bloomberg'!G829="","",'Port Bloomberg'!G829)</f>
        <v/>
      </c>
      <c r="H829" s="7" t="str">
        <f>IF('Port Bloomberg'!H829="","",'Port Bloomberg'!H829)</f>
        <v/>
      </c>
      <c r="I829" s="7" t="str">
        <f>IF('Port Bloomberg'!I829="","",'Port Bloomberg'!I829)</f>
        <v/>
      </c>
      <c r="J829" s="7" t="str">
        <f>IF('Port Bloomberg'!J829="","",'Port Bloomberg'!J829)</f>
        <v/>
      </c>
      <c r="K829" s="7" t="str">
        <f>IF('Port Bloomberg'!K829="","",'Port Bloomberg'!K829)</f>
        <v/>
      </c>
      <c r="L829" s="7" t="str">
        <f>IF('Port Bloomberg'!L829="","",'Port Bloomberg'!L829)</f>
        <v/>
      </c>
      <c r="M829" s="7" t="str">
        <f>IF('Port Bloomberg'!M829="","",'Port Bloomberg'!M829)</f>
        <v/>
      </c>
      <c r="N829" s="7" t="str">
        <f>IF('Port Bloomberg'!N829="","",'Port Bloomberg'!N829)</f>
        <v/>
      </c>
      <c r="O829" s="7" t="str">
        <f>IF('Port Bloomberg'!O829="","",'Port Bloomberg'!O829)</f>
        <v/>
      </c>
      <c r="P829" s="7" t="str">
        <f>IF('Port Bloomberg'!P829="","",'Port Bloomberg'!P829)</f>
        <v/>
      </c>
      <c r="Q829" s="7" t="str">
        <f>IF('Port Bloomberg'!Q829="","",'Port Bloomberg'!Q829)</f>
        <v/>
      </c>
      <c r="R829" s="7" t="str">
        <f>IF('Port Bloomberg'!R829="","",'Port Bloomberg'!R829)</f>
        <v/>
      </c>
      <c r="S829" s="5" t="str">
        <f>IF(E829="","",IFERROR(IF(MATCH(E829,[1]Instrumentos!$D:$D,0)&gt;0,1,0),0))</f>
        <v/>
      </c>
      <c r="T829" s="5" t="str">
        <f>IF(E829="","",IFERROR(IF(MATCH(E829,'Lista de excepciones'!$E:$E,0)&gt;0,1,0),0))</f>
        <v/>
      </c>
      <c r="U829" s="6" t="str">
        <f t="shared" si="13"/>
        <v/>
      </c>
    </row>
    <row r="830" spans="1:21" hidden="1" x14ac:dyDescent="0.25">
      <c r="A830" s="7" t="str">
        <f>IF('Port Bloomberg'!A830="","",'Port Bloomberg'!A830)</f>
        <v/>
      </c>
      <c r="B830" s="7" t="str">
        <f>IF('Port Bloomberg'!B830="","",'Port Bloomberg'!B830)</f>
        <v/>
      </c>
      <c r="C830" s="7" t="str">
        <f>IF('Port Bloomberg'!C830="","",'Port Bloomberg'!C830)</f>
        <v/>
      </c>
      <c r="D830" s="7" t="str">
        <f>IF('Port Bloomberg'!D830="","",'Port Bloomberg'!D830)</f>
        <v/>
      </c>
      <c r="E830" s="7" t="str">
        <f>IF('Port Bloomberg'!E830="","",'Port Bloomberg'!E830)</f>
        <v/>
      </c>
      <c r="F830" s="7" t="str">
        <f>IF('Port Bloomberg'!F830="","",'Port Bloomberg'!F830)</f>
        <v/>
      </c>
      <c r="G830" s="7" t="str">
        <f>IF('Port Bloomberg'!G830="","",'Port Bloomberg'!G830)</f>
        <v/>
      </c>
      <c r="H830" s="7" t="str">
        <f>IF('Port Bloomberg'!H830="","",'Port Bloomberg'!H830)</f>
        <v/>
      </c>
      <c r="I830" s="7" t="str">
        <f>IF('Port Bloomberg'!I830="","",'Port Bloomberg'!I830)</f>
        <v/>
      </c>
      <c r="J830" s="7" t="str">
        <f>IF('Port Bloomberg'!J830="","",'Port Bloomberg'!J830)</f>
        <v/>
      </c>
      <c r="K830" s="7" t="str">
        <f>IF('Port Bloomberg'!K830="","",'Port Bloomberg'!K830)</f>
        <v/>
      </c>
      <c r="L830" s="7" t="str">
        <f>IF('Port Bloomberg'!L830="","",'Port Bloomberg'!L830)</f>
        <v/>
      </c>
      <c r="M830" s="7" t="str">
        <f>IF('Port Bloomberg'!M830="","",'Port Bloomberg'!M830)</f>
        <v/>
      </c>
      <c r="N830" s="7" t="str">
        <f>IF('Port Bloomberg'!N830="","",'Port Bloomberg'!N830)</f>
        <v/>
      </c>
      <c r="O830" s="7" t="str">
        <f>IF('Port Bloomberg'!O830="","",'Port Bloomberg'!O830)</f>
        <v/>
      </c>
      <c r="P830" s="7" t="str">
        <f>IF('Port Bloomberg'!P830="","",'Port Bloomberg'!P830)</f>
        <v/>
      </c>
      <c r="Q830" s="7" t="str">
        <f>IF('Port Bloomberg'!Q830="","",'Port Bloomberg'!Q830)</f>
        <v/>
      </c>
      <c r="R830" s="7" t="str">
        <f>IF('Port Bloomberg'!R830="","",'Port Bloomberg'!R830)</f>
        <v/>
      </c>
      <c r="S830" s="5" t="str">
        <f>IF(E830="","",IFERROR(IF(MATCH(E830,[1]Instrumentos!$D:$D,0)&gt;0,1,0),0))</f>
        <v/>
      </c>
      <c r="T830" s="5" t="str">
        <f>IF(E830="","",IFERROR(IF(MATCH(E830,'Lista de excepciones'!$E:$E,0)&gt;0,1,0),0))</f>
        <v/>
      </c>
      <c r="U830" s="6" t="str">
        <f t="shared" si="13"/>
        <v/>
      </c>
    </row>
    <row r="831" spans="1:21" hidden="1" x14ac:dyDescent="0.25">
      <c r="A831" s="7" t="str">
        <f>IF('Port Bloomberg'!A831="","",'Port Bloomberg'!A831)</f>
        <v/>
      </c>
      <c r="B831" s="7" t="str">
        <f>IF('Port Bloomberg'!B831="","",'Port Bloomberg'!B831)</f>
        <v/>
      </c>
      <c r="C831" s="7" t="str">
        <f>IF('Port Bloomberg'!C831="","",'Port Bloomberg'!C831)</f>
        <v/>
      </c>
      <c r="D831" s="7" t="str">
        <f>IF('Port Bloomberg'!D831="","",'Port Bloomberg'!D831)</f>
        <v/>
      </c>
      <c r="E831" s="7" t="str">
        <f>IF('Port Bloomberg'!E831="","",'Port Bloomberg'!E831)</f>
        <v/>
      </c>
      <c r="F831" s="7" t="str">
        <f>IF('Port Bloomberg'!F831="","",'Port Bloomberg'!F831)</f>
        <v/>
      </c>
      <c r="G831" s="7" t="str">
        <f>IF('Port Bloomberg'!G831="","",'Port Bloomberg'!G831)</f>
        <v/>
      </c>
      <c r="H831" s="7" t="str">
        <f>IF('Port Bloomberg'!H831="","",'Port Bloomberg'!H831)</f>
        <v/>
      </c>
      <c r="I831" s="7" t="str">
        <f>IF('Port Bloomberg'!I831="","",'Port Bloomberg'!I831)</f>
        <v/>
      </c>
      <c r="J831" s="7" t="str">
        <f>IF('Port Bloomberg'!J831="","",'Port Bloomberg'!J831)</f>
        <v/>
      </c>
      <c r="K831" s="7" t="str">
        <f>IF('Port Bloomberg'!K831="","",'Port Bloomberg'!K831)</f>
        <v/>
      </c>
      <c r="L831" s="7" t="str">
        <f>IF('Port Bloomberg'!L831="","",'Port Bloomberg'!L831)</f>
        <v/>
      </c>
      <c r="M831" s="7" t="str">
        <f>IF('Port Bloomberg'!M831="","",'Port Bloomberg'!M831)</f>
        <v/>
      </c>
      <c r="N831" s="7" t="str">
        <f>IF('Port Bloomberg'!N831="","",'Port Bloomberg'!N831)</f>
        <v/>
      </c>
      <c r="O831" s="7" t="str">
        <f>IF('Port Bloomberg'!O831="","",'Port Bloomberg'!O831)</f>
        <v/>
      </c>
      <c r="P831" s="7" t="str">
        <f>IF('Port Bloomberg'!P831="","",'Port Bloomberg'!P831)</f>
        <v/>
      </c>
      <c r="Q831" s="7" t="str">
        <f>IF('Port Bloomberg'!Q831="","",'Port Bloomberg'!Q831)</f>
        <v/>
      </c>
      <c r="R831" s="7" t="str">
        <f>IF('Port Bloomberg'!R831="","",'Port Bloomberg'!R831)</f>
        <v/>
      </c>
      <c r="S831" s="5" t="str">
        <f>IF(E831="","",IFERROR(IF(MATCH(E831,[1]Instrumentos!$D:$D,0)&gt;0,1,0),0))</f>
        <v/>
      </c>
      <c r="T831" s="5" t="str">
        <f>IF(E831="","",IFERROR(IF(MATCH(E831,'Lista de excepciones'!$E:$E,0)&gt;0,1,0),0))</f>
        <v/>
      </c>
      <c r="U831" s="6" t="str">
        <f t="shared" si="13"/>
        <v/>
      </c>
    </row>
    <row r="832" spans="1:21" hidden="1" x14ac:dyDescent="0.25">
      <c r="A832" s="7" t="str">
        <f>IF('Port Bloomberg'!A832="","",'Port Bloomberg'!A832)</f>
        <v/>
      </c>
      <c r="B832" s="7" t="str">
        <f>IF('Port Bloomberg'!B832="","",'Port Bloomberg'!B832)</f>
        <v/>
      </c>
      <c r="C832" s="7" t="str">
        <f>IF('Port Bloomberg'!C832="","",'Port Bloomberg'!C832)</f>
        <v/>
      </c>
      <c r="D832" s="7" t="str">
        <f>IF('Port Bloomberg'!D832="","",'Port Bloomberg'!D832)</f>
        <v/>
      </c>
      <c r="E832" s="7" t="str">
        <f>IF('Port Bloomberg'!E832="","",'Port Bloomberg'!E832)</f>
        <v/>
      </c>
      <c r="F832" s="7" t="str">
        <f>IF('Port Bloomberg'!F832="","",'Port Bloomberg'!F832)</f>
        <v/>
      </c>
      <c r="G832" s="7" t="str">
        <f>IF('Port Bloomberg'!G832="","",'Port Bloomberg'!G832)</f>
        <v/>
      </c>
      <c r="H832" s="7" t="str">
        <f>IF('Port Bloomberg'!H832="","",'Port Bloomberg'!H832)</f>
        <v/>
      </c>
      <c r="I832" s="7" t="str">
        <f>IF('Port Bloomberg'!I832="","",'Port Bloomberg'!I832)</f>
        <v/>
      </c>
      <c r="J832" s="7" t="str">
        <f>IF('Port Bloomberg'!J832="","",'Port Bloomberg'!J832)</f>
        <v/>
      </c>
      <c r="K832" s="7" t="str">
        <f>IF('Port Bloomberg'!K832="","",'Port Bloomberg'!K832)</f>
        <v/>
      </c>
      <c r="L832" s="7" t="str">
        <f>IF('Port Bloomberg'!L832="","",'Port Bloomberg'!L832)</f>
        <v/>
      </c>
      <c r="M832" s="7" t="str">
        <f>IF('Port Bloomberg'!M832="","",'Port Bloomberg'!M832)</f>
        <v/>
      </c>
      <c r="N832" s="7" t="str">
        <f>IF('Port Bloomberg'!N832="","",'Port Bloomberg'!N832)</f>
        <v/>
      </c>
      <c r="O832" s="7" t="str">
        <f>IF('Port Bloomberg'!O832="","",'Port Bloomberg'!O832)</f>
        <v/>
      </c>
      <c r="P832" s="7" t="str">
        <f>IF('Port Bloomberg'!P832="","",'Port Bloomberg'!P832)</f>
        <v/>
      </c>
      <c r="Q832" s="7" t="str">
        <f>IF('Port Bloomberg'!Q832="","",'Port Bloomberg'!Q832)</f>
        <v/>
      </c>
      <c r="R832" s="7" t="str">
        <f>IF('Port Bloomberg'!R832="","",'Port Bloomberg'!R832)</f>
        <v/>
      </c>
      <c r="S832" s="5" t="str">
        <f>IF(E832="","",IFERROR(IF(MATCH(E832,[1]Instrumentos!$D:$D,0)&gt;0,1,0),0))</f>
        <v/>
      </c>
      <c r="T832" s="5" t="str">
        <f>IF(E832="","",IFERROR(IF(MATCH(E832,'Lista de excepciones'!$E:$E,0)&gt;0,1,0),0))</f>
        <v/>
      </c>
      <c r="U832" s="6" t="str">
        <f t="shared" si="13"/>
        <v/>
      </c>
    </row>
    <row r="833" spans="1:21" hidden="1" x14ac:dyDescent="0.25">
      <c r="A833" s="7" t="str">
        <f>IF('Port Bloomberg'!A833="","",'Port Bloomberg'!A833)</f>
        <v/>
      </c>
      <c r="B833" s="7" t="str">
        <f>IF('Port Bloomberg'!B833="","",'Port Bloomberg'!B833)</f>
        <v/>
      </c>
      <c r="C833" s="7" t="str">
        <f>IF('Port Bloomberg'!C833="","",'Port Bloomberg'!C833)</f>
        <v/>
      </c>
      <c r="D833" s="7" t="str">
        <f>IF('Port Bloomberg'!D833="","",'Port Bloomberg'!D833)</f>
        <v/>
      </c>
      <c r="E833" s="7" t="str">
        <f>IF('Port Bloomberg'!E833="","",'Port Bloomberg'!E833)</f>
        <v/>
      </c>
      <c r="F833" s="7" t="str">
        <f>IF('Port Bloomberg'!F833="","",'Port Bloomberg'!F833)</f>
        <v/>
      </c>
      <c r="G833" s="7" t="str">
        <f>IF('Port Bloomberg'!G833="","",'Port Bloomberg'!G833)</f>
        <v/>
      </c>
      <c r="H833" s="7" t="str">
        <f>IF('Port Bloomberg'!H833="","",'Port Bloomberg'!H833)</f>
        <v/>
      </c>
      <c r="I833" s="7" t="str">
        <f>IF('Port Bloomberg'!I833="","",'Port Bloomberg'!I833)</f>
        <v/>
      </c>
      <c r="J833" s="7" t="str">
        <f>IF('Port Bloomberg'!J833="","",'Port Bloomberg'!J833)</f>
        <v/>
      </c>
      <c r="K833" s="7" t="str">
        <f>IF('Port Bloomberg'!K833="","",'Port Bloomberg'!K833)</f>
        <v/>
      </c>
      <c r="L833" s="7" t="str">
        <f>IF('Port Bloomberg'!L833="","",'Port Bloomberg'!L833)</f>
        <v/>
      </c>
      <c r="M833" s="7" t="str">
        <f>IF('Port Bloomberg'!M833="","",'Port Bloomberg'!M833)</f>
        <v/>
      </c>
      <c r="N833" s="7" t="str">
        <f>IF('Port Bloomberg'!N833="","",'Port Bloomberg'!N833)</f>
        <v/>
      </c>
      <c r="O833" s="7" t="str">
        <f>IF('Port Bloomberg'!O833="","",'Port Bloomberg'!O833)</f>
        <v/>
      </c>
      <c r="P833" s="7" t="str">
        <f>IF('Port Bloomberg'!P833="","",'Port Bloomberg'!P833)</f>
        <v/>
      </c>
      <c r="Q833" s="7" t="str">
        <f>IF('Port Bloomberg'!Q833="","",'Port Bloomberg'!Q833)</f>
        <v/>
      </c>
      <c r="R833" s="7" t="str">
        <f>IF('Port Bloomberg'!R833="","",'Port Bloomberg'!R833)</f>
        <v/>
      </c>
      <c r="S833" s="5" t="str">
        <f>IF(E833="","",IFERROR(IF(MATCH(E833,[1]Instrumentos!$D:$D,0)&gt;0,1,0),0))</f>
        <v/>
      </c>
      <c r="T833" s="5" t="str">
        <f>IF(E833="","",IFERROR(IF(MATCH(E833,'Lista de excepciones'!$E:$E,0)&gt;0,1,0),0))</f>
        <v/>
      </c>
      <c r="U833" s="6" t="str">
        <f t="shared" si="13"/>
        <v/>
      </c>
    </row>
    <row r="834" spans="1:21" hidden="1" x14ac:dyDescent="0.25">
      <c r="A834" s="7" t="str">
        <f>IF('Port Bloomberg'!A834="","",'Port Bloomberg'!A834)</f>
        <v/>
      </c>
      <c r="B834" s="7" t="str">
        <f>IF('Port Bloomberg'!B834="","",'Port Bloomberg'!B834)</f>
        <v/>
      </c>
      <c r="C834" s="7" t="str">
        <f>IF('Port Bloomberg'!C834="","",'Port Bloomberg'!C834)</f>
        <v/>
      </c>
      <c r="D834" s="7" t="str">
        <f>IF('Port Bloomberg'!D834="","",'Port Bloomberg'!D834)</f>
        <v/>
      </c>
      <c r="E834" s="7" t="str">
        <f>IF('Port Bloomberg'!E834="","",'Port Bloomberg'!E834)</f>
        <v/>
      </c>
      <c r="F834" s="7" t="str">
        <f>IF('Port Bloomberg'!F834="","",'Port Bloomberg'!F834)</f>
        <v/>
      </c>
      <c r="G834" s="7" t="str">
        <f>IF('Port Bloomberg'!G834="","",'Port Bloomberg'!G834)</f>
        <v/>
      </c>
      <c r="H834" s="7" t="str">
        <f>IF('Port Bloomberg'!H834="","",'Port Bloomberg'!H834)</f>
        <v/>
      </c>
      <c r="I834" s="7" t="str">
        <f>IF('Port Bloomberg'!I834="","",'Port Bloomberg'!I834)</f>
        <v/>
      </c>
      <c r="J834" s="7" t="str">
        <f>IF('Port Bloomberg'!J834="","",'Port Bloomberg'!J834)</f>
        <v/>
      </c>
      <c r="K834" s="7" t="str">
        <f>IF('Port Bloomberg'!K834="","",'Port Bloomberg'!K834)</f>
        <v/>
      </c>
      <c r="L834" s="7" t="str">
        <f>IF('Port Bloomberg'!L834="","",'Port Bloomberg'!L834)</f>
        <v/>
      </c>
      <c r="M834" s="7" t="str">
        <f>IF('Port Bloomberg'!M834="","",'Port Bloomberg'!M834)</f>
        <v/>
      </c>
      <c r="N834" s="7" t="str">
        <f>IF('Port Bloomberg'!N834="","",'Port Bloomberg'!N834)</f>
        <v/>
      </c>
      <c r="O834" s="7" t="str">
        <f>IF('Port Bloomberg'!O834="","",'Port Bloomberg'!O834)</f>
        <v/>
      </c>
      <c r="P834" s="7" t="str">
        <f>IF('Port Bloomberg'!P834="","",'Port Bloomberg'!P834)</f>
        <v/>
      </c>
      <c r="Q834" s="7" t="str">
        <f>IF('Port Bloomberg'!Q834="","",'Port Bloomberg'!Q834)</f>
        <v/>
      </c>
      <c r="R834" s="7" t="str">
        <f>IF('Port Bloomberg'!R834="","",'Port Bloomberg'!R834)</f>
        <v/>
      </c>
      <c r="S834" s="5" t="str">
        <f>IF(E834="","",IFERROR(IF(MATCH(E834,[1]Instrumentos!$D:$D,0)&gt;0,1,0),0))</f>
        <v/>
      </c>
      <c r="T834" s="5" t="str">
        <f>IF(E834="","",IFERROR(IF(MATCH(E834,'Lista de excepciones'!$E:$E,0)&gt;0,1,0),0))</f>
        <v/>
      </c>
      <c r="U834" s="6" t="str">
        <f t="shared" si="13"/>
        <v/>
      </c>
    </row>
    <row r="835" spans="1:21" hidden="1" x14ac:dyDescent="0.25">
      <c r="A835" s="7" t="str">
        <f>IF('Port Bloomberg'!A835="","",'Port Bloomberg'!A835)</f>
        <v/>
      </c>
      <c r="B835" s="7" t="str">
        <f>IF('Port Bloomberg'!B835="","",'Port Bloomberg'!B835)</f>
        <v/>
      </c>
      <c r="C835" s="7" t="str">
        <f>IF('Port Bloomberg'!C835="","",'Port Bloomberg'!C835)</f>
        <v/>
      </c>
      <c r="D835" s="7" t="str">
        <f>IF('Port Bloomberg'!D835="","",'Port Bloomberg'!D835)</f>
        <v/>
      </c>
      <c r="E835" s="7" t="str">
        <f>IF('Port Bloomberg'!E835="","",'Port Bloomberg'!E835)</f>
        <v/>
      </c>
      <c r="F835" s="7" t="str">
        <f>IF('Port Bloomberg'!F835="","",'Port Bloomberg'!F835)</f>
        <v/>
      </c>
      <c r="G835" s="7" t="str">
        <f>IF('Port Bloomberg'!G835="","",'Port Bloomberg'!G835)</f>
        <v/>
      </c>
      <c r="H835" s="7" t="str">
        <f>IF('Port Bloomberg'!H835="","",'Port Bloomberg'!H835)</f>
        <v/>
      </c>
      <c r="I835" s="7" t="str">
        <f>IF('Port Bloomberg'!I835="","",'Port Bloomberg'!I835)</f>
        <v/>
      </c>
      <c r="J835" s="7" t="str">
        <f>IF('Port Bloomberg'!J835="","",'Port Bloomberg'!J835)</f>
        <v/>
      </c>
      <c r="K835" s="7" t="str">
        <f>IF('Port Bloomberg'!K835="","",'Port Bloomberg'!K835)</f>
        <v/>
      </c>
      <c r="L835" s="7" t="str">
        <f>IF('Port Bloomberg'!L835="","",'Port Bloomberg'!L835)</f>
        <v/>
      </c>
      <c r="M835" s="7" t="str">
        <f>IF('Port Bloomberg'!M835="","",'Port Bloomberg'!M835)</f>
        <v/>
      </c>
      <c r="N835" s="7" t="str">
        <f>IF('Port Bloomberg'!N835="","",'Port Bloomberg'!N835)</f>
        <v/>
      </c>
      <c r="O835" s="7" t="str">
        <f>IF('Port Bloomberg'!O835="","",'Port Bloomberg'!O835)</f>
        <v/>
      </c>
      <c r="P835" s="7" t="str">
        <f>IF('Port Bloomberg'!P835="","",'Port Bloomberg'!P835)</f>
        <v/>
      </c>
      <c r="Q835" s="7" t="str">
        <f>IF('Port Bloomberg'!Q835="","",'Port Bloomberg'!Q835)</f>
        <v/>
      </c>
      <c r="R835" s="7" t="str">
        <f>IF('Port Bloomberg'!R835="","",'Port Bloomberg'!R835)</f>
        <v/>
      </c>
      <c r="S835" s="5" t="str">
        <f>IF(E835="","",IFERROR(IF(MATCH(E835,[1]Instrumentos!$D:$D,0)&gt;0,1,0),0))</f>
        <v/>
      </c>
      <c r="T835" s="5" t="str">
        <f>IF(E835="","",IFERROR(IF(MATCH(E835,'Lista de excepciones'!$E:$E,0)&gt;0,1,0),0))</f>
        <v/>
      </c>
      <c r="U835" s="6" t="str">
        <f t="shared" ref="U835:U898" si="14">IF(E835="","",IF(S835+T835=0,"AGREGAR/REVISAR","NO"))</f>
        <v/>
      </c>
    </row>
    <row r="836" spans="1:21" hidden="1" x14ac:dyDescent="0.25">
      <c r="A836" s="7" t="str">
        <f>IF('Port Bloomberg'!A836="","",'Port Bloomberg'!A836)</f>
        <v/>
      </c>
      <c r="B836" s="7" t="str">
        <f>IF('Port Bloomberg'!B836="","",'Port Bloomberg'!B836)</f>
        <v/>
      </c>
      <c r="C836" s="7" t="str">
        <f>IF('Port Bloomberg'!C836="","",'Port Bloomberg'!C836)</f>
        <v/>
      </c>
      <c r="D836" s="7" t="str">
        <f>IF('Port Bloomberg'!D836="","",'Port Bloomberg'!D836)</f>
        <v/>
      </c>
      <c r="E836" s="7" t="str">
        <f>IF('Port Bloomberg'!E836="","",'Port Bloomberg'!E836)</f>
        <v/>
      </c>
      <c r="F836" s="7" t="str">
        <f>IF('Port Bloomberg'!F836="","",'Port Bloomberg'!F836)</f>
        <v/>
      </c>
      <c r="G836" s="7" t="str">
        <f>IF('Port Bloomberg'!G836="","",'Port Bloomberg'!G836)</f>
        <v/>
      </c>
      <c r="H836" s="7" t="str">
        <f>IF('Port Bloomberg'!H836="","",'Port Bloomberg'!H836)</f>
        <v/>
      </c>
      <c r="I836" s="7" t="str">
        <f>IF('Port Bloomberg'!I836="","",'Port Bloomberg'!I836)</f>
        <v/>
      </c>
      <c r="J836" s="7" t="str">
        <f>IF('Port Bloomberg'!J836="","",'Port Bloomberg'!J836)</f>
        <v/>
      </c>
      <c r="K836" s="7" t="str">
        <f>IF('Port Bloomberg'!K836="","",'Port Bloomberg'!K836)</f>
        <v/>
      </c>
      <c r="L836" s="7" t="str">
        <f>IF('Port Bloomberg'!L836="","",'Port Bloomberg'!L836)</f>
        <v/>
      </c>
      <c r="M836" s="7" t="str">
        <f>IF('Port Bloomberg'!M836="","",'Port Bloomberg'!M836)</f>
        <v/>
      </c>
      <c r="N836" s="7" t="str">
        <f>IF('Port Bloomberg'!N836="","",'Port Bloomberg'!N836)</f>
        <v/>
      </c>
      <c r="O836" s="7" t="str">
        <f>IF('Port Bloomberg'!O836="","",'Port Bloomberg'!O836)</f>
        <v/>
      </c>
      <c r="P836" s="7" t="str">
        <f>IF('Port Bloomberg'!P836="","",'Port Bloomberg'!P836)</f>
        <v/>
      </c>
      <c r="Q836" s="7" t="str">
        <f>IF('Port Bloomberg'!Q836="","",'Port Bloomberg'!Q836)</f>
        <v/>
      </c>
      <c r="R836" s="7" t="str">
        <f>IF('Port Bloomberg'!R836="","",'Port Bloomberg'!R836)</f>
        <v/>
      </c>
      <c r="S836" s="5" t="str">
        <f>IF(E836="","",IFERROR(IF(MATCH(E836,[1]Instrumentos!$D:$D,0)&gt;0,1,0),0))</f>
        <v/>
      </c>
      <c r="T836" s="5" t="str">
        <f>IF(E836="","",IFERROR(IF(MATCH(E836,'Lista de excepciones'!$E:$E,0)&gt;0,1,0),0))</f>
        <v/>
      </c>
      <c r="U836" s="6" t="str">
        <f t="shared" si="14"/>
        <v/>
      </c>
    </row>
    <row r="837" spans="1:21" hidden="1" x14ac:dyDescent="0.25">
      <c r="A837" s="7" t="str">
        <f>IF('Port Bloomberg'!A837="","",'Port Bloomberg'!A837)</f>
        <v/>
      </c>
      <c r="B837" s="7" t="str">
        <f>IF('Port Bloomberg'!B837="","",'Port Bloomberg'!B837)</f>
        <v/>
      </c>
      <c r="C837" s="7" t="str">
        <f>IF('Port Bloomberg'!C837="","",'Port Bloomberg'!C837)</f>
        <v/>
      </c>
      <c r="D837" s="7" t="str">
        <f>IF('Port Bloomberg'!D837="","",'Port Bloomberg'!D837)</f>
        <v/>
      </c>
      <c r="E837" s="7" t="str">
        <f>IF('Port Bloomberg'!E837="","",'Port Bloomberg'!E837)</f>
        <v/>
      </c>
      <c r="F837" s="7" t="str">
        <f>IF('Port Bloomberg'!F837="","",'Port Bloomberg'!F837)</f>
        <v/>
      </c>
      <c r="G837" s="7" t="str">
        <f>IF('Port Bloomberg'!G837="","",'Port Bloomberg'!G837)</f>
        <v/>
      </c>
      <c r="H837" s="7" t="str">
        <f>IF('Port Bloomberg'!H837="","",'Port Bloomberg'!H837)</f>
        <v/>
      </c>
      <c r="I837" s="7" t="str">
        <f>IF('Port Bloomberg'!I837="","",'Port Bloomberg'!I837)</f>
        <v/>
      </c>
      <c r="J837" s="7" t="str">
        <f>IF('Port Bloomberg'!J837="","",'Port Bloomberg'!J837)</f>
        <v/>
      </c>
      <c r="K837" s="7" t="str">
        <f>IF('Port Bloomberg'!K837="","",'Port Bloomberg'!K837)</f>
        <v/>
      </c>
      <c r="L837" s="7" t="str">
        <f>IF('Port Bloomberg'!L837="","",'Port Bloomberg'!L837)</f>
        <v/>
      </c>
      <c r="M837" s="7" t="str">
        <f>IF('Port Bloomberg'!M837="","",'Port Bloomberg'!M837)</f>
        <v/>
      </c>
      <c r="N837" s="7" t="str">
        <f>IF('Port Bloomberg'!N837="","",'Port Bloomberg'!N837)</f>
        <v/>
      </c>
      <c r="O837" s="7" t="str">
        <f>IF('Port Bloomberg'!O837="","",'Port Bloomberg'!O837)</f>
        <v/>
      </c>
      <c r="P837" s="7" t="str">
        <f>IF('Port Bloomberg'!P837="","",'Port Bloomberg'!P837)</f>
        <v/>
      </c>
      <c r="Q837" s="7" t="str">
        <f>IF('Port Bloomberg'!Q837="","",'Port Bloomberg'!Q837)</f>
        <v/>
      </c>
      <c r="R837" s="7" t="str">
        <f>IF('Port Bloomberg'!R837="","",'Port Bloomberg'!R837)</f>
        <v/>
      </c>
      <c r="S837" s="5" t="str">
        <f>IF(E837="","",IFERROR(IF(MATCH(E837,[1]Instrumentos!$D:$D,0)&gt;0,1,0),0))</f>
        <v/>
      </c>
      <c r="T837" s="5" t="str">
        <f>IF(E837="","",IFERROR(IF(MATCH(E837,'Lista de excepciones'!$E:$E,0)&gt;0,1,0),0))</f>
        <v/>
      </c>
      <c r="U837" s="6" t="str">
        <f t="shared" si="14"/>
        <v/>
      </c>
    </row>
    <row r="838" spans="1:21" hidden="1" x14ac:dyDescent="0.25">
      <c r="A838" s="7" t="str">
        <f>IF('Port Bloomberg'!A838="","",'Port Bloomberg'!A838)</f>
        <v/>
      </c>
      <c r="B838" s="7" t="str">
        <f>IF('Port Bloomberg'!B838="","",'Port Bloomberg'!B838)</f>
        <v/>
      </c>
      <c r="C838" s="7" t="str">
        <f>IF('Port Bloomberg'!C838="","",'Port Bloomberg'!C838)</f>
        <v/>
      </c>
      <c r="D838" s="7" t="str">
        <f>IF('Port Bloomberg'!D838="","",'Port Bloomberg'!D838)</f>
        <v/>
      </c>
      <c r="E838" s="7" t="str">
        <f>IF('Port Bloomberg'!E838="","",'Port Bloomberg'!E838)</f>
        <v/>
      </c>
      <c r="F838" s="7" t="str">
        <f>IF('Port Bloomberg'!F838="","",'Port Bloomberg'!F838)</f>
        <v/>
      </c>
      <c r="G838" s="7" t="str">
        <f>IF('Port Bloomberg'!G838="","",'Port Bloomberg'!G838)</f>
        <v/>
      </c>
      <c r="H838" s="7" t="str">
        <f>IF('Port Bloomberg'!H838="","",'Port Bloomberg'!H838)</f>
        <v/>
      </c>
      <c r="I838" s="7" t="str">
        <f>IF('Port Bloomberg'!I838="","",'Port Bloomberg'!I838)</f>
        <v/>
      </c>
      <c r="J838" s="7" t="str">
        <f>IF('Port Bloomberg'!J838="","",'Port Bloomberg'!J838)</f>
        <v/>
      </c>
      <c r="K838" s="7" t="str">
        <f>IF('Port Bloomberg'!K838="","",'Port Bloomberg'!K838)</f>
        <v/>
      </c>
      <c r="L838" s="7" t="str">
        <f>IF('Port Bloomberg'!L838="","",'Port Bloomberg'!L838)</f>
        <v/>
      </c>
      <c r="M838" s="7" t="str">
        <f>IF('Port Bloomberg'!M838="","",'Port Bloomberg'!M838)</f>
        <v/>
      </c>
      <c r="N838" s="7" t="str">
        <f>IF('Port Bloomberg'!N838="","",'Port Bloomberg'!N838)</f>
        <v/>
      </c>
      <c r="O838" s="7" t="str">
        <f>IF('Port Bloomberg'!O838="","",'Port Bloomberg'!O838)</f>
        <v/>
      </c>
      <c r="P838" s="7" t="str">
        <f>IF('Port Bloomberg'!P838="","",'Port Bloomberg'!P838)</f>
        <v/>
      </c>
      <c r="Q838" s="7" t="str">
        <f>IF('Port Bloomberg'!Q838="","",'Port Bloomberg'!Q838)</f>
        <v/>
      </c>
      <c r="R838" s="7" t="str">
        <f>IF('Port Bloomberg'!R838="","",'Port Bloomberg'!R838)</f>
        <v/>
      </c>
      <c r="S838" s="5" t="str">
        <f>IF(E838="","",IFERROR(IF(MATCH(E838,[1]Instrumentos!$D:$D,0)&gt;0,1,0),0))</f>
        <v/>
      </c>
      <c r="T838" s="5" t="str">
        <f>IF(E838="","",IFERROR(IF(MATCH(E838,'Lista de excepciones'!$E:$E,0)&gt;0,1,0),0))</f>
        <v/>
      </c>
      <c r="U838" s="6" t="str">
        <f t="shared" si="14"/>
        <v/>
      </c>
    </row>
    <row r="839" spans="1:21" hidden="1" x14ac:dyDescent="0.25">
      <c r="A839" s="7" t="str">
        <f>IF('Port Bloomberg'!A839="","",'Port Bloomberg'!A839)</f>
        <v/>
      </c>
      <c r="B839" s="7" t="str">
        <f>IF('Port Bloomberg'!B839="","",'Port Bloomberg'!B839)</f>
        <v/>
      </c>
      <c r="C839" s="7" t="str">
        <f>IF('Port Bloomberg'!C839="","",'Port Bloomberg'!C839)</f>
        <v/>
      </c>
      <c r="D839" s="7" t="str">
        <f>IF('Port Bloomberg'!D839="","",'Port Bloomberg'!D839)</f>
        <v/>
      </c>
      <c r="E839" s="7" t="str">
        <f>IF('Port Bloomberg'!E839="","",'Port Bloomberg'!E839)</f>
        <v/>
      </c>
      <c r="F839" s="7" t="str">
        <f>IF('Port Bloomberg'!F839="","",'Port Bloomberg'!F839)</f>
        <v/>
      </c>
      <c r="G839" s="7" t="str">
        <f>IF('Port Bloomberg'!G839="","",'Port Bloomberg'!G839)</f>
        <v/>
      </c>
      <c r="H839" s="7" t="str">
        <f>IF('Port Bloomberg'!H839="","",'Port Bloomberg'!H839)</f>
        <v/>
      </c>
      <c r="I839" s="7" t="str">
        <f>IF('Port Bloomberg'!I839="","",'Port Bloomberg'!I839)</f>
        <v/>
      </c>
      <c r="J839" s="7" t="str">
        <f>IF('Port Bloomberg'!J839="","",'Port Bloomberg'!J839)</f>
        <v/>
      </c>
      <c r="K839" s="7" t="str">
        <f>IF('Port Bloomberg'!K839="","",'Port Bloomberg'!K839)</f>
        <v/>
      </c>
      <c r="L839" s="7" t="str">
        <f>IF('Port Bloomberg'!L839="","",'Port Bloomberg'!L839)</f>
        <v/>
      </c>
      <c r="M839" s="7" t="str">
        <f>IF('Port Bloomberg'!M839="","",'Port Bloomberg'!M839)</f>
        <v/>
      </c>
      <c r="N839" s="7" t="str">
        <f>IF('Port Bloomberg'!N839="","",'Port Bloomberg'!N839)</f>
        <v/>
      </c>
      <c r="O839" s="7" t="str">
        <f>IF('Port Bloomberg'!O839="","",'Port Bloomberg'!O839)</f>
        <v/>
      </c>
      <c r="P839" s="7" t="str">
        <f>IF('Port Bloomberg'!P839="","",'Port Bloomberg'!P839)</f>
        <v/>
      </c>
      <c r="Q839" s="7" t="str">
        <f>IF('Port Bloomberg'!Q839="","",'Port Bloomberg'!Q839)</f>
        <v/>
      </c>
      <c r="R839" s="7" t="str">
        <f>IF('Port Bloomberg'!R839="","",'Port Bloomberg'!R839)</f>
        <v/>
      </c>
      <c r="S839" s="5" t="str">
        <f>IF(E839="","",IFERROR(IF(MATCH(E839,[1]Instrumentos!$D:$D,0)&gt;0,1,0),0))</f>
        <v/>
      </c>
      <c r="T839" s="5" t="str">
        <f>IF(E839="","",IFERROR(IF(MATCH(E839,'Lista de excepciones'!$E:$E,0)&gt;0,1,0),0))</f>
        <v/>
      </c>
      <c r="U839" s="6" t="str">
        <f t="shared" si="14"/>
        <v/>
      </c>
    </row>
    <row r="840" spans="1:21" hidden="1" x14ac:dyDescent="0.25">
      <c r="A840" s="7" t="str">
        <f>IF('Port Bloomberg'!A840="","",'Port Bloomberg'!A840)</f>
        <v/>
      </c>
      <c r="B840" s="7" t="str">
        <f>IF('Port Bloomberg'!B840="","",'Port Bloomberg'!B840)</f>
        <v/>
      </c>
      <c r="C840" s="7" t="str">
        <f>IF('Port Bloomberg'!C840="","",'Port Bloomberg'!C840)</f>
        <v/>
      </c>
      <c r="D840" s="7" t="str">
        <f>IF('Port Bloomberg'!D840="","",'Port Bloomberg'!D840)</f>
        <v/>
      </c>
      <c r="E840" s="7" t="str">
        <f>IF('Port Bloomberg'!E840="","",'Port Bloomberg'!E840)</f>
        <v/>
      </c>
      <c r="F840" s="7" t="str">
        <f>IF('Port Bloomberg'!F840="","",'Port Bloomberg'!F840)</f>
        <v/>
      </c>
      <c r="G840" s="7" t="str">
        <f>IF('Port Bloomberg'!G840="","",'Port Bloomberg'!G840)</f>
        <v/>
      </c>
      <c r="H840" s="7" t="str">
        <f>IF('Port Bloomberg'!H840="","",'Port Bloomberg'!H840)</f>
        <v/>
      </c>
      <c r="I840" s="7" t="str">
        <f>IF('Port Bloomberg'!I840="","",'Port Bloomberg'!I840)</f>
        <v/>
      </c>
      <c r="J840" s="7" t="str">
        <f>IF('Port Bloomberg'!J840="","",'Port Bloomberg'!J840)</f>
        <v/>
      </c>
      <c r="K840" s="7" t="str">
        <f>IF('Port Bloomberg'!K840="","",'Port Bloomberg'!K840)</f>
        <v/>
      </c>
      <c r="L840" s="7" t="str">
        <f>IF('Port Bloomberg'!L840="","",'Port Bloomberg'!L840)</f>
        <v/>
      </c>
      <c r="M840" s="7" t="str">
        <f>IF('Port Bloomberg'!M840="","",'Port Bloomberg'!M840)</f>
        <v/>
      </c>
      <c r="N840" s="7" t="str">
        <f>IF('Port Bloomberg'!N840="","",'Port Bloomberg'!N840)</f>
        <v/>
      </c>
      <c r="O840" s="7" t="str">
        <f>IF('Port Bloomberg'!O840="","",'Port Bloomberg'!O840)</f>
        <v/>
      </c>
      <c r="P840" s="7" t="str">
        <f>IF('Port Bloomberg'!P840="","",'Port Bloomberg'!P840)</f>
        <v/>
      </c>
      <c r="Q840" s="7" t="str">
        <f>IF('Port Bloomberg'!Q840="","",'Port Bloomberg'!Q840)</f>
        <v/>
      </c>
      <c r="R840" s="7" t="str">
        <f>IF('Port Bloomberg'!R840="","",'Port Bloomberg'!R840)</f>
        <v/>
      </c>
      <c r="S840" s="5" t="str">
        <f>IF(E840="","",IFERROR(IF(MATCH(E840,[1]Instrumentos!$D:$D,0)&gt;0,1,0),0))</f>
        <v/>
      </c>
      <c r="T840" s="5" t="str">
        <f>IF(E840="","",IFERROR(IF(MATCH(E840,'Lista de excepciones'!$E:$E,0)&gt;0,1,0),0))</f>
        <v/>
      </c>
      <c r="U840" s="6" t="str">
        <f t="shared" si="14"/>
        <v/>
      </c>
    </row>
    <row r="841" spans="1:21" hidden="1" x14ac:dyDescent="0.25">
      <c r="A841" s="7" t="str">
        <f>IF('Port Bloomberg'!A841="","",'Port Bloomberg'!A841)</f>
        <v/>
      </c>
      <c r="B841" s="7" t="str">
        <f>IF('Port Bloomberg'!B841="","",'Port Bloomberg'!B841)</f>
        <v/>
      </c>
      <c r="C841" s="7" t="str">
        <f>IF('Port Bloomberg'!C841="","",'Port Bloomberg'!C841)</f>
        <v/>
      </c>
      <c r="D841" s="7" t="str">
        <f>IF('Port Bloomberg'!D841="","",'Port Bloomberg'!D841)</f>
        <v/>
      </c>
      <c r="E841" s="7" t="str">
        <f>IF('Port Bloomberg'!E841="","",'Port Bloomberg'!E841)</f>
        <v/>
      </c>
      <c r="F841" s="7" t="str">
        <f>IF('Port Bloomberg'!F841="","",'Port Bloomberg'!F841)</f>
        <v/>
      </c>
      <c r="G841" s="7" t="str">
        <f>IF('Port Bloomberg'!G841="","",'Port Bloomberg'!G841)</f>
        <v/>
      </c>
      <c r="H841" s="7" t="str">
        <f>IF('Port Bloomberg'!H841="","",'Port Bloomberg'!H841)</f>
        <v/>
      </c>
      <c r="I841" s="7" t="str">
        <f>IF('Port Bloomberg'!I841="","",'Port Bloomberg'!I841)</f>
        <v/>
      </c>
      <c r="J841" s="7" t="str">
        <f>IF('Port Bloomberg'!J841="","",'Port Bloomberg'!J841)</f>
        <v/>
      </c>
      <c r="K841" s="7" t="str">
        <f>IF('Port Bloomberg'!K841="","",'Port Bloomberg'!K841)</f>
        <v/>
      </c>
      <c r="L841" s="7" t="str">
        <f>IF('Port Bloomberg'!L841="","",'Port Bloomberg'!L841)</f>
        <v/>
      </c>
      <c r="M841" s="7" t="str">
        <f>IF('Port Bloomberg'!M841="","",'Port Bloomberg'!M841)</f>
        <v/>
      </c>
      <c r="N841" s="7" t="str">
        <f>IF('Port Bloomberg'!N841="","",'Port Bloomberg'!N841)</f>
        <v/>
      </c>
      <c r="O841" s="7" t="str">
        <f>IF('Port Bloomberg'!O841="","",'Port Bloomberg'!O841)</f>
        <v/>
      </c>
      <c r="P841" s="7" t="str">
        <f>IF('Port Bloomberg'!P841="","",'Port Bloomberg'!P841)</f>
        <v/>
      </c>
      <c r="Q841" s="7" t="str">
        <f>IF('Port Bloomberg'!Q841="","",'Port Bloomberg'!Q841)</f>
        <v/>
      </c>
      <c r="R841" s="7" t="str">
        <f>IF('Port Bloomberg'!R841="","",'Port Bloomberg'!R841)</f>
        <v/>
      </c>
      <c r="S841" s="5" t="str">
        <f>IF(E841="","",IFERROR(IF(MATCH(E841,[1]Instrumentos!$D:$D,0)&gt;0,1,0),0))</f>
        <v/>
      </c>
      <c r="T841" s="5" t="str">
        <f>IF(E841="","",IFERROR(IF(MATCH(E841,'Lista de excepciones'!$E:$E,0)&gt;0,1,0),0))</f>
        <v/>
      </c>
      <c r="U841" s="6" t="str">
        <f t="shared" si="14"/>
        <v/>
      </c>
    </row>
    <row r="842" spans="1:21" hidden="1" x14ac:dyDescent="0.25">
      <c r="A842" s="7" t="str">
        <f>IF('Port Bloomberg'!A842="","",'Port Bloomberg'!A842)</f>
        <v/>
      </c>
      <c r="B842" s="7" t="str">
        <f>IF('Port Bloomberg'!B842="","",'Port Bloomberg'!B842)</f>
        <v/>
      </c>
      <c r="C842" s="7" t="str">
        <f>IF('Port Bloomberg'!C842="","",'Port Bloomberg'!C842)</f>
        <v/>
      </c>
      <c r="D842" s="7" t="str">
        <f>IF('Port Bloomberg'!D842="","",'Port Bloomberg'!D842)</f>
        <v/>
      </c>
      <c r="E842" s="7" t="str">
        <f>IF('Port Bloomberg'!E842="","",'Port Bloomberg'!E842)</f>
        <v/>
      </c>
      <c r="F842" s="7" t="str">
        <f>IF('Port Bloomberg'!F842="","",'Port Bloomberg'!F842)</f>
        <v/>
      </c>
      <c r="G842" s="7" t="str">
        <f>IF('Port Bloomberg'!G842="","",'Port Bloomberg'!G842)</f>
        <v/>
      </c>
      <c r="H842" s="7" t="str">
        <f>IF('Port Bloomberg'!H842="","",'Port Bloomberg'!H842)</f>
        <v/>
      </c>
      <c r="I842" s="7" t="str">
        <f>IF('Port Bloomberg'!I842="","",'Port Bloomberg'!I842)</f>
        <v/>
      </c>
      <c r="J842" s="7" t="str">
        <f>IF('Port Bloomberg'!J842="","",'Port Bloomberg'!J842)</f>
        <v/>
      </c>
      <c r="K842" s="7" t="str">
        <f>IF('Port Bloomberg'!K842="","",'Port Bloomberg'!K842)</f>
        <v/>
      </c>
      <c r="L842" s="7" t="str">
        <f>IF('Port Bloomberg'!L842="","",'Port Bloomberg'!L842)</f>
        <v/>
      </c>
      <c r="M842" s="7" t="str">
        <f>IF('Port Bloomberg'!M842="","",'Port Bloomberg'!M842)</f>
        <v/>
      </c>
      <c r="N842" s="7" t="str">
        <f>IF('Port Bloomberg'!N842="","",'Port Bloomberg'!N842)</f>
        <v/>
      </c>
      <c r="O842" s="7" t="str">
        <f>IF('Port Bloomberg'!O842="","",'Port Bloomberg'!O842)</f>
        <v/>
      </c>
      <c r="P842" s="7" t="str">
        <f>IF('Port Bloomberg'!P842="","",'Port Bloomberg'!P842)</f>
        <v/>
      </c>
      <c r="Q842" s="7" t="str">
        <f>IF('Port Bloomberg'!Q842="","",'Port Bloomberg'!Q842)</f>
        <v/>
      </c>
      <c r="R842" s="7" t="str">
        <f>IF('Port Bloomberg'!R842="","",'Port Bloomberg'!R842)</f>
        <v/>
      </c>
      <c r="S842" s="5" t="str">
        <f>IF(E842="","",IFERROR(IF(MATCH(E842,[1]Instrumentos!$D:$D,0)&gt;0,1,0),0))</f>
        <v/>
      </c>
      <c r="T842" s="5" t="str">
        <f>IF(E842="","",IFERROR(IF(MATCH(E842,'Lista de excepciones'!$E:$E,0)&gt;0,1,0),0))</f>
        <v/>
      </c>
      <c r="U842" s="6" t="str">
        <f t="shared" si="14"/>
        <v/>
      </c>
    </row>
    <row r="843" spans="1:21" hidden="1" x14ac:dyDescent="0.25">
      <c r="A843" s="7" t="str">
        <f>IF('Port Bloomberg'!A843="","",'Port Bloomberg'!A843)</f>
        <v/>
      </c>
      <c r="B843" s="7" t="str">
        <f>IF('Port Bloomberg'!B843="","",'Port Bloomberg'!B843)</f>
        <v/>
      </c>
      <c r="C843" s="7" t="str">
        <f>IF('Port Bloomberg'!C843="","",'Port Bloomberg'!C843)</f>
        <v/>
      </c>
      <c r="D843" s="7" t="str">
        <f>IF('Port Bloomberg'!D843="","",'Port Bloomberg'!D843)</f>
        <v/>
      </c>
      <c r="E843" s="7" t="str">
        <f>IF('Port Bloomberg'!E843="","",'Port Bloomberg'!E843)</f>
        <v/>
      </c>
      <c r="F843" s="7" t="str">
        <f>IF('Port Bloomberg'!F843="","",'Port Bloomberg'!F843)</f>
        <v/>
      </c>
      <c r="G843" s="7" t="str">
        <f>IF('Port Bloomberg'!G843="","",'Port Bloomberg'!G843)</f>
        <v/>
      </c>
      <c r="H843" s="7" t="str">
        <f>IF('Port Bloomberg'!H843="","",'Port Bloomberg'!H843)</f>
        <v/>
      </c>
      <c r="I843" s="7" t="str">
        <f>IF('Port Bloomberg'!I843="","",'Port Bloomberg'!I843)</f>
        <v/>
      </c>
      <c r="J843" s="7" t="str">
        <f>IF('Port Bloomberg'!J843="","",'Port Bloomberg'!J843)</f>
        <v/>
      </c>
      <c r="K843" s="7" t="str">
        <f>IF('Port Bloomberg'!K843="","",'Port Bloomberg'!K843)</f>
        <v/>
      </c>
      <c r="L843" s="7" t="str">
        <f>IF('Port Bloomberg'!L843="","",'Port Bloomberg'!L843)</f>
        <v/>
      </c>
      <c r="M843" s="7" t="str">
        <f>IF('Port Bloomberg'!M843="","",'Port Bloomberg'!M843)</f>
        <v/>
      </c>
      <c r="N843" s="7" t="str">
        <f>IF('Port Bloomberg'!N843="","",'Port Bloomberg'!N843)</f>
        <v/>
      </c>
      <c r="O843" s="7" t="str">
        <f>IF('Port Bloomberg'!O843="","",'Port Bloomberg'!O843)</f>
        <v/>
      </c>
      <c r="P843" s="7" t="str">
        <f>IF('Port Bloomberg'!P843="","",'Port Bloomberg'!P843)</f>
        <v/>
      </c>
      <c r="Q843" s="7" t="str">
        <f>IF('Port Bloomberg'!Q843="","",'Port Bloomberg'!Q843)</f>
        <v/>
      </c>
      <c r="R843" s="7" t="str">
        <f>IF('Port Bloomberg'!R843="","",'Port Bloomberg'!R843)</f>
        <v/>
      </c>
      <c r="S843" s="5" t="str">
        <f>IF(E843="","",IFERROR(IF(MATCH(E843,[1]Instrumentos!$D:$D,0)&gt;0,1,0),0))</f>
        <v/>
      </c>
      <c r="T843" s="5" t="str">
        <f>IF(E843="","",IFERROR(IF(MATCH(E843,'Lista de excepciones'!$E:$E,0)&gt;0,1,0),0))</f>
        <v/>
      </c>
      <c r="U843" s="6" t="str">
        <f t="shared" si="14"/>
        <v/>
      </c>
    </row>
    <row r="844" spans="1:21" hidden="1" x14ac:dyDescent="0.25">
      <c r="A844" s="7" t="str">
        <f>IF('Port Bloomberg'!A844="","",'Port Bloomberg'!A844)</f>
        <v/>
      </c>
      <c r="B844" s="7" t="str">
        <f>IF('Port Bloomberg'!B844="","",'Port Bloomberg'!B844)</f>
        <v/>
      </c>
      <c r="C844" s="7" t="str">
        <f>IF('Port Bloomberg'!C844="","",'Port Bloomberg'!C844)</f>
        <v/>
      </c>
      <c r="D844" s="7" t="str">
        <f>IF('Port Bloomberg'!D844="","",'Port Bloomberg'!D844)</f>
        <v/>
      </c>
      <c r="E844" s="7" t="str">
        <f>IF('Port Bloomberg'!E844="","",'Port Bloomberg'!E844)</f>
        <v/>
      </c>
      <c r="F844" s="7" t="str">
        <f>IF('Port Bloomberg'!F844="","",'Port Bloomberg'!F844)</f>
        <v/>
      </c>
      <c r="G844" s="7" t="str">
        <f>IF('Port Bloomberg'!G844="","",'Port Bloomberg'!G844)</f>
        <v/>
      </c>
      <c r="H844" s="7" t="str">
        <f>IF('Port Bloomberg'!H844="","",'Port Bloomberg'!H844)</f>
        <v/>
      </c>
      <c r="I844" s="7" t="str">
        <f>IF('Port Bloomberg'!I844="","",'Port Bloomberg'!I844)</f>
        <v/>
      </c>
      <c r="J844" s="7" t="str">
        <f>IF('Port Bloomberg'!J844="","",'Port Bloomberg'!J844)</f>
        <v/>
      </c>
      <c r="K844" s="7" t="str">
        <f>IF('Port Bloomberg'!K844="","",'Port Bloomberg'!K844)</f>
        <v/>
      </c>
      <c r="L844" s="7" t="str">
        <f>IF('Port Bloomberg'!L844="","",'Port Bloomberg'!L844)</f>
        <v/>
      </c>
      <c r="M844" s="7" t="str">
        <f>IF('Port Bloomberg'!M844="","",'Port Bloomberg'!M844)</f>
        <v/>
      </c>
      <c r="N844" s="7" t="str">
        <f>IF('Port Bloomberg'!N844="","",'Port Bloomberg'!N844)</f>
        <v/>
      </c>
      <c r="O844" s="7" t="str">
        <f>IF('Port Bloomberg'!O844="","",'Port Bloomberg'!O844)</f>
        <v/>
      </c>
      <c r="P844" s="7" t="str">
        <f>IF('Port Bloomberg'!P844="","",'Port Bloomberg'!P844)</f>
        <v/>
      </c>
      <c r="Q844" s="7" t="str">
        <f>IF('Port Bloomberg'!Q844="","",'Port Bloomberg'!Q844)</f>
        <v/>
      </c>
      <c r="R844" s="7" t="str">
        <f>IF('Port Bloomberg'!R844="","",'Port Bloomberg'!R844)</f>
        <v/>
      </c>
      <c r="S844" s="5" t="str">
        <f>IF(E844="","",IFERROR(IF(MATCH(E844,[1]Instrumentos!$D:$D,0)&gt;0,1,0),0))</f>
        <v/>
      </c>
      <c r="T844" s="5" t="str">
        <f>IF(E844="","",IFERROR(IF(MATCH(E844,'Lista de excepciones'!$E:$E,0)&gt;0,1,0),0))</f>
        <v/>
      </c>
      <c r="U844" s="6" t="str">
        <f t="shared" si="14"/>
        <v/>
      </c>
    </row>
    <row r="845" spans="1:21" hidden="1" x14ac:dyDescent="0.25">
      <c r="A845" s="7" t="str">
        <f>IF('Port Bloomberg'!A845="","",'Port Bloomberg'!A845)</f>
        <v/>
      </c>
      <c r="B845" s="7" t="str">
        <f>IF('Port Bloomberg'!B845="","",'Port Bloomberg'!B845)</f>
        <v/>
      </c>
      <c r="C845" s="7" t="str">
        <f>IF('Port Bloomberg'!C845="","",'Port Bloomberg'!C845)</f>
        <v/>
      </c>
      <c r="D845" s="7" t="str">
        <f>IF('Port Bloomberg'!D845="","",'Port Bloomberg'!D845)</f>
        <v/>
      </c>
      <c r="E845" s="7" t="str">
        <f>IF('Port Bloomberg'!E845="","",'Port Bloomberg'!E845)</f>
        <v/>
      </c>
      <c r="F845" s="7" t="str">
        <f>IF('Port Bloomberg'!F845="","",'Port Bloomberg'!F845)</f>
        <v/>
      </c>
      <c r="G845" s="7" t="str">
        <f>IF('Port Bloomberg'!G845="","",'Port Bloomberg'!G845)</f>
        <v/>
      </c>
      <c r="H845" s="7" t="str">
        <f>IF('Port Bloomberg'!H845="","",'Port Bloomberg'!H845)</f>
        <v/>
      </c>
      <c r="I845" s="7" t="str">
        <f>IF('Port Bloomberg'!I845="","",'Port Bloomberg'!I845)</f>
        <v/>
      </c>
      <c r="J845" s="7" t="str">
        <f>IF('Port Bloomberg'!J845="","",'Port Bloomberg'!J845)</f>
        <v/>
      </c>
      <c r="K845" s="7" t="str">
        <f>IF('Port Bloomberg'!K845="","",'Port Bloomberg'!K845)</f>
        <v/>
      </c>
      <c r="L845" s="7" t="str">
        <f>IF('Port Bloomberg'!L845="","",'Port Bloomberg'!L845)</f>
        <v/>
      </c>
      <c r="M845" s="7" t="str">
        <f>IF('Port Bloomberg'!M845="","",'Port Bloomberg'!M845)</f>
        <v/>
      </c>
      <c r="N845" s="7" t="str">
        <f>IF('Port Bloomberg'!N845="","",'Port Bloomberg'!N845)</f>
        <v/>
      </c>
      <c r="O845" s="7" t="str">
        <f>IF('Port Bloomberg'!O845="","",'Port Bloomberg'!O845)</f>
        <v/>
      </c>
      <c r="P845" s="7" t="str">
        <f>IF('Port Bloomberg'!P845="","",'Port Bloomberg'!P845)</f>
        <v/>
      </c>
      <c r="Q845" s="7" t="str">
        <f>IF('Port Bloomberg'!Q845="","",'Port Bloomberg'!Q845)</f>
        <v/>
      </c>
      <c r="R845" s="7" t="str">
        <f>IF('Port Bloomberg'!R845="","",'Port Bloomberg'!R845)</f>
        <v/>
      </c>
      <c r="S845" s="5" t="str">
        <f>IF(E845="","",IFERROR(IF(MATCH(E845,[1]Instrumentos!$D:$D,0)&gt;0,1,0),0))</f>
        <v/>
      </c>
      <c r="T845" s="5" t="str">
        <f>IF(E845="","",IFERROR(IF(MATCH(E845,'Lista de excepciones'!$E:$E,0)&gt;0,1,0),0))</f>
        <v/>
      </c>
      <c r="U845" s="6" t="str">
        <f t="shared" si="14"/>
        <v/>
      </c>
    </row>
    <row r="846" spans="1:21" hidden="1" x14ac:dyDescent="0.25">
      <c r="A846" s="7" t="str">
        <f>IF('Port Bloomberg'!A846="","",'Port Bloomberg'!A846)</f>
        <v/>
      </c>
      <c r="B846" s="7" t="str">
        <f>IF('Port Bloomberg'!B846="","",'Port Bloomberg'!B846)</f>
        <v/>
      </c>
      <c r="C846" s="7" t="str">
        <f>IF('Port Bloomberg'!C846="","",'Port Bloomberg'!C846)</f>
        <v/>
      </c>
      <c r="D846" s="7" t="str">
        <f>IF('Port Bloomberg'!D846="","",'Port Bloomberg'!D846)</f>
        <v/>
      </c>
      <c r="E846" s="7" t="str">
        <f>IF('Port Bloomberg'!E846="","",'Port Bloomberg'!E846)</f>
        <v/>
      </c>
      <c r="F846" s="7" t="str">
        <f>IF('Port Bloomberg'!F846="","",'Port Bloomberg'!F846)</f>
        <v/>
      </c>
      <c r="G846" s="7" t="str">
        <f>IF('Port Bloomberg'!G846="","",'Port Bloomberg'!G846)</f>
        <v/>
      </c>
      <c r="H846" s="7" t="str">
        <f>IF('Port Bloomberg'!H846="","",'Port Bloomberg'!H846)</f>
        <v/>
      </c>
      <c r="I846" s="7" t="str">
        <f>IF('Port Bloomberg'!I846="","",'Port Bloomberg'!I846)</f>
        <v/>
      </c>
      <c r="J846" s="7" t="str">
        <f>IF('Port Bloomberg'!J846="","",'Port Bloomberg'!J846)</f>
        <v/>
      </c>
      <c r="K846" s="7" t="str">
        <f>IF('Port Bloomberg'!K846="","",'Port Bloomberg'!K846)</f>
        <v/>
      </c>
      <c r="L846" s="7" t="str">
        <f>IF('Port Bloomberg'!L846="","",'Port Bloomberg'!L846)</f>
        <v/>
      </c>
      <c r="M846" s="7" t="str">
        <f>IF('Port Bloomberg'!M846="","",'Port Bloomberg'!M846)</f>
        <v/>
      </c>
      <c r="N846" s="7" t="str">
        <f>IF('Port Bloomberg'!N846="","",'Port Bloomberg'!N846)</f>
        <v/>
      </c>
      <c r="O846" s="7" t="str">
        <f>IF('Port Bloomberg'!O846="","",'Port Bloomberg'!O846)</f>
        <v/>
      </c>
      <c r="P846" s="7" t="str">
        <f>IF('Port Bloomberg'!P846="","",'Port Bloomberg'!P846)</f>
        <v/>
      </c>
      <c r="Q846" s="7" t="str">
        <f>IF('Port Bloomberg'!Q846="","",'Port Bloomberg'!Q846)</f>
        <v/>
      </c>
      <c r="R846" s="7" t="str">
        <f>IF('Port Bloomberg'!R846="","",'Port Bloomberg'!R846)</f>
        <v/>
      </c>
      <c r="S846" s="5" t="str">
        <f>IF(E846="","",IFERROR(IF(MATCH(E846,[1]Instrumentos!$D:$D,0)&gt;0,1,0),0))</f>
        <v/>
      </c>
      <c r="T846" s="5" t="str">
        <f>IF(E846="","",IFERROR(IF(MATCH(E846,'Lista de excepciones'!$E:$E,0)&gt;0,1,0),0))</f>
        <v/>
      </c>
      <c r="U846" s="6" t="str">
        <f t="shared" si="14"/>
        <v/>
      </c>
    </row>
    <row r="847" spans="1:21" hidden="1" x14ac:dyDescent="0.25">
      <c r="A847" s="7" t="str">
        <f>IF('Port Bloomberg'!A847="","",'Port Bloomberg'!A847)</f>
        <v/>
      </c>
      <c r="B847" s="7" t="str">
        <f>IF('Port Bloomberg'!B847="","",'Port Bloomberg'!B847)</f>
        <v/>
      </c>
      <c r="C847" s="7" t="str">
        <f>IF('Port Bloomberg'!C847="","",'Port Bloomberg'!C847)</f>
        <v/>
      </c>
      <c r="D847" s="7" t="str">
        <f>IF('Port Bloomberg'!D847="","",'Port Bloomberg'!D847)</f>
        <v/>
      </c>
      <c r="E847" s="7" t="str">
        <f>IF('Port Bloomberg'!E847="","",'Port Bloomberg'!E847)</f>
        <v/>
      </c>
      <c r="F847" s="7" t="str">
        <f>IF('Port Bloomberg'!F847="","",'Port Bloomberg'!F847)</f>
        <v/>
      </c>
      <c r="G847" s="7" t="str">
        <f>IF('Port Bloomberg'!G847="","",'Port Bloomberg'!G847)</f>
        <v/>
      </c>
      <c r="H847" s="7" t="str">
        <f>IF('Port Bloomberg'!H847="","",'Port Bloomberg'!H847)</f>
        <v/>
      </c>
      <c r="I847" s="7" t="str">
        <f>IF('Port Bloomberg'!I847="","",'Port Bloomberg'!I847)</f>
        <v/>
      </c>
      <c r="J847" s="7" t="str">
        <f>IF('Port Bloomberg'!J847="","",'Port Bloomberg'!J847)</f>
        <v/>
      </c>
      <c r="K847" s="7" t="str">
        <f>IF('Port Bloomberg'!K847="","",'Port Bloomberg'!K847)</f>
        <v/>
      </c>
      <c r="L847" s="7" t="str">
        <f>IF('Port Bloomberg'!L847="","",'Port Bloomberg'!L847)</f>
        <v/>
      </c>
      <c r="M847" s="7" t="str">
        <f>IF('Port Bloomberg'!M847="","",'Port Bloomberg'!M847)</f>
        <v/>
      </c>
      <c r="N847" s="7" t="str">
        <f>IF('Port Bloomberg'!N847="","",'Port Bloomberg'!N847)</f>
        <v/>
      </c>
      <c r="O847" s="7" t="str">
        <f>IF('Port Bloomberg'!O847="","",'Port Bloomberg'!O847)</f>
        <v/>
      </c>
      <c r="P847" s="7" t="str">
        <f>IF('Port Bloomberg'!P847="","",'Port Bloomberg'!P847)</f>
        <v/>
      </c>
      <c r="Q847" s="7" t="str">
        <f>IF('Port Bloomberg'!Q847="","",'Port Bloomberg'!Q847)</f>
        <v/>
      </c>
      <c r="R847" s="7" t="str">
        <f>IF('Port Bloomberg'!R847="","",'Port Bloomberg'!R847)</f>
        <v/>
      </c>
      <c r="S847" s="5" t="str">
        <f>IF(E847="","",IFERROR(IF(MATCH(E847,[1]Instrumentos!$D:$D,0)&gt;0,1,0),0))</f>
        <v/>
      </c>
      <c r="T847" s="5" t="str">
        <f>IF(E847="","",IFERROR(IF(MATCH(E847,'Lista de excepciones'!$E:$E,0)&gt;0,1,0),0))</f>
        <v/>
      </c>
      <c r="U847" s="6" t="str">
        <f t="shared" si="14"/>
        <v/>
      </c>
    </row>
    <row r="848" spans="1:21" hidden="1" x14ac:dyDescent="0.25">
      <c r="A848" s="7" t="str">
        <f>IF('Port Bloomberg'!A848="","",'Port Bloomberg'!A848)</f>
        <v/>
      </c>
      <c r="B848" s="7" t="str">
        <f>IF('Port Bloomberg'!B848="","",'Port Bloomberg'!B848)</f>
        <v/>
      </c>
      <c r="C848" s="7" t="str">
        <f>IF('Port Bloomberg'!C848="","",'Port Bloomberg'!C848)</f>
        <v/>
      </c>
      <c r="D848" s="7" t="str">
        <f>IF('Port Bloomberg'!D848="","",'Port Bloomberg'!D848)</f>
        <v/>
      </c>
      <c r="E848" s="7" t="str">
        <f>IF('Port Bloomberg'!E848="","",'Port Bloomberg'!E848)</f>
        <v/>
      </c>
      <c r="F848" s="7" t="str">
        <f>IF('Port Bloomberg'!F848="","",'Port Bloomberg'!F848)</f>
        <v/>
      </c>
      <c r="G848" s="7" t="str">
        <f>IF('Port Bloomberg'!G848="","",'Port Bloomberg'!G848)</f>
        <v/>
      </c>
      <c r="H848" s="7" t="str">
        <f>IF('Port Bloomberg'!H848="","",'Port Bloomberg'!H848)</f>
        <v/>
      </c>
      <c r="I848" s="7" t="str">
        <f>IF('Port Bloomberg'!I848="","",'Port Bloomberg'!I848)</f>
        <v/>
      </c>
      <c r="J848" s="7" t="str">
        <f>IF('Port Bloomberg'!J848="","",'Port Bloomberg'!J848)</f>
        <v/>
      </c>
      <c r="K848" s="7" t="str">
        <f>IF('Port Bloomberg'!K848="","",'Port Bloomberg'!K848)</f>
        <v/>
      </c>
      <c r="L848" s="7" t="str">
        <f>IF('Port Bloomberg'!L848="","",'Port Bloomberg'!L848)</f>
        <v/>
      </c>
      <c r="M848" s="7" t="str">
        <f>IF('Port Bloomberg'!M848="","",'Port Bloomberg'!M848)</f>
        <v/>
      </c>
      <c r="N848" s="7" t="str">
        <f>IF('Port Bloomberg'!N848="","",'Port Bloomberg'!N848)</f>
        <v/>
      </c>
      <c r="O848" s="7" t="str">
        <f>IF('Port Bloomberg'!O848="","",'Port Bloomberg'!O848)</f>
        <v/>
      </c>
      <c r="P848" s="7" t="str">
        <f>IF('Port Bloomberg'!P848="","",'Port Bloomberg'!P848)</f>
        <v/>
      </c>
      <c r="Q848" s="7" t="str">
        <f>IF('Port Bloomberg'!Q848="","",'Port Bloomberg'!Q848)</f>
        <v/>
      </c>
      <c r="R848" s="7" t="str">
        <f>IF('Port Bloomberg'!R848="","",'Port Bloomberg'!R848)</f>
        <v/>
      </c>
      <c r="S848" s="5" t="str">
        <f>IF(E848="","",IFERROR(IF(MATCH(E848,[1]Instrumentos!$D:$D,0)&gt;0,1,0),0))</f>
        <v/>
      </c>
      <c r="T848" s="5" t="str">
        <f>IF(E848="","",IFERROR(IF(MATCH(E848,'Lista de excepciones'!$E:$E,0)&gt;0,1,0),0))</f>
        <v/>
      </c>
      <c r="U848" s="6" t="str">
        <f t="shared" si="14"/>
        <v/>
      </c>
    </row>
    <row r="849" spans="1:21" hidden="1" x14ac:dyDescent="0.25">
      <c r="A849" s="7" t="str">
        <f>IF('Port Bloomberg'!A849="","",'Port Bloomberg'!A849)</f>
        <v/>
      </c>
      <c r="B849" s="7" t="str">
        <f>IF('Port Bloomberg'!B849="","",'Port Bloomberg'!B849)</f>
        <v/>
      </c>
      <c r="C849" s="7" t="str">
        <f>IF('Port Bloomberg'!C849="","",'Port Bloomberg'!C849)</f>
        <v/>
      </c>
      <c r="D849" s="7" t="str">
        <f>IF('Port Bloomberg'!D849="","",'Port Bloomberg'!D849)</f>
        <v/>
      </c>
      <c r="E849" s="7" t="str">
        <f>IF('Port Bloomberg'!E849="","",'Port Bloomberg'!E849)</f>
        <v/>
      </c>
      <c r="F849" s="7" t="str">
        <f>IF('Port Bloomberg'!F849="","",'Port Bloomberg'!F849)</f>
        <v/>
      </c>
      <c r="G849" s="7" t="str">
        <f>IF('Port Bloomberg'!G849="","",'Port Bloomberg'!G849)</f>
        <v/>
      </c>
      <c r="H849" s="7" t="str">
        <f>IF('Port Bloomberg'!H849="","",'Port Bloomberg'!H849)</f>
        <v/>
      </c>
      <c r="I849" s="7" t="str">
        <f>IF('Port Bloomberg'!I849="","",'Port Bloomberg'!I849)</f>
        <v/>
      </c>
      <c r="J849" s="7" t="str">
        <f>IF('Port Bloomberg'!J849="","",'Port Bloomberg'!J849)</f>
        <v/>
      </c>
      <c r="K849" s="7" t="str">
        <f>IF('Port Bloomberg'!K849="","",'Port Bloomberg'!K849)</f>
        <v/>
      </c>
      <c r="L849" s="7" t="str">
        <f>IF('Port Bloomberg'!L849="","",'Port Bloomberg'!L849)</f>
        <v/>
      </c>
      <c r="M849" s="7" t="str">
        <f>IF('Port Bloomberg'!M849="","",'Port Bloomberg'!M849)</f>
        <v/>
      </c>
      <c r="N849" s="7" t="str">
        <f>IF('Port Bloomberg'!N849="","",'Port Bloomberg'!N849)</f>
        <v/>
      </c>
      <c r="O849" s="7" t="str">
        <f>IF('Port Bloomberg'!O849="","",'Port Bloomberg'!O849)</f>
        <v/>
      </c>
      <c r="P849" s="7" t="str">
        <f>IF('Port Bloomberg'!P849="","",'Port Bloomberg'!P849)</f>
        <v/>
      </c>
      <c r="Q849" s="7" t="str">
        <f>IF('Port Bloomberg'!Q849="","",'Port Bloomberg'!Q849)</f>
        <v/>
      </c>
      <c r="R849" s="7" t="str">
        <f>IF('Port Bloomberg'!R849="","",'Port Bloomberg'!R849)</f>
        <v/>
      </c>
      <c r="S849" s="5" t="str">
        <f>IF(E849="","",IFERROR(IF(MATCH(E849,[1]Instrumentos!$D:$D,0)&gt;0,1,0),0))</f>
        <v/>
      </c>
      <c r="T849" s="5" t="str">
        <f>IF(E849="","",IFERROR(IF(MATCH(E849,'Lista de excepciones'!$E:$E,0)&gt;0,1,0),0))</f>
        <v/>
      </c>
      <c r="U849" s="6" t="str">
        <f t="shared" si="14"/>
        <v/>
      </c>
    </row>
    <row r="850" spans="1:21" hidden="1" x14ac:dyDescent="0.25">
      <c r="A850" s="7" t="str">
        <f>IF('Port Bloomberg'!A850="","",'Port Bloomberg'!A850)</f>
        <v/>
      </c>
      <c r="B850" s="7" t="str">
        <f>IF('Port Bloomberg'!B850="","",'Port Bloomberg'!B850)</f>
        <v/>
      </c>
      <c r="C850" s="7" t="str">
        <f>IF('Port Bloomberg'!C850="","",'Port Bloomberg'!C850)</f>
        <v/>
      </c>
      <c r="D850" s="7" t="str">
        <f>IF('Port Bloomberg'!D850="","",'Port Bloomberg'!D850)</f>
        <v/>
      </c>
      <c r="E850" s="7" t="str">
        <f>IF('Port Bloomberg'!E850="","",'Port Bloomberg'!E850)</f>
        <v/>
      </c>
      <c r="F850" s="7" t="str">
        <f>IF('Port Bloomberg'!F850="","",'Port Bloomberg'!F850)</f>
        <v/>
      </c>
      <c r="G850" s="7" t="str">
        <f>IF('Port Bloomberg'!G850="","",'Port Bloomberg'!G850)</f>
        <v/>
      </c>
      <c r="H850" s="7" t="str">
        <f>IF('Port Bloomberg'!H850="","",'Port Bloomberg'!H850)</f>
        <v/>
      </c>
      <c r="I850" s="7" t="str">
        <f>IF('Port Bloomberg'!I850="","",'Port Bloomberg'!I850)</f>
        <v/>
      </c>
      <c r="J850" s="7" t="str">
        <f>IF('Port Bloomberg'!J850="","",'Port Bloomberg'!J850)</f>
        <v/>
      </c>
      <c r="K850" s="7" t="str">
        <f>IF('Port Bloomberg'!K850="","",'Port Bloomberg'!K850)</f>
        <v/>
      </c>
      <c r="L850" s="7" t="str">
        <f>IF('Port Bloomberg'!L850="","",'Port Bloomberg'!L850)</f>
        <v/>
      </c>
      <c r="M850" s="7" t="str">
        <f>IF('Port Bloomberg'!M850="","",'Port Bloomberg'!M850)</f>
        <v/>
      </c>
      <c r="N850" s="7" t="str">
        <f>IF('Port Bloomberg'!N850="","",'Port Bloomberg'!N850)</f>
        <v/>
      </c>
      <c r="O850" s="7" t="str">
        <f>IF('Port Bloomberg'!O850="","",'Port Bloomberg'!O850)</f>
        <v/>
      </c>
      <c r="P850" s="7" t="str">
        <f>IF('Port Bloomberg'!P850="","",'Port Bloomberg'!P850)</f>
        <v/>
      </c>
      <c r="Q850" s="7" t="str">
        <f>IF('Port Bloomberg'!Q850="","",'Port Bloomberg'!Q850)</f>
        <v/>
      </c>
      <c r="R850" s="7" t="str">
        <f>IF('Port Bloomberg'!R850="","",'Port Bloomberg'!R850)</f>
        <v/>
      </c>
      <c r="S850" s="5" t="str">
        <f>IF(E850="","",IFERROR(IF(MATCH(E850,[1]Instrumentos!$D:$D,0)&gt;0,1,0),0))</f>
        <v/>
      </c>
      <c r="T850" s="5" t="str">
        <f>IF(E850="","",IFERROR(IF(MATCH(E850,'Lista de excepciones'!$E:$E,0)&gt;0,1,0),0))</f>
        <v/>
      </c>
      <c r="U850" s="6" t="str">
        <f t="shared" si="14"/>
        <v/>
      </c>
    </row>
    <row r="851" spans="1:21" hidden="1" x14ac:dyDescent="0.25">
      <c r="A851" s="7" t="str">
        <f>IF('Port Bloomberg'!A851="","",'Port Bloomberg'!A851)</f>
        <v/>
      </c>
      <c r="B851" s="7" t="str">
        <f>IF('Port Bloomberg'!B851="","",'Port Bloomberg'!B851)</f>
        <v/>
      </c>
      <c r="C851" s="7" t="str">
        <f>IF('Port Bloomberg'!C851="","",'Port Bloomberg'!C851)</f>
        <v/>
      </c>
      <c r="D851" s="7" t="str">
        <f>IF('Port Bloomberg'!D851="","",'Port Bloomberg'!D851)</f>
        <v/>
      </c>
      <c r="E851" s="7" t="str">
        <f>IF('Port Bloomberg'!E851="","",'Port Bloomberg'!E851)</f>
        <v/>
      </c>
      <c r="F851" s="7" t="str">
        <f>IF('Port Bloomberg'!F851="","",'Port Bloomberg'!F851)</f>
        <v/>
      </c>
      <c r="G851" s="7" t="str">
        <f>IF('Port Bloomberg'!G851="","",'Port Bloomberg'!G851)</f>
        <v/>
      </c>
      <c r="H851" s="7" t="str">
        <f>IF('Port Bloomberg'!H851="","",'Port Bloomberg'!H851)</f>
        <v/>
      </c>
      <c r="I851" s="7" t="str">
        <f>IF('Port Bloomberg'!I851="","",'Port Bloomberg'!I851)</f>
        <v/>
      </c>
      <c r="J851" s="7" t="str">
        <f>IF('Port Bloomberg'!J851="","",'Port Bloomberg'!J851)</f>
        <v/>
      </c>
      <c r="K851" s="7" t="str">
        <f>IF('Port Bloomberg'!K851="","",'Port Bloomberg'!K851)</f>
        <v/>
      </c>
      <c r="L851" s="7" t="str">
        <f>IF('Port Bloomberg'!L851="","",'Port Bloomberg'!L851)</f>
        <v/>
      </c>
      <c r="M851" s="7" t="str">
        <f>IF('Port Bloomberg'!M851="","",'Port Bloomberg'!M851)</f>
        <v/>
      </c>
      <c r="N851" s="7" t="str">
        <f>IF('Port Bloomberg'!N851="","",'Port Bloomberg'!N851)</f>
        <v/>
      </c>
      <c r="O851" s="7" t="str">
        <f>IF('Port Bloomberg'!O851="","",'Port Bloomberg'!O851)</f>
        <v/>
      </c>
      <c r="P851" s="7" t="str">
        <f>IF('Port Bloomberg'!P851="","",'Port Bloomberg'!P851)</f>
        <v/>
      </c>
      <c r="Q851" s="7" t="str">
        <f>IF('Port Bloomberg'!Q851="","",'Port Bloomberg'!Q851)</f>
        <v/>
      </c>
      <c r="R851" s="7" t="str">
        <f>IF('Port Bloomberg'!R851="","",'Port Bloomberg'!R851)</f>
        <v/>
      </c>
      <c r="S851" s="5" t="str">
        <f>IF(E851="","",IFERROR(IF(MATCH(E851,[1]Instrumentos!$D:$D,0)&gt;0,1,0),0))</f>
        <v/>
      </c>
      <c r="T851" s="5" t="str">
        <f>IF(E851="","",IFERROR(IF(MATCH(E851,'Lista de excepciones'!$E:$E,0)&gt;0,1,0),0))</f>
        <v/>
      </c>
      <c r="U851" s="6" t="str">
        <f t="shared" si="14"/>
        <v/>
      </c>
    </row>
    <row r="852" spans="1:21" hidden="1" x14ac:dyDescent="0.25">
      <c r="A852" s="7" t="str">
        <f>IF('Port Bloomberg'!A852="","",'Port Bloomberg'!A852)</f>
        <v/>
      </c>
      <c r="B852" s="7" t="str">
        <f>IF('Port Bloomberg'!B852="","",'Port Bloomberg'!B852)</f>
        <v/>
      </c>
      <c r="C852" s="7" t="str">
        <f>IF('Port Bloomberg'!C852="","",'Port Bloomberg'!C852)</f>
        <v/>
      </c>
      <c r="D852" s="7" t="str">
        <f>IF('Port Bloomberg'!D852="","",'Port Bloomberg'!D852)</f>
        <v/>
      </c>
      <c r="E852" s="7" t="str">
        <f>IF('Port Bloomberg'!E852="","",'Port Bloomberg'!E852)</f>
        <v/>
      </c>
      <c r="F852" s="7" t="str">
        <f>IF('Port Bloomberg'!F852="","",'Port Bloomberg'!F852)</f>
        <v/>
      </c>
      <c r="G852" s="7" t="str">
        <f>IF('Port Bloomberg'!G852="","",'Port Bloomberg'!G852)</f>
        <v/>
      </c>
      <c r="H852" s="7" t="str">
        <f>IF('Port Bloomberg'!H852="","",'Port Bloomberg'!H852)</f>
        <v/>
      </c>
      <c r="I852" s="7" t="str">
        <f>IF('Port Bloomberg'!I852="","",'Port Bloomberg'!I852)</f>
        <v/>
      </c>
      <c r="J852" s="7" t="str">
        <f>IF('Port Bloomberg'!J852="","",'Port Bloomberg'!J852)</f>
        <v/>
      </c>
      <c r="K852" s="7" t="str">
        <f>IF('Port Bloomberg'!K852="","",'Port Bloomberg'!K852)</f>
        <v/>
      </c>
      <c r="L852" s="7" t="str">
        <f>IF('Port Bloomberg'!L852="","",'Port Bloomberg'!L852)</f>
        <v/>
      </c>
      <c r="M852" s="7" t="str">
        <f>IF('Port Bloomberg'!M852="","",'Port Bloomberg'!M852)</f>
        <v/>
      </c>
      <c r="N852" s="7" t="str">
        <f>IF('Port Bloomberg'!N852="","",'Port Bloomberg'!N852)</f>
        <v/>
      </c>
      <c r="O852" s="7" t="str">
        <f>IF('Port Bloomberg'!O852="","",'Port Bloomberg'!O852)</f>
        <v/>
      </c>
      <c r="P852" s="7" t="str">
        <f>IF('Port Bloomberg'!P852="","",'Port Bloomberg'!P852)</f>
        <v/>
      </c>
      <c r="Q852" s="7" t="str">
        <f>IF('Port Bloomberg'!Q852="","",'Port Bloomberg'!Q852)</f>
        <v/>
      </c>
      <c r="R852" s="7" t="str">
        <f>IF('Port Bloomberg'!R852="","",'Port Bloomberg'!R852)</f>
        <v/>
      </c>
      <c r="S852" s="5" t="str">
        <f>IF(E852="","",IFERROR(IF(MATCH(E852,[1]Instrumentos!$D:$D,0)&gt;0,1,0),0))</f>
        <v/>
      </c>
      <c r="T852" s="5" t="str">
        <f>IF(E852="","",IFERROR(IF(MATCH(E852,'Lista de excepciones'!$E:$E,0)&gt;0,1,0),0))</f>
        <v/>
      </c>
      <c r="U852" s="6" t="str">
        <f t="shared" si="14"/>
        <v/>
      </c>
    </row>
    <row r="853" spans="1:21" hidden="1" x14ac:dyDescent="0.25">
      <c r="A853" s="7" t="str">
        <f>IF('Port Bloomberg'!A853="","",'Port Bloomberg'!A853)</f>
        <v/>
      </c>
      <c r="B853" s="7" t="str">
        <f>IF('Port Bloomberg'!B853="","",'Port Bloomberg'!B853)</f>
        <v/>
      </c>
      <c r="C853" s="7" t="str">
        <f>IF('Port Bloomberg'!C853="","",'Port Bloomberg'!C853)</f>
        <v/>
      </c>
      <c r="D853" s="7" t="str">
        <f>IF('Port Bloomberg'!D853="","",'Port Bloomberg'!D853)</f>
        <v/>
      </c>
      <c r="E853" s="7" t="str">
        <f>IF('Port Bloomberg'!E853="","",'Port Bloomberg'!E853)</f>
        <v/>
      </c>
      <c r="F853" s="7" t="str">
        <f>IF('Port Bloomberg'!F853="","",'Port Bloomberg'!F853)</f>
        <v/>
      </c>
      <c r="G853" s="7" t="str">
        <f>IF('Port Bloomberg'!G853="","",'Port Bloomberg'!G853)</f>
        <v/>
      </c>
      <c r="H853" s="7" t="str">
        <f>IF('Port Bloomberg'!H853="","",'Port Bloomberg'!H853)</f>
        <v/>
      </c>
      <c r="I853" s="7" t="str">
        <f>IF('Port Bloomberg'!I853="","",'Port Bloomberg'!I853)</f>
        <v/>
      </c>
      <c r="J853" s="7" t="str">
        <f>IF('Port Bloomberg'!J853="","",'Port Bloomberg'!J853)</f>
        <v/>
      </c>
      <c r="K853" s="7" t="str">
        <f>IF('Port Bloomberg'!K853="","",'Port Bloomberg'!K853)</f>
        <v/>
      </c>
      <c r="L853" s="7" t="str">
        <f>IF('Port Bloomberg'!L853="","",'Port Bloomberg'!L853)</f>
        <v/>
      </c>
      <c r="M853" s="7" t="str">
        <f>IF('Port Bloomberg'!M853="","",'Port Bloomberg'!M853)</f>
        <v/>
      </c>
      <c r="N853" s="7" t="str">
        <f>IF('Port Bloomberg'!N853="","",'Port Bloomberg'!N853)</f>
        <v/>
      </c>
      <c r="O853" s="7" t="str">
        <f>IF('Port Bloomberg'!O853="","",'Port Bloomberg'!O853)</f>
        <v/>
      </c>
      <c r="P853" s="7" t="str">
        <f>IF('Port Bloomberg'!P853="","",'Port Bloomberg'!P853)</f>
        <v/>
      </c>
      <c r="Q853" s="7" t="str">
        <f>IF('Port Bloomberg'!Q853="","",'Port Bloomberg'!Q853)</f>
        <v/>
      </c>
      <c r="R853" s="7" t="str">
        <f>IF('Port Bloomberg'!R853="","",'Port Bloomberg'!R853)</f>
        <v/>
      </c>
      <c r="S853" s="5" t="str">
        <f>IF(E853="","",IFERROR(IF(MATCH(E853,[1]Instrumentos!$D:$D,0)&gt;0,1,0),0))</f>
        <v/>
      </c>
      <c r="T853" s="5" t="str">
        <f>IF(E853="","",IFERROR(IF(MATCH(E853,'Lista de excepciones'!$E:$E,0)&gt;0,1,0),0))</f>
        <v/>
      </c>
      <c r="U853" s="6" t="str">
        <f t="shared" si="14"/>
        <v/>
      </c>
    </row>
    <row r="854" spans="1:21" hidden="1" x14ac:dyDescent="0.25">
      <c r="A854" s="7" t="str">
        <f>IF('Port Bloomberg'!A854="","",'Port Bloomberg'!A854)</f>
        <v/>
      </c>
      <c r="B854" s="7" t="str">
        <f>IF('Port Bloomberg'!B854="","",'Port Bloomberg'!B854)</f>
        <v/>
      </c>
      <c r="C854" s="7" t="str">
        <f>IF('Port Bloomberg'!C854="","",'Port Bloomberg'!C854)</f>
        <v/>
      </c>
      <c r="D854" s="7" t="str">
        <f>IF('Port Bloomberg'!D854="","",'Port Bloomberg'!D854)</f>
        <v/>
      </c>
      <c r="E854" s="7" t="str">
        <f>IF('Port Bloomberg'!E854="","",'Port Bloomberg'!E854)</f>
        <v/>
      </c>
      <c r="F854" s="7" t="str">
        <f>IF('Port Bloomberg'!F854="","",'Port Bloomberg'!F854)</f>
        <v/>
      </c>
      <c r="G854" s="7" t="str">
        <f>IF('Port Bloomberg'!G854="","",'Port Bloomberg'!G854)</f>
        <v/>
      </c>
      <c r="H854" s="7" t="str">
        <f>IF('Port Bloomberg'!H854="","",'Port Bloomberg'!H854)</f>
        <v/>
      </c>
      <c r="I854" s="7" t="str">
        <f>IF('Port Bloomberg'!I854="","",'Port Bloomberg'!I854)</f>
        <v/>
      </c>
      <c r="J854" s="7" t="str">
        <f>IF('Port Bloomberg'!J854="","",'Port Bloomberg'!J854)</f>
        <v/>
      </c>
      <c r="K854" s="7" t="str">
        <f>IF('Port Bloomberg'!K854="","",'Port Bloomberg'!K854)</f>
        <v/>
      </c>
      <c r="L854" s="7" t="str">
        <f>IF('Port Bloomberg'!L854="","",'Port Bloomberg'!L854)</f>
        <v/>
      </c>
      <c r="M854" s="7" t="str">
        <f>IF('Port Bloomberg'!M854="","",'Port Bloomberg'!M854)</f>
        <v/>
      </c>
      <c r="N854" s="7" t="str">
        <f>IF('Port Bloomberg'!N854="","",'Port Bloomberg'!N854)</f>
        <v/>
      </c>
      <c r="O854" s="7" t="str">
        <f>IF('Port Bloomberg'!O854="","",'Port Bloomberg'!O854)</f>
        <v/>
      </c>
      <c r="P854" s="7" t="str">
        <f>IF('Port Bloomberg'!P854="","",'Port Bloomberg'!P854)</f>
        <v/>
      </c>
      <c r="Q854" s="7" t="str">
        <f>IF('Port Bloomberg'!Q854="","",'Port Bloomberg'!Q854)</f>
        <v/>
      </c>
      <c r="R854" s="7" t="str">
        <f>IF('Port Bloomberg'!R854="","",'Port Bloomberg'!R854)</f>
        <v/>
      </c>
      <c r="S854" s="5" t="str">
        <f>IF(E854="","",IFERROR(IF(MATCH(E854,[1]Instrumentos!$D:$D,0)&gt;0,1,0),0))</f>
        <v/>
      </c>
      <c r="T854" s="5" t="str">
        <f>IF(E854="","",IFERROR(IF(MATCH(E854,'Lista de excepciones'!$E:$E,0)&gt;0,1,0),0))</f>
        <v/>
      </c>
      <c r="U854" s="6" t="str">
        <f t="shared" si="14"/>
        <v/>
      </c>
    </row>
    <row r="855" spans="1:21" hidden="1" x14ac:dyDescent="0.25">
      <c r="A855" s="7" t="str">
        <f>IF('Port Bloomberg'!A855="","",'Port Bloomberg'!A855)</f>
        <v/>
      </c>
      <c r="B855" s="7" t="str">
        <f>IF('Port Bloomberg'!B855="","",'Port Bloomberg'!B855)</f>
        <v/>
      </c>
      <c r="C855" s="7" t="str">
        <f>IF('Port Bloomberg'!C855="","",'Port Bloomberg'!C855)</f>
        <v/>
      </c>
      <c r="D855" s="7" t="str">
        <f>IF('Port Bloomberg'!D855="","",'Port Bloomberg'!D855)</f>
        <v/>
      </c>
      <c r="E855" s="7" t="str">
        <f>IF('Port Bloomberg'!E855="","",'Port Bloomberg'!E855)</f>
        <v/>
      </c>
      <c r="F855" s="7" t="str">
        <f>IF('Port Bloomberg'!F855="","",'Port Bloomberg'!F855)</f>
        <v/>
      </c>
      <c r="G855" s="7" t="str">
        <f>IF('Port Bloomberg'!G855="","",'Port Bloomberg'!G855)</f>
        <v/>
      </c>
      <c r="H855" s="7" t="str">
        <f>IF('Port Bloomberg'!H855="","",'Port Bloomberg'!H855)</f>
        <v/>
      </c>
      <c r="I855" s="7" t="str">
        <f>IF('Port Bloomberg'!I855="","",'Port Bloomberg'!I855)</f>
        <v/>
      </c>
      <c r="J855" s="7" t="str">
        <f>IF('Port Bloomberg'!J855="","",'Port Bloomberg'!J855)</f>
        <v/>
      </c>
      <c r="K855" s="7" t="str">
        <f>IF('Port Bloomberg'!K855="","",'Port Bloomberg'!K855)</f>
        <v/>
      </c>
      <c r="L855" s="7" t="str">
        <f>IF('Port Bloomberg'!L855="","",'Port Bloomberg'!L855)</f>
        <v/>
      </c>
      <c r="M855" s="7" t="str">
        <f>IF('Port Bloomberg'!M855="","",'Port Bloomberg'!M855)</f>
        <v/>
      </c>
      <c r="N855" s="7" t="str">
        <f>IF('Port Bloomberg'!N855="","",'Port Bloomberg'!N855)</f>
        <v/>
      </c>
      <c r="O855" s="7" t="str">
        <f>IF('Port Bloomberg'!O855="","",'Port Bloomberg'!O855)</f>
        <v/>
      </c>
      <c r="P855" s="7" t="str">
        <f>IF('Port Bloomberg'!P855="","",'Port Bloomberg'!P855)</f>
        <v/>
      </c>
      <c r="Q855" s="7" t="str">
        <f>IF('Port Bloomberg'!Q855="","",'Port Bloomberg'!Q855)</f>
        <v/>
      </c>
      <c r="R855" s="7" t="str">
        <f>IF('Port Bloomberg'!R855="","",'Port Bloomberg'!R855)</f>
        <v/>
      </c>
      <c r="S855" s="5" t="str">
        <f>IF(E855="","",IFERROR(IF(MATCH(E855,[1]Instrumentos!$D:$D,0)&gt;0,1,0),0))</f>
        <v/>
      </c>
      <c r="T855" s="5" t="str">
        <f>IF(E855="","",IFERROR(IF(MATCH(E855,'Lista de excepciones'!$E:$E,0)&gt;0,1,0),0))</f>
        <v/>
      </c>
      <c r="U855" s="6" t="str">
        <f t="shared" si="14"/>
        <v/>
      </c>
    </row>
    <row r="856" spans="1:21" hidden="1" x14ac:dyDescent="0.25">
      <c r="A856" s="7" t="str">
        <f>IF('Port Bloomberg'!A856="","",'Port Bloomberg'!A856)</f>
        <v/>
      </c>
      <c r="B856" s="7" t="str">
        <f>IF('Port Bloomberg'!B856="","",'Port Bloomberg'!B856)</f>
        <v/>
      </c>
      <c r="C856" s="7" t="str">
        <f>IF('Port Bloomberg'!C856="","",'Port Bloomberg'!C856)</f>
        <v/>
      </c>
      <c r="D856" s="7" t="str">
        <f>IF('Port Bloomberg'!D856="","",'Port Bloomberg'!D856)</f>
        <v/>
      </c>
      <c r="E856" s="7" t="str">
        <f>IF('Port Bloomberg'!E856="","",'Port Bloomberg'!E856)</f>
        <v/>
      </c>
      <c r="F856" s="7" t="str">
        <f>IF('Port Bloomberg'!F856="","",'Port Bloomberg'!F856)</f>
        <v/>
      </c>
      <c r="G856" s="7" t="str">
        <f>IF('Port Bloomberg'!G856="","",'Port Bloomberg'!G856)</f>
        <v/>
      </c>
      <c r="H856" s="7" t="str">
        <f>IF('Port Bloomberg'!H856="","",'Port Bloomberg'!H856)</f>
        <v/>
      </c>
      <c r="I856" s="7" t="str">
        <f>IF('Port Bloomberg'!I856="","",'Port Bloomberg'!I856)</f>
        <v/>
      </c>
      <c r="J856" s="7" t="str">
        <f>IF('Port Bloomberg'!J856="","",'Port Bloomberg'!J856)</f>
        <v/>
      </c>
      <c r="K856" s="7" t="str">
        <f>IF('Port Bloomberg'!K856="","",'Port Bloomberg'!K856)</f>
        <v/>
      </c>
      <c r="L856" s="7" t="str">
        <f>IF('Port Bloomberg'!L856="","",'Port Bloomberg'!L856)</f>
        <v/>
      </c>
      <c r="M856" s="7" t="str">
        <f>IF('Port Bloomberg'!M856="","",'Port Bloomberg'!M856)</f>
        <v/>
      </c>
      <c r="N856" s="7" t="str">
        <f>IF('Port Bloomberg'!N856="","",'Port Bloomberg'!N856)</f>
        <v/>
      </c>
      <c r="O856" s="7" t="str">
        <f>IF('Port Bloomberg'!O856="","",'Port Bloomberg'!O856)</f>
        <v/>
      </c>
      <c r="P856" s="7" t="str">
        <f>IF('Port Bloomberg'!P856="","",'Port Bloomberg'!P856)</f>
        <v/>
      </c>
      <c r="Q856" s="7" t="str">
        <f>IF('Port Bloomberg'!Q856="","",'Port Bloomberg'!Q856)</f>
        <v/>
      </c>
      <c r="R856" s="7" t="str">
        <f>IF('Port Bloomberg'!R856="","",'Port Bloomberg'!R856)</f>
        <v/>
      </c>
      <c r="S856" s="5" t="str">
        <f>IF(E856="","",IFERROR(IF(MATCH(E856,[1]Instrumentos!$D:$D,0)&gt;0,1,0),0))</f>
        <v/>
      </c>
      <c r="T856" s="5" t="str">
        <f>IF(E856="","",IFERROR(IF(MATCH(E856,'Lista de excepciones'!$E:$E,0)&gt;0,1,0),0))</f>
        <v/>
      </c>
      <c r="U856" s="6" t="str">
        <f t="shared" si="14"/>
        <v/>
      </c>
    </row>
    <row r="857" spans="1:21" hidden="1" x14ac:dyDescent="0.25">
      <c r="A857" s="7" t="str">
        <f>IF('Port Bloomberg'!A857="","",'Port Bloomberg'!A857)</f>
        <v/>
      </c>
      <c r="B857" s="7" t="str">
        <f>IF('Port Bloomberg'!B857="","",'Port Bloomberg'!B857)</f>
        <v/>
      </c>
      <c r="C857" s="7" t="str">
        <f>IF('Port Bloomberg'!C857="","",'Port Bloomberg'!C857)</f>
        <v/>
      </c>
      <c r="D857" s="7" t="str">
        <f>IF('Port Bloomberg'!D857="","",'Port Bloomberg'!D857)</f>
        <v/>
      </c>
      <c r="E857" s="7" t="str">
        <f>IF('Port Bloomberg'!E857="","",'Port Bloomberg'!E857)</f>
        <v/>
      </c>
      <c r="F857" s="7" t="str">
        <f>IF('Port Bloomberg'!F857="","",'Port Bloomberg'!F857)</f>
        <v/>
      </c>
      <c r="G857" s="7" t="str">
        <f>IF('Port Bloomberg'!G857="","",'Port Bloomberg'!G857)</f>
        <v/>
      </c>
      <c r="H857" s="7" t="str">
        <f>IF('Port Bloomberg'!H857="","",'Port Bloomberg'!H857)</f>
        <v/>
      </c>
      <c r="I857" s="7" t="str">
        <f>IF('Port Bloomberg'!I857="","",'Port Bloomberg'!I857)</f>
        <v/>
      </c>
      <c r="J857" s="7" t="str">
        <f>IF('Port Bloomberg'!J857="","",'Port Bloomberg'!J857)</f>
        <v/>
      </c>
      <c r="K857" s="7" t="str">
        <f>IF('Port Bloomberg'!K857="","",'Port Bloomberg'!K857)</f>
        <v/>
      </c>
      <c r="L857" s="7" t="str">
        <f>IF('Port Bloomberg'!L857="","",'Port Bloomberg'!L857)</f>
        <v/>
      </c>
      <c r="M857" s="7" t="str">
        <f>IF('Port Bloomberg'!M857="","",'Port Bloomberg'!M857)</f>
        <v/>
      </c>
      <c r="N857" s="7" t="str">
        <f>IF('Port Bloomberg'!N857="","",'Port Bloomberg'!N857)</f>
        <v/>
      </c>
      <c r="O857" s="7" t="str">
        <f>IF('Port Bloomberg'!O857="","",'Port Bloomberg'!O857)</f>
        <v/>
      </c>
      <c r="P857" s="7" t="str">
        <f>IF('Port Bloomberg'!P857="","",'Port Bloomberg'!P857)</f>
        <v/>
      </c>
      <c r="Q857" s="7" t="str">
        <f>IF('Port Bloomberg'!Q857="","",'Port Bloomberg'!Q857)</f>
        <v/>
      </c>
      <c r="R857" s="7" t="str">
        <f>IF('Port Bloomberg'!R857="","",'Port Bloomberg'!R857)</f>
        <v/>
      </c>
      <c r="S857" s="5" t="str">
        <f>IF(E857="","",IFERROR(IF(MATCH(E857,[1]Instrumentos!$D:$D,0)&gt;0,1,0),0))</f>
        <v/>
      </c>
      <c r="T857" s="5" t="str">
        <f>IF(E857="","",IFERROR(IF(MATCH(E857,'Lista de excepciones'!$E:$E,0)&gt;0,1,0),0))</f>
        <v/>
      </c>
      <c r="U857" s="6" t="str">
        <f t="shared" si="14"/>
        <v/>
      </c>
    </row>
    <row r="858" spans="1:21" hidden="1" x14ac:dyDescent="0.25">
      <c r="A858" s="7" t="str">
        <f>IF('Port Bloomberg'!A858="","",'Port Bloomberg'!A858)</f>
        <v/>
      </c>
      <c r="B858" s="7" t="str">
        <f>IF('Port Bloomberg'!B858="","",'Port Bloomberg'!B858)</f>
        <v/>
      </c>
      <c r="C858" s="7" t="str">
        <f>IF('Port Bloomberg'!C858="","",'Port Bloomberg'!C858)</f>
        <v/>
      </c>
      <c r="D858" s="7" t="str">
        <f>IF('Port Bloomberg'!D858="","",'Port Bloomberg'!D858)</f>
        <v/>
      </c>
      <c r="E858" s="7" t="str">
        <f>IF('Port Bloomberg'!E858="","",'Port Bloomberg'!E858)</f>
        <v/>
      </c>
      <c r="F858" s="7" t="str">
        <f>IF('Port Bloomberg'!F858="","",'Port Bloomberg'!F858)</f>
        <v/>
      </c>
      <c r="G858" s="7" t="str">
        <f>IF('Port Bloomberg'!G858="","",'Port Bloomberg'!G858)</f>
        <v/>
      </c>
      <c r="H858" s="7" t="str">
        <f>IF('Port Bloomberg'!H858="","",'Port Bloomberg'!H858)</f>
        <v/>
      </c>
      <c r="I858" s="7" t="str">
        <f>IF('Port Bloomberg'!I858="","",'Port Bloomberg'!I858)</f>
        <v/>
      </c>
      <c r="J858" s="7" t="str">
        <f>IF('Port Bloomberg'!J858="","",'Port Bloomberg'!J858)</f>
        <v/>
      </c>
      <c r="K858" s="7" t="str">
        <f>IF('Port Bloomberg'!K858="","",'Port Bloomberg'!K858)</f>
        <v/>
      </c>
      <c r="L858" s="7" t="str">
        <f>IF('Port Bloomberg'!L858="","",'Port Bloomberg'!L858)</f>
        <v/>
      </c>
      <c r="M858" s="7" t="str">
        <f>IF('Port Bloomberg'!M858="","",'Port Bloomberg'!M858)</f>
        <v/>
      </c>
      <c r="N858" s="7" t="str">
        <f>IF('Port Bloomberg'!N858="","",'Port Bloomberg'!N858)</f>
        <v/>
      </c>
      <c r="O858" s="7" t="str">
        <f>IF('Port Bloomberg'!O858="","",'Port Bloomberg'!O858)</f>
        <v/>
      </c>
      <c r="P858" s="7" t="str">
        <f>IF('Port Bloomberg'!P858="","",'Port Bloomberg'!P858)</f>
        <v/>
      </c>
      <c r="Q858" s="7" t="str">
        <f>IF('Port Bloomberg'!Q858="","",'Port Bloomberg'!Q858)</f>
        <v/>
      </c>
      <c r="R858" s="7" t="str">
        <f>IF('Port Bloomberg'!R858="","",'Port Bloomberg'!R858)</f>
        <v/>
      </c>
      <c r="S858" s="5" t="str">
        <f>IF(E858="","",IFERROR(IF(MATCH(E858,[1]Instrumentos!$D:$D,0)&gt;0,1,0),0))</f>
        <v/>
      </c>
      <c r="T858" s="5" t="str">
        <f>IF(E858="","",IFERROR(IF(MATCH(E858,'Lista de excepciones'!$E:$E,0)&gt;0,1,0),0))</f>
        <v/>
      </c>
      <c r="U858" s="6" t="str">
        <f t="shared" si="14"/>
        <v/>
      </c>
    </row>
    <row r="859" spans="1:21" hidden="1" x14ac:dyDescent="0.25">
      <c r="A859" s="7" t="str">
        <f>IF('Port Bloomberg'!A859="","",'Port Bloomberg'!A859)</f>
        <v/>
      </c>
      <c r="B859" s="7" t="str">
        <f>IF('Port Bloomberg'!B859="","",'Port Bloomberg'!B859)</f>
        <v/>
      </c>
      <c r="C859" s="7" t="str">
        <f>IF('Port Bloomberg'!C859="","",'Port Bloomberg'!C859)</f>
        <v/>
      </c>
      <c r="D859" s="7" t="str">
        <f>IF('Port Bloomberg'!D859="","",'Port Bloomberg'!D859)</f>
        <v/>
      </c>
      <c r="E859" s="7" t="str">
        <f>IF('Port Bloomberg'!E859="","",'Port Bloomberg'!E859)</f>
        <v/>
      </c>
      <c r="F859" s="7" t="str">
        <f>IF('Port Bloomberg'!F859="","",'Port Bloomberg'!F859)</f>
        <v/>
      </c>
      <c r="G859" s="7" t="str">
        <f>IF('Port Bloomberg'!G859="","",'Port Bloomberg'!G859)</f>
        <v/>
      </c>
      <c r="H859" s="7" t="str">
        <f>IF('Port Bloomberg'!H859="","",'Port Bloomberg'!H859)</f>
        <v/>
      </c>
      <c r="I859" s="7" t="str">
        <f>IF('Port Bloomberg'!I859="","",'Port Bloomberg'!I859)</f>
        <v/>
      </c>
      <c r="J859" s="7" t="str">
        <f>IF('Port Bloomberg'!J859="","",'Port Bloomberg'!J859)</f>
        <v/>
      </c>
      <c r="K859" s="7" t="str">
        <f>IF('Port Bloomberg'!K859="","",'Port Bloomberg'!K859)</f>
        <v/>
      </c>
      <c r="L859" s="7" t="str">
        <f>IF('Port Bloomberg'!L859="","",'Port Bloomberg'!L859)</f>
        <v/>
      </c>
      <c r="M859" s="7" t="str">
        <f>IF('Port Bloomberg'!M859="","",'Port Bloomberg'!M859)</f>
        <v/>
      </c>
      <c r="N859" s="7" t="str">
        <f>IF('Port Bloomberg'!N859="","",'Port Bloomberg'!N859)</f>
        <v/>
      </c>
      <c r="O859" s="7" t="str">
        <f>IF('Port Bloomberg'!O859="","",'Port Bloomberg'!O859)</f>
        <v/>
      </c>
      <c r="P859" s="7" t="str">
        <f>IF('Port Bloomberg'!P859="","",'Port Bloomberg'!P859)</f>
        <v/>
      </c>
      <c r="Q859" s="7" t="str">
        <f>IF('Port Bloomberg'!Q859="","",'Port Bloomberg'!Q859)</f>
        <v/>
      </c>
      <c r="R859" s="7" t="str">
        <f>IF('Port Bloomberg'!R859="","",'Port Bloomberg'!R859)</f>
        <v/>
      </c>
      <c r="S859" s="5" t="str">
        <f>IF(E859="","",IFERROR(IF(MATCH(E859,[1]Instrumentos!$D:$D,0)&gt;0,1,0),0))</f>
        <v/>
      </c>
      <c r="T859" s="5" t="str">
        <f>IF(E859="","",IFERROR(IF(MATCH(E859,'Lista de excepciones'!$E:$E,0)&gt;0,1,0),0))</f>
        <v/>
      </c>
      <c r="U859" s="6" t="str">
        <f t="shared" si="14"/>
        <v/>
      </c>
    </row>
    <row r="860" spans="1:21" hidden="1" x14ac:dyDescent="0.25">
      <c r="A860" s="7" t="str">
        <f>IF('Port Bloomberg'!A860="","",'Port Bloomberg'!A860)</f>
        <v/>
      </c>
      <c r="B860" s="7" t="str">
        <f>IF('Port Bloomberg'!B860="","",'Port Bloomberg'!B860)</f>
        <v/>
      </c>
      <c r="C860" s="7" t="str">
        <f>IF('Port Bloomberg'!C860="","",'Port Bloomberg'!C860)</f>
        <v/>
      </c>
      <c r="D860" s="7" t="str">
        <f>IF('Port Bloomberg'!D860="","",'Port Bloomberg'!D860)</f>
        <v/>
      </c>
      <c r="E860" s="7" t="str">
        <f>IF('Port Bloomberg'!E860="","",'Port Bloomberg'!E860)</f>
        <v/>
      </c>
      <c r="F860" s="7" t="str">
        <f>IF('Port Bloomberg'!F860="","",'Port Bloomberg'!F860)</f>
        <v/>
      </c>
      <c r="G860" s="7" t="str">
        <f>IF('Port Bloomberg'!G860="","",'Port Bloomberg'!G860)</f>
        <v/>
      </c>
      <c r="H860" s="7" t="str">
        <f>IF('Port Bloomberg'!H860="","",'Port Bloomberg'!H860)</f>
        <v/>
      </c>
      <c r="I860" s="7" t="str">
        <f>IF('Port Bloomberg'!I860="","",'Port Bloomberg'!I860)</f>
        <v/>
      </c>
      <c r="J860" s="7" t="str">
        <f>IF('Port Bloomberg'!J860="","",'Port Bloomberg'!J860)</f>
        <v/>
      </c>
      <c r="K860" s="7" t="str">
        <f>IF('Port Bloomberg'!K860="","",'Port Bloomberg'!K860)</f>
        <v/>
      </c>
      <c r="L860" s="7" t="str">
        <f>IF('Port Bloomberg'!L860="","",'Port Bloomberg'!L860)</f>
        <v/>
      </c>
      <c r="M860" s="7" t="str">
        <f>IF('Port Bloomberg'!M860="","",'Port Bloomberg'!M860)</f>
        <v/>
      </c>
      <c r="N860" s="7" t="str">
        <f>IF('Port Bloomberg'!N860="","",'Port Bloomberg'!N860)</f>
        <v/>
      </c>
      <c r="O860" s="7" t="str">
        <f>IF('Port Bloomberg'!O860="","",'Port Bloomberg'!O860)</f>
        <v/>
      </c>
      <c r="P860" s="7" t="str">
        <f>IF('Port Bloomberg'!P860="","",'Port Bloomberg'!P860)</f>
        <v/>
      </c>
      <c r="Q860" s="7" t="str">
        <f>IF('Port Bloomberg'!Q860="","",'Port Bloomberg'!Q860)</f>
        <v/>
      </c>
      <c r="R860" s="7" t="str">
        <f>IF('Port Bloomberg'!R860="","",'Port Bloomberg'!R860)</f>
        <v/>
      </c>
      <c r="S860" s="5" t="str">
        <f>IF(E860="","",IFERROR(IF(MATCH(E860,[1]Instrumentos!$D:$D,0)&gt;0,1,0),0))</f>
        <v/>
      </c>
      <c r="T860" s="5" t="str">
        <f>IF(E860="","",IFERROR(IF(MATCH(E860,'Lista de excepciones'!$E:$E,0)&gt;0,1,0),0))</f>
        <v/>
      </c>
      <c r="U860" s="6" t="str">
        <f t="shared" si="14"/>
        <v/>
      </c>
    </row>
    <row r="861" spans="1:21" hidden="1" x14ac:dyDescent="0.25">
      <c r="A861" s="7" t="str">
        <f>IF('Port Bloomberg'!A861="","",'Port Bloomberg'!A861)</f>
        <v/>
      </c>
      <c r="B861" s="7" t="str">
        <f>IF('Port Bloomberg'!B861="","",'Port Bloomberg'!B861)</f>
        <v/>
      </c>
      <c r="C861" s="7" t="str">
        <f>IF('Port Bloomberg'!C861="","",'Port Bloomberg'!C861)</f>
        <v/>
      </c>
      <c r="D861" s="7" t="str">
        <f>IF('Port Bloomberg'!D861="","",'Port Bloomberg'!D861)</f>
        <v/>
      </c>
      <c r="E861" s="7" t="str">
        <f>IF('Port Bloomberg'!E861="","",'Port Bloomberg'!E861)</f>
        <v/>
      </c>
      <c r="F861" s="7" t="str">
        <f>IF('Port Bloomberg'!F861="","",'Port Bloomberg'!F861)</f>
        <v/>
      </c>
      <c r="G861" s="7" t="str">
        <f>IF('Port Bloomberg'!G861="","",'Port Bloomberg'!G861)</f>
        <v/>
      </c>
      <c r="H861" s="7" t="str">
        <f>IF('Port Bloomberg'!H861="","",'Port Bloomberg'!H861)</f>
        <v/>
      </c>
      <c r="I861" s="7" t="str">
        <f>IF('Port Bloomberg'!I861="","",'Port Bloomberg'!I861)</f>
        <v/>
      </c>
      <c r="J861" s="7" t="str">
        <f>IF('Port Bloomberg'!J861="","",'Port Bloomberg'!J861)</f>
        <v/>
      </c>
      <c r="K861" s="7" t="str">
        <f>IF('Port Bloomberg'!K861="","",'Port Bloomberg'!K861)</f>
        <v/>
      </c>
      <c r="L861" s="7" t="str">
        <f>IF('Port Bloomberg'!L861="","",'Port Bloomberg'!L861)</f>
        <v/>
      </c>
      <c r="M861" s="7" t="str">
        <f>IF('Port Bloomberg'!M861="","",'Port Bloomberg'!M861)</f>
        <v/>
      </c>
      <c r="N861" s="7" t="str">
        <f>IF('Port Bloomberg'!N861="","",'Port Bloomberg'!N861)</f>
        <v/>
      </c>
      <c r="O861" s="7" t="str">
        <f>IF('Port Bloomberg'!O861="","",'Port Bloomberg'!O861)</f>
        <v/>
      </c>
      <c r="P861" s="7" t="str">
        <f>IF('Port Bloomberg'!P861="","",'Port Bloomberg'!P861)</f>
        <v/>
      </c>
      <c r="Q861" s="7" t="str">
        <f>IF('Port Bloomberg'!Q861="","",'Port Bloomberg'!Q861)</f>
        <v/>
      </c>
      <c r="R861" s="7" t="str">
        <f>IF('Port Bloomberg'!R861="","",'Port Bloomberg'!R861)</f>
        <v/>
      </c>
      <c r="S861" s="5" t="str">
        <f>IF(E861="","",IFERROR(IF(MATCH(E861,[1]Instrumentos!$D:$D,0)&gt;0,1,0),0))</f>
        <v/>
      </c>
      <c r="T861" s="5" t="str">
        <f>IF(E861="","",IFERROR(IF(MATCH(E861,'Lista de excepciones'!$E:$E,0)&gt;0,1,0),0))</f>
        <v/>
      </c>
      <c r="U861" s="6" t="str">
        <f t="shared" si="14"/>
        <v/>
      </c>
    </row>
    <row r="862" spans="1:21" hidden="1" x14ac:dyDescent="0.25">
      <c r="A862" s="7" t="str">
        <f>IF('Port Bloomberg'!A862="","",'Port Bloomberg'!A862)</f>
        <v/>
      </c>
      <c r="B862" s="7" t="str">
        <f>IF('Port Bloomberg'!B862="","",'Port Bloomberg'!B862)</f>
        <v/>
      </c>
      <c r="C862" s="7" t="str">
        <f>IF('Port Bloomberg'!C862="","",'Port Bloomberg'!C862)</f>
        <v/>
      </c>
      <c r="D862" s="7" t="str">
        <f>IF('Port Bloomberg'!D862="","",'Port Bloomberg'!D862)</f>
        <v/>
      </c>
      <c r="E862" s="7" t="str">
        <f>IF('Port Bloomberg'!E862="","",'Port Bloomberg'!E862)</f>
        <v/>
      </c>
      <c r="F862" s="7" t="str">
        <f>IF('Port Bloomberg'!F862="","",'Port Bloomberg'!F862)</f>
        <v/>
      </c>
      <c r="G862" s="7" t="str">
        <f>IF('Port Bloomberg'!G862="","",'Port Bloomberg'!G862)</f>
        <v/>
      </c>
      <c r="H862" s="7" t="str">
        <f>IF('Port Bloomberg'!H862="","",'Port Bloomberg'!H862)</f>
        <v/>
      </c>
      <c r="I862" s="7" t="str">
        <f>IF('Port Bloomberg'!I862="","",'Port Bloomberg'!I862)</f>
        <v/>
      </c>
      <c r="J862" s="7" t="str">
        <f>IF('Port Bloomberg'!J862="","",'Port Bloomberg'!J862)</f>
        <v/>
      </c>
      <c r="K862" s="7" t="str">
        <f>IF('Port Bloomberg'!K862="","",'Port Bloomberg'!K862)</f>
        <v/>
      </c>
      <c r="L862" s="7" t="str">
        <f>IF('Port Bloomberg'!L862="","",'Port Bloomberg'!L862)</f>
        <v/>
      </c>
      <c r="M862" s="7" t="str">
        <f>IF('Port Bloomberg'!M862="","",'Port Bloomberg'!M862)</f>
        <v/>
      </c>
      <c r="N862" s="7" t="str">
        <f>IF('Port Bloomberg'!N862="","",'Port Bloomberg'!N862)</f>
        <v/>
      </c>
      <c r="O862" s="7" t="str">
        <f>IF('Port Bloomberg'!O862="","",'Port Bloomberg'!O862)</f>
        <v/>
      </c>
      <c r="P862" s="7" t="str">
        <f>IF('Port Bloomberg'!P862="","",'Port Bloomberg'!P862)</f>
        <v/>
      </c>
      <c r="Q862" s="7" t="str">
        <f>IF('Port Bloomberg'!Q862="","",'Port Bloomberg'!Q862)</f>
        <v/>
      </c>
      <c r="R862" s="7" t="str">
        <f>IF('Port Bloomberg'!R862="","",'Port Bloomberg'!R862)</f>
        <v/>
      </c>
      <c r="S862" s="5" t="str">
        <f>IF(E862="","",IFERROR(IF(MATCH(E862,[1]Instrumentos!$D:$D,0)&gt;0,1,0),0))</f>
        <v/>
      </c>
      <c r="T862" s="5" t="str">
        <f>IF(E862="","",IFERROR(IF(MATCH(E862,'Lista de excepciones'!$E:$E,0)&gt;0,1,0),0))</f>
        <v/>
      </c>
      <c r="U862" s="6" t="str">
        <f t="shared" si="14"/>
        <v/>
      </c>
    </row>
    <row r="863" spans="1:21" hidden="1" x14ac:dyDescent="0.25">
      <c r="A863" s="7" t="str">
        <f>IF('Port Bloomberg'!A863="","",'Port Bloomberg'!A863)</f>
        <v/>
      </c>
      <c r="B863" s="7" t="str">
        <f>IF('Port Bloomberg'!B863="","",'Port Bloomberg'!B863)</f>
        <v/>
      </c>
      <c r="C863" s="7" t="str">
        <f>IF('Port Bloomberg'!C863="","",'Port Bloomberg'!C863)</f>
        <v/>
      </c>
      <c r="D863" s="7" t="str">
        <f>IF('Port Bloomberg'!D863="","",'Port Bloomberg'!D863)</f>
        <v/>
      </c>
      <c r="E863" s="7" t="str">
        <f>IF('Port Bloomberg'!E863="","",'Port Bloomberg'!E863)</f>
        <v/>
      </c>
      <c r="F863" s="7" t="str">
        <f>IF('Port Bloomberg'!F863="","",'Port Bloomberg'!F863)</f>
        <v/>
      </c>
      <c r="G863" s="7" t="str">
        <f>IF('Port Bloomberg'!G863="","",'Port Bloomberg'!G863)</f>
        <v/>
      </c>
      <c r="H863" s="7" t="str">
        <f>IF('Port Bloomberg'!H863="","",'Port Bloomberg'!H863)</f>
        <v/>
      </c>
      <c r="I863" s="7" t="str">
        <f>IF('Port Bloomberg'!I863="","",'Port Bloomberg'!I863)</f>
        <v/>
      </c>
      <c r="J863" s="7" t="str">
        <f>IF('Port Bloomberg'!J863="","",'Port Bloomberg'!J863)</f>
        <v/>
      </c>
      <c r="K863" s="7" t="str">
        <f>IF('Port Bloomberg'!K863="","",'Port Bloomberg'!K863)</f>
        <v/>
      </c>
      <c r="L863" s="7" t="str">
        <f>IF('Port Bloomberg'!L863="","",'Port Bloomberg'!L863)</f>
        <v/>
      </c>
      <c r="M863" s="7" t="str">
        <f>IF('Port Bloomberg'!M863="","",'Port Bloomberg'!M863)</f>
        <v/>
      </c>
      <c r="N863" s="7" t="str">
        <f>IF('Port Bloomberg'!N863="","",'Port Bloomberg'!N863)</f>
        <v/>
      </c>
      <c r="O863" s="7" t="str">
        <f>IF('Port Bloomberg'!O863="","",'Port Bloomberg'!O863)</f>
        <v/>
      </c>
      <c r="P863" s="7" t="str">
        <f>IF('Port Bloomberg'!P863="","",'Port Bloomberg'!P863)</f>
        <v/>
      </c>
      <c r="Q863" s="7" t="str">
        <f>IF('Port Bloomberg'!Q863="","",'Port Bloomberg'!Q863)</f>
        <v/>
      </c>
      <c r="R863" s="7" t="str">
        <f>IF('Port Bloomberg'!R863="","",'Port Bloomberg'!R863)</f>
        <v/>
      </c>
      <c r="S863" s="5" t="str">
        <f>IF(E863="","",IFERROR(IF(MATCH(E863,[1]Instrumentos!$D:$D,0)&gt;0,1,0),0))</f>
        <v/>
      </c>
      <c r="T863" s="5" t="str">
        <f>IF(E863="","",IFERROR(IF(MATCH(E863,'Lista de excepciones'!$E:$E,0)&gt;0,1,0),0))</f>
        <v/>
      </c>
      <c r="U863" s="6" t="str">
        <f t="shared" si="14"/>
        <v/>
      </c>
    </row>
    <row r="864" spans="1:21" hidden="1" x14ac:dyDescent="0.25">
      <c r="A864" s="7" t="str">
        <f>IF('Port Bloomberg'!A864="","",'Port Bloomberg'!A864)</f>
        <v/>
      </c>
      <c r="B864" s="7" t="str">
        <f>IF('Port Bloomberg'!B864="","",'Port Bloomberg'!B864)</f>
        <v/>
      </c>
      <c r="C864" s="7" t="str">
        <f>IF('Port Bloomberg'!C864="","",'Port Bloomberg'!C864)</f>
        <v/>
      </c>
      <c r="D864" s="7" t="str">
        <f>IF('Port Bloomberg'!D864="","",'Port Bloomberg'!D864)</f>
        <v/>
      </c>
      <c r="E864" s="7" t="str">
        <f>IF('Port Bloomberg'!E864="","",'Port Bloomberg'!E864)</f>
        <v/>
      </c>
      <c r="F864" s="7" t="str">
        <f>IF('Port Bloomberg'!F864="","",'Port Bloomberg'!F864)</f>
        <v/>
      </c>
      <c r="G864" s="7" t="str">
        <f>IF('Port Bloomberg'!G864="","",'Port Bloomberg'!G864)</f>
        <v/>
      </c>
      <c r="H864" s="7" t="str">
        <f>IF('Port Bloomberg'!H864="","",'Port Bloomberg'!H864)</f>
        <v/>
      </c>
      <c r="I864" s="7" t="str">
        <f>IF('Port Bloomberg'!I864="","",'Port Bloomberg'!I864)</f>
        <v/>
      </c>
      <c r="J864" s="7" t="str">
        <f>IF('Port Bloomberg'!J864="","",'Port Bloomberg'!J864)</f>
        <v/>
      </c>
      <c r="K864" s="7" t="str">
        <f>IF('Port Bloomberg'!K864="","",'Port Bloomberg'!K864)</f>
        <v/>
      </c>
      <c r="L864" s="7" t="str">
        <f>IF('Port Bloomberg'!L864="","",'Port Bloomberg'!L864)</f>
        <v/>
      </c>
      <c r="M864" s="7" t="str">
        <f>IF('Port Bloomberg'!M864="","",'Port Bloomberg'!M864)</f>
        <v/>
      </c>
      <c r="N864" s="7" t="str">
        <f>IF('Port Bloomberg'!N864="","",'Port Bloomberg'!N864)</f>
        <v/>
      </c>
      <c r="O864" s="7" t="str">
        <f>IF('Port Bloomberg'!O864="","",'Port Bloomberg'!O864)</f>
        <v/>
      </c>
      <c r="P864" s="7" t="str">
        <f>IF('Port Bloomberg'!P864="","",'Port Bloomberg'!P864)</f>
        <v/>
      </c>
      <c r="Q864" s="7" t="str">
        <f>IF('Port Bloomberg'!Q864="","",'Port Bloomberg'!Q864)</f>
        <v/>
      </c>
      <c r="R864" s="7" t="str">
        <f>IF('Port Bloomberg'!R864="","",'Port Bloomberg'!R864)</f>
        <v/>
      </c>
      <c r="S864" s="5" t="str">
        <f>IF(E864="","",IFERROR(IF(MATCH(E864,[1]Instrumentos!$D:$D,0)&gt;0,1,0),0))</f>
        <v/>
      </c>
      <c r="T864" s="5" t="str">
        <f>IF(E864="","",IFERROR(IF(MATCH(E864,'Lista de excepciones'!$E:$E,0)&gt;0,1,0),0))</f>
        <v/>
      </c>
      <c r="U864" s="6" t="str">
        <f t="shared" si="14"/>
        <v/>
      </c>
    </row>
    <row r="865" spans="1:21" hidden="1" x14ac:dyDescent="0.25">
      <c r="A865" s="7" t="str">
        <f>IF('Port Bloomberg'!A865="","",'Port Bloomberg'!A865)</f>
        <v/>
      </c>
      <c r="B865" s="7" t="str">
        <f>IF('Port Bloomberg'!B865="","",'Port Bloomberg'!B865)</f>
        <v/>
      </c>
      <c r="C865" s="7" t="str">
        <f>IF('Port Bloomberg'!C865="","",'Port Bloomberg'!C865)</f>
        <v/>
      </c>
      <c r="D865" s="7" t="str">
        <f>IF('Port Bloomberg'!D865="","",'Port Bloomberg'!D865)</f>
        <v/>
      </c>
      <c r="E865" s="7" t="str">
        <f>IF('Port Bloomberg'!E865="","",'Port Bloomberg'!E865)</f>
        <v/>
      </c>
      <c r="F865" s="7" t="str">
        <f>IF('Port Bloomberg'!F865="","",'Port Bloomberg'!F865)</f>
        <v/>
      </c>
      <c r="G865" s="7" t="str">
        <f>IF('Port Bloomberg'!G865="","",'Port Bloomberg'!G865)</f>
        <v/>
      </c>
      <c r="H865" s="7" t="str">
        <f>IF('Port Bloomberg'!H865="","",'Port Bloomberg'!H865)</f>
        <v/>
      </c>
      <c r="I865" s="7" t="str">
        <f>IF('Port Bloomberg'!I865="","",'Port Bloomberg'!I865)</f>
        <v/>
      </c>
      <c r="J865" s="7" t="str">
        <f>IF('Port Bloomberg'!J865="","",'Port Bloomberg'!J865)</f>
        <v/>
      </c>
      <c r="K865" s="7" t="str">
        <f>IF('Port Bloomberg'!K865="","",'Port Bloomberg'!K865)</f>
        <v/>
      </c>
      <c r="L865" s="7" t="str">
        <f>IF('Port Bloomberg'!L865="","",'Port Bloomberg'!L865)</f>
        <v/>
      </c>
      <c r="M865" s="7" t="str">
        <f>IF('Port Bloomberg'!M865="","",'Port Bloomberg'!M865)</f>
        <v/>
      </c>
      <c r="N865" s="7" t="str">
        <f>IF('Port Bloomberg'!N865="","",'Port Bloomberg'!N865)</f>
        <v/>
      </c>
      <c r="O865" s="7" t="str">
        <f>IF('Port Bloomberg'!O865="","",'Port Bloomberg'!O865)</f>
        <v/>
      </c>
      <c r="P865" s="7" t="str">
        <f>IF('Port Bloomberg'!P865="","",'Port Bloomberg'!P865)</f>
        <v/>
      </c>
      <c r="Q865" s="7" t="str">
        <f>IF('Port Bloomberg'!Q865="","",'Port Bloomberg'!Q865)</f>
        <v/>
      </c>
      <c r="R865" s="7" t="str">
        <f>IF('Port Bloomberg'!R865="","",'Port Bloomberg'!R865)</f>
        <v/>
      </c>
      <c r="S865" s="5" t="str">
        <f>IF(E865="","",IFERROR(IF(MATCH(E865,[1]Instrumentos!$D:$D,0)&gt;0,1,0),0))</f>
        <v/>
      </c>
      <c r="T865" s="5" t="str">
        <f>IF(E865="","",IFERROR(IF(MATCH(E865,'Lista de excepciones'!$E:$E,0)&gt;0,1,0),0))</f>
        <v/>
      </c>
      <c r="U865" s="6" t="str">
        <f t="shared" si="14"/>
        <v/>
      </c>
    </row>
    <row r="866" spans="1:21" hidden="1" x14ac:dyDescent="0.25">
      <c r="A866" s="7" t="str">
        <f>IF('Port Bloomberg'!A866="","",'Port Bloomberg'!A866)</f>
        <v/>
      </c>
      <c r="B866" s="7" t="str">
        <f>IF('Port Bloomberg'!B866="","",'Port Bloomberg'!B866)</f>
        <v/>
      </c>
      <c r="C866" s="7" t="str">
        <f>IF('Port Bloomberg'!C866="","",'Port Bloomberg'!C866)</f>
        <v/>
      </c>
      <c r="D866" s="7" t="str">
        <f>IF('Port Bloomberg'!D866="","",'Port Bloomberg'!D866)</f>
        <v/>
      </c>
      <c r="E866" s="7" t="str">
        <f>IF('Port Bloomberg'!E866="","",'Port Bloomberg'!E866)</f>
        <v/>
      </c>
      <c r="F866" s="7" t="str">
        <f>IF('Port Bloomberg'!F866="","",'Port Bloomberg'!F866)</f>
        <v/>
      </c>
      <c r="G866" s="7" t="str">
        <f>IF('Port Bloomberg'!G866="","",'Port Bloomberg'!G866)</f>
        <v/>
      </c>
      <c r="H866" s="7" t="str">
        <f>IF('Port Bloomberg'!H866="","",'Port Bloomberg'!H866)</f>
        <v/>
      </c>
      <c r="I866" s="7" t="str">
        <f>IF('Port Bloomberg'!I866="","",'Port Bloomberg'!I866)</f>
        <v/>
      </c>
      <c r="J866" s="7" t="str">
        <f>IF('Port Bloomberg'!J866="","",'Port Bloomberg'!J866)</f>
        <v/>
      </c>
      <c r="K866" s="7" t="str">
        <f>IF('Port Bloomberg'!K866="","",'Port Bloomberg'!K866)</f>
        <v/>
      </c>
      <c r="L866" s="7" t="str">
        <f>IF('Port Bloomberg'!L866="","",'Port Bloomberg'!L866)</f>
        <v/>
      </c>
      <c r="M866" s="7" t="str">
        <f>IF('Port Bloomberg'!M866="","",'Port Bloomberg'!M866)</f>
        <v/>
      </c>
      <c r="N866" s="7" t="str">
        <f>IF('Port Bloomberg'!N866="","",'Port Bloomberg'!N866)</f>
        <v/>
      </c>
      <c r="O866" s="7" t="str">
        <f>IF('Port Bloomberg'!O866="","",'Port Bloomberg'!O866)</f>
        <v/>
      </c>
      <c r="P866" s="7" t="str">
        <f>IF('Port Bloomberg'!P866="","",'Port Bloomberg'!P866)</f>
        <v/>
      </c>
      <c r="Q866" s="7" t="str">
        <f>IF('Port Bloomberg'!Q866="","",'Port Bloomberg'!Q866)</f>
        <v/>
      </c>
      <c r="R866" s="7" t="str">
        <f>IF('Port Bloomberg'!R866="","",'Port Bloomberg'!R866)</f>
        <v/>
      </c>
      <c r="S866" s="5" t="str">
        <f>IF(E866="","",IFERROR(IF(MATCH(E866,[1]Instrumentos!$D:$D,0)&gt;0,1,0),0))</f>
        <v/>
      </c>
      <c r="T866" s="5" t="str">
        <f>IF(E866="","",IFERROR(IF(MATCH(E866,'Lista de excepciones'!$E:$E,0)&gt;0,1,0),0))</f>
        <v/>
      </c>
      <c r="U866" s="6" t="str">
        <f t="shared" si="14"/>
        <v/>
      </c>
    </row>
    <row r="867" spans="1:21" hidden="1" x14ac:dyDescent="0.25">
      <c r="A867" s="7" t="str">
        <f>IF('Port Bloomberg'!A867="","",'Port Bloomberg'!A867)</f>
        <v/>
      </c>
      <c r="B867" s="7" t="str">
        <f>IF('Port Bloomberg'!B867="","",'Port Bloomberg'!B867)</f>
        <v/>
      </c>
      <c r="C867" s="7" t="str">
        <f>IF('Port Bloomberg'!C867="","",'Port Bloomberg'!C867)</f>
        <v/>
      </c>
      <c r="D867" s="7" t="str">
        <f>IF('Port Bloomberg'!D867="","",'Port Bloomberg'!D867)</f>
        <v/>
      </c>
      <c r="E867" s="7" t="str">
        <f>IF('Port Bloomberg'!E867="","",'Port Bloomberg'!E867)</f>
        <v/>
      </c>
      <c r="F867" s="7" t="str">
        <f>IF('Port Bloomberg'!F867="","",'Port Bloomberg'!F867)</f>
        <v/>
      </c>
      <c r="G867" s="7" t="str">
        <f>IF('Port Bloomberg'!G867="","",'Port Bloomberg'!G867)</f>
        <v/>
      </c>
      <c r="H867" s="7" t="str">
        <f>IF('Port Bloomberg'!H867="","",'Port Bloomberg'!H867)</f>
        <v/>
      </c>
      <c r="I867" s="7" t="str">
        <f>IF('Port Bloomberg'!I867="","",'Port Bloomberg'!I867)</f>
        <v/>
      </c>
      <c r="J867" s="7" t="str">
        <f>IF('Port Bloomberg'!J867="","",'Port Bloomberg'!J867)</f>
        <v/>
      </c>
      <c r="K867" s="7" t="str">
        <f>IF('Port Bloomberg'!K867="","",'Port Bloomberg'!K867)</f>
        <v/>
      </c>
      <c r="L867" s="7" t="str">
        <f>IF('Port Bloomberg'!L867="","",'Port Bloomberg'!L867)</f>
        <v/>
      </c>
      <c r="M867" s="7" t="str">
        <f>IF('Port Bloomberg'!M867="","",'Port Bloomberg'!M867)</f>
        <v/>
      </c>
      <c r="N867" s="7" t="str">
        <f>IF('Port Bloomberg'!N867="","",'Port Bloomberg'!N867)</f>
        <v/>
      </c>
      <c r="O867" s="7" t="str">
        <f>IF('Port Bloomberg'!O867="","",'Port Bloomberg'!O867)</f>
        <v/>
      </c>
      <c r="P867" s="7" t="str">
        <f>IF('Port Bloomberg'!P867="","",'Port Bloomberg'!P867)</f>
        <v/>
      </c>
      <c r="Q867" s="7" t="str">
        <f>IF('Port Bloomberg'!Q867="","",'Port Bloomberg'!Q867)</f>
        <v/>
      </c>
      <c r="R867" s="7" t="str">
        <f>IF('Port Bloomberg'!R867="","",'Port Bloomberg'!R867)</f>
        <v/>
      </c>
      <c r="S867" s="5" t="str">
        <f>IF(E867="","",IFERROR(IF(MATCH(E867,[1]Instrumentos!$D:$D,0)&gt;0,1,0),0))</f>
        <v/>
      </c>
      <c r="T867" s="5" t="str">
        <f>IF(E867="","",IFERROR(IF(MATCH(E867,'Lista de excepciones'!$E:$E,0)&gt;0,1,0),0))</f>
        <v/>
      </c>
      <c r="U867" s="6" t="str">
        <f t="shared" si="14"/>
        <v/>
      </c>
    </row>
    <row r="868" spans="1:21" hidden="1" x14ac:dyDescent="0.25">
      <c r="A868" s="7" t="str">
        <f>IF('Port Bloomberg'!A868="","",'Port Bloomberg'!A868)</f>
        <v/>
      </c>
      <c r="B868" s="7" t="str">
        <f>IF('Port Bloomberg'!B868="","",'Port Bloomberg'!B868)</f>
        <v/>
      </c>
      <c r="C868" s="7" t="str">
        <f>IF('Port Bloomberg'!C868="","",'Port Bloomberg'!C868)</f>
        <v/>
      </c>
      <c r="D868" s="7" t="str">
        <f>IF('Port Bloomberg'!D868="","",'Port Bloomberg'!D868)</f>
        <v/>
      </c>
      <c r="E868" s="7" t="str">
        <f>IF('Port Bloomberg'!E868="","",'Port Bloomberg'!E868)</f>
        <v/>
      </c>
      <c r="F868" s="7" t="str">
        <f>IF('Port Bloomberg'!F868="","",'Port Bloomberg'!F868)</f>
        <v/>
      </c>
      <c r="G868" s="7" t="str">
        <f>IF('Port Bloomberg'!G868="","",'Port Bloomberg'!G868)</f>
        <v/>
      </c>
      <c r="H868" s="7" t="str">
        <f>IF('Port Bloomberg'!H868="","",'Port Bloomberg'!H868)</f>
        <v/>
      </c>
      <c r="I868" s="7" t="str">
        <f>IF('Port Bloomberg'!I868="","",'Port Bloomberg'!I868)</f>
        <v/>
      </c>
      <c r="J868" s="7" t="str">
        <f>IF('Port Bloomberg'!J868="","",'Port Bloomberg'!J868)</f>
        <v/>
      </c>
      <c r="K868" s="7" t="str">
        <f>IF('Port Bloomberg'!K868="","",'Port Bloomberg'!K868)</f>
        <v/>
      </c>
      <c r="L868" s="7" t="str">
        <f>IF('Port Bloomberg'!L868="","",'Port Bloomberg'!L868)</f>
        <v/>
      </c>
      <c r="M868" s="7" t="str">
        <f>IF('Port Bloomberg'!M868="","",'Port Bloomberg'!M868)</f>
        <v/>
      </c>
      <c r="N868" s="7" t="str">
        <f>IF('Port Bloomberg'!N868="","",'Port Bloomberg'!N868)</f>
        <v/>
      </c>
      <c r="O868" s="7" t="str">
        <f>IF('Port Bloomberg'!O868="","",'Port Bloomberg'!O868)</f>
        <v/>
      </c>
      <c r="P868" s="7" t="str">
        <f>IF('Port Bloomberg'!P868="","",'Port Bloomberg'!P868)</f>
        <v/>
      </c>
      <c r="Q868" s="7" t="str">
        <f>IF('Port Bloomberg'!Q868="","",'Port Bloomberg'!Q868)</f>
        <v/>
      </c>
      <c r="R868" s="7" t="str">
        <f>IF('Port Bloomberg'!R868="","",'Port Bloomberg'!R868)</f>
        <v/>
      </c>
      <c r="S868" s="5" t="str">
        <f>IF(E868="","",IFERROR(IF(MATCH(E868,[1]Instrumentos!$D:$D,0)&gt;0,1,0),0))</f>
        <v/>
      </c>
      <c r="T868" s="5" t="str">
        <f>IF(E868="","",IFERROR(IF(MATCH(E868,'Lista de excepciones'!$E:$E,0)&gt;0,1,0),0))</f>
        <v/>
      </c>
      <c r="U868" s="6" t="str">
        <f t="shared" si="14"/>
        <v/>
      </c>
    </row>
    <row r="869" spans="1:21" hidden="1" x14ac:dyDescent="0.25">
      <c r="A869" s="7" t="str">
        <f>IF('Port Bloomberg'!A869="","",'Port Bloomberg'!A869)</f>
        <v/>
      </c>
      <c r="B869" s="7" t="str">
        <f>IF('Port Bloomberg'!B869="","",'Port Bloomberg'!B869)</f>
        <v/>
      </c>
      <c r="C869" s="7" t="str">
        <f>IF('Port Bloomberg'!C869="","",'Port Bloomberg'!C869)</f>
        <v/>
      </c>
      <c r="D869" s="7" t="str">
        <f>IF('Port Bloomberg'!D869="","",'Port Bloomberg'!D869)</f>
        <v/>
      </c>
      <c r="E869" s="7" t="str">
        <f>IF('Port Bloomberg'!E869="","",'Port Bloomberg'!E869)</f>
        <v/>
      </c>
      <c r="F869" s="7" t="str">
        <f>IF('Port Bloomberg'!F869="","",'Port Bloomberg'!F869)</f>
        <v/>
      </c>
      <c r="G869" s="7" t="str">
        <f>IF('Port Bloomberg'!G869="","",'Port Bloomberg'!G869)</f>
        <v/>
      </c>
      <c r="H869" s="7" t="str">
        <f>IF('Port Bloomberg'!H869="","",'Port Bloomberg'!H869)</f>
        <v/>
      </c>
      <c r="I869" s="7" t="str">
        <f>IF('Port Bloomberg'!I869="","",'Port Bloomberg'!I869)</f>
        <v/>
      </c>
      <c r="J869" s="7" t="str">
        <f>IF('Port Bloomberg'!J869="","",'Port Bloomberg'!J869)</f>
        <v/>
      </c>
      <c r="K869" s="7" t="str">
        <f>IF('Port Bloomberg'!K869="","",'Port Bloomberg'!K869)</f>
        <v/>
      </c>
      <c r="L869" s="7" t="str">
        <f>IF('Port Bloomberg'!L869="","",'Port Bloomberg'!L869)</f>
        <v/>
      </c>
      <c r="M869" s="7" t="str">
        <f>IF('Port Bloomberg'!M869="","",'Port Bloomberg'!M869)</f>
        <v/>
      </c>
      <c r="N869" s="7" t="str">
        <f>IF('Port Bloomberg'!N869="","",'Port Bloomberg'!N869)</f>
        <v/>
      </c>
      <c r="O869" s="7" t="str">
        <f>IF('Port Bloomberg'!O869="","",'Port Bloomberg'!O869)</f>
        <v/>
      </c>
      <c r="P869" s="7" t="str">
        <f>IF('Port Bloomberg'!P869="","",'Port Bloomberg'!P869)</f>
        <v/>
      </c>
      <c r="Q869" s="7" t="str">
        <f>IF('Port Bloomberg'!Q869="","",'Port Bloomberg'!Q869)</f>
        <v/>
      </c>
      <c r="R869" s="7" t="str">
        <f>IF('Port Bloomberg'!R869="","",'Port Bloomberg'!R869)</f>
        <v/>
      </c>
      <c r="S869" s="5" t="str">
        <f>IF(E869="","",IFERROR(IF(MATCH(E869,[1]Instrumentos!$D:$D,0)&gt;0,1,0),0))</f>
        <v/>
      </c>
      <c r="T869" s="5" t="str">
        <f>IF(E869="","",IFERROR(IF(MATCH(E869,'Lista de excepciones'!$E:$E,0)&gt;0,1,0),0))</f>
        <v/>
      </c>
      <c r="U869" s="6" t="str">
        <f t="shared" si="14"/>
        <v/>
      </c>
    </row>
    <row r="870" spans="1:21" hidden="1" x14ac:dyDescent="0.25">
      <c r="A870" s="7" t="str">
        <f>IF('Port Bloomberg'!A870="","",'Port Bloomberg'!A870)</f>
        <v/>
      </c>
      <c r="B870" s="7" t="str">
        <f>IF('Port Bloomberg'!B870="","",'Port Bloomberg'!B870)</f>
        <v/>
      </c>
      <c r="C870" s="7" t="str">
        <f>IF('Port Bloomberg'!C870="","",'Port Bloomberg'!C870)</f>
        <v/>
      </c>
      <c r="D870" s="7" t="str">
        <f>IF('Port Bloomberg'!D870="","",'Port Bloomberg'!D870)</f>
        <v/>
      </c>
      <c r="E870" s="7" t="str">
        <f>IF('Port Bloomberg'!E870="","",'Port Bloomberg'!E870)</f>
        <v/>
      </c>
      <c r="F870" s="7" t="str">
        <f>IF('Port Bloomberg'!F870="","",'Port Bloomberg'!F870)</f>
        <v/>
      </c>
      <c r="G870" s="7" t="str">
        <f>IF('Port Bloomberg'!G870="","",'Port Bloomberg'!G870)</f>
        <v/>
      </c>
      <c r="H870" s="7" t="str">
        <f>IF('Port Bloomberg'!H870="","",'Port Bloomberg'!H870)</f>
        <v/>
      </c>
      <c r="I870" s="7" t="str">
        <f>IF('Port Bloomberg'!I870="","",'Port Bloomberg'!I870)</f>
        <v/>
      </c>
      <c r="J870" s="7" t="str">
        <f>IF('Port Bloomberg'!J870="","",'Port Bloomberg'!J870)</f>
        <v/>
      </c>
      <c r="K870" s="7" t="str">
        <f>IF('Port Bloomberg'!K870="","",'Port Bloomberg'!K870)</f>
        <v/>
      </c>
      <c r="L870" s="7" t="str">
        <f>IF('Port Bloomberg'!L870="","",'Port Bloomberg'!L870)</f>
        <v/>
      </c>
      <c r="M870" s="7" t="str">
        <f>IF('Port Bloomberg'!M870="","",'Port Bloomberg'!M870)</f>
        <v/>
      </c>
      <c r="N870" s="7" t="str">
        <f>IF('Port Bloomberg'!N870="","",'Port Bloomberg'!N870)</f>
        <v/>
      </c>
      <c r="O870" s="7" t="str">
        <f>IF('Port Bloomberg'!O870="","",'Port Bloomberg'!O870)</f>
        <v/>
      </c>
      <c r="P870" s="7" t="str">
        <f>IF('Port Bloomberg'!P870="","",'Port Bloomberg'!P870)</f>
        <v/>
      </c>
      <c r="Q870" s="7" t="str">
        <f>IF('Port Bloomberg'!Q870="","",'Port Bloomberg'!Q870)</f>
        <v/>
      </c>
      <c r="R870" s="7" t="str">
        <f>IF('Port Bloomberg'!R870="","",'Port Bloomberg'!R870)</f>
        <v/>
      </c>
      <c r="S870" s="5" t="str">
        <f>IF(E870="","",IFERROR(IF(MATCH(E870,[1]Instrumentos!$D:$D,0)&gt;0,1,0),0))</f>
        <v/>
      </c>
      <c r="T870" s="5" t="str">
        <f>IF(E870="","",IFERROR(IF(MATCH(E870,'Lista de excepciones'!$E:$E,0)&gt;0,1,0),0))</f>
        <v/>
      </c>
      <c r="U870" s="6" t="str">
        <f t="shared" si="14"/>
        <v/>
      </c>
    </row>
    <row r="871" spans="1:21" hidden="1" x14ac:dyDescent="0.25">
      <c r="A871" s="7" t="str">
        <f>IF('Port Bloomberg'!A871="","",'Port Bloomberg'!A871)</f>
        <v/>
      </c>
      <c r="B871" s="7" t="str">
        <f>IF('Port Bloomberg'!B871="","",'Port Bloomberg'!B871)</f>
        <v/>
      </c>
      <c r="C871" s="7" t="str">
        <f>IF('Port Bloomberg'!C871="","",'Port Bloomberg'!C871)</f>
        <v/>
      </c>
      <c r="D871" s="7" t="str">
        <f>IF('Port Bloomberg'!D871="","",'Port Bloomberg'!D871)</f>
        <v/>
      </c>
      <c r="E871" s="7" t="str">
        <f>IF('Port Bloomberg'!E871="","",'Port Bloomberg'!E871)</f>
        <v/>
      </c>
      <c r="F871" s="7" t="str">
        <f>IF('Port Bloomberg'!F871="","",'Port Bloomberg'!F871)</f>
        <v/>
      </c>
      <c r="G871" s="7" t="str">
        <f>IF('Port Bloomberg'!G871="","",'Port Bloomberg'!G871)</f>
        <v/>
      </c>
      <c r="H871" s="7" t="str">
        <f>IF('Port Bloomberg'!H871="","",'Port Bloomberg'!H871)</f>
        <v/>
      </c>
      <c r="I871" s="7" t="str">
        <f>IF('Port Bloomberg'!I871="","",'Port Bloomberg'!I871)</f>
        <v/>
      </c>
      <c r="J871" s="7" t="str">
        <f>IF('Port Bloomberg'!J871="","",'Port Bloomberg'!J871)</f>
        <v/>
      </c>
      <c r="K871" s="7" t="str">
        <f>IF('Port Bloomberg'!K871="","",'Port Bloomberg'!K871)</f>
        <v/>
      </c>
      <c r="L871" s="7" t="str">
        <f>IF('Port Bloomberg'!L871="","",'Port Bloomberg'!L871)</f>
        <v/>
      </c>
      <c r="M871" s="7" t="str">
        <f>IF('Port Bloomberg'!M871="","",'Port Bloomberg'!M871)</f>
        <v/>
      </c>
      <c r="N871" s="7" t="str">
        <f>IF('Port Bloomberg'!N871="","",'Port Bloomberg'!N871)</f>
        <v/>
      </c>
      <c r="O871" s="7" t="str">
        <f>IF('Port Bloomberg'!O871="","",'Port Bloomberg'!O871)</f>
        <v/>
      </c>
      <c r="P871" s="7" t="str">
        <f>IF('Port Bloomberg'!P871="","",'Port Bloomberg'!P871)</f>
        <v/>
      </c>
      <c r="Q871" s="7" t="str">
        <f>IF('Port Bloomberg'!Q871="","",'Port Bloomberg'!Q871)</f>
        <v/>
      </c>
      <c r="R871" s="7" t="str">
        <f>IF('Port Bloomberg'!R871="","",'Port Bloomberg'!R871)</f>
        <v/>
      </c>
      <c r="S871" s="5" t="str">
        <f>IF(E871="","",IFERROR(IF(MATCH(E871,[1]Instrumentos!$D:$D,0)&gt;0,1,0),0))</f>
        <v/>
      </c>
      <c r="T871" s="5" t="str">
        <f>IF(E871="","",IFERROR(IF(MATCH(E871,'Lista de excepciones'!$E:$E,0)&gt;0,1,0),0))</f>
        <v/>
      </c>
      <c r="U871" s="6" t="str">
        <f t="shared" si="14"/>
        <v/>
      </c>
    </row>
    <row r="872" spans="1:21" hidden="1" x14ac:dyDescent="0.25">
      <c r="A872" s="7" t="str">
        <f>IF('Port Bloomberg'!A872="","",'Port Bloomberg'!A872)</f>
        <v/>
      </c>
      <c r="B872" s="7" t="str">
        <f>IF('Port Bloomberg'!B872="","",'Port Bloomberg'!B872)</f>
        <v/>
      </c>
      <c r="C872" s="7" t="str">
        <f>IF('Port Bloomberg'!C872="","",'Port Bloomberg'!C872)</f>
        <v/>
      </c>
      <c r="D872" s="7" t="str">
        <f>IF('Port Bloomberg'!D872="","",'Port Bloomberg'!D872)</f>
        <v/>
      </c>
      <c r="E872" s="7" t="str">
        <f>IF('Port Bloomberg'!E872="","",'Port Bloomberg'!E872)</f>
        <v/>
      </c>
      <c r="F872" s="7" t="str">
        <f>IF('Port Bloomberg'!F872="","",'Port Bloomberg'!F872)</f>
        <v/>
      </c>
      <c r="G872" s="7" t="str">
        <f>IF('Port Bloomberg'!G872="","",'Port Bloomberg'!G872)</f>
        <v/>
      </c>
      <c r="H872" s="7" t="str">
        <f>IF('Port Bloomberg'!H872="","",'Port Bloomberg'!H872)</f>
        <v/>
      </c>
      <c r="I872" s="7" t="str">
        <f>IF('Port Bloomberg'!I872="","",'Port Bloomberg'!I872)</f>
        <v/>
      </c>
      <c r="J872" s="7" t="str">
        <f>IF('Port Bloomberg'!J872="","",'Port Bloomberg'!J872)</f>
        <v/>
      </c>
      <c r="K872" s="7" t="str">
        <f>IF('Port Bloomberg'!K872="","",'Port Bloomberg'!K872)</f>
        <v/>
      </c>
      <c r="L872" s="7" t="str">
        <f>IF('Port Bloomberg'!L872="","",'Port Bloomberg'!L872)</f>
        <v/>
      </c>
      <c r="M872" s="7" t="str">
        <f>IF('Port Bloomberg'!M872="","",'Port Bloomberg'!M872)</f>
        <v/>
      </c>
      <c r="N872" s="7" t="str">
        <f>IF('Port Bloomberg'!N872="","",'Port Bloomberg'!N872)</f>
        <v/>
      </c>
      <c r="O872" s="7" t="str">
        <f>IF('Port Bloomberg'!O872="","",'Port Bloomberg'!O872)</f>
        <v/>
      </c>
      <c r="P872" s="7" t="str">
        <f>IF('Port Bloomberg'!P872="","",'Port Bloomberg'!P872)</f>
        <v/>
      </c>
      <c r="Q872" s="7" t="str">
        <f>IF('Port Bloomberg'!Q872="","",'Port Bloomberg'!Q872)</f>
        <v/>
      </c>
      <c r="R872" s="7" t="str">
        <f>IF('Port Bloomberg'!R872="","",'Port Bloomberg'!R872)</f>
        <v/>
      </c>
      <c r="S872" s="5" t="str">
        <f>IF(E872="","",IFERROR(IF(MATCH(E872,[1]Instrumentos!$D:$D,0)&gt;0,1,0),0))</f>
        <v/>
      </c>
      <c r="T872" s="5" t="str">
        <f>IF(E872="","",IFERROR(IF(MATCH(E872,'Lista de excepciones'!$E:$E,0)&gt;0,1,0),0))</f>
        <v/>
      </c>
      <c r="U872" s="6" t="str">
        <f t="shared" si="14"/>
        <v/>
      </c>
    </row>
    <row r="873" spans="1:21" hidden="1" x14ac:dyDescent="0.25">
      <c r="A873" s="7" t="str">
        <f>IF('Port Bloomberg'!A873="","",'Port Bloomberg'!A873)</f>
        <v/>
      </c>
      <c r="B873" s="7" t="str">
        <f>IF('Port Bloomberg'!B873="","",'Port Bloomberg'!B873)</f>
        <v/>
      </c>
      <c r="C873" s="7" t="str">
        <f>IF('Port Bloomberg'!C873="","",'Port Bloomberg'!C873)</f>
        <v/>
      </c>
      <c r="D873" s="7" t="str">
        <f>IF('Port Bloomberg'!D873="","",'Port Bloomberg'!D873)</f>
        <v/>
      </c>
      <c r="E873" s="7" t="str">
        <f>IF('Port Bloomberg'!E873="","",'Port Bloomberg'!E873)</f>
        <v/>
      </c>
      <c r="F873" s="7" t="str">
        <f>IF('Port Bloomberg'!F873="","",'Port Bloomberg'!F873)</f>
        <v/>
      </c>
      <c r="G873" s="7" t="str">
        <f>IF('Port Bloomberg'!G873="","",'Port Bloomberg'!G873)</f>
        <v/>
      </c>
      <c r="H873" s="7" t="str">
        <f>IF('Port Bloomberg'!H873="","",'Port Bloomberg'!H873)</f>
        <v/>
      </c>
      <c r="I873" s="7" t="str">
        <f>IF('Port Bloomberg'!I873="","",'Port Bloomberg'!I873)</f>
        <v/>
      </c>
      <c r="J873" s="7" t="str">
        <f>IF('Port Bloomberg'!J873="","",'Port Bloomberg'!J873)</f>
        <v/>
      </c>
      <c r="K873" s="7" t="str">
        <f>IF('Port Bloomberg'!K873="","",'Port Bloomberg'!K873)</f>
        <v/>
      </c>
      <c r="L873" s="7" t="str">
        <f>IF('Port Bloomberg'!L873="","",'Port Bloomberg'!L873)</f>
        <v/>
      </c>
      <c r="M873" s="7" t="str">
        <f>IF('Port Bloomberg'!M873="","",'Port Bloomberg'!M873)</f>
        <v/>
      </c>
      <c r="N873" s="7" t="str">
        <f>IF('Port Bloomberg'!N873="","",'Port Bloomberg'!N873)</f>
        <v/>
      </c>
      <c r="O873" s="7" t="str">
        <f>IF('Port Bloomberg'!O873="","",'Port Bloomberg'!O873)</f>
        <v/>
      </c>
      <c r="P873" s="7" t="str">
        <f>IF('Port Bloomberg'!P873="","",'Port Bloomberg'!P873)</f>
        <v/>
      </c>
      <c r="Q873" s="7" t="str">
        <f>IF('Port Bloomberg'!Q873="","",'Port Bloomberg'!Q873)</f>
        <v/>
      </c>
      <c r="R873" s="7" t="str">
        <f>IF('Port Bloomberg'!R873="","",'Port Bloomberg'!R873)</f>
        <v/>
      </c>
      <c r="S873" s="5" t="str">
        <f>IF(E873="","",IFERROR(IF(MATCH(E873,[1]Instrumentos!$D:$D,0)&gt;0,1,0),0))</f>
        <v/>
      </c>
      <c r="T873" s="5" t="str">
        <f>IF(E873="","",IFERROR(IF(MATCH(E873,'Lista de excepciones'!$E:$E,0)&gt;0,1,0),0))</f>
        <v/>
      </c>
      <c r="U873" s="6" t="str">
        <f t="shared" si="14"/>
        <v/>
      </c>
    </row>
    <row r="874" spans="1:21" hidden="1" x14ac:dyDescent="0.25">
      <c r="A874" s="7" t="str">
        <f>IF('Port Bloomberg'!A874="","",'Port Bloomberg'!A874)</f>
        <v/>
      </c>
      <c r="B874" s="7" t="str">
        <f>IF('Port Bloomberg'!B874="","",'Port Bloomberg'!B874)</f>
        <v/>
      </c>
      <c r="C874" s="7" t="str">
        <f>IF('Port Bloomberg'!C874="","",'Port Bloomberg'!C874)</f>
        <v/>
      </c>
      <c r="D874" s="7" t="str">
        <f>IF('Port Bloomberg'!D874="","",'Port Bloomberg'!D874)</f>
        <v/>
      </c>
      <c r="E874" s="7" t="str">
        <f>IF('Port Bloomberg'!E874="","",'Port Bloomberg'!E874)</f>
        <v/>
      </c>
      <c r="F874" s="7" t="str">
        <f>IF('Port Bloomberg'!F874="","",'Port Bloomberg'!F874)</f>
        <v/>
      </c>
      <c r="G874" s="7" t="str">
        <f>IF('Port Bloomberg'!G874="","",'Port Bloomberg'!G874)</f>
        <v/>
      </c>
      <c r="H874" s="7" t="str">
        <f>IF('Port Bloomberg'!H874="","",'Port Bloomberg'!H874)</f>
        <v/>
      </c>
      <c r="I874" s="7" t="str">
        <f>IF('Port Bloomberg'!I874="","",'Port Bloomberg'!I874)</f>
        <v/>
      </c>
      <c r="J874" s="7" t="str">
        <f>IF('Port Bloomberg'!J874="","",'Port Bloomberg'!J874)</f>
        <v/>
      </c>
      <c r="K874" s="7" t="str">
        <f>IF('Port Bloomberg'!K874="","",'Port Bloomberg'!K874)</f>
        <v/>
      </c>
      <c r="L874" s="7" t="str">
        <f>IF('Port Bloomberg'!L874="","",'Port Bloomberg'!L874)</f>
        <v/>
      </c>
      <c r="M874" s="7" t="str">
        <f>IF('Port Bloomberg'!M874="","",'Port Bloomberg'!M874)</f>
        <v/>
      </c>
      <c r="N874" s="7" t="str">
        <f>IF('Port Bloomberg'!N874="","",'Port Bloomberg'!N874)</f>
        <v/>
      </c>
      <c r="O874" s="7" t="str">
        <f>IF('Port Bloomberg'!O874="","",'Port Bloomberg'!O874)</f>
        <v/>
      </c>
      <c r="P874" s="7" t="str">
        <f>IF('Port Bloomberg'!P874="","",'Port Bloomberg'!P874)</f>
        <v/>
      </c>
      <c r="Q874" s="7" t="str">
        <f>IF('Port Bloomberg'!Q874="","",'Port Bloomberg'!Q874)</f>
        <v/>
      </c>
      <c r="R874" s="7" t="str">
        <f>IF('Port Bloomberg'!R874="","",'Port Bloomberg'!R874)</f>
        <v/>
      </c>
      <c r="S874" s="5" t="str">
        <f>IF(E874="","",IFERROR(IF(MATCH(E874,[1]Instrumentos!$D:$D,0)&gt;0,1,0),0))</f>
        <v/>
      </c>
      <c r="T874" s="5" t="str">
        <f>IF(E874="","",IFERROR(IF(MATCH(E874,'Lista de excepciones'!$E:$E,0)&gt;0,1,0),0))</f>
        <v/>
      </c>
      <c r="U874" s="6" t="str">
        <f t="shared" si="14"/>
        <v/>
      </c>
    </row>
    <row r="875" spans="1:21" hidden="1" x14ac:dyDescent="0.25">
      <c r="A875" s="7" t="str">
        <f>IF('Port Bloomberg'!A875="","",'Port Bloomberg'!A875)</f>
        <v/>
      </c>
      <c r="B875" s="7" t="str">
        <f>IF('Port Bloomberg'!B875="","",'Port Bloomberg'!B875)</f>
        <v/>
      </c>
      <c r="C875" s="7" t="str">
        <f>IF('Port Bloomberg'!C875="","",'Port Bloomberg'!C875)</f>
        <v/>
      </c>
      <c r="D875" s="7" t="str">
        <f>IF('Port Bloomberg'!D875="","",'Port Bloomberg'!D875)</f>
        <v/>
      </c>
      <c r="E875" s="7" t="str">
        <f>IF('Port Bloomberg'!E875="","",'Port Bloomberg'!E875)</f>
        <v/>
      </c>
      <c r="F875" s="7" t="str">
        <f>IF('Port Bloomberg'!F875="","",'Port Bloomberg'!F875)</f>
        <v/>
      </c>
      <c r="G875" s="7" t="str">
        <f>IF('Port Bloomberg'!G875="","",'Port Bloomberg'!G875)</f>
        <v/>
      </c>
      <c r="H875" s="7" t="str">
        <f>IF('Port Bloomberg'!H875="","",'Port Bloomberg'!H875)</f>
        <v/>
      </c>
      <c r="I875" s="7" t="str">
        <f>IF('Port Bloomberg'!I875="","",'Port Bloomberg'!I875)</f>
        <v/>
      </c>
      <c r="J875" s="7" t="str">
        <f>IF('Port Bloomberg'!J875="","",'Port Bloomberg'!J875)</f>
        <v/>
      </c>
      <c r="K875" s="7" t="str">
        <f>IF('Port Bloomberg'!K875="","",'Port Bloomberg'!K875)</f>
        <v/>
      </c>
      <c r="L875" s="7" t="str">
        <f>IF('Port Bloomberg'!L875="","",'Port Bloomberg'!L875)</f>
        <v/>
      </c>
      <c r="M875" s="7" t="str">
        <f>IF('Port Bloomberg'!M875="","",'Port Bloomberg'!M875)</f>
        <v/>
      </c>
      <c r="N875" s="7" t="str">
        <f>IF('Port Bloomberg'!N875="","",'Port Bloomberg'!N875)</f>
        <v/>
      </c>
      <c r="O875" s="7" t="str">
        <f>IF('Port Bloomberg'!O875="","",'Port Bloomberg'!O875)</f>
        <v/>
      </c>
      <c r="P875" s="7" t="str">
        <f>IF('Port Bloomberg'!P875="","",'Port Bloomberg'!P875)</f>
        <v/>
      </c>
      <c r="Q875" s="7" t="str">
        <f>IF('Port Bloomberg'!Q875="","",'Port Bloomberg'!Q875)</f>
        <v/>
      </c>
      <c r="R875" s="7" t="str">
        <f>IF('Port Bloomberg'!R875="","",'Port Bloomberg'!R875)</f>
        <v/>
      </c>
      <c r="S875" s="5" t="str">
        <f>IF(E875="","",IFERROR(IF(MATCH(E875,[1]Instrumentos!$D:$D,0)&gt;0,1,0),0))</f>
        <v/>
      </c>
      <c r="T875" s="5" t="str">
        <f>IF(E875="","",IFERROR(IF(MATCH(E875,'Lista de excepciones'!$E:$E,0)&gt;0,1,0),0))</f>
        <v/>
      </c>
      <c r="U875" s="6" t="str">
        <f t="shared" si="14"/>
        <v/>
      </c>
    </row>
    <row r="876" spans="1:21" hidden="1" x14ac:dyDescent="0.25">
      <c r="A876" s="7" t="str">
        <f>IF('Port Bloomberg'!A876="","",'Port Bloomberg'!A876)</f>
        <v/>
      </c>
      <c r="B876" s="7" t="str">
        <f>IF('Port Bloomberg'!B876="","",'Port Bloomberg'!B876)</f>
        <v/>
      </c>
      <c r="C876" s="7" t="str">
        <f>IF('Port Bloomberg'!C876="","",'Port Bloomberg'!C876)</f>
        <v/>
      </c>
      <c r="D876" s="7" t="str">
        <f>IF('Port Bloomberg'!D876="","",'Port Bloomberg'!D876)</f>
        <v/>
      </c>
      <c r="E876" s="7" t="str">
        <f>IF('Port Bloomberg'!E876="","",'Port Bloomberg'!E876)</f>
        <v/>
      </c>
      <c r="F876" s="7" t="str">
        <f>IF('Port Bloomberg'!F876="","",'Port Bloomberg'!F876)</f>
        <v/>
      </c>
      <c r="G876" s="7" t="str">
        <f>IF('Port Bloomberg'!G876="","",'Port Bloomberg'!G876)</f>
        <v/>
      </c>
      <c r="H876" s="7" t="str">
        <f>IF('Port Bloomberg'!H876="","",'Port Bloomberg'!H876)</f>
        <v/>
      </c>
      <c r="I876" s="7" t="str">
        <f>IF('Port Bloomberg'!I876="","",'Port Bloomberg'!I876)</f>
        <v/>
      </c>
      <c r="J876" s="7" t="str">
        <f>IF('Port Bloomberg'!J876="","",'Port Bloomberg'!J876)</f>
        <v/>
      </c>
      <c r="K876" s="7" t="str">
        <f>IF('Port Bloomberg'!K876="","",'Port Bloomberg'!K876)</f>
        <v/>
      </c>
      <c r="L876" s="7" t="str">
        <f>IF('Port Bloomberg'!L876="","",'Port Bloomberg'!L876)</f>
        <v/>
      </c>
      <c r="M876" s="7" t="str">
        <f>IF('Port Bloomberg'!M876="","",'Port Bloomberg'!M876)</f>
        <v/>
      </c>
      <c r="N876" s="7" t="str">
        <f>IF('Port Bloomberg'!N876="","",'Port Bloomberg'!N876)</f>
        <v/>
      </c>
      <c r="O876" s="7" t="str">
        <f>IF('Port Bloomberg'!O876="","",'Port Bloomberg'!O876)</f>
        <v/>
      </c>
      <c r="P876" s="7" t="str">
        <f>IF('Port Bloomberg'!P876="","",'Port Bloomberg'!P876)</f>
        <v/>
      </c>
      <c r="Q876" s="7" t="str">
        <f>IF('Port Bloomberg'!Q876="","",'Port Bloomberg'!Q876)</f>
        <v/>
      </c>
      <c r="R876" s="7" t="str">
        <f>IF('Port Bloomberg'!R876="","",'Port Bloomberg'!R876)</f>
        <v/>
      </c>
      <c r="S876" s="5" t="str">
        <f>IF(E876="","",IFERROR(IF(MATCH(E876,[1]Instrumentos!$D:$D,0)&gt;0,1,0),0))</f>
        <v/>
      </c>
      <c r="T876" s="5" t="str">
        <f>IF(E876="","",IFERROR(IF(MATCH(E876,'Lista de excepciones'!$E:$E,0)&gt;0,1,0),0))</f>
        <v/>
      </c>
      <c r="U876" s="6" t="str">
        <f t="shared" si="14"/>
        <v/>
      </c>
    </row>
    <row r="877" spans="1:21" hidden="1" x14ac:dyDescent="0.25">
      <c r="A877" s="7" t="str">
        <f>IF('Port Bloomberg'!A877="","",'Port Bloomberg'!A877)</f>
        <v/>
      </c>
      <c r="B877" s="7" t="str">
        <f>IF('Port Bloomberg'!B877="","",'Port Bloomberg'!B877)</f>
        <v/>
      </c>
      <c r="C877" s="7" t="str">
        <f>IF('Port Bloomberg'!C877="","",'Port Bloomberg'!C877)</f>
        <v/>
      </c>
      <c r="D877" s="7" t="str">
        <f>IF('Port Bloomberg'!D877="","",'Port Bloomberg'!D877)</f>
        <v/>
      </c>
      <c r="E877" s="7" t="str">
        <f>IF('Port Bloomberg'!E877="","",'Port Bloomberg'!E877)</f>
        <v/>
      </c>
      <c r="F877" s="7" t="str">
        <f>IF('Port Bloomberg'!F877="","",'Port Bloomberg'!F877)</f>
        <v/>
      </c>
      <c r="G877" s="7" t="str">
        <f>IF('Port Bloomberg'!G877="","",'Port Bloomberg'!G877)</f>
        <v/>
      </c>
      <c r="H877" s="7" t="str">
        <f>IF('Port Bloomberg'!H877="","",'Port Bloomberg'!H877)</f>
        <v/>
      </c>
      <c r="I877" s="7" t="str">
        <f>IF('Port Bloomberg'!I877="","",'Port Bloomberg'!I877)</f>
        <v/>
      </c>
      <c r="J877" s="7" t="str">
        <f>IF('Port Bloomberg'!J877="","",'Port Bloomberg'!J877)</f>
        <v/>
      </c>
      <c r="K877" s="7" t="str">
        <f>IF('Port Bloomberg'!K877="","",'Port Bloomberg'!K877)</f>
        <v/>
      </c>
      <c r="L877" s="7" t="str">
        <f>IF('Port Bloomberg'!L877="","",'Port Bloomberg'!L877)</f>
        <v/>
      </c>
      <c r="M877" s="7" t="str">
        <f>IF('Port Bloomberg'!M877="","",'Port Bloomberg'!M877)</f>
        <v/>
      </c>
      <c r="N877" s="7" t="str">
        <f>IF('Port Bloomberg'!N877="","",'Port Bloomberg'!N877)</f>
        <v/>
      </c>
      <c r="O877" s="7" t="str">
        <f>IF('Port Bloomberg'!O877="","",'Port Bloomberg'!O877)</f>
        <v/>
      </c>
      <c r="P877" s="7" t="str">
        <f>IF('Port Bloomberg'!P877="","",'Port Bloomberg'!P877)</f>
        <v/>
      </c>
      <c r="Q877" s="7" t="str">
        <f>IF('Port Bloomberg'!Q877="","",'Port Bloomberg'!Q877)</f>
        <v/>
      </c>
      <c r="R877" s="7" t="str">
        <f>IF('Port Bloomberg'!R877="","",'Port Bloomberg'!R877)</f>
        <v/>
      </c>
      <c r="S877" s="5" t="str">
        <f>IF(E877="","",IFERROR(IF(MATCH(E877,[1]Instrumentos!$D:$D,0)&gt;0,1,0),0))</f>
        <v/>
      </c>
      <c r="T877" s="5" t="str">
        <f>IF(E877="","",IFERROR(IF(MATCH(E877,'Lista de excepciones'!$E:$E,0)&gt;0,1,0),0))</f>
        <v/>
      </c>
      <c r="U877" s="6" t="str">
        <f t="shared" si="14"/>
        <v/>
      </c>
    </row>
    <row r="878" spans="1:21" hidden="1" x14ac:dyDescent="0.25">
      <c r="A878" s="7" t="str">
        <f>IF('Port Bloomberg'!A878="","",'Port Bloomberg'!A878)</f>
        <v/>
      </c>
      <c r="B878" s="7" t="str">
        <f>IF('Port Bloomberg'!B878="","",'Port Bloomberg'!B878)</f>
        <v/>
      </c>
      <c r="C878" s="7" t="str">
        <f>IF('Port Bloomberg'!C878="","",'Port Bloomberg'!C878)</f>
        <v/>
      </c>
      <c r="D878" s="7" t="str">
        <f>IF('Port Bloomberg'!D878="","",'Port Bloomberg'!D878)</f>
        <v/>
      </c>
      <c r="E878" s="7" t="str">
        <f>IF('Port Bloomberg'!E878="","",'Port Bloomberg'!E878)</f>
        <v/>
      </c>
      <c r="F878" s="7" t="str">
        <f>IF('Port Bloomberg'!F878="","",'Port Bloomberg'!F878)</f>
        <v/>
      </c>
      <c r="G878" s="7" t="str">
        <f>IF('Port Bloomberg'!G878="","",'Port Bloomberg'!G878)</f>
        <v/>
      </c>
      <c r="H878" s="7" t="str">
        <f>IF('Port Bloomberg'!H878="","",'Port Bloomberg'!H878)</f>
        <v/>
      </c>
      <c r="I878" s="7" t="str">
        <f>IF('Port Bloomberg'!I878="","",'Port Bloomberg'!I878)</f>
        <v/>
      </c>
      <c r="J878" s="7" t="str">
        <f>IF('Port Bloomberg'!J878="","",'Port Bloomberg'!J878)</f>
        <v/>
      </c>
      <c r="K878" s="7" t="str">
        <f>IF('Port Bloomberg'!K878="","",'Port Bloomberg'!K878)</f>
        <v/>
      </c>
      <c r="L878" s="7" t="str">
        <f>IF('Port Bloomberg'!L878="","",'Port Bloomberg'!L878)</f>
        <v/>
      </c>
      <c r="M878" s="7" t="str">
        <f>IF('Port Bloomberg'!M878="","",'Port Bloomberg'!M878)</f>
        <v/>
      </c>
      <c r="N878" s="7" t="str">
        <f>IF('Port Bloomberg'!N878="","",'Port Bloomberg'!N878)</f>
        <v/>
      </c>
      <c r="O878" s="7" t="str">
        <f>IF('Port Bloomberg'!O878="","",'Port Bloomberg'!O878)</f>
        <v/>
      </c>
      <c r="P878" s="7" t="str">
        <f>IF('Port Bloomberg'!P878="","",'Port Bloomberg'!P878)</f>
        <v/>
      </c>
      <c r="Q878" s="7" t="str">
        <f>IF('Port Bloomberg'!Q878="","",'Port Bloomberg'!Q878)</f>
        <v/>
      </c>
      <c r="R878" s="7" t="str">
        <f>IF('Port Bloomberg'!R878="","",'Port Bloomberg'!R878)</f>
        <v/>
      </c>
      <c r="S878" s="5" t="str">
        <f>IF(E878="","",IFERROR(IF(MATCH(E878,[1]Instrumentos!$D:$D,0)&gt;0,1,0),0))</f>
        <v/>
      </c>
      <c r="T878" s="5" t="str">
        <f>IF(E878="","",IFERROR(IF(MATCH(E878,'Lista de excepciones'!$E:$E,0)&gt;0,1,0),0))</f>
        <v/>
      </c>
      <c r="U878" s="6" t="str">
        <f t="shared" si="14"/>
        <v/>
      </c>
    </row>
    <row r="879" spans="1:21" hidden="1" x14ac:dyDescent="0.25">
      <c r="A879" s="7" t="str">
        <f>IF('Port Bloomberg'!A879="","",'Port Bloomberg'!A879)</f>
        <v/>
      </c>
      <c r="B879" s="7" t="str">
        <f>IF('Port Bloomberg'!B879="","",'Port Bloomberg'!B879)</f>
        <v/>
      </c>
      <c r="C879" s="7" t="str">
        <f>IF('Port Bloomberg'!C879="","",'Port Bloomberg'!C879)</f>
        <v/>
      </c>
      <c r="D879" s="7" t="str">
        <f>IF('Port Bloomberg'!D879="","",'Port Bloomberg'!D879)</f>
        <v/>
      </c>
      <c r="E879" s="7" t="str">
        <f>IF('Port Bloomberg'!E879="","",'Port Bloomberg'!E879)</f>
        <v/>
      </c>
      <c r="F879" s="7" t="str">
        <f>IF('Port Bloomberg'!F879="","",'Port Bloomberg'!F879)</f>
        <v/>
      </c>
      <c r="G879" s="7" t="str">
        <f>IF('Port Bloomberg'!G879="","",'Port Bloomberg'!G879)</f>
        <v/>
      </c>
      <c r="H879" s="7" t="str">
        <f>IF('Port Bloomberg'!H879="","",'Port Bloomberg'!H879)</f>
        <v/>
      </c>
      <c r="I879" s="7" t="str">
        <f>IF('Port Bloomberg'!I879="","",'Port Bloomberg'!I879)</f>
        <v/>
      </c>
      <c r="J879" s="7" t="str">
        <f>IF('Port Bloomberg'!J879="","",'Port Bloomberg'!J879)</f>
        <v/>
      </c>
      <c r="K879" s="7" t="str">
        <f>IF('Port Bloomberg'!K879="","",'Port Bloomberg'!K879)</f>
        <v/>
      </c>
      <c r="L879" s="7" t="str">
        <f>IF('Port Bloomberg'!L879="","",'Port Bloomberg'!L879)</f>
        <v/>
      </c>
      <c r="M879" s="7" t="str">
        <f>IF('Port Bloomberg'!M879="","",'Port Bloomberg'!M879)</f>
        <v/>
      </c>
      <c r="N879" s="7" t="str">
        <f>IF('Port Bloomberg'!N879="","",'Port Bloomberg'!N879)</f>
        <v/>
      </c>
      <c r="O879" s="7" t="str">
        <f>IF('Port Bloomberg'!O879="","",'Port Bloomberg'!O879)</f>
        <v/>
      </c>
      <c r="P879" s="7" t="str">
        <f>IF('Port Bloomberg'!P879="","",'Port Bloomberg'!P879)</f>
        <v/>
      </c>
      <c r="Q879" s="7" t="str">
        <f>IF('Port Bloomberg'!Q879="","",'Port Bloomberg'!Q879)</f>
        <v/>
      </c>
      <c r="R879" s="7" t="str">
        <f>IF('Port Bloomberg'!R879="","",'Port Bloomberg'!R879)</f>
        <v/>
      </c>
      <c r="S879" s="5" t="str">
        <f>IF(E879="","",IFERROR(IF(MATCH(E879,[1]Instrumentos!$D:$D,0)&gt;0,1,0),0))</f>
        <v/>
      </c>
      <c r="T879" s="5" t="str">
        <f>IF(E879="","",IFERROR(IF(MATCH(E879,'Lista de excepciones'!$E:$E,0)&gt;0,1,0),0))</f>
        <v/>
      </c>
      <c r="U879" s="6" t="str">
        <f t="shared" si="14"/>
        <v/>
      </c>
    </row>
    <row r="880" spans="1:21" hidden="1" x14ac:dyDescent="0.25">
      <c r="A880" s="7" t="str">
        <f>IF('Port Bloomberg'!A880="","",'Port Bloomberg'!A880)</f>
        <v/>
      </c>
      <c r="B880" s="7" t="str">
        <f>IF('Port Bloomberg'!B880="","",'Port Bloomberg'!B880)</f>
        <v/>
      </c>
      <c r="C880" s="7" t="str">
        <f>IF('Port Bloomberg'!C880="","",'Port Bloomberg'!C880)</f>
        <v/>
      </c>
      <c r="D880" s="7" t="str">
        <f>IF('Port Bloomberg'!D880="","",'Port Bloomberg'!D880)</f>
        <v/>
      </c>
      <c r="E880" s="7" t="str">
        <f>IF('Port Bloomberg'!E880="","",'Port Bloomberg'!E880)</f>
        <v/>
      </c>
      <c r="F880" s="7" t="str">
        <f>IF('Port Bloomberg'!F880="","",'Port Bloomberg'!F880)</f>
        <v/>
      </c>
      <c r="G880" s="7" t="str">
        <f>IF('Port Bloomberg'!G880="","",'Port Bloomberg'!G880)</f>
        <v/>
      </c>
      <c r="H880" s="7" t="str">
        <f>IF('Port Bloomberg'!H880="","",'Port Bloomberg'!H880)</f>
        <v/>
      </c>
      <c r="I880" s="7" t="str">
        <f>IF('Port Bloomberg'!I880="","",'Port Bloomberg'!I880)</f>
        <v/>
      </c>
      <c r="J880" s="7" t="str">
        <f>IF('Port Bloomberg'!J880="","",'Port Bloomberg'!J880)</f>
        <v/>
      </c>
      <c r="K880" s="7" t="str">
        <f>IF('Port Bloomberg'!K880="","",'Port Bloomberg'!K880)</f>
        <v/>
      </c>
      <c r="L880" s="7" t="str">
        <f>IF('Port Bloomberg'!L880="","",'Port Bloomberg'!L880)</f>
        <v/>
      </c>
      <c r="M880" s="7" t="str">
        <f>IF('Port Bloomberg'!M880="","",'Port Bloomberg'!M880)</f>
        <v/>
      </c>
      <c r="N880" s="7" t="str">
        <f>IF('Port Bloomberg'!N880="","",'Port Bloomberg'!N880)</f>
        <v/>
      </c>
      <c r="O880" s="7" t="str">
        <f>IF('Port Bloomberg'!O880="","",'Port Bloomberg'!O880)</f>
        <v/>
      </c>
      <c r="P880" s="7" t="str">
        <f>IF('Port Bloomberg'!P880="","",'Port Bloomberg'!P880)</f>
        <v/>
      </c>
      <c r="Q880" s="7" t="str">
        <f>IF('Port Bloomberg'!Q880="","",'Port Bloomberg'!Q880)</f>
        <v/>
      </c>
      <c r="R880" s="7" t="str">
        <f>IF('Port Bloomberg'!R880="","",'Port Bloomberg'!R880)</f>
        <v/>
      </c>
      <c r="S880" s="5" t="str">
        <f>IF(E880="","",IFERROR(IF(MATCH(E880,[1]Instrumentos!$D:$D,0)&gt;0,1,0),0))</f>
        <v/>
      </c>
      <c r="T880" s="5" t="str">
        <f>IF(E880="","",IFERROR(IF(MATCH(E880,'Lista de excepciones'!$E:$E,0)&gt;0,1,0),0))</f>
        <v/>
      </c>
      <c r="U880" s="6" t="str">
        <f t="shared" si="14"/>
        <v/>
      </c>
    </row>
    <row r="881" spans="1:21" hidden="1" x14ac:dyDescent="0.25">
      <c r="A881" s="7" t="str">
        <f>IF('Port Bloomberg'!A881="","",'Port Bloomberg'!A881)</f>
        <v/>
      </c>
      <c r="B881" s="7" t="str">
        <f>IF('Port Bloomberg'!B881="","",'Port Bloomberg'!B881)</f>
        <v/>
      </c>
      <c r="C881" s="7" t="str">
        <f>IF('Port Bloomberg'!C881="","",'Port Bloomberg'!C881)</f>
        <v/>
      </c>
      <c r="D881" s="7" t="str">
        <f>IF('Port Bloomberg'!D881="","",'Port Bloomberg'!D881)</f>
        <v/>
      </c>
      <c r="E881" s="7" t="str">
        <f>IF('Port Bloomberg'!E881="","",'Port Bloomberg'!E881)</f>
        <v/>
      </c>
      <c r="F881" s="7" t="str">
        <f>IF('Port Bloomberg'!F881="","",'Port Bloomberg'!F881)</f>
        <v/>
      </c>
      <c r="G881" s="7" t="str">
        <f>IF('Port Bloomberg'!G881="","",'Port Bloomberg'!G881)</f>
        <v/>
      </c>
      <c r="H881" s="7" t="str">
        <f>IF('Port Bloomberg'!H881="","",'Port Bloomberg'!H881)</f>
        <v/>
      </c>
      <c r="I881" s="7" t="str">
        <f>IF('Port Bloomberg'!I881="","",'Port Bloomberg'!I881)</f>
        <v/>
      </c>
      <c r="J881" s="7" t="str">
        <f>IF('Port Bloomberg'!J881="","",'Port Bloomberg'!J881)</f>
        <v/>
      </c>
      <c r="K881" s="7" t="str">
        <f>IF('Port Bloomberg'!K881="","",'Port Bloomberg'!K881)</f>
        <v/>
      </c>
      <c r="L881" s="7" t="str">
        <f>IF('Port Bloomberg'!L881="","",'Port Bloomberg'!L881)</f>
        <v/>
      </c>
      <c r="M881" s="7" t="str">
        <f>IF('Port Bloomberg'!M881="","",'Port Bloomberg'!M881)</f>
        <v/>
      </c>
      <c r="N881" s="7" t="str">
        <f>IF('Port Bloomberg'!N881="","",'Port Bloomberg'!N881)</f>
        <v/>
      </c>
      <c r="O881" s="7" t="str">
        <f>IF('Port Bloomberg'!O881="","",'Port Bloomberg'!O881)</f>
        <v/>
      </c>
      <c r="P881" s="7" t="str">
        <f>IF('Port Bloomberg'!P881="","",'Port Bloomberg'!P881)</f>
        <v/>
      </c>
      <c r="Q881" s="7" t="str">
        <f>IF('Port Bloomberg'!Q881="","",'Port Bloomberg'!Q881)</f>
        <v/>
      </c>
      <c r="R881" s="7" t="str">
        <f>IF('Port Bloomberg'!R881="","",'Port Bloomberg'!R881)</f>
        <v/>
      </c>
      <c r="S881" s="5" t="str">
        <f>IF(E881="","",IFERROR(IF(MATCH(E881,[1]Instrumentos!$D:$D,0)&gt;0,1,0),0))</f>
        <v/>
      </c>
      <c r="T881" s="5" t="str">
        <f>IF(E881="","",IFERROR(IF(MATCH(E881,'Lista de excepciones'!$E:$E,0)&gt;0,1,0),0))</f>
        <v/>
      </c>
      <c r="U881" s="6" t="str">
        <f t="shared" si="14"/>
        <v/>
      </c>
    </row>
    <row r="882" spans="1:21" hidden="1" x14ac:dyDescent="0.25">
      <c r="A882" s="7" t="str">
        <f>IF('Port Bloomberg'!A882="","",'Port Bloomberg'!A882)</f>
        <v/>
      </c>
      <c r="B882" s="7" t="str">
        <f>IF('Port Bloomberg'!B882="","",'Port Bloomberg'!B882)</f>
        <v/>
      </c>
      <c r="C882" s="7" t="str">
        <f>IF('Port Bloomberg'!C882="","",'Port Bloomberg'!C882)</f>
        <v/>
      </c>
      <c r="D882" s="7" t="str">
        <f>IF('Port Bloomberg'!D882="","",'Port Bloomberg'!D882)</f>
        <v/>
      </c>
      <c r="E882" s="7" t="str">
        <f>IF('Port Bloomberg'!E882="","",'Port Bloomberg'!E882)</f>
        <v/>
      </c>
      <c r="F882" s="7" t="str">
        <f>IF('Port Bloomberg'!F882="","",'Port Bloomberg'!F882)</f>
        <v/>
      </c>
      <c r="G882" s="7" t="str">
        <f>IF('Port Bloomberg'!G882="","",'Port Bloomberg'!G882)</f>
        <v/>
      </c>
      <c r="H882" s="7" t="str">
        <f>IF('Port Bloomberg'!H882="","",'Port Bloomberg'!H882)</f>
        <v/>
      </c>
      <c r="I882" s="7" t="str">
        <f>IF('Port Bloomberg'!I882="","",'Port Bloomberg'!I882)</f>
        <v/>
      </c>
      <c r="J882" s="7" t="str">
        <f>IF('Port Bloomberg'!J882="","",'Port Bloomberg'!J882)</f>
        <v/>
      </c>
      <c r="K882" s="7" t="str">
        <f>IF('Port Bloomberg'!K882="","",'Port Bloomberg'!K882)</f>
        <v/>
      </c>
      <c r="L882" s="7" t="str">
        <f>IF('Port Bloomberg'!L882="","",'Port Bloomberg'!L882)</f>
        <v/>
      </c>
      <c r="M882" s="7" t="str">
        <f>IF('Port Bloomberg'!M882="","",'Port Bloomberg'!M882)</f>
        <v/>
      </c>
      <c r="N882" s="7" t="str">
        <f>IF('Port Bloomberg'!N882="","",'Port Bloomberg'!N882)</f>
        <v/>
      </c>
      <c r="O882" s="7" t="str">
        <f>IF('Port Bloomberg'!O882="","",'Port Bloomberg'!O882)</f>
        <v/>
      </c>
      <c r="P882" s="7" t="str">
        <f>IF('Port Bloomberg'!P882="","",'Port Bloomberg'!P882)</f>
        <v/>
      </c>
      <c r="Q882" s="7" t="str">
        <f>IF('Port Bloomberg'!Q882="","",'Port Bloomberg'!Q882)</f>
        <v/>
      </c>
      <c r="R882" s="7" t="str">
        <f>IF('Port Bloomberg'!R882="","",'Port Bloomberg'!R882)</f>
        <v/>
      </c>
      <c r="S882" s="5" t="str">
        <f>IF(E882="","",IFERROR(IF(MATCH(E882,[1]Instrumentos!$D:$D,0)&gt;0,1,0),0))</f>
        <v/>
      </c>
      <c r="T882" s="5" t="str">
        <f>IF(E882="","",IFERROR(IF(MATCH(E882,'Lista de excepciones'!$E:$E,0)&gt;0,1,0),0))</f>
        <v/>
      </c>
      <c r="U882" s="6" t="str">
        <f t="shared" si="14"/>
        <v/>
      </c>
    </row>
    <row r="883" spans="1:21" hidden="1" x14ac:dyDescent="0.25">
      <c r="A883" s="7" t="str">
        <f>IF('Port Bloomberg'!A883="","",'Port Bloomberg'!A883)</f>
        <v/>
      </c>
      <c r="B883" s="7" t="str">
        <f>IF('Port Bloomberg'!B883="","",'Port Bloomberg'!B883)</f>
        <v/>
      </c>
      <c r="C883" s="7" t="str">
        <f>IF('Port Bloomberg'!C883="","",'Port Bloomberg'!C883)</f>
        <v/>
      </c>
      <c r="D883" s="7" t="str">
        <f>IF('Port Bloomberg'!D883="","",'Port Bloomberg'!D883)</f>
        <v/>
      </c>
      <c r="E883" s="7" t="str">
        <f>IF('Port Bloomberg'!E883="","",'Port Bloomberg'!E883)</f>
        <v/>
      </c>
      <c r="F883" s="7" t="str">
        <f>IF('Port Bloomberg'!F883="","",'Port Bloomberg'!F883)</f>
        <v/>
      </c>
      <c r="G883" s="7" t="str">
        <f>IF('Port Bloomberg'!G883="","",'Port Bloomberg'!G883)</f>
        <v/>
      </c>
      <c r="H883" s="7" t="str">
        <f>IF('Port Bloomberg'!H883="","",'Port Bloomberg'!H883)</f>
        <v/>
      </c>
      <c r="I883" s="7" t="str">
        <f>IF('Port Bloomberg'!I883="","",'Port Bloomberg'!I883)</f>
        <v/>
      </c>
      <c r="J883" s="7" t="str">
        <f>IF('Port Bloomberg'!J883="","",'Port Bloomberg'!J883)</f>
        <v/>
      </c>
      <c r="K883" s="7" t="str">
        <f>IF('Port Bloomberg'!K883="","",'Port Bloomberg'!K883)</f>
        <v/>
      </c>
      <c r="L883" s="7" t="str">
        <f>IF('Port Bloomberg'!L883="","",'Port Bloomberg'!L883)</f>
        <v/>
      </c>
      <c r="M883" s="7" t="str">
        <f>IF('Port Bloomberg'!M883="","",'Port Bloomberg'!M883)</f>
        <v/>
      </c>
      <c r="N883" s="7" t="str">
        <f>IF('Port Bloomberg'!N883="","",'Port Bloomberg'!N883)</f>
        <v/>
      </c>
      <c r="O883" s="7" t="str">
        <f>IF('Port Bloomberg'!O883="","",'Port Bloomberg'!O883)</f>
        <v/>
      </c>
      <c r="P883" s="7" t="str">
        <f>IF('Port Bloomberg'!P883="","",'Port Bloomberg'!P883)</f>
        <v/>
      </c>
      <c r="Q883" s="7" t="str">
        <f>IF('Port Bloomberg'!Q883="","",'Port Bloomberg'!Q883)</f>
        <v/>
      </c>
      <c r="R883" s="7" t="str">
        <f>IF('Port Bloomberg'!R883="","",'Port Bloomberg'!R883)</f>
        <v/>
      </c>
      <c r="S883" s="5" t="str">
        <f>IF(E883="","",IFERROR(IF(MATCH(E883,[1]Instrumentos!$D:$D,0)&gt;0,1,0),0))</f>
        <v/>
      </c>
      <c r="T883" s="5" t="str">
        <f>IF(E883="","",IFERROR(IF(MATCH(E883,'Lista de excepciones'!$E:$E,0)&gt;0,1,0),0))</f>
        <v/>
      </c>
      <c r="U883" s="6" t="str">
        <f t="shared" si="14"/>
        <v/>
      </c>
    </row>
    <row r="884" spans="1:21" hidden="1" x14ac:dyDescent="0.25">
      <c r="A884" s="7" t="str">
        <f>IF('Port Bloomberg'!A884="","",'Port Bloomberg'!A884)</f>
        <v/>
      </c>
      <c r="B884" s="7" t="str">
        <f>IF('Port Bloomberg'!B884="","",'Port Bloomberg'!B884)</f>
        <v/>
      </c>
      <c r="C884" s="7" t="str">
        <f>IF('Port Bloomberg'!C884="","",'Port Bloomberg'!C884)</f>
        <v/>
      </c>
      <c r="D884" s="7" t="str">
        <f>IF('Port Bloomberg'!D884="","",'Port Bloomberg'!D884)</f>
        <v/>
      </c>
      <c r="E884" s="7" t="str">
        <f>IF('Port Bloomberg'!E884="","",'Port Bloomberg'!E884)</f>
        <v/>
      </c>
      <c r="F884" s="7" t="str">
        <f>IF('Port Bloomberg'!F884="","",'Port Bloomberg'!F884)</f>
        <v/>
      </c>
      <c r="G884" s="7" t="str">
        <f>IF('Port Bloomberg'!G884="","",'Port Bloomberg'!G884)</f>
        <v/>
      </c>
      <c r="H884" s="7" t="str">
        <f>IF('Port Bloomberg'!H884="","",'Port Bloomberg'!H884)</f>
        <v/>
      </c>
      <c r="I884" s="7" t="str">
        <f>IF('Port Bloomberg'!I884="","",'Port Bloomberg'!I884)</f>
        <v/>
      </c>
      <c r="J884" s="7" t="str">
        <f>IF('Port Bloomberg'!J884="","",'Port Bloomberg'!J884)</f>
        <v/>
      </c>
      <c r="K884" s="7" t="str">
        <f>IF('Port Bloomberg'!K884="","",'Port Bloomberg'!K884)</f>
        <v/>
      </c>
      <c r="L884" s="7" t="str">
        <f>IF('Port Bloomberg'!L884="","",'Port Bloomberg'!L884)</f>
        <v/>
      </c>
      <c r="M884" s="7" t="str">
        <f>IF('Port Bloomberg'!M884="","",'Port Bloomberg'!M884)</f>
        <v/>
      </c>
      <c r="N884" s="7" t="str">
        <f>IF('Port Bloomberg'!N884="","",'Port Bloomberg'!N884)</f>
        <v/>
      </c>
      <c r="O884" s="7" t="str">
        <f>IF('Port Bloomberg'!O884="","",'Port Bloomberg'!O884)</f>
        <v/>
      </c>
      <c r="P884" s="7" t="str">
        <f>IF('Port Bloomberg'!P884="","",'Port Bloomberg'!P884)</f>
        <v/>
      </c>
      <c r="Q884" s="7" t="str">
        <f>IF('Port Bloomberg'!Q884="","",'Port Bloomberg'!Q884)</f>
        <v/>
      </c>
      <c r="R884" s="7" t="str">
        <f>IF('Port Bloomberg'!R884="","",'Port Bloomberg'!R884)</f>
        <v/>
      </c>
      <c r="S884" s="5" t="str">
        <f>IF(E884="","",IFERROR(IF(MATCH(E884,[1]Instrumentos!$D:$D,0)&gt;0,1,0),0))</f>
        <v/>
      </c>
      <c r="T884" s="5" t="str">
        <f>IF(E884="","",IFERROR(IF(MATCH(E884,'Lista de excepciones'!$E:$E,0)&gt;0,1,0),0))</f>
        <v/>
      </c>
      <c r="U884" s="6" t="str">
        <f t="shared" si="14"/>
        <v/>
      </c>
    </row>
    <row r="885" spans="1:21" hidden="1" x14ac:dyDescent="0.25">
      <c r="A885" s="7" t="str">
        <f>IF('Port Bloomberg'!A885="","",'Port Bloomberg'!A885)</f>
        <v/>
      </c>
      <c r="B885" s="7" t="str">
        <f>IF('Port Bloomberg'!B885="","",'Port Bloomberg'!B885)</f>
        <v/>
      </c>
      <c r="C885" s="7" t="str">
        <f>IF('Port Bloomberg'!C885="","",'Port Bloomberg'!C885)</f>
        <v/>
      </c>
      <c r="D885" s="7" t="str">
        <f>IF('Port Bloomberg'!D885="","",'Port Bloomberg'!D885)</f>
        <v/>
      </c>
      <c r="E885" s="7" t="str">
        <f>IF('Port Bloomberg'!E885="","",'Port Bloomberg'!E885)</f>
        <v/>
      </c>
      <c r="F885" s="7" t="str">
        <f>IF('Port Bloomberg'!F885="","",'Port Bloomberg'!F885)</f>
        <v/>
      </c>
      <c r="G885" s="7" t="str">
        <f>IF('Port Bloomberg'!G885="","",'Port Bloomberg'!G885)</f>
        <v/>
      </c>
      <c r="H885" s="7" t="str">
        <f>IF('Port Bloomberg'!H885="","",'Port Bloomberg'!H885)</f>
        <v/>
      </c>
      <c r="I885" s="7" t="str">
        <f>IF('Port Bloomberg'!I885="","",'Port Bloomberg'!I885)</f>
        <v/>
      </c>
      <c r="J885" s="7" t="str">
        <f>IF('Port Bloomberg'!J885="","",'Port Bloomberg'!J885)</f>
        <v/>
      </c>
      <c r="K885" s="7" t="str">
        <f>IF('Port Bloomberg'!K885="","",'Port Bloomberg'!K885)</f>
        <v/>
      </c>
      <c r="L885" s="7" t="str">
        <f>IF('Port Bloomberg'!L885="","",'Port Bloomberg'!L885)</f>
        <v/>
      </c>
      <c r="M885" s="7" t="str">
        <f>IF('Port Bloomberg'!M885="","",'Port Bloomberg'!M885)</f>
        <v/>
      </c>
      <c r="N885" s="7" t="str">
        <f>IF('Port Bloomberg'!N885="","",'Port Bloomberg'!N885)</f>
        <v/>
      </c>
      <c r="O885" s="7" t="str">
        <f>IF('Port Bloomberg'!O885="","",'Port Bloomberg'!O885)</f>
        <v/>
      </c>
      <c r="P885" s="7" t="str">
        <f>IF('Port Bloomberg'!P885="","",'Port Bloomberg'!P885)</f>
        <v/>
      </c>
      <c r="Q885" s="7" t="str">
        <f>IF('Port Bloomberg'!Q885="","",'Port Bloomberg'!Q885)</f>
        <v/>
      </c>
      <c r="R885" s="7" t="str">
        <f>IF('Port Bloomberg'!R885="","",'Port Bloomberg'!R885)</f>
        <v/>
      </c>
      <c r="S885" s="5" t="str">
        <f>IF(E885="","",IFERROR(IF(MATCH(E885,[1]Instrumentos!$D:$D,0)&gt;0,1,0),0))</f>
        <v/>
      </c>
      <c r="T885" s="5" t="str">
        <f>IF(E885="","",IFERROR(IF(MATCH(E885,'Lista de excepciones'!$E:$E,0)&gt;0,1,0),0))</f>
        <v/>
      </c>
      <c r="U885" s="6" t="str">
        <f t="shared" si="14"/>
        <v/>
      </c>
    </row>
    <row r="886" spans="1:21" hidden="1" x14ac:dyDescent="0.25">
      <c r="A886" s="7" t="str">
        <f>IF('Port Bloomberg'!A886="","",'Port Bloomberg'!A886)</f>
        <v/>
      </c>
      <c r="B886" s="7" t="str">
        <f>IF('Port Bloomberg'!B886="","",'Port Bloomberg'!B886)</f>
        <v/>
      </c>
      <c r="C886" s="7" t="str">
        <f>IF('Port Bloomberg'!C886="","",'Port Bloomberg'!C886)</f>
        <v/>
      </c>
      <c r="D886" s="7" t="str">
        <f>IF('Port Bloomberg'!D886="","",'Port Bloomberg'!D886)</f>
        <v/>
      </c>
      <c r="E886" s="7" t="str">
        <f>IF('Port Bloomberg'!E886="","",'Port Bloomberg'!E886)</f>
        <v/>
      </c>
      <c r="F886" s="7" t="str">
        <f>IF('Port Bloomberg'!F886="","",'Port Bloomberg'!F886)</f>
        <v/>
      </c>
      <c r="G886" s="7" t="str">
        <f>IF('Port Bloomberg'!G886="","",'Port Bloomberg'!G886)</f>
        <v/>
      </c>
      <c r="H886" s="7" t="str">
        <f>IF('Port Bloomberg'!H886="","",'Port Bloomberg'!H886)</f>
        <v/>
      </c>
      <c r="I886" s="7" t="str">
        <f>IF('Port Bloomberg'!I886="","",'Port Bloomberg'!I886)</f>
        <v/>
      </c>
      <c r="J886" s="7" t="str">
        <f>IF('Port Bloomberg'!J886="","",'Port Bloomberg'!J886)</f>
        <v/>
      </c>
      <c r="K886" s="7" t="str">
        <f>IF('Port Bloomberg'!K886="","",'Port Bloomberg'!K886)</f>
        <v/>
      </c>
      <c r="L886" s="7" t="str">
        <f>IF('Port Bloomberg'!L886="","",'Port Bloomberg'!L886)</f>
        <v/>
      </c>
      <c r="M886" s="7" t="str">
        <f>IF('Port Bloomberg'!M886="","",'Port Bloomberg'!M886)</f>
        <v/>
      </c>
      <c r="N886" s="7" t="str">
        <f>IF('Port Bloomberg'!N886="","",'Port Bloomberg'!N886)</f>
        <v/>
      </c>
      <c r="O886" s="7" t="str">
        <f>IF('Port Bloomberg'!O886="","",'Port Bloomberg'!O886)</f>
        <v/>
      </c>
      <c r="P886" s="7" t="str">
        <f>IF('Port Bloomberg'!P886="","",'Port Bloomberg'!P886)</f>
        <v/>
      </c>
      <c r="Q886" s="7" t="str">
        <f>IF('Port Bloomberg'!Q886="","",'Port Bloomberg'!Q886)</f>
        <v/>
      </c>
      <c r="R886" s="7" t="str">
        <f>IF('Port Bloomberg'!R886="","",'Port Bloomberg'!R886)</f>
        <v/>
      </c>
      <c r="S886" s="5" t="str">
        <f>IF(E886="","",IFERROR(IF(MATCH(E886,[1]Instrumentos!$D:$D,0)&gt;0,1,0),0))</f>
        <v/>
      </c>
      <c r="T886" s="5" t="str">
        <f>IF(E886="","",IFERROR(IF(MATCH(E886,'Lista de excepciones'!$E:$E,0)&gt;0,1,0),0))</f>
        <v/>
      </c>
      <c r="U886" s="6" t="str">
        <f t="shared" si="14"/>
        <v/>
      </c>
    </row>
    <row r="887" spans="1:21" hidden="1" x14ac:dyDescent="0.25">
      <c r="A887" s="7" t="str">
        <f>IF('Port Bloomberg'!A887="","",'Port Bloomberg'!A887)</f>
        <v/>
      </c>
      <c r="B887" s="7" t="str">
        <f>IF('Port Bloomberg'!B887="","",'Port Bloomberg'!B887)</f>
        <v/>
      </c>
      <c r="C887" s="7" t="str">
        <f>IF('Port Bloomberg'!C887="","",'Port Bloomberg'!C887)</f>
        <v/>
      </c>
      <c r="D887" s="7" t="str">
        <f>IF('Port Bloomberg'!D887="","",'Port Bloomberg'!D887)</f>
        <v/>
      </c>
      <c r="E887" s="7" t="str">
        <f>IF('Port Bloomberg'!E887="","",'Port Bloomberg'!E887)</f>
        <v/>
      </c>
      <c r="F887" s="7" t="str">
        <f>IF('Port Bloomberg'!F887="","",'Port Bloomberg'!F887)</f>
        <v/>
      </c>
      <c r="G887" s="7" t="str">
        <f>IF('Port Bloomberg'!G887="","",'Port Bloomberg'!G887)</f>
        <v/>
      </c>
      <c r="H887" s="7" t="str">
        <f>IF('Port Bloomberg'!H887="","",'Port Bloomberg'!H887)</f>
        <v/>
      </c>
      <c r="I887" s="7" t="str">
        <f>IF('Port Bloomberg'!I887="","",'Port Bloomberg'!I887)</f>
        <v/>
      </c>
      <c r="J887" s="7" t="str">
        <f>IF('Port Bloomberg'!J887="","",'Port Bloomberg'!J887)</f>
        <v/>
      </c>
      <c r="K887" s="7" t="str">
        <f>IF('Port Bloomberg'!K887="","",'Port Bloomberg'!K887)</f>
        <v/>
      </c>
      <c r="L887" s="7" t="str">
        <f>IF('Port Bloomberg'!L887="","",'Port Bloomberg'!L887)</f>
        <v/>
      </c>
      <c r="M887" s="7" t="str">
        <f>IF('Port Bloomberg'!M887="","",'Port Bloomberg'!M887)</f>
        <v/>
      </c>
      <c r="N887" s="7" t="str">
        <f>IF('Port Bloomberg'!N887="","",'Port Bloomberg'!N887)</f>
        <v/>
      </c>
      <c r="O887" s="7" t="str">
        <f>IF('Port Bloomberg'!O887="","",'Port Bloomberg'!O887)</f>
        <v/>
      </c>
      <c r="P887" s="7" t="str">
        <f>IF('Port Bloomberg'!P887="","",'Port Bloomberg'!P887)</f>
        <v/>
      </c>
      <c r="Q887" s="7" t="str">
        <f>IF('Port Bloomberg'!Q887="","",'Port Bloomberg'!Q887)</f>
        <v/>
      </c>
      <c r="R887" s="7" t="str">
        <f>IF('Port Bloomberg'!R887="","",'Port Bloomberg'!R887)</f>
        <v/>
      </c>
      <c r="S887" s="5" t="str">
        <f>IF(E887="","",IFERROR(IF(MATCH(E887,[1]Instrumentos!$D:$D,0)&gt;0,1,0),0))</f>
        <v/>
      </c>
      <c r="T887" s="5" t="str">
        <f>IF(E887="","",IFERROR(IF(MATCH(E887,'Lista de excepciones'!$E:$E,0)&gt;0,1,0),0))</f>
        <v/>
      </c>
      <c r="U887" s="6" t="str">
        <f t="shared" si="14"/>
        <v/>
      </c>
    </row>
    <row r="888" spans="1:21" hidden="1" x14ac:dyDescent="0.25">
      <c r="A888" s="7" t="str">
        <f>IF('Port Bloomberg'!A888="","",'Port Bloomberg'!A888)</f>
        <v/>
      </c>
      <c r="B888" s="7" t="str">
        <f>IF('Port Bloomberg'!B888="","",'Port Bloomberg'!B888)</f>
        <v/>
      </c>
      <c r="C888" s="7" t="str">
        <f>IF('Port Bloomberg'!C888="","",'Port Bloomberg'!C888)</f>
        <v/>
      </c>
      <c r="D888" s="7" t="str">
        <f>IF('Port Bloomberg'!D888="","",'Port Bloomberg'!D888)</f>
        <v/>
      </c>
      <c r="E888" s="7" t="str">
        <f>IF('Port Bloomberg'!E888="","",'Port Bloomberg'!E888)</f>
        <v/>
      </c>
      <c r="F888" s="7" t="str">
        <f>IF('Port Bloomberg'!F888="","",'Port Bloomberg'!F888)</f>
        <v/>
      </c>
      <c r="G888" s="7" t="str">
        <f>IF('Port Bloomberg'!G888="","",'Port Bloomberg'!G888)</f>
        <v/>
      </c>
      <c r="H888" s="7" t="str">
        <f>IF('Port Bloomberg'!H888="","",'Port Bloomberg'!H888)</f>
        <v/>
      </c>
      <c r="I888" s="7" t="str">
        <f>IF('Port Bloomberg'!I888="","",'Port Bloomberg'!I888)</f>
        <v/>
      </c>
      <c r="J888" s="7" t="str">
        <f>IF('Port Bloomberg'!J888="","",'Port Bloomberg'!J888)</f>
        <v/>
      </c>
      <c r="K888" s="7" t="str">
        <f>IF('Port Bloomberg'!K888="","",'Port Bloomberg'!K888)</f>
        <v/>
      </c>
      <c r="L888" s="7" t="str">
        <f>IF('Port Bloomberg'!L888="","",'Port Bloomberg'!L888)</f>
        <v/>
      </c>
      <c r="M888" s="7" t="str">
        <f>IF('Port Bloomberg'!M888="","",'Port Bloomberg'!M888)</f>
        <v/>
      </c>
      <c r="N888" s="7" t="str">
        <f>IF('Port Bloomberg'!N888="","",'Port Bloomberg'!N888)</f>
        <v/>
      </c>
      <c r="O888" s="7" t="str">
        <f>IF('Port Bloomberg'!O888="","",'Port Bloomberg'!O888)</f>
        <v/>
      </c>
      <c r="P888" s="7" t="str">
        <f>IF('Port Bloomberg'!P888="","",'Port Bloomberg'!P888)</f>
        <v/>
      </c>
      <c r="Q888" s="7" t="str">
        <f>IF('Port Bloomberg'!Q888="","",'Port Bloomberg'!Q888)</f>
        <v/>
      </c>
      <c r="R888" s="7" t="str">
        <f>IF('Port Bloomberg'!R888="","",'Port Bloomberg'!R888)</f>
        <v/>
      </c>
      <c r="S888" s="5" t="str">
        <f>IF(E888="","",IFERROR(IF(MATCH(E888,[1]Instrumentos!$D:$D,0)&gt;0,1,0),0))</f>
        <v/>
      </c>
      <c r="T888" s="5" t="str">
        <f>IF(E888="","",IFERROR(IF(MATCH(E888,'Lista de excepciones'!$E:$E,0)&gt;0,1,0),0))</f>
        <v/>
      </c>
      <c r="U888" s="6" t="str">
        <f t="shared" si="14"/>
        <v/>
      </c>
    </row>
    <row r="889" spans="1:21" hidden="1" x14ac:dyDescent="0.25">
      <c r="A889" s="7" t="str">
        <f>IF('Port Bloomberg'!A889="","",'Port Bloomberg'!A889)</f>
        <v/>
      </c>
      <c r="B889" s="7" t="str">
        <f>IF('Port Bloomberg'!B889="","",'Port Bloomberg'!B889)</f>
        <v/>
      </c>
      <c r="C889" s="7" t="str">
        <f>IF('Port Bloomberg'!C889="","",'Port Bloomberg'!C889)</f>
        <v/>
      </c>
      <c r="D889" s="7" t="str">
        <f>IF('Port Bloomberg'!D889="","",'Port Bloomberg'!D889)</f>
        <v/>
      </c>
      <c r="E889" s="7" t="str">
        <f>IF('Port Bloomberg'!E889="","",'Port Bloomberg'!E889)</f>
        <v/>
      </c>
      <c r="F889" s="7" t="str">
        <f>IF('Port Bloomberg'!F889="","",'Port Bloomberg'!F889)</f>
        <v/>
      </c>
      <c r="G889" s="7" t="str">
        <f>IF('Port Bloomberg'!G889="","",'Port Bloomberg'!G889)</f>
        <v/>
      </c>
      <c r="H889" s="7" t="str">
        <f>IF('Port Bloomberg'!H889="","",'Port Bloomberg'!H889)</f>
        <v/>
      </c>
      <c r="I889" s="7" t="str">
        <f>IF('Port Bloomberg'!I889="","",'Port Bloomberg'!I889)</f>
        <v/>
      </c>
      <c r="J889" s="7" t="str">
        <f>IF('Port Bloomberg'!J889="","",'Port Bloomberg'!J889)</f>
        <v/>
      </c>
      <c r="K889" s="7" t="str">
        <f>IF('Port Bloomberg'!K889="","",'Port Bloomberg'!K889)</f>
        <v/>
      </c>
      <c r="L889" s="7" t="str">
        <f>IF('Port Bloomberg'!L889="","",'Port Bloomberg'!L889)</f>
        <v/>
      </c>
      <c r="M889" s="7" t="str">
        <f>IF('Port Bloomberg'!M889="","",'Port Bloomberg'!M889)</f>
        <v/>
      </c>
      <c r="N889" s="7" t="str">
        <f>IF('Port Bloomberg'!N889="","",'Port Bloomberg'!N889)</f>
        <v/>
      </c>
      <c r="O889" s="7" t="str">
        <f>IF('Port Bloomberg'!O889="","",'Port Bloomberg'!O889)</f>
        <v/>
      </c>
      <c r="P889" s="7" t="str">
        <f>IF('Port Bloomberg'!P889="","",'Port Bloomberg'!P889)</f>
        <v/>
      </c>
      <c r="Q889" s="7" t="str">
        <f>IF('Port Bloomberg'!Q889="","",'Port Bloomberg'!Q889)</f>
        <v/>
      </c>
      <c r="R889" s="7" t="str">
        <f>IF('Port Bloomberg'!R889="","",'Port Bloomberg'!R889)</f>
        <v/>
      </c>
      <c r="S889" s="5" t="str">
        <f>IF(E889="","",IFERROR(IF(MATCH(E889,[1]Instrumentos!$D:$D,0)&gt;0,1,0),0))</f>
        <v/>
      </c>
      <c r="T889" s="5" t="str">
        <f>IF(E889="","",IFERROR(IF(MATCH(E889,'Lista de excepciones'!$E:$E,0)&gt;0,1,0),0))</f>
        <v/>
      </c>
      <c r="U889" s="6" t="str">
        <f t="shared" si="14"/>
        <v/>
      </c>
    </row>
    <row r="890" spans="1:21" hidden="1" x14ac:dyDescent="0.25">
      <c r="A890" s="7" t="str">
        <f>IF('Port Bloomberg'!A890="","",'Port Bloomberg'!A890)</f>
        <v/>
      </c>
      <c r="B890" s="7" t="str">
        <f>IF('Port Bloomberg'!B890="","",'Port Bloomberg'!B890)</f>
        <v/>
      </c>
      <c r="C890" s="7" t="str">
        <f>IF('Port Bloomberg'!C890="","",'Port Bloomberg'!C890)</f>
        <v/>
      </c>
      <c r="D890" s="7" t="str">
        <f>IF('Port Bloomberg'!D890="","",'Port Bloomberg'!D890)</f>
        <v/>
      </c>
      <c r="E890" s="7" t="str">
        <f>IF('Port Bloomberg'!E890="","",'Port Bloomberg'!E890)</f>
        <v/>
      </c>
      <c r="F890" s="7" t="str">
        <f>IF('Port Bloomberg'!F890="","",'Port Bloomberg'!F890)</f>
        <v/>
      </c>
      <c r="G890" s="7" t="str">
        <f>IF('Port Bloomberg'!G890="","",'Port Bloomberg'!G890)</f>
        <v/>
      </c>
      <c r="H890" s="7" t="str">
        <f>IF('Port Bloomberg'!H890="","",'Port Bloomberg'!H890)</f>
        <v/>
      </c>
      <c r="I890" s="7" t="str">
        <f>IF('Port Bloomberg'!I890="","",'Port Bloomberg'!I890)</f>
        <v/>
      </c>
      <c r="J890" s="7" t="str">
        <f>IF('Port Bloomberg'!J890="","",'Port Bloomberg'!J890)</f>
        <v/>
      </c>
      <c r="K890" s="7" t="str">
        <f>IF('Port Bloomberg'!K890="","",'Port Bloomberg'!K890)</f>
        <v/>
      </c>
      <c r="L890" s="7" t="str">
        <f>IF('Port Bloomberg'!L890="","",'Port Bloomberg'!L890)</f>
        <v/>
      </c>
      <c r="M890" s="7" t="str">
        <f>IF('Port Bloomberg'!M890="","",'Port Bloomberg'!M890)</f>
        <v/>
      </c>
      <c r="N890" s="7" t="str">
        <f>IF('Port Bloomberg'!N890="","",'Port Bloomberg'!N890)</f>
        <v/>
      </c>
      <c r="O890" s="7" t="str">
        <f>IF('Port Bloomberg'!O890="","",'Port Bloomberg'!O890)</f>
        <v/>
      </c>
      <c r="P890" s="7" t="str">
        <f>IF('Port Bloomberg'!P890="","",'Port Bloomberg'!P890)</f>
        <v/>
      </c>
      <c r="Q890" s="7" t="str">
        <f>IF('Port Bloomberg'!Q890="","",'Port Bloomberg'!Q890)</f>
        <v/>
      </c>
      <c r="R890" s="7" t="str">
        <f>IF('Port Bloomberg'!R890="","",'Port Bloomberg'!R890)</f>
        <v/>
      </c>
      <c r="S890" s="5" t="str">
        <f>IF(E890="","",IFERROR(IF(MATCH(E890,[1]Instrumentos!$D:$D,0)&gt;0,1,0),0))</f>
        <v/>
      </c>
      <c r="T890" s="5" t="str">
        <f>IF(E890="","",IFERROR(IF(MATCH(E890,'Lista de excepciones'!$E:$E,0)&gt;0,1,0),0))</f>
        <v/>
      </c>
      <c r="U890" s="6" t="str">
        <f t="shared" si="14"/>
        <v/>
      </c>
    </row>
    <row r="891" spans="1:21" hidden="1" x14ac:dyDescent="0.25">
      <c r="A891" s="7" t="str">
        <f>IF('Port Bloomberg'!A891="","",'Port Bloomberg'!A891)</f>
        <v/>
      </c>
      <c r="B891" s="7" t="str">
        <f>IF('Port Bloomberg'!B891="","",'Port Bloomberg'!B891)</f>
        <v/>
      </c>
      <c r="C891" s="7" t="str">
        <f>IF('Port Bloomberg'!C891="","",'Port Bloomberg'!C891)</f>
        <v/>
      </c>
      <c r="D891" s="7" t="str">
        <f>IF('Port Bloomberg'!D891="","",'Port Bloomberg'!D891)</f>
        <v/>
      </c>
      <c r="E891" s="7" t="str">
        <f>IF('Port Bloomberg'!E891="","",'Port Bloomberg'!E891)</f>
        <v/>
      </c>
      <c r="F891" s="7" t="str">
        <f>IF('Port Bloomberg'!F891="","",'Port Bloomberg'!F891)</f>
        <v/>
      </c>
      <c r="G891" s="7" t="str">
        <f>IF('Port Bloomberg'!G891="","",'Port Bloomberg'!G891)</f>
        <v/>
      </c>
      <c r="H891" s="7" t="str">
        <f>IF('Port Bloomberg'!H891="","",'Port Bloomberg'!H891)</f>
        <v/>
      </c>
      <c r="I891" s="7" t="str">
        <f>IF('Port Bloomberg'!I891="","",'Port Bloomberg'!I891)</f>
        <v/>
      </c>
      <c r="J891" s="7" t="str">
        <f>IF('Port Bloomberg'!J891="","",'Port Bloomberg'!J891)</f>
        <v/>
      </c>
      <c r="K891" s="7" t="str">
        <f>IF('Port Bloomberg'!K891="","",'Port Bloomberg'!K891)</f>
        <v/>
      </c>
      <c r="L891" s="7" t="str">
        <f>IF('Port Bloomberg'!L891="","",'Port Bloomberg'!L891)</f>
        <v/>
      </c>
      <c r="M891" s="7" t="str">
        <f>IF('Port Bloomberg'!M891="","",'Port Bloomberg'!M891)</f>
        <v/>
      </c>
      <c r="N891" s="7" t="str">
        <f>IF('Port Bloomberg'!N891="","",'Port Bloomberg'!N891)</f>
        <v/>
      </c>
      <c r="O891" s="7" t="str">
        <f>IF('Port Bloomberg'!O891="","",'Port Bloomberg'!O891)</f>
        <v/>
      </c>
      <c r="P891" s="7" t="str">
        <f>IF('Port Bloomberg'!P891="","",'Port Bloomberg'!P891)</f>
        <v/>
      </c>
      <c r="Q891" s="7" t="str">
        <f>IF('Port Bloomberg'!Q891="","",'Port Bloomberg'!Q891)</f>
        <v/>
      </c>
      <c r="R891" s="7" t="str">
        <f>IF('Port Bloomberg'!R891="","",'Port Bloomberg'!R891)</f>
        <v/>
      </c>
      <c r="S891" s="5" t="str">
        <f>IF(E891="","",IFERROR(IF(MATCH(E891,[1]Instrumentos!$D:$D,0)&gt;0,1,0),0))</f>
        <v/>
      </c>
      <c r="T891" s="5" t="str">
        <f>IF(E891="","",IFERROR(IF(MATCH(E891,'Lista de excepciones'!$E:$E,0)&gt;0,1,0),0))</f>
        <v/>
      </c>
      <c r="U891" s="6" t="str">
        <f t="shared" si="14"/>
        <v/>
      </c>
    </row>
    <row r="892" spans="1:21" hidden="1" x14ac:dyDescent="0.25">
      <c r="A892" s="7" t="str">
        <f>IF('Port Bloomberg'!A892="","",'Port Bloomberg'!A892)</f>
        <v/>
      </c>
      <c r="B892" s="7" t="str">
        <f>IF('Port Bloomberg'!B892="","",'Port Bloomberg'!B892)</f>
        <v/>
      </c>
      <c r="C892" s="7" t="str">
        <f>IF('Port Bloomberg'!C892="","",'Port Bloomberg'!C892)</f>
        <v/>
      </c>
      <c r="D892" s="7" t="str">
        <f>IF('Port Bloomberg'!D892="","",'Port Bloomberg'!D892)</f>
        <v/>
      </c>
      <c r="E892" s="7" t="str">
        <f>IF('Port Bloomberg'!E892="","",'Port Bloomberg'!E892)</f>
        <v/>
      </c>
      <c r="F892" s="7" t="str">
        <f>IF('Port Bloomberg'!F892="","",'Port Bloomberg'!F892)</f>
        <v/>
      </c>
      <c r="G892" s="7" t="str">
        <f>IF('Port Bloomberg'!G892="","",'Port Bloomberg'!G892)</f>
        <v/>
      </c>
      <c r="H892" s="7" t="str">
        <f>IF('Port Bloomberg'!H892="","",'Port Bloomberg'!H892)</f>
        <v/>
      </c>
      <c r="I892" s="7" t="str">
        <f>IF('Port Bloomberg'!I892="","",'Port Bloomberg'!I892)</f>
        <v/>
      </c>
      <c r="J892" s="7" t="str">
        <f>IF('Port Bloomberg'!J892="","",'Port Bloomberg'!J892)</f>
        <v/>
      </c>
      <c r="K892" s="7" t="str">
        <f>IF('Port Bloomberg'!K892="","",'Port Bloomberg'!K892)</f>
        <v/>
      </c>
      <c r="L892" s="7" t="str">
        <f>IF('Port Bloomberg'!L892="","",'Port Bloomberg'!L892)</f>
        <v/>
      </c>
      <c r="M892" s="7" t="str">
        <f>IF('Port Bloomberg'!M892="","",'Port Bloomberg'!M892)</f>
        <v/>
      </c>
      <c r="N892" s="7" t="str">
        <f>IF('Port Bloomberg'!N892="","",'Port Bloomberg'!N892)</f>
        <v/>
      </c>
      <c r="O892" s="7" t="str">
        <f>IF('Port Bloomberg'!O892="","",'Port Bloomberg'!O892)</f>
        <v/>
      </c>
      <c r="P892" s="7" t="str">
        <f>IF('Port Bloomberg'!P892="","",'Port Bloomberg'!P892)</f>
        <v/>
      </c>
      <c r="Q892" s="7" t="str">
        <f>IF('Port Bloomberg'!Q892="","",'Port Bloomberg'!Q892)</f>
        <v/>
      </c>
      <c r="R892" s="7" t="str">
        <f>IF('Port Bloomberg'!R892="","",'Port Bloomberg'!R892)</f>
        <v/>
      </c>
      <c r="S892" s="5" t="str">
        <f>IF(E892="","",IFERROR(IF(MATCH(E892,[1]Instrumentos!$D:$D,0)&gt;0,1,0),0))</f>
        <v/>
      </c>
      <c r="T892" s="5" t="str">
        <f>IF(E892="","",IFERROR(IF(MATCH(E892,'Lista de excepciones'!$E:$E,0)&gt;0,1,0),0))</f>
        <v/>
      </c>
      <c r="U892" s="6" t="str">
        <f t="shared" si="14"/>
        <v/>
      </c>
    </row>
    <row r="893" spans="1:21" hidden="1" x14ac:dyDescent="0.25">
      <c r="A893" s="7" t="str">
        <f>IF('Port Bloomberg'!A893="","",'Port Bloomberg'!A893)</f>
        <v/>
      </c>
      <c r="B893" s="7" t="str">
        <f>IF('Port Bloomberg'!B893="","",'Port Bloomberg'!B893)</f>
        <v/>
      </c>
      <c r="C893" s="7" t="str">
        <f>IF('Port Bloomberg'!C893="","",'Port Bloomberg'!C893)</f>
        <v/>
      </c>
      <c r="D893" s="7" t="str">
        <f>IF('Port Bloomberg'!D893="","",'Port Bloomberg'!D893)</f>
        <v/>
      </c>
      <c r="E893" s="7" t="str">
        <f>IF('Port Bloomberg'!E893="","",'Port Bloomberg'!E893)</f>
        <v/>
      </c>
      <c r="F893" s="7" t="str">
        <f>IF('Port Bloomberg'!F893="","",'Port Bloomberg'!F893)</f>
        <v/>
      </c>
      <c r="G893" s="7" t="str">
        <f>IF('Port Bloomberg'!G893="","",'Port Bloomberg'!G893)</f>
        <v/>
      </c>
      <c r="H893" s="7" t="str">
        <f>IF('Port Bloomberg'!H893="","",'Port Bloomberg'!H893)</f>
        <v/>
      </c>
      <c r="I893" s="7" t="str">
        <f>IF('Port Bloomberg'!I893="","",'Port Bloomberg'!I893)</f>
        <v/>
      </c>
      <c r="J893" s="7" t="str">
        <f>IF('Port Bloomberg'!J893="","",'Port Bloomberg'!J893)</f>
        <v/>
      </c>
      <c r="K893" s="7" t="str">
        <f>IF('Port Bloomberg'!K893="","",'Port Bloomberg'!K893)</f>
        <v/>
      </c>
      <c r="L893" s="7" t="str">
        <f>IF('Port Bloomberg'!L893="","",'Port Bloomberg'!L893)</f>
        <v/>
      </c>
      <c r="M893" s="7" t="str">
        <f>IF('Port Bloomberg'!M893="","",'Port Bloomberg'!M893)</f>
        <v/>
      </c>
      <c r="N893" s="7" t="str">
        <f>IF('Port Bloomberg'!N893="","",'Port Bloomberg'!N893)</f>
        <v/>
      </c>
      <c r="O893" s="7" t="str">
        <f>IF('Port Bloomberg'!O893="","",'Port Bloomberg'!O893)</f>
        <v/>
      </c>
      <c r="P893" s="7" t="str">
        <f>IF('Port Bloomberg'!P893="","",'Port Bloomberg'!P893)</f>
        <v/>
      </c>
      <c r="Q893" s="7" t="str">
        <f>IF('Port Bloomberg'!Q893="","",'Port Bloomberg'!Q893)</f>
        <v/>
      </c>
      <c r="R893" s="7" t="str">
        <f>IF('Port Bloomberg'!R893="","",'Port Bloomberg'!R893)</f>
        <v/>
      </c>
      <c r="S893" s="5" t="str">
        <f>IF(E893="","",IFERROR(IF(MATCH(E893,[1]Instrumentos!$D:$D,0)&gt;0,1,0),0))</f>
        <v/>
      </c>
      <c r="T893" s="5" t="str">
        <f>IF(E893="","",IFERROR(IF(MATCH(E893,'Lista de excepciones'!$E:$E,0)&gt;0,1,0),0))</f>
        <v/>
      </c>
      <c r="U893" s="6" t="str">
        <f t="shared" si="14"/>
        <v/>
      </c>
    </row>
    <row r="894" spans="1:21" hidden="1" x14ac:dyDescent="0.25">
      <c r="A894" s="7" t="str">
        <f>IF('Port Bloomberg'!A894="","",'Port Bloomberg'!A894)</f>
        <v/>
      </c>
      <c r="B894" s="7" t="str">
        <f>IF('Port Bloomberg'!B894="","",'Port Bloomberg'!B894)</f>
        <v/>
      </c>
      <c r="C894" s="7" t="str">
        <f>IF('Port Bloomberg'!C894="","",'Port Bloomberg'!C894)</f>
        <v/>
      </c>
      <c r="D894" s="7" t="str">
        <f>IF('Port Bloomberg'!D894="","",'Port Bloomberg'!D894)</f>
        <v/>
      </c>
      <c r="E894" s="7" t="str">
        <f>IF('Port Bloomberg'!E894="","",'Port Bloomberg'!E894)</f>
        <v/>
      </c>
      <c r="F894" s="7" t="str">
        <f>IF('Port Bloomberg'!F894="","",'Port Bloomberg'!F894)</f>
        <v/>
      </c>
      <c r="G894" s="7" t="str">
        <f>IF('Port Bloomberg'!G894="","",'Port Bloomberg'!G894)</f>
        <v/>
      </c>
      <c r="H894" s="7" t="str">
        <f>IF('Port Bloomberg'!H894="","",'Port Bloomberg'!H894)</f>
        <v/>
      </c>
      <c r="I894" s="7" t="str">
        <f>IF('Port Bloomberg'!I894="","",'Port Bloomberg'!I894)</f>
        <v/>
      </c>
      <c r="J894" s="7" t="str">
        <f>IF('Port Bloomberg'!J894="","",'Port Bloomberg'!J894)</f>
        <v/>
      </c>
      <c r="K894" s="7" t="str">
        <f>IF('Port Bloomberg'!K894="","",'Port Bloomberg'!K894)</f>
        <v/>
      </c>
      <c r="L894" s="7" t="str">
        <f>IF('Port Bloomberg'!L894="","",'Port Bloomberg'!L894)</f>
        <v/>
      </c>
      <c r="M894" s="7" t="str">
        <f>IF('Port Bloomberg'!M894="","",'Port Bloomberg'!M894)</f>
        <v/>
      </c>
      <c r="N894" s="7" t="str">
        <f>IF('Port Bloomberg'!N894="","",'Port Bloomberg'!N894)</f>
        <v/>
      </c>
      <c r="O894" s="7" t="str">
        <f>IF('Port Bloomberg'!O894="","",'Port Bloomberg'!O894)</f>
        <v/>
      </c>
      <c r="P894" s="7" t="str">
        <f>IF('Port Bloomberg'!P894="","",'Port Bloomberg'!P894)</f>
        <v/>
      </c>
      <c r="Q894" s="7" t="str">
        <f>IF('Port Bloomberg'!Q894="","",'Port Bloomberg'!Q894)</f>
        <v/>
      </c>
      <c r="R894" s="7" t="str">
        <f>IF('Port Bloomberg'!R894="","",'Port Bloomberg'!R894)</f>
        <v/>
      </c>
      <c r="S894" s="5" t="str">
        <f>IF(E894="","",IFERROR(IF(MATCH(E894,[1]Instrumentos!$D:$D,0)&gt;0,1,0),0))</f>
        <v/>
      </c>
      <c r="T894" s="5" t="str">
        <f>IF(E894="","",IFERROR(IF(MATCH(E894,'Lista de excepciones'!$E:$E,0)&gt;0,1,0),0))</f>
        <v/>
      </c>
      <c r="U894" s="6" t="str">
        <f t="shared" si="14"/>
        <v/>
      </c>
    </row>
    <row r="895" spans="1:21" hidden="1" x14ac:dyDescent="0.25">
      <c r="A895" s="7" t="str">
        <f>IF('Port Bloomberg'!A895="","",'Port Bloomberg'!A895)</f>
        <v/>
      </c>
      <c r="B895" s="7" t="str">
        <f>IF('Port Bloomberg'!B895="","",'Port Bloomberg'!B895)</f>
        <v/>
      </c>
      <c r="C895" s="7" t="str">
        <f>IF('Port Bloomberg'!C895="","",'Port Bloomberg'!C895)</f>
        <v/>
      </c>
      <c r="D895" s="7" t="str">
        <f>IF('Port Bloomberg'!D895="","",'Port Bloomberg'!D895)</f>
        <v/>
      </c>
      <c r="E895" s="7" t="str">
        <f>IF('Port Bloomberg'!E895="","",'Port Bloomberg'!E895)</f>
        <v/>
      </c>
      <c r="F895" s="7" t="str">
        <f>IF('Port Bloomberg'!F895="","",'Port Bloomberg'!F895)</f>
        <v/>
      </c>
      <c r="G895" s="7" t="str">
        <f>IF('Port Bloomberg'!G895="","",'Port Bloomberg'!G895)</f>
        <v/>
      </c>
      <c r="H895" s="7" t="str">
        <f>IF('Port Bloomberg'!H895="","",'Port Bloomberg'!H895)</f>
        <v/>
      </c>
      <c r="I895" s="7" t="str">
        <f>IF('Port Bloomberg'!I895="","",'Port Bloomberg'!I895)</f>
        <v/>
      </c>
      <c r="J895" s="7" t="str">
        <f>IF('Port Bloomberg'!J895="","",'Port Bloomberg'!J895)</f>
        <v/>
      </c>
      <c r="K895" s="7" t="str">
        <f>IF('Port Bloomberg'!K895="","",'Port Bloomberg'!K895)</f>
        <v/>
      </c>
      <c r="L895" s="7" t="str">
        <f>IF('Port Bloomberg'!L895="","",'Port Bloomberg'!L895)</f>
        <v/>
      </c>
      <c r="M895" s="7" t="str">
        <f>IF('Port Bloomberg'!M895="","",'Port Bloomberg'!M895)</f>
        <v/>
      </c>
      <c r="N895" s="7" t="str">
        <f>IF('Port Bloomberg'!N895="","",'Port Bloomberg'!N895)</f>
        <v/>
      </c>
      <c r="O895" s="7" t="str">
        <f>IF('Port Bloomberg'!O895="","",'Port Bloomberg'!O895)</f>
        <v/>
      </c>
      <c r="P895" s="7" t="str">
        <f>IF('Port Bloomberg'!P895="","",'Port Bloomberg'!P895)</f>
        <v/>
      </c>
      <c r="Q895" s="7" t="str">
        <f>IF('Port Bloomberg'!Q895="","",'Port Bloomberg'!Q895)</f>
        <v/>
      </c>
      <c r="R895" s="7" t="str">
        <f>IF('Port Bloomberg'!R895="","",'Port Bloomberg'!R895)</f>
        <v/>
      </c>
      <c r="S895" s="5" t="str">
        <f>IF(E895="","",IFERROR(IF(MATCH(E895,[1]Instrumentos!$D:$D,0)&gt;0,1,0),0))</f>
        <v/>
      </c>
      <c r="T895" s="5" t="str">
        <f>IF(E895="","",IFERROR(IF(MATCH(E895,'Lista de excepciones'!$E:$E,0)&gt;0,1,0),0))</f>
        <v/>
      </c>
      <c r="U895" s="6" t="str">
        <f t="shared" si="14"/>
        <v/>
      </c>
    </row>
    <row r="896" spans="1:21" hidden="1" x14ac:dyDescent="0.25">
      <c r="A896" s="7" t="str">
        <f>IF('Port Bloomberg'!A896="","",'Port Bloomberg'!A896)</f>
        <v/>
      </c>
      <c r="B896" s="7" t="str">
        <f>IF('Port Bloomberg'!B896="","",'Port Bloomberg'!B896)</f>
        <v/>
      </c>
      <c r="C896" s="7" t="str">
        <f>IF('Port Bloomberg'!C896="","",'Port Bloomberg'!C896)</f>
        <v/>
      </c>
      <c r="D896" s="7" t="str">
        <f>IF('Port Bloomberg'!D896="","",'Port Bloomberg'!D896)</f>
        <v/>
      </c>
      <c r="E896" s="7" t="str">
        <f>IF('Port Bloomberg'!E896="","",'Port Bloomberg'!E896)</f>
        <v/>
      </c>
      <c r="F896" s="7" t="str">
        <f>IF('Port Bloomberg'!F896="","",'Port Bloomberg'!F896)</f>
        <v/>
      </c>
      <c r="G896" s="7" t="str">
        <f>IF('Port Bloomberg'!G896="","",'Port Bloomberg'!G896)</f>
        <v/>
      </c>
      <c r="H896" s="7" t="str">
        <f>IF('Port Bloomberg'!H896="","",'Port Bloomberg'!H896)</f>
        <v/>
      </c>
      <c r="I896" s="7" t="str">
        <f>IF('Port Bloomberg'!I896="","",'Port Bloomberg'!I896)</f>
        <v/>
      </c>
      <c r="J896" s="7" t="str">
        <f>IF('Port Bloomberg'!J896="","",'Port Bloomberg'!J896)</f>
        <v/>
      </c>
      <c r="K896" s="7" t="str">
        <f>IF('Port Bloomberg'!K896="","",'Port Bloomberg'!K896)</f>
        <v/>
      </c>
      <c r="L896" s="7" t="str">
        <f>IF('Port Bloomberg'!L896="","",'Port Bloomberg'!L896)</f>
        <v/>
      </c>
      <c r="M896" s="7" t="str">
        <f>IF('Port Bloomberg'!M896="","",'Port Bloomberg'!M896)</f>
        <v/>
      </c>
      <c r="N896" s="7" t="str">
        <f>IF('Port Bloomberg'!N896="","",'Port Bloomberg'!N896)</f>
        <v/>
      </c>
      <c r="O896" s="7" t="str">
        <f>IF('Port Bloomberg'!O896="","",'Port Bloomberg'!O896)</f>
        <v/>
      </c>
      <c r="P896" s="7" t="str">
        <f>IF('Port Bloomberg'!P896="","",'Port Bloomberg'!P896)</f>
        <v/>
      </c>
      <c r="Q896" s="7" t="str">
        <f>IF('Port Bloomberg'!Q896="","",'Port Bloomberg'!Q896)</f>
        <v/>
      </c>
      <c r="R896" s="7" t="str">
        <f>IF('Port Bloomberg'!R896="","",'Port Bloomberg'!R896)</f>
        <v/>
      </c>
      <c r="S896" s="5" t="str">
        <f>IF(E896="","",IFERROR(IF(MATCH(E896,[1]Instrumentos!$D:$D,0)&gt;0,1,0),0))</f>
        <v/>
      </c>
      <c r="T896" s="5" t="str">
        <f>IF(E896="","",IFERROR(IF(MATCH(E896,'Lista de excepciones'!$E:$E,0)&gt;0,1,0),0))</f>
        <v/>
      </c>
      <c r="U896" s="6" t="str">
        <f t="shared" si="14"/>
        <v/>
      </c>
    </row>
    <row r="897" spans="1:21" hidden="1" x14ac:dyDescent="0.25">
      <c r="A897" s="7" t="str">
        <f>IF('Port Bloomberg'!A897="","",'Port Bloomberg'!A897)</f>
        <v/>
      </c>
      <c r="B897" s="7" t="str">
        <f>IF('Port Bloomberg'!B897="","",'Port Bloomberg'!B897)</f>
        <v/>
      </c>
      <c r="C897" s="7" t="str">
        <f>IF('Port Bloomberg'!C897="","",'Port Bloomberg'!C897)</f>
        <v/>
      </c>
      <c r="D897" s="7" t="str">
        <f>IF('Port Bloomberg'!D897="","",'Port Bloomberg'!D897)</f>
        <v/>
      </c>
      <c r="E897" s="7" t="str">
        <f>IF('Port Bloomberg'!E897="","",'Port Bloomberg'!E897)</f>
        <v/>
      </c>
      <c r="F897" s="7" t="str">
        <f>IF('Port Bloomberg'!F897="","",'Port Bloomberg'!F897)</f>
        <v/>
      </c>
      <c r="G897" s="7" t="str">
        <f>IF('Port Bloomberg'!G897="","",'Port Bloomberg'!G897)</f>
        <v/>
      </c>
      <c r="H897" s="7" t="str">
        <f>IF('Port Bloomberg'!H897="","",'Port Bloomberg'!H897)</f>
        <v/>
      </c>
      <c r="I897" s="7" t="str">
        <f>IF('Port Bloomberg'!I897="","",'Port Bloomberg'!I897)</f>
        <v/>
      </c>
      <c r="J897" s="7" t="str">
        <f>IF('Port Bloomberg'!J897="","",'Port Bloomberg'!J897)</f>
        <v/>
      </c>
      <c r="K897" s="7" t="str">
        <f>IF('Port Bloomberg'!K897="","",'Port Bloomberg'!K897)</f>
        <v/>
      </c>
      <c r="L897" s="7" t="str">
        <f>IF('Port Bloomberg'!L897="","",'Port Bloomberg'!L897)</f>
        <v/>
      </c>
      <c r="M897" s="7" t="str">
        <f>IF('Port Bloomberg'!M897="","",'Port Bloomberg'!M897)</f>
        <v/>
      </c>
      <c r="N897" s="7" t="str">
        <f>IF('Port Bloomberg'!N897="","",'Port Bloomberg'!N897)</f>
        <v/>
      </c>
      <c r="O897" s="7" t="str">
        <f>IF('Port Bloomberg'!O897="","",'Port Bloomberg'!O897)</f>
        <v/>
      </c>
      <c r="P897" s="7" t="str">
        <f>IF('Port Bloomberg'!P897="","",'Port Bloomberg'!P897)</f>
        <v/>
      </c>
      <c r="Q897" s="7" t="str">
        <f>IF('Port Bloomberg'!Q897="","",'Port Bloomberg'!Q897)</f>
        <v/>
      </c>
      <c r="R897" s="7" t="str">
        <f>IF('Port Bloomberg'!R897="","",'Port Bloomberg'!R897)</f>
        <v/>
      </c>
      <c r="S897" s="5" t="str">
        <f>IF(E897="","",IFERROR(IF(MATCH(E897,[1]Instrumentos!$D:$D,0)&gt;0,1,0),0))</f>
        <v/>
      </c>
      <c r="T897" s="5" t="str">
        <f>IF(E897="","",IFERROR(IF(MATCH(E897,'Lista de excepciones'!$E:$E,0)&gt;0,1,0),0))</f>
        <v/>
      </c>
      <c r="U897" s="6" t="str">
        <f t="shared" si="14"/>
        <v/>
      </c>
    </row>
    <row r="898" spans="1:21" hidden="1" x14ac:dyDescent="0.25">
      <c r="A898" s="7" t="str">
        <f>IF('Port Bloomberg'!A898="","",'Port Bloomberg'!A898)</f>
        <v/>
      </c>
      <c r="B898" s="7" t="str">
        <f>IF('Port Bloomberg'!B898="","",'Port Bloomberg'!B898)</f>
        <v/>
      </c>
      <c r="C898" s="7" t="str">
        <f>IF('Port Bloomberg'!C898="","",'Port Bloomberg'!C898)</f>
        <v/>
      </c>
      <c r="D898" s="7" t="str">
        <f>IF('Port Bloomberg'!D898="","",'Port Bloomberg'!D898)</f>
        <v/>
      </c>
      <c r="E898" s="7" t="str">
        <f>IF('Port Bloomberg'!E898="","",'Port Bloomberg'!E898)</f>
        <v/>
      </c>
      <c r="F898" s="7" t="str">
        <f>IF('Port Bloomberg'!F898="","",'Port Bloomberg'!F898)</f>
        <v/>
      </c>
      <c r="G898" s="7" t="str">
        <f>IF('Port Bloomberg'!G898="","",'Port Bloomberg'!G898)</f>
        <v/>
      </c>
      <c r="H898" s="7" t="str">
        <f>IF('Port Bloomberg'!H898="","",'Port Bloomberg'!H898)</f>
        <v/>
      </c>
      <c r="I898" s="7" t="str">
        <f>IF('Port Bloomberg'!I898="","",'Port Bloomberg'!I898)</f>
        <v/>
      </c>
      <c r="J898" s="7" t="str">
        <f>IF('Port Bloomberg'!J898="","",'Port Bloomberg'!J898)</f>
        <v/>
      </c>
      <c r="K898" s="7" t="str">
        <f>IF('Port Bloomberg'!K898="","",'Port Bloomberg'!K898)</f>
        <v/>
      </c>
      <c r="L898" s="7" t="str">
        <f>IF('Port Bloomberg'!L898="","",'Port Bloomberg'!L898)</f>
        <v/>
      </c>
      <c r="M898" s="7" t="str">
        <f>IF('Port Bloomberg'!M898="","",'Port Bloomberg'!M898)</f>
        <v/>
      </c>
      <c r="N898" s="7" t="str">
        <f>IF('Port Bloomberg'!N898="","",'Port Bloomberg'!N898)</f>
        <v/>
      </c>
      <c r="O898" s="7" t="str">
        <f>IF('Port Bloomberg'!O898="","",'Port Bloomberg'!O898)</f>
        <v/>
      </c>
      <c r="P898" s="7" t="str">
        <f>IF('Port Bloomberg'!P898="","",'Port Bloomberg'!P898)</f>
        <v/>
      </c>
      <c r="Q898" s="7" t="str">
        <f>IF('Port Bloomberg'!Q898="","",'Port Bloomberg'!Q898)</f>
        <v/>
      </c>
      <c r="R898" s="7" t="str">
        <f>IF('Port Bloomberg'!R898="","",'Port Bloomberg'!R898)</f>
        <v/>
      </c>
      <c r="S898" s="5" t="str">
        <f>IF(E898="","",IFERROR(IF(MATCH(E898,[1]Instrumentos!$D:$D,0)&gt;0,1,0),0))</f>
        <v/>
      </c>
      <c r="T898" s="5" t="str">
        <f>IF(E898="","",IFERROR(IF(MATCH(E898,'Lista de excepciones'!$E:$E,0)&gt;0,1,0),0))</f>
        <v/>
      </c>
      <c r="U898" s="6" t="str">
        <f t="shared" si="14"/>
        <v/>
      </c>
    </row>
    <row r="899" spans="1:21" hidden="1" x14ac:dyDescent="0.25">
      <c r="A899" s="7" t="str">
        <f>IF('Port Bloomberg'!A899="","",'Port Bloomberg'!A899)</f>
        <v/>
      </c>
      <c r="B899" s="7" t="str">
        <f>IF('Port Bloomberg'!B899="","",'Port Bloomberg'!B899)</f>
        <v/>
      </c>
      <c r="C899" s="7" t="str">
        <f>IF('Port Bloomberg'!C899="","",'Port Bloomberg'!C899)</f>
        <v/>
      </c>
      <c r="D899" s="7" t="str">
        <f>IF('Port Bloomberg'!D899="","",'Port Bloomberg'!D899)</f>
        <v/>
      </c>
      <c r="E899" s="7" t="str">
        <f>IF('Port Bloomberg'!E899="","",'Port Bloomberg'!E899)</f>
        <v/>
      </c>
      <c r="F899" s="7" t="str">
        <f>IF('Port Bloomberg'!F899="","",'Port Bloomberg'!F899)</f>
        <v/>
      </c>
      <c r="G899" s="7" t="str">
        <f>IF('Port Bloomberg'!G899="","",'Port Bloomberg'!G899)</f>
        <v/>
      </c>
      <c r="H899" s="7" t="str">
        <f>IF('Port Bloomberg'!H899="","",'Port Bloomberg'!H899)</f>
        <v/>
      </c>
      <c r="I899" s="7" t="str">
        <f>IF('Port Bloomberg'!I899="","",'Port Bloomberg'!I899)</f>
        <v/>
      </c>
      <c r="J899" s="7" t="str">
        <f>IF('Port Bloomberg'!J899="","",'Port Bloomberg'!J899)</f>
        <v/>
      </c>
      <c r="K899" s="7" t="str">
        <f>IF('Port Bloomberg'!K899="","",'Port Bloomberg'!K899)</f>
        <v/>
      </c>
      <c r="L899" s="7" t="str">
        <f>IF('Port Bloomberg'!L899="","",'Port Bloomberg'!L899)</f>
        <v/>
      </c>
      <c r="M899" s="7" t="str">
        <f>IF('Port Bloomberg'!M899="","",'Port Bloomberg'!M899)</f>
        <v/>
      </c>
      <c r="N899" s="7" t="str">
        <f>IF('Port Bloomberg'!N899="","",'Port Bloomberg'!N899)</f>
        <v/>
      </c>
      <c r="O899" s="7" t="str">
        <f>IF('Port Bloomberg'!O899="","",'Port Bloomberg'!O899)</f>
        <v/>
      </c>
      <c r="P899" s="7" t="str">
        <f>IF('Port Bloomberg'!P899="","",'Port Bloomberg'!P899)</f>
        <v/>
      </c>
      <c r="Q899" s="7" t="str">
        <f>IF('Port Bloomberg'!Q899="","",'Port Bloomberg'!Q899)</f>
        <v/>
      </c>
      <c r="R899" s="7" t="str">
        <f>IF('Port Bloomberg'!R899="","",'Port Bloomberg'!R899)</f>
        <v/>
      </c>
      <c r="S899" s="5" t="str">
        <f>IF(E899="","",IFERROR(IF(MATCH(E899,[1]Instrumentos!$D:$D,0)&gt;0,1,0),0))</f>
        <v/>
      </c>
      <c r="T899" s="5" t="str">
        <f>IF(E899="","",IFERROR(IF(MATCH(E899,'Lista de excepciones'!$E:$E,0)&gt;0,1,0),0))</f>
        <v/>
      </c>
      <c r="U899" s="6" t="str">
        <f t="shared" ref="U899:U962" si="15">IF(E899="","",IF(S899+T899=0,"AGREGAR/REVISAR","NO"))</f>
        <v/>
      </c>
    </row>
    <row r="900" spans="1:21" hidden="1" x14ac:dyDescent="0.25">
      <c r="A900" s="7" t="str">
        <f>IF('Port Bloomberg'!A900="","",'Port Bloomberg'!A900)</f>
        <v/>
      </c>
      <c r="B900" s="7" t="str">
        <f>IF('Port Bloomberg'!B900="","",'Port Bloomberg'!B900)</f>
        <v/>
      </c>
      <c r="C900" s="7" t="str">
        <f>IF('Port Bloomberg'!C900="","",'Port Bloomberg'!C900)</f>
        <v/>
      </c>
      <c r="D900" s="7" t="str">
        <f>IF('Port Bloomberg'!D900="","",'Port Bloomberg'!D900)</f>
        <v/>
      </c>
      <c r="E900" s="7" t="str">
        <f>IF('Port Bloomberg'!E900="","",'Port Bloomberg'!E900)</f>
        <v/>
      </c>
      <c r="F900" s="7" t="str">
        <f>IF('Port Bloomberg'!F900="","",'Port Bloomberg'!F900)</f>
        <v/>
      </c>
      <c r="G900" s="7" t="str">
        <f>IF('Port Bloomberg'!G900="","",'Port Bloomberg'!G900)</f>
        <v/>
      </c>
      <c r="H900" s="7" t="str">
        <f>IF('Port Bloomberg'!H900="","",'Port Bloomberg'!H900)</f>
        <v/>
      </c>
      <c r="I900" s="7" t="str">
        <f>IF('Port Bloomberg'!I900="","",'Port Bloomberg'!I900)</f>
        <v/>
      </c>
      <c r="J900" s="7" t="str">
        <f>IF('Port Bloomberg'!J900="","",'Port Bloomberg'!J900)</f>
        <v/>
      </c>
      <c r="K900" s="7" t="str">
        <f>IF('Port Bloomberg'!K900="","",'Port Bloomberg'!K900)</f>
        <v/>
      </c>
      <c r="L900" s="7" t="str">
        <f>IF('Port Bloomberg'!L900="","",'Port Bloomberg'!L900)</f>
        <v/>
      </c>
      <c r="M900" s="7" t="str">
        <f>IF('Port Bloomberg'!M900="","",'Port Bloomberg'!M900)</f>
        <v/>
      </c>
      <c r="N900" s="7" t="str">
        <f>IF('Port Bloomberg'!N900="","",'Port Bloomberg'!N900)</f>
        <v/>
      </c>
      <c r="O900" s="7" t="str">
        <f>IF('Port Bloomberg'!O900="","",'Port Bloomberg'!O900)</f>
        <v/>
      </c>
      <c r="P900" s="7" t="str">
        <f>IF('Port Bloomberg'!P900="","",'Port Bloomberg'!P900)</f>
        <v/>
      </c>
      <c r="Q900" s="7" t="str">
        <f>IF('Port Bloomberg'!Q900="","",'Port Bloomberg'!Q900)</f>
        <v/>
      </c>
      <c r="R900" s="7" t="str">
        <f>IF('Port Bloomberg'!R900="","",'Port Bloomberg'!R900)</f>
        <v/>
      </c>
      <c r="S900" s="5" t="str">
        <f>IF(E900="","",IFERROR(IF(MATCH(E900,[1]Instrumentos!$D:$D,0)&gt;0,1,0),0))</f>
        <v/>
      </c>
      <c r="T900" s="5" t="str">
        <f>IF(E900="","",IFERROR(IF(MATCH(E900,'Lista de excepciones'!$E:$E,0)&gt;0,1,0),0))</f>
        <v/>
      </c>
      <c r="U900" s="6" t="str">
        <f t="shared" si="15"/>
        <v/>
      </c>
    </row>
    <row r="901" spans="1:21" hidden="1" x14ac:dyDescent="0.25">
      <c r="A901" s="7" t="str">
        <f>IF('Port Bloomberg'!A901="","",'Port Bloomberg'!A901)</f>
        <v/>
      </c>
      <c r="B901" s="7" t="str">
        <f>IF('Port Bloomberg'!B901="","",'Port Bloomberg'!B901)</f>
        <v/>
      </c>
      <c r="C901" s="7" t="str">
        <f>IF('Port Bloomberg'!C901="","",'Port Bloomberg'!C901)</f>
        <v/>
      </c>
      <c r="D901" s="7" t="str">
        <f>IF('Port Bloomberg'!D901="","",'Port Bloomberg'!D901)</f>
        <v/>
      </c>
      <c r="E901" s="7" t="str">
        <f>IF('Port Bloomberg'!E901="","",'Port Bloomberg'!E901)</f>
        <v/>
      </c>
      <c r="F901" s="7" t="str">
        <f>IF('Port Bloomberg'!F901="","",'Port Bloomberg'!F901)</f>
        <v/>
      </c>
      <c r="G901" s="7" t="str">
        <f>IF('Port Bloomberg'!G901="","",'Port Bloomberg'!G901)</f>
        <v/>
      </c>
      <c r="H901" s="7" t="str">
        <f>IF('Port Bloomberg'!H901="","",'Port Bloomberg'!H901)</f>
        <v/>
      </c>
      <c r="I901" s="7" t="str">
        <f>IF('Port Bloomberg'!I901="","",'Port Bloomberg'!I901)</f>
        <v/>
      </c>
      <c r="J901" s="7" t="str">
        <f>IF('Port Bloomberg'!J901="","",'Port Bloomberg'!J901)</f>
        <v/>
      </c>
      <c r="K901" s="7" t="str">
        <f>IF('Port Bloomberg'!K901="","",'Port Bloomberg'!K901)</f>
        <v/>
      </c>
      <c r="L901" s="7" t="str">
        <f>IF('Port Bloomberg'!L901="","",'Port Bloomberg'!L901)</f>
        <v/>
      </c>
      <c r="M901" s="7" t="str">
        <f>IF('Port Bloomberg'!M901="","",'Port Bloomberg'!M901)</f>
        <v/>
      </c>
      <c r="N901" s="7" t="str">
        <f>IF('Port Bloomberg'!N901="","",'Port Bloomberg'!N901)</f>
        <v/>
      </c>
      <c r="O901" s="7" t="str">
        <f>IF('Port Bloomberg'!O901="","",'Port Bloomberg'!O901)</f>
        <v/>
      </c>
      <c r="P901" s="7" t="str">
        <f>IF('Port Bloomberg'!P901="","",'Port Bloomberg'!P901)</f>
        <v/>
      </c>
      <c r="Q901" s="7" t="str">
        <f>IF('Port Bloomberg'!Q901="","",'Port Bloomberg'!Q901)</f>
        <v/>
      </c>
      <c r="R901" s="7" t="str">
        <f>IF('Port Bloomberg'!R901="","",'Port Bloomberg'!R901)</f>
        <v/>
      </c>
      <c r="S901" s="5" t="str">
        <f>IF(E901="","",IFERROR(IF(MATCH(E901,[1]Instrumentos!$D:$D,0)&gt;0,1,0),0))</f>
        <v/>
      </c>
      <c r="T901" s="5" t="str">
        <f>IF(E901="","",IFERROR(IF(MATCH(E901,'Lista de excepciones'!$E:$E,0)&gt;0,1,0),0))</f>
        <v/>
      </c>
      <c r="U901" s="6" t="str">
        <f t="shared" si="15"/>
        <v/>
      </c>
    </row>
    <row r="902" spans="1:21" hidden="1" x14ac:dyDescent="0.25">
      <c r="A902" s="7" t="str">
        <f>IF('Port Bloomberg'!A902="","",'Port Bloomberg'!A902)</f>
        <v/>
      </c>
      <c r="B902" s="7" t="str">
        <f>IF('Port Bloomberg'!B902="","",'Port Bloomberg'!B902)</f>
        <v/>
      </c>
      <c r="C902" s="7" t="str">
        <f>IF('Port Bloomberg'!C902="","",'Port Bloomberg'!C902)</f>
        <v/>
      </c>
      <c r="D902" s="7" t="str">
        <f>IF('Port Bloomberg'!D902="","",'Port Bloomberg'!D902)</f>
        <v/>
      </c>
      <c r="E902" s="7" t="str">
        <f>IF('Port Bloomberg'!E902="","",'Port Bloomberg'!E902)</f>
        <v/>
      </c>
      <c r="F902" s="7" t="str">
        <f>IF('Port Bloomberg'!F902="","",'Port Bloomberg'!F902)</f>
        <v/>
      </c>
      <c r="G902" s="7" t="str">
        <f>IF('Port Bloomberg'!G902="","",'Port Bloomberg'!G902)</f>
        <v/>
      </c>
      <c r="H902" s="7" t="str">
        <f>IF('Port Bloomberg'!H902="","",'Port Bloomberg'!H902)</f>
        <v/>
      </c>
      <c r="I902" s="7" t="str">
        <f>IF('Port Bloomberg'!I902="","",'Port Bloomberg'!I902)</f>
        <v/>
      </c>
      <c r="J902" s="7" t="str">
        <f>IF('Port Bloomberg'!J902="","",'Port Bloomberg'!J902)</f>
        <v/>
      </c>
      <c r="K902" s="7" t="str">
        <f>IF('Port Bloomberg'!K902="","",'Port Bloomberg'!K902)</f>
        <v/>
      </c>
      <c r="L902" s="7" t="str">
        <f>IF('Port Bloomberg'!L902="","",'Port Bloomberg'!L902)</f>
        <v/>
      </c>
      <c r="M902" s="7" t="str">
        <f>IF('Port Bloomberg'!M902="","",'Port Bloomberg'!M902)</f>
        <v/>
      </c>
      <c r="N902" s="7" t="str">
        <f>IF('Port Bloomberg'!N902="","",'Port Bloomberg'!N902)</f>
        <v/>
      </c>
      <c r="O902" s="7" t="str">
        <f>IF('Port Bloomberg'!O902="","",'Port Bloomberg'!O902)</f>
        <v/>
      </c>
      <c r="P902" s="7" t="str">
        <f>IF('Port Bloomberg'!P902="","",'Port Bloomberg'!P902)</f>
        <v/>
      </c>
      <c r="Q902" s="7" t="str">
        <f>IF('Port Bloomberg'!Q902="","",'Port Bloomberg'!Q902)</f>
        <v/>
      </c>
      <c r="R902" s="7" t="str">
        <f>IF('Port Bloomberg'!R902="","",'Port Bloomberg'!R902)</f>
        <v/>
      </c>
      <c r="S902" s="5" t="str">
        <f>IF(E902="","",IFERROR(IF(MATCH(E902,[1]Instrumentos!$D:$D,0)&gt;0,1,0),0))</f>
        <v/>
      </c>
      <c r="T902" s="5" t="str">
        <f>IF(E902="","",IFERROR(IF(MATCH(E902,'Lista de excepciones'!$E:$E,0)&gt;0,1,0),0))</f>
        <v/>
      </c>
      <c r="U902" s="6" t="str">
        <f t="shared" si="15"/>
        <v/>
      </c>
    </row>
    <row r="903" spans="1:21" hidden="1" x14ac:dyDescent="0.25">
      <c r="A903" s="7" t="str">
        <f>IF('Port Bloomberg'!A903="","",'Port Bloomberg'!A903)</f>
        <v/>
      </c>
      <c r="B903" s="7" t="str">
        <f>IF('Port Bloomberg'!B903="","",'Port Bloomberg'!B903)</f>
        <v/>
      </c>
      <c r="C903" s="7" t="str">
        <f>IF('Port Bloomberg'!C903="","",'Port Bloomberg'!C903)</f>
        <v/>
      </c>
      <c r="D903" s="7" t="str">
        <f>IF('Port Bloomberg'!D903="","",'Port Bloomberg'!D903)</f>
        <v/>
      </c>
      <c r="E903" s="7" t="str">
        <f>IF('Port Bloomberg'!E903="","",'Port Bloomberg'!E903)</f>
        <v/>
      </c>
      <c r="F903" s="7" t="str">
        <f>IF('Port Bloomberg'!F903="","",'Port Bloomberg'!F903)</f>
        <v/>
      </c>
      <c r="G903" s="7" t="str">
        <f>IF('Port Bloomberg'!G903="","",'Port Bloomberg'!G903)</f>
        <v/>
      </c>
      <c r="H903" s="7" t="str">
        <f>IF('Port Bloomberg'!H903="","",'Port Bloomberg'!H903)</f>
        <v/>
      </c>
      <c r="I903" s="7" t="str">
        <f>IF('Port Bloomberg'!I903="","",'Port Bloomberg'!I903)</f>
        <v/>
      </c>
      <c r="J903" s="7" t="str">
        <f>IF('Port Bloomberg'!J903="","",'Port Bloomberg'!J903)</f>
        <v/>
      </c>
      <c r="K903" s="7" t="str">
        <f>IF('Port Bloomberg'!K903="","",'Port Bloomberg'!K903)</f>
        <v/>
      </c>
      <c r="L903" s="7" t="str">
        <f>IF('Port Bloomberg'!L903="","",'Port Bloomberg'!L903)</f>
        <v/>
      </c>
      <c r="M903" s="7" t="str">
        <f>IF('Port Bloomberg'!M903="","",'Port Bloomberg'!M903)</f>
        <v/>
      </c>
      <c r="N903" s="7" t="str">
        <f>IF('Port Bloomberg'!N903="","",'Port Bloomberg'!N903)</f>
        <v/>
      </c>
      <c r="O903" s="7" t="str">
        <f>IF('Port Bloomberg'!O903="","",'Port Bloomberg'!O903)</f>
        <v/>
      </c>
      <c r="P903" s="7" t="str">
        <f>IF('Port Bloomberg'!P903="","",'Port Bloomberg'!P903)</f>
        <v/>
      </c>
      <c r="Q903" s="7" t="str">
        <f>IF('Port Bloomberg'!Q903="","",'Port Bloomberg'!Q903)</f>
        <v/>
      </c>
      <c r="R903" s="7" t="str">
        <f>IF('Port Bloomberg'!R903="","",'Port Bloomberg'!R903)</f>
        <v/>
      </c>
      <c r="S903" s="5" t="str">
        <f>IF(E903="","",IFERROR(IF(MATCH(E903,[1]Instrumentos!$D:$D,0)&gt;0,1,0),0))</f>
        <v/>
      </c>
      <c r="T903" s="5" t="str">
        <f>IF(E903="","",IFERROR(IF(MATCH(E903,'Lista de excepciones'!$E:$E,0)&gt;0,1,0),0))</f>
        <v/>
      </c>
      <c r="U903" s="6" t="str">
        <f t="shared" si="15"/>
        <v/>
      </c>
    </row>
    <row r="904" spans="1:21" hidden="1" x14ac:dyDescent="0.25">
      <c r="A904" s="7" t="str">
        <f>IF('Port Bloomberg'!A904="","",'Port Bloomberg'!A904)</f>
        <v/>
      </c>
      <c r="B904" s="7" t="str">
        <f>IF('Port Bloomberg'!B904="","",'Port Bloomberg'!B904)</f>
        <v/>
      </c>
      <c r="C904" s="7" t="str">
        <f>IF('Port Bloomberg'!C904="","",'Port Bloomberg'!C904)</f>
        <v/>
      </c>
      <c r="D904" s="7" t="str">
        <f>IF('Port Bloomberg'!D904="","",'Port Bloomberg'!D904)</f>
        <v/>
      </c>
      <c r="E904" s="7" t="str">
        <f>IF('Port Bloomberg'!E904="","",'Port Bloomberg'!E904)</f>
        <v/>
      </c>
      <c r="F904" s="7" t="str">
        <f>IF('Port Bloomberg'!F904="","",'Port Bloomberg'!F904)</f>
        <v/>
      </c>
      <c r="G904" s="7" t="str">
        <f>IF('Port Bloomberg'!G904="","",'Port Bloomberg'!G904)</f>
        <v/>
      </c>
      <c r="H904" s="7" t="str">
        <f>IF('Port Bloomberg'!H904="","",'Port Bloomberg'!H904)</f>
        <v/>
      </c>
      <c r="I904" s="7" t="str">
        <f>IF('Port Bloomberg'!I904="","",'Port Bloomberg'!I904)</f>
        <v/>
      </c>
      <c r="J904" s="7" t="str">
        <f>IF('Port Bloomberg'!J904="","",'Port Bloomberg'!J904)</f>
        <v/>
      </c>
      <c r="K904" s="7" t="str">
        <f>IF('Port Bloomberg'!K904="","",'Port Bloomberg'!K904)</f>
        <v/>
      </c>
      <c r="L904" s="7" t="str">
        <f>IF('Port Bloomberg'!L904="","",'Port Bloomberg'!L904)</f>
        <v/>
      </c>
      <c r="M904" s="7" t="str">
        <f>IF('Port Bloomberg'!M904="","",'Port Bloomberg'!M904)</f>
        <v/>
      </c>
      <c r="N904" s="7" t="str">
        <f>IF('Port Bloomberg'!N904="","",'Port Bloomberg'!N904)</f>
        <v/>
      </c>
      <c r="O904" s="7" t="str">
        <f>IF('Port Bloomberg'!O904="","",'Port Bloomberg'!O904)</f>
        <v/>
      </c>
      <c r="P904" s="7" t="str">
        <f>IF('Port Bloomberg'!P904="","",'Port Bloomberg'!P904)</f>
        <v/>
      </c>
      <c r="Q904" s="7" t="str">
        <f>IF('Port Bloomberg'!Q904="","",'Port Bloomberg'!Q904)</f>
        <v/>
      </c>
      <c r="R904" s="7" t="str">
        <f>IF('Port Bloomberg'!R904="","",'Port Bloomberg'!R904)</f>
        <v/>
      </c>
      <c r="S904" s="5" t="str">
        <f>IF(E904="","",IFERROR(IF(MATCH(E904,[1]Instrumentos!$D:$D,0)&gt;0,1,0),0))</f>
        <v/>
      </c>
      <c r="T904" s="5" t="str">
        <f>IF(E904="","",IFERROR(IF(MATCH(E904,'Lista de excepciones'!$E:$E,0)&gt;0,1,0),0))</f>
        <v/>
      </c>
      <c r="U904" s="6" t="str">
        <f t="shared" si="15"/>
        <v/>
      </c>
    </row>
    <row r="905" spans="1:21" hidden="1" x14ac:dyDescent="0.25">
      <c r="A905" s="7" t="str">
        <f>IF('Port Bloomberg'!A905="","",'Port Bloomberg'!A905)</f>
        <v/>
      </c>
      <c r="B905" s="7" t="str">
        <f>IF('Port Bloomberg'!B905="","",'Port Bloomberg'!B905)</f>
        <v/>
      </c>
      <c r="C905" s="7" t="str">
        <f>IF('Port Bloomberg'!C905="","",'Port Bloomberg'!C905)</f>
        <v/>
      </c>
      <c r="D905" s="7" t="str">
        <f>IF('Port Bloomberg'!D905="","",'Port Bloomberg'!D905)</f>
        <v/>
      </c>
      <c r="E905" s="7" t="str">
        <f>IF('Port Bloomberg'!E905="","",'Port Bloomberg'!E905)</f>
        <v/>
      </c>
      <c r="F905" s="7" t="str">
        <f>IF('Port Bloomberg'!F905="","",'Port Bloomberg'!F905)</f>
        <v/>
      </c>
      <c r="G905" s="7" t="str">
        <f>IF('Port Bloomberg'!G905="","",'Port Bloomberg'!G905)</f>
        <v/>
      </c>
      <c r="H905" s="7" t="str">
        <f>IF('Port Bloomberg'!H905="","",'Port Bloomberg'!H905)</f>
        <v/>
      </c>
      <c r="I905" s="7" t="str">
        <f>IF('Port Bloomberg'!I905="","",'Port Bloomberg'!I905)</f>
        <v/>
      </c>
      <c r="J905" s="7" t="str">
        <f>IF('Port Bloomberg'!J905="","",'Port Bloomberg'!J905)</f>
        <v/>
      </c>
      <c r="K905" s="7" t="str">
        <f>IF('Port Bloomberg'!K905="","",'Port Bloomberg'!K905)</f>
        <v/>
      </c>
      <c r="L905" s="7" t="str">
        <f>IF('Port Bloomberg'!L905="","",'Port Bloomberg'!L905)</f>
        <v/>
      </c>
      <c r="M905" s="7" t="str">
        <f>IF('Port Bloomberg'!M905="","",'Port Bloomberg'!M905)</f>
        <v/>
      </c>
      <c r="N905" s="7" t="str">
        <f>IF('Port Bloomberg'!N905="","",'Port Bloomberg'!N905)</f>
        <v/>
      </c>
      <c r="O905" s="7" t="str">
        <f>IF('Port Bloomberg'!O905="","",'Port Bloomberg'!O905)</f>
        <v/>
      </c>
      <c r="P905" s="7" t="str">
        <f>IF('Port Bloomberg'!P905="","",'Port Bloomberg'!P905)</f>
        <v/>
      </c>
      <c r="Q905" s="7" t="str">
        <f>IF('Port Bloomberg'!Q905="","",'Port Bloomberg'!Q905)</f>
        <v/>
      </c>
      <c r="R905" s="7" t="str">
        <f>IF('Port Bloomberg'!R905="","",'Port Bloomberg'!R905)</f>
        <v/>
      </c>
      <c r="S905" s="5" t="str">
        <f>IF(E905="","",IFERROR(IF(MATCH(E905,[1]Instrumentos!$D:$D,0)&gt;0,1,0),0))</f>
        <v/>
      </c>
      <c r="T905" s="5" t="str">
        <f>IF(E905="","",IFERROR(IF(MATCH(E905,'Lista de excepciones'!$E:$E,0)&gt;0,1,0),0))</f>
        <v/>
      </c>
      <c r="U905" s="6" t="str">
        <f t="shared" si="15"/>
        <v/>
      </c>
    </row>
    <row r="906" spans="1:21" hidden="1" x14ac:dyDescent="0.25">
      <c r="A906" s="7" t="str">
        <f>IF('Port Bloomberg'!A906="","",'Port Bloomberg'!A906)</f>
        <v/>
      </c>
      <c r="B906" s="7" t="str">
        <f>IF('Port Bloomberg'!B906="","",'Port Bloomberg'!B906)</f>
        <v/>
      </c>
      <c r="C906" s="7" t="str">
        <f>IF('Port Bloomberg'!C906="","",'Port Bloomberg'!C906)</f>
        <v/>
      </c>
      <c r="D906" s="7" t="str">
        <f>IF('Port Bloomberg'!D906="","",'Port Bloomberg'!D906)</f>
        <v/>
      </c>
      <c r="E906" s="7" t="str">
        <f>IF('Port Bloomberg'!E906="","",'Port Bloomberg'!E906)</f>
        <v/>
      </c>
      <c r="F906" s="7" t="str">
        <f>IF('Port Bloomberg'!F906="","",'Port Bloomberg'!F906)</f>
        <v/>
      </c>
      <c r="G906" s="7" t="str">
        <f>IF('Port Bloomberg'!G906="","",'Port Bloomberg'!G906)</f>
        <v/>
      </c>
      <c r="H906" s="7" t="str">
        <f>IF('Port Bloomberg'!H906="","",'Port Bloomberg'!H906)</f>
        <v/>
      </c>
      <c r="I906" s="7" t="str">
        <f>IF('Port Bloomberg'!I906="","",'Port Bloomberg'!I906)</f>
        <v/>
      </c>
      <c r="J906" s="7" t="str">
        <f>IF('Port Bloomberg'!J906="","",'Port Bloomberg'!J906)</f>
        <v/>
      </c>
      <c r="K906" s="7" t="str">
        <f>IF('Port Bloomberg'!K906="","",'Port Bloomberg'!K906)</f>
        <v/>
      </c>
      <c r="L906" s="7" t="str">
        <f>IF('Port Bloomberg'!L906="","",'Port Bloomberg'!L906)</f>
        <v/>
      </c>
      <c r="M906" s="7" t="str">
        <f>IF('Port Bloomberg'!M906="","",'Port Bloomberg'!M906)</f>
        <v/>
      </c>
      <c r="N906" s="7" t="str">
        <f>IF('Port Bloomberg'!N906="","",'Port Bloomberg'!N906)</f>
        <v/>
      </c>
      <c r="O906" s="7" t="str">
        <f>IF('Port Bloomberg'!O906="","",'Port Bloomberg'!O906)</f>
        <v/>
      </c>
      <c r="P906" s="7" t="str">
        <f>IF('Port Bloomberg'!P906="","",'Port Bloomberg'!P906)</f>
        <v/>
      </c>
      <c r="Q906" s="7" t="str">
        <f>IF('Port Bloomberg'!Q906="","",'Port Bloomberg'!Q906)</f>
        <v/>
      </c>
      <c r="R906" s="7" t="str">
        <f>IF('Port Bloomberg'!R906="","",'Port Bloomberg'!R906)</f>
        <v/>
      </c>
      <c r="S906" s="5" t="str">
        <f>IF(E906="","",IFERROR(IF(MATCH(E906,[1]Instrumentos!$D:$D,0)&gt;0,1,0),0))</f>
        <v/>
      </c>
      <c r="T906" s="5" t="str">
        <f>IF(E906="","",IFERROR(IF(MATCH(E906,'Lista de excepciones'!$E:$E,0)&gt;0,1,0),0))</f>
        <v/>
      </c>
      <c r="U906" s="6" t="str">
        <f t="shared" si="15"/>
        <v/>
      </c>
    </row>
    <row r="907" spans="1:21" hidden="1" x14ac:dyDescent="0.25">
      <c r="A907" s="7" t="str">
        <f>IF('Port Bloomberg'!A907="","",'Port Bloomberg'!A907)</f>
        <v/>
      </c>
      <c r="B907" s="7" t="str">
        <f>IF('Port Bloomberg'!B907="","",'Port Bloomberg'!B907)</f>
        <v/>
      </c>
      <c r="C907" s="7" t="str">
        <f>IF('Port Bloomberg'!C907="","",'Port Bloomberg'!C907)</f>
        <v/>
      </c>
      <c r="D907" s="7" t="str">
        <f>IF('Port Bloomberg'!D907="","",'Port Bloomberg'!D907)</f>
        <v/>
      </c>
      <c r="E907" s="7" t="str">
        <f>IF('Port Bloomberg'!E907="","",'Port Bloomberg'!E907)</f>
        <v/>
      </c>
      <c r="F907" s="7" t="str">
        <f>IF('Port Bloomberg'!F907="","",'Port Bloomberg'!F907)</f>
        <v/>
      </c>
      <c r="G907" s="7" t="str">
        <f>IF('Port Bloomberg'!G907="","",'Port Bloomberg'!G907)</f>
        <v/>
      </c>
      <c r="H907" s="7" t="str">
        <f>IF('Port Bloomberg'!H907="","",'Port Bloomberg'!H907)</f>
        <v/>
      </c>
      <c r="I907" s="7" t="str">
        <f>IF('Port Bloomberg'!I907="","",'Port Bloomberg'!I907)</f>
        <v/>
      </c>
      <c r="J907" s="7" t="str">
        <f>IF('Port Bloomberg'!J907="","",'Port Bloomberg'!J907)</f>
        <v/>
      </c>
      <c r="K907" s="7" t="str">
        <f>IF('Port Bloomberg'!K907="","",'Port Bloomberg'!K907)</f>
        <v/>
      </c>
      <c r="L907" s="7" t="str">
        <f>IF('Port Bloomberg'!L907="","",'Port Bloomberg'!L907)</f>
        <v/>
      </c>
      <c r="M907" s="7" t="str">
        <f>IF('Port Bloomberg'!M907="","",'Port Bloomberg'!M907)</f>
        <v/>
      </c>
      <c r="N907" s="7" t="str">
        <f>IF('Port Bloomberg'!N907="","",'Port Bloomberg'!N907)</f>
        <v/>
      </c>
      <c r="O907" s="7" t="str">
        <f>IF('Port Bloomberg'!O907="","",'Port Bloomberg'!O907)</f>
        <v/>
      </c>
      <c r="P907" s="7" t="str">
        <f>IF('Port Bloomberg'!P907="","",'Port Bloomberg'!P907)</f>
        <v/>
      </c>
      <c r="Q907" s="7" t="str">
        <f>IF('Port Bloomberg'!Q907="","",'Port Bloomberg'!Q907)</f>
        <v/>
      </c>
      <c r="R907" s="7" t="str">
        <f>IF('Port Bloomberg'!R907="","",'Port Bloomberg'!R907)</f>
        <v/>
      </c>
      <c r="S907" s="5" t="str">
        <f>IF(E907="","",IFERROR(IF(MATCH(E907,[1]Instrumentos!$D:$D,0)&gt;0,1,0),0))</f>
        <v/>
      </c>
      <c r="T907" s="5" t="str">
        <f>IF(E907="","",IFERROR(IF(MATCH(E907,'Lista de excepciones'!$E:$E,0)&gt;0,1,0),0))</f>
        <v/>
      </c>
      <c r="U907" s="6" t="str">
        <f t="shared" si="15"/>
        <v/>
      </c>
    </row>
    <row r="908" spans="1:21" hidden="1" x14ac:dyDescent="0.25">
      <c r="A908" s="7" t="str">
        <f>IF('Port Bloomberg'!A908="","",'Port Bloomberg'!A908)</f>
        <v/>
      </c>
      <c r="B908" s="7" t="str">
        <f>IF('Port Bloomberg'!B908="","",'Port Bloomberg'!B908)</f>
        <v/>
      </c>
      <c r="C908" s="7" t="str">
        <f>IF('Port Bloomberg'!C908="","",'Port Bloomberg'!C908)</f>
        <v/>
      </c>
      <c r="D908" s="7" t="str">
        <f>IF('Port Bloomberg'!D908="","",'Port Bloomberg'!D908)</f>
        <v/>
      </c>
      <c r="E908" s="7" t="str">
        <f>IF('Port Bloomberg'!E908="","",'Port Bloomberg'!E908)</f>
        <v/>
      </c>
      <c r="F908" s="7" t="str">
        <f>IF('Port Bloomberg'!F908="","",'Port Bloomberg'!F908)</f>
        <v/>
      </c>
      <c r="G908" s="7" t="str">
        <f>IF('Port Bloomberg'!G908="","",'Port Bloomberg'!G908)</f>
        <v/>
      </c>
      <c r="H908" s="7" t="str">
        <f>IF('Port Bloomberg'!H908="","",'Port Bloomberg'!H908)</f>
        <v/>
      </c>
      <c r="I908" s="7" t="str">
        <f>IF('Port Bloomberg'!I908="","",'Port Bloomberg'!I908)</f>
        <v/>
      </c>
      <c r="J908" s="7" t="str">
        <f>IF('Port Bloomberg'!J908="","",'Port Bloomberg'!J908)</f>
        <v/>
      </c>
      <c r="K908" s="7" t="str">
        <f>IF('Port Bloomberg'!K908="","",'Port Bloomberg'!K908)</f>
        <v/>
      </c>
      <c r="L908" s="7" t="str">
        <f>IF('Port Bloomberg'!L908="","",'Port Bloomberg'!L908)</f>
        <v/>
      </c>
      <c r="M908" s="7" t="str">
        <f>IF('Port Bloomberg'!M908="","",'Port Bloomberg'!M908)</f>
        <v/>
      </c>
      <c r="N908" s="7" t="str">
        <f>IF('Port Bloomberg'!N908="","",'Port Bloomberg'!N908)</f>
        <v/>
      </c>
      <c r="O908" s="7" t="str">
        <f>IF('Port Bloomberg'!O908="","",'Port Bloomberg'!O908)</f>
        <v/>
      </c>
      <c r="P908" s="7" t="str">
        <f>IF('Port Bloomberg'!P908="","",'Port Bloomberg'!P908)</f>
        <v/>
      </c>
      <c r="Q908" s="7" t="str">
        <f>IF('Port Bloomberg'!Q908="","",'Port Bloomberg'!Q908)</f>
        <v/>
      </c>
      <c r="R908" s="7" t="str">
        <f>IF('Port Bloomberg'!R908="","",'Port Bloomberg'!R908)</f>
        <v/>
      </c>
      <c r="S908" s="5" t="str">
        <f>IF(E908="","",IFERROR(IF(MATCH(E908,[1]Instrumentos!$D:$D,0)&gt;0,1,0),0))</f>
        <v/>
      </c>
      <c r="T908" s="5" t="str">
        <f>IF(E908="","",IFERROR(IF(MATCH(E908,'Lista de excepciones'!$E:$E,0)&gt;0,1,0),0))</f>
        <v/>
      </c>
      <c r="U908" s="6" t="str">
        <f t="shared" si="15"/>
        <v/>
      </c>
    </row>
    <row r="909" spans="1:21" hidden="1" x14ac:dyDescent="0.25">
      <c r="A909" s="7" t="str">
        <f>IF('Port Bloomberg'!A909="","",'Port Bloomberg'!A909)</f>
        <v/>
      </c>
      <c r="B909" s="7" t="str">
        <f>IF('Port Bloomberg'!B909="","",'Port Bloomberg'!B909)</f>
        <v/>
      </c>
      <c r="C909" s="7" t="str">
        <f>IF('Port Bloomberg'!C909="","",'Port Bloomberg'!C909)</f>
        <v/>
      </c>
      <c r="D909" s="7" t="str">
        <f>IF('Port Bloomberg'!D909="","",'Port Bloomberg'!D909)</f>
        <v/>
      </c>
      <c r="E909" s="7" t="str">
        <f>IF('Port Bloomberg'!E909="","",'Port Bloomberg'!E909)</f>
        <v/>
      </c>
      <c r="F909" s="7" t="str">
        <f>IF('Port Bloomberg'!F909="","",'Port Bloomberg'!F909)</f>
        <v/>
      </c>
      <c r="G909" s="7" t="str">
        <f>IF('Port Bloomberg'!G909="","",'Port Bloomberg'!G909)</f>
        <v/>
      </c>
      <c r="H909" s="7" t="str">
        <f>IF('Port Bloomberg'!H909="","",'Port Bloomberg'!H909)</f>
        <v/>
      </c>
      <c r="I909" s="7" t="str">
        <f>IF('Port Bloomberg'!I909="","",'Port Bloomberg'!I909)</f>
        <v/>
      </c>
      <c r="J909" s="7" t="str">
        <f>IF('Port Bloomberg'!J909="","",'Port Bloomberg'!J909)</f>
        <v/>
      </c>
      <c r="K909" s="7" t="str">
        <f>IF('Port Bloomberg'!K909="","",'Port Bloomberg'!K909)</f>
        <v/>
      </c>
      <c r="L909" s="7" t="str">
        <f>IF('Port Bloomberg'!L909="","",'Port Bloomberg'!L909)</f>
        <v/>
      </c>
      <c r="M909" s="7" t="str">
        <f>IF('Port Bloomberg'!M909="","",'Port Bloomberg'!M909)</f>
        <v/>
      </c>
      <c r="N909" s="7" t="str">
        <f>IF('Port Bloomberg'!N909="","",'Port Bloomberg'!N909)</f>
        <v/>
      </c>
      <c r="O909" s="7" t="str">
        <f>IF('Port Bloomberg'!O909="","",'Port Bloomberg'!O909)</f>
        <v/>
      </c>
      <c r="P909" s="7" t="str">
        <f>IF('Port Bloomberg'!P909="","",'Port Bloomberg'!P909)</f>
        <v/>
      </c>
      <c r="Q909" s="7" t="str">
        <f>IF('Port Bloomberg'!Q909="","",'Port Bloomberg'!Q909)</f>
        <v/>
      </c>
      <c r="R909" s="7" t="str">
        <f>IF('Port Bloomberg'!R909="","",'Port Bloomberg'!R909)</f>
        <v/>
      </c>
      <c r="S909" s="5" t="str">
        <f>IF(E909="","",IFERROR(IF(MATCH(E909,[1]Instrumentos!$D:$D,0)&gt;0,1,0),0))</f>
        <v/>
      </c>
      <c r="T909" s="5" t="str">
        <f>IF(E909="","",IFERROR(IF(MATCH(E909,'Lista de excepciones'!$E:$E,0)&gt;0,1,0),0))</f>
        <v/>
      </c>
      <c r="U909" s="6" t="str">
        <f t="shared" si="15"/>
        <v/>
      </c>
    </row>
    <row r="910" spans="1:21" hidden="1" x14ac:dyDescent="0.25">
      <c r="A910" s="7" t="str">
        <f>IF('Port Bloomberg'!A910="","",'Port Bloomberg'!A910)</f>
        <v/>
      </c>
      <c r="B910" s="7" t="str">
        <f>IF('Port Bloomberg'!B910="","",'Port Bloomberg'!B910)</f>
        <v/>
      </c>
      <c r="C910" s="7" t="str">
        <f>IF('Port Bloomberg'!C910="","",'Port Bloomberg'!C910)</f>
        <v/>
      </c>
      <c r="D910" s="7" t="str">
        <f>IF('Port Bloomberg'!D910="","",'Port Bloomberg'!D910)</f>
        <v/>
      </c>
      <c r="E910" s="7" t="str">
        <f>IF('Port Bloomberg'!E910="","",'Port Bloomberg'!E910)</f>
        <v/>
      </c>
      <c r="F910" s="7" t="str">
        <f>IF('Port Bloomberg'!F910="","",'Port Bloomberg'!F910)</f>
        <v/>
      </c>
      <c r="G910" s="7" t="str">
        <f>IF('Port Bloomberg'!G910="","",'Port Bloomberg'!G910)</f>
        <v/>
      </c>
      <c r="H910" s="7" t="str">
        <f>IF('Port Bloomberg'!H910="","",'Port Bloomberg'!H910)</f>
        <v/>
      </c>
      <c r="I910" s="7" t="str">
        <f>IF('Port Bloomberg'!I910="","",'Port Bloomberg'!I910)</f>
        <v/>
      </c>
      <c r="J910" s="7" t="str">
        <f>IF('Port Bloomberg'!J910="","",'Port Bloomberg'!J910)</f>
        <v/>
      </c>
      <c r="K910" s="7" t="str">
        <f>IF('Port Bloomberg'!K910="","",'Port Bloomberg'!K910)</f>
        <v/>
      </c>
      <c r="L910" s="7" t="str">
        <f>IF('Port Bloomberg'!L910="","",'Port Bloomberg'!L910)</f>
        <v/>
      </c>
      <c r="M910" s="7" t="str">
        <f>IF('Port Bloomberg'!M910="","",'Port Bloomberg'!M910)</f>
        <v/>
      </c>
      <c r="N910" s="7" t="str">
        <f>IF('Port Bloomberg'!N910="","",'Port Bloomberg'!N910)</f>
        <v/>
      </c>
      <c r="O910" s="7" t="str">
        <f>IF('Port Bloomberg'!O910="","",'Port Bloomberg'!O910)</f>
        <v/>
      </c>
      <c r="P910" s="7" t="str">
        <f>IF('Port Bloomberg'!P910="","",'Port Bloomberg'!P910)</f>
        <v/>
      </c>
      <c r="Q910" s="7" t="str">
        <f>IF('Port Bloomberg'!Q910="","",'Port Bloomberg'!Q910)</f>
        <v/>
      </c>
      <c r="R910" s="7" t="str">
        <f>IF('Port Bloomberg'!R910="","",'Port Bloomberg'!R910)</f>
        <v/>
      </c>
      <c r="S910" s="5" t="str">
        <f>IF(E910="","",IFERROR(IF(MATCH(E910,[1]Instrumentos!$D:$D,0)&gt;0,1,0),0))</f>
        <v/>
      </c>
      <c r="T910" s="5" t="str">
        <f>IF(E910="","",IFERROR(IF(MATCH(E910,'Lista de excepciones'!$E:$E,0)&gt;0,1,0),0))</f>
        <v/>
      </c>
      <c r="U910" s="6" t="str">
        <f t="shared" si="15"/>
        <v/>
      </c>
    </row>
    <row r="911" spans="1:21" hidden="1" x14ac:dyDescent="0.25">
      <c r="A911" s="7" t="str">
        <f>IF('Port Bloomberg'!A911="","",'Port Bloomberg'!A911)</f>
        <v/>
      </c>
      <c r="B911" s="7" t="str">
        <f>IF('Port Bloomberg'!B911="","",'Port Bloomberg'!B911)</f>
        <v/>
      </c>
      <c r="C911" s="7" t="str">
        <f>IF('Port Bloomberg'!C911="","",'Port Bloomberg'!C911)</f>
        <v/>
      </c>
      <c r="D911" s="7" t="str">
        <f>IF('Port Bloomberg'!D911="","",'Port Bloomberg'!D911)</f>
        <v/>
      </c>
      <c r="E911" s="7" t="str">
        <f>IF('Port Bloomberg'!E911="","",'Port Bloomberg'!E911)</f>
        <v/>
      </c>
      <c r="F911" s="7" t="str">
        <f>IF('Port Bloomberg'!F911="","",'Port Bloomberg'!F911)</f>
        <v/>
      </c>
      <c r="G911" s="7" t="str">
        <f>IF('Port Bloomberg'!G911="","",'Port Bloomberg'!G911)</f>
        <v/>
      </c>
      <c r="H911" s="7" t="str">
        <f>IF('Port Bloomberg'!H911="","",'Port Bloomberg'!H911)</f>
        <v/>
      </c>
      <c r="I911" s="7" t="str">
        <f>IF('Port Bloomberg'!I911="","",'Port Bloomberg'!I911)</f>
        <v/>
      </c>
      <c r="J911" s="7" t="str">
        <f>IF('Port Bloomberg'!J911="","",'Port Bloomberg'!J911)</f>
        <v/>
      </c>
      <c r="K911" s="7" t="str">
        <f>IF('Port Bloomberg'!K911="","",'Port Bloomberg'!K911)</f>
        <v/>
      </c>
      <c r="L911" s="7" t="str">
        <f>IF('Port Bloomberg'!L911="","",'Port Bloomberg'!L911)</f>
        <v/>
      </c>
      <c r="M911" s="7" t="str">
        <f>IF('Port Bloomberg'!M911="","",'Port Bloomberg'!M911)</f>
        <v/>
      </c>
      <c r="N911" s="7" t="str">
        <f>IF('Port Bloomberg'!N911="","",'Port Bloomberg'!N911)</f>
        <v/>
      </c>
      <c r="O911" s="7" t="str">
        <f>IF('Port Bloomberg'!O911="","",'Port Bloomberg'!O911)</f>
        <v/>
      </c>
      <c r="P911" s="7" t="str">
        <f>IF('Port Bloomberg'!P911="","",'Port Bloomberg'!P911)</f>
        <v/>
      </c>
      <c r="Q911" s="7" t="str">
        <f>IF('Port Bloomberg'!Q911="","",'Port Bloomberg'!Q911)</f>
        <v/>
      </c>
      <c r="R911" s="7" t="str">
        <f>IF('Port Bloomberg'!R911="","",'Port Bloomberg'!R911)</f>
        <v/>
      </c>
      <c r="S911" s="5" t="str">
        <f>IF(E911="","",IFERROR(IF(MATCH(E911,[1]Instrumentos!$D:$D,0)&gt;0,1,0),0))</f>
        <v/>
      </c>
      <c r="T911" s="5" t="str">
        <f>IF(E911="","",IFERROR(IF(MATCH(E911,'Lista de excepciones'!$E:$E,0)&gt;0,1,0),0))</f>
        <v/>
      </c>
      <c r="U911" s="6" t="str">
        <f t="shared" si="15"/>
        <v/>
      </c>
    </row>
    <row r="912" spans="1:21" hidden="1" x14ac:dyDescent="0.25">
      <c r="A912" s="7" t="str">
        <f>IF('Port Bloomberg'!A912="","",'Port Bloomberg'!A912)</f>
        <v/>
      </c>
      <c r="B912" s="7" t="str">
        <f>IF('Port Bloomberg'!B912="","",'Port Bloomberg'!B912)</f>
        <v/>
      </c>
      <c r="C912" s="7" t="str">
        <f>IF('Port Bloomberg'!C912="","",'Port Bloomberg'!C912)</f>
        <v/>
      </c>
      <c r="D912" s="7" t="str">
        <f>IF('Port Bloomberg'!D912="","",'Port Bloomberg'!D912)</f>
        <v/>
      </c>
      <c r="E912" s="7" t="str">
        <f>IF('Port Bloomberg'!E912="","",'Port Bloomberg'!E912)</f>
        <v/>
      </c>
      <c r="F912" s="7" t="str">
        <f>IF('Port Bloomberg'!F912="","",'Port Bloomberg'!F912)</f>
        <v/>
      </c>
      <c r="G912" s="7" t="str">
        <f>IF('Port Bloomberg'!G912="","",'Port Bloomberg'!G912)</f>
        <v/>
      </c>
      <c r="H912" s="7" t="str">
        <f>IF('Port Bloomberg'!H912="","",'Port Bloomberg'!H912)</f>
        <v/>
      </c>
      <c r="I912" s="7" t="str">
        <f>IF('Port Bloomberg'!I912="","",'Port Bloomberg'!I912)</f>
        <v/>
      </c>
      <c r="J912" s="7" t="str">
        <f>IF('Port Bloomberg'!J912="","",'Port Bloomberg'!J912)</f>
        <v/>
      </c>
      <c r="K912" s="7" t="str">
        <f>IF('Port Bloomberg'!K912="","",'Port Bloomberg'!K912)</f>
        <v/>
      </c>
      <c r="L912" s="7" t="str">
        <f>IF('Port Bloomberg'!L912="","",'Port Bloomberg'!L912)</f>
        <v/>
      </c>
      <c r="M912" s="7" t="str">
        <f>IF('Port Bloomberg'!M912="","",'Port Bloomberg'!M912)</f>
        <v/>
      </c>
      <c r="N912" s="7" t="str">
        <f>IF('Port Bloomberg'!N912="","",'Port Bloomberg'!N912)</f>
        <v/>
      </c>
      <c r="O912" s="7" t="str">
        <f>IF('Port Bloomberg'!O912="","",'Port Bloomberg'!O912)</f>
        <v/>
      </c>
      <c r="P912" s="7" t="str">
        <f>IF('Port Bloomberg'!P912="","",'Port Bloomberg'!P912)</f>
        <v/>
      </c>
      <c r="Q912" s="7" t="str">
        <f>IF('Port Bloomberg'!Q912="","",'Port Bloomberg'!Q912)</f>
        <v/>
      </c>
      <c r="R912" s="7" t="str">
        <f>IF('Port Bloomberg'!R912="","",'Port Bloomberg'!R912)</f>
        <v/>
      </c>
      <c r="S912" s="5" t="str">
        <f>IF(E912="","",IFERROR(IF(MATCH(E912,[1]Instrumentos!$D:$D,0)&gt;0,1,0),0))</f>
        <v/>
      </c>
      <c r="T912" s="5" t="str">
        <f>IF(E912="","",IFERROR(IF(MATCH(E912,'Lista de excepciones'!$E:$E,0)&gt;0,1,0),0))</f>
        <v/>
      </c>
      <c r="U912" s="6" t="str">
        <f t="shared" si="15"/>
        <v/>
      </c>
    </row>
    <row r="913" spans="1:21" hidden="1" x14ac:dyDescent="0.25">
      <c r="A913" s="7" t="str">
        <f>IF('Port Bloomberg'!A913="","",'Port Bloomberg'!A913)</f>
        <v/>
      </c>
      <c r="B913" s="7" t="str">
        <f>IF('Port Bloomberg'!B913="","",'Port Bloomberg'!B913)</f>
        <v/>
      </c>
      <c r="C913" s="7" t="str">
        <f>IF('Port Bloomberg'!C913="","",'Port Bloomberg'!C913)</f>
        <v/>
      </c>
      <c r="D913" s="7" t="str">
        <f>IF('Port Bloomberg'!D913="","",'Port Bloomberg'!D913)</f>
        <v/>
      </c>
      <c r="E913" s="7" t="str">
        <f>IF('Port Bloomberg'!E913="","",'Port Bloomberg'!E913)</f>
        <v/>
      </c>
      <c r="F913" s="7" t="str">
        <f>IF('Port Bloomberg'!F913="","",'Port Bloomberg'!F913)</f>
        <v/>
      </c>
      <c r="G913" s="7" t="str">
        <f>IF('Port Bloomberg'!G913="","",'Port Bloomberg'!G913)</f>
        <v/>
      </c>
      <c r="H913" s="7" t="str">
        <f>IF('Port Bloomberg'!H913="","",'Port Bloomberg'!H913)</f>
        <v/>
      </c>
      <c r="I913" s="7" t="str">
        <f>IF('Port Bloomberg'!I913="","",'Port Bloomberg'!I913)</f>
        <v/>
      </c>
      <c r="J913" s="7" t="str">
        <f>IF('Port Bloomberg'!J913="","",'Port Bloomberg'!J913)</f>
        <v/>
      </c>
      <c r="K913" s="7" t="str">
        <f>IF('Port Bloomberg'!K913="","",'Port Bloomberg'!K913)</f>
        <v/>
      </c>
      <c r="L913" s="7" t="str">
        <f>IF('Port Bloomberg'!L913="","",'Port Bloomberg'!L913)</f>
        <v/>
      </c>
      <c r="M913" s="7" t="str">
        <f>IF('Port Bloomberg'!M913="","",'Port Bloomberg'!M913)</f>
        <v/>
      </c>
      <c r="N913" s="7" t="str">
        <f>IF('Port Bloomberg'!N913="","",'Port Bloomberg'!N913)</f>
        <v/>
      </c>
      <c r="O913" s="7" t="str">
        <f>IF('Port Bloomberg'!O913="","",'Port Bloomberg'!O913)</f>
        <v/>
      </c>
      <c r="P913" s="7" t="str">
        <f>IF('Port Bloomberg'!P913="","",'Port Bloomberg'!P913)</f>
        <v/>
      </c>
      <c r="Q913" s="7" t="str">
        <f>IF('Port Bloomberg'!Q913="","",'Port Bloomberg'!Q913)</f>
        <v/>
      </c>
      <c r="R913" s="7" t="str">
        <f>IF('Port Bloomberg'!R913="","",'Port Bloomberg'!R913)</f>
        <v/>
      </c>
      <c r="S913" s="5" t="str">
        <f>IF(E913="","",IFERROR(IF(MATCH(E913,[1]Instrumentos!$D:$D,0)&gt;0,1,0),0))</f>
        <v/>
      </c>
      <c r="T913" s="5" t="str">
        <f>IF(E913="","",IFERROR(IF(MATCH(E913,'Lista de excepciones'!$E:$E,0)&gt;0,1,0),0))</f>
        <v/>
      </c>
      <c r="U913" s="6" t="str">
        <f t="shared" si="15"/>
        <v/>
      </c>
    </row>
    <row r="914" spans="1:21" hidden="1" x14ac:dyDescent="0.25">
      <c r="A914" s="7" t="str">
        <f>IF('Port Bloomberg'!A914="","",'Port Bloomberg'!A914)</f>
        <v/>
      </c>
      <c r="B914" s="7" t="str">
        <f>IF('Port Bloomberg'!B914="","",'Port Bloomberg'!B914)</f>
        <v/>
      </c>
      <c r="C914" s="7" t="str">
        <f>IF('Port Bloomberg'!C914="","",'Port Bloomberg'!C914)</f>
        <v/>
      </c>
      <c r="D914" s="7" t="str">
        <f>IF('Port Bloomberg'!D914="","",'Port Bloomberg'!D914)</f>
        <v/>
      </c>
      <c r="E914" s="7" t="str">
        <f>IF('Port Bloomberg'!E914="","",'Port Bloomberg'!E914)</f>
        <v/>
      </c>
      <c r="F914" s="7" t="str">
        <f>IF('Port Bloomberg'!F914="","",'Port Bloomberg'!F914)</f>
        <v/>
      </c>
      <c r="G914" s="7" t="str">
        <f>IF('Port Bloomberg'!G914="","",'Port Bloomberg'!G914)</f>
        <v/>
      </c>
      <c r="H914" s="7" t="str">
        <f>IF('Port Bloomberg'!H914="","",'Port Bloomberg'!H914)</f>
        <v/>
      </c>
      <c r="I914" s="7" t="str">
        <f>IF('Port Bloomberg'!I914="","",'Port Bloomberg'!I914)</f>
        <v/>
      </c>
      <c r="J914" s="7" t="str">
        <f>IF('Port Bloomberg'!J914="","",'Port Bloomberg'!J914)</f>
        <v/>
      </c>
      <c r="K914" s="7" t="str">
        <f>IF('Port Bloomberg'!K914="","",'Port Bloomberg'!K914)</f>
        <v/>
      </c>
      <c r="L914" s="7" t="str">
        <f>IF('Port Bloomberg'!L914="","",'Port Bloomberg'!L914)</f>
        <v/>
      </c>
      <c r="M914" s="7" t="str">
        <f>IF('Port Bloomberg'!M914="","",'Port Bloomberg'!M914)</f>
        <v/>
      </c>
      <c r="N914" s="7" t="str">
        <f>IF('Port Bloomberg'!N914="","",'Port Bloomberg'!N914)</f>
        <v/>
      </c>
      <c r="O914" s="7" t="str">
        <f>IF('Port Bloomberg'!O914="","",'Port Bloomberg'!O914)</f>
        <v/>
      </c>
      <c r="P914" s="7" t="str">
        <f>IF('Port Bloomberg'!P914="","",'Port Bloomberg'!P914)</f>
        <v/>
      </c>
      <c r="Q914" s="7" t="str">
        <f>IF('Port Bloomberg'!Q914="","",'Port Bloomberg'!Q914)</f>
        <v/>
      </c>
      <c r="R914" s="7" t="str">
        <f>IF('Port Bloomberg'!R914="","",'Port Bloomberg'!R914)</f>
        <v/>
      </c>
      <c r="S914" s="5" t="str">
        <f>IF(E914="","",IFERROR(IF(MATCH(E914,[1]Instrumentos!$D:$D,0)&gt;0,1,0),0))</f>
        <v/>
      </c>
      <c r="T914" s="5" t="str">
        <f>IF(E914="","",IFERROR(IF(MATCH(E914,'Lista de excepciones'!$E:$E,0)&gt;0,1,0),0))</f>
        <v/>
      </c>
      <c r="U914" s="6" t="str">
        <f t="shared" si="15"/>
        <v/>
      </c>
    </row>
    <row r="915" spans="1:21" hidden="1" x14ac:dyDescent="0.25">
      <c r="A915" s="7" t="str">
        <f>IF('Port Bloomberg'!A915="","",'Port Bloomberg'!A915)</f>
        <v/>
      </c>
      <c r="B915" s="7" t="str">
        <f>IF('Port Bloomberg'!B915="","",'Port Bloomberg'!B915)</f>
        <v/>
      </c>
      <c r="C915" s="7" t="str">
        <f>IF('Port Bloomberg'!C915="","",'Port Bloomberg'!C915)</f>
        <v/>
      </c>
      <c r="D915" s="7" t="str">
        <f>IF('Port Bloomberg'!D915="","",'Port Bloomberg'!D915)</f>
        <v/>
      </c>
      <c r="E915" s="7" t="str">
        <f>IF('Port Bloomberg'!E915="","",'Port Bloomberg'!E915)</f>
        <v/>
      </c>
      <c r="F915" s="7" t="str">
        <f>IF('Port Bloomberg'!F915="","",'Port Bloomberg'!F915)</f>
        <v/>
      </c>
      <c r="G915" s="7" t="str">
        <f>IF('Port Bloomberg'!G915="","",'Port Bloomberg'!G915)</f>
        <v/>
      </c>
      <c r="H915" s="7" t="str">
        <f>IF('Port Bloomberg'!H915="","",'Port Bloomberg'!H915)</f>
        <v/>
      </c>
      <c r="I915" s="7" t="str">
        <f>IF('Port Bloomberg'!I915="","",'Port Bloomberg'!I915)</f>
        <v/>
      </c>
      <c r="J915" s="7" t="str">
        <f>IF('Port Bloomberg'!J915="","",'Port Bloomberg'!J915)</f>
        <v/>
      </c>
      <c r="K915" s="7" t="str">
        <f>IF('Port Bloomberg'!K915="","",'Port Bloomberg'!K915)</f>
        <v/>
      </c>
      <c r="L915" s="7" t="str">
        <f>IF('Port Bloomberg'!L915="","",'Port Bloomberg'!L915)</f>
        <v/>
      </c>
      <c r="M915" s="7" t="str">
        <f>IF('Port Bloomberg'!M915="","",'Port Bloomberg'!M915)</f>
        <v/>
      </c>
      <c r="N915" s="7" t="str">
        <f>IF('Port Bloomberg'!N915="","",'Port Bloomberg'!N915)</f>
        <v/>
      </c>
      <c r="O915" s="7" t="str">
        <f>IF('Port Bloomberg'!O915="","",'Port Bloomberg'!O915)</f>
        <v/>
      </c>
      <c r="P915" s="7" t="str">
        <f>IF('Port Bloomberg'!P915="","",'Port Bloomberg'!P915)</f>
        <v/>
      </c>
      <c r="Q915" s="7" t="str">
        <f>IF('Port Bloomberg'!Q915="","",'Port Bloomberg'!Q915)</f>
        <v/>
      </c>
      <c r="R915" s="7" t="str">
        <f>IF('Port Bloomberg'!R915="","",'Port Bloomberg'!R915)</f>
        <v/>
      </c>
      <c r="S915" s="5" t="str">
        <f>IF(E915="","",IFERROR(IF(MATCH(E915,[1]Instrumentos!$D:$D,0)&gt;0,1,0),0))</f>
        <v/>
      </c>
      <c r="T915" s="5" t="str">
        <f>IF(E915="","",IFERROR(IF(MATCH(E915,'Lista de excepciones'!$E:$E,0)&gt;0,1,0),0))</f>
        <v/>
      </c>
      <c r="U915" s="6" t="str">
        <f t="shared" si="15"/>
        <v/>
      </c>
    </row>
    <row r="916" spans="1:21" hidden="1" x14ac:dyDescent="0.25">
      <c r="A916" s="7" t="str">
        <f>IF('Port Bloomberg'!A916="","",'Port Bloomberg'!A916)</f>
        <v/>
      </c>
      <c r="B916" s="7" t="str">
        <f>IF('Port Bloomberg'!B916="","",'Port Bloomberg'!B916)</f>
        <v/>
      </c>
      <c r="C916" s="7" t="str">
        <f>IF('Port Bloomberg'!C916="","",'Port Bloomberg'!C916)</f>
        <v/>
      </c>
      <c r="D916" s="7" t="str">
        <f>IF('Port Bloomberg'!D916="","",'Port Bloomberg'!D916)</f>
        <v/>
      </c>
      <c r="E916" s="7" t="str">
        <f>IF('Port Bloomberg'!E916="","",'Port Bloomberg'!E916)</f>
        <v/>
      </c>
      <c r="F916" s="7" t="str">
        <f>IF('Port Bloomberg'!F916="","",'Port Bloomberg'!F916)</f>
        <v/>
      </c>
      <c r="G916" s="7" t="str">
        <f>IF('Port Bloomberg'!G916="","",'Port Bloomberg'!G916)</f>
        <v/>
      </c>
      <c r="H916" s="7" t="str">
        <f>IF('Port Bloomberg'!H916="","",'Port Bloomberg'!H916)</f>
        <v/>
      </c>
      <c r="I916" s="7" t="str">
        <f>IF('Port Bloomberg'!I916="","",'Port Bloomberg'!I916)</f>
        <v/>
      </c>
      <c r="J916" s="7" t="str">
        <f>IF('Port Bloomberg'!J916="","",'Port Bloomberg'!J916)</f>
        <v/>
      </c>
      <c r="K916" s="7" t="str">
        <f>IF('Port Bloomberg'!K916="","",'Port Bloomberg'!K916)</f>
        <v/>
      </c>
      <c r="L916" s="7" t="str">
        <f>IF('Port Bloomberg'!L916="","",'Port Bloomberg'!L916)</f>
        <v/>
      </c>
      <c r="M916" s="7" t="str">
        <f>IF('Port Bloomberg'!M916="","",'Port Bloomberg'!M916)</f>
        <v/>
      </c>
      <c r="N916" s="7" t="str">
        <f>IF('Port Bloomberg'!N916="","",'Port Bloomberg'!N916)</f>
        <v/>
      </c>
      <c r="O916" s="7" t="str">
        <f>IF('Port Bloomberg'!O916="","",'Port Bloomberg'!O916)</f>
        <v/>
      </c>
      <c r="P916" s="7" t="str">
        <f>IF('Port Bloomberg'!P916="","",'Port Bloomberg'!P916)</f>
        <v/>
      </c>
      <c r="Q916" s="7" t="str">
        <f>IF('Port Bloomberg'!Q916="","",'Port Bloomberg'!Q916)</f>
        <v/>
      </c>
      <c r="R916" s="7" t="str">
        <f>IF('Port Bloomberg'!R916="","",'Port Bloomberg'!R916)</f>
        <v/>
      </c>
      <c r="S916" s="5" t="str">
        <f>IF(E916="","",IFERROR(IF(MATCH(E916,[1]Instrumentos!$D:$D,0)&gt;0,1,0),0))</f>
        <v/>
      </c>
      <c r="T916" s="5" t="str">
        <f>IF(E916="","",IFERROR(IF(MATCH(E916,'Lista de excepciones'!$E:$E,0)&gt;0,1,0),0))</f>
        <v/>
      </c>
      <c r="U916" s="6" t="str">
        <f t="shared" si="15"/>
        <v/>
      </c>
    </row>
    <row r="917" spans="1:21" hidden="1" x14ac:dyDescent="0.25">
      <c r="A917" s="7" t="str">
        <f>IF('Port Bloomberg'!A917="","",'Port Bloomberg'!A917)</f>
        <v/>
      </c>
      <c r="B917" s="7" t="str">
        <f>IF('Port Bloomberg'!B917="","",'Port Bloomberg'!B917)</f>
        <v/>
      </c>
      <c r="C917" s="7" t="str">
        <f>IF('Port Bloomberg'!C917="","",'Port Bloomberg'!C917)</f>
        <v/>
      </c>
      <c r="D917" s="7" t="str">
        <f>IF('Port Bloomberg'!D917="","",'Port Bloomberg'!D917)</f>
        <v/>
      </c>
      <c r="E917" s="7" t="str">
        <f>IF('Port Bloomberg'!E917="","",'Port Bloomberg'!E917)</f>
        <v/>
      </c>
      <c r="F917" s="7" t="str">
        <f>IF('Port Bloomberg'!F917="","",'Port Bloomberg'!F917)</f>
        <v/>
      </c>
      <c r="G917" s="7" t="str">
        <f>IF('Port Bloomberg'!G917="","",'Port Bloomberg'!G917)</f>
        <v/>
      </c>
      <c r="H917" s="7" t="str">
        <f>IF('Port Bloomberg'!H917="","",'Port Bloomberg'!H917)</f>
        <v/>
      </c>
      <c r="I917" s="7" t="str">
        <f>IF('Port Bloomberg'!I917="","",'Port Bloomberg'!I917)</f>
        <v/>
      </c>
      <c r="J917" s="7" t="str">
        <f>IF('Port Bloomberg'!J917="","",'Port Bloomberg'!J917)</f>
        <v/>
      </c>
      <c r="K917" s="7" t="str">
        <f>IF('Port Bloomberg'!K917="","",'Port Bloomberg'!K917)</f>
        <v/>
      </c>
      <c r="L917" s="7" t="str">
        <f>IF('Port Bloomberg'!L917="","",'Port Bloomberg'!L917)</f>
        <v/>
      </c>
      <c r="M917" s="7" t="str">
        <f>IF('Port Bloomberg'!M917="","",'Port Bloomberg'!M917)</f>
        <v/>
      </c>
      <c r="N917" s="7" t="str">
        <f>IF('Port Bloomberg'!N917="","",'Port Bloomberg'!N917)</f>
        <v/>
      </c>
      <c r="O917" s="7" t="str">
        <f>IF('Port Bloomberg'!O917="","",'Port Bloomberg'!O917)</f>
        <v/>
      </c>
      <c r="P917" s="7" t="str">
        <f>IF('Port Bloomberg'!P917="","",'Port Bloomberg'!P917)</f>
        <v/>
      </c>
      <c r="Q917" s="7" t="str">
        <f>IF('Port Bloomberg'!Q917="","",'Port Bloomberg'!Q917)</f>
        <v/>
      </c>
      <c r="R917" s="7" t="str">
        <f>IF('Port Bloomberg'!R917="","",'Port Bloomberg'!R917)</f>
        <v/>
      </c>
      <c r="S917" s="5" t="str">
        <f>IF(E917="","",IFERROR(IF(MATCH(E917,[1]Instrumentos!$D:$D,0)&gt;0,1,0),0))</f>
        <v/>
      </c>
      <c r="T917" s="5" t="str">
        <f>IF(E917="","",IFERROR(IF(MATCH(E917,'Lista de excepciones'!$E:$E,0)&gt;0,1,0),0))</f>
        <v/>
      </c>
      <c r="U917" s="6" t="str">
        <f t="shared" si="15"/>
        <v/>
      </c>
    </row>
    <row r="918" spans="1:21" hidden="1" x14ac:dyDescent="0.25">
      <c r="A918" s="7" t="str">
        <f>IF('Port Bloomberg'!A918="","",'Port Bloomberg'!A918)</f>
        <v/>
      </c>
      <c r="B918" s="7" t="str">
        <f>IF('Port Bloomberg'!B918="","",'Port Bloomberg'!B918)</f>
        <v/>
      </c>
      <c r="C918" s="7" t="str">
        <f>IF('Port Bloomberg'!C918="","",'Port Bloomberg'!C918)</f>
        <v/>
      </c>
      <c r="D918" s="7" t="str">
        <f>IF('Port Bloomberg'!D918="","",'Port Bloomberg'!D918)</f>
        <v/>
      </c>
      <c r="E918" s="7" t="str">
        <f>IF('Port Bloomberg'!E918="","",'Port Bloomberg'!E918)</f>
        <v/>
      </c>
      <c r="F918" s="7" t="str">
        <f>IF('Port Bloomberg'!F918="","",'Port Bloomberg'!F918)</f>
        <v/>
      </c>
      <c r="G918" s="7" t="str">
        <f>IF('Port Bloomberg'!G918="","",'Port Bloomberg'!G918)</f>
        <v/>
      </c>
      <c r="H918" s="7" t="str">
        <f>IF('Port Bloomberg'!H918="","",'Port Bloomberg'!H918)</f>
        <v/>
      </c>
      <c r="I918" s="7" t="str">
        <f>IF('Port Bloomberg'!I918="","",'Port Bloomberg'!I918)</f>
        <v/>
      </c>
      <c r="J918" s="7" t="str">
        <f>IF('Port Bloomberg'!J918="","",'Port Bloomberg'!J918)</f>
        <v/>
      </c>
      <c r="K918" s="7" t="str">
        <f>IF('Port Bloomberg'!K918="","",'Port Bloomberg'!K918)</f>
        <v/>
      </c>
      <c r="L918" s="7" t="str">
        <f>IF('Port Bloomberg'!L918="","",'Port Bloomberg'!L918)</f>
        <v/>
      </c>
      <c r="M918" s="7" t="str">
        <f>IF('Port Bloomberg'!M918="","",'Port Bloomberg'!M918)</f>
        <v/>
      </c>
      <c r="N918" s="7" t="str">
        <f>IF('Port Bloomberg'!N918="","",'Port Bloomberg'!N918)</f>
        <v/>
      </c>
      <c r="O918" s="7" t="str">
        <f>IF('Port Bloomberg'!O918="","",'Port Bloomberg'!O918)</f>
        <v/>
      </c>
      <c r="P918" s="7" t="str">
        <f>IF('Port Bloomberg'!P918="","",'Port Bloomberg'!P918)</f>
        <v/>
      </c>
      <c r="Q918" s="7" t="str">
        <f>IF('Port Bloomberg'!Q918="","",'Port Bloomberg'!Q918)</f>
        <v/>
      </c>
      <c r="R918" s="7" t="str">
        <f>IF('Port Bloomberg'!R918="","",'Port Bloomberg'!R918)</f>
        <v/>
      </c>
      <c r="S918" s="5" t="str">
        <f>IF(E918="","",IFERROR(IF(MATCH(E918,[1]Instrumentos!$D:$D,0)&gt;0,1,0),0))</f>
        <v/>
      </c>
      <c r="T918" s="5" t="str">
        <f>IF(E918="","",IFERROR(IF(MATCH(E918,'Lista de excepciones'!$E:$E,0)&gt;0,1,0),0))</f>
        <v/>
      </c>
      <c r="U918" s="6" t="str">
        <f t="shared" si="15"/>
        <v/>
      </c>
    </row>
    <row r="919" spans="1:21" hidden="1" x14ac:dyDescent="0.25">
      <c r="A919" s="7" t="str">
        <f>IF('Port Bloomberg'!A919="","",'Port Bloomberg'!A919)</f>
        <v/>
      </c>
      <c r="B919" s="7" t="str">
        <f>IF('Port Bloomberg'!B919="","",'Port Bloomberg'!B919)</f>
        <v/>
      </c>
      <c r="C919" s="7" t="str">
        <f>IF('Port Bloomberg'!C919="","",'Port Bloomberg'!C919)</f>
        <v/>
      </c>
      <c r="D919" s="7" t="str">
        <f>IF('Port Bloomberg'!D919="","",'Port Bloomberg'!D919)</f>
        <v/>
      </c>
      <c r="E919" s="7" t="str">
        <f>IF('Port Bloomberg'!E919="","",'Port Bloomberg'!E919)</f>
        <v/>
      </c>
      <c r="F919" s="7" t="str">
        <f>IF('Port Bloomberg'!F919="","",'Port Bloomberg'!F919)</f>
        <v/>
      </c>
      <c r="G919" s="7" t="str">
        <f>IF('Port Bloomberg'!G919="","",'Port Bloomberg'!G919)</f>
        <v/>
      </c>
      <c r="H919" s="7" t="str">
        <f>IF('Port Bloomberg'!H919="","",'Port Bloomberg'!H919)</f>
        <v/>
      </c>
      <c r="I919" s="7" t="str">
        <f>IF('Port Bloomberg'!I919="","",'Port Bloomberg'!I919)</f>
        <v/>
      </c>
      <c r="J919" s="7" t="str">
        <f>IF('Port Bloomberg'!J919="","",'Port Bloomberg'!J919)</f>
        <v/>
      </c>
      <c r="K919" s="7" t="str">
        <f>IF('Port Bloomberg'!K919="","",'Port Bloomberg'!K919)</f>
        <v/>
      </c>
      <c r="L919" s="7" t="str">
        <f>IF('Port Bloomberg'!L919="","",'Port Bloomberg'!L919)</f>
        <v/>
      </c>
      <c r="M919" s="7" t="str">
        <f>IF('Port Bloomberg'!M919="","",'Port Bloomberg'!M919)</f>
        <v/>
      </c>
      <c r="N919" s="7" t="str">
        <f>IF('Port Bloomberg'!N919="","",'Port Bloomberg'!N919)</f>
        <v/>
      </c>
      <c r="O919" s="7" t="str">
        <f>IF('Port Bloomberg'!O919="","",'Port Bloomberg'!O919)</f>
        <v/>
      </c>
      <c r="P919" s="7" t="str">
        <f>IF('Port Bloomberg'!P919="","",'Port Bloomberg'!P919)</f>
        <v/>
      </c>
      <c r="Q919" s="7" t="str">
        <f>IF('Port Bloomberg'!Q919="","",'Port Bloomberg'!Q919)</f>
        <v/>
      </c>
      <c r="R919" s="7" t="str">
        <f>IF('Port Bloomberg'!R919="","",'Port Bloomberg'!R919)</f>
        <v/>
      </c>
      <c r="S919" s="5" t="str">
        <f>IF(E919="","",IFERROR(IF(MATCH(E919,[1]Instrumentos!$D:$D,0)&gt;0,1,0),0))</f>
        <v/>
      </c>
      <c r="T919" s="5" t="str">
        <f>IF(E919="","",IFERROR(IF(MATCH(E919,'Lista de excepciones'!$E:$E,0)&gt;0,1,0),0))</f>
        <v/>
      </c>
      <c r="U919" s="6" t="str">
        <f t="shared" si="15"/>
        <v/>
      </c>
    </row>
    <row r="920" spans="1:21" hidden="1" x14ac:dyDescent="0.25">
      <c r="A920" s="7" t="str">
        <f>IF('Port Bloomberg'!A920="","",'Port Bloomberg'!A920)</f>
        <v/>
      </c>
      <c r="B920" s="7" t="str">
        <f>IF('Port Bloomberg'!B920="","",'Port Bloomberg'!B920)</f>
        <v/>
      </c>
      <c r="C920" s="7" t="str">
        <f>IF('Port Bloomberg'!C920="","",'Port Bloomberg'!C920)</f>
        <v/>
      </c>
      <c r="D920" s="7" t="str">
        <f>IF('Port Bloomberg'!D920="","",'Port Bloomberg'!D920)</f>
        <v/>
      </c>
      <c r="E920" s="7" t="str">
        <f>IF('Port Bloomberg'!E920="","",'Port Bloomberg'!E920)</f>
        <v/>
      </c>
      <c r="F920" s="7" t="str">
        <f>IF('Port Bloomberg'!F920="","",'Port Bloomberg'!F920)</f>
        <v/>
      </c>
      <c r="G920" s="7" t="str">
        <f>IF('Port Bloomberg'!G920="","",'Port Bloomberg'!G920)</f>
        <v/>
      </c>
      <c r="H920" s="7" t="str">
        <f>IF('Port Bloomberg'!H920="","",'Port Bloomberg'!H920)</f>
        <v/>
      </c>
      <c r="I920" s="7" t="str">
        <f>IF('Port Bloomberg'!I920="","",'Port Bloomberg'!I920)</f>
        <v/>
      </c>
      <c r="J920" s="7" t="str">
        <f>IF('Port Bloomberg'!J920="","",'Port Bloomberg'!J920)</f>
        <v/>
      </c>
      <c r="K920" s="7" t="str">
        <f>IF('Port Bloomberg'!K920="","",'Port Bloomberg'!K920)</f>
        <v/>
      </c>
      <c r="L920" s="7" t="str">
        <f>IF('Port Bloomberg'!L920="","",'Port Bloomberg'!L920)</f>
        <v/>
      </c>
      <c r="M920" s="7" t="str">
        <f>IF('Port Bloomberg'!M920="","",'Port Bloomberg'!M920)</f>
        <v/>
      </c>
      <c r="N920" s="7" t="str">
        <f>IF('Port Bloomberg'!N920="","",'Port Bloomberg'!N920)</f>
        <v/>
      </c>
      <c r="O920" s="7" t="str">
        <f>IF('Port Bloomberg'!O920="","",'Port Bloomberg'!O920)</f>
        <v/>
      </c>
      <c r="P920" s="7" t="str">
        <f>IF('Port Bloomberg'!P920="","",'Port Bloomberg'!P920)</f>
        <v/>
      </c>
      <c r="Q920" s="7" t="str">
        <f>IF('Port Bloomberg'!Q920="","",'Port Bloomberg'!Q920)</f>
        <v/>
      </c>
      <c r="R920" s="7" t="str">
        <f>IF('Port Bloomberg'!R920="","",'Port Bloomberg'!R920)</f>
        <v/>
      </c>
      <c r="S920" s="5" t="str">
        <f>IF(E920="","",IFERROR(IF(MATCH(E920,[1]Instrumentos!$D:$D,0)&gt;0,1,0),0))</f>
        <v/>
      </c>
      <c r="T920" s="5" t="str">
        <f>IF(E920="","",IFERROR(IF(MATCH(E920,'Lista de excepciones'!$E:$E,0)&gt;0,1,0),0))</f>
        <v/>
      </c>
      <c r="U920" s="6" t="str">
        <f t="shared" si="15"/>
        <v/>
      </c>
    </row>
    <row r="921" spans="1:21" hidden="1" x14ac:dyDescent="0.25">
      <c r="A921" s="7" t="str">
        <f>IF('Port Bloomberg'!A921="","",'Port Bloomberg'!A921)</f>
        <v/>
      </c>
      <c r="B921" s="7" t="str">
        <f>IF('Port Bloomberg'!B921="","",'Port Bloomberg'!B921)</f>
        <v/>
      </c>
      <c r="C921" s="7" t="str">
        <f>IF('Port Bloomberg'!C921="","",'Port Bloomberg'!C921)</f>
        <v/>
      </c>
      <c r="D921" s="7" t="str">
        <f>IF('Port Bloomberg'!D921="","",'Port Bloomberg'!D921)</f>
        <v/>
      </c>
      <c r="E921" s="7" t="str">
        <f>IF('Port Bloomberg'!E921="","",'Port Bloomberg'!E921)</f>
        <v/>
      </c>
      <c r="F921" s="7" t="str">
        <f>IF('Port Bloomberg'!F921="","",'Port Bloomberg'!F921)</f>
        <v/>
      </c>
      <c r="G921" s="7" t="str">
        <f>IF('Port Bloomberg'!G921="","",'Port Bloomberg'!G921)</f>
        <v/>
      </c>
      <c r="H921" s="7" t="str">
        <f>IF('Port Bloomberg'!H921="","",'Port Bloomberg'!H921)</f>
        <v/>
      </c>
      <c r="I921" s="7" t="str">
        <f>IF('Port Bloomberg'!I921="","",'Port Bloomberg'!I921)</f>
        <v/>
      </c>
      <c r="J921" s="7" t="str">
        <f>IF('Port Bloomberg'!J921="","",'Port Bloomberg'!J921)</f>
        <v/>
      </c>
      <c r="K921" s="7" t="str">
        <f>IF('Port Bloomberg'!K921="","",'Port Bloomberg'!K921)</f>
        <v/>
      </c>
      <c r="L921" s="7" t="str">
        <f>IF('Port Bloomberg'!L921="","",'Port Bloomberg'!L921)</f>
        <v/>
      </c>
      <c r="M921" s="7" t="str">
        <f>IF('Port Bloomberg'!M921="","",'Port Bloomberg'!M921)</f>
        <v/>
      </c>
      <c r="N921" s="7" t="str">
        <f>IF('Port Bloomberg'!N921="","",'Port Bloomberg'!N921)</f>
        <v/>
      </c>
      <c r="O921" s="7" t="str">
        <f>IF('Port Bloomberg'!O921="","",'Port Bloomberg'!O921)</f>
        <v/>
      </c>
      <c r="P921" s="7" t="str">
        <f>IF('Port Bloomberg'!P921="","",'Port Bloomberg'!P921)</f>
        <v/>
      </c>
      <c r="Q921" s="7" t="str">
        <f>IF('Port Bloomberg'!Q921="","",'Port Bloomberg'!Q921)</f>
        <v/>
      </c>
      <c r="R921" s="7" t="str">
        <f>IF('Port Bloomberg'!R921="","",'Port Bloomberg'!R921)</f>
        <v/>
      </c>
      <c r="S921" s="5" t="str">
        <f>IF(E921="","",IFERROR(IF(MATCH(E921,[1]Instrumentos!$D:$D,0)&gt;0,1,0),0))</f>
        <v/>
      </c>
      <c r="T921" s="5" t="str">
        <f>IF(E921="","",IFERROR(IF(MATCH(E921,'Lista de excepciones'!$E:$E,0)&gt;0,1,0),0))</f>
        <v/>
      </c>
      <c r="U921" s="6" t="str">
        <f t="shared" si="15"/>
        <v/>
      </c>
    </row>
    <row r="922" spans="1:21" hidden="1" x14ac:dyDescent="0.25">
      <c r="A922" s="7" t="str">
        <f>IF('Port Bloomberg'!A922="","",'Port Bloomberg'!A922)</f>
        <v/>
      </c>
      <c r="B922" s="7" t="str">
        <f>IF('Port Bloomberg'!B922="","",'Port Bloomberg'!B922)</f>
        <v/>
      </c>
      <c r="C922" s="7" t="str">
        <f>IF('Port Bloomberg'!C922="","",'Port Bloomberg'!C922)</f>
        <v/>
      </c>
      <c r="D922" s="7" t="str">
        <f>IF('Port Bloomberg'!D922="","",'Port Bloomberg'!D922)</f>
        <v/>
      </c>
      <c r="E922" s="7" t="str">
        <f>IF('Port Bloomberg'!E922="","",'Port Bloomberg'!E922)</f>
        <v/>
      </c>
      <c r="F922" s="7" t="str">
        <f>IF('Port Bloomberg'!F922="","",'Port Bloomberg'!F922)</f>
        <v/>
      </c>
      <c r="G922" s="7" t="str">
        <f>IF('Port Bloomberg'!G922="","",'Port Bloomberg'!G922)</f>
        <v/>
      </c>
      <c r="H922" s="7" t="str">
        <f>IF('Port Bloomberg'!H922="","",'Port Bloomberg'!H922)</f>
        <v/>
      </c>
      <c r="I922" s="7" t="str">
        <f>IF('Port Bloomberg'!I922="","",'Port Bloomberg'!I922)</f>
        <v/>
      </c>
      <c r="J922" s="7" t="str">
        <f>IF('Port Bloomberg'!J922="","",'Port Bloomberg'!J922)</f>
        <v/>
      </c>
      <c r="K922" s="7" t="str">
        <f>IF('Port Bloomberg'!K922="","",'Port Bloomberg'!K922)</f>
        <v/>
      </c>
      <c r="L922" s="7" t="str">
        <f>IF('Port Bloomberg'!L922="","",'Port Bloomberg'!L922)</f>
        <v/>
      </c>
      <c r="M922" s="7" t="str">
        <f>IF('Port Bloomberg'!M922="","",'Port Bloomberg'!M922)</f>
        <v/>
      </c>
      <c r="N922" s="7" t="str">
        <f>IF('Port Bloomberg'!N922="","",'Port Bloomberg'!N922)</f>
        <v/>
      </c>
      <c r="O922" s="7" t="str">
        <f>IF('Port Bloomberg'!O922="","",'Port Bloomberg'!O922)</f>
        <v/>
      </c>
      <c r="P922" s="7" t="str">
        <f>IF('Port Bloomberg'!P922="","",'Port Bloomberg'!P922)</f>
        <v/>
      </c>
      <c r="Q922" s="7" t="str">
        <f>IF('Port Bloomberg'!Q922="","",'Port Bloomberg'!Q922)</f>
        <v/>
      </c>
      <c r="R922" s="7" t="str">
        <f>IF('Port Bloomberg'!R922="","",'Port Bloomberg'!R922)</f>
        <v/>
      </c>
      <c r="S922" s="5" t="str">
        <f>IF(E922="","",IFERROR(IF(MATCH(E922,[1]Instrumentos!$D:$D,0)&gt;0,1,0),0))</f>
        <v/>
      </c>
      <c r="T922" s="5" t="str">
        <f>IF(E922="","",IFERROR(IF(MATCH(E922,'Lista de excepciones'!$E:$E,0)&gt;0,1,0),0))</f>
        <v/>
      </c>
      <c r="U922" s="6" t="str">
        <f t="shared" si="15"/>
        <v/>
      </c>
    </row>
    <row r="923" spans="1:21" hidden="1" x14ac:dyDescent="0.25">
      <c r="A923" s="7" t="str">
        <f>IF('Port Bloomberg'!A923="","",'Port Bloomberg'!A923)</f>
        <v/>
      </c>
      <c r="B923" s="7" t="str">
        <f>IF('Port Bloomberg'!B923="","",'Port Bloomberg'!B923)</f>
        <v/>
      </c>
      <c r="C923" s="7" t="str">
        <f>IF('Port Bloomberg'!C923="","",'Port Bloomberg'!C923)</f>
        <v/>
      </c>
      <c r="D923" s="7" t="str">
        <f>IF('Port Bloomberg'!D923="","",'Port Bloomberg'!D923)</f>
        <v/>
      </c>
      <c r="E923" s="7" t="str">
        <f>IF('Port Bloomberg'!E923="","",'Port Bloomberg'!E923)</f>
        <v/>
      </c>
      <c r="F923" s="7" t="str">
        <f>IF('Port Bloomberg'!F923="","",'Port Bloomberg'!F923)</f>
        <v/>
      </c>
      <c r="G923" s="7" t="str">
        <f>IF('Port Bloomberg'!G923="","",'Port Bloomberg'!G923)</f>
        <v/>
      </c>
      <c r="H923" s="7" t="str">
        <f>IF('Port Bloomberg'!H923="","",'Port Bloomberg'!H923)</f>
        <v/>
      </c>
      <c r="I923" s="7" t="str">
        <f>IF('Port Bloomberg'!I923="","",'Port Bloomberg'!I923)</f>
        <v/>
      </c>
      <c r="J923" s="7" t="str">
        <f>IF('Port Bloomberg'!J923="","",'Port Bloomberg'!J923)</f>
        <v/>
      </c>
      <c r="K923" s="7" t="str">
        <f>IF('Port Bloomberg'!K923="","",'Port Bloomberg'!K923)</f>
        <v/>
      </c>
      <c r="L923" s="7" t="str">
        <f>IF('Port Bloomberg'!L923="","",'Port Bloomberg'!L923)</f>
        <v/>
      </c>
      <c r="M923" s="7" t="str">
        <f>IF('Port Bloomberg'!M923="","",'Port Bloomberg'!M923)</f>
        <v/>
      </c>
      <c r="N923" s="7" t="str">
        <f>IF('Port Bloomberg'!N923="","",'Port Bloomberg'!N923)</f>
        <v/>
      </c>
      <c r="O923" s="7" t="str">
        <f>IF('Port Bloomberg'!O923="","",'Port Bloomberg'!O923)</f>
        <v/>
      </c>
      <c r="P923" s="7" t="str">
        <f>IF('Port Bloomberg'!P923="","",'Port Bloomberg'!P923)</f>
        <v/>
      </c>
      <c r="Q923" s="7" t="str">
        <f>IF('Port Bloomberg'!Q923="","",'Port Bloomberg'!Q923)</f>
        <v/>
      </c>
      <c r="R923" s="7" t="str">
        <f>IF('Port Bloomberg'!R923="","",'Port Bloomberg'!R923)</f>
        <v/>
      </c>
      <c r="S923" s="5" t="str">
        <f>IF(E923="","",IFERROR(IF(MATCH(E923,[1]Instrumentos!$D:$D,0)&gt;0,1,0),0))</f>
        <v/>
      </c>
      <c r="T923" s="5" t="str">
        <f>IF(E923="","",IFERROR(IF(MATCH(E923,'Lista de excepciones'!$E:$E,0)&gt;0,1,0),0))</f>
        <v/>
      </c>
      <c r="U923" s="6" t="str">
        <f t="shared" si="15"/>
        <v/>
      </c>
    </row>
    <row r="924" spans="1:21" hidden="1" x14ac:dyDescent="0.25">
      <c r="A924" s="7" t="str">
        <f>IF('Port Bloomberg'!A924="","",'Port Bloomberg'!A924)</f>
        <v/>
      </c>
      <c r="B924" s="7" t="str">
        <f>IF('Port Bloomberg'!B924="","",'Port Bloomberg'!B924)</f>
        <v/>
      </c>
      <c r="C924" s="7" t="str">
        <f>IF('Port Bloomberg'!C924="","",'Port Bloomberg'!C924)</f>
        <v/>
      </c>
      <c r="D924" s="7" t="str">
        <f>IF('Port Bloomberg'!D924="","",'Port Bloomberg'!D924)</f>
        <v/>
      </c>
      <c r="E924" s="7" t="str">
        <f>IF('Port Bloomberg'!E924="","",'Port Bloomberg'!E924)</f>
        <v/>
      </c>
      <c r="F924" s="7" t="str">
        <f>IF('Port Bloomberg'!F924="","",'Port Bloomberg'!F924)</f>
        <v/>
      </c>
      <c r="G924" s="7" t="str">
        <f>IF('Port Bloomberg'!G924="","",'Port Bloomberg'!G924)</f>
        <v/>
      </c>
      <c r="H924" s="7" t="str">
        <f>IF('Port Bloomberg'!H924="","",'Port Bloomberg'!H924)</f>
        <v/>
      </c>
      <c r="I924" s="7" t="str">
        <f>IF('Port Bloomberg'!I924="","",'Port Bloomberg'!I924)</f>
        <v/>
      </c>
      <c r="J924" s="7" t="str">
        <f>IF('Port Bloomberg'!J924="","",'Port Bloomberg'!J924)</f>
        <v/>
      </c>
      <c r="K924" s="7" t="str">
        <f>IF('Port Bloomberg'!K924="","",'Port Bloomberg'!K924)</f>
        <v/>
      </c>
      <c r="L924" s="7" t="str">
        <f>IF('Port Bloomberg'!L924="","",'Port Bloomberg'!L924)</f>
        <v/>
      </c>
      <c r="M924" s="7" t="str">
        <f>IF('Port Bloomberg'!M924="","",'Port Bloomberg'!M924)</f>
        <v/>
      </c>
      <c r="N924" s="7" t="str">
        <f>IF('Port Bloomberg'!N924="","",'Port Bloomberg'!N924)</f>
        <v/>
      </c>
      <c r="O924" s="7" t="str">
        <f>IF('Port Bloomberg'!O924="","",'Port Bloomberg'!O924)</f>
        <v/>
      </c>
      <c r="P924" s="7" t="str">
        <f>IF('Port Bloomberg'!P924="","",'Port Bloomberg'!P924)</f>
        <v/>
      </c>
      <c r="Q924" s="7" t="str">
        <f>IF('Port Bloomberg'!Q924="","",'Port Bloomberg'!Q924)</f>
        <v/>
      </c>
      <c r="R924" s="7" t="str">
        <f>IF('Port Bloomberg'!R924="","",'Port Bloomberg'!R924)</f>
        <v/>
      </c>
      <c r="S924" s="5" t="str">
        <f>IF(E924="","",IFERROR(IF(MATCH(E924,[1]Instrumentos!$D:$D,0)&gt;0,1,0),0))</f>
        <v/>
      </c>
      <c r="T924" s="5" t="str">
        <f>IF(E924="","",IFERROR(IF(MATCH(E924,'Lista de excepciones'!$E:$E,0)&gt;0,1,0),0))</f>
        <v/>
      </c>
      <c r="U924" s="6" t="str">
        <f t="shared" si="15"/>
        <v/>
      </c>
    </row>
    <row r="925" spans="1:21" hidden="1" x14ac:dyDescent="0.25">
      <c r="A925" s="7" t="str">
        <f>IF('Port Bloomberg'!A925="","",'Port Bloomberg'!A925)</f>
        <v/>
      </c>
      <c r="B925" s="7" t="str">
        <f>IF('Port Bloomberg'!B925="","",'Port Bloomberg'!B925)</f>
        <v/>
      </c>
      <c r="C925" s="7" t="str">
        <f>IF('Port Bloomberg'!C925="","",'Port Bloomberg'!C925)</f>
        <v/>
      </c>
      <c r="D925" s="7" t="str">
        <f>IF('Port Bloomberg'!D925="","",'Port Bloomberg'!D925)</f>
        <v/>
      </c>
      <c r="E925" s="7" t="str">
        <f>IF('Port Bloomberg'!E925="","",'Port Bloomberg'!E925)</f>
        <v/>
      </c>
      <c r="F925" s="7" t="str">
        <f>IF('Port Bloomberg'!F925="","",'Port Bloomberg'!F925)</f>
        <v/>
      </c>
      <c r="G925" s="7" t="str">
        <f>IF('Port Bloomberg'!G925="","",'Port Bloomberg'!G925)</f>
        <v/>
      </c>
      <c r="H925" s="7" t="str">
        <f>IF('Port Bloomberg'!H925="","",'Port Bloomberg'!H925)</f>
        <v/>
      </c>
      <c r="I925" s="7" t="str">
        <f>IF('Port Bloomberg'!I925="","",'Port Bloomberg'!I925)</f>
        <v/>
      </c>
      <c r="J925" s="7" t="str">
        <f>IF('Port Bloomberg'!J925="","",'Port Bloomberg'!J925)</f>
        <v/>
      </c>
      <c r="K925" s="7" t="str">
        <f>IF('Port Bloomberg'!K925="","",'Port Bloomberg'!K925)</f>
        <v/>
      </c>
      <c r="L925" s="7" t="str">
        <f>IF('Port Bloomberg'!L925="","",'Port Bloomberg'!L925)</f>
        <v/>
      </c>
      <c r="M925" s="7" t="str">
        <f>IF('Port Bloomberg'!M925="","",'Port Bloomberg'!M925)</f>
        <v/>
      </c>
      <c r="N925" s="7" t="str">
        <f>IF('Port Bloomberg'!N925="","",'Port Bloomberg'!N925)</f>
        <v/>
      </c>
      <c r="O925" s="7" t="str">
        <f>IF('Port Bloomberg'!O925="","",'Port Bloomberg'!O925)</f>
        <v/>
      </c>
      <c r="P925" s="7" t="str">
        <f>IF('Port Bloomberg'!P925="","",'Port Bloomberg'!P925)</f>
        <v/>
      </c>
      <c r="Q925" s="7" t="str">
        <f>IF('Port Bloomberg'!Q925="","",'Port Bloomberg'!Q925)</f>
        <v/>
      </c>
      <c r="R925" s="7" t="str">
        <f>IF('Port Bloomberg'!R925="","",'Port Bloomberg'!R925)</f>
        <v/>
      </c>
      <c r="S925" s="5" t="str">
        <f>IF(E925="","",IFERROR(IF(MATCH(E925,[1]Instrumentos!$D:$D,0)&gt;0,1,0),0))</f>
        <v/>
      </c>
      <c r="T925" s="5" t="str">
        <f>IF(E925="","",IFERROR(IF(MATCH(E925,'Lista de excepciones'!$E:$E,0)&gt;0,1,0),0))</f>
        <v/>
      </c>
      <c r="U925" s="6" t="str">
        <f t="shared" si="15"/>
        <v/>
      </c>
    </row>
    <row r="926" spans="1:21" hidden="1" x14ac:dyDescent="0.25">
      <c r="A926" s="7" t="str">
        <f>IF('Port Bloomberg'!A926="","",'Port Bloomberg'!A926)</f>
        <v/>
      </c>
      <c r="B926" s="7" t="str">
        <f>IF('Port Bloomberg'!B926="","",'Port Bloomberg'!B926)</f>
        <v/>
      </c>
      <c r="C926" s="7" t="str">
        <f>IF('Port Bloomberg'!C926="","",'Port Bloomberg'!C926)</f>
        <v/>
      </c>
      <c r="D926" s="7" t="str">
        <f>IF('Port Bloomberg'!D926="","",'Port Bloomberg'!D926)</f>
        <v/>
      </c>
      <c r="E926" s="7" t="str">
        <f>IF('Port Bloomberg'!E926="","",'Port Bloomberg'!E926)</f>
        <v/>
      </c>
      <c r="F926" s="7" t="str">
        <f>IF('Port Bloomberg'!F926="","",'Port Bloomberg'!F926)</f>
        <v/>
      </c>
      <c r="G926" s="7" t="str">
        <f>IF('Port Bloomberg'!G926="","",'Port Bloomberg'!G926)</f>
        <v/>
      </c>
      <c r="H926" s="7" t="str">
        <f>IF('Port Bloomberg'!H926="","",'Port Bloomberg'!H926)</f>
        <v/>
      </c>
      <c r="I926" s="7" t="str">
        <f>IF('Port Bloomberg'!I926="","",'Port Bloomberg'!I926)</f>
        <v/>
      </c>
      <c r="J926" s="7" t="str">
        <f>IF('Port Bloomberg'!J926="","",'Port Bloomberg'!J926)</f>
        <v/>
      </c>
      <c r="K926" s="7" t="str">
        <f>IF('Port Bloomberg'!K926="","",'Port Bloomberg'!K926)</f>
        <v/>
      </c>
      <c r="L926" s="7" t="str">
        <f>IF('Port Bloomberg'!L926="","",'Port Bloomberg'!L926)</f>
        <v/>
      </c>
      <c r="M926" s="7" t="str">
        <f>IF('Port Bloomberg'!M926="","",'Port Bloomberg'!M926)</f>
        <v/>
      </c>
      <c r="N926" s="7" t="str">
        <f>IF('Port Bloomberg'!N926="","",'Port Bloomberg'!N926)</f>
        <v/>
      </c>
      <c r="O926" s="7" t="str">
        <f>IF('Port Bloomberg'!O926="","",'Port Bloomberg'!O926)</f>
        <v/>
      </c>
      <c r="P926" s="7" t="str">
        <f>IF('Port Bloomberg'!P926="","",'Port Bloomberg'!P926)</f>
        <v/>
      </c>
      <c r="Q926" s="7" t="str">
        <f>IF('Port Bloomberg'!Q926="","",'Port Bloomberg'!Q926)</f>
        <v/>
      </c>
      <c r="R926" s="7" t="str">
        <f>IF('Port Bloomberg'!R926="","",'Port Bloomberg'!R926)</f>
        <v/>
      </c>
      <c r="S926" s="5" t="str">
        <f>IF(E926="","",IFERROR(IF(MATCH(E926,[1]Instrumentos!$D:$D,0)&gt;0,1,0),0))</f>
        <v/>
      </c>
      <c r="T926" s="5" t="str">
        <f>IF(E926="","",IFERROR(IF(MATCH(E926,'Lista de excepciones'!$E:$E,0)&gt;0,1,0),0))</f>
        <v/>
      </c>
      <c r="U926" s="6" t="str">
        <f t="shared" si="15"/>
        <v/>
      </c>
    </row>
    <row r="927" spans="1:21" hidden="1" x14ac:dyDescent="0.25">
      <c r="A927" s="7" t="str">
        <f>IF('Port Bloomberg'!A927="","",'Port Bloomberg'!A927)</f>
        <v/>
      </c>
      <c r="B927" s="7" t="str">
        <f>IF('Port Bloomberg'!B927="","",'Port Bloomberg'!B927)</f>
        <v/>
      </c>
      <c r="C927" s="7" t="str">
        <f>IF('Port Bloomberg'!C927="","",'Port Bloomberg'!C927)</f>
        <v/>
      </c>
      <c r="D927" s="7" t="str">
        <f>IF('Port Bloomberg'!D927="","",'Port Bloomberg'!D927)</f>
        <v/>
      </c>
      <c r="E927" s="7" t="str">
        <f>IF('Port Bloomberg'!E927="","",'Port Bloomberg'!E927)</f>
        <v/>
      </c>
      <c r="F927" s="7" t="str">
        <f>IF('Port Bloomberg'!F927="","",'Port Bloomberg'!F927)</f>
        <v/>
      </c>
      <c r="G927" s="7" t="str">
        <f>IF('Port Bloomberg'!G927="","",'Port Bloomberg'!G927)</f>
        <v/>
      </c>
      <c r="H927" s="7" t="str">
        <f>IF('Port Bloomberg'!H927="","",'Port Bloomberg'!H927)</f>
        <v/>
      </c>
      <c r="I927" s="7" t="str">
        <f>IF('Port Bloomberg'!I927="","",'Port Bloomberg'!I927)</f>
        <v/>
      </c>
      <c r="J927" s="7" t="str">
        <f>IF('Port Bloomberg'!J927="","",'Port Bloomberg'!J927)</f>
        <v/>
      </c>
      <c r="K927" s="7" t="str">
        <f>IF('Port Bloomberg'!K927="","",'Port Bloomberg'!K927)</f>
        <v/>
      </c>
      <c r="L927" s="7" t="str">
        <f>IF('Port Bloomberg'!L927="","",'Port Bloomberg'!L927)</f>
        <v/>
      </c>
      <c r="M927" s="7" t="str">
        <f>IF('Port Bloomberg'!M927="","",'Port Bloomberg'!M927)</f>
        <v/>
      </c>
      <c r="N927" s="7" t="str">
        <f>IF('Port Bloomberg'!N927="","",'Port Bloomberg'!N927)</f>
        <v/>
      </c>
      <c r="O927" s="7" t="str">
        <f>IF('Port Bloomberg'!O927="","",'Port Bloomberg'!O927)</f>
        <v/>
      </c>
      <c r="P927" s="7" t="str">
        <f>IF('Port Bloomberg'!P927="","",'Port Bloomberg'!P927)</f>
        <v/>
      </c>
      <c r="Q927" s="7" t="str">
        <f>IF('Port Bloomberg'!Q927="","",'Port Bloomberg'!Q927)</f>
        <v/>
      </c>
      <c r="R927" s="7" t="str">
        <f>IF('Port Bloomberg'!R927="","",'Port Bloomberg'!R927)</f>
        <v/>
      </c>
      <c r="S927" s="5" t="str">
        <f>IF(E927="","",IFERROR(IF(MATCH(E927,[1]Instrumentos!$D:$D,0)&gt;0,1,0),0))</f>
        <v/>
      </c>
      <c r="T927" s="5" t="str">
        <f>IF(E927="","",IFERROR(IF(MATCH(E927,'Lista de excepciones'!$E:$E,0)&gt;0,1,0),0))</f>
        <v/>
      </c>
      <c r="U927" s="6" t="str">
        <f t="shared" si="15"/>
        <v/>
      </c>
    </row>
    <row r="928" spans="1:21" hidden="1" x14ac:dyDescent="0.25">
      <c r="A928" s="7" t="str">
        <f>IF('Port Bloomberg'!A928="","",'Port Bloomberg'!A928)</f>
        <v/>
      </c>
      <c r="B928" s="7" t="str">
        <f>IF('Port Bloomberg'!B928="","",'Port Bloomberg'!B928)</f>
        <v/>
      </c>
      <c r="C928" s="7" t="str">
        <f>IF('Port Bloomberg'!C928="","",'Port Bloomberg'!C928)</f>
        <v/>
      </c>
      <c r="D928" s="7" t="str">
        <f>IF('Port Bloomberg'!D928="","",'Port Bloomberg'!D928)</f>
        <v/>
      </c>
      <c r="E928" s="7" t="str">
        <f>IF('Port Bloomberg'!E928="","",'Port Bloomberg'!E928)</f>
        <v/>
      </c>
      <c r="F928" s="7" t="str">
        <f>IF('Port Bloomberg'!F928="","",'Port Bloomberg'!F928)</f>
        <v/>
      </c>
      <c r="G928" s="7" t="str">
        <f>IF('Port Bloomberg'!G928="","",'Port Bloomberg'!G928)</f>
        <v/>
      </c>
      <c r="H928" s="7" t="str">
        <f>IF('Port Bloomberg'!H928="","",'Port Bloomberg'!H928)</f>
        <v/>
      </c>
      <c r="I928" s="7" t="str">
        <f>IF('Port Bloomberg'!I928="","",'Port Bloomberg'!I928)</f>
        <v/>
      </c>
      <c r="J928" s="7" t="str">
        <f>IF('Port Bloomberg'!J928="","",'Port Bloomberg'!J928)</f>
        <v/>
      </c>
      <c r="K928" s="7" t="str">
        <f>IF('Port Bloomberg'!K928="","",'Port Bloomberg'!K928)</f>
        <v/>
      </c>
      <c r="L928" s="7" t="str">
        <f>IF('Port Bloomberg'!L928="","",'Port Bloomberg'!L928)</f>
        <v/>
      </c>
      <c r="M928" s="7" t="str">
        <f>IF('Port Bloomberg'!M928="","",'Port Bloomberg'!M928)</f>
        <v/>
      </c>
      <c r="N928" s="7" t="str">
        <f>IF('Port Bloomberg'!N928="","",'Port Bloomberg'!N928)</f>
        <v/>
      </c>
      <c r="O928" s="7" t="str">
        <f>IF('Port Bloomberg'!O928="","",'Port Bloomberg'!O928)</f>
        <v/>
      </c>
      <c r="P928" s="7" t="str">
        <f>IF('Port Bloomberg'!P928="","",'Port Bloomberg'!P928)</f>
        <v/>
      </c>
      <c r="Q928" s="7" t="str">
        <f>IF('Port Bloomberg'!Q928="","",'Port Bloomberg'!Q928)</f>
        <v/>
      </c>
      <c r="R928" s="7" t="str">
        <f>IF('Port Bloomberg'!R928="","",'Port Bloomberg'!R928)</f>
        <v/>
      </c>
      <c r="S928" s="5" t="str">
        <f>IF(E928="","",IFERROR(IF(MATCH(E928,[1]Instrumentos!$D:$D,0)&gt;0,1,0),0))</f>
        <v/>
      </c>
      <c r="T928" s="5" t="str">
        <f>IF(E928="","",IFERROR(IF(MATCH(E928,'Lista de excepciones'!$E:$E,0)&gt;0,1,0),0))</f>
        <v/>
      </c>
      <c r="U928" s="6" t="str">
        <f t="shared" si="15"/>
        <v/>
      </c>
    </row>
    <row r="929" spans="1:21" hidden="1" x14ac:dyDescent="0.25">
      <c r="A929" s="7" t="str">
        <f>IF('Port Bloomberg'!A929="","",'Port Bloomberg'!A929)</f>
        <v/>
      </c>
      <c r="B929" s="7" t="str">
        <f>IF('Port Bloomberg'!B929="","",'Port Bloomberg'!B929)</f>
        <v/>
      </c>
      <c r="C929" s="7" t="str">
        <f>IF('Port Bloomberg'!C929="","",'Port Bloomberg'!C929)</f>
        <v/>
      </c>
      <c r="D929" s="7" t="str">
        <f>IF('Port Bloomberg'!D929="","",'Port Bloomberg'!D929)</f>
        <v/>
      </c>
      <c r="E929" s="7" t="str">
        <f>IF('Port Bloomberg'!E929="","",'Port Bloomberg'!E929)</f>
        <v/>
      </c>
      <c r="F929" s="7" t="str">
        <f>IF('Port Bloomberg'!F929="","",'Port Bloomberg'!F929)</f>
        <v/>
      </c>
      <c r="G929" s="7" t="str">
        <f>IF('Port Bloomberg'!G929="","",'Port Bloomberg'!G929)</f>
        <v/>
      </c>
      <c r="H929" s="7" t="str">
        <f>IF('Port Bloomberg'!H929="","",'Port Bloomberg'!H929)</f>
        <v/>
      </c>
      <c r="I929" s="7" t="str">
        <f>IF('Port Bloomberg'!I929="","",'Port Bloomberg'!I929)</f>
        <v/>
      </c>
      <c r="J929" s="7" t="str">
        <f>IF('Port Bloomberg'!J929="","",'Port Bloomberg'!J929)</f>
        <v/>
      </c>
      <c r="K929" s="7" t="str">
        <f>IF('Port Bloomberg'!K929="","",'Port Bloomberg'!K929)</f>
        <v/>
      </c>
      <c r="L929" s="7" t="str">
        <f>IF('Port Bloomberg'!L929="","",'Port Bloomberg'!L929)</f>
        <v/>
      </c>
      <c r="M929" s="7" t="str">
        <f>IF('Port Bloomberg'!M929="","",'Port Bloomberg'!M929)</f>
        <v/>
      </c>
      <c r="N929" s="7" t="str">
        <f>IF('Port Bloomberg'!N929="","",'Port Bloomberg'!N929)</f>
        <v/>
      </c>
      <c r="O929" s="7" t="str">
        <f>IF('Port Bloomberg'!O929="","",'Port Bloomberg'!O929)</f>
        <v/>
      </c>
      <c r="P929" s="7" t="str">
        <f>IF('Port Bloomberg'!P929="","",'Port Bloomberg'!P929)</f>
        <v/>
      </c>
      <c r="Q929" s="7" t="str">
        <f>IF('Port Bloomberg'!Q929="","",'Port Bloomberg'!Q929)</f>
        <v/>
      </c>
      <c r="R929" s="7" t="str">
        <f>IF('Port Bloomberg'!R929="","",'Port Bloomberg'!R929)</f>
        <v/>
      </c>
      <c r="S929" s="5" t="str">
        <f>IF(E929="","",IFERROR(IF(MATCH(E929,[1]Instrumentos!$D:$D,0)&gt;0,1,0),0))</f>
        <v/>
      </c>
      <c r="T929" s="5" t="str">
        <f>IF(E929="","",IFERROR(IF(MATCH(E929,'Lista de excepciones'!$E:$E,0)&gt;0,1,0),0))</f>
        <v/>
      </c>
      <c r="U929" s="6" t="str">
        <f t="shared" si="15"/>
        <v/>
      </c>
    </row>
    <row r="930" spans="1:21" hidden="1" x14ac:dyDescent="0.25">
      <c r="A930" s="7" t="str">
        <f>IF('Port Bloomberg'!A930="","",'Port Bloomberg'!A930)</f>
        <v/>
      </c>
      <c r="B930" s="7" t="str">
        <f>IF('Port Bloomberg'!B930="","",'Port Bloomberg'!B930)</f>
        <v/>
      </c>
      <c r="C930" s="7" t="str">
        <f>IF('Port Bloomberg'!C930="","",'Port Bloomberg'!C930)</f>
        <v/>
      </c>
      <c r="D930" s="7" t="str">
        <f>IF('Port Bloomberg'!D930="","",'Port Bloomberg'!D930)</f>
        <v/>
      </c>
      <c r="E930" s="7" t="str">
        <f>IF('Port Bloomberg'!E930="","",'Port Bloomberg'!E930)</f>
        <v/>
      </c>
      <c r="F930" s="7" t="str">
        <f>IF('Port Bloomberg'!F930="","",'Port Bloomberg'!F930)</f>
        <v/>
      </c>
      <c r="G930" s="7" t="str">
        <f>IF('Port Bloomberg'!G930="","",'Port Bloomberg'!G930)</f>
        <v/>
      </c>
      <c r="H930" s="7" t="str">
        <f>IF('Port Bloomberg'!H930="","",'Port Bloomberg'!H930)</f>
        <v/>
      </c>
      <c r="I930" s="7" t="str">
        <f>IF('Port Bloomberg'!I930="","",'Port Bloomberg'!I930)</f>
        <v/>
      </c>
      <c r="J930" s="7" t="str">
        <f>IF('Port Bloomberg'!J930="","",'Port Bloomberg'!J930)</f>
        <v/>
      </c>
      <c r="K930" s="7" t="str">
        <f>IF('Port Bloomberg'!K930="","",'Port Bloomberg'!K930)</f>
        <v/>
      </c>
      <c r="L930" s="7" t="str">
        <f>IF('Port Bloomberg'!L930="","",'Port Bloomberg'!L930)</f>
        <v/>
      </c>
      <c r="M930" s="7" t="str">
        <f>IF('Port Bloomberg'!M930="","",'Port Bloomberg'!M930)</f>
        <v/>
      </c>
      <c r="N930" s="7" t="str">
        <f>IF('Port Bloomberg'!N930="","",'Port Bloomberg'!N930)</f>
        <v/>
      </c>
      <c r="O930" s="7" t="str">
        <f>IF('Port Bloomberg'!O930="","",'Port Bloomberg'!O930)</f>
        <v/>
      </c>
      <c r="P930" s="7" t="str">
        <f>IF('Port Bloomberg'!P930="","",'Port Bloomberg'!P930)</f>
        <v/>
      </c>
      <c r="Q930" s="7" t="str">
        <f>IF('Port Bloomberg'!Q930="","",'Port Bloomberg'!Q930)</f>
        <v/>
      </c>
      <c r="R930" s="7" t="str">
        <f>IF('Port Bloomberg'!R930="","",'Port Bloomberg'!R930)</f>
        <v/>
      </c>
      <c r="S930" s="5" t="str">
        <f>IF(E930="","",IFERROR(IF(MATCH(E930,[1]Instrumentos!$D:$D,0)&gt;0,1,0),0))</f>
        <v/>
      </c>
      <c r="T930" s="5" t="str">
        <f>IF(E930="","",IFERROR(IF(MATCH(E930,'Lista de excepciones'!$E:$E,0)&gt;0,1,0),0))</f>
        <v/>
      </c>
      <c r="U930" s="6" t="str">
        <f t="shared" si="15"/>
        <v/>
      </c>
    </row>
    <row r="931" spans="1:21" hidden="1" x14ac:dyDescent="0.25">
      <c r="A931" s="7" t="str">
        <f>IF('Port Bloomberg'!A931="","",'Port Bloomberg'!A931)</f>
        <v/>
      </c>
      <c r="B931" s="7" t="str">
        <f>IF('Port Bloomberg'!B931="","",'Port Bloomberg'!B931)</f>
        <v/>
      </c>
      <c r="C931" s="7" t="str">
        <f>IF('Port Bloomberg'!C931="","",'Port Bloomberg'!C931)</f>
        <v/>
      </c>
      <c r="D931" s="7" t="str">
        <f>IF('Port Bloomberg'!D931="","",'Port Bloomberg'!D931)</f>
        <v/>
      </c>
      <c r="E931" s="7" t="str">
        <f>IF('Port Bloomberg'!E931="","",'Port Bloomberg'!E931)</f>
        <v/>
      </c>
      <c r="F931" s="7" t="str">
        <f>IF('Port Bloomberg'!F931="","",'Port Bloomberg'!F931)</f>
        <v/>
      </c>
      <c r="G931" s="7" t="str">
        <f>IF('Port Bloomberg'!G931="","",'Port Bloomberg'!G931)</f>
        <v/>
      </c>
      <c r="H931" s="7" t="str">
        <f>IF('Port Bloomberg'!H931="","",'Port Bloomberg'!H931)</f>
        <v/>
      </c>
      <c r="I931" s="7" t="str">
        <f>IF('Port Bloomberg'!I931="","",'Port Bloomberg'!I931)</f>
        <v/>
      </c>
      <c r="J931" s="7" t="str">
        <f>IF('Port Bloomberg'!J931="","",'Port Bloomberg'!J931)</f>
        <v/>
      </c>
      <c r="K931" s="7" t="str">
        <f>IF('Port Bloomberg'!K931="","",'Port Bloomberg'!K931)</f>
        <v/>
      </c>
      <c r="L931" s="7" t="str">
        <f>IF('Port Bloomberg'!L931="","",'Port Bloomberg'!L931)</f>
        <v/>
      </c>
      <c r="M931" s="7" t="str">
        <f>IF('Port Bloomberg'!M931="","",'Port Bloomberg'!M931)</f>
        <v/>
      </c>
      <c r="N931" s="7" t="str">
        <f>IF('Port Bloomberg'!N931="","",'Port Bloomberg'!N931)</f>
        <v/>
      </c>
      <c r="O931" s="7" t="str">
        <f>IF('Port Bloomberg'!O931="","",'Port Bloomberg'!O931)</f>
        <v/>
      </c>
      <c r="P931" s="7" t="str">
        <f>IF('Port Bloomberg'!P931="","",'Port Bloomberg'!P931)</f>
        <v/>
      </c>
      <c r="Q931" s="7" t="str">
        <f>IF('Port Bloomberg'!Q931="","",'Port Bloomberg'!Q931)</f>
        <v/>
      </c>
      <c r="R931" s="7" t="str">
        <f>IF('Port Bloomberg'!R931="","",'Port Bloomberg'!R931)</f>
        <v/>
      </c>
      <c r="S931" s="5" t="str">
        <f>IF(E931="","",IFERROR(IF(MATCH(E931,[1]Instrumentos!$D:$D,0)&gt;0,1,0),0))</f>
        <v/>
      </c>
      <c r="T931" s="5" t="str">
        <f>IF(E931="","",IFERROR(IF(MATCH(E931,'Lista de excepciones'!$E:$E,0)&gt;0,1,0),0))</f>
        <v/>
      </c>
      <c r="U931" s="6" t="str">
        <f t="shared" si="15"/>
        <v/>
      </c>
    </row>
    <row r="932" spans="1:21" hidden="1" x14ac:dyDescent="0.25">
      <c r="A932" s="7" t="str">
        <f>IF('Port Bloomberg'!A932="","",'Port Bloomberg'!A932)</f>
        <v/>
      </c>
      <c r="B932" s="7" t="str">
        <f>IF('Port Bloomberg'!B932="","",'Port Bloomberg'!B932)</f>
        <v/>
      </c>
      <c r="C932" s="7" t="str">
        <f>IF('Port Bloomberg'!C932="","",'Port Bloomberg'!C932)</f>
        <v/>
      </c>
      <c r="D932" s="7" t="str">
        <f>IF('Port Bloomberg'!D932="","",'Port Bloomberg'!D932)</f>
        <v/>
      </c>
      <c r="E932" s="7" t="str">
        <f>IF('Port Bloomberg'!E932="","",'Port Bloomberg'!E932)</f>
        <v/>
      </c>
      <c r="F932" s="7" t="str">
        <f>IF('Port Bloomberg'!F932="","",'Port Bloomberg'!F932)</f>
        <v/>
      </c>
      <c r="G932" s="7" t="str">
        <f>IF('Port Bloomberg'!G932="","",'Port Bloomberg'!G932)</f>
        <v/>
      </c>
      <c r="H932" s="7" t="str">
        <f>IF('Port Bloomberg'!H932="","",'Port Bloomberg'!H932)</f>
        <v/>
      </c>
      <c r="I932" s="7" t="str">
        <f>IF('Port Bloomberg'!I932="","",'Port Bloomberg'!I932)</f>
        <v/>
      </c>
      <c r="J932" s="7" t="str">
        <f>IF('Port Bloomberg'!J932="","",'Port Bloomberg'!J932)</f>
        <v/>
      </c>
      <c r="K932" s="7" t="str">
        <f>IF('Port Bloomberg'!K932="","",'Port Bloomberg'!K932)</f>
        <v/>
      </c>
      <c r="L932" s="7" t="str">
        <f>IF('Port Bloomberg'!L932="","",'Port Bloomberg'!L932)</f>
        <v/>
      </c>
      <c r="M932" s="7" t="str">
        <f>IF('Port Bloomberg'!M932="","",'Port Bloomberg'!M932)</f>
        <v/>
      </c>
      <c r="N932" s="7" t="str">
        <f>IF('Port Bloomberg'!N932="","",'Port Bloomberg'!N932)</f>
        <v/>
      </c>
      <c r="O932" s="7" t="str">
        <f>IF('Port Bloomberg'!O932="","",'Port Bloomberg'!O932)</f>
        <v/>
      </c>
      <c r="P932" s="7" t="str">
        <f>IF('Port Bloomberg'!P932="","",'Port Bloomberg'!P932)</f>
        <v/>
      </c>
      <c r="Q932" s="7" t="str">
        <f>IF('Port Bloomberg'!Q932="","",'Port Bloomberg'!Q932)</f>
        <v/>
      </c>
      <c r="R932" s="7" t="str">
        <f>IF('Port Bloomberg'!R932="","",'Port Bloomberg'!R932)</f>
        <v/>
      </c>
      <c r="S932" s="5" t="str">
        <f>IF(E932="","",IFERROR(IF(MATCH(E932,[1]Instrumentos!$D:$D,0)&gt;0,1,0),0))</f>
        <v/>
      </c>
      <c r="T932" s="5" t="str">
        <f>IF(E932="","",IFERROR(IF(MATCH(E932,'Lista de excepciones'!$E:$E,0)&gt;0,1,0),0))</f>
        <v/>
      </c>
      <c r="U932" s="6" t="str">
        <f t="shared" si="15"/>
        <v/>
      </c>
    </row>
    <row r="933" spans="1:21" hidden="1" x14ac:dyDescent="0.25">
      <c r="A933" s="7" t="str">
        <f>IF('Port Bloomberg'!A933="","",'Port Bloomberg'!A933)</f>
        <v/>
      </c>
      <c r="B933" s="7" t="str">
        <f>IF('Port Bloomberg'!B933="","",'Port Bloomberg'!B933)</f>
        <v/>
      </c>
      <c r="C933" s="7" t="str">
        <f>IF('Port Bloomberg'!C933="","",'Port Bloomberg'!C933)</f>
        <v/>
      </c>
      <c r="D933" s="7" t="str">
        <f>IF('Port Bloomberg'!D933="","",'Port Bloomberg'!D933)</f>
        <v/>
      </c>
      <c r="E933" s="7" t="str">
        <f>IF('Port Bloomberg'!E933="","",'Port Bloomberg'!E933)</f>
        <v/>
      </c>
      <c r="F933" s="7" t="str">
        <f>IF('Port Bloomberg'!F933="","",'Port Bloomberg'!F933)</f>
        <v/>
      </c>
      <c r="G933" s="7" t="str">
        <f>IF('Port Bloomberg'!G933="","",'Port Bloomberg'!G933)</f>
        <v/>
      </c>
      <c r="H933" s="7" t="str">
        <f>IF('Port Bloomberg'!H933="","",'Port Bloomberg'!H933)</f>
        <v/>
      </c>
      <c r="I933" s="7" t="str">
        <f>IF('Port Bloomberg'!I933="","",'Port Bloomberg'!I933)</f>
        <v/>
      </c>
      <c r="J933" s="7" t="str">
        <f>IF('Port Bloomberg'!J933="","",'Port Bloomberg'!J933)</f>
        <v/>
      </c>
      <c r="K933" s="7" t="str">
        <f>IF('Port Bloomberg'!K933="","",'Port Bloomberg'!K933)</f>
        <v/>
      </c>
      <c r="L933" s="7" t="str">
        <f>IF('Port Bloomberg'!L933="","",'Port Bloomberg'!L933)</f>
        <v/>
      </c>
      <c r="M933" s="7" t="str">
        <f>IF('Port Bloomberg'!M933="","",'Port Bloomberg'!M933)</f>
        <v/>
      </c>
      <c r="N933" s="7" t="str">
        <f>IF('Port Bloomberg'!N933="","",'Port Bloomberg'!N933)</f>
        <v/>
      </c>
      <c r="O933" s="7" t="str">
        <f>IF('Port Bloomberg'!O933="","",'Port Bloomberg'!O933)</f>
        <v/>
      </c>
      <c r="P933" s="7" t="str">
        <f>IF('Port Bloomberg'!P933="","",'Port Bloomberg'!P933)</f>
        <v/>
      </c>
      <c r="Q933" s="7" t="str">
        <f>IF('Port Bloomberg'!Q933="","",'Port Bloomberg'!Q933)</f>
        <v/>
      </c>
      <c r="R933" s="7" t="str">
        <f>IF('Port Bloomberg'!R933="","",'Port Bloomberg'!R933)</f>
        <v/>
      </c>
      <c r="S933" s="5" t="str">
        <f>IF(E933="","",IFERROR(IF(MATCH(E933,[1]Instrumentos!$D:$D,0)&gt;0,1,0),0))</f>
        <v/>
      </c>
      <c r="T933" s="5" t="str">
        <f>IF(E933="","",IFERROR(IF(MATCH(E933,'Lista de excepciones'!$E:$E,0)&gt;0,1,0),0))</f>
        <v/>
      </c>
      <c r="U933" s="6" t="str">
        <f t="shared" si="15"/>
        <v/>
      </c>
    </row>
    <row r="934" spans="1:21" hidden="1" x14ac:dyDescent="0.25">
      <c r="A934" s="7" t="str">
        <f>IF('Port Bloomberg'!A934="","",'Port Bloomberg'!A934)</f>
        <v/>
      </c>
      <c r="B934" s="7" t="str">
        <f>IF('Port Bloomberg'!B934="","",'Port Bloomberg'!B934)</f>
        <v/>
      </c>
      <c r="C934" s="7" t="str">
        <f>IF('Port Bloomberg'!C934="","",'Port Bloomberg'!C934)</f>
        <v/>
      </c>
      <c r="D934" s="7" t="str">
        <f>IF('Port Bloomberg'!D934="","",'Port Bloomberg'!D934)</f>
        <v/>
      </c>
      <c r="E934" s="7" t="str">
        <f>IF('Port Bloomberg'!E934="","",'Port Bloomberg'!E934)</f>
        <v/>
      </c>
      <c r="F934" s="7" t="str">
        <f>IF('Port Bloomberg'!F934="","",'Port Bloomberg'!F934)</f>
        <v/>
      </c>
      <c r="G934" s="7" t="str">
        <f>IF('Port Bloomberg'!G934="","",'Port Bloomberg'!G934)</f>
        <v/>
      </c>
      <c r="H934" s="7" t="str">
        <f>IF('Port Bloomberg'!H934="","",'Port Bloomberg'!H934)</f>
        <v/>
      </c>
      <c r="I934" s="7" t="str">
        <f>IF('Port Bloomberg'!I934="","",'Port Bloomberg'!I934)</f>
        <v/>
      </c>
      <c r="J934" s="7" t="str">
        <f>IF('Port Bloomberg'!J934="","",'Port Bloomberg'!J934)</f>
        <v/>
      </c>
      <c r="K934" s="7" t="str">
        <f>IF('Port Bloomberg'!K934="","",'Port Bloomberg'!K934)</f>
        <v/>
      </c>
      <c r="L934" s="7" t="str">
        <f>IF('Port Bloomberg'!L934="","",'Port Bloomberg'!L934)</f>
        <v/>
      </c>
      <c r="M934" s="7" t="str">
        <f>IF('Port Bloomberg'!M934="","",'Port Bloomberg'!M934)</f>
        <v/>
      </c>
      <c r="N934" s="7" t="str">
        <f>IF('Port Bloomberg'!N934="","",'Port Bloomberg'!N934)</f>
        <v/>
      </c>
      <c r="O934" s="7" t="str">
        <f>IF('Port Bloomberg'!O934="","",'Port Bloomberg'!O934)</f>
        <v/>
      </c>
      <c r="P934" s="7" t="str">
        <f>IF('Port Bloomberg'!P934="","",'Port Bloomberg'!P934)</f>
        <v/>
      </c>
      <c r="Q934" s="7" t="str">
        <f>IF('Port Bloomberg'!Q934="","",'Port Bloomberg'!Q934)</f>
        <v/>
      </c>
      <c r="R934" s="7" t="str">
        <f>IF('Port Bloomberg'!R934="","",'Port Bloomberg'!R934)</f>
        <v/>
      </c>
      <c r="S934" s="5" t="str">
        <f>IF(E934="","",IFERROR(IF(MATCH(E934,[1]Instrumentos!$D:$D,0)&gt;0,1,0),0))</f>
        <v/>
      </c>
      <c r="T934" s="5" t="str">
        <f>IF(E934="","",IFERROR(IF(MATCH(E934,'Lista de excepciones'!$E:$E,0)&gt;0,1,0),0))</f>
        <v/>
      </c>
      <c r="U934" s="6" t="str">
        <f t="shared" si="15"/>
        <v/>
      </c>
    </row>
    <row r="935" spans="1:21" hidden="1" x14ac:dyDescent="0.25">
      <c r="A935" s="7" t="str">
        <f>IF('Port Bloomberg'!A935="","",'Port Bloomberg'!A935)</f>
        <v/>
      </c>
      <c r="B935" s="7" t="str">
        <f>IF('Port Bloomberg'!B935="","",'Port Bloomberg'!B935)</f>
        <v/>
      </c>
      <c r="C935" s="7" t="str">
        <f>IF('Port Bloomberg'!C935="","",'Port Bloomberg'!C935)</f>
        <v/>
      </c>
      <c r="D935" s="7" t="str">
        <f>IF('Port Bloomberg'!D935="","",'Port Bloomberg'!D935)</f>
        <v/>
      </c>
      <c r="E935" s="7" t="str">
        <f>IF('Port Bloomberg'!E935="","",'Port Bloomberg'!E935)</f>
        <v/>
      </c>
      <c r="F935" s="7" t="str">
        <f>IF('Port Bloomberg'!F935="","",'Port Bloomberg'!F935)</f>
        <v/>
      </c>
      <c r="G935" s="7" t="str">
        <f>IF('Port Bloomberg'!G935="","",'Port Bloomberg'!G935)</f>
        <v/>
      </c>
      <c r="H935" s="7" t="str">
        <f>IF('Port Bloomberg'!H935="","",'Port Bloomberg'!H935)</f>
        <v/>
      </c>
      <c r="I935" s="7" t="str">
        <f>IF('Port Bloomberg'!I935="","",'Port Bloomberg'!I935)</f>
        <v/>
      </c>
      <c r="J935" s="7" t="str">
        <f>IF('Port Bloomberg'!J935="","",'Port Bloomberg'!J935)</f>
        <v/>
      </c>
      <c r="K935" s="7" t="str">
        <f>IF('Port Bloomberg'!K935="","",'Port Bloomberg'!K935)</f>
        <v/>
      </c>
      <c r="L935" s="7" t="str">
        <f>IF('Port Bloomberg'!L935="","",'Port Bloomberg'!L935)</f>
        <v/>
      </c>
      <c r="M935" s="7" t="str">
        <f>IF('Port Bloomberg'!M935="","",'Port Bloomberg'!M935)</f>
        <v/>
      </c>
      <c r="N935" s="7" t="str">
        <f>IF('Port Bloomberg'!N935="","",'Port Bloomberg'!N935)</f>
        <v/>
      </c>
      <c r="O935" s="7" t="str">
        <f>IF('Port Bloomberg'!O935="","",'Port Bloomberg'!O935)</f>
        <v/>
      </c>
      <c r="P935" s="7" t="str">
        <f>IF('Port Bloomberg'!P935="","",'Port Bloomberg'!P935)</f>
        <v/>
      </c>
      <c r="Q935" s="7" t="str">
        <f>IF('Port Bloomberg'!Q935="","",'Port Bloomberg'!Q935)</f>
        <v/>
      </c>
      <c r="R935" s="7" t="str">
        <f>IF('Port Bloomberg'!R935="","",'Port Bloomberg'!R935)</f>
        <v/>
      </c>
      <c r="S935" s="5" t="str">
        <f>IF(E935="","",IFERROR(IF(MATCH(E935,[1]Instrumentos!$D:$D,0)&gt;0,1,0),0))</f>
        <v/>
      </c>
      <c r="T935" s="5" t="str">
        <f>IF(E935="","",IFERROR(IF(MATCH(E935,'Lista de excepciones'!$E:$E,0)&gt;0,1,0),0))</f>
        <v/>
      </c>
      <c r="U935" s="6" t="str">
        <f t="shared" si="15"/>
        <v/>
      </c>
    </row>
    <row r="936" spans="1:21" hidden="1" x14ac:dyDescent="0.25">
      <c r="A936" s="7" t="str">
        <f>IF('Port Bloomberg'!A936="","",'Port Bloomberg'!A936)</f>
        <v/>
      </c>
      <c r="B936" s="7" t="str">
        <f>IF('Port Bloomberg'!B936="","",'Port Bloomberg'!B936)</f>
        <v/>
      </c>
      <c r="C936" s="7" t="str">
        <f>IF('Port Bloomberg'!C936="","",'Port Bloomberg'!C936)</f>
        <v/>
      </c>
      <c r="D936" s="7" t="str">
        <f>IF('Port Bloomberg'!D936="","",'Port Bloomberg'!D936)</f>
        <v/>
      </c>
      <c r="E936" s="7" t="str">
        <f>IF('Port Bloomberg'!E936="","",'Port Bloomberg'!E936)</f>
        <v/>
      </c>
      <c r="F936" s="7" t="str">
        <f>IF('Port Bloomberg'!F936="","",'Port Bloomberg'!F936)</f>
        <v/>
      </c>
      <c r="G936" s="7" t="str">
        <f>IF('Port Bloomberg'!G936="","",'Port Bloomberg'!G936)</f>
        <v/>
      </c>
      <c r="H936" s="7" t="str">
        <f>IF('Port Bloomberg'!H936="","",'Port Bloomberg'!H936)</f>
        <v/>
      </c>
      <c r="I936" s="7" t="str">
        <f>IF('Port Bloomberg'!I936="","",'Port Bloomberg'!I936)</f>
        <v/>
      </c>
      <c r="J936" s="7" t="str">
        <f>IF('Port Bloomberg'!J936="","",'Port Bloomberg'!J936)</f>
        <v/>
      </c>
      <c r="K936" s="7" t="str">
        <f>IF('Port Bloomberg'!K936="","",'Port Bloomberg'!K936)</f>
        <v/>
      </c>
      <c r="L936" s="7" t="str">
        <f>IF('Port Bloomberg'!L936="","",'Port Bloomberg'!L936)</f>
        <v/>
      </c>
      <c r="M936" s="7" t="str">
        <f>IF('Port Bloomberg'!M936="","",'Port Bloomberg'!M936)</f>
        <v/>
      </c>
      <c r="N936" s="7" t="str">
        <f>IF('Port Bloomberg'!N936="","",'Port Bloomberg'!N936)</f>
        <v/>
      </c>
      <c r="O936" s="7" t="str">
        <f>IF('Port Bloomberg'!O936="","",'Port Bloomberg'!O936)</f>
        <v/>
      </c>
      <c r="P936" s="7" t="str">
        <f>IF('Port Bloomberg'!P936="","",'Port Bloomberg'!P936)</f>
        <v/>
      </c>
      <c r="Q936" s="7" t="str">
        <f>IF('Port Bloomberg'!Q936="","",'Port Bloomberg'!Q936)</f>
        <v/>
      </c>
      <c r="R936" s="7" t="str">
        <f>IF('Port Bloomberg'!R936="","",'Port Bloomberg'!R936)</f>
        <v/>
      </c>
      <c r="S936" s="5" t="str">
        <f>IF(E936="","",IFERROR(IF(MATCH(E936,[1]Instrumentos!$D:$D,0)&gt;0,1,0),0))</f>
        <v/>
      </c>
      <c r="T936" s="5" t="str">
        <f>IF(E936="","",IFERROR(IF(MATCH(E936,'Lista de excepciones'!$E:$E,0)&gt;0,1,0),0))</f>
        <v/>
      </c>
      <c r="U936" s="6" t="str">
        <f t="shared" si="15"/>
        <v/>
      </c>
    </row>
    <row r="937" spans="1:21" hidden="1" x14ac:dyDescent="0.25">
      <c r="A937" s="7" t="str">
        <f>IF('Port Bloomberg'!A937="","",'Port Bloomberg'!A937)</f>
        <v/>
      </c>
      <c r="B937" s="7" t="str">
        <f>IF('Port Bloomberg'!B937="","",'Port Bloomberg'!B937)</f>
        <v/>
      </c>
      <c r="C937" s="7" t="str">
        <f>IF('Port Bloomberg'!C937="","",'Port Bloomberg'!C937)</f>
        <v/>
      </c>
      <c r="D937" s="7" t="str">
        <f>IF('Port Bloomberg'!D937="","",'Port Bloomberg'!D937)</f>
        <v/>
      </c>
      <c r="E937" s="7" t="str">
        <f>IF('Port Bloomberg'!E937="","",'Port Bloomberg'!E937)</f>
        <v/>
      </c>
      <c r="F937" s="7" t="str">
        <f>IF('Port Bloomberg'!F937="","",'Port Bloomberg'!F937)</f>
        <v/>
      </c>
      <c r="G937" s="7" t="str">
        <f>IF('Port Bloomberg'!G937="","",'Port Bloomberg'!G937)</f>
        <v/>
      </c>
      <c r="H937" s="7" t="str">
        <f>IF('Port Bloomberg'!H937="","",'Port Bloomberg'!H937)</f>
        <v/>
      </c>
      <c r="I937" s="7" t="str">
        <f>IF('Port Bloomberg'!I937="","",'Port Bloomberg'!I937)</f>
        <v/>
      </c>
      <c r="J937" s="7" t="str">
        <f>IF('Port Bloomberg'!J937="","",'Port Bloomberg'!J937)</f>
        <v/>
      </c>
      <c r="K937" s="7" t="str">
        <f>IF('Port Bloomberg'!K937="","",'Port Bloomberg'!K937)</f>
        <v/>
      </c>
      <c r="L937" s="7" t="str">
        <f>IF('Port Bloomberg'!L937="","",'Port Bloomberg'!L937)</f>
        <v/>
      </c>
      <c r="M937" s="7" t="str">
        <f>IF('Port Bloomberg'!M937="","",'Port Bloomberg'!M937)</f>
        <v/>
      </c>
      <c r="N937" s="7" t="str">
        <f>IF('Port Bloomberg'!N937="","",'Port Bloomberg'!N937)</f>
        <v/>
      </c>
      <c r="O937" s="7" t="str">
        <f>IF('Port Bloomberg'!O937="","",'Port Bloomberg'!O937)</f>
        <v/>
      </c>
      <c r="P937" s="7" t="str">
        <f>IF('Port Bloomberg'!P937="","",'Port Bloomberg'!P937)</f>
        <v/>
      </c>
      <c r="Q937" s="7" t="str">
        <f>IF('Port Bloomberg'!Q937="","",'Port Bloomberg'!Q937)</f>
        <v/>
      </c>
      <c r="R937" s="7" t="str">
        <f>IF('Port Bloomberg'!R937="","",'Port Bloomberg'!R937)</f>
        <v/>
      </c>
      <c r="S937" s="5" t="str">
        <f>IF(E937="","",IFERROR(IF(MATCH(E937,[1]Instrumentos!$D:$D,0)&gt;0,1,0),0))</f>
        <v/>
      </c>
      <c r="T937" s="5" t="str">
        <f>IF(E937="","",IFERROR(IF(MATCH(E937,'Lista de excepciones'!$E:$E,0)&gt;0,1,0),0))</f>
        <v/>
      </c>
      <c r="U937" s="6" t="str">
        <f t="shared" si="15"/>
        <v/>
      </c>
    </row>
    <row r="938" spans="1:21" hidden="1" x14ac:dyDescent="0.25">
      <c r="A938" s="7" t="str">
        <f>IF('Port Bloomberg'!A938="","",'Port Bloomberg'!A938)</f>
        <v/>
      </c>
      <c r="B938" s="7" t="str">
        <f>IF('Port Bloomberg'!B938="","",'Port Bloomberg'!B938)</f>
        <v/>
      </c>
      <c r="C938" s="7" t="str">
        <f>IF('Port Bloomberg'!C938="","",'Port Bloomberg'!C938)</f>
        <v/>
      </c>
      <c r="D938" s="7" t="str">
        <f>IF('Port Bloomberg'!D938="","",'Port Bloomberg'!D938)</f>
        <v/>
      </c>
      <c r="E938" s="7" t="str">
        <f>IF('Port Bloomberg'!E938="","",'Port Bloomberg'!E938)</f>
        <v/>
      </c>
      <c r="F938" s="7" t="str">
        <f>IF('Port Bloomberg'!F938="","",'Port Bloomberg'!F938)</f>
        <v/>
      </c>
      <c r="G938" s="7" t="str">
        <f>IF('Port Bloomberg'!G938="","",'Port Bloomberg'!G938)</f>
        <v/>
      </c>
      <c r="H938" s="7" t="str">
        <f>IF('Port Bloomberg'!H938="","",'Port Bloomberg'!H938)</f>
        <v/>
      </c>
      <c r="I938" s="7" t="str">
        <f>IF('Port Bloomberg'!I938="","",'Port Bloomberg'!I938)</f>
        <v/>
      </c>
      <c r="J938" s="7" t="str">
        <f>IF('Port Bloomberg'!J938="","",'Port Bloomberg'!J938)</f>
        <v/>
      </c>
      <c r="K938" s="7" t="str">
        <f>IF('Port Bloomberg'!K938="","",'Port Bloomberg'!K938)</f>
        <v/>
      </c>
      <c r="L938" s="7" t="str">
        <f>IF('Port Bloomberg'!L938="","",'Port Bloomberg'!L938)</f>
        <v/>
      </c>
      <c r="M938" s="7" t="str">
        <f>IF('Port Bloomberg'!M938="","",'Port Bloomberg'!M938)</f>
        <v/>
      </c>
      <c r="N938" s="7" t="str">
        <f>IF('Port Bloomberg'!N938="","",'Port Bloomberg'!N938)</f>
        <v/>
      </c>
      <c r="O938" s="7" t="str">
        <f>IF('Port Bloomberg'!O938="","",'Port Bloomberg'!O938)</f>
        <v/>
      </c>
      <c r="P938" s="7" t="str">
        <f>IF('Port Bloomberg'!P938="","",'Port Bloomberg'!P938)</f>
        <v/>
      </c>
      <c r="Q938" s="7" t="str">
        <f>IF('Port Bloomberg'!Q938="","",'Port Bloomberg'!Q938)</f>
        <v/>
      </c>
      <c r="R938" s="7" t="str">
        <f>IF('Port Bloomberg'!R938="","",'Port Bloomberg'!R938)</f>
        <v/>
      </c>
      <c r="S938" s="5" t="str">
        <f>IF(E938="","",IFERROR(IF(MATCH(E938,[1]Instrumentos!$D:$D,0)&gt;0,1,0),0))</f>
        <v/>
      </c>
      <c r="T938" s="5" t="str">
        <f>IF(E938="","",IFERROR(IF(MATCH(E938,'Lista de excepciones'!$E:$E,0)&gt;0,1,0),0))</f>
        <v/>
      </c>
      <c r="U938" s="6" t="str">
        <f t="shared" si="15"/>
        <v/>
      </c>
    </row>
    <row r="939" spans="1:21" hidden="1" x14ac:dyDescent="0.25">
      <c r="A939" s="7" t="str">
        <f>IF('Port Bloomberg'!A939="","",'Port Bloomberg'!A939)</f>
        <v/>
      </c>
      <c r="B939" s="7" t="str">
        <f>IF('Port Bloomberg'!B939="","",'Port Bloomberg'!B939)</f>
        <v/>
      </c>
      <c r="C939" s="7" t="str">
        <f>IF('Port Bloomberg'!C939="","",'Port Bloomberg'!C939)</f>
        <v/>
      </c>
      <c r="D939" s="7" t="str">
        <f>IF('Port Bloomberg'!D939="","",'Port Bloomberg'!D939)</f>
        <v/>
      </c>
      <c r="E939" s="7" t="str">
        <f>IF('Port Bloomberg'!E939="","",'Port Bloomberg'!E939)</f>
        <v/>
      </c>
      <c r="F939" s="7" t="str">
        <f>IF('Port Bloomberg'!F939="","",'Port Bloomberg'!F939)</f>
        <v/>
      </c>
      <c r="G939" s="7" t="str">
        <f>IF('Port Bloomberg'!G939="","",'Port Bloomberg'!G939)</f>
        <v/>
      </c>
      <c r="H939" s="7" t="str">
        <f>IF('Port Bloomberg'!H939="","",'Port Bloomberg'!H939)</f>
        <v/>
      </c>
      <c r="I939" s="7" t="str">
        <f>IF('Port Bloomberg'!I939="","",'Port Bloomberg'!I939)</f>
        <v/>
      </c>
      <c r="J939" s="7" t="str">
        <f>IF('Port Bloomberg'!J939="","",'Port Bloomberg'!J939)</f>
        <v/>
      </c>
      <c r="K939" s="7" t="str">
        <f>IF('Port Bloomberg'!K939="","",'Port Bloomberg'!K939)</f>
        <v/>
      </c>
      <c r="L939" s="7" t="str">
        <f>IF('Port Bloomberg'!L939="","",'Port Bloomberg'!L939)</f>
        <v/>
      </c>
      <c r="M939" s="7" t="str">
        <f>IF('Port Bloomberg'!M939="","",'Port Bloomberg'!M939)</f>
        <v/>
      </c>
      <c r="N939" s="7" t="str">
        <f>IF('Port Bloomberg'!N939="","",'Port Bloomberg'!N939)</f>
        <v/>
      </c>
      <c r="O939" s="7" t="str">
        <f>IF('Port Bloomberg'!O939="","",'Port Bloomberg'!O939)</f>
        <v/>
      </c>
      <c r="P939" s="7" t="str">
        <f>IF('Port Bloomberg'!P939="","",'Port Bloomberg'!P939)</f>
        <v/>
      </c>
      <c r="Q939" s="7" t="str">
        <f>IF('Port Bloomberg'!Q939="","",'Port Bloomberg'!Q939)</f>
        <v/>
      </c>
      <c r="R939" s="7" t="str">
        <f>IF('Port Bloomberg'!R939="","",'Port Bloomberg'!R939)</f>
        <v/>
      </c>
      <c r="S939" s="5" t="str">
        <f>IF(E939="","",IFERROR(IF(MATCH(E939,[1]Instrumentos!$D:$D,0)&gt;0,1,0),0))</f>
        <v/>
      </c>
      <c r="T939" s="5" t="str">
        <f>IF(E939="","",IFERROR(IF(MATCH(E939,'Lista de excepciones'!$E:$E,0)&gt;0,1,0),0))</f>
        <v/>
      </c>
      <c r="U939" s="6" t="str">
        <f t="shared" si="15"/>
        <v/>
      </c>
    </row>
    <row r="940" spans="1:21" hidden="1" x14ac:dyDescent="0.25">
      <c r="A940" s="7" t="str">
        <f>IF('Port Bloomberg'!A940="","",'Port Bloomberg'!A940)</f>
        <v/>
      </c>
      <c r="B940" s="7" t="str">
        <f>IF('Port Bloomberg'!B940="","",'Port Bloomberg'!B940)</f>
        <v/>
      </c>
      <c r="C940" s="7" t="str">
        <f>IF('Port Bloomberg'!C940="","",'Port Bloomberg'!C940)</f>
        <v/>
      </c>
      <c r="D940" s="7" t="str">
        <f>IF('Port Bloomberg'!D940="","",'Port Bloomberg'!D940)</f>
        <v/>
      </c>
      <c r="E940" s="7" t="str">
        <f>IF('Port Bloomberg'!E940="","",'Port Bloomberg'!E940)</f>
        <v/>
      </c>
      <c r="F940" s="7" t="str">
        <f>IF('Port Bloomberg'!F940="","",'Port Bloomberg'!F940)</f>
        <v/>
      </c>
      <c r="G940" s="7" t="str">
        <f>IF('Port Bloomberg'!G940="","",'Port Bloomberg'!G940)</f>
        <v/>
      </c>
      <c r="H940" s="7" t="str">
        <f>IF('Port Bloomberg'!H940="","",'Port Bloomberg'!H940)</f>
        <v/>
      </c>
      <c r="I940" s="7" t="str">
        <f>IF('Port Bloomberg'!I940="","",'Port Bloomberg'!I940)</f>
        <v/>
      </c>
      <c r="J940" s="7" t="str">
        <f>IF('Port Bloomberg'!J940="","",'Port Bloomberg'!J940)</f>
        <v/>
      </c>
      <c r="K940" s="7" t="str">
        <f>IF('Port Bloomberg'!K940="","",'Port Bloomberg'!K940)</f>
        <v/>
      </c>
      <c r="L940" s="7" t="str">
        <f>IF('Port Bloomberg'!L940="","",'Port Bloomberg'!L940)</f>
        <v/>
      </c>
      <c r="M940" s="7" t="str">
        <f>IF('Port Bloomberg'!M940="","",'Port Bloomberg'!M940)</f>
        <v/>
      </c>
      <c r="N940" s="7" t="str">
        <f>IF('Port Bloomberg'!N940="","",'Port Bloomberg'!N940)</f>
        <v/>
      </c>
      <c r="O940" s="7" t="str">
        <f>IF('Port Bloomberg'!O940="","",'Port Bloomberg'!O940)</f>
        <v/>
      </c>
      <c r="P940" s="7" t="str">
        <f>IF('Port Bloomberg'!P940="","",'Port Bloomberg'!P940)</f>
        <v/>
      </c>
      <c r="Q940" s="7" t="str">
        <f>IF('Port Bloomberg'!Q940="","",'Port Bloomberg'!Q940)</f>
        <v/>
      </c>
      <c r="R940" s="7" t="str">
        <f>IF('Port Bloomberg'!R940="","",'Port Bloomberg'!R940)</f>
        <v/>
      </c>
      <c r="S940" s="5" t="str">
        <f>IF(E940="","",IFERROR(IF(MATCH(E940,[1]Instrumentos!$D:$D,0)&gt;0,1,0),0))</f>
        <v/>
      </c>
      <c r="T940" s="5" t="str">
        <f>IF(E940="","",IFERROR(IF(MATCH(E940,'Lista de excepciones'!$E:$E,0)&gt;0,1,0),0))</f>
        <v/>
      </c>
      <c r="U940" s="6" t="str">
        <f t="shared" si="15"/>
        <v/>
      </c>
    </row>
    <row r="941" spans="1:21" hidden="1" x14ac:dyDescent="0.25">
      <c r="A941" s="7" t="str">
        <f>IF('Port Bloomberg'!A941="","",'Port Bloomberg'!A941)</f>
        <v/>
      </c>
      <c r="B941" s="7" t="str">
        <f>IF('Port Bloomberg'!B941="","",'Port Bloomberg'!B941)</f>
        <v/>
      </c>
      <c r="C941" s="7" t="str">
        <f>IF('Port Bloomberg'!C941="","",'Port Bloomberg'!C941)</f>
        <v/>
      </c>
      <c r="D941" s="7" t="str">
        <f>IF('Port Bloomberg'!D941="","",'Port Bloomberg'!D941)</f>
        <v/>
      </c>
      <c r="E941" s="7" t="str">
        <f>IF('Port Bloomberg'!E941="","",'Port Bloomberg'!E941)</f>
        <v/>
      </c>
      <c r="F941" s="7" t="str">
        <f>IF('Port Bloomberg'!F941="","",'Port Bloomberg'!F941)</f>
        <v/>
      </c>
      <c r="G941" s="7" t="str">
        <f>IF('Port Bloomberg'!G941="","",'Port Bloomberg'!G941)</f>
        <v/>
      </c>
      <c r="H941" s="7" t="str">
        <f>IF('Port Bloomberg'!H941="","",'Port Bloomberg'!H941)</f>
        <v/>
      </c>
      <c r="I941" s="7" t="str">
        <f>IF('Port Bloomberg'!I941="","",'Port Bloomberg'!I941)</f>
        <v/>
      </c>
      <c r="J941" s="7" t="str">
        <f>IF('Port Bloomberg'!J941="","",'Port Bloomberg'!J941)</f>
        <v/>
      </c>
      <c r="K941" s="7" t="str">
        <f>IF('Port Bloomberg'!K941="","",'Port Bloomberg'!K941)</f>
        <v/>
      </c>
      <c r="L941" s="7" t="str">
        <f>IF('Port Bloomberg'!L941="","",'Port Bloomberg'!L941)</f>
        <v/>
      </c>
      <c r="M941" s="7" t="str">
        <f>IF('Port Bloomberg'!M941="","",'Port Bloomberg'!M941)</f>
        <v/>
      </c>
      <c r="N941" s="7" t="str">
        <f>IF('Port Bloomberg'!N941="","",'Port Bloomberg'!N941)</f>
        <v/>
      </c>
      <c r="O941" s="7" t="str">
        <f>IF('Port Bloomberg'!O941="","",'Port Bloomberg'!O941)</f>
        <v/>
      </c>
      <c r="P941" s="7" t="str">
        <f>IF('Port Bloomberg'!P941="","",'Port Bloomberg'!P941)</f>
        <v/>
      </c>
      <c r="Q941" s="7" t="str">
        <f>IF('Port Bloomberg'!Q941="","",'Port Bloomberg'!Q941)</f>
        <v/>
      </c>
      <c r="R941" s="7" t="str">
        <f>IF('Port Bloomberg'!R941="","",'Port Bloomberg'!R941)</f>
        <v/>
      </c>
      <c r="S941" s="5" t="str">
        <f>IF(E941="","",IFERROR(IF(MATCH(E941,[1]Instrumentos!$D:$D,0)&gt;0,1,0),0))</f>
        <v/>
      </c>
      <c r="T941" s="5" t="str">
        <f>IF(E941="","",IFERROR(IF(MATCH(E941,'Lista de excepciones'!$E:$E,0)&gt;0,1,0),0))</f>
        <v/>
      </c>
      <c r="U941" s="6" t="str">
        <f t="shared" si="15"/>
        <v/>
      </c>
    </row>
    <row r="942" spans="1:21" hidden="1" x14ac:dyDescent="0.25">
      <c r="A942" s="7" t="str">
        <f>IF('Port Bloomberg'!A942="","",'Port Bloomberg'!A942)</f>
        <v/>
      </c>
      <c r="B942" s="7" t="str">
        <f>IF('Port Bloomberg'!B942="","",'Port Bloomberg'!B942)</f>
        <v/>
      </c>
      <c r="C942" s="7" t="str">
        <f>IF('Port Bloomberg'!C942="","",'Port Bloomberg'!C942)</f>
        <v/>
      </c>
      <c r="D942" s="7" t="str">
        <f>IF('Port Bloomberg'!D942="","",'Port Bloomberg'!D942)</f>
        <v/>
      </c>
      <c r="E942" s="7" t="str">
        <f>IF('Port Bloomberg'!E942="","",'Port Bloomberg'!E942)</f>
        <v/>
      </c>
      <c r="F942" s="7" t="str">
        <f>IF('Port Bloomberg'!F942="","",'Port Bloomberg'!F942)</f>
        <v/>
      </c>
      <c r="G942" s="7" t="str">
        <f>IF('Port Bloomberg'!G942="","",'Port Bloomberg'!G942)</f>
        <v/>
      </c>
      <c r="H942" s="7" t="str">
        <f>IF('Port Bloomberg'!H942="","",'Port Bloomberg'!H942)</f>
        <v/>
      </c>
      <c r="I942" s="7" t="str">
        <f>IF('Port Bloomberg'!I942="","",'Port Bloomberg'!I942)</f>
        <v/>
      </c>
      <c r="J942" s="7" t="str">
        <f>IF('Port Bloomberg'!J942="","",'Port Bloomberg'!J942)</f>
        <v/>
      </c>
      <c r="K942" s="7" t="str">
        <f>IF('Port Bloomberg'!K942="","",'Port Bloomberg'!K942)</f>
        <v/>
      </c>
      <c r="L942" s="7" t="str">
        <f>IF('Port Bloomberg'!L942="","",'Port Bloomberg'!L942)</f>
        <v/>
      </c>
      <c r="M942" s="7" t="str">
        <f>IF('Port Bloomberg'!M942="","",'Port Bloomberg'!M942)</f>
        <v/>
      </c>
      <c r="N942" s="7" t="str">
        <f>IF('Port Bloomberg'!N942="","",'Port Bloomberg'!N942)</f>
        <v/>
      </c>
      <c r="O942" s="7" t="str">
        <f>IF('Port Bloomberg'!O942="","",'Port Bloomberg'!O942)</f>
        <v/>
      </c>
      <c r="P942" s="7" t="str">
        <f>IF('Port Bloomberg'!P942="","",'Port Bloomberg'!P942)</f>
        <v/>
      </c>
      <c r="Q942" s="7" t="str">
        <f>IF('Port Bloomberg'!Q942="","",'Port Bloomberg'!Q942)</f>
        <v/>
      </c>
      <c r="R942" s="7" t="str">
        <f>IF('Port Bloomberg'!R942="","",'Port Bloomberg'!R942)</f>
        <v/>
      </c>
      <c r="S942" s="5" t="str">
        <f>IF(E942="","",IFERROR(IF(MATCH(E942,[1]Instrumentos!$D:$D,0)&gt;0,1,0),0))</f>
        <v/>
      </c>
      <c r="T942" s="5" t="str">
        <f>IF(E942="","",IFERROR(IF(MATCH(E942,'Lista de excepciones'!$E:$E,0)&gt;0,1,0),0))</f>
        <v/>
      </c>
      <c r="U942" s="6" t="str">
        <f t="shared" si="15"/>
        <v/>
      </c>
    </row>
    <row r="943" spans="1:21" hidden="1" x14ac:dyDescent="0.25">
      <c r="A943" s="7" t="str">
        <f>IF('Port Bloomberg'!A943="","",'Port Bloomberg'!A943)</f>
        <v/>
      </c>
      <c r="B943" s="7" t="str">
        <f>IF('Port Bloomberg'!B943="","",'Port Bloomberg'!B943)</f>
        <v/>
      </c>
      <c r="C943" s="7" t="str">
        <f>IF('Port Bloomberg'!C943="","",'Port Bloomberg'!C943)</f>
        <v/>
      </c>
      <c r="D943" s="7" t="str">
        <f>IF('Port Bloomberg'!D943="","",'Port Bloomberg'!D943)</f>
        <v/>
      </c>
      <c r="E943" s="7" t="str">
        <f>IF('Port Bloomberg'!E943="","",'Port Bloomberg'!E943)</f>
        <v/>
      </c>
      <c r="F943" s="7" t="str">
        <f>IF('Port Bloomberg'!F943="","",'Port Bloomberg'!F943)</f>
        <v/>
      </c>
      <c r="G943" s="7" t="str">
        <f>IF('Port Bloomberg'!G943="","",'Port Bloomberg'!G943)</f>
        <v/>
      </c>
      <c r="H943" s="7" t="str">
        <f>IF('Port Bloomberg'!H943="","",'Port Bloomberg'!H943)</f>
        <v/>
      </c>
      <c r="I943" s="7" t="str">
        <f>IF('Port Bloomberg'!I943="","",'Port Bloomberg'!I943)</f>
        <v/>
      </c>
      <c r="J943" s="7" t="str">
        <f>IF('Port Bloomberg'!J943="","",'Port Bloomberg'!J943)</f>
        <v/>
      </c>
      <c r="K943" s="7" t="str">
        <f>IF('Port Bloomberg'!K943="","",'Port Bloomberg'!K943)</f>
        <v/>
      </c>
      <c r="L943" s="7" t="str">
        <f>IF('Port Bloomberg'!L943="","",'Port Bloomberg'!L943)</f>
        <v/>
      </c>
      <c r="M943" s="7" t="str">
        <f>IF('Port Bloomberg'!M943="","",'Port Bloomberg'!M943)</f>
        <v/>
      </c>
      <c r="N943" s="7" t="str">
        <f>IF('Port Bloomberg'!N943="","",'Port Bloomberg'!N943)</f>
        <v/>
      </c>
      <c r="O943" s="7" t="str">
        <f>IF('Port Bloomberg'!O943="","",'Port Bloomberg'!O943)</f>
        <v/>
      </c>
      <c r="P943" s="7" t="str">
        <f>IF('Port Bloomberg'!P943="","",'Port Bloomberg'!P943)</f>
        <v/>
      </c>
      <c r="Q943" s="7" t="str">
        <f>IF('Port Bloomberg'!Q943="","",'Port Bloomberg'!Q943)</f>
        <v/>
      </c>
      <c r="R943" s="7" t="str">
        <f>IF('Port Bloomberg'!R943="","",'Port Bloomberg'!R943)</f>
        <v/>
      </c>
      <c r="S943" s="5" t="str">
        <f>IF(E943="","",IFERROR(IF(MATCH(E943,[1]Instrumentos!$D:$D,0)&gt;0,1,0),0))</f>
        <v/>
      </c>
      <c r="T943" s="5" t="str">
        <f>IF(E943="","",IFERROR(IF(MATCH(E943,'Lista de excepciones'!$E:$E,0)&gt;0,1,0),0))</f>
        <v/>
      </c>
      <c r="U943" s="6" t="str">
        <f t="shared" si="15"/>
        <v/>
      </c>
    </row>
    <row r="944" spans="1:21" hidden="1" x14ac:dyDescent="0.25">
      <c r="A944" s="7" t="str">
        <f>IF('Port Bloomberg'!A944="","",'Port Bloomberg'!A944)</f>
        <v/>
      </c>
      <c r="B944" s="7" t="str">
        <f>IF('Port Bloomberg'!B944="","",'Port Bloomberg'!B944)</f>
        <v/>
      </c>
      <c r="C944" s="7" t="str">
        <f>IF('Port Bloomberg'!C944="","",'Port Bloomberg'!C944)</f>
        <v/>
      </c>
      <c r="D944" s="7" t="str">
        <f>IF('Port Bloomberg'!D944="","",'Port Bloomberg'!D944)</f>
        <v/>
      </c>
      <c r="E944" s="7" t="str">
        <f>IF('Port Bloomberg'!E944="","",'Port Bloomberg'!E944)</f>
        <v/>
      </c>
      <c r="F944" s="7" t="str">
        <f>IF('Port Bloomberg'!F944="","",'Port Bloomberg'!F944)</f>
        <v/>
      </c>
      <c r="G944" s="7" t="str">
        <f>IF('Port Bloomberg'!G944="","",'Port Bloomberg'!G944)</f>
        <v/>
      </c>
      <c r="H944" s="7" t="str">
        <f>IF('Port Bloomberg'!H944="","",'Port Bloomberg'!H944)</f>
        <v/>
      </c>
      <c r="I944" s="7" t="str">
        <f>IF('Port Bloomberg'!I944="","",'Port Bloomberg'!I944)</f>
        <v/>
      </c>
      <c r="J944" s="7" t="str">
        <f>IF('Port Bloomberg'!J944="","",'Port Bloomberg'!J944)</f>
        <v/>
      </c>
      <c r="K944" s="7" t="str">
        <f>IF('Port Bloomberg'!K944="","",'Port Bloomberg'!K944)</f>
        <v/>
      </c>
      <c r="L944" s="7" t="str">
        <f>IF('Port Bloomberg'!L944="","",'Port Bloomberg'!L944)</f>
        <v/>
      </c>
      <c r="M944" s="7" t="str">
        <f>IF('Port Bloomberg'!M944="","",'Port Bloomberg'!M944)</f>
        <v/>
      </c>
      <c r="N944" s="7" t="str">
        <f>IF('Port Bloomberg'!N944="","",'Port Bloomberg'!N944)</f>
        <v/>
      </c>
      <c r="O944" s="7" t="str">
        <f>IF('Port Bloomberg'!O944="","",'Port Bloomberg'!O944)</f>
        <v/>
      </c>
      <c r="P944" s="7" t="str">
        <f>IF('Port Bloomberg'!P944="","",'Port Bloomberg'!P944)</f>
        <v/>
      </c>
      <c r="Q944" s="7" t="str">
        <f>IF('Port Bloomberg'!Q944="","",'Port Bloomberg'!Q944)</f>
        <v/>
      </c>
      <c r="R944" s="7" t="str">
        <f>IF('Port Bloomberg'!R944="","",'Port Bloomberg'!R944)</f>
        <v/>
      </c>
      <c r="S944" s="5" t="str">
        <f>IF(E944="","",IFERROR(IF(MATCH(E944,[1]Instrumentos!$D:$D,0)&gt;0,1,0),0))</f>
        <v/>
      </c>
      <c r="T944" s="5" t="str">
        <f>IF(E944="","",IFERROR(IF(MATCH(E944,'Lista de excepciones'!$E:$E,0)&gt;0,1,0),0))</f>
        <v/>
      </c>
      <c r="U944" s="6" t="str">
        <f t="shared" si="15"/>
        <v/>
      </c>
    </row>
    <row r="945" spans="1:21" hidden="1" x14ac:dyDescent="0.25">
      <c r="A945" s="7" t="str">
        <f>IF('Port Bloomberg'!A945="","",'Port Bloomberg'!A945)</f>
        <v/>
      </c>
      <c r="B945" s="7" t="str">
        <f>IF('Port Bloomberg'!B945="","",'Port Bloomberg'!B945)</f>
        <v/>
      </c>
      <c r="C945" s="7" t="str">
        <f>IF('Port Bloomberg'!C945="","",'Port Bloomberg'!C945)</f>
        <v/>
      </c>
      <c r="D945" s="7" t="str">
        <f>IF('Port Bloomberg'!D945="","",'Port Bloomberg'!D945)</f>
        <v/>
      </c>
      <c r="E945" s="7" t="str">
        <f>IF('Port Bloomberg'!E945="","",'Port Bloomberg'!E945)</f>
        <v/>
      </c>
      <c r="F945" s="7" t="str">
        <f>IF('Port Bloomberg'!F945="","",'Port Bloomberg'!F945)</f>
        <v/>
      </c>
      <c r="G945" s="7" t="str">
        <f>IF('Port Bloomberg'!G945="","",'Port Bloomberg'!G945)</f>
        <v/>
      </c>
      <c r="H945" s="7" t="str">
        <f>IF('Port Bloomberg'!H945="","",'Port Bloomberg'!H945)</f>
        <v/>
      </c>
      <c r="I945" s="7" t="str">
        <f>IF('Port Bloomberg'!I945="","",'Port Bloomberg'!I945)</f>
        <v/>
      </c>
      <c r="J945" s="7" t="str">
        <f>IF('Port Bloomberg'!J945="","",'Port Bloomberg'!J945)</f>
        <v/>
      </c>
      <c r="K945" s="7" t="str">
        <f>IF('Port Bloomberg'!K945="","",'Port Bloomberg'!K945)</f>
        <v/>
      </c>
      <c r="L945" s="7" t="str">
        <f>IF('Port Bloomberg'!L945="","",'Port Bloomberg'!L945)</f>
        <v/>
      </c>
      <c r="M945" s="7" t="str">
        <f>IF('Port Bloomberg'!M945="","",'Port Bloomberg'!M945)</f>
        <v/>
      </c>
      <c r="N945" s="7" t="str">
        <f>IF('Port Bloomberg'!N945="","",'Port Bloomberg'!N945)</f>
        <v/>
      </c>
      <c r="O945" s="7" t="str">
        <f>IF('Port Bloomberg'!O945="","",'Port Bloomberg'!O945)</f>
        <v/>
      </c>
      <c r="P945" s="7" t="str">
        <f>IF('Port Bloomberg'!P945="","",'Port Bloomberg'!P945)</f>
        <v/>
      </c>
      <c r="Q945" s="7" t="str">
        <f>IF('Port Bloomberg'!Q945="","",'Port Bloomberg'!Q945)</f>
        <v/>
      </c>
      <c r="R945" s="7" t="str">
        <f>IF('Port Bloomberg'!R945="","",'Port Bloomberg'!R945)</f>
        <v/>
      </c>
      <c r="S945" s="5" t="str">
        <f>IF(E945="","",IFERROR(IF(MATCH(E945,[1]Instrumentos!$D:$D,0)&gt;0,1,0),0))</f>
        <v/>
      </c>
      <c r="T945" s="5" t="str">
        <f>IF(E945="","",IFERROR(IF(MATCH(E945,'Lista de excepciones'!$E:$E,0)&gt;0,1,0),0))</f>
        <v/>
      </c>
      <c r="U945" s="6" t="str">
        <f t="shared" si="15"/>
        <v/>
      </c>
    </row>
    <row r="946" spans="1:21" hidden="1" x14ac:dyDescent="0.25">
      <c r="A946" s="7" t="str">
        <f>IF('Port Bloomberg'!A946="","",'Port Bloomberg'!A946)</f>
        <v/>
      </c>
      <c r="B946" s="7" t="str">
        <f>IF('Port Bloomberg'!B946="","",'Port Bloomberg'!B946)</f>
        <v/>
      </c>
      <c r="C946" s="7" t="str">
        <f>IF('Port Bloomberg'!C946="","",'Port Bloomberg'!C946)</f>
        <v/>
      </c>
      <c r="D946" s="7" t="str">
        <f>IF('Port Bloomberg'!D946="","",'Port Bloomberg'!D946)</f>
        <v/>
      </c>
      <c r="E946" s="7" t="str">
        <f>IF('Port Bloomberg'!E946="","",'Port Bloomberg'!E946)</f>
        <v/>
      </c>
      <c r="F946" s="7" t="str">
        <f>IF('Port Bloomberg'!F946="","",'Port Bloomberg'!F946)</f>
        <v/>
      </c>
      <c r="G946" s="7" t="str">
        <f>IF('Port Bloomberg'!G946="","",'Port Bloomberg'!G946)</f>
        <v/>
      </c>
      <c r="H946" s="7" t="str">
        <f>IF('Port Bloomberg'!H946="","",'Port Bloomberg'!H946)</f>
        <v/>
      </c>
      <c r="I946" s="7" t="str">
        <f>IF('Port Bloomberg'!I946="","",'Port Bloomberg'!I946)</f>
        <v/>
      </c>
      <c r="J946" s="7" t="str">
        <f>IF('Port Bloomberg'!J946="","",'Port Bloomberg'!J946)</f>
        <v/>
      </c>
      <c r="K946" s="7" t="str">
        <f>IF('Port Bloomberg'!K946="","",'Port Bloomberg'!K946)</f>
        <v/>
      </c>
      <c r="L946" s="7" t="str">
        <f>IF('Port Bloomberg'!L946="","",'Port Bloomberg'!L946)</f>
        <v/>
      </c>
      <c r="M946" s="7" t="str">
        <f>IF('Port Bloomberg'!M946="","",'Port Bloomberg'!M946)</f>
        <v/>
      </c>
      <c r="N946" s="7" t="str">
        <f>IF('Port Bloomberg'!N946="","",'Port Bloomberg'!N946)</f>
        <v/>
      </c>
      <c r="O946" s="7" t="str">
        <f>IF('Port Bloomberg'!O946="","",'Port Bloomberg'!O946)</f>
        <v/>
      </c>
      <c r="P946" s="7" t="str">
        <f>IF('Port Bloomberg'!P946="","",'Port Bloomberg'!P946)</f>
        <v/>
      </c>
      <c r="Q946" s="7" t="str">
        <f>IF('Port Bloomberg'!Q946="","",'Port Bloomberg'!Q946)</f>
        <v/>
      </c>
      <c r="R946" s="7" t="str">
        <f>IF('Port Bloomberg'!R946="","",'Port Bloomberg'!R946)</f>
        <v/>
      </c>
      <c r="S946" s="5" t="str">
        <f>IF(E946="","",IFERROR(IF(MATCH(E946,[1]Instrumentos!$D:$D,0)&gt;0,1,0),0))</f>
        <v/>
      </c>
      <c r="T946" s="5" t="str">
        <f>IF(E946="","",IFERROR(IF(MATCH(E946,'Lista de excepciones'!$E:$E,0)&gt;0,1,0),0))</f>
        <v/>
      </c>
      <c r="U946" s="6" t="str">
        <f t="shared" si="15"/>
        <v/>
      </c>
    </row>
    <row r="947" spans="1:21" hidden="1" x14ac:dyDescent="0.25">
      <c r="A947" s="7" t="str">
        <f>IF('Port Bloomberg'!A947="","",'Port Bloomberg'!A947)</f>
        <v/>
      </c>
      <c r="B947" s="7" t="str">
        <f>IF('Port Bloomberg'!B947="","",'Port Bloomberg'!B947)</f>
        <v/>
      </c>
      <c r="C947" s="7" t="str">
        <f>IF('Port Bloomberg'!C947="","",'Port Bloomberg'!C947)</f>
        <v/>
      </c>
      <c r="D947" s="7" t="str">
        <f>IF('Port Bloomberg'!D947="","",'Port Bloomberg'!D947)</f>
        <v/>
      </c>
      <c r="E947" s="7" t="str">
        <f>IF('Port Bloomberg'!E947="","",'Port Bloomberg'!E947)</f>
        <v/>
      </c>
      <c r="F947" s="7" t="str">
        <f>IF('Port Bloomberg'!F947="","",'Port Bloomberg'!F947)</f>
        <v/>
      </c>
      <c r="G947" s="7" t="str">
        <f>IF('Port Bloomberg'!G947="","",'Port Bloomberg'!G947)</f>
        <v/>
      </c>
      <c r="H947" s="7" t="str">
        <f>IF('Port Bloomberg'!H947="","",'Port Bloomberg'!H947)</f>
        <v/>
      </c>
      <c r="I947" s="7" t="str">
        <f>IF('Port Bloomberg'!I947="","",'Port Bloomberg'!I947)</f>
        <v/>
      </c>
      <c r="J947" s="7" t="str">
        <f>IF('Port Bloomberg'!J947="","",'Port Bloomberg'!J947)</f>
        <v/>
      </c>
      <c r="K947" s="7" t="str">
        <f>IF('Port Bloomberg'!K947="","",'Port Bloomberg'!K947)</f>
        <v/>
      </c>
      <c r="L947" s="7" t="str">
        <f>IF('Port Bloomberg'!L947="","",'Port Bloomberg'!L947)</f>
        <v/>
      </c>
      <c r="M947" s="7" t="str">
        <f>IF('Port Bloomberg'!M947="","",'Port Bloomberg'!M947)</f>
        <v/>
      </c>
      <c r="N947" s="7" t="str">
        <f>IF('Port Bloomberg'!N947="","",'Port Bloomberg'!N947)</f>
        <v/>
      </c>
      <c r="O947" s="7" t="str">
        <f>IF('Port Bloomberg'!O947="","",'Port Bloomberg'!O947)</f>
        <v/>
      </c>
      <c r="P947" s="7" t="str">
        <f>IF('Port Bloomberg'!P947="","",'Port Bloomberg'!P947)</f>
        <v/>
      </c>
      <c r="Q947" s="7" t="str">
        <f>IF('Port Bloomberg'!Q947="","",'Port Bloomberg'!Q947)</f>
        <v/>
      </c>
      <c r="R947" s="7" t="str">
        <f>IF('Port Bloomberg'!R947="","",'Port Bloomberg'!R947)</f>
        <v/>
      </c>
      <c r="S947" s="5" t="str">
        <f>IF(E947="","",IFERROR(IF(MATCH(E947,[1]Instrumentos!$D:$D,0)&gt;0,1,0),0))</f>
        <v/>
      </c>
      <c r="T947" s="5" t="str">
        <f>IF(E947="","",IFERROR(IF(MATCH(E947,'Lista de excepciones'!$E:$E,0)&gt;0,1,0),0))</f>
        <v/>
      </c>
      <c r="U947" s="6" t="str">
        <f t="shared" si="15"/>
        <v/>
      </c>
    </row>
    <row r="948" spans="1:21" hidden="1" x14ac:dyDescent="0.25">
      <c r="A948" s="7" t="str">
        <f>IF('Port Bloomberg'!A948="","",'Port Bloomberg'!A948)</f>
        <v/>
      </c>
      <c r="B948" s="7" t="str">
        <f>IF('Port Bloomberg'!B948="","",'Port Bloomberg'!B948)</f>
        <v/>
      </c>
      <c r="C948" s="7" t="str">
        <f>IF('Port Bloomberg'!C948="","",'Port Bloomberg'!C948)</f>
        <v/>
      </c>
      <c r="D948" s="7" t="str">
        <f>IF('Port Bloomberg'!D948="","",'Port Bloomberg'!D948)</f>
        <v/>
      </c>
      <c r="E948" s="7" t="str">
        <f>IF('Port Bloomberg'!E948="","",'Port Bloomberg'!E948)</f>
        <v/>
      </c>
      <c r="F948" s="7" t="str">
        <f>IF('Port Bloomberg'!F948="","",'Port Bloomberg'!F948)</f>
        <v/>
      </c>
      <c r="G948" s="7" t="str">
        <f>IF('Port Bloomberg'!G948="","",'Port Bloomberg'!G948)</f>
        <v/>
      </c>
      <c r="H948" s="7" t="str">
        <f>IF('Port Bloomberg'!H948="","",'Port Bloomberg'!H948)</f>
        <v/>
      </c>
      <c r="I948" s="7" t="str">
        <f>IF('Port Bloomberg'!I948="","",'Port Bloomberg'!I948)</f>
        <v/>
      </c>
      <c r="J948" s="7" t="str">
        <f>IF('Port Bloomberg'!J948="","",'Port Bloomberg'!J948)</f>
        <v/>
      </c>
      <c r="K948" s="7" t="str">
        <f>IF('Port Bloomberg'!K948="","",'Port Bloomberg'!K948)</f>
        <v/>
      </c>
      <c r="L948" s="7" t="str">
        <f>IF('Port Bloomberg'!L948="","",'Port Bloomberg'!L948)</f>
        <v/>
      </c>
      <c r="M948" s="7" t="str">
        <f>IF('Port Bloomberg'!M948="","",'Port Bloomberg'!M948)</f>
        <v/>
      </c>
      <c r="N948" s="7" t="str">
        <f>IF('Port Bloomberg'!N948="","",'Port Bloomberg'!N948)</f>
        <v/>
      </c>
      <c r="O948" s="7" t="str">
        <f>IF('Port Bloomberg'!O948="","",'Port Bloomberg'!O948)</f>
        <v/>
      </c>
      <c r="P948" s="7" t="str">
        <f>IF('Port Bloomberg'!P948="","",'Port Bloomberg'!P948)</f>
        <v/>
      </c>
      <c r="Q948" s="7" t="str">
        <f>IF('Port Bloomberg'!Q948="","",'Port Bloomberg'!Q948)</f>
        <v/>
      </c>
      <c r="R948" s="7" t="str">
        <f>IF('Port Bloomberg'!R948="","",'Port Bloomberg'!R948)</f>
        <v/>
      </c>
      <c r="S948" s="5" t="str">
        <f>IF(E948="","",IFERROR(IF(MATCH(E948,[1]Instrumentos!$D:$D,0)&gt;0,1,0),0))</f>
        <v/>
      </c>
      <c r="T948" s="5" t="str">
        <f>IF(E948="","",IFERROR(IF(MATCH(E948,'Lista de excepciones'!$E:$E,0)&gt;0,1,0),0))</f>
        <v/>
      </c>
      <c r="U948" s="6" t="str">
        <f t="shared" si="15"/>
        <v/>
      </c>
    </row>
    <row r="949" spans="1:21" hidden="1" x14ac:dyDescent="0.25">
      <c r="A949" s="7" t="str">
        <f>IF('Port Bloomberg'!A949="","",'Port Bloomberg'!A949)</f>
        <v/>
      </c>
      <c r="B949" s="7" t="str">
        <f>IF('Port Bloomberg'!B949="","",'Port Bloomberg'!B949)</f>
        <v/>
      </c>
      <c r="C949" s="7" t="str">
        <f>IF('Port Bloomberg'!C949="","",'Port Bloomberg'!C949)</f>
        <v/>
      </c>
      <c r="D949" s="7" t="str">
        <f>IF('Port Bloomberg'!D949="","",'Port Bloomberg'!D949)</f>
        <v/>
      </c>
      <c r="E949" s="7" t="str">
        <f>IF('Port Bloomberg'!E949="","",'Port Bloomberg'!E949)</f>
        <v/>
      </c>
      <c r="F949" s="7" t="str">
        <f>IF('Port Bloomberg'!F949="","",'Port Bloomberg'!F949)</f>
        <v/>
      </c>
      <c r="G949" s="7" t="str">
        <f>IF('Port Bloomberg'!G949="","",'Port Bloomberg'!G949)</f>
        <v/>
      </c>
      <c r="H949" s="7" t="str">
        <f>IF('Port Bloomberg'!H949="","",'Port Bloomberg'!H949)</f>
        <v/>
      </c>
      <c r="I949" s="7" t="str">
        <f>IF('Port Bloomberg'!I949="","",'Port Bloomberg'!I949)</f>
        <v/>
      </c>
      <c r="J949" s="7" t="str">
        <f>IF('Port Bloomberg'!J949="","",'Port Bloomberg'!J949)</f>
        <v/>
      </c>
      <c r="K949" s="7" t="str">
        <f>IF('Port Bloomberg'!K949="","",'Port Bloomberg'!K949)</f>
        <v/>
      </c>
      <c r="L949" s="7" t="str">
        <f>IF('Port Bloomberg'!L949="","",'Port Bloomberg'!L949)</f>
        <v/>
      </c>
      <c r="M949" s="7" t="str">
        <f>IF('Port Bloomberg'!M949="","",'Port Bloomberg'!M949)</f>
        <v/>
      </c>
      <c r="N949" s="7" t="str">
        <f>IF('Port Bloomberg'!N949="","",'Port Bloomberg'!N949)</f>
        <v/>
      </c>
      <c r="O949" s="7" t="str">
        <f>IF('Port Bloomberg'!O949="","",'Port Bloomberg'!O949)</f>
        <v/>
      </c>
      <c r="P949" s="7" t="str">
        <f>IF('Port Bloomberg'!P949="","",'Port Bloomberg'!P949)</f>
        <v/>
      </c>
      <c r="Q949" s="7" t="str">
        <f>IF('Port Bloomberg'!Q949="","",'Port Bloomberg'!Q949)</f>
        <v/>
      </c>
      <c r="R949" s="7" t="str">
        <f>IF('Port Bloomberg'!R949="","",'Port Bloomberg'!R949)</f>
        <v/>
      </c>
      <c r="S949" s="5" t="str">
        <f>IF(E949="","",IFERROR(IF(MATCH(E949,[1]Instrumentos!$D:$D,0)&gt;0,1,0),0))</f>
        <v/>
      </c>
      <c r="T949" s="5" t="str">
        <f>IF(E949="","",IFERROR(IF(MATCH(E949,'Lista de excepciones'!$E:$E,0)&gt;0,1,0),0))</f>
        <v/>
      </c>
      <c r="U949" s="6" t="str">
        <f t="shared" si="15"/>
        <v/>
      </c>
    </row>
    <row r="950" spans="1:21" hidden="1" x14ac:dyDescent="0.25">
      <c r="A950" s="7" t="str">
        <f>IF('Port Bloomberg'!A950="","",'Port Bloomberg'!A950)</f>
        <v/>
      </c>
      <c r="B950" s="7" t="str">
        <f>IF('Port Bloomberg'!B950="","",'Port Bloomberg'!B950)</f>
        <v/>
      </c>
      <c r="C950" s="7" t="str">
        <f>IF('Port Bloomberg'!C950="","",'Port Bloomberg'!C950)</f>
        <v/>
      </c>
      <c r="D950" s="7" t="str">
        <f>IF('Port Bloomberg'!D950="","",'Port Bloomberg'!D950)</f>
        <v/>
      </c>
      <c r="E950" s="7" t="str">
        <f>IF('Port Bloomberg'!E950="","",'Port Bloomberg'!E950)</f>
        <v/>
      </c>
      <c r="F950" s="7" t="str">
        <f>IF('Port Bloomberg'!F950="","",'Port Bloomberg'!F950)</f>
        <v/>
      </c>
      <c r="G950" s="7" t="str">
        <f>IF('Port Bloomberg'!G950="","",'Port Bloomberg'!G950)</f>
        <v/>
      </c>
      <c r="H950" s="7" t="str">
        <f>IF('Port Bloomberg'!H950="","",'Port Bloomberg'!H950)</f>
        <v/>
      </c>
      <c r="I950" s="7" t="str">
        <f>IF('Port Bloomberg'!I950="","",'Port Bloomberg'!I950)</f>
        <v/>
      </c>
      <c r="J950" s="7" t="str">
        <f>IF('Port Bloomberg'!J950="","",'Port Bloomberg'!J950)</f>
        <v/>
      </c>
      <c r="K950" s="7" t="str">
        <f>IF('Port Bloomberg'!K950="","",'Port Bloomberg'!K950)</f>
        <v/>
      </c>
      <c r="L950" s="7" t="str">
        <f>IF('Port Bloomberg'!L950="","",'Port Bloomberg'!L950)</f>
        <v/>
      </c>
      <c r="M950" s="7" t="str">
        <f>IF('Port Bloomberg'!M950="","",'Port Bloomberg'!M950)</f>
        <v/>
      </c>
      <c r="N950" s="7" t="str">
        <f>IF('Port Bloomberg'!N950="","",'Port Bloomberg'!N950)</f>
        <v/>
      </c>
      <c r="O950" s="7" t="str">
        <f>IF('Port Bloomberg'!O950="","",'Port Bloomberg'!O950)</f>
        <v/>
      </c>
      <c r="P950" s="7" t="str">
        <f>IF('Port Bloomberg'!P950="","",'Port Bloomberg'!P950)</f>
        <v/>
      </c>
      <c r="Q950" s="7" t="str">
        <f>IF('Port Bloomberg'!Q950="","",'Port Bloomberg'!Q950)</f>
        <v/>
      </c>
      <c r="R950" s="7" t="str">
        <f>IF('Port Bloomberg'!R950="","",'Port Bloomberg'!R950)</f>
        <v/>
      </c>
      <c r="S950" s="5" t="str">
        <f>IF(E950="","",IFERROR(IF(MATCH(E950,[1]Instrumentos!$D:$D,0)&gt;0,1,0),0))</f>
        <v/>
      </c>
      <c r="T950" s="5" t="str">
        <f>IF(E950="","",IFERROR(IF(MATCH(E950,'Lista de excepciones'!$E:$E,0)&gt;0,1,0),0))</f>
        <v/>
      </c>
      <c r="U950" s="6" t="str">
        <f t="shared" si="15"/>
        <v/>
      </c>
    </row>
    <row r="951" spans="1:21" hidden="1" x14ac:dyDescent="0.25">
      <c r="A951" s="7" t="str">
        <f>IF('Port Bloomberg'!A951="","",'Port Bloomberg'!A951)</f>
        <v/>
      </c>
      <c r="B951" s="7" t="str">
        <f>IF('Port Bloomberg'!B951="","",'Port Bloomberg'!B951)</f>
        <v/>
      </c>
      <c r="C951" s="7" t="str">
        <f>IF('Port Bloomberg'!C951="","",'Port Bloomberg'!C951)</f>
        <v/>
      </c>
      <c r="D951" s="7" t="str">
        <f>IF('Port Bloomberg'!D951="","",'Port Bloomberg'!D951)</f>
        <v/>
      </c>
      <c r="E951" s="7" t="str">
        <f>IF('Port Bloomberg'!E951="","",'Port Bloomberg'!E951)</f>
        <v/>
      </c>
      <c r="F951" s="7" t="str">
        <f>IF('Port Bloomberg'!F951="","",'Port Bloomberg'!F951)</f>
        <v/>
      </c>
      <c r="G951" s="7" t="str">
        <f>IF('Port Bloomberg'!G951="","",'Port Bloomberg'!G951)</f>
        <v/>
      </c>
      <c r="H951" s="7" t="str">
        <f>IF('Port Bloomberg'!H951="","",'Port Bloomberg'!H951)</f>
        <v/>
      </c>
      <c r="I951" s="7" t="str">
        <f>IF('Port Bloomberg'!I951="","",'Port Bloomberg'!I951)</f>
        <v/>
      </c>
      <c r="J951" s="7" t="str">
        <f>IF('Port Bloomberg'!J951="","",'Port Bloomberg'!J951)</f>
        <v/>
      </c>
      <c r="K951" s="7" t="str">
        <f>IF('Port Bloomberg'!K951="","",'Port Bloomberg'!K951)</f>
        <v/>
      </c>
      <c r="L951" s="7" t="str">
        <f>IF('Port Bloomberg'!L951="","",'Port Bloomberg'!L951)</f>
        <v/>
      </c>
      <c r="M951" s="7" t="str">
        <f>IF('Port Bloomberg'!M951="","",'Port Bloomberg'!M951)</f>
        <v/>
      </c>
      <c r="N951" s="7" t="str">
        <f>IF('Port Bloomberg'!N951="","",'Port Bloomberg'!N951)</f>
        <v/>
      </c>
      <c r="O951" s="7" t="str">
        <f>IF('Port Bloomberg'!O951="","",'Port Bloomberg'!O951)</f>
        <v/>
      </c>
      <c r="P951" s="7" t="str">
        <f>IF('Port Bloomberg'!P951="","",'Port Bloomberg'!P951)</f>
        <v/>
      </c>
      <c r="Q951" s="7" t="str">
        <f>IF('Port Bloomberg'!Q951="","",'Port Bloomberg'!Q951)</f>
        <v/>
      </c>
      <c r="R951" s="7" t="str">
        <f>IF('Port Bloomberg'!R951="","",'Port Bloomberg'!R951)</f>
        <v/>
      </c>
      <c r="S951" s="5" t="str">
        <f>IF(E951="","",IFERROR(IF(MATCH(E951,[1]Instrumentos!$D:$D,0)&gt;0,1,0),0))</f>
        <v/>
      </c>
      <c r="T951" s="5" t="str">
        <f>IF(E951="","",IFERROR(IF(MATCH(E951,'Lista de excepciones'!$E:$E,0)&gt;0,1,0),0))</f>
        <v/>
      </c>
      <c r="U951" s="6" t="str">
        <f t="shared" si="15"/>
        <v/>
      </c>
    </row>
    <row r="952" spans="1:21" hidden="1" x14ac:dyDescent="0.25">
      <c r="A952" s="7" t="str">
        <f>IF('Port Bloomberg'!A952="","",'Port Bloomberg'!A952)</f>
        <v/>
      </c>
      <c r="B952" s="7" t="str">
        <f>IF('Port Bloomberg'!B952="","",'Port Bloomberg'!B952)</f>
        <v/>
      </c>
      <c r="C952" s="7" t="str">
        <f>IF('Port Bloomberg'!C952="","",'Port Bloomberg'!C952)</f>
        <v/>
      </c>
      <c r="D952" s="7" t="str">
        <f>IF('Port Bloomberg'!D952="","",'Port Bloomberg'!D952)</f>
        <v/>
      </c>
      <c r="E952" s="7" t="str">
        <f>IF('Port Bloomberg'!E952="","",'Port Bloomberg'!E952)</f>
        <v/>
      </c>
      <c r="F952" s="7" t="str">
        <f>IF('Port Bloomberg'!F952="","",'Port Bloomberg'!F952)</f>
        <v/>
      </c>
      <c r="G952" s="7" t="str">
        <f>IF('Port Bloomberg'!G952="","",'Port Bloomberg'!G952)</f>
        <v/>
      </c>
      <c r="H952" s="7" t="str">
        <f>IF('Port Bloomberg'!H952="","",'Port Bloomberg'!H952)</f>
        <v/>
      </c>
      <c r="I952" s="7" t="str">
        <f>IF('Port Bloomberg'!I952="","",'Port Bloomberg'!I952)</f>
        <v/>
      </c>
      <c r="J952" s="7" t="str">
        <f>IF('Port Bloomberg'!J952="","",'Port Bloomberg'!J952)</f>
        <v/>
      </c>
      <c r="K952" s="7" t="str">
        <f>IF('Port Bloomberg'!K952="","",'Port Bloomberg'!K952)</f>
        <v/>
      </c>
      <c r="L952" s="7" t="str">
        <f>IF('Port Bloomberg'!L952="","",'Port Bloomberg'!L952)</f>
        <v/>
      </c>
      <c r="M952" s="7" t="str">
        <f>IF('Port Bloomberg'!M952="","",'Port Bloomberg'!M952)</f>
        <v/>
      </c>
      <c r="N952" s="7" t="str">
        <f>IF('Port Bloomberg'!N952="","",'Port Bloomberg'!N952)</f>
        <v/>
      </c>
      <c r="O952" s="7" t="str">
        <f>IF('Port Bloomberg'!O952="","",'Port Bloomberg'!O952)</f>
        <v/>
      </c>
      <c r="P952" s="7" t="str">
        <f>IF('Port Bloomberg'!P952="","",'Port Bloomberg'!P952)</f>
        <v/>
      </c>
      <c r="Q952" s="7" t="str">
        <f>IF('Port Bloomberg'!Q952="","",'Port Bloomberg'!Q952)</f>
        <v/>
      </c>
      <c r="R952" s="7" t="str">
        <f>IF('Port Bloomberg'!R952="","",'Port Bloomberg'!R952)</f>
        <v/>
      </c>
      <c r="S952" s="5" t="str">
        <f>IF(E952="","",IFERROR(IF(MATCH(E952,[1]Instrumentos!$D:$D,0)&gt;0,1,0),0))</f>
        <v/>
      </c>
      <c r="T952" s="5" t="str">
        <f>IF(E952="","",IFERROR(IF(MATCH(E952,'Lista de excepciones'!$E:$E,0)&gt;0,1,0),0))</f>
        <v/>
      </c>
      <c r="U952" s="6" t="str">
        <f t="shared" si="15"/>
        <v/>
      </c>
    </row>
    <row r="953" spans="1:21" hidden="1" x14ac:dyDescent="0.25">
      <c r="A953" s="7" t="str">
        <f>IF('Port Bloomberg'!A953="","",'Port Bloomberg'!A953)</f>
        <v/>
      </c>
      <c r="B953" s="7" t="str">
        <f>IF('Port Bloomberg'!B953="","",'Port Bloomberg'!B953)</f>
        <v/>
      </c>
      <c r="C953" s="7" t="str">
        <f>IF('Port Bloomberg'!C953="","",'Port Bloomberg'!C953)</f>
        <v/>
      </c>
      <c r="D953" s="7" t="str">
        <f>IF('Port Bloomberg'!D953="","",'Port Bloomberg'!D953)</f>
        <v/>
      </c>
      <c r="E953" s="7" t="str">
        <f>IF('Port Bloomberg'!E953="","",'Port Bloomberg'!E953)</f>
        <v/>
      </c>
      <c r="F953" s="7" t="str">
        <f>IF('Port Bloomberg'!F953="","",'Port Bloomberg'!F953)</f>
        <v/>
      </c>
      <c r="G953" s="7" t="str">
        <f>IF('Port Bloomberg'!G953="","",'Port Bloomberg'!G953)</f>
        <v/>
      </c>
      <c r="H953" s="7" t="str">
        <f>IF('Port Bloomberg'!H953="","",'Port Bloomberg'!H953)</f>
        <v/>
      </c>
      <c r="I953" s="7" t="str">
        <f>IF('Port Bloomberg'!I953="","",'Port Bloomberg'!I953)</f>
        <v/>
      </c>
      <c r="J953" s="7" t="str">
        <f>IF('Port Bloomberg'!J953="","",'Port Bloomberg'!J953)</f>
        <v/>
      </c>
      <c r="K953" s="7" t="str">
        <f>IF('Port Bloomberg'!K953="","",'Port Bloomberg'!K953)</f>
        <v/>
      </c>
      <c r="L953" s="7" t="str">
        <f>IF('Port Bloomberg'!L953="","",'Port Bloomberg'!L953)</f>
        <v/>
      </c>
      <c r="M953" s="7" t="str">
        <f>IF('Port Bloomberg'!M953="","",'Port Bloomberg'!M953)</f>
        <v/>
      </c>
      <c r="N953" s="7" t="str">
        <f>IF('Port Bloomberg'!N953="","",'Port Bloomberg'!N953)</f>
        <v/>
      </c>
      <c r="O953" s="7" t="str">
        <f>IF('Port Bloomberg'!O953="","",'Port Bloomberg'!O953)</f>
        <v/>
      </c>
      <c r="P953" s="7" t="str">
        <f>IF('Port Bloomberg'!P953="","",'Port Bloomberg'!P953)</f>
        <v/>
      </c>
      <c r="Q953" s="7" t="str">
        <f>IF('Port Bloomberg'!Q953="","",'Port Bloomberg'!Q953)</f>
        <v/>
      </c>
      <c r="R953" s="7" t="str">
        <f>IF('Port Bloomberg'!R953="","",'Port Bloomberg'!R953)</f>
        <v/>
      </c>
      <c r="S953" s="5" t="str">
        <f>IF(E953="","",IFERROR(IF(MATCH(E953,[1]Instrumentos!$D:$D,0)&gt;0,1,0),0))</f>
        <v/>
      </c>
      <c r="T953" s="5" t="str">
        <f>IF(E953="","",IFERROR(IF(MATCH(E953,'Lista de excepciones'!$E:$E,0)&gt;0,1,0),0))</f>
        <v/>
      </c>
      <c r="U953" s="6" t="str">
        <f t="shared" si="15"/>
        <v/>
      </c>
    </row>
    <row r="954" spans="1:21" hidden="1" x14ac:dyDescent="0.25">
      <c r="A954" s="7" t="str">
        <f>IF('Port Bloomberg'!A954="","",'Port Bloomberg'!A954)</f>
        <v/>
      </c>
      <c r="B954" s="7" t="str">
        <f>IF('Port Bloomberg'!B954="","",'Port Bloomberg'!B954)</f>
        <v/>
      </c>
      <c r="C954" s="7" t="str">
        <f>IF('Port Bloomberg'!C954="","",'Port Bloomberg'!C954)</f>
        <v/>
      </c>
      <c r="D954" s="7" t="str">
        <f>IF('Port Bloomberg'!D954="","",'Port Bloomberg'!D954)</f>
        <v/>
      </c>
      <c r="E954" s="7" t="str">
        <f>IF('Port Bloomberg'!E954="","",'Port Bloomberg'!E954)</f>
        <v/>
      </c>
      <c r="F954" s="7" t="str">
        <f>IF('Port Bloomberg'!F954="","",'Port Bloomberg'!F954)</f>
        <v/>
      </c>
      <c r="G954" s="7" t="str">
        <f>IF('Port Bloomberg'!G954="","",'Port Bloomberg'!G954)</f>
        <v/>
      </c>
      <c r="H954" s="7" t="str">
        <f>IF('Port Bloomberg'!H954="","",'Port Bloomberg'!H954)</f>
        <v/>
      </c>
      <c r="I954" s="7" t="str">
        <f>IF('Port Bloomberg'!I954="","",'Port Bloomberg'!I954)</f>
        <v/>
      </c>
      <c r="J954" s="7" t="str">
        <f>IF('Port Bloomberg'!J954="","",'Port Bloomberg'!J954)</f>
        <v/>
      </c>
      <c r="K954" s="7" t="str">
        <f>IF('Port Bloomberg'!K954="","",'Port Bloomberg'!K954)</f>
        <v/>
      </c>
      <c r="L954" s="7" t="str">
        <f>IF('Port Bloomberg'!L954="","",'Port Bloomberg'!L954)</f>
        <v/>
      </c>
      <c r="M954" s="7" t="str">
        <f>IF('Port Bloomberg'!M954="","",'Port Bloomberg'!M954)</f>
        <v/>
      </c>
      <c r="N954" s="7" t="str">
        <f>IF('Port Bloomberg'!N954="","",'Port Bloomberg'!N954)</f>
        <v/>
      </c>
      <c r="O954" s="7" t="str">
        <f>IF('Port Bloomberg'!O954="","",'Port Bloomberg'!O954)</f>
        <v/>
      </c>
      <c r="P954" s="7" t="str">
        <f>IF('Port Bloomberg'!P954="","",'Port Bloomberg'!P954)</f>
        <v/>
      </c>
      <c r="Q954" s="7" t="str">
        <f>IF('Port Bloomberg'!Q954="","",'Port Bloomberg'!Q954)</f>
        <v/>
      </c>
      <c r="R954" s="7" t="str">
        <f>IF('Port Bloomberg'!R954="","",'Port Bloomberg'!R954)</f>
        <v/>
      </c>
      <c r="S954" s="5" t="str">
        <f>IF(E954="","",IFERROR(IF(MATCH(E954,[1]Instrumentos!$D:$D,0)&gt;0,1,0),0))</f>
        <v/>
      </c>
      <c r="T954" s="5" t="str">
        <f>IF(E954="","",IFERROR(IF(MATCH(E954,'Lista de excepciones'!$E:$E,0)&gt;0,1,0),0))</f>
        <v/>
      </c>
      <c r="U954" s="6" t="str">
        <f t="shared" si="15"/>
        <v/>
      </c>
    </row>
    <row r="955" spans="1:21" hidden="1" x14ac:dyDescent="0.25">
      <c r="A955" s="7" t="str">
        <f>IF('Port Bloomberg'!A955="","",'Port Bloomberg'!A955)</f>
        <v/>
      </c>
      <c r="B955" s="7" t="str">
        <f>IF('Port Bloomberg'!B955="","",'Port Bloomberg'!B955)</f>
        <v/>
      </c>
      <c r="C955" s="7" t="str">
        <f>IF('Port Bloomberg'!C955="","",'Port Bloomberg'!C955)</f>
        <v/>
      </c>
      <c r="D955" s="7" t="str">
        <f>IF('Port Bloomberg'!D955="","",'Port Bloomberg'!D955)</f>
        <v/>
      </c>
      <c r="E955" s="7" t="str">
        <f>IF('Port Bloomberg'!E955="","",'Port Bloomberg'!E955)</f>
        <v/>
      </c>
      <c r="F955" s="7" t="str">
        <f>IF('Port Bloomberg'!F955="","",'Port Bloomberg'!F955)</f>
        <v/>
      </c>
      <c r="G955" s="7" t="str">
        <f>IF('Port Bloomberg'!G955="","",'Port Bloomberg'!G955)</f>
        <v/>
      </c>
      <c r="H955" s="7" t="str">
        <f>IF('Port Bloomberg'!H955="","",'Port Bloomberg'!H955)</f>
        <v/>
      </c>
      <c r="I955" s="7" t="str">
        <f>IF('Port Bloomberg'!I955="","",'Port Bloomberg'!I955)</f>
        <v/>
      </c>
      <c r="J955" s="7" t="str">
        <f>IF('Port Bloomberg'!J955="","",'Port Bloomberg'!J955)</f>
        <v/>
      </c>
      <c r="K955" s="7" t="str">
        <f>IF('Port Bloomberg'!K955="","",'Port Bloomberg'!K955)</f>
        <v/>
      </c>
      <c r="L955" s="7" t="str">
        <f>IF('Port Bloomberg'!L955="","",'Port Bloomberg'!L955)</f>
        <v/>
      </c>
      <c r="M955" s="7" t="str">
        <f>IF('Port Bloomberg'!M955="","",'Port Bloomberg'!M955)</f>
        <v/>
      </c>
      <c r="N955" s="7" t="str">
        <f>IF('Port Bloomberg'!N955="","",'Port Bloomberg'!N955)</f>
        <v/>
      </c>
      <c r="O955" s="7" t="str">
        <f>IF('Port Bloomberg'!O955="","",'Port Bloomberg'!O955)</f>
        <v/>
      </c>
      <c r="P955" s="7" t="str">
        <f>IF('Port Bloomberg'!P955="","",'Port Bloomberg'!P955)</f>
        <v/>
      </c>
      <c r="Q955" s="7" t="str">
        <f>IF('Port Bloomberg'!Q955="","",'Port Bloomberg'!Q955)</f>
        <v/>
      </c>
      <c r="R955" s="7" t="str">
        <f>IF('Port Bloomberg'!R955="","",'Port Bloomberg'!R955)</f>
        <v/>
      </c>
      <c r="S955" s="5" t="str">
        <f>IF(E955="","",IFERROR(IF(MATCH(E955,[1]Instrumentos!$D:$D,0)&gt;0,1,0),0))</f>
        <v/>
      </c>
      <c r="T955" s="5" t="str">
        <f>IF(E955="","",IFERROR(IF(MATCH(E955,'Lista de excepciones'!$E:$E,0)&gt;0,1,0),0))</f>
        <v/>
      </c>
      <c r="U955" s="6" t="str">
        <f t="shared" si="15"/>
        <v/>
      </c>
    </row>
    <row r="956" spans="1:21" hidden="1" x14ac:dyDescent="0.25">
      <c r="A956" s="7" t="str">
        <f>IF('Port Bloomberg'!A956="","",'Port Bloomberg'!A956)</f>
        <v/>
      </c>
      <c r="B956" s="7" t="str">
        <f>IF('Port Bloomberg'!B956="","",'Port Bloomberg'!B956)</f>
        <v/>
      </c>
      <c r="C956" s="7" t="str">
        <f>IF('Port Bloomberg'!C956="","",'Port Bloomberg'!C956)</f>
        <v/>
      </c>
      <c r="D956" s="7" t="str">
        <f>IF('Port Bloomberg'!D956="","",'Port Bloomberg'!D956)</f>
        <v/>
      </c>
      <c r="E956" s="7" t="str">
        <f>IF('Port Bloomberg'!E956="","",'Port Bloomberg'!E956)</f>
        <v/>
      </c>
      <c r="F956" s="7" t="str">
        <f>IF('Port Bloomberg'!F956="","",'Port Bloomberg'!F956)</f>
        <v/>
      </c>
      <c r="G956" s="7" t="str">
        <f>IF('Port Bloomberg'!G956="","",'Port Bloomberg'!G956)</f>
        <v/>
      </c>
      <c r="H956" s="7" t="str">
        <f>IF('Port Bloomberg'!H956="","",'Port Bloomberg'!H956)</f>
        <v/>
      </c>
      <c r="I956" s="7" t="str">
        <f>IF('Port Bloomberg'!I956="","",'Port Bloomberg'!I956)</f>
        <v/>
      </c>
      <c r="J956" s="7" t="str">
        <f>IF('Port Bloomberg'!J956="","",'Port Bloomberg'!J956)</f>
        <v/>
      </c>
      <c r="K956" s="7" t="str">
        <f>IF('Port Bloomberg'!K956="","",'Port Bloomberg'!K956)</f>
        <v/>
      </c>
      <c r="L956" s="7" t="str">
        <f>IF('Port Bloomberg'!L956="","",'Port Bloomberg'!L956)</f>
        <v/>
      </c>
      <c r="M956" s="7" t="str">
        <f>IF('Port Bloomberg'!M956="","",'Port Bloomberg'!M956)</f>
        <v/>
      </c>
      <c r="N956" s="7" t="str">
        <f>IF('Port Bloomberg'!N956="","",'Port Bloomberg'!N956)</f>
        <v/>
      </c>
      <c r="O956" s="7" t="str">
        <f>IF('Port Bloomberg'!O956="","",'Port Bloomberg'!O956)</f>
        <v/>
      </c>
      <c r="P956" s="7" t="str">
        <f>IF('Port Bloomberg'!P956="","",'Port Bloomberg'!P956)</f>
        <v/>
      </c>
      <c r="Q956" s="7" t="str">
        <f>IF('Port Bloomberg'!Q956="","",'Port Bloomberg'!Q956)</f>
        <v/>
      </c>
      <c r="R956" s="7" t="str">
        <f>IF('Port Bloomberg'!R956="","",'Port Bloomberg'!R956)</f>
        <v/>
      </c>
      <c r="S956" s="5" t="str">
        <f>IF(E956="","",IFERROR(IF(MATCH(E956,[1]Instrumentos!$D:$D,0)&gt;0,1,0),0))</f>
        <v/>
      </c>
      <c r="T956" s="5" t="str">
        <f>IF(E956="","",IFERROR(IF(MATCH(E956,'Lista de excepciones'!$E:$E,0)&gt;0,1,0),0))</f>
        <v/>
      </c>
      <c r="U956" s="6" t="str">
        <f t="shared" si="15"/>
        <v/>
      </c>
    </row>
    <row r="957" spans="1:21" hidden="1" x14ac:dyDescent="0.25">
      <c r="A957" s="7" t="str">
        <f>IF('Port Bloomberg'!A957="","",'Port Bloomberg'!A957)</f>
        <v/>
      </c>
      <c r="B957" s="7" t="str">
        <f>IF('Port Bloomberg'!B957="","",'Port Bloomberg'!B957)</f>
        <v/>
      </c>
      <c r="C957" s="7" t="str">
        <f>IF('Port Bloomberg'!C957="","",'Port Bloomberg'!C957)</f>
        <v/>
      </c>
      <c r="D957" s="7" t="str">
        <f>IF('Port Bloomberg'!D957="","",'Port Bloomberg'!D957)</f>
        <v/>
      </c>
      <c r="E957" s="7" t="str">
        <f>IF('Port Bloomberg'!E957="","",'Port Bloomberg'!E957)</f>
        <v/>
      </c>
      <c r="F957" s="7" t="str">
        <f>IF('Port Bloomberg'!F957="","",'Port Bloomberg'!F957)</f>
        <v/>
      </c>
      <c r="G957" s="7" t="str">
        <f>IF('Port Bloomberg'!G957="","",'Port Bloomberg'!G957)</f>
        <v/>
      </c>
      <c r="H957" s="7" t="str">
        <f>IF('Port Bloomberg'!H957="","",'Port Bloomberg'!H957)</f>
        <v/>
      </c>
      <c r="I957" s="7" t="str">
        <f>IF('Port Bloomberg'!I957="","",'Port Bloomberg'!I957)</f>
        <v/>
      </c>
      <c r="J957" s="7" t="str">
        <f>IF('Port Bloomberg'!J957="","",'Port Bloomberg'!J957)</f>
        <v/>
      </c>
      <c r="K957" s="7" t="str">
        <f>IF('Port Bloomberg'!K957="","",'Port Bloomberg'!K957)</f>
        <v/>
      </c>
      <c r="L957" s="7" t="str">
        <f>IF('Port Bloomberg'!L957="","",'Port Bloomberg'!L957)</f>
        <v/>
      </c>
      <c r="M957" s="7" t="str">
        <f>IF('Port Bloomberg'!M957="","",'Port Bloomberg'!M957)</f>
        <v/>
      </c>
      <c r="N957" s="7" t="str">
        <f>IF('Port Bloomberg'!N957="","",'Port Bloomberg'!N957)</f>
        <v/>
      </c>
      <c r="O957" s="7" t="str">
        <f>IF('Port Bloomberg'!O957="","",'Port Bloomberg'!O957)</f>
        <v/>
      </c>
      <c r="P957" s="7" t="str">
        <f>IF('Port Bloomberg'!P957="","",'Port Bloomberg'!P957)</f>
        <v/>
      </c>
      <c r="Q957" s="7" t="str">
        <f>IF('Port Bloomberg'!Q957="","",'Port Bloomberg'!Q957)</f>
        <v/>
      </c>
      <c r="R957" s="7" t="str">
        <f>IF('Port Bloomberg'!R957="","",'Port Bloomberg'!R957)</f>
        <v/>
      </c>
      <c r="S957" s="5" t="str">
        <f>IF(E957="","",IFERROR(IF(MATCH(E957,[1]Instrumentos!$D:$D,0)&gt;0,1,0),0))</f>
        <v/>
      </c>
      <c r="T957" s="5" t="str">
        <f>IF(E957="","",IFERROR(IF(MATCH(E957,'Lista de excepciones'!$E:$E,0)&gt;0,1,0),0))</f>
        <v/>
      </c>
      <c r="U957" s="6" t="str">
        <f t="shared" si="15"/>
        <v/>
      </c>
    </row>
    <row r="958" spans="1:21" hidden="1" x14ac:dyDescent="0.25">
      <c r="A958" s="7" t="str">
        <f>IF('Port Bloomberg'!A958="","",'Port Bloomberg'!A958)</f>
        <v/>
      </c>
      <c r="B958" s="7" t="str">
        <f>IF('Port Bloomberg'!B958="","",'Port Bloomberg'!B958)</f>
        <v/>
      </c>
      <c r="C958" s="7" t="str">
        <f>IF('Port Bloomberg'!C958="","",'Port Bloomberg'!C958)</f>
        <v/>
      </c>
      <c r="D958" s="7" t="str">
        <f>IF('Port Bloomberg'!D958="","",'Port Bloomberg'!D958)</f>
        <v/>
      </c>
      <c r="E958" s="7" t="str">
        <f>IF('Port Bloomberg'!E958="","",'Port Bloomberg'!E958)</f>
        <v/>
      </c>
      <c r="F958" s="7" t="str">
        <f>IF('Port Bloomberg'!F958="","",'Port Bloomberg'!F958)</f>
        <v/>
      </c>
      <c r="G958" s="7" t="str">
        <f>IF('Port Bloomberg'!G958="","",'Port Bloomberg'!G958)</f>
        <v/>
      </c>
      <c r="H958" s="7" t="str">
        <f>IF('Port Bloomberg'!H958="","",'Port Bloomberg'!H958)</f>
        <v/>
      </c>
      <c r="I958" s="7" t="str">
        <f>IF('Port Bloomberg'!I958="","",'Port Bloomberg'!I958)</f>
        <v/>
      </c>
      <c r="J958" s="7" t="str">
        <f>IF('Port Bloomberg'!J958="","",'Port Bloomberg'!J958)</f>
        <v/>
      </c>
      <c r="K958" s="7" t="str">
        <f>IF('Port Bloomberg'!K958="","",'Port Bloomberg'!K958)</f>
        <v/>
      </c>
      <c r="L958" s="7" t="str">
        <f>IF('Port Bloomberg'!L958="","",'Port Bloomberg'!L958)</f>
        <v/>
      </c>
      <c r="M958" s="7" t="str">
        <f>IF('Port Bloomberg'!M958="","",'Port Bloomberg'!M958)</f>
        <v/>
      </c>
      <c r="N958" s="7" t="str">
        <f>IF('Port Bloomberg'!N958="","",'Port Bloomberg'!N958)</f>
        <v/>
      </c>
      <c r="O958" s="7" t="str">
        <f>IF('Port Bloomberg'!O958="","",'Port Bloomberg'!O958)</f>
        <v/>
      </c>
      <c r="P958" s="7" t="str">
        <f>IF('Port Bloomberg'!P958="","",'Port Bloomberg'!P958)</f>
        <v/>
      </c>
      <c r="Q958" s="7" t="str">
        <f>IF('Port Bloomberg'!Q958="","",'Port Bloomberg'!Q958)</f>
        <v/>
      </c>
      <c r="R958" s="7" t="str">
        <f>IF('Port Bloomberg'!R958="","",'Port Bloomberg'!R958)</f>
        <v/>
      </c>
      <c r="S958" s="5" t="str">
        <f>IF(E958="","",IFERROR(IF(MATCH(E958,[1]Instrumentos!$D:$D,0)&gt;0,1,0),0))</f>
        <v/>
      </c>
      <c r="T958" s="5" t="str">
        <f>IF(E958="","",IFERROR(IF(MATCH(E958,'Lista de excepciones'!$E:$E,0)&gt;0,1,0),0))</f>
        <v/>
      </c>
      <c r="U958" s="6" t="str">
        <f t="shared" si="15"/>
        <v/>
      </c>
    </row>
    <row r="959" spans="1:21" hidden="1" x14ac:dyDescent="0.25">
      <c r="A959" s="7" t="str">
        <f>IF('Port Bloomberg'!A959="","",'Port Bloomberg'!A959)</f>
        <v/>
      </c>
      <c r="B959" s="7" t="str">
        <f>IF('Port Bloomberg'!B959="","",'Port Bloomberg'!B959)</f>
        <v/>
      </c>
      <c r="C959" s="7" t="str">
        <f>IF('Port Bloomberg'!C959="","",'Port Bloomberg'!C959)</f>
        <v/>
      </c>
      <c r="D959" s="7" t="str">
        <f>IF('Port Bloomberg'!D959="","",'Port Bloomberg'!D959)</f>
        <v/>
      </c>
      <c r="E959" s="7" t="str">
        <f>IF('Port Bloomberg'!E959="","",'Port Bloomberg'!E959)</f>
        <v/>
      </c>
      <c r="F959" s="7" t="str">
        <f>IF('Port Bloomberg'!F959="","",'Port Bloomberg'!F959)</f>
        <v/>
      </c>
      <c r="G959" s="7" t="str">
        <f>IF('Port Bloomberg'!G959="","",'Port Bloomberg'!G959)</f>
        <v/>
      </c>
      <c r="H959" s="7" t="str">
        <f>IF('Port Bloomberg'!H959="","",'Port Bloomberg'!H959)</f>
        <v/>
      </c>
      <c r="I959" s="7" t="str">
        <f>IF('Port Bloomberg'!I959="","",'Port Bloomberg'!I959)</f>
        <v/>
      </c>
      <c r="J959" s="7" t="str">
        <f>IF('Port Bloomberg'!J959="","",'Port Bloomberg'!J959)</f>
        <v/>
      </c>
      <c r="K959" s="7" t="str">
        <f>IF('Port Bloomberg'!K959="","",'Port Bloomberg'!K959)</f>
        <v/>
      </c>
      <c r="L959" s="7" t="str">
        <f>IF('Port Bloomberg'!L959="","",'Port Bloomberg'!L959)</f>
        <v/>
      </c>
      <c r="M959" s="7" t="str">
        <f>IF('Port Bloomberg'!M959="","",'Port Bloomberg'!M959)</f>
        <v/>
      </c>
      <c r="N959" s="7" t="str">
        <f>IF('Port Bloomberg'!N959="","",'Port Bloomberg'!N959)</f>
        <v/>
      </c>
      <c r="O959" s="7" t="str">
        <f>IF('Port Bloomberg'!O959="","",'Port Bloomberg'!O959)</f>
        <v/>
      </c>
      <c r="P959" s="7" t="str">
        <f>IF('Port Bloomberg'!P959="","",'Port Bloomberg'!P959)</f>
        <v/>
      </c>
      <c r="Q959" s="7" t="str">
        <f>IF('Port Bloomberg'!Q959="","",'Port Bloomberg'!Q959)</f>
        <v/>
      </c>
      <c r="R959" s="7" t="str">
        <f>IF('Port Bloomberg'!R959="","",'Port Bloomberg'!R959)</f>
        <v/>
      </c>
      <c r="S959" s="5" t="str">
        <f>IF(E959="","",IFERROR(IF(MATCH(E959,[1]Instrumentos!$D:$D,0)&gt;0,1,0),0))</f>
        <v/>
      </c>
      <c r="T959" s="5" t="str">
        <f>IF(E959="","",IFERROR(IF(MATCH(E959,'Lista de excepciones'!$E:$E,0)&gt;0,1,0),0))</f>
        <v/>
      </c>
      <c r="U959" s="6" t="str">
        <f t="shared" si="15"/>
        <v/>
      </c>
    </row>
    <row r="960" spans="1:21" hidden="1" x14ac:dyDescent="0.25">
      <c r="A960" s="7" t="str">
        <f>IF('Port Bloomberg'!A960="","",'Port Bloomberg'!A960)</f>
        <v/>
      </c>
      <c r="B960" s="7" t="str">
        <f>IF('Port Bloomberg'!B960="","",'Port Bloomberg'!B960)</f>
        <v/>
      </c>
      <c r="C960" s="7" t="str">
        <f>IF('Port Bloomberg'!C960="","",'Port Bloomberg'!C960)</f>
        <v/>
      </c>
      <c r="D960" s="7" t="str">
        <f>IF('Port Bloomberg'!D960="","",'Port Bloomberg'!D960)</f>
        <v/>
      </c>
      <c r="E960" s="7" t="str">
        <f>IF('Port Bloomberg'!E960="","",'Port Bloomberg'!E960)</f>
        <v/>
      </c>
      <c r="F960" s="7" t="str">
        <f>IF('Port Bloomberg'!F960="","",'Port Bloomberg'!F960)</f>
        <v/>
      </c>
      <c r="G960" s="7" t="str">
        <f>IF('Port Bloomberg'!G960="","",'Port Bloomberg'!G960)</f>
        <v/>
      </c>
      <c r="H960" s="7" t="str">
        <f>IF('Port Bloomberg'!H960="","",'Port Bloomberg'!H960)</f>
        <v/>
      </c>
      <c r="I960" s="7" t="str">
        <f>IF('Port Bloomberg'!I960="","",'Port Bloomberg'!I960)</f>
        <v/>
      </c>
      <c r="J960" s="7" t="str">
        <f>IF('Port Bloomberg'!J960="","",'Port Bloomberg'!J960)</f>
        <v/>
      </c>
      <c r="K960" s="7" t="str">
        <f>IF('Port Bloomberg'!K960="","",'Port Bloomberg'!K960)</f>
        <v/>
      </c>
      <c r="L960" s="7" t="str">
        <f>IF('Port Bloomberg'!L960="","",'Port Bloomberg'!L960)</f>
        <v/>
      </c>
      <c r="M960" s="7" t="str">
        <f>IF('Port Bloomberg'!M960="","",'Port Bloomberg'!M960)</f>
        <v/>
      </c>
      <c r="N960" s="7" t="str">
        <f>IF('Port Bloomberg'!N960="","",'Port Bloomberg'!N960)</f>
        <v/>
      </c>
      <c r="O960" s="7" t="str">
        <f>IF('Port Bloomberg'!O960="","",'Port Bloomberg'!O960)</f>
        <v/>
      </c>
      <c r="P960" s="7" t="str">
        <f>IF('Port Bloomberg'!P960="","",'Port Bloomberg'!P960)</f>
        <v/>
      </c>
      <c r="Q960" s="7" t="str">
        <f>IF('Port Bloomberg'!Q960="","",'Port Bloomberg'!Q960)</f>
        <v/>
      </c>
      <c r="R960" s="7" t="str">
        <f>IF('Port Bloomberg'!R960="","",'Port Bloomberg'!R960)</f>
        <v/>
      </c>
      <c r="S960" s="5" t="str">
        <f>IF(E960="","",IFERROR(IF(MATCH(E960,[1]Instrumentos!$D:$D,0)&gt;0,1,0),0))</f>
        <v/>
      </c>
      <c r="T960" s="5" t="str">
        <f>IF(E960="","",IFERROR(IF(MATCH(E960,'Lista de excepciones'!$E:$E,0)&gt;0,1,0),0))</f>
        <v/>
      </c>
      <c r="U960" s="6" t="str">
        <f t="shared" si="15"/>
        <v/>
      </c>
    </row>
    <row r="961" spans="1:21" hidden="1" x14ac:dyDescent="0.25">
      <c r="A961" s="7" t="str">
        <f>IF('Port Bloomberg'!A961="","",'Port Bloomberg'!A961)</f>
        <v/>
      </c>
      <c r="B961" s="7" t="str">
        <f>IF('Port Bloomberg'!B961="","",'Port Bloomberg'!B961)</f>
        <v/>
      </c>
      <c r="C961" s="7" t="str">
        <f>IF('Port Bloomberg'!C961="","",'Port Bloomberg'!C961)</f>
        <v/>
      </c>
      <c r="D961" s="7" t="str">
        <f>IF('Port Bloomberg'!D961="","",'Port Bloomberg'!D961)</f>
        <v/>
      </c>
      <c r="E961" s="7" t="str">
        <f>IF('Port Bloomberg'!E961="","",'Port Bloomberg'!E961)</f>
        <v/>
      </c>
      <c r="F961" s="7" t="str">
        <f>IF('Port Bloomberg'!F961="","",'Port Bloomberg'!F961)</f>
        <v/>
      </c>
      <c r="G961" s="7" t="str">
        <f>IF('Port Bloomberg'!G961="","",'Port Bloomberg'!G961)</f>
        <v/>
      </c>
      <c r="H961" s="7" t="str">
        <f>IF('Port Bloomberg'!H961="","",'Port Bloomberg'!H961)</f>
        <v/>
      </c>
      <c r="I961" s="7" t="str">
        <f>IF('Port Bloomberg'!I961="","",'Port Bloomberg'!I961)</f>
        <v/>
      </c>
      <c r="J961" s="7" t="str">
        <f>IF('Port Bloomberg'!J961="","",'Port Bloomberg'!J961)</f>
        <v/>
      </c>
      <c r="K961" s="7" t="str">
        <f>IF('Port Bloomberg'!K961="","",'Port Bloomberg'!K961)</f>
        <v/>
      </c>
      <c r="L961" s="7" t="str">
        <f>IF('Port Bloomberg'!L961="","",'Port Bloomberg'!L961)</f>
        <v/>
      </c>
      <c r="M961" s="7" t="str">
        <f>IF('Port Bloomberg'!M961="","",'Port Bloomberg'!M961)</f>
        <v/>
      </c>
      <c r="N961" s="7" t="str">
        <f>IF('Port Bloomberg'!N961="","",'Port Bloomberg'!N961)</f>
        <v/>
      </c>
      <c r="O961" s="7" t="str">
        <f>IF('Port Bloomberg'!O961="","",'Port Bloomberg'!O961)</f>
        <v/>
      </c>
      <c r="P961" s="7" t="str">
        <f>IF('Port Bloomberg'!P961="","",'Port Bloomberg'!P961)</f>
        <v/>
      </c>
      <c r="Q961" s="7" t="str">
        <f>IF('Port Bloomberg'!Q961="","",'Port Bloomberg'!Q961)</f>
        <v/>
      </c>
      <c r="R961" s="7" t="str">
        <f>IF('Port Bloomberg'!R961="","",'Port Bloomberg'!R961)</f>
        <v/>
      </c>
      <c r="S961" s="5" t="str">
        <f>IF(E961="","",IFERROR(IF(MATCH(E961,[1]Instrumentos!$D:$D,0)&gt;0,1,0),0))</f>
        <v/>
      </c>
      <c r="T961" s="5" t="str">
        <f>IF(E961="","",IFERROR(IF(MATCH(E961,'Lista de excepciones'!$E:$E,0)&gt;0,1,0),0))</f>
        <v/>
      </c>
      <c r="U961" s="6" t="str">
        <f t="shared" si="15"/>
        <v/>
      </c>
    </row>
    <row r="962" spans="1:21" hidden="1" x14ac:dyDescent="0.25">
      <c r="A962" s="7" t="str">
        <f>IF('Port Bloomberg'!A962="","",'Port Bloomberg'!A962)</f>
        <v/>
      </c>
      <c r="B962" s="7" t="str">
        <f>IF('Port Bloomberg'!B962="","",'Port Bloomberg'!B962)</f>
        <v/>
      </c>
      <c r="C962" s="7" t="str">
        <f>IF('Port Bloomberg'!C962="","",'Port Bloomberg'!C962)</f>
        <v/>
      </c>
      <c r="D962" s="7" t="str">
        <f>IF('Port Bloomberg'!D962="","",'Port Bloomberg'!D962)</f>
        <v/>
      </c>
      <c r="E962" s="7" t="str">
        <f>IF('Port Bloomberg'!E962="","",'Port Bloomberg'!E962)</f>
        <v/>
      </c>
      <c r="F962" s="7" t="str">
        <f>IF('Port Bloomberg'!F962="","",'Port Bloomberg'!F962)</f>
        <v/>
      </c>
      <c r="G962" s="7" t="str">
        <f>IF('Port Bloomberg'!G962="","",'Port Bloomberg'!G962)</f>
        <v/>
      </c>
      <c r="H962" s="7" t="str">
        <f>IF('Port Bloomberg'!H962="","",'Port Bloomberg'!H962)</f>
        <v/>
      </c>
      <c r="I962" s="7" t="str">
        <f>IF('Port Bloomberg'!I962="","",'Port Bloomberg'!I962)</f>
        <v/>
      </c>
      <c r="J962" s="7" t="str">
        <f>IF('Port Bloomberg'!J962="","",'Port Bloomberg'!J962)</f>
        <v/>
      </c>
      <c r="K962" s="7" t="str">
        <f>IF('Port Bloomberg'!K962="","",'Port Bloomberg'!K962)</f>
        <v/>
      </c>
      <c r="L962" s="7" t="str">
        <f>IF('Port Bloomberg'!L962="","",'Port Bloomberg'!L962)</f>
        <v/>
      </c>
      <c r="M962" s="7" t="str">
        <f>IF('Port Bloomberg'!M962="","",'Port Bloomberg'!M962)</f>
        <v/>
      </c>
      <c r="N962" s="7" t="str">
        <f>IF('Port Bloomberg'!N962="","",'Port Bloomberg'!N962)</f>
        <v/>
      </c>
      <c r="O962" s="7" t="str">
        <f>IF('Port Bloomberg'!O962="","",'Port Bloomberg'!O962)</f>
        <v/>
      </c>
      <c r="P962" s="7" t="str">
        <f>IF('Port Bloomberg'!P962="","",'Port Bloomberg'!P962)</f>
        <v/>
      </c>
      <c r="Q962" s="7" t="str">
        <f>IF('Port Bloomberg'!Q962="","",'Port Bloomberg'!Q962)</f>
        <v/>
      </c>
      <c r="R962" s="7" t="str">
        <f>IF('Port Bloomberg'!R962="","",'Port Bloomberg'!R962)</f>
        <v/>
      </c>
      <c r="S962" s="5" t="str">
        <f>IF(E962="","",IFERROR(IF(MATCH(E962,[1]Instrumentos!$D:$D,0)&gt;0,1,0),0))</f>
        <v/>
      </c>
      <c r="T962" s="5" t="str">
        <f>IF(E962="","",IFERROR(IF(MATCH(E962,'Lista de excepciones'!$E:$E,0)&gt;0,1,0),0))</f>
        <v/>
      </c>
      <c r="U962" s="6" t="str">
        <f t="shared" si="15"/>
        <v/>
      </c>
    </row>
    <row r="963" spans="1:21" hidden="1" x14ac:dyDescent="0.25">
      <c r="A963" s="7" t="str">
        <f>IF('Port Bloomberg'!A963="","",'Port Bloomberg'!A963)</f>
        <v/>
      </c>
      <c r="B963" s="7" t="str">
        <f>IF('Port Bloomberg'!B963="","",'Port Bloomberg'!B963)</f>
        <v/>
      </c>
      <c r="C963" s="7" t="str">
        <f>IF('Port Bloomberg'!C963="","",'Port Bloomberg'!C963)</f>
        <v/>
      </c>
      <c r="D963" s="7" t="str">
        <f>IF('Port Bloomberg'!D963="","",'Port Bloomberg'!D963)</f>
        <v/>
      </c>
      <c r="E963" s="7" t="str">
        <f>IF('Port Bloomberg'!E963="","",'Port Bloomberg'!E963)</f>
        <v/>
      </c>
      <c r="F963" s="7" t="str">
        <f>IF('Port Bloomberg'!F963="","",'Port Bloomberg'!F963)</f>
        <v/>
      </c>
      <c r="G963" s="7" t="str">
        <f>IF('Port Bloomberg'!G963="","",'Port Bloomberg'!G963)</f>
        <v/>
      </c>
      <c r="H963" s="7" t="str">
        <f>IF('Port Bloomberg'!H963="","",'Port Bloomberg'!H963)</f>
        <v/>
      </c>
      <c r="I963" s="7" t="str">
        <f>IF('Port Bloomberg'!I963="","",'Port Bloomberg'!I963)</f>
        <v/>
      </c>
      <c r="J963" s="7" t="str">
        <f>IF('Port Bloomberg'!J963="","",'Port Bloomberg'!J963)</f>
        <v/>
      </c>
      <c r="K963" s="7" t="str">
        <f>IF('Port Bloomberg'!K963="","",'Port Bloomberg'!K963)</f>
        <v/>
      </c>
      <c r="L963" s="7" t="str">
        <f>IF('Port Bloomberg'!L963="","",'Port Bloomberg'!L963)</f>
        <v/>
      </c>
      <c r="M963" s="7" t="str">
        <f>IF('Port Bloomberg'!M963="","",'Port Bloomberg'!M963)</f>
        <v/>
      </c>
      <c r="N963" s="7" t="str">
        <f>IF('Port Bloomberg'!N963="","",'Port Bloomberg'!N963)</f>
        <v/>
      </c>
      <c r="O963" s="7" t="str">
        <f>IF('Port Bloomberg'!O963="","",'Port Bloomberg'!O963)</f>
        <v/>
      </c>
      <c r="P963" s="7" t="str">
        <f>IF('Port Bloomberg'!P963="","",'Port Bloomberg'!P963)</f>
        <v/>
      </c>
      <c r="Q963" s="7" t="str">
        <f>IF('Port Bloomberg'!Q963="","",'Port Bloomberg'!Q963)</f>
        <v/>
      </c>
      <c r="R963" s="7" t="str">
        <f>IF('Port Bloomberg'!R963="","",'Port Bloomberg'!R963)</f>
        <v/>
      </c>
      <c r="S963" s="5" t="str">
        <f>IF(E963="","",IFERROR(IF(MATCH(E963,[1]Instrumentos!$D:$D,0)&gt;0,1,0),0))</f>
        <v/>
      </c>
      <c r="T963" s="5" t="str">
        <f>IF(E963="","",IFERROR(IF(MATCH(E963,'Lista de excepciones'!$E:$E,0)&gt;0,1,0),0))</f>
        <v/>
      </c>
      <c r="U963" s="6" t="str">
        <f t="shared" ref="U963:U1026" si="16">IF(E963="","",IF(S963+T963=0,"AGREGAR/REVISAR","NO"))</f>
        <v/>
      </c>
    </row>
    <row r="964" spans="1:21" hidden="1" x14ac:dyDescent="0.25">
      <c r="A964" s="7" t="str">
        <f>IF('Port Bloomberg'!A964="","",'Port Bloomberg'!A964)</f>
        <v/>
      </c>
      <c r="B964" s="7" t="str">
        <f>IF('Port Bloomberg'!B964="","",'Port Bloomberg'!B964)</f>
        <v/>
      </c>
      <c r="C964" s="7" t="str">
        <f>IF('Port Bloomberg'!C964="","",'Port Bloomberg'!C964)</f>
        <v/>
      </c>
      <c r="D964" s="7" t="str">
        <f>IF('Port Bloomberg'!D964="","",'Port Bloomberg'!D964)</f>
        <v/>
      </c>
      <c r="E964" s="7" t="str">
        <f>IF('Port Bloomberg'!E964="","",'Port Bloomberg'!E964)</f>
        <v/>
      </c>
      <c r="F964" s="7" t="str">
        <f>IF('Port Bloomberg'!F964="","",'Port Bloomberg'!F964)</f>
        <v/>
      </c>
      <c r="G964" s="7" t="str">
        <f>IF('Port Bloomberg'!G964="","",'Port Bloomberg'!G964)</f>
        <v/>
      </c>
      <c r="H964" s="7" t="str">
        <f>IF('Port Bloomberg'!H964="","",'Port Bloomberg'!H964)</f>
        <v/>
      </c>
      <c r="I964" s="7" t="str">
        <f>IF('Port Bloomberg'!I964="","",'Port Bloomberg'!I964)</f>
        <v/>
      </c>
      <c r="J964" s="7" t="str">
        <f>IF('Port Bloomberg'!J964="","",'Port Bloomberg'!J964)</f>
        <v/>
      </c>
      <c r="K964" s="7" t="str">
        <f>IF('Port Bloomberg'!K964="","",'Port Bloomberg'!K964)</f>
        <v/>
      </c>
      <c r="L964" s="7" t="str">
        <f>IF('Port Bloomberg'!L964="","",'Port Bloomberg'!L964)</f>
        <v/>
      </c>
      <c r="M964" s="7" t="str">
        <f>IF('Port Bloomberg'!M964="","",'Port Bloomberg'!M964)</f>
        <v/>
      </c>
      <c r="N964" s="7" t="str">
        <f>IF('Port Bloomberg'!N964="","",'Port Bloomberg'!N964)</f>
        <v/>
      </c>
      <c r="O964" s="7" t="str">
        <f>IF('Port Bloomberg'!O964="","",'Port Bloomberg'!O964)</f>
        <v/>
      </c>
      <c r="P964" s="7" t="str">
        <f>IF('Port Bloomberg'!P964="","",'Port Bloomberg'!P964)</f>
        <v/>
      </c>
      <c r="Q964" s="7" t="str">
        <f>IF('Port Bloomberg'!Q964="","",'Port Bloomberg'!Q964)</f>
        <v/>
      </c>
      <c r="R964" s="7" t="str">
        <f>IF('Port Bloomberg'!R964="","",'Port Bloomberg'!R964)</f>
        <v/>
      </c>
      <c r="S964" s="5" t="str">
        <f>IF(E964="","",IFERROR(IF(MATCH(E964,[1]Instrumentos!$D:$D,0)&gt;0,1,0),0))</f>
        <v/>
      </c>
      <c r="T964" s="5" t="str">
        <f>IF(E964="","",IFERROR(IF(MATCH(E964,'Lista de excepciones'!$E:$E,0)&gt;0,1,0),0))</f>
        <v/>
      </c>
      <c r="U964" s="6" t="str">
        <f t="shared" si="16"/>
        <v/>
      </c>
    </row>
    <row r="965" spans="1:21" hidden="1" x14ac:dyDescent="0.25">
      <c r="A965" s="7" t="str">
        <f>IF('Port Bloomberg'!A965="","",'Port Bloomberg'!A965)</f>
        <v/>
      </c>
      <c r="B965" s="7" t="str">
        <f>IF('Port Bloomberg'!B965="","",'Port Bloomberg'!B965)</f>
        <v/>
      </c>
      <c r="C965" s="7" t="str">
        <f>IF('Port Bloomberg'!C965="","",'Port Bloomberg'!C965)</f>
        <v/>
      </c>
      <c r="D965" s="7" t="str">
        <f>IF('Port Bloomberg'!D965="","",'Port Bloomberg'!D965)</f>
        <v/>
      </c>
      <c r="E965" s="7" t="str">
        <f>IF('Port Bloomberg'!E965="","",'Port Bloomberg'!E965)</f>
        <v/>
      </c>
      <c r="F965" s="7" t="str">
        <f>IF('Port Bloomberg'!F965="","",'Port Bloomberg'!F965)</f>
        <v/>
      </c>
      <c r="G965" s="7" t="str">
        <f>IF('Port Bloomberg'!G965="","",'Port Bloomberg'!G965)</f>
        <v/>
      </c>
      <c r="H965" s="7" t="str">
        <f>IF('Port Bloomberg'!H965="","",'Port Bloomberg'!H965)</f>
        <v/>
      </c>
      <c r="I965" s="7" t="str">
        <f>IF('Port Bloomberg'!I965="","",'Port Bloomberg'!I965)</f>
        <v/>
      </c>
      <c r="J965" s="7" t="str">
        <f>IF('Port Bloomberg'!J965="","",'Port Bloomberg'!J965)</f>
        <v/>
      </c>
      <c r="K965" s="7" t="str">
        <f>IF('Port Bloomberg'!K965="","",'Port Bloomberg'!K965)</f>
        <v/>
      </c>
      <c r="L965" s="7" t="str">
        <f>IF('Port Bloomberg'!L965="","",'Port Bloomberg'!L965)</f>
        <v/>
      </c>
      <c r="M965" s="7" t="str">
        <f>IF('Port Bloomberg'!M965="","",'Port Bloomberg'!M965)</f>
        <v/>
      </c>
      <c r="N965" s="7" t="str">
        <f>IF('Port Bloomberg'!N965="","",'Port Bloomberg'!N965)</f>
        <v/>
      </c>
      <c r="O965" s="7" t="str">
        <f>IF('Port Bloomberg'!O965="","",'Port Bloomberg'!O965)</f>
        <v/>
      </c>
      <c r="P965" s="7" t="str">
        <f>IF('Port Bloomberg'!P965="","",'Port Bloomberg'!P965)</f>
        <v/>
      </c>
      <c r="Q965" s="7" t="str">
        <f>IF('Port Bloomberg'!Q965="","",'Port Bloomberg'!Q965)</f>
        <v/>
      </c>
      <c r="R965" s="7" t="str">
        <f>IF('Port Bloomberg'!R965="","",'Port Bloomberg'!R965)</f>
        <v/>
      </c>
      <c r="S965" s="5" t="str">
        <f>IF(E965="","",IFERROR(IF(MATCH(E965,[1]Instrumentos!$D:$D,0)&gt;0,1,0),0))</f>
        <v/>
      </c>
      <c r="T965" s="5" t="str">
        <f>IF(E965="","",IFERROR(IF(MATCH(E965,'Lista de excepciones'!$E:$E,0)&gt;0,1,0),0))</f>
        <v/>
      </c>
      <c r="U965" s="6" t="str">
        <f t="shared" si="16"/>
        <v/>
      </c>
    </row>
    <row r="966" spans="1:21" hidden="1" x14ac:dyDescent="0.25">
      <c r="A966" s="7" t="str">
        <f>IF('Port Bloomberg'!A966="","",'Port Bloomberg'!A966)</f>
        <v/>
      </c>
      <c r="B966" s="7" t="str">
        <f>IF('Port Bloomberg'!B966="","",'Port Bloomberg'!B966)</f>
        <v/>
      </c>
      <c r="C966" s="7" t="str">
        <f>IF('Port Bloomberg'!C966="","",'Port Bloomberg'!C966)</f>
        <v/>
      </c>
      <c r="D966" s="7" t="str">
        <f>IF('Port Bloomberg'!D966="","",'Port Bloomberg'!D966)</f>
        <v/>
      </c>
      <c r="E966" s="7" t="str">
        <f>IF('Port Bloomberg'!E966="","",'Port Bloomberg'!E966)</f>
        <v/>
      </c>
      <c r="F966" s="7" t="str">
        <f>IF('Port Bloomberg'!F966="","",'Port Bloomberg'!F966)</f>
        <v/>
      </c>
      <c r="G966" s="7" t="str">
        <f>IF('Port Bloomberg'!G966="","",'Port Bloomberg'!G966)</f>
        <v/>
      </c>
      <c r="H966" s="7" t="str">
        <f>IF('Port Bloomberg'!H966="","",'Port Bloomberg'!H966)</f>
        <v/>
      </c>
      <c r="I966" s="7" t="str">
        <f>IF('Port Bloomberg'!I966="","",'Port Bloomberg'!I966)</f>
        <v/>
      </c>
      <c r="J966" s="7" t="str">
        <f>IF('Port Bloomberg'!J966="","",'Port Bloomberg'!J966)</f>
        <v/>
      </c>
      <c r="K966" s="7" t="str">
        <f>IF('Port Bloomberg'!K966="","",'Port Bloomberg'!K966)</f>
        <v/>
      </c>
      <c r="L966" s="7" t="str">
        <f>IF('Port Bloomberg'!L966="","",'Port Bloomberg'!L966)</f>
        <v/>
      </c>
      <c r="M966" s="7" t="str">
        <f>IF('Port Bloomberg'!M966="","",'Port Bloomberg'!M966)</f>
        <v/>
      </c>
      <c r="N966" s="7" t="str">
        <f>IF('Port Bloomberg'!N966="","",'Port Bloomberg'!N966)</f>
        <v/>
      </c>
      <c r="O966" s="7" t="str">
        <f>IF('Port Bloomberg'!O966="","",'Port Bloomberg'!O966)</f>
        <v/>
      </c>
      <c r="P966" s="7" t="str">
        <f>IF('Port Bloomberg'!P966="","",'Port Bloomberg'!P966)</f>
        <v/>
      </c>
      <c r="Q966" s="7" t="str">
        <f>IF('Port Bloomberg'!Q966="","",'Port Bloomberg'!Q966)</f>
        <v/>
      </c>
      <c r="R966" s="7" t="str">
        <f>IF('Port Bloomberg'!R966="","",'Port Bloomberg'!R966)</f>
        <v/>
      </c>
      <c r="S966" s="5" t="str">
        <f>IF(E966="","",IFERROR(IF(MATCH(E966,[1]Instrumentos!$D:$D,0)&gt;0,1,0),0))</f>
        <v/>
      </c>
      <c r="T966" s="5" t="str">
        <f>IF(E966="","",IFERROR(IF(MATCH(E966,'Lista de excepciones'!$E:$E,0)&gt;0,1,0),0))</f>
        <v/>
      </c>
      <c r="U966" s="6" t="str">
        <f t="shared" si="16"/>
        <v/>
      </c>
    </row>
    <row r="967" spans="1:21" hidden="1" x14ac:dyDescent="0.25">
      <c r="A967" s="7" t="str">
        <f>IF('Port Bloomberg'!A967="","",'Port Bloomberg'!A967)</f>
        <v/>
      </c>
      <c r="B967" s="7" t="str">
        <f>IF('Port Bloomberg'!B967="","",'Port Bloomberg'!B967)</f>
        <v/>
      </c>
      <c r="C967" s="7" t="str">
        <f>IF('Port Bloomberg'!C967="","",'Port Bloomberg'!C967)</f>
        <v/>
      </c>
      <c r="D967" s="7" t="str">
        <f>IF('Port Bloomberg'!D967="","",'Port Bloomberg'!D967)</f>
        <v/>
      </c>
      <c r="E967" s="7" t="str">
        <f>IF('Port Bloomberg'!E967="","",'Port Bloomberg'!E967)</f>
        <v/>
      </c>
      <c r="F967" s="7" t="str">
        <f>IF('Port Bloomberg'!F967="","",'Port Bloomberg'!F967)</f>
        <v/>
      </c>
      <c r="G967" s="7" t="str">
        <f>IF('Port Bloomberg'!G967="","",'Port Bloomberg'!G967)</f>
        <v/>
      </c>
      <c r="H967" s="7" t="str">
        <f>IF('Port Bloomberg'!H967="","",'Port Bloomberg'!H967)</f>
        <v/>
      </c>
      <c r="I967" s="7" t="str">
        <f>IF('Port Bloomberg'!I967="","",'Port Bloomberg'!I967)</f>
        <v/>
      </c>
      <c r="J967" s="7" t="str">
        <f>IF('Port Bloomberg'!J967="","",'Port Bloomberg'!J967)</f>
        <v/>
      </c>
      <c r="K967" s="7" t="str">
        <f>IF('Port Bloomberg'!K967="","",'Port Bloomberg'!K967)</f>
        <v/>
      </c>
      <c r="L967" s="7" t="str">
        <f>IF('Port Bloomberg'!L967="","",'Port Bloomberg'!L967)</f>
        <v/>
      </c>
      <c r="M967" s="7" t="str">
        <f>IF('Port Bloomberg'!M967="","",'Port Bloomberg'!M967)</f>
        <v/>
      </c>
      <c r="N967" s="7" t="str">
        <f>IF('Port Bloomberg'!N967="","",'Port Bloomberg'!N967)</f>
        <v/>
      </c>
      <c r="O967" s="7" t="str">
        <f>IF('Port Bloomberg'!O967="","",'Port Bloomberg'!O967)</f>
        <v/>
      </c>
      <c r="P967" s="7" t="str">
        <f>IF('Port Bloomberg'!P967="","",'Port Bloomberg'!P967)</f>
        <v/>
      </c>
      <c r="Q967" s="7" t="str">
        <f>IF('Port Bloomberg'!Q967="","",'Port Bloomberg'!Q967)</f>
        <v/>
      </c>
      <c r="R967" s="7" t="str">
        <f>IF('Port Bloomberg'!R967="","",'Port Bloomberg'!R967)</f>
        <v/>
      </c>
      <c r="S967" s="5" t="str">
        <f>IF(E967="","",IFERROR(IF(MATCH(E967,[1]Instrumentos!$D:$D,0)&gt;0,1,0),0))</f>
        <v/>
      </c>
      <c r="T967" s="5" t="str">
        <f>IF(E967="","",IFERROR(IF(MATCH(E967,'Lista de excepciones'!$E:$E,0)&gt;0,1,0),0))</f>
        <v/>
      </c>
      <c r="U967" s="6" t="str">
        <f t="shared" si="16"/>
        <v/>
      </c>
    </row>
    <row r="968" spans="1:21" hidden="1" x14ac:dyDescent="0.25">
      <c r="A968" s="7" t="str">
        <f>IF('Port Bloomberg'!A968="","",'Port Bloomberg'!A968)</f>
        <v/>
      </c>
      <c r="B968" s="7" t="str">
        <f>IF('Port Bloomberg'!B968="","",'Port Bloomberg'!B968)</f>
        <v/>
      </c>
      <c r="C968" s="7" t="str">
        <f>IF('Port Bloomberg'!C968="","",'Port Bloomberg'!C968)</f>
        <v/>
      </c>
      <c r="D968" s="7" t="str">
        <f>IF('Port Bloomberg'!D968="","",'Port Bloomberg'!D968)</f>
        <v/>
      </c>
      <c r="E968" s="7" t="str">
        <f>IF('Port Bloomberg'!E968="","",'Port Bloomberg'!E968)</f>
        <v/>
      </c>
      <c r="F968" s="7" t="str">
        <f>IF('Port Bloomberg'!F968="","",'Port Bloomberg'!F968)</f>
        <v/>
      </c>
      <c r="G968" s="7" t="str">
        <f>IF('Port Bloomberg'!G968="","",'Port Bloomberg'!G968)</f>
        <v/>
      </c>
      <c r="H968" s="7" t="str">
        <f>IF('Port Bloomberg'!H968="","",'Port Bloomberg'!H968)</f>
        <v/>
      </c>
      <c r="I968" s="7" t="str">
        <f>IF('Port Bloomberg'!I968="","",'Port Bloomberg'!I968)</f>
        <v/>
      </c>
      <c r="J968" s="7" t="str">
        <f>IF('Port Bloomberg'!J968="","",'Port Bloomberg'!J968)</f>
        <v/>
      </c>
      <c r="K968" s="7" t="str">
        <f>IF('Port Bloomberg'!K968="","",'Port Bloomberg'!K968)</f>
        <v/>
      </c>
      <c r="L968" s="7" t="str">
        <f>IF('Port Bloomberg'!L968="","",'Port Bloomberg'!L968)</f>
        <v/>
      </c>
      <c r="M968" s="7" t="str">
        <f>IF('Port Bloomberg'!M968="","",'Port Bloomberg'!M968)</f>
        <v/>
      </c>
      <c r="N968" s="7" t="str">
        <f>IF('Port Bloomberg'!N968="","",'Port Bloomberg'!N968)</f>
        <v/>
      </c>
      <c r="O968" s="7" t="str">
        <f>IF('Port Bloomberg'!O968="","",'Port Bloomberg'!O968)</f>
        <v/>
      </c>
      <c r="P968" s="7" t="str">
        <f>IF('Port Bloomberg'!P968="","",'Port Bloomberg'!P968)</f>
        <v/>
      </c>
      <c r="Q968" s="7" t="str">
        <f>IF('Port Bloomberg'!Q968="","",'Port Bloomberg'!Q968)</f>
        <v/>
      </c>
      <c r="R968" s="7" t="str">
        <f>IF('Port Bloomberg'!R968="","",'Port Bloomberg'!R968)</f>
        <v/>
      </c>
      <c r="S968" s="5" t="str">
        <f>IF(E968="","",IFERROR(IF(MATCH(E968,[1]Instrumentos!$D:$D,0)&gt;0,1,0),0))</f>
        <v/>
      </c>
      <c r="T968" s="5" t="str">
        <f>IF(E968="","",IFERROR(IF(MATCH(E968,'Lista de excepciones'!$E:$E,0)&gt;0,1,0),0))</f>
        <v/>
      </c>
      <c r="U968" s="6" t="str">
        <f t="shared" si="16"/>
        <v/>
      </c>
    </row>
    <row r="969" spans="1:21" hidden="1" x14ac:dyDescent="0.25">
      <c r="A969" s="7" t="str">
        <f>IF('Port Bloomberg'!A969="","",'Port Bloomberg'!A969)</f>
        <v/>
      </c>
      <c r="B969" s="7" t="str">
        <f>IF('Port Bloomberg'!B969="","",'Port Bloomberg'!B969)</f>
        <v/>
      </c>
      <c r="C969" s="7" t="str">
        <f>IF('Port Bloomberg'!C969="","",'Port Bloomberg'!C969)</f>
        <v/>
      </c>
      <c r="D969" s="7" t="str">
        <f>IF('Port Bloomberg'!D969="","",'Port Bloomberg'!D969)</f>
        <v/>
      </c>
      <c r="E969" s="7" t="str">
        <f>IF('Port Bloomberg'!E969="","",'Port Bloomberg'!E969)</f>
        <v/>
      </c>
      <c r="F969" s="7" t="str">
        <f>IF('Port Bloomberg'!F969="","",'Port Bloomberg'!F969)</f>
        <v/>
      </c>
      <c r="G969" s="7" t="str">
        <f>IF('Port Bloomberg'!G969="","",'Port Bloomberg'!G969)</f>
        <v/>
      </c>
      <c r="H969" s="7" t="str">
        <f>IF('Port Bloomberg'!H969="","",'Port Bloomberg'!H969)</f>
        <v/>
      </c>
      <c r="I969" s="7" t="str">
        <f>IF('Port Bloomberg'!I969="","",'Port Bloomberg'!I969)</f>
        <v/>
      </c>
      <c r="J969" s="7" t="str">
        <f>IF('Port Bloomberg'!J969="","",'Port Bloomberg'!J969)</f>
        <v/>
      </c>
      <c r="K969" s="7" t="str">
        <f>IF('Port Bloomberg'!K969="","",'Port Bloomberg'!K969)</f>
        <v/>
      </c>
      <c r="L969" s="7" t="str">
        <f>IF('Port Bloomberg'!L969="","",'Port Bloomberg'!L969)</f>
        <v/>
      </c>
      <c r="M969" s="7" t="str">
        <f>IF('Port Bloomberg'!M969="","",'Port Bloomberg'!M969)</f>
        <v/>
      </c>
      <c r="N969" s="7" t="str">
        <f>IF('Port Bloomberg'!N969="","",'Port Bloomberg'!N969)</f>
        <v/>
      </c>
      <c r="O969" s="7" t="str">
        <f>IF('Port Bloomberg'!O969="","",'Port Bloomberg'!O969)</f>
        <v/>
      </c>
      <c r="P969" s="7" t="str">
        <f>IF('Port Bloomberg'!P969="","",'Port Bloomberg'!P969)</f>
        <v/>
      </c>
      <c r="Q969" s="7" t="str">
        <f>IF('Port Bloomberg'!Q969="","",'Port Bloomberg'!Q969)</f>
        <v/>
      </c>
      <c r="R969" s="7" t="str">
        <f>IF('Port Bloomberg'!R969="","",'Port Bloomberg'!R969)</f>
        <v/>
      </c>
      <c r="S969" s="5" t="str">
        <f>IF(E969="","",IFERROR(IF(MATCH(E969,[1]Instrumentos!$D:$D,0)&gt;0,1,0),0))</f>
        <v/>
      </c>
      <c r="T969" s="5" t="str">
        <f>IF(E969="","",IFERROR(IF(MATCH(E969,'Lista de excepciones'!$E:$E,0)&gt;0,1,0),0))</f>
        <v/>
      </c>
      <c r="U969" s="6" t="str">
        <f t="shared" si="16"/>
        <v/>
      </c>
    </row>
    <row r="970" spans="1:21" hidden="1" x14ac:dyDescent="0.25">
      <c r="A970" s="7" t="str">
        <f>IF('Port Bloomberg'!A970="","",'Port Bloomberg'!A970)</f>
        <v/>
      </c>
      <c r="B970" s="7" t="str">
        <f>IF('Port Bloomberg'!B970="","",'Port Bloomberg'!B970)</f>
        <v/>
      </c>
      <c r="C970" s="7" t="str">
        <f>IF('Port Bloomberg'!C970="","",'Port Bloomberg'!C970)</f>
        <v/>
      </c>
      <c r="D970" s="7" t="str">
        <f>IF('Port Bloomberg'!D970="","",'Port Bloomberg'!D970)</f>
        <v/>
      </c>
      <c r="E970" s="7" t="str">
        <f>IF('Port Bloomberg'!E970="","",'Port Bloomberg'!E970)</f>
        <v/>
      </c>
      <c r="F970" s="7" t="str">
        <f>IF('Port Bloomberg'!F970="","",'Port Bloomberg'!F970)</f>
        <v/>
      </c>
      <c r="G970" s="7" t="str">
        <f>IF('Port Bloomberg'!G970="","",'Port Bloomberg'!G970)</f>
        <v/>
      </c>
      <c r="H970" s="7" t="str">
        <f>IF('Port Bloomberg'!H970="","",'Port Bloomberg'!H970)</f>
        <v/>
      </c>
      <c r="I970" s="7" t="str">
        <f>IF('Port Bloomberg'!I970="","",'Port Bloomberg'!I970)</f>
        <v/>
      </c>
      <c r="J970" s="7" t="str">
        <f>IF('Port Bloomberg'!J970="","",'Port Bloomberg'!J970)</f>
        <v/>
      </c>
      <c r="K970" s="7" t="str">
        <f>IF('Port Bloomberg'!K970="","",'Port Bloomberg'!K970)</f>
        <v/>
      </c>
      <c r="L970" s="7" t="str">
        <f>IF('Port Bloomberg'!L970="","",'Port Bloomberg'!L970)</f>
        <v/>
      </c>
      <c r="M970" s="7" t="str">
        <f>IF('Port Bloomberg'!M970="","",'Port Bloomberg'!M970)</f>
        <v/>
      </c>
      <c r="N970" s="7" t="str">
        <f>IF('Port Bloomberg'!N970="","",'Port Bloomberg'!N970)</f>
        <v/>
      </c>
      <c r="O970" s="7" t="str">
        <f>IF('Port Bloomberg'!O970="","",'Port Bloomberg'!O970)</f>
        <v/>
      </c>
      <c r="P970" s="7" t="str">
        <f>IF('Port Bloomberg'!P970="","",'Port Bloomberg'!P970)</f>
        <v/>
      </c>
      <c r="Q970" s="7" t="str">
        <f>IF('Port Bloomberg'!Q970="","",'Port Bloomberg'!Q970)</f>
        <v/>
      </c>
      <c r="R970" s="7" t="str">
        <f>IF('Port Bloomberg'!R970="","",'Port Bloomberg'!R970)</f>
        <v/>
      </c>
      <c r="S970" s="5" t="str">
        <f>IF(E970="","",IFERROR(IF(MATCH(E970,[1]Instrumentos!$D:$D,0)&gt;0,1,0),0))</f>
        <v/>
      </c>
      <c r="T970" s="5" t="str">
        <f>IF(E970="","",IFERROR(IF(MATCH(E970,'Lista de excepciones'!$E:$E,0)&gt;0,1,0),0))</f>
        <v/>
      </c>
      <c r="U970" s="6" t="str">
        <f t="shared" si="16"/>
        <v/>
      </c>
    </row>
    <row r="971" spans="1:21" hidden="1" x14ac:dyDescent="0.25">
      <c r="A971" s="7" t="str">
        <f>IF('Port Bloomberg'!A971="","",'Port Bloomberg'!A971)</f>
        <v/>
      </c>
      <c r="B971" s="7" t="str">
        <f>IF('Port Bloomberg'!B971="","",'Port Bloomberg'!B971)</f>
        <v/>
      </c>
      <c r="C971" s="7" t="str">
        <f>IF('Port Bloomberg'!C971="","",'Port Bloomberg'!C971)</f>
        <v/>
      </c>
      <c r="D971" s="7" t="str">
        <f>IF('Port Bloomberg'!D971="","",'Port Bloomberg'!D971)</f>
        <v/>
      </c>
      <c r="E971" s="7" t="str">
        <f>IF('Port Bloomberg'!E971="","",'Port Bloomberg'!E971)</f>
        <v/>
      </c>
      <c r="F971" s="7" t="str">
        <f>IF('Port Bloomberg'!F971="","",'Port Bloomberg'!F971)</f>
        <v/>
      </c>
      <c r="G971" s="7" t="str">
        <f>IF('Port Bloomberg'!G971="","",'Port Bloomberg'!G971)</f>
        <v/>
      </c>
      <c r="H971" s="7" t="str">
        <f>IF('Port Bloomberg'!H971="","",'Port Bloomberg'!H971)</f>
        <v/>
      </c>
      <c r="I971" s="7" t="str">
        <f>IF('Port Bloomberg'!I971="","",'Port Bloomberg'!I971)</f>
        <v/>
      </c>
      <c r="J971" s="7" t="str">
        <f>IF('Port Bloomberg'!J971="","",'Port Bloomberg'!J971)</f>
        <v/>
      </c>
      <c r="K971" s="7" t="str">
        <f>IF('Port Bloomberg'!K971="","",'Port Bloomberg'!K971)</f>
        <v/>
      </c>
      <c r="L971" s="7" t="str">
        <f>IF('Port Bloomberg'!L971="","",'Port Bloomberg'!L971)</f>
        <v/>
      </c>
      <c r="M971" s="7" t="str">
        <f>IF('Port Bloomberg'!M971="","",'Port Bloomberg'!M971)</f>
        <v/>
      </c>
      <c r="N971" s="7" t="str">
        <f>IF('Port Bloomberg'!N971="","",'Port Bloomberg'!N971)</f>
        <v/>
      </c>
      <c r="O971" s="7" t="str">
        <f>IF('Port Bloomberg'!O971="","",'Port Bloomberg'!O971)</f>
        <v/>
      </c>
      <c r="P971" s="7" t="str">
        <f>IF('Port Bloomberg'!P971="","",'Port Bloomberg'!P971)</f>
        <v/>
      </c>
      <c r="Q971" s="7" t="str">
        <f>IF('Port Bloomberg'!Q971="","",'Port Bloomberg'!Q971)</f>
        <v/>
      </c>
      <c r="R971" s="7" t="str">
        <f>IF('Port Bloomberg'!R971="","",'Port Bloomberg'!R971)</f>
        <v/>
      </c>
      <c r="S971" s="5" t="str">
        <f>IF(E971="","",IFERROR(IF(MATCH(E971,[1]Instrumentos!$D:$D,0)&gt;0,1,0),0))</f>
        <v/>
      </c>
      <c r="T971" s="5" t="str">
        <f>IF(E971="","",IFERROR(IF(MATCH(E971,'Lista de excepciones'!$E:$E,0)&gt;0,1,0),0))</f>
        <v/>
      </c>
      <c r="U971" s="6" t="str">
        <f t="shared" si="16"/>
        <v/>
      </c>
    </row>
    <row r="972" spans="1:21" hidden="1" x14ac:dyDescent="0.25">
      <c r="A972" s="7" t="str">
        <f>IF('Port Bloomberg'!A972="","",'Port Bloomberg'!A972)</f>
        <v/>
      </c>
      <c r="B972" s="7" t="str">
        <f>IF('Port Bloomberg'!B972="","",'Port Bloomberg'!B972)</f>
        <v/>
      </c>
      <c r="C972" s="7" t="str">
        <f>IF('Port Bloomberg'!C972="","",'Port Bloomberg'!C972)</f>
        <v/>
      </c>
      <c r="D972" s="7" t="str">
        <f>IF('Port Bloomberg'!D972="","",'Port Bloomberg'!D972)</f>
        <v/>
      </c>
      <c r="E972" s="7" t="str">
        <f>IF('Port Bloomberg'!E972="","",'Port Bloomberg'!E972)</f>
        <v/>
      </c>
      <c r="F972" s="7" t="str">
        <f>IF('Port Bloomberg'!F972="","",'Port Bloomberg'!F972)</f>
        <v/>
      </c>
      <c r="G972" s="7" t="str">
        <f>IF('Port Bloomberg'!G972="","",'Port Bloomberg'!G972)</f>
        <v/>
      </c>
      <c r="H972" s="7" t="str">
        <f>IF('Port Bloomberg'!H972="","",'Port Bloomberg'!H972)</f>
        <v/>
      </c>
      <c r="I972" s="7" t="str">
        <f>IF('Port Bloomberg'!I972="","",'Port Bloomberg'!I972)</f>
        <v/>
      </c>
      <c r="J972" s="7" t="str">
        <f>IF('Port Bloomberg'!J972="","",'Port Bloomberg'!J972)</f>
        <v/>
      </c>
      <c r="K972" s="7" t="str">
        <f>IF('Port Bloomberg'!K972="","",'Port Bloomberg'!K972)</f>
        <v/>
      </c>
      <c r="L972" s="7" t="str">
        <f>IF('Port Bloomberg'!L972="","",'Port Bloomberg'!L972)</f>
        <v/>
      </c>
      <c r="M972" s="7" t="str">
        <f>IF('Port Bloomberg'!M972="","",'Port Bloomberg'!M972)</f>
        <v/>
      </c>
      <c r="N972" s="7" t="str">
        <f>IF('Port Bloomberg'!N972="","",'Port Bloomberg'!N972)</f>
        <v/>
      </c>
      <c r="O972" s="7" t="str">
        <f>IF('Port Bloomberg'!O972="","",'Port Bloomberg'!O972)</f>
        <v/>
      </c>
      <c r="P972" s="7" t="str">
        <f>IF('Port Bloomberg'!P972="","",'Port Bloomberg'!P972)</f>
        <v/>
      </c>
      <c r="Q972" s="7" t="str">
        <f>IF('Port Bloomberg'!Q972="","",'Port Bloomberg'!Q972)</f>
        <v/>
      </c>
      <c r="R972" s="7" t="str">
        <f>IF('Port Bloomberg'!R972="","",'Port Bloomberg'!R972)</f>
        <v/>
      </c>
      <c r="S972" s="5" t="str">
        <f>IF(E972="","",IFERROR(IF(MATCH(E972,[1]Instrumentos!$D:$D,0)&gt;0,1,0),0))</f>
        <v/>
      </c>
      <c r="T972" s="5" t="str">
        <f>IF(E972="","",IFERROR(IF(MATCH(E972,'Lista de excepciones'!$E:$E,0)&gt;0,1,0),0))</f>
        <v/>
      </c>
      <c r="U972" s="6" t="str">
        <f t="shared" si="16"/>
        <v/>
      </c>
    </row>
    <row r="973" spans="1:21" hidden="1" x14ac:dyDescent="0.25">
      <c r="A973" s="7" t="str">
        <f>IF('Port Bloomberg'!A973="","",'Port Bloomberg'!A973)</f>
        <v/>
      </c>
      <c r="B973" s="7" t="str">
        <f>IF('Port Bloomberg'!B973="","",'Port Bloomberg'!B973)</f>
        <v/>
      </c>
      <c r="C973" s="7" t="str">
        <f>IF('Port Bloomberg'!C973="","",'Port Bloomberg'!C973)</f>
        <v/>
      </c>
      <c r="D973" s="7" t="str">
        <f>IF('Port Bloomberg'!D973="","",'Port Bloomberg'!D973)</f>
        <v/>
      </c>
      <c r="E973" s="7" t="str">
        <f>IF('Port Bloomberg'!E973="","",'Port Bloomberg'!E973)</f>
        <v/>
      </c>
      <c r="F973" s="7" t="str">
        <f>IF('Port Bloomberg'!F973="","",'Port Bloomberg'!F973)</f>
        <v/>
      </c>
      <c r="G973" s="7" t="str">
        <f>IF('Port Bloomberg'!G973="","",'Port Bloomberg'!G973)</f>
        <v/>
      </c>
      <c r="H973" s="7" t="str">
        <f>IF('Port Bloomberg'!H973="","",'Port Bloomberg'!H973)</f>
        <v/>
      </c>
      <c r="I973" s="7" t="str">
        <f>IF('Port Bloomberg'!I973="","",'Port Bloomberg'!I973)</f>
        <v/>
      </c>
      <c r="J973" s="7" t="str">
        <f>IF('Port Bloomberg'!J973="","",'Port Bloomberg'!J973)</f>
        <v/>
      </c>
      <c r="K973" s="7" t="str">
        <f>IF('Port Bloomberg'!K973="","",'Port Bloomberg'!K973)</f>
        <v/>
      </c>
      <c r="L973" s="7" t="str">
        <f>IF('Port Bloomberg'!L973="","",'Port Bloomberg'!L973)</f>
        <v/>
      </c>
      <c r="M973" s="7" t="str">
        <f>IF('Port Bloomberg'!M973="","",'Port Bloomberg'!M973)</f>
        <v/>
      </c>
      <c r="N973" s="7" t="str">
        <f>IF('Port Bloomberg'!N973="","",'Port Bloomberg'!N973)</f>
        <v/>
      </c>
      <c r="O973" s="7" t="str">
        <f>IF('Port Bloomberg'!O973="","",'Port Bloomberg'!O973)</f>
        <v/>
      </c>
      <c r="P973" s="7" t="str">
        <f>IF('Port Bloomberg'!P973="","",'Port Bloomberg'!P973)</f>
        <v/>
      </c>
      <c r="Q973" s="7" t="str">
        <f>IF('Port Bloomberg'!Q973="","",'Port Bloomberg'!Q973)</f>
        <v/>
      </c>
      <c r="R973" s="7" t="str">
        <f>IF('Port Bloomberg'!R973="","",'Port Bloomberg'!R973)</f>
        <v/>
      </c>
      <c r="S973" s="5" t="str">
        <f>IF(E973="","",IFERROR(IF(MATCH(E973,[1]Instrumentos!$D:$D,0)&gt;0,1,0),0))</f>
        <v/>
      </c>
      <c r="T973" s="5" t="str">
        <f>IF(E973="","",IFERROR(IF(MATCH(E973,'Lista de excepciones'!$E:$E,0)&gt;0,1,0),0))</f>
        <v/>
      </c>
      <c r="U973" s="6" t="str">
        <f t="shared" si="16"/>
        <v/>
      </c>
    </row>
    <row r="974" spans="1:21" hidden="1" x14ac:dyDescent="0.25">
      <c r="A974" s="7" t="str">
        <f>IF('Port Bloomberg'!A974="","",'Port Bloomberg'!A974)</f>
        <v/>
      </c>
      <c r="B974" s="7" t="str">
        <f>IF('Port Bloomberg'!B974="","",'Port Bloomberg'!B974)</f>
        <v/>
      </c>
      <c r="C974" s="7" t="str">
        <f>IF('Port Bloomberg'!C974="","",'Port Bloomberg'!C974)</f>
        <v/>
      </c>
      <c r="D974" s="7" t="str">
        <f>IF('Port Bloomberg'!D974="","",'Port Bloomberg'!D974)</f>
        <v/>
      </c>
      <c r="E974" s="7" t="str">
        <f>IF('Port Bloomberg'!E974="","",'Port Bloomberg'!E974)</f>
        <v/>
      </c>
      <c r="F974" s="7" t="str">
        <f>IF('Port Bloomberg'!F974="","",'Port Bloomberg'!F974)</f>
        <v/>
      </c>
      <c r="G974" s="7" t="str">
        <f>IF('Port Bloomberg'!G974="","",'Port Bloomberg'!G974)</f>
        <v/>
      </c>
      <c r="H974" s="7" t="str">
        <f>IF('Port Bloomberg'!H974="","",'Port Bloomberg'!H974)</f>
        <v/>
      </c>
      <c r="I974" s="7" t="str">
        <f>IF('Port Bloomberg'!I974="","",'Port Bloomberg'!I974)</f>
        <v/>
      </c>
      <c r="J974" s="7" t="str">
        <f>IF('Port Bloomberg'!J974="","",'Port Bloomberg'!J974)</f>
        <v/>
      </c>
      <c r="K974" s="7" t="str">
        <f>IF('Port Bloomberg'!K974="","",'Port Bloomberg'!K974)</f>
        <v/>
      </c>
      <c r="L974" s="7" t="str">
        <f>IF('Port Bloomberg'!L974="","",'Port Bloomberg'!L974)</f>
        <v/>
      </c>
      <c r="M974" s="7" t="str">
        <f>IF('Port Bloomberg'!M974="","",'Port Bloomberg'!M974)</f>
        <v/>
      </c>
      <c r="N974" s="7" t="str">
        <f>IF('Port Bloomberg'!N974="","",'Port Bloomberg'!N974)</f>
        <v/>
      </c>
      <c r="O974" s="7" t="str">
        <f>IF('Port Bloomberg'!O974="","",'Port Bloomberg'!O974)</f>
        <v/>
      </c>
      <c r="P974" s="7" t="str">
        <f>IF('Port Bloomberg'!P974="","",'Port Bloomberg'!P974)</f>
        <v/>
      </c>
      <c r="Q974" s="7" t="str">
        <f>IF('Port Bloomberg'!Q974="","",'Port Bloomberg'!Q974)</f>
        <v/>
      </c>
      <c r="R974" s="7" t="str">
        <f>IF('Port Bloomberg'!R974="","",'Port Bloomberg'!R974)</f>
        <v/>
      </c>
      <c r="S974" s="5" t="str">
        <f>IF(E974="","",IFERROR(IF(MATCH(E974,[1]Instrumentos!$D:$D,0)&gt;0,1,0),0))</f>
        <v/>
      </c>
      <c r="T974" s="5" t="str">
        <f>IF(E974="","",IFERROR(IF(MATCH(E974,'Lista de excepciones'!$E:$E,0)&gt;0,1,0),0))</f>
        <v/>
      </c>
      <c r="U974" s="6" t="str">
        <f t="shared" si="16"/>
        <v/>
      </c>
    </row>
    <row r="975" spans="1:21" hidden="1" x14ac:dyDescent="0.25">
      <c r="A975" s="7" t="str">
        <f>IF('Port Bloomberg'!A975="","",'Port Bloomberg'!A975)</f>
        <v/>
      </c>
      <c r="B975" s="7" t="str">
        <f>IF('Port Bloomberg'!B975="","",'Port Bloomberg'!B975)</f>
        <v/>
      </c>
      <c r="C975" s="7" t="str">
        <f>IF('Port Bloomberg'!C975="","",'Port Bloomberg'!C975)</f>
        <v/>
      </c>
      <c r="D975" s="7" t="str">
        <f>IF('Port Bloomberg'!D975="","",'Port Bloomberg'!D975)</f>
        <v/>
      </c>
      <c r="E975" s="7" t="str">
        <f>IF('Port Bloomberg'!E975="","",'Port Bloomberg'!E975)</f>
        <v/>
      </c>
      <c r="F975" s="7" t="str">
        <f>IF('Port Bloomberg'!F975="","",'Port Bloomberg'!F975)</f>
        <v/>
      </c>
      <c r="G975" s="7" t="str">
        <f>IF('Port Bloomberg'!G975="","",'Port Bloomberg'!G975)</f>
        <v/>
      </c>
      <c r="H975" s="7" t="str">
        <f>IF('Port Bloomberg'!H975="","",'Port Bloomberg'!H975)</f>
        <v/>
      </c>
      <c r="I975" s="7" t="str">
        <f>IF('Port Bloomberg'!I975="","",'Port Bloomberg'!I975)</f>
        <v/>
      </c>
      <c r="J975" s="7" t="str">
        <f>IF('Port Bloomberg'!J975="","",'Port Bloomberg'!J975)</f>
        <v/>
      </c>
      <c r="K975" s="7" t="str">
        <f>IF('Port Bloomberg'!K975="","",'Port Bloomberg'!K975)</f>
        <v/>
      </c>
      <c r="L975" s="7" t="str">
        <f>IF('Port Bloomberg'!L975="","",'Port Bloomberg'!L975)</f>
        <v/>
      </c>
      <c r="M975" s="7" t="str">
        <f>IF('Port Bloomberg'!M975="","",'Port Bloomberg'!M975)</f>
        <v/>
      </c>
      <c r="N975" s="7" t="str">
        <f>IF('Port Bloomberg'!N975="","",'Port Bloomberg'!N975)</f>
        <v/>
      </c>
      <c r="O975" s="7" t="str">
        <f>IF('Port Bloomberg'!O975="","",'Port Bloomberg'!O975)</f>
        <v/>
      </c>
      <c r="P975" s="7" t="str">
        <f>IF('Port Bloomberg'!P975="","",'Port Bloomberg'!P975)</f>
        <v/>
      </c>
      <c r="Q975" s="7" t="str">
        <f>IF('Port Bloomberg'!Q975="","",'Port Bloomberg'!Q975)</f>
        <v/>
      </c>
      <c r="R975" s="7" t="str">
        <f>IF('Port Bloomberg'!R975="","",'Port Bloomberg'!R975)</f>
        <v/>
      </c>
      <c r="S975" s="5" t="str">
        <f>IF(E975="","",IFERROR(IF(MATCH(E975,[1]Instrumentos!$D:$D,0)&gt;0,1,0),0))</f>
        <v/>
      </c>
      <c r="T975" s="5" t="str">
        <f>IF(E975="","",IFERROR(IF(MATCH(E975,'Lista de excepciones'!$E:$E,0)&gt;0,1,0),0))</f>
        <v/>
      </c>
      <c r="U975" s="6" t="str">
        <f t="shared" si="16"/>
        <v/>
      </c>
    </row>
    <row r="976" spans="1:21" hidden="1" x14ac:dyDescent="0.25">
      <c r="A976" s="7" t="str">
        <f>IF('Port Bloomberg'!A976="","",'Port Bloomberg'!A976)</f>
        <v/>
      </c>
      <c r="B976" s="7" t="str">
        <f>IF('Port Bloomberg'!B976="","",'Port Bloomberg'!B976)</f>
        <v/>
      </c>
      <c r="C976" s="7" t="str">
        <f>IF('Port Bloomberg'!C976="","",'Port Bloomberg'!C976)</f>
        <v/>
      </c>
      <c r="D976" s="7" t="str">
        <f>IF('Port Bloomberg'!D976="","",'Port Bloomberg'!D976)</f>
        <v/>
      </c>
      <c r="E976" s="7" t="str">
        <f>IF('Port Bloomberg'!E976="","",'Port Bloomberg'!E976)</f>
        <v/>
      </c>
      <c r="F976" s="7" t="str">
        <f>IF('Port Bloomberg'!F976="","",'Port Bloomberg'!F976)</f>
        <v/>
      </c>
      <c r="G976" s="7" t="str">
        <f>IF('Port Bloomberg'!G976="","",'Port Bloomberg'!G976)</f>
        <v/>
      </c>
      <c r="H976" s="7" t="str">
        <f>IF('Port Bloomberg'!H976="","",'Port Bloomberg'!H976)</f>
        <v/>
      </c>
      <c r="I976" s="7" t="str">
        <f>IF('Port Bloomberg'!I976="","",'Port Bloomberg'!I976)</f>
        <v/>
      </c>
      <c r="J976" s="7" t="str">
        <f>IF('Port Bloomberg'!J976="","",'Port Bloomberg'!J976)</f>
        <v/>
      </c>
      <c r="K976" s="7" t="str">
        <f>IF('Port Bloomberg'!K976="","",'Port Bloomberg'!K976)</f>
        <v/>
      </c>
      <c r="L976" s="7" t="str">
        <f>IF('Port Bloomberg'!L976="","",'Port Bloomberg'!L976)</f>
        <v/>
      </c>
      <c r="M976" s="7" t="str">
        <f>IF('Port Bloomberg'!M976="","",'Port Bloomberg'!M976)</f>
        <v/>
      </c>
      <c r="N976" s="7" t="str">
        <f>IF('Port Bloomberg'!N976="","",'Port Bloomberg'!N976)</f>
        <v/>
      </c>
      <c r="O976" s="7" t="str">
        <f>IF('Port Bloomberg'!O976="","",'Port Bloomberg'!O976)</f>
        <v/>
      </c>
      <c r="P976" s="7" t="str">
        <f>IF('Port Bloomberg'!P976="","",'Port Bloomberg'!P976)</f>
        <v/>
      </c>
      <c r="Q976" s="7" t="str">
        <f>IF('Port Bloomberg'!Q976="","",'Port Bloomberg'!Q976)</f>
        <v/>
      </c>
      <c r="R976" s="7" t="str">
        <f>IF('Port Bloomberg'!R976="","",'Port Bloomberg'!R976)</f>
        <v/>
      </c>
      <c r="S976" s="5" t="str">
        <f>IF(E976="","",IFERROR(IF(MATCH(E976,[1]Instrumentos!$D:$D,0)&gt;0,1,0),0))</f>
        <v/>
      </c>
      <c r="T976" s="5" t="str">
        <f>IF(E976="","",IFERROR(IF(MATCH(E976,'Lista de excepciones'!$E:$E,0)&gt;0,1,0),0))</f>
        <v/>
      </c>
      <c r="U976" s="6" t="str">
        <f t="shared" si="16"/>
        <v/>
      </c>
    </row>
    <row r="977" spans="1:21" hidden="1" x14ac:dyDescent="0.25">
      <c r="A977" s="7" t="str">
        <f>IF('Port Bloomberg'!A977="","",'Port Bloomberg'!A977)</f>
        <v/>
      </c>
      <c r="B977" s="7" t="str">
        <f>IF('Port Bloomberg'!B977="","",'Port Bloomberg'!B977)</f>
        <v/>
      </c>
      <c r="C977" s="7" t="str">
        <f>IF('Port Bloomberg'!C977="","",'Port Bloomberg'!C977)</f>
        <v/>
      </c>
      <c r="D977" s="7" t="str">
        <f>IF('Port Bloomberg'!D977="","",'Port Bloomberg'!D977)</f>
        <v/>
      </c>
      <c r="E977" s="7" t="str">
        <f>IF('Port Bloomberg'!E977="","",'Port Bloomberg'!E977)</f>
        <v/>
      </c>
      <c r="F977" s="7" t="str">
        <f>IF('Port Bloomberg'!F977="","",'Port Bloomberg'!F977)</f>
        <v/>
      </c>
      <c r="G977" s="7" t="str">
        <f>IF('Port Bloomberg'!G977="","",'Port Bloomberg'!G977)</f>
        <v/>
      </c>
      <c r="H977" s="7" t="str">
        <f>IF('Port Bloomberg'!H977="","",'Port Bloomberg'!H977)</f>
        <v/>
      </c>
      <c r="I977" s="7" t="str">
        <f>IF('Port Bloomberg'!I977="","",'Port Bloomberg'!I977)</f>
        <v/>
      </c>
      <c r="J977" s="7" t="str">
        <f>IF('Port Bloomberg'!J977="","",'Port Bloomberg'!J977)</f>
        <v/>
      </c>
      <c r="K977" s="7" t="str">
        <f>IF('Port Bloomberg'!K977="","",'Port Bloomberg'!K977)</f>
        <v/>
      </c>
      <c r="L977" s="7" t="str">
        <f>IF('Port Bloomberg'!L977="","",'Port Bloomberg'!L977)</f>
        <v/>
      </c>
      <c r="M977" s="7" t="str">
        <f>IF('Port Bloomberg'!M977="","",'Port Bloomberg'!M977)</f>
        <v/>
      </c>
      <c r="N977" s="7" t="str">
        <f>IF('Port Bloomberg'!N977="","",'Port Bloomberg'!N977)</f>
        <v/>
      </c>
      <c r="O977" s="7" t="str">
        <f>IF('Port Bloomberg'!O977="","",'Port Bloomberg'!O977)</f>
        <v/>
      </c>
      <c r="P977" s="7" t="str">
        <f>IF('Port Bloomberg'!P977="","",'Port Bloomberg'!P977)</f>
        <v/>
      </c>
      <c r="Q977" s="7" t="str">
        <f>IF('Port Bloomberg'!Q977="","",'Port Bloomberg'!Q977)</f>
        <v/>
      </c>
      <c r="R977" s="7" t="str">
        <f>IF('Port Bloomberg'!R977="","",'Port Bloomberg'!R977)</f>
        <v/>
      </c>
      <c r="S977" s="5" t="str">
        <f>IF(E977="","",IFERROR(IF(MATCH(E977,[1]Instrumentos!$D:$D,0)&gt;0,1,0),0))</f>
        <v/>
      </c>
      <c r="T977" s="5" t="str">
        <f>IF(E977="","",IFERROR(IF(MATCH(E977,'Lista de excepciones'!$E:$E,0)&gt;0,1,0),0))</f>
        <v/>
      </c>
      <c r="U977" s="6" t="str">
        <f t="shared" si="16"/>
        <v/>
      </c>
    </row>
    <row r="978" spans="1:21" hidden="1" x14ac:dyDescent="0.25">
      <c r="A978" s="7" t="str">
        <f>IF('Port Bloomberg'!A978="","",'Port Bloomberg'!A978)</f>
        <v/>
      </c>
      <c r="B978" s="7" t="str">
        <f>IF('Port Bloomberg'!B978="","",'Port Bloomberg'!B978)</f>
        <v/>
      </c>
      <c r="C978" s="7" t="str">
        <f>IF('Port Bloomberg'!C978="","",'Port Bloomberg'!C978)</f>
        <v/>
      </c>
      <c r="D978" s="7" t="str">
        <f>IF('Port Bloomberg'!D978="","",'Port Bloomberg'!D978)</f>
        <v/>
      </c>
      <c r="E978" s="7" t="str">
        <f>IF('Port Bloomberg'!E978="","",'Port Bloomberg'!E978)</f>
        <v/>
      </c>
      <c r="F978" s="7" t="str">
        <f>IF('Port Bloomberg'!F978="","",'Port Bloomberg'!F978)</f>
        <v/>
      </c>
      <c r="G978" s="7" t="str">
        <f>IF('Port Bloomberg'!G978="","",'Port Bloomberg'!G978)</f>
        <v/>
      </c>
      <c r="H978" s="7" t="str">
        <f>IF('Port Bloomberg'!H978="","",'Port Bloomberg'!H978)</f>
        <v/>
      </c>
      <c r="I978" s="7" t="str">
        <f>IF('Port Bloomberg'!I978="","",'Port Bloomberg'!I978)</f>
        <v/>
      </c>
      <c r="J978" s="7" t="str">
        <f>IF('Port Bloomberg'!J978="","",'Port Bloomberg'!J978)</f>
        <v/>
      </c>
      <c r="K978" s="7" t="str">
        <f>IF('Port Bloomberg'!K978="","",'Port Bloomberg'!K978)</f>
        <v/>
      </c>
      <c r="L978" s="7" t="str">
        <f>IF('Port Bloomberg'!L978="","",'Port Bloomberg'!L978)</f>
        <v/>
      </c>
      <c r="M978" s="7" t="str">
        <f>IF('Port Bloomberg'!M978="","",'Port Bloomberg'!M978)</f>
        <v/>
      </c>
      <c r="N978" s="7" t="str">
        <f>IF('Port Bloomberg'!N978="","",'Port Bloomberg'!N978)</f>
        <v/>
      </c>
      <c r="O978" s="7" t="str">
        <f>IF('Port Bloomberg'!O978="","",'Port Bloomberg'!O978)</f>
        <v/>
      </c>
      <c r="P978" s="7" t="str">
        <f>IF('Port Bloomberg'!P978="","",'Port Bloomberg'!P978)</f>
        <v/>
      </c>
      <c r="Q978" s="7" t="str">
        <f>IF('Port Bloomberg'!Q978="","",'Port Bloomberg'!Q978)</f>
        <v/>
      </c>
      <c r="R978" s="7" t="str">
        <f>IF('Port Bloomberg'!R978="","",'Port Bloomberg'!R978)</f>
        <v/>
      </c>
      <c r="S978" s="5" t="str">
        <f>IF(E978="","",IFERROR(IF(MATCH(E978,[1]Instrumentos!$D:$D,0)&gt;0,1,0),0))</f>
        <v/>
      </c>
      <c r="T978" s="5" t="str">
        <f>IF(E978="","",IFERROR(IF(MATCH(E978,'Lista de excepciones'!$E:$E,0)&gt;0,1,0),0))</f>
        <v/>
      </c>
      <c r="U978" s="6" t="str">
        <f t="shared" si="16"/>
        <v/>
      </c>
    </row>
    <row r="979" spans="1:21" hidden="1" x14ac:dyDescent="0.25">
      <c r="A979" s="7" t="str">
        <f>IF('Port Bloomberg'!A979="","",'Port Bloomberg'!A979)</f>
        <v/>
      </c>
      <c r="B979" s="7" t="str">
        <f>IF('Port Bloomberg'!B979="","",'Port Bloomberg'!B979)</f>
        <v/>
      </c>
      <c r="C979" s="7" t="str">
        <f>IF('Port Bloomberg'!C979="","",'Port Bloomberg'!C979)</f>
        <v/>
      </c>
      <c r="D979" s="7" t="str">
        <f>IF('Port Bloomberg'!D979="","",'Port Bloomberg'!D979)</f>
        <v/>
      </c>
      <c r="E979" s="7" t="str">
        <f>IF('Port Bloomberg'!E979="","",'Port Bloomberg'!E979)</f>
        <v/>
      </c>
      <c r="F979" s="7" t="str">
        <f>IF('Port Bloomberg'!F979="","",'Port Bloomberg'!F979)</f>
        <v/>
      </c>
      <c r="G979" s="7" t="str">
        <f>IF('Port Bloomberg'!G979="","",'Port Bloomberg'!G979)</f>
        <v/>
      </c>
      <c r="H979" s="7" t="str">
        <f>IF('Port Bloomberg'!H979="","",'Port Bloomberg'!H979)</f>
        <v/>
      </c>
      <c r="I979" s="7" t="str">
        <f>IF('Port Bloomberg'!I979="","",'Port Bloomberg'!I979)</f>
        <v/>
      </c>
      <c r="J979" s="7" t="str">
        <f>IF('Port Bloomberg'!J979="","",'Port Bloomberg'!J979)</f>
        <v/>
      </c>
      <c r="K979" s="7" t="str">
        <f>IF('Port Bloomberg'!K979="","",'Port Bloomberg'!K979)</f>
        <v/>
      </c>
      <c r="L979" s="7" t="str">
        <f>IF('Port Bloomberg'!L979="","",'Port Bloomberg'!L979)</f>
        <v/>
      </c>
      <c r="M979" s="7" t="str">
        <f>IF('Port Bloomberg'!M979="","",'Port Bloomberg'!M979)</f>
        <v/>
      </c>
      <c r="N979" s="7" t="str">
        <f>IF('Port Bloomberg'!N979="","",'Port Bloomberg'!N979)</f>
        <v/>
      </c>
      <c r="O979" s="7" t="str">
        <f>IF('Port Bloomberg'!O979="","",'Port Bloomberg'!O979)</f>
        <v/>
      </c>
      <c r="P979" s="7" t="str">
        <f>IF('Port Bloomberg'!P979="","",'Port Bloomberg'!P979)</f>
        <v/>
      </c>
      <c r="Q979" s="7" t="str">
        <f>IF('Port Bloomberg'!Q979="","",'Port Bloomberg'!Q979)</f>
        <v/>
      </c>
      <c r="R979" s="7" t="str">
        <f>IF('Port Bloomberg'!R979="","",'Port Bloomberg'!R979)</f>
        <v/>
      </c>
      <c r="S979" s="5" t="str">
        <f>IF(E979="","",IFERROR(IF(MATCH(E979,[1]Instrumentos!$D:$D,0)&gt;0,1,0),0))</f>
        <v/>
      </c>
      <c r="T979" s="5" t="str">
        <f>IF(E979="","",IFERROR(IF(MATCH(E979,'Lista de excepciones'!$E:$E,0)&gt;0,1,0),0))</f>
        <v/>
      </c>
      <c r="U979" s="6" t="str">
        <f t="shared" si="16"/>
        <v/>
      </c>
    </row>
    <row r="980" spans="1:21" hidden="1" x14ac:dyDescent="0.25">
      <c r="A980" s="7" t="str">
        <f>IF('Port Bloomberg'!A980="","",'Port Bloomberg'!A980)</f>
        <v/>
      </c>
      <c r="B980" s="7" t="str">
        <f>IF('Port Bloomberg'!B980="","",'Port Bloomberg'!B980)</f>
        <v/>
      </c>
      <c r="C980" s="7" t="str">
        <f>IF('Port Bloomberg'!C980="","",'Port Bloomberg'!C980)</f>
        <v/>
      </c>
      <c r="D980" s="7" t="str">
        <f>IF('Port Bloomberg'!D980="","",'Port Bloomberg'!D980)</f>
        <v/>
      </c>
      <c r="E980" s="7" t="str">
        <f>IF('Port Bloomberg'!E980="","",'Port Bloomberg'!E980)</f>
        <v/>
      </c>
      <c r="F980" s="7" t="str">
        <f>IF('Port Bloomberg'!F980="","",'Port Bloomberg'!F980)</f>
        <v/>
      </c>
      <c r="G980" s="7" t="str">
        <f>IF('Port Bloomberg'!G980="","",'Port Bloomberg'!G980)</f>
        <v/>
      </c>
      <c r="H980" s="7" t="str">
        <f>IF('Port Bloomberg'!H980="","",'Port Bloomberg'!H980)</f>
        <v/>
      </c>
      <c r="I980" s="7" t="str">
        <f>IF('Port Bloomberg'!I980="","",'Port Bloomberg'!I980)</f>
        <v/>
      </c>
      <c r="J980" s="7" t="str">
        <f>IF('Port Bloomberg'!J980="","",'Port Bloomberg'!J980)</f>
        <v/>
      </c>
      <c r="K980" s="7" t="str">
        <f>IF('Port Bloomberg'!K980="","",'Port Bloomberg'!K980)</f>
        <v/>
      </c>
      <c r="L980" s="7" t="str">
        <f>IF('Port Bloomberg'!L980="","",'Port Bloomberg'!L980)</f>
        <v/>
      </c>
      <c r="M980" s="7" t="str">
        <f>IF('Port Bloomberg'!M980="","",'Port Bloomberg'!M980)</f>
        <v/>
      </c>
      <c r="N980" s="7" t="str">
        <f>IF('Port Bloomberg'!N980="","",'Port Bloomberg'!N980)</f>
        <v/>
      </c>
      <c r="O980" s="7" t="str">
        <f>IF('Port Bloomberg'!O980="","",'Port Bloomberg'!O980)</f>
        <v/>
      </c>
      <c r="P980" s="7" t="str">
        <f>IF('Port Bloomberg'!P980="","",'Port Bloomberg'!P980)</f>
        <v/>
      </c>
      <c r="Q980" s="7" t="str">
        <f>IF('Port Bloomberg'!Q980="","",'Port Bloomberg'!Q980)</f>
        <v/>
      </c>
      <c r="R980" s="7" t="str">
        <f>IF('Port Bloomberg'!R980="","",'Port Bloomberg'!R980)</f>
        <v/>
      </c>
      <c r="S980" s="5" t="str">
        <f>IF(E980="","",IFERROR(IF(MATCH(E980,[1]Instrumentos!$D:$D,0)&gt;0,1,0),0))</f>
        <v/>
      </c>
      <c r="T980" s="5" t="str">
        <f>IF(E980="","",IFERROR(IF(MATCH(E980,'Lista de excepciones'!$E:$E,0)&gt;0,1,0),0))</f>
        <v/>
      </c>
      <c r="U980" s="6" t="str">
        <f t="shared" si="16"/>
        <v/>
      </c>
    </row>
    <row r="981" spans="1:21" hidden="1" x14ac:dyDescent="0.25">
      <c r="A981" s="7" t="str">
        <f>IF('Port Bloomberg'!A981="","",'Port Bloomberg'!A981)</f>
        <v/>
      </c>
      <c r="B981" s="7" t="str">
        <f>IF('Port Bloomberg'!B981="","",'Port Bloomberg'!B981)</f>
        <v/>
      </c>
      <c r="C981" s="7" t="str">
        <f>IF('Port Bloomberg'!C981="","",'Port Bloomberg'!C981)</f>
        <v/>
      </c>
      <c r="D981" s="7" t="str">
        <f>IF('Port Bloomberg'!D981="","",'Port Bloomberg'!D981)</f>
        <v/>
      </c>
      <c r="E981" s="7" t="str">
        <f>IF('Port Bloomberg'!E981="","",'Port Bloomberg'!E981)</f>
        <v/>
      </c>
      <c r="F981" s="7" t="str">
        <f>IF('Port Bloomberg'!F981="","",'Port Bloomberg'!F981)</f>
        <v/>
      </c>
      <c r="G981" s="7" t="str">
        <f>IF('Port Bloomberg'!G981="","",'Port Bloomberg'!G981)</f>
        <v/>
      </c>
      <c r="H981" s="7" t="str">
        <f>IF('Port Bloomberg'!H981="","",'Port Bloomberg'!H981)</f>
        <v/>
      </c>
      <c r="I981" s="7" t="str">
        <f>IF('Port Bloomberg'!I981="","",'Port Bloomberg'!I981)</f>
        <v/>
      </c>
      <c r="J981" s="7" t="str">
        <f>IF('Port Bloomberg'!J981="","",'Port Bloomberg'!J981)</f>
        <v/>
      </c>
      <c r="K981" s="7" t="str">
        <f>IF('Port Bloomberg'!K981="","",'Port Bloomberg'!K981)</f>
        <v/>
      </c>
      <c r="L981" s="7" t="str">
        <f>IF('Port Bloomberg'!L981="","",'Port Bloomberg'!L981)</f>
        <v/>
      </c>
      <c r="M981" s="7" t="str">
        <f>IF('Port Bloomberg'!M981="","",'Port Bloomberg'!M981)</f>
        <v/>
      </c>
      <c r="N981" s="7" t="str">
        <f>IF('Port Bloomberg'!N981="","",'Port Bloomberg'!N981)</f>
        <v/>
      </c>
      <c r="O981" s="7" t="str">
        <f>IF('Port Bloomberg'!O981="","",'Port Bloomberg'!O981)</f>
        <v/>
      </c>
      <c r="P981" s="7" t="str">
        <f>IF('Port Bloomberg'!P981="","",'Port Bloomberg'!P981)</f>
        <v/>
      </c>
      <c r="Q981" s="7" t="str">
        <f>IF('Port Bloomberg'!Q981="","",'Port Bloomberg'!Q981)</f>
        <v/>
      </c>
      <c r="R981" s="7" t="str">
        <f>IF('Port Bloomberg'!R981="","",'Port Bloomberg'!R981)</f>
        <v/>
      </c>
      <c r="S981" s="5" t="str">
        <f>IF(E981="","",IFERROR(IF(MATCH(E981,[1]Instrumentos!$D:$D,0)&gt;0,1,0),0))</f>
        <v/>
      </c>
      <c r="T981" s="5" t="str">
        <f>IF(E981="","",IFERROR(IF(MATCH(E981,'Lista de excepciones'!$E:$E,0)&gt;0,1,0),0))</f>
        <v/>
      </c>
      <c r="U981" s="6" t="str">
        <f t="shared" si="16"/>
        <v/>
      </c>
    </row>
    <row r="982" spans="1:21" hidden="1" x14ac:dyDescent="0.25">
      <c r="A982" s="7" t="str">
        <f>IF('Port Bloomberg'!A982="","",'Port Bloomberg'!A982)</f>
        <v/>
      </c>
      <c r="B982" s="7" t="str">
        <f>IF('Port Bloomberg'!B982="","",'Port Bloomberg'!B982)</f>
        <v/>
      </c>
      <c r="C982" s="7" t="str">
        <f>IF('Port Bloomberg'!C982="","",'Port Bloomberg'!C982)</f>
        <v/>
      </c>
      <c r="D982" s="7" t="str">
        <f>IF('Port Bloomberg'!D982="","",'Port Bloomberg'!D982)</f>
        <v/>
      </c>
      <c r="E982" s="7" t="str">
        <f>IF('Port Bloomberg'!E982="","",'Port Bloomberg'!E982)</f>
        <v/>
      </c>
      <c r="F982" s="7" t="str">
        <f>IF('Port Bloomberg'!F982="","",'Port Bloomberg'!F982)</f>
        <v/>
      </c>
      <c r="G982" s="7" t="str">
        <f>IF('Port Bloomberg'!G982="","",'Port Bloomberg'!G982)</f>
        <v/>
      </c>
      <c r="H982" s="7" t="str">
        <f>IF('Port Bloomberg'!H982="","",'Port Bloomberg'!H982)</f>
        <v/>
      </c>
      <c r="I982" s="7" t="str">
        <f>IF('Port Bloomberg'!I982="","",'Port Bloomberg'!I982)</f>
        <v/>
      </c>
      <c r="J982" s="7" t="str">
        <f>IF('Port Bloomberg'!J982="","",'Port Bloomberg'!J982)</f>
        <v/>
      </c>
      <c r="K982" s="7" t="str">
        <f>IF('Port Bloomberg'!K982="","",'Port Bloomberg'!K982)</f>
        <v/>
      </c>
      <c r="L982" s="7" t="str">
        <f>IF('Port Bloomberg'!L982="","",'Port Bloomberg'!L982)</f>
        <v/>
      </c>
      <c r="M982" s="7" t="str">
        <f>IF('Port Bloomberg'!M982="","",'Port Bloomberg'!M982)</f>
        <v/>
      </c>
      <c r="N982" s="7" t="str">
        <f>IF('Port Bloomberg'!N982="","",'Port Bloomberg'!N982)</f>
        <v/>
      </c>
      <c r="O982" s="7" t="str">
        <f>IF('Port Bloomberg'!O982="","",'Port Bloomberg'!O982)</f>
        <v/>
      </c>
      <c r="P982" s="7" t="str">
        <f>IF('Port Bloomberg'!P982="","",'Port Bloomberg'!P982)</f>
        <v/>
      </c>
      <c r="Q982" s="7" t="str">
        <f>IF('Port Bloomberg'!Q982="","",'Port Bloomberg'!Q982)</f>
        <v/>
      </c>
      <c r="R982" s="7" t="str">
        <f>IF('Port Bloomberg'!R982="","",'Port Bloomberg'!R982)</f>
        <v/>
      </c>
      <c r="S982" s="5" t="str">
        <f>IF(E982="","",IFERROR(IF(MATCH(E982,[1]Instrumentos!$D:$D,0)&gt;0,1,0),0))</f>
        <v/>
      </c>
      <c r="T982" s="5" t="str">
        <f>IF(E982="","",IFERROR(IF(MATCH(E982,'Lista de excepciones'!$E:$E,0)&gt;0,1,0),0))</f>
        <v/>
      </c>
      <c r="U982" s="6" t="str">
        <f t="shared" si="16"/>
        <v/>
      </c>
    </row>
    <row r="983" spans="1:21" hidden="1" x14ac:dyDescent="0.25">
      <c r="A983" s="7" t="str">
        <f>IF('Port Bloomberg'!A983="","",'Port Bloomberg'!A983)</f>
        <v/>
      </c>
      <c r="B983" s="7" t="str">
        <f>IF('Port Bloomberg'!B983="","",'Port Bloomberg'!B983)</f>
        <v/>
      </c>
      <c r="C983" s="7" t="str">
        <f>IF('Port Bloomberg'!C983="","",'Port Bloomberg'!C983)</f>
        <v/>
      </c>
      <c r="D983" s="7" t="str">
        <f>IF('Port Bloomberg'!D983="","",'Port Bloomberg'!D983)</f>
        <v/>
      </c>
      <c r="E983" s="7" t="str">
        <f>IF('Port Bloomberg'!E983="","",'Port Bloomberg'!E983)</f>
        <v/>
      </c>
      <c r="F983" s="7" t="str">
        <f>IF('Port Bloomberg'!F983="","",'Port Bloomberg'!F983)</f>
        <v/>
      </c>
      <c r="G983" s="7" t="str">
        <f>IF('Port Bloomberg'!G983="","",'Port Bloomberg'!G983)</f>
        <v/>
      </c>
      <c r="H983" s="7" t="str">
        <f>IF('Port Bloomberg'!H983="","",'Port Bloomberg'!H983)</f>
        <v/>
      </c>
      <c r="I983" s="7" t="str">
        <f>IF('Port Bloomberg'!I983="","",'Port Bloomberg'!I983)</f>
        <v/>
      </c>
      <c r="J983" s="7" t="str">
        <f>IF('Port Bloomberg'!J983="","",'Port Bloomberg'!J983)</f>
        <v/>
      </c>
      <c r="K983" s="7" t="str">
        <f>IF('Port Bloomberg'!K983="","",'Port Bloomberg'!K983)</f>
        <v/>
      </c>
      <c r="L983" s="7" t="str">
        <f>IF('Port Bloomberg'!L983="","",'Port Bloomberg'!L983)</f>
        <v/>
      </c>
      <c r="M983" s="7" t="str">
        <f>IF('Port Bloomberg'!M983="","",'Port Bloomberg'!M983)</f>
        <v/>
      </c>
      <c r="N983" s="7" t="str">
        <f>IF('Port Bloomberg'!N983="","",'Port Bloomberg'!N983)</f>
        <v/>
      </c>
      <c r="O983" s="7" t="str">
        <f>IF('Port Bloomberg'!O983="","",'Port Bloomberg'!O983)</f>
        <v/>
      </c>
      <c r="P983" s="7" t="str">
        <f>IF('Port Bloomberg'!P983="","",'Port Bloomberg'!P983)</f>
        <v/>
      </c>
      <c r="Q983" s="7" t="str">
        <f>IF('Port Bloomberg'!Q983="","",'Port Bloomberg'!Q983)</f>
        <v/>
      </c>
      <c r="R983" s="7" t="str">
        <f>IF('Port Bloomberg'!R983="","",'Port Bloomberg'!R983)</f>
        <v/>
      </c>
      <c r="S983" s="5" t="str">
        <f>IF(E983="","",IFERROR(IF(MATCH(E983,[1]Instrumentos!$D:$D,0)&gt;0,1,0),0))</f>
        <v/>
      </c>
      <c r="T983" s="5" t="str">
        <f>IF(E983="","",IFERROR(IF(MATCH(E983,'Lista de excepciones'!$E:$E,0)&gt;0,1,0),0))</f>
        <v/>
      </c>
      <c r="U983" s="6" t="str">
        <f t="shared" si="16"/>
        <v/>
      </c>
    </row>
    <row r="984" spans="1:21" hidden="1" x14ac:dyDescent="0.25">
      <c r="A984" s="7" t="str">
        <f>IF('Port Bloomberg'!A984="","",'Port Bloomberg'!A984)</f>
        <v/>
      </c>
      <c r="B984" s="7" t="str">
        <f>IF('Port Bloomberg'!B984="","",'Port Bloomberg'!B984)</f>
        <v/>
      </c>
      <c r="C984" s="7" t="str">
        <f>IF('Port Bloomberg'!C984="","",'Port Bloomberg'!C984)</f>
        <v/>
      </c>
      <c r="D984" s="7" t="str">
        <f>IF('Port Bloomberg'!D984="","",'Port Bloomberg'!D984)</f>
        <v/>
      </c>
      <c r="E984" s="7" t="str">
        <f>IF('Port Bloomberg'!E984="","",'Port Bloomberg'!E984)</f>
        <v/>
      </c>
      <c r="F984" s="7" t="str">
        <f>IF('Port Bloomberg'!F984="","",'Port Bloomberg'!F984)</f>
        <v/>
      </c>
      <c r="G984" s="7" t="str">
        <f>IF('Port Bloomberg'!G984="","",'Port Bloomberg'!G984)</f>
        <v/>
      </c>
      <c r="H984" s="7" t="str">
        <f>IF('Port Bloomberg'!H984="","",'Port Bloomberg'!H984)</f>
        <v/>
      </c>
      <c r="I984" s="7" t="str">
        <f>IF('Port Bloomberg'!I984="","",'Port Bloomberg'!I984)</f>
        <v/>
      </c>
      <c r="J984" s="7" t="str">
        <f>IF('Port Bloomberg'!J984="","",'Port Bloomberg'!J984)</f>
        <v/>
      </c>
      <c r="K984" s="7" t="str">
        <f>IF('Port Bloomberg'!K984="","",'Port Bloomberg'!K984)</f>
        <v/>
      </c>
      <c r="L984" s="7" t="str">
        <f>IF('Port Bloomberg'!L984="","",'Port Bloomberg'!L984)</f>
        <v/>
      </c>
      <c r="M984" s="7" t="str">
        <f>IF('Port Bloomberg'!M984="","",'Port Bloomberg'!M984)</f>
        <v/>
      </c>
      <c r="N984" s="7" t="str">
        <f>IF('Port Bloomberg'!N984="","",'Port Bloomberg'!N984)</f>
        <v/>
      </c>
      <c r="O984" s="7" t="str">
        <f>IF('Port Bloomberg'!O984="","",'Port Bloomberg'!O984)</f>
        <v/>
      </c>
      <c r="P984" s="7" t="str">
        <f>IF('Port Bloomberg'!P984="","",'Port Bloomberg'!P984)</f>
        <v/>
      </c>
      <c r="Q984" s="7" t="str">
        <f>IF('Port Bloomberg'!Q984="","",'Port Bloomberg'!Q984)</f>
        <v/>
      </c>
      <c r="R984" s="7" t="str">
        <f>IF('Port Bloomberg'!R984="","",'Port Bloomberg'!R984)</f>
        <v/>
      </c>
      <c r="S984" s="5" t="str">
        <f>IF(E984="","",IFERROR(IF(MATCH(E984,[1]Instrumentos!$D:$D,0)&gt;0,1,0),0))</f>
        <v/>
      </c>
      <c r="T984" s="5" t="str">
        <f>IF(E984="","",IFERROR(IF(MATCH(E984,'Lista de excepciones'!$E:$E,0)&gt;0,1,0),0))</f>
        <v/>
      </c>
      <c r="U984" s="6" t="str">
        <f t="shared" si="16"/>
        <v/>
      </c>
    </row>
    <row r="985" spans="1:21" hidden="1" x14ac:dyDescent="0.25">
      <c r="A985" s="7" t="str">
        <f>IF('Port Bloomberg'!A985="","",'Port Bloomberg'!A985)</f>
        <v/>
      </c>
      <c r="B985" s="7" t="str">
        <f>IF('Port Bloomberg'!B985="","",'Port Bloomberg'!B985)</f>
        <v/>
      </c>
      <c r="C985" s="7" t="str">
        <f>IF('Port Bloomberg'!C985="","",'Port Bloomberg'!C985)</f>
        <v/>
      </c>
      <c r="D985" s="7" t="str">
        <f>IF('Port Bloomberg'!D985="","",'Port Bloomberg'!D985)</f>
        <v/>
      </c>
      <c r="E985" s="7" t="str">
        <f>IF('Port Bloomberg'!E985="","",'Port Bloomberg'!E985)</f>
        <v/>
      </c>
      <c r="F985" s="7" t="str">
        <f>IF('Port Bloomberg'!F985="","",'Port Bloomberg'!F985)</f>
        <v/>
      </c>
      <c r="G985" s="7" t="str">
        <f>IF('Port Bloomberg'!G985="","",'Port Bloomberg'!G985)</f>
        <v/>
      </c>
      <c r="H985" s="7" t="str">
        <f>IF('Port Bloomberg'!H985="","",'Port Bloomberg'!H985)</f>
        <v/>
      </c>
      <c r="I985" s="7" t="str">
        <f>IF('Port Bloomberg'!I985="","",'Port Bloomberg'!I985)</f>
        <v/>
      </c>
      <c r="J985" s="7" t="str">
        <f>IF('Port Bloomberg'!J985="","",'Port Bloomberg'!J985)</f>
        <v/>
      </c>
      <c r="K985" s="7" t="str">
        <f>IF('Port Bloomberg'!K985="","",'Port Bloomberg'!K985)</f>
        <v/>
      </c>
      <c r="L985" s="7" t="str">
        <f>IF('Port Bloomberg'!L985="","",'Port Bloomberg'!L985)</f>
        <v/>
      </c>
      <c r="M985" s="7" t="str">
        <f>IF('Port Bloomberg'!M985="","",'Port Bloomberg'!M985)</f>
        <v/>
      </c>
      <c r="N985" s="7" t="str">
        <f>IF('Port Bloomberg'!N985="","",'Port Bloomberg'!N985)</f>
        <v/>
      </c>
      <c r="O985" s="7" t="str">
        <f>IF('Port Bloomberg'!O985="","",'Port Bloomberg'!O985)</f>
        <v/>
      </c>
      <c r="P985" s="7" t="str">
        <f>IF('Port Bloomberg'!P985="","",'Port Bloomberg'!P985)</f>
        <v/>
      </c>
      <c r="Q985" s="7" t="str">
        <f>IF('Port Bloomberg'!Q985="","",'Port Bloomberg'!Q985)</f>
        <v/>
      </c>
      <c r="R985" s="7" t="str">
        <f>IF('Port Bloomberg'!R985="","",'Port Bloomberg'!R985)</f>
        <v/>
      </c>
      <c r="S985" s="5" t="str">
        <f>IF(E985="","",IFERROR(IF(MATCH(E985,[1]Instrumentos!$D:$D,0)&gt;0,1,0),0))</f>
        <v/>
      </c>
      <c r="T985" s="5" t="str">
        <f>IF(E985="","",IFERROR(IF(MATCH(E985,'Lista de excepciones'!$E:$E,0)&gt;0,1,0),0))</f>
        <v/>
      </c>
      <c r="U985" s="6" t="str">
        <f t="shared" si="16"/>
        <v/>
      </c>
    </row>
    <row r="986" spans="1:21" hidden="1" x14ac:dyDescent="0.25">
      <c r="A986" s="7" t="str">
        <f>IF('Port Bloomberg'!A986="","",'Port Bloomberg'!A986)</f>
        <v/>
      </c>
      <c r="B986" s="7" t="str">
        <f>IF('Port Bloomberg'!B986="","",'Port Bloomberg'!B986)</f>
        <v/>
      </c>
      <c r="C986" s="7" t="str">
        <f>IF('Port Bloomberg'!C986="","",'Port Bloomberg'!C986)</f>
        <v/>
      </c>
      <c r="D986" s="7" t="str">
        <f>IF('Port Bloomberg'!D986="","",'Port Bloomberg'!D986)</f>
        <v/>
      </c>
      <c r="E986" s="7" t="str">
        <f>IF('Port Bloomberg'!E986="","",'Port Bloomberg'!E986)</f>
        <v/>
      </c>
      <c r="F986" s="7" t="str">
        <f>IF('Port Bloomberg'!F986="","",'Port Bloomberg'!F986)</f>
        <v/>
      </c>
      <c r="G986" s="7" t="str">
        <f>IF('Port Bloomberg'!G986="","",'Port Bloomberg'!G986)</f>
        <v/>
      </c>
      <c r="H986" s="7" t="str">
        <f>IF('Port Bloomberg'!H986="","",'Port Bloomberg'!H986)</f>
        <v/>
      </c>
      <c r="I986" s="7" t="str">
        <f>IF('Port Bloomberg'!I986="","",'Port Bloomberg'!I986)</f>
        <v/>
      </c>
      <c r="J986" s="7" t="str">
        <f>IF('Port Bloomberg'!J986="","",'Port Bloomberg'!J986)</f>
        <v/>
      </c>
      <c r="K986" s="7" t="str">
        <f>IF('Port Bloomberg'!K986="","",'Port Bloomberg'!K986)</f>
        <v/>
      </c>
      <c r="L986" s="7" t="str">
        <f>IF('Port Bloomberg'!L986="","",'Port Bloomberg'!L986)</f>
        <v/>
      </c>
      <c r="M986" s="7" t="str">
        <f>IF('Port Bloomberg'!M986="","",'Port Bloomberg'!M986)</f>
        <v/>
      </c>
      <c r="N986" s="7" t="str">
        <f>IF('Port Bloomberg'!N986="","",'Port Bloomberg'!N986)</f>
        <v/>
      </c>
      <c r="O986" s="7" t="str">
        <f>IF('Port Bloomberg'!O986="","",'Port Bloomberg'!O986)</f>
        <v/>
      </c>
      <c r="P986" s="7" t="str">
        <f>IF('Port Bloomberg'!P986="","",'Port Bloomberg'!P986)</f>
        <v/>
      </c>
      <c r="Q986" s="7" t="str">
        <f>IF('Port Bloomberg'!Q986="","",'Port Bloomberg'!Q986)</f>
        <v/>
      </c>
      <c r="R986" s="7" t="str">
        <f>IF('Port Bloomberg'!R986="","",'Port Bloomberg'!R986)</f>
        <v/>
      </c>
      <c r="S986" s="5" t="str">
        <f>IF(E986="","",IFERROR(IF(MATCH(E986,[1]Instrumentos!$D:$D,0)&gt;0,1,0),0))</f>
        <v/>
      </c>
      <c r="T986" s="5" t="str">
        <f>IF(E986="","",IFERROR(IF(MATCH(E986,'Lista de excepciones'!$E:$E,0)&gt;0,1,0),0))</f>
        <v/>
      </c>
      <c r="U986" s="6" t="str">
        <f t="shared" si="16"/>
        <v/>
      </c>
    </row>
    <row r="987" spans="1:21" hidden="1" x14ac:dyDescent="0.25">
      <c r="A987" s="7" t="str">
        <f>IF('Port Bloomberg'!A987="","",'Port Bloomberg'!A987)</f>
        <v/>
      </c>
      <c r="B987" s="7" t="str">
        <f>IF('Port Bloomberg'!B987="","",'Port Bloomberg'!B987)</f>
        <v/>
      </c>
      <c r="C987" s="7" t="str">
        <f>IF('Port Bloomberg'!C987="","",'Port Bloomberg'!C987)</f>
        <v/>
      </c>
      <c r="D987" s="7" t="str">
        <f>IF('Port Bloomberg'!D987="","",'Port Bloomberg'!D987)</f>
        <v/>
      </c>
      <c r="E987" s="7" t="str">
        <f>IF('Port Bloomberg'!E987="","",'Port Bloomberg'!E987)</f>
        <v/>
      </c>
      <c r="F987" s="7" t="str">
        <f>IF('Port Bloomberg'!F987="","",'Port Bloomberg'!F987)</f>
        <v/>
      </c>
      <c r="G987" s="7" t="str">
        <f>IF('Port Bloomberg'!G987="","",'Port Bloomberg'!G987)</f>
        <v/>
      </c>
      <c r="H987" s="7" t="str">
        <f>IF('Port Bloomberg'!H987="","",'Port Bloomberg'!H987)</f>
        <v/>
      </c>
      <c r="I987" s="7" t="str">
        <f>IF('Port Bloomberg'!I987="","",'Port Bloomberg'!I987)</f>
        <v/>
      </c>
      <c r="J987" s="7" t="str">
        <f>IF('Port Bloomberg'!J987="","",'Port Bloomberg'!J987)</f>
        <v/>
      </c>
      <c r="K987" s="7" t="str">
        <f>IF('Port Bloomberg'!K987="","",'Port Bloomberg'!K987)</f>
        <v/>
      </c>
      <c r="L987" s="7" t="str">
        <f>IF('Port Bloomberg'!L987="","",'Port Bloomberg'!L987)</f>
        <v/>
      </c>
      <c r="M987" s="7" t="str">
        <f>IF('Port Bloomberg'!M987="","",'Port Bloomberg'!M987)</f>
        <v/>
      </c>
      <c r="N987" s="7" t="str">
        <f>IF('Port Bloomberg'!N987="","",'Port Bloomberg'!N987)</f>
        <v/>
      </c>
      <c r="O987" s="7" t="str">
        <f>IF('Port Bloomberg'!O987="","",'Port Bloomberg'!O987)</f>
        <v/>
      </c>
      <c r="P987" s="7" t="str">
        <f>IF('Port Bloomberg'!P987="","",'Port Bloomberg'!P987)</f>
        <v/>
      </c>
      <c r="Q987" s="7" t="str">
        <f>IF('Port Bloomberg'!Q987="","",'Port Bloomberg'!Q987)</f>
        <v/>
      </c>
      <c r="R987" s="7" t="str">
        <f>IF('Port Bloomberg'!R987="","",'Port Bloomberg'!R987)</f>
        <v/>
      </c>
      <c r="S987" s="5" t="str">
        <f>IF(E987="","",IFERROR(IF(MATCH(E987,[1]Instrumentos!$D:$D,0)&gt;0,1,0),0))</f>
        <v/>
      </c>
      <c r="T987" s="5" t="str">
        <f>IF(E987="","",IFERROR(IF(MATCH(E987,'Lista de excepciones'!$E:$E,0)&gt;0,1,0),0))</f>
        <v/>
      </c>
      <c r="U987" s="6" t="str">
        <f t="shared" si="16"/>
        <v/>
      </c>
    </row>
    <row r="988" spans="1:21" hidden="1" x14ac:dyDescent="0.25">
      <c r="A988" s="7" t="str">
        <f>IF('Port Bloomberg'!A988="","",'Port Bloomberg'!A988)</f>
        <v/>
      </c>
      <c r="B988" s="7" t="str">
        <f>IF('Port Bloomberg'!B988="","",'Port Bloomberg'!B988)</f>
        <v/>
      </c>
      <c r="C988" s="7" t="str">
        <f>IF('Port Bloomberg'!C988="","",'Port Bloomberg'!C988)</f>
        <v/>
      </c>
      <c r="D988" s="7" t="str">
        <f>IF('Port Bloomberg'!D988="","",'Port Bloomberg'!D988)</f>
        <v/>
      </c>
      <c r="E988" s="7" t="str">
        <f>IF('Port Bloomberg'!E988="","",'Port Bloomberg'!E988)</f>
        <v/>
      </c>
      <c r="F988" s="7" t="str">
        <f>IF('Port Bloomberg'!F988="","",'Port Bloomberg'!F988)</f>
        <v/>
      </c>
      <c r="G988" s="7" t="str">
        <f>IF('Port Bloomberg'!G988="","",'Port Bloomberg'!G988)</f>
        <v/>
      </c>
      <c r="H988" s="7" t="str">
        <f>IF('Port Bloomberg'!H988="","",'Port Bloomberg'!H988)</f>
        <v/>
      </c>
      <c r="I988" s="7" t="str">
        <f>IF('Port Bloomberg'!I988="","",'Port Bloomberg'!I988)</f>
        <v/>
      </c>
      <c r="J988" s="7" t="str">
        <f>IF('Port Bloomberg'!J988="","",'Port Bloomberg'!J988)</f>
        <v/>
      </c>
      <c r="K988" s="7" t="str">
        <f>IF('Port Bloomberg'!K988="","",'Port Bloomberg'!K988)</f>
        <v/>
      </c>
      <c r="L988" s="7" t="str">
        <f>IF('Port Bloomberg'!L988="","",'Port Bloomberg'!L988)</f>
        <v/>
      </c>
      <c r="M988" s="7" t="str">
        <f>IF('Port Bloomberg'!M988="","",'Port Bloomberg'!M988)</f>
        <v/>
      </c>
      <c r="N988" s="7" t="str">
        <f>IF('Port Bloomberg'!N988="","",'Port Bloomberg'!N988)</f>
        <v/>
      </c>
      <c r="O988" s="7" t="str">
        <f>IF('Port Bloomberg'!O988="","",'Port Bloomberg'!O988)</f>
        <v/>
      </c>
      <c r="P988" s="7" t="str">
        <f>IF('Port Bloomberg'!P988="","",'Port Bloomberg'!P988)</f>
        <v/>
      </c>
      <c r="Q988" s="7" t="str">
        <f>IF('Port Bloomberg'!Q988="","",'Port Bloomberg'!Q988)</f>
        <v/>
      </c>
      <c r="R988" s="7" t="str">
        <f>IF('Port Bloomberg'!R988="","",'Port Bloomberg'!R988)</f>
        <v/>
      </c>
      <c r="S988" s="5" t="str">
        <f>IF(E988="","",IFERROR(IF(MATCH(E988,[1]Instrumentos!$D:$D,0)&gt;0,1,0),0))</f>
        <v/>
      </c>
      <c r="T988" s="5" t="str">
        <f>IF(E988="","",IFERROR(IF(MATCH(E988,'Lista de excepciones'!$E:$E,0)&gt;0,1,0),0))</f>
        <v/>
      </c>
      <c r="U988" s="6" t="str">
        <f t="shared" si="16"/>
        <v/>
      </c>
    </row>
    <row r="989" spans="1:21" hidden="1" x14ac:dyDescent="0.25">
      <c r="A989" s="7" t="str">
        <f>IF('Port Bloomberg'!A989="","",'Port Bloomberg'!A989)</f>
        <v/>
      </c>
      <c r="B989" s="7" t="str">
        <f>IF('Port Bloomberg'!B989="","",'Port Bloomberg'!B989)</f>
        <v/>
      </c>
      <c r="C989" s="7" t="str">
        <f>IF('Port Bloomberg'!C989="","",'Port Bloomberg'!C989)</f>
        <v/>
      </c>
      <c r="D989" s="7" t="str">
        <f>IF('Port Bloomberg'!D989="","",'Port Bloomberg'!D989)</f>
        <v/>
      </c>
      <c r="E989" s="7" t="str">
        <f>IF('Port Bloomberg'!E989="","",'Port Bloomberg'!E989)</f>
        <v/>
      </c>
      <c r="F989" s="7" t="str">
        <f>IF('Port Bloomberg'!F989="","",'Port Bloomberg'!F989)</f>
        <v/>
      </c>
      <c r="G989" s="7" t="str">
        <f>IF('Port Bloomberg'!G989="","",'Port Bloomberg'!G989)</f>
        <v/>
      </c>
      <c r="H989" s="7" t="str">
        <f>IF('Port Bloomberg'!H989="","",'Port Bloomberg'!H989)</f>
        <v/>
      </c>
      <c r="I989" s="7" t="str">
        <f>IF('Port Bloomberg'!I989="","",'Port Bloomberg'!I989)</f>
        <v/>
      </c>
      <c r="J989" s="7" t="str">
        <f>IF('Port Bloomberg'!J989="","",'Port Bloomberg'!J989)</f>
        <v/>
      </c>
      <c r="K989" s="7" t="str">
        <f>IF('Port Bloomberg'!K989="","",'Port Bloomberg'!K989)</f>
        <v/>
      </c>
      <c r="L989" s="7" t="str">
        <f>IF('Port Bloomberg'!L989="","",'Port Bloomberg'!L989)</f>
        <v/>
      </c>
      <c r="M989" s="7" t="str">
        <f>IF('Port Bloomberg'!M989="","",'Port Bloomberg'!M989)</f>
        <v/>
      </c>
      <c r="N989" s="7" t="str">
        <f>IF('Port Bloomberg'!N989="","",'Port Bloomberg'!N989)</f>
        <v/>
      </c>
      <c r="O989" s="7" t="str">
        <f>IF('Port Bloomberg'!O989="","",'Port Bloomberg'!O989)</f>
        <v/>
      </c>
      <c r="P989" s="7" t="str">
        <f>IF('Port Bloomberg'!P989="","",'Port Bloomberg'!P989)</f>
        <v/>
      </c>
      <c r="Q989" s="7" t="str">
        <f>IF('Port Bloomberg'!Q989="","",'Port Bloomberg'!Q989)</f>
        <v/>
      </c>
      <c r="R989" s="7" t="str">
        <f>IF('Port Bloomberg'!R989="","",'Port Bloomberg'!R989)</f>
        <v/>
      </c>
      <c r="S989" s="5" t="str">
        <f>IF(E989="","",IFERROR(IF(MATCH(E989,[1]Instrumentos!$D:$D,0)&gt;0,1,0),0))</f>
        <v/>
      </c>
      <c r="T989" s="5" t="str">
        <f>IF(E989="","",IFERROR(IF(MATCH(E989,'Lista de excepciones'!$E:$E,0)&gt;0,1,0),0))</f>
        <v/>
      </c>
      <c r="U989" s="6" t="str">
        <f t="shared" si="16"/>
        <v/>
      </c>
    </row>
    <row r="990" spans="1:21" hidden="1" x14ac:dyDescent="0.25">
      <c r="A990" s="7" t="str">
        <f>IF('Port Bloomberg'!A990="","",'Port Bloomberg'!A990)</f>
        <v/>
      </c>
      <c r="B990" s="7" t="str">
        <f>IF('Port Bloomberg'!B990="","",'Port Bloomberg'!B990)</f>
        <v/>
      </c>
      <c r="C990" s="7" t="str">
        <f>IF('Port Bloomberg'!C990="","",'Port Bloomberg'!C990)</f>
        <v/>
      </c>
      <c r="D990" s="7" t="str">
        <f>IF('Port Bloomberg'!D990="","",'Port Bloomberg'!D990)</f>
        <v/>
      </c>
      <c r="E990" s="7" t="str">
        <f>IF('Port Bloomberg'!E990="","",'Port Bloomberg'!E990)</f>
        <v/>
      </c>
      <c r="F990" s="7" t="str">
        <f>IF('Port Bloomberg'!F990="","",'Port Bloomberg'!F990)</f>
        <v/>
      </c>
      <c r="G990" s="7" t="str">
        <f>IF('Port Bloomberg'!G990="","",'Port Bloomberg'!G990)</f>
        <v/>
      </c>
      <c r="H990" s="7" t="str">
        <f>IF('Port Bloomberg'!H990="","",'Port Bloomberg'!H990)</f>
        <v/>
      </c>
      <c r="I990" s="7" t="str">
        <f>IF('Port Bloomberg'!I990="","",'Port Bloomberg'!I990)</f>
        <v/>
      </c>
      <c r="J990" s="7" t="str">
        <f>IF('Port Bloomberg'!J990="","",'Port Bloomberg'!J990)</f>
        <v/>
      </c>
      <c r="K990" s="7" t="str">
        <f>IF('Port Bloomberg'!K990="","",'Port Bloomberg'!K990)</f>
        <v/>
      </c>
      <c r="L990" s="7" t="str">
        <f>IF('Port Bloomberg'!L990="","",'Port Bloomberg'!L990)</f>
        <v/>
      </c>
      <c r="M990" s="7" t="str">
        <f>IF('Port Bloomberg'!M990="","",'Port Bloomberg'!M990)</f>
        <v/>
      </c>
      <c r="N990" s="7" t="str">
        <f>IF('Port Bloomberg'!N990="","",'Port Bloomberg'!N990)</f>
        <v/>
      </c>
      <c r="O990" s="7" t="str">
        <f>IF('Port Bloomberg'!O990="","",'Port Bloomberg'!O990)</f>
        <v/>
      </c>
      <c r="P990" s="7" t="str">
        <f>IF('Port Bloomberg'!P990="","",'Port Bloomberg'!P990)</f>
        <v/>
      </c>
      <c r="Q990" s="7" t="str">
        <f>IF('Port Bloomberg'!Q990="","",'Port Bloomberg'!Q990)</f>
        <v/>
      </c>
      <c r="R990" s="7" t="str">
        <f>IF('Port Bloomberg'!R990="","",'Port Bloomberg'!R990)</f>
        <v/>
      </c>
      <c r="S990" s="5" t="str">
        <f>IF(E990="","",IFERROR(IF(MATCH(E990,[1]Instrumentos!$D:$D,0)&gt;0,1,0),0))</f>
        <v/>
      </c>
      <c r="T990" s="5" t="str">
        <f>IF(E990="","",IFERROR(IF(MATCH(E990,'Lista de excepciones'!$E:$E,0)&gt;0,1,0),0))</f>
        <v/>
      </c>
      <c r="U990" s="6" t="str">
        <f t="shared" si="16"/>
        <v/>
      </c>
    </row>
    <row r="991" spans="1:21" hidden="1" x14ac:dyDescent="0.25">
      <c r="A991" s="7" t="str">
        <f>IF('Port Bloomberg'!A991="","",'Port Bloomberg'!A991)</f>
        <v/>
      </c>
      <c r="B991" s="7" t="str">
        <f>IF('Port Bloomberg'!B991="","",'Port Bloomberg'!B991)</f>
        <v/>
      </c>
      <c r="C991" s="7" t="str">
        <f>IF('Port Bloomberg'!C991="","",'Port Bloomberg'!C991)</f>
        <v/>
      </c>
      <c r="D991" s="7" t="str">
        <f>IF('Port Bloomberg'!D991="","",'Port Bloomberg'!D991)</f>
        <v/>
      </c>
      <c r="E991" s="7" t="str">
        <f>IF('Port Bloomberg'!E991="","",'Port Bloomberg'!E991)</f>
        <v/>
      </c>
      <c r="F991" s="7" t="str">
        <f>IF('Port Bloomberg'!F991="","",'Port Bloomberg'!F991)</f>
        <v/>
      </c>
      <c r="G991" s="7" t="str">
        <f>IF('Port Bloomberg'!G991="","",'Port Bloomberg'!G991)</f>
        <v/>
      </c>
      <c r="H991" s="7" t="str">
        <f>IF('Port Bloomberg'!H991="","",'Port Bloomberg'!H991)</f>
        <v/>
      </c>
      <c r="I991" s="7" t="str">
        <f>IF('Port Bloomberg'!I991="","",'Port Bloomberg'!I991)</f>
        <v/>
      </c>
      <c r="J991" s="7" t="str">
        <f>IF('Port Bloomberg'!J991="","",'Port Bloomberg'!J991)</f>
        <v/>
      </c>
      <c r="K991" s="7" t="str">
        <f>IF('Port Bloomberg'!K991="","",'Port Bloomberg'!K991)</f>
        <v/>
      </c>
      <c r="L991" s="7" t="str">
        <f>IF('Port Bloomberg'!L991="","",'Port Bloomberg'!L991)</f>
        <v/>
      </c>
      <c r="M991" s="7" t="str">
        <f>IF('Port Bloomberg'!M991="","",'Port Bloomberg'!M991)</f>
        <v/>
      </c>
      <c r="N991" s="7" t="str">
        <f>IF('Port Bloomberg'!N991="","",'Port Bloomberg'!N991)</f>
        <v/>
      </c>
      <c r="O991" s="7" t="str">
        <f>IF('Port Bloomberg'!O991="","",'Port Bloomberg'!O991)</f>
        <v/>
      </c>
      <c r="P991" s="7" t="str">
        <f>IF('Port Bloomberg'!P991="","",'Port Bloomberg'!P991)</f>
        <v/>
      </c>
      <c r="Q991" s="7" t="str">
        <f>IF('Port Bloomberg'!Q991="","",'Port Bloomberg'!Q991)</f>
        <v/>
      </c>
      <c r="R991" s="7" t="str">
        <f>IF('Port Bloomberg'!R991="","",'Port Bloomberg'!R991)</f>
        <v/>
      </c>
      <c r="S991" s="5" t="str">
        <f>IF(E991="","",IFERROR(IF(MATCH(E991,[1]Instrumentos!$D:$D,0)&gt;0,1,0),0))</f>
        <v/>
      </c>
      <c r="T991" s="5" t="str">
        <f>IF(E991="","",IFERROR(IF(MATCH(E991,'Lista de excepciones'!$E:$E,0)&gt;0,1,0),0))</f>
        <v/>
      </c>
      <c r="U991" s="6" t="str">
        <f t="shared" si="16"/>
        <v/>
      </c>
    </row>
    <row r="992" spans="1:21" hidden="1" x14ac:dyDescent="0.25">
      <c r="A992" s="7" t="str">
        <f>IF('Port Bloomberg'!A992="","",'Port Bloomberg'!A992)</f>
        <v/>
      </c>
      <c r="B992" s="7" t="str">
        <f>IF('Port Bloomberg'!B992="","",'Port Bloomberg'!B992)</f>
        <v/>
      </c>
      <c r="C992" s="7" t="str">
        <f>IF('Port Bloomberg'!C992="","",'Port Bloomberg'!C992)</f>
        <v/>
      </c>
      <c r="D992" s="7" t="str">
        <f>IF('Port Bloomberg'!D992="","",'Port Bloomberg'!D992)</f>
        <v/>
      </c>
      <c r="E992" s="7" t="str">
        <f>IF('Port Bloomberg'!E992="","",'Port Bloomberg'!E992)</f>
        <v/>
      </c>
      <c r="F992" s="7" t="str">
        <f>IF('Port Bloomberg'!F992="","",'Port Bloomberg'!F992)</f>
        <v/>
      </c>
      <c r="G992" s="7" t="str">
        <f>IF('Port Bloomberg'!G992="","",'Port Bloomberg'!G992)</f>
        <v/>
      </c>
      <c r="H992" s="7" t="str">
        <f>IF('Port Bloomberg'!H992="","",'Port Bloomberg'!H992)</f>
        <v/>
      </c>
      <c r="I992" s="7" t="str">
        <f>IF('Port Bloomberg'!I992="","",'Port Bloomberg'!I992)</f>
        <v/>
      </c>
      <c r="J992" s="7" t="str">
        <f>IF('Port Bloomberg'!J992="","",'Port Bloomberg'!J992)</f>
        <v/>
      </c>
      <c r="K992" s="7" t="str">
        <f>IF('Port Bloomberg'!K992="","",'Port Bloomberg'!K992)</f>
        <v/>
      </c>
      <c r="L992" s="7" t="str">
        <f>IF('Port Bloomberg'!L992="","",'Port Bloomberg'!L992)</f>
        <v/>
      </c>
      <c r="M992" s="7" t="str">
        <f>IF('Port Bloomberg'!M992="","",'Port Bloomberg'!M992)</f>
        <v/>
      </c>
      <c r="N992" s="7" t="str">
        <f>IF('Port Bloomberg'!N992="","",'Port Bloomberg'!N992)</f>
        <v/>
      </c>
      <c r="O992" s="7" t="str">
        <f>IF('Port Bloomberg'!O992="","",'Port Bloomberg'!O992)</f>
        <v/>
      </c>
      <c r="P992" s="7" t="str">
        <f>IF('Port Bloomberg'!P992="","",'Port Bloomberg'!P992)</f>
        <v/>
      </c>
      <c r="Q992" s="7" t="str">
        <f>IF('Port Bloomberg'!Q992="","",'Port Bloomberg'!Q992)</f>
        <v/>
      </c>
      <c r="R992" s="7" t="str">
        <f>IF('Port Bloomberg'!R992="","",'Port Bloomberg'!R992)</f>
        <v/>
      </c>
      <c r="S992" s="5" t="str">
        <f>IF(E992="","",IFERROR(IF(MATCH(E992,[1]Instrumentos!$D:$D,0)&gt;0,1,0),0))</f>
        <v/>
      </c>
      <c r="T992" s="5" t="str">
        <f>IF(E992="","",IFERROR(IF(MATCH(E992,'Lista de excepciones'!$E:$E,0)&gt;0,1,0),0))</f>
        <v/>
      </c>
      <c r="U992" s="6" t="str">
        <f t="shared" si="16"/>
        <v/>
      </c>
    </row>
    <row r="993" spans="1:21" hidden="1" x14ac:dyDescent="0.25">
      <c r="A993" s="7" t="str">
        <f>IF('Port Bloomberg'!A993="","",'Port Bloomberg'!A993)</f>
        <v/>
      </c>
      <c r="B993" s="7" t="str">
        <f>IF('Port Bloomberg'!B993="","",'Port Bloomberg'!B993)</f>
        <v/>
      </c>
      <c r="C993" s="7" t="str">
        <f>IF('Port Bloomberg'!C993="","",'Port Bloomberg'!C993)</f>
        <v/>
      </c>
      <c r="D993" s="7" t="str">
        <f>IF('Port Bloomberg'!D993="","",'Port Bloomberg'!D993)</f>
        <v/>
      </c>
      <c r="E993" s="7" t="str">
        <f>IF('Port Bloomberg'!E993="","",'Port Bloomberg'!E993)</f>
        <v/>
      </c>
      <c r="F993" s="7" t="str">
        <f>IF('Port Bloomberg'!F993="","",'Port Bloomberg'!F993)</f>
        <v/>
      </c>
      <c r="G993" s="7" t="str">
        <f>IF('Port Bloomberg'!G993="","",'Port Bloomberg'!G993)</f>
        <v/>
      </c>
      <c r="H993" s="7" t="str">
        <f>IF('Port Bloomberg'!H993="","",'Port Bloomberg'!H993)</f>
        <v/>
      </c>
      <c r="I993" s="7" t="str">
        <f>IF('Port Bloomberg'!I993="","",'Port Bloomberg'!I993)</f>
        <v/>
      </c>
      <c r="J993" s="7" t="str">
        <f>IF('Port Bloomberg'!J993="","",'Port Bloomberg'!J993)</f>
        <v/>
      </c>
      <c r="K993" s="7" t="str">
        <f>IF('Port Bloomberg'!K993="","",'Port Bloomberg'!K993)</f>
        <v/>
      </c>
      <c r="L993" s="7" t="str">
        <f>IF('Port Bloomberg'!L993="","",'Port Bloomberg'!L993)</f>
        <v/>
      </c>
      <c r="M993" s="7" t="str">
        <f>IF('Port Bloomberg'!M993="","",'Port Bloomberg'!M993)</f>
        <v/>
      </c>
      <c r="N993" s="7" t="str">
        <f>IF('Port Bloomberg'!N993="","",'Port Bloomberg'!N993)</f>
        <v/>
      </c>
      <c r="O993" s="7" t="str">
        <f>IF('Port Bloomberg'!O993="","",'Port Bloomberg'!O993)</f>
        <v/>
      </c>
      <c r="P993" s="7" t="str">
        <f>IF('Port Bloomberg'!P993="","",'Port Bloomberg'!P993)</f>
        <v/>
      </c>
      <c r="Q993" s="7" t="str">
        <f>IF('Port Bloomberg'!Q993="","",'Port Bloomberg'!Q993)</f>
        <v/>
      </c>
      <c r="R993" s="7" t="str">
        <f>IF('Port Bloomberg'!R993="","",'Port Bloomberg'!R993)</f>
        <v/>
      </c>
      <c r="S993" s="5" t="str">
        <f>IF(E993="","",IFERROR(IF(MATCH(E993,[1]Instrumentos!$D:$D,0)&gt;0,1,0),0))</f>
        <v/>
      </c>
      <c r="T993" s="5" t="str">
        <f>IF(E993="","",IFERROR(IF(MATCH(E993,'Lista de excepciones'!$E:$E,0)&gt;0,1,0),0))</f>
        <v/>
      </c>
      <c r="U993" s="6" t="str">
        <f t="shared" si="16"/>
        <v/>
      </c>
    </row>
    <row r="994" spans="1:21" hidden="1" x14ac:dyDescent="0.25">
      <c r="A994" s="7" t="str">
        <f>IF('Port Bloomberg'!A994="","",'Port Bloomberg'!A994)</f>
        <v/>
      </c>
      <c r="B994" s="7" t="str">
        <f>IF('Port Bloomberg'!B994="","",'Port Bloomberg'!B994)</f>
        <v/>
      </c>
      <c r="C994" s="7" t="str">
        <f>IF('Port Bloomberg'!C994="","",'Port Bloomberg'!C994)</f>
        <v/>
      </c>
      <c r="D994" s="7" t="str">
        <f>IF('Port Bloomberg'!D994="","",'Port Bloomberg'!D994)</f>
        <v/>
      </c>
      <c r="E994" s="7" t="str">
        <f>IF('Port Bloomberg'!E994="","",'Port Bloomberg'!E994)</f>
        <v/>
      </c>
      <c r="F994" s="7" t="str">
        <f>IF('Port Bloomberg'!F994="","",'Port Bloomberg'!F994)</f>
        <v/>
      </c>
      <c r="G994" s="7" t="str">
        <f>IF('Port Bloomberg'!G994="","",'Port Bloomberg'!G994)</f>
        <v/>
      </c>
      <c r="H994" s="7" t="str">
        <f>IF('Port Bloomberg'!H994="","",'Port Bloomberg'!H994)</f>
        <v/>
      </c>
      <c r="I994" s="7" t="str">
        <f>IF('Port Bloomberg'!I994="","",'Port Bloomberg'!I994)</f>
        <v/>
      </c>
      <c r="J994" s="7" t="str">
        <f>IF('Port Bloomberg'!J994="","",'Port Bloomberg'!J994)</f>
        <v/>
      </c>
      <c r="K994" s="7" t="str">
        <f>IF('Port Bloomberg'!K994="","",'Port Bloomberg'!K994)</f>
        <v/>
      </c>
      <c r="L994" s="7" t="str">
        <f>IF('Port Bloomberg'!L994="","",'Port Bloomberg'!L994)</f>
        <v/>
      </c>
      <c r="M994" s="7" t="str">
        <f>IF('Port Bloomberg'!M994="","",'Port Bloomberg'!M994)</f>
        <v/>
      </c>
      <c r="N994" s="7" t="str">
        <f>IF('Port Bloomberg'!N994="","",'Port Bloomberg'!N994)</f>
        <v/>
      </c>
      <c r="O994" s="7" t="str">
        <f>IF('Port Bloomberg'!O994="","",'Port Bloomberg'!O994)</f>
        <v/>
      </c>
      <c r="P994" s="7" t="str">
        <f>IF('Port Bloomberg'!P994="","",'Port Bloomberg'!P994)</f>
        <v/>
      </c>
      <c r="Q994" s="7" t="str">
        <f>IF('Port Bloomberg'!Q994="","",'Port Bloomberg'!Q994)</f>
        <v/>
      </c>
      <c r="R994" s="7" t="str">
        <f>IF('Port Bloomberg'!R994="","",'Port Bloomberg'!R994)</f>
        <v/>
      </c>
      <c r="S994" s="5" t="str">
        <f>IF(E994="","",IFERROR(IF(MATCH(E994,[1]Instrumentos!$D:$D,0)&gt;0,1,0),0))</f>
        <v/>
      </c>
      <c r="T994" s="5" t="str">
        <f>IF(E994="","",IFERROR(IF(MATCH(E994,'Lista de excepciones'!$E:$E,0)&gt;0,1,0),0))</f>
        <v/>
      </c>
      <c r="U994" s="6" t="str">
        <f t="shared" si="16"/>
        <v/>
      </c>
    </row>
    <row r="995" spans="1:21" hidden="1" x14ac:dyDescent="0.25">
      <c r="A995" s="7" t="str">
        <f>IF('Port Bloomberg'!A995="","",'Port Bloomberg'!A995)</f>
        <v/>
      </c>
      <c r="B995" s="7" t="str">
        <f>IF('Port Bloomberg'!B995="","",'Port Bloomberg'!B995)</f>
        <v/>
      </c>
      <c r="C995" s="7" t="str">
        <f>IF('Port Bloomberg'!C995="","",'Port Bloomberg'!C995)</f>
        <v/>
      </c>
      <c r="D995" s="7" t="str">
        <f>IF('Port Bloomberg'!D995="","",'Port Bloomberg'!D995)</f>
        <v/>
      </c>
      <c r="E995" s="7" t="str">
        <f>IF('Port Bloomberg'!E995="","",'Port Bloomberg'!E995)</f>
        <v/>
      </c>
      <c r="F995" s="7" t="str">
        <f>IF('Port Bloomberg'!F995="","",'Port Bloomberg'!F995)</f>
        <v/>
      </c>
      <c r="G995" s="7" t="str">
        <f>IF('Port Bloomberg'!G995="","",'Port Bloomberg'!G995)</f>
        <v/>
      </c>
      <c r="H995" s="7" t="str">
        <f>IF('Port Bloomberg'!H995="","",'Port Bloomberg'!H995)</f>
        <v/>
      </c>
      <c r="I995" s="7" t="str">
        <f>IF('Port Bloomberg'!I995="","",'Port Bloomberg'!I995)</f>
        <v/>
      </c>
      <c r="J995" s="7" t="str">
        <f>IF('Port Bloomberg'!J995="","",'Port Bloomberg'!J995)</f>
        <v/>
      </c>
      <c r="K995" s="7" t="str">
        <f>IF('Port Bloomberg'!K995="","",'Port Bloomberg'!K995)</f>
        <v/>
      </c>
      <c r="L995" s="7" t="str">
        <f>IF('Port Bloomberg'!L995="","",'Port Bloomberg'!L995)</f>
        <v/>
      </c>
      <c r="M995" s="7" t="str">
        <f>IF('Port Bloomberg'!M995="","",'Port Bloomberg'!M995)</f>
        <v/>
      </c>
      <c r="N995" s="7" t="str">
        <f>IF('Port Bloomberg'!N995="","",'Port Bloomberg'!N995)</f>
        <v/>
      </c>
      <c r="O995" s="7" t="str">
        <f>IF('Port Bloomberg'!O995="","",'Port Bloomberg'!O995)</f>
        <v/>
      </c>
      <c r="P995" s="7" t="str">
        <f>IF('Port Bloomberg'!P995="","",'Port Bloomberg'!P995)</f>
        <v/>
      </c>
      <c r="Q995" s="7" t="str">
        <f>IF('Port Bloomberg'!Q995="","",'Port Bloomberg'!Q995)</f>
        <v/>
      </c>
      <c r="R995" s="7" t="str">
        <f>IF('Port Bloomberg'!R995="","",'Port Bloomberg'!R995)</f>
        <v/>
      </c>
      <c r="S995" s="5" t="str">
        <f>IF(E995="","",IFERROR(IF(MATCH(E995,[1]Instrumentos!$D:$D,0)&gt;0,1,0),0))</f>
        <v/>
      </c>
      <c r="T995" s="5" t="str">
        <f>IF(E995="","",IFERROR(IF(MATCH(E995,'Lista de excepciones'!$E:$E,0)&gt;0,1,0),0))</f>
        <v/>
      </c>
      <c r="U995" s="6" t="str">
        <f t="shared" si="16"/>
        <v/>
      </c>
    </row>
    <row r="996" spans="1:21" hidden="1" x14ac:dyDescent="0.25">
      <c r="A996" s="7" t="str">
        <f>IF('Port Bloomberg'!A996="","",'Port Bloomberg'!A996)</f>
        <v/>
      </c>
      <c r="B996" s="7" t="str">
        <f>IF('Port Bloomberg'!B996="","",'Port Bloomberg'!B996)</f>
        <v/>
      </c>
      <c r="C996" s="7" t="str">
        <f>IF('Port Bloomberg'!C996="","",'Port Bloomberg'!C996)</f>
        <v/>
      </c>
      <c r="D996" s="7" t="str">
        <f>IF('Port Bloomberg'!D996="","",'Port Bloomberg'!D996)</f>
        <v/>
      </c>
      <c r="E996" s="7" t="str">
        <f>IF('Port Bloomberg'!E996="","",'Port Bloomberg'!E996)</f>
        <v/>
      </c>
      <c r="F996" s="7" t="str">
        <f>IF('Port Bloomberg'!F996="","",'Port Bloomberg'!F996)</f>
        <v/>
      </c>
      <c r="G996" s="7" t="str">
        <f>IF('Port Bloomberg'!G996="","",'Port Bloomberg'!G996)</f>
        <v/>
      </c>
      <c r="H996" s="7" t="str">
        <f>IF('Port Bloomberg'!H996="","",'Port Bloomberg'!H996)</f>
        <v/>
      </c>
      <c r="I996" s="7" t="str">
        <f>IF('Port Bloomberg'!I996="","",'Port Bloomberg'!I996)</f>
        <v/>
      </c>
      <c r="J996" s="7" t="str">
        <f>IF('Port Bloomberg'!J996="","",'Port Bloomberg'!J996)</f>
        <v/>
      </c>
      <c r="K996" s="7" t="str">
        <f>IF('Port Bloomberg'!K996="","",'Port Bloomberg'!K996)</f>
        <v/>
      </c>
      <c r="L996" s="7" t="str">
        <f>IF('Port Bloomberg'!L996="","",'Port Bloomberg'!L996)</f>
        <v/>
      </c>
      <c r="M996" s="7" t="str">
        <f>IF('Port Bloomberg'!M996="","",'Port Bloomberg'!M996)</f>
        <v/>
      </c>
      <c r="N996" s="7" t="str">
        <f>IF('Port Bloomberg'!N996="","",'Port Bloomberg'!N996)</f>
        <v/>
      </c>
      <c r="O996" s="7" t="str">
        <f>IF('Port Bloomberg'!O996="","",'Port Bloomberg'!O996)</f>
        <v/>
      </c>
      <c r="P996" s="7" t="str">
        <f>IF('Port Bloomberg'!P996="","",'Port Bloomberg'!P996)</f>
        <v/>
      </c>
      <c r="Q996" s="7" t="str">
        <f>IF('Port Bloomberg'!Q996="","",'Port Bloomberg'!Q996)</f>
        <v/>
      </c>
      <c r="R996" s="7" t="str">
        <f>IF('Port Bloomberg'!R996="","",'Port Bloomberg'!R996)</f>
        <v/>
      </c>
      <c r="S996" s="5" t="str">
        <f>IF(E996="","",IFERROR(IF(MATCH(E996,[1]Instrumentos!$D:$D,0)&gt;0,1,0),0))</f>
        <v/>
      </c>
      <c r="T996" s="5" t="str">
        <f>IF(E996="","",IFERROR(IF(MATCH(E996,'Lista de excepciones'!$E:$E,0)&gt;0,1,0),0))</f>
        <v/>
      </c>
      <c r="U996" s="6" t="str">
        <f t="shared" si="16"/>
        <v/>
      </c>
    </row>
    <row r="997" spans="1:21" hidden="1" x14ac:dyDescent="0.25">
      <c r="A997" s="7" t="str">
        <f>IF('Port Bloomberg'!A997="","",'Port Bloomberg'!A997)</f>
        <v/>
      </c>
      <c r="B997" s="7" t="str">
        <f>IF('Port Bloomberg'!B997="","",'Port Bloomberg'!B997)</f>
        <v/>
      </c>
      <c r="C997" s="7" t="str">
        <f>IF('Port Bloomberg'!C997="","",'Port Bloomberg'!C997)</f>
        <v/>
      </c>
      <c r="D997" s="7" t="str">
        <f>IF('Port Bloomberg'!D997="","",'Port Bloomberg'!D997)</f>
        <v/>
      </c>
      <c r="E997" s="7" t="str">
        <f>IF('Port Bloomberg'!E997="","",'Port Bloomberg'!E997)</f>
        <v/>
      </c>
      <c r="F997" s="7" t="str">
        <f>IF('Port Bloomberg'!F997="","",'Port Bloomberg'!F997)</f>
        <v/>
      </c>
      <c r="G997" s="7" t="str">
        <f>IF('Port Bloomberg'!G997="","",'Port Bloomberg'!G997)</f>
        <v/>
      </c>
      <c r="H997" s="7" t="str">
        <f>IF('Port Bloomberg'!H997="","",'Port Bloomberg'!H997)</f>
        <v/>
      </c>
      <c r="I997" s="7" t="str">
        <f>IF('Port Bloomberg'!I997="","",'Port Bloomberg'!I997)</f>
        <v/>
      </c>
      <c r="J997" s="7" t="str">
        <f>IF('Port Bloomberg'!J997="","",'Port Bloomberg'!J997)</f>
        <v/>
      </c>
      <c r="K997" s="7" t="str">
        <f>IF('Port Bloomberg'!K997="","",'Port Bloomberg'!K997)</f>
        <v/>
      </c>
      <c r="L997" s="7" t="str">
        <f>IF('Port Bloomberg'!L997="","",'Port Bloomberg'!L997)</f>
        <v/>
      </c>
      <c r="M997" s="7" t="str">
        <f>IF('Port Bloomberg'!M997="","",'Port Bloomberg'!M997)</f>
        <v/>
      </c>
      <c r="N997" s="7" t="str">
        <f>IF('Port Bloomberg'!N997="","",'Port Bloomberg'!N997)</f>
        <v/>
      </c>
      <c r="O997" s="7" t="str">
        <f>IF('Port Bloomberg'!O997="","",'Port Bloomberg'!O997)</f>
        <v/>
      </c>
      <c r="P997" s="7" t="str">
        <f>IF('Port Bloomberg'!P997="","",'Port Bloomberg'!P997)</f>
        <v/>
      </c>
      <c r="Q997" s="7" t="str">
        <f>IF('Port Bloomberg'!Q997="","",'Port Bloomberg'!Q997)</f>
        <v/>
      </c>
      <c r="R997" s="7" t="str">
        <f>IF('Port Bloomberg'!R997="","",'Port Bloomberg'!R997)</f>
        <v/>
      </c>
      <c r="S997" s="5" t="str">
        <f>IF(E997="","",IFERROR(IF(MATCH(E997,[1]Instrumentos!$D:$D,0)&gt;0,1,0),0))</f>
        <v/>
      </c>
      <c r="T997" s="5" t="str">
        <f>IF(E997="","",IFERROR(IF(MATCH(E997,'Lista de excepciones'!$E:$E,0)&gt;0,1,0),0))</f>
        <v/>
      </c>
      <c r="U997" s="6" t="str">
        <f t="shared" si="16"/>
        <v/>
      </c>
    </row>
    <row r="998" spans="1:21" hidden="1" x14ac:dyDescent="0.25">
      <c r="A998" s="7" t="str">
        <f>IF('Port Bloomberg'!A998="","",'Port Bloomberg'!A998)</f>
        <v/>
      </c>
      <c r="B998" s="7" t="str">
        <f>IF('Port Bloomberg'!B998="","",'Port Bloomberg'!B998)</f>
        <v/>
      </c>
      <c r="C998" s="7" t="str">
        <f>IF('Port Bloomberg'!C998="","",'Port Bloomberg'!C998)</f>
        <v/>
      </c>
      <c r="D998" s="7" t="str">
        <f>IF('Port Bloomberg'!D998="","",'Port Bloomberg'!D998)</f>
        <v/>
      </c>
      <c r="E998" s="7" t="str">
        <f>IF('Port Bloomberg'!E998="","",'Port Bloomberg'!E998)</f>
        <v/>
      </c>
      <c r="F998" s="7" t="str">
        <f>IF('Port Bloomberg'!F998="","",'Port Bloomberg'!F998)</f>
        <v/>
      </c>
      <c r="G998" s="7" t="str">
        <f>IF('Port Bloomberg'!G998="","",'Port Bloomberg'!G998)</f>
        <v/>
      </c>
      <c r="H998" s="7" t="str">
        <f>IF('Port Bloomberg'!H998="","",'Port Bloomberg'!H998)</f>
        <v/>
      </c>
      <c r="I998" s="7" t="str">
        <f>IF('Port Bloomberg'!I998="","",'Port Bloomberg'!I998)</f>
        <v/>
      </c>
      <c r="J998" s="7" t="str">
        <f>IF('Port Bloomberg'!J998="","",'Port Bloomberg'!J998)</f>
        <v/>
      </c>
      <c r="K998" s="7" t="str">
        <f>IF('Port Bloomberg'!K998="","",'Port Bloomberg'!K998)</f>
        <v/>
      </c>
      <c r="L998" s="7" t="str">
        <f>IF('Port Bloomberg'!L998="","",'Port Bloomberg'!L998)</f>
        <v/>
      </c>
      <c r="M998" s="7" t="str">
        <f>IF('Port Bloomberg'!M998="","",'Port Bloomberg'!M998)</f>
        <v/>
      </c>
      <c r="N998" s="7" t="str">
        <f>IF('Port Bloomberg'!N998="","",'Port Bloomberg'!N998)</f>
        <v/>
      </c>
      <c r="O998" s="7" t="str">
        <f>IF('Port Bloomberg'!O998="","",'Port Bloomberg'!O998)</f>
        <v/>
      </c>
      <c r="P998" s="7" t="str">
        <f>IF('Port Bloomberg'!P998="","",'Port Bloomberg'!P998)</f>
        <v/>
      </c>
      <c r="Q998" s="7" t="str">
        <f>IF('Port Bloomberg'!Q998="","",'Port Bloomberg'!Q998)</f>
        <v/>
      </c>
      <c r="R998" s="7" t="str">
        <f>IF('Port Bloomberg'!R998="","",'Port Bloomberg'!R998)</f>
        <v/>
      </c>
      <c r="S998" s="5" t="str">
        <f>IF(E998="","",IFERROR(IF(MATCH(E998,[1]Instrumentos!$D:$D,0)&gt;0,1,0),0))</f>
        <v/>
      </c>
      <c r="T998" s="5" t="str">
        <f>IF(E998="","",IFERROR(IF(MATCH(E998,'Lista de excepciones'!$E:$E,0)&gt;0,1,0),0))</f>
        <v/>
      </c>
      <c r="U998" s="6" t="str">
        <f t="shared" si="16"/>
        <v/>
      </c>
    </row>
    <row r="999" spans="1:21" hidden="1" x14ac:dyDescent="0.25">
      <c r="A999" s="7" t="str">
        <f>IF('Port Bloomberg'!A999="","",'Port Bloomberg'!A999)</f>
        <v/>
      </c>
      <c r="B999" s="7" t="str">
        <f>IF('Port Bloomberg'!B999="","",'Port Bloomberg'!B999)</f>
        <v/>
      </c>
      <c r="C999" s="7" t="str">
        <f>IF('Port Bloomberg'!C999="","",'Port Bloomberg'!C999)</f>
        <v/>
      </c>
      <c r="D999" s="7" t="str">
        <f>IF('Port Bloomberg'!D999="","",'Port Bloomberg'!D999)</f>
        <v/>
      </c>
      <c r="E999" s="7" t="str">
        <f>IF('Port Bloomberg'!E999="","",'Port Bloomberg'!E999)</f>
        <v/>
      </c>
      <c r="F999" s="7" t="str">
        <f>IF('Port Bloomberg'!F999="","",'Port Bloomberg'!F999)</f>
        <v/>
      </c>
      <c r="G999" s="7" t="str">
        <f>IF('Port Bloomberg'!G999="","",'Port Bloomberg'!G999)</f>
        <v/>
      </c>
      <c r="H999" s="7" t="str">
        <f>IF('Port Bloomberg'!H999="","",'Port Bloomberg'!H999)</f>
        <v/>
      </c>
      <c r="I999" s="7" t="str">
        <f>IF('Port Bloomberg'!I999="","",'Port Bloomberg'!I999)</f>
        <v/>
      </c>
      <c r="J999" s="7" t="str">
        <f>IF('Port Bloomberg'!J999="","",'Port Bloomberg'!J999)</f>
        <v/>
      </c>
      <c r="K999" s="7" t="str">
        <f>IF('Port Bloomberg'!K999="","",'Port Bloomberg'!K999)</f>
        <v/>
      </c>
      <c r="L999" s="7" t="str">
        <f>IF('Port Bloomberg'!L999="","",'Port Bloomberg'!L999)</f>
        <v/>
      </c>
      <c r="M999" s="7" t="str">
        <f>IF('Port Bloomberg'!M999="","",'Port Bloomberg'!M999)</f>
        <v/>
      </c>
      <c r="N999" s="7" t="str">
        <f>IF('Port Bloomberg'!N999="","",'Port Bloomberg'!N999)</f>
        <v/>
      </c>
      <c r="O999" s="7" t="str">
        <f>IF('Port Bloomberg'!O999="","",'Port Bloomberg'!O999)</f>
        <v/>
      </c>
      <c r="P999" s="7" t="str">
        <f>IF('Port Bloomberg'!P999="","",'Port Bloomberg'!P999)</f>
        <v/>
      </c>
      <c r="Q999" s="7" t="str">
        <f>IF('Port Bloomberg'!Q999="","",'Port Bloomberg'!Q999)</f>
        <v/>
      </c>
      <c r="R999" s="7" t="str">
        <f>IF('Port Bloomberg'!R999="","",'Port Bloomberg'!R999)</f>
        <v/>
      </c>
      <c r="S999" s="5" t="str">
        <f>IF(E999="","",IFERROR(IF(MATCH(E999,[1]Instrumentos!$D:$D,0)&gt;0,1,0),0))</f>
        <v/>
      </c>
      <c r="T999" s="5" t="str">
        <f>IF(E999="","",IFERROR(IF(MATCH(E999,'Lista de excepciones'!$E:$E,0)&gt;0,1,0),0))</f>
        <v/>
      </c>
      <c r="U999" s="6" t="str">
        <f t="shared" si="16"/>
        <v/>
      </c>
    </row>
    <row r="1000" spans="1:21" hidden="1" x14ac:dyDescent="0.25">
      <c r="A1000" s="7" t="str">
        <f>IF('Port Bloomberg'!A1000="","",'Port Bloomberg'!A1000)</f>
        <v/>
      </c>
      <c r="B1000" s="7" t="str">
        <f>IF('Port Bloomberg'!B1000="","",'Port Bloomberg'!B1000)</f>
        <v/>
      </c>
      <c r="C1000" s="7" t="str">
        <f>IF('Port Bloomberg'!C1000="","",'Port Bloomberg'!C1000)</f>
        <v/>
      </c>
      <c r="D1000" s="7" t="str">
        <f>IF('Port Bloomberg'!D1000="","",'Port Bloomberg'!D1000)</f>
        <v/>
      </c>
      <c r="E1000" s="7" t="str">
        <f>IF('Port Bloomberg'!E1000="","",'Port Bloomberg'!E1000)</f>
        <v/>
      </c>
      <c r="F1000" s="7" t="str">
        <f>IF('Port Bloomberg'!F1000="","",'Port Bloomberg'!F1000)</f>
        <v/>
      </c>
      <c r="G1000" s="7" t="str">
        <f>IF('Port Bloomberg'!G1000="","",'Port Bloomberg'!G1000)</f>
        <v/>
      </c>
      <c r="H1000" s="7" t="str">
        <f>IF('Port Bloomberg'!H1000="","",'Port Bloomberg'!H1000)</f>
        <v/>
      </c>
      <c r="I1000" s="7" t="str">
        <f>IF('Port Bloomberg'!I1000="","",'Port Bloomberg'!I1000)</f>
        <v/>
      </c>
      <c r="J1000" s="7" t="str">
        <f>IF('Port Bloomberg'!J1000="","",'Port Bloomberg'!J1000)</f>
        <v/>
      </c>
      <c r="K1000" s="7" t="str">
        <f>IF('Port Bloomberg'!K1000="","",'Port Bloomberg'!K1000)</f>
        <v/>
      </c>
      <c r="L1000" s="7" t="str">
        <f>IF('Port Bloomberg'!L1000="","",'Port Bloomberg'!L1000)</f>
        <v/>
      </c>
      <c r="M1000" s="7" t="str">
        <f>IF('Port Bloomberg'!M1000="","",'Port Bloomberg'!M1000)</f>
        <v/>
      </c>
      <c r="N1000" s="7" t="str">
        <f>IF('Port Bloomberg'!N1000="","",'Port Bloomberg'!N1000)</f>
        <v/>
      </c>
      <c r="O1000" s="7" t="str">
        <f>IF('Port Bloomberg'!O1000="","",'Port Bloomberg'!O1000)</f>
        <v/>
      </c>
      <c r="P1000" s="7" t="str">
        <f>IF('Port Bloomberg'!P1000="","",'Port Bloomberg'!P1000)</f>
        <v/>
      </c>
      <c r="Q1000" s="7" t="str">
        <f>IF('Port Bloomberg'!Q1000="","",'Port Bloomberg'!Q1000)</f>
        <v/>
      </c>
      <c r="R1000" s="7" t="str">
        <f>IF('Port Bloomberg'!R1000="","",'Port Bloomberg'!R1000)</f>
        <v/>
      </c>
      <c r="S1000" s="5" t="str">
        <f>IF(E1000="","",IFERROR(IF(MATCH(E1000,[1]Instrumentos!$D:$D,0)&gt;0,1,0),0))</f>
        <v/>
      </c>
      <c r="T1000" s="5" t="str">
        <f>IF(E1000="","",IFERROR(IF(MATCH(E1000,'Lista de excepciones'!$E:$E,0)&gt;0,1,0),0))</f>
        <v/>
      </c>
      <c r="U1000" s="6" t="str">
        <f t="shared" si="16"/>
        <v/>
      </c>
    </row>
    <row r="1001" spans="1:21" hidden="1" x14ac:dyDescent="0.25">
      <c r="A1001" s="7" t="str">
        <f>IF('Port Bloomberg'!A1001="","",'Port Bloomberg'!A1001)</f>
        <v/>
      </c>
      <c r="B1001" s="7" t="str">
        <f>IF('Port Bloomberg'!B1001="","",'Port Bloomberg'!B1001)</f>
        <v/>
      </c>
      <c r="C1001" s="7" t="str">
        <f>IF('Port Bloomberg'!C1001="","",'Port Bloomberg'!C1001)</f>
        <v/>
      </c>
      <c r="D1001" s="7" t="str">
        <f>IF('Port Bloomberg'!D1001="","",'Port Bloomberg'!D1001)</f>
        <v/>
      </c>
      <c r="E1001" s="7" t="str">
        <f>IF('Port Bloomberg'!E1001="","",'Port Bloomberg'!E1001)</f>
        <v/>
      </c>
      <c r="F1001" s="7" t="str">
        <f>IF('Port Bloomberg'!F1001="","",'Port Bloomberg'!F1001)</f>
        <v/>
      </c>
      <c r="G1001" s="7" t="str">
        <f>IF('Port Bloomberg'!G1001="","",'Port Bloomberg'!G1001)</f>
        <v/>
      </c>
      <c r="H1001" s="7" t="str">
        <f>IF('Port Bloomberg'!H1001="","",'Port Bloomberg'!H1001)</f>
        <v/>
      </c>
      <c r="I1001" s="7" t="str">
        <f>IF('Port Bloomberg'!I1001="","",'Port Bloomberg'!I1001)</f>
        <v/>
      </c>
      <c r="J1001" s="7" t="str">
        <f>IF('Port Bloomberg'!J1001="","",'Port Bloomberg'!J1001)</f>
        <v/>
      </c>
      <c r="K1001" s="7" t="str">
        <f>IF('Port Bloomberg'!K1001="","",'Port Bloomberg'!K1001)</f>
        <v/>
      </c>
      <c r="L1001" s="7" t="str">
        <f>IF('Port Bloomberg'!L1001="","",'Port Bloomberg'!L1001)</f>
        <v/>
      </c>
      <c r="M1001" s="7" t="str">
        <f>IF('Port Bloomberg'!M1001="","",'Port Bloomberg'!M1001)</f>
        <v/>
      </c>
      <c r="N1001" s="7" t="str">
        <f>IF('Port Bloomberg'!N1001="","",'Port Bloomberg'!N1001)</f>
        <v/>
      </c>
      <c r="O1001" s="7" t="str">
        <f>IF('Port Bloomberg'!O1001="","",'Port Bloomberg'!O1001)</f>
        <v/>
      </c>
      <c r="P1001" s="7" t="str">
        <f>IF('Port Bloomberg'!P1001="","",'Port Bloomberg'!P1001)</f>
        <v/>
      </c>
      <c r="Q1001" s="7" t="str">
        <f>IF('Port Bloomberg'!Q1001="","",'Port Bloomberg'!Q1001)</f>
        <v/>
      </c>
      <c r="R1001" s="7" t="str">
        <f>IF('Port Bloomberg'!R1001="","",'Port Bloomberg'!R1001)</f>
        <v/>
      </c>
      <c r="S1001" s="5" t="str">
        <f>IF(E1001="","",IFERROR(IF(MATCH(E1001,[1]Instrumentos!$D:$D,0)&gt;0,1,0),0))</f>
        <v/>
      </c>
      <c r="T1001" s="5" t="str">
        <f>IF(E1001="","",IFERROR(IF(MATCH(E1001,'Lista de excepciones'!$E:$E,0)&gt;0,1,0),0))</f>
        <v/>
      </c>
      <c r="U1001" s="6" t="str">
        <f t="shared" si="16"/>
        <v/>
      </c>
    </row>
    <row r="1002" spans="1:21" hidden="1" x14ac:dyDescent="0.25">
      <c r="A1002" s="7" t="str">
        <f>IF('Port Bloomberg'!A1002="","",'Port Bloomberg'!A1002)</f>
        <v/>
      </c>
      <c r="B1002" s="7" t="str">
        <f>IF('Port Bloomberg'!B1002="","",'Port Bloomberg'!B1002)</f>
        <v/>
      </c>
      <c r="C1002" s="7" t="str">
        <f>IF('Port Bloomberg'!C1002="","",'Port Bloomberg'!C1002)</f>
        <v/>
      </c>
      <c r="D1002" s="7" t="str">
        <f>IF('Port Bloomberg'!D1002="","",'Port Bloomberg'!D1002)</f>
        <v/>
      </c>
      <c r="E1002" s="7" t="str">
        <f>IF('Port Bloomberg'!E1002="","",'Port Bloomberg'!E1002)</f>
        <v/>
      </c>
      <c r="F1002" s="7" t="str">
        <f>IF('Port Bloomberg'!F1002="","",'Port Bloomberg'!F1002)</f>
        <v/>
      </c>
      <c r="G1002" s="7" t="str">
        <f>IF('Port Bloomberg'!G1002="","",'Port Bloomberg'!G1002)</f>
        <v/>
      </c>
      <c r="H1002" s="7" t="str">
        <f>IF('Port Bloomberg'!H1002="","",'Port Bloomberg'!H1002)</f>
        <v/>
      </c>
      <c r="I1002" s="7" t="str">
        <f>IF('Port Bloomberg'!I1002="","",'Port Bloomberg'!I1002)</f>
        <v/>
      </c>
      <c r="J1002" s="7" t="str">
        <f>IF('Port Bloomberg'!J1002="","",'Port Bloomberg'!J1002)</f>
        <v/>
      </c>
      <c r="K1002" s="7" t="str">
        <f>IF('Port Bloomberg'!K1002="","",'Port Bloomberg'!K1002)</f>
        <v/>
      </c>
      <c r="L1002" s="7" t="str">
        <f>IF('Port Bloomberg'!L1002="","",'Port Bloomberg'!L1002)</f>
        <v/>
      </c>
      <c r="M1002" s="7" t="str">
        <f>IF('Port Bloomberg'!M1002="","",'Port Bloomberg'!M1002)</f>
        <v/>
      </c>
      <c r="N1002" s="7" t="str">
        <f>IF('Port Bloomberg'!N1002="","",'Port Bloomberg'!N1002)</f>
        <v/>
      </c>
      <c r="O1002" s="7" t="str">
        <f>IF('Port Bloomberg'!O1002="","",'Port Bloomberg'!O1002)</f>
        <v/>
      </c>
      <c r="P1002" s="7" t="str">
        <f>IF('Port Bloomberg'!P1002="","",'Port Bloomberg'!P1002)</f>
        <v/>
      </c>
      <c r="Q1002" s="7" t="str">
        <f>IF('Port Bloomberg'!Q1002="","",'Port Bloomberg'!Q1002)</f>
        <v/>
      </c>
      <c r="R1002" s="7" t="str">
        <f>IF('Port Bloomberg'!R1002="","",'Port Bloomberg'!R1002)</f>
        <v/>
      </c>
      <c r="S1002" s="5" t="str">
        <f>IF(E1002="","",IFERROR(IF(MATCH(E1002,[1]Instrumentos!$D:$D,0)&gt;0,1,0),0))</f>
        <v/>
      </c>
      <c r="T1002" s="5" t="str">
        <f>IF(E1002="","",IFERROR(IF(MATCH(E1002,'Lista de excepciones'!$E:$E,0)&gt;0,1,0),0))</f>
        <v/>
      </c>
      <c r="U1002" s="6" t="str">
        <f t="shared" si="16"/>
        <v/>
      </c>
    </row>
    <row r="1003" spans="1:21" hidden="1" x14ac:dyDescent="0.25">
      <c r="A1003" s="7" t="str">
        <f>IF('Port Bloomberg'!A1003="","",'Port Bloomberg'!A1003)</f>
        <v/>
      </c>
      <c r="B1003" s="7" t="str">
        <f>IF('Port Bloomberg'!B1003="","",'Port Bloomberg'!B1003)</f>
        <v/>
      </c>
      <c r="C1003" s="7" t="str">
        <f>IF('Port Bloomberg'!C1003="","",'Port Bloomberg'!C1003)</f>
        <v/>
      </c>
      <c r="D1003" s="7" t="str">
        <f>IF('Port Bloomberg'!D1003="","",'Port Bloomberg'!D1003)</f>
        <v/>
      </c>
      <c r="E1003" s="7" t="str">
        <f>IF('Port Bloomberg'!E1003="","",'Port Bloomberg'!E1003)</f>
        <v/>
      </c>
      <c r="F1003" s="7" t="str">
        <f>IF('Port Bloomberg'!F1003="","",'Port Bloomberg'!F1003)</f>
        <v/>
      </c>
      <c r="G1003" s="7" t="str">
        <f>IF('Port Bloomberg'!G1003="","",'Port Bloomberg'!G1003)</f>
        <v/>
      </c>
      <c r="H1003" s="7" t="str">
        <f>IF('Port Bloomberg'!H1003="","",'Port Bloomberg'!H1003)</f>
        <v/>
      </c>
      <c r="I1003" s="7" t="str">
        <f>IF('Port Bloomberg'!I1003="","",'Port Bloomberg'!I1003)</f>
        <v/>
      </c>
      <c r="J1003" s="7" t="str">
        <f>IF('Port Bloomberg'!J1003="","",'Port Bloomberg'!J1003)</f>
        <v/>
      </c>
      <c r="K1003" s="7" t="str">
        <f>IF('Port Bloomberg'!K1003="","",'Port Bloomberg'!K1003)</f>
        <v/>
      </c>
      <c r="L1003" s="7" t="str">
        <f>IF('Port Bloomberg'!L1003="","",'Port Bloomberg'!L1003)</f>
        <v/>
      </c>
      <c r="M1003" s="7" t="str">
        <f>IF('Port Bloomberg'!M1003="","",'Port Bloomberg'!M1003)</f>
        <v/>
      </c>
      <c r="N1003" s="7" t="str">
        <f>IF('Port Bloomberg'!N1003="","",'Port Bloomberg'!N1003)</f>
        <v/>
      </c>
      <c r="O1003" s="7" t="str">
        <f>IF('Port Bloomberg'!O1003="","",'Port Bloomberg'!O1003)</f>
        <v/>
      </c>
      <c r="P1003" s="7" t="str">
        <f>IF('Port Bloomberg'!P1003="","",'Port Bloomberg'!P1003)</f>
        <v/>
      </c>
      <c r="Q1003" s="7" t="str">
        <f>IF('Port Bloomberg'!Q1003="","",'Port Bloomberg'!Q1003)</f>
        <v/>
      </c>
      <c r="R1003" s="7" t="str">
        <f>IF('Port Bloomberg'!R1003="","",'Port Bloomberg'!R1003)</f>
        <v/>
      </c>
      <c r="S1003" s="5" t="str">
        <f>IF(E1003="","",IFERROR(IF(MATCH(E1003,[1]Instrumentos!$D:$D,0)&gt;0,1,0),0))</f>
        <v/>
      </c>
      <c r="T1003" s="5" t="str">
        <f>IF(E1003="","",IFERROR(IF(MATCH(E1003,'Lista de excepciones'!$E:$E,0)&gt;0,1,0),0))</f>
        <v/>
      </c>
      <c r="U1003" s="6" t="str">
        <f t="shared" si="16"/>
        <v/>
      </c>
    </row>
    <row r="1004" spans="1:21" hidden="1" x14ac:dyDescent="0.25">
      <c r="A1004" s="7" t="str">
        <f>IF('Port Bloomberg'!A1004="","",'Port Bloomberg'!A1004)</f>
        <v/>
      </c>
      <c r="B1004" s="7" t="str">
        <f>IF('Port Bloomberg'!B1004="","",'Port Bloomberg'!B1004)</f>
        <v/>
      </c>
      <c r="C1004" s="7" t="str">
        <f>IF('Port Bloomberg'!C1004="","",'Port Bloomberg'!C1004)</f>
        <v/>
      </c>
      <c r="D1004" s="7" t="str">
        <f>IF('Port Bloomberg'!D1004="","",'Port Bloomberg'!D1004)</f>
        <v/>
      </c>
      <c r="E1004" s="7" t="str">
        <f>IF('Port Bloomberg'!E1004="","",'Port Bloomberg'!E1004)</f>
        <v/>
      </c>
      <c r="F1004" s="7" t="str">
        <f>IF('Port Bloomberg'!F1004="","",'Port Bloomberg'!F1004)</f>
        <v/>
      </c>
      <c r="G1004" s="7" t="str">
        <f>IF('Port Bloomberg'!G1004="","",'Port Bloomberg'!G1004)</f>
        <v/>
      </c>
      <c r="H1004" s="7" t="str">
        <f>IF('Port Bloomberg'!H1004="","",'Port Bloomberg'!H1004)</f>
        <v/>
      </c>
      <c r="I1004" s="7" t="str">
        <f>IF('Port Bloomberg'!I1004="","",'Port Bloomberg'!I1004)</f>
        <v/>
      </c>
      <c r="J1004" s="7" t="str">
        <f>IF('Port Bloomberg'!J1004="","",'Port Bloomberg'!J1004)</f>
        <v/>
      </c>
      <c r="K1004" s="7" t="str">
        <f>IF('Port Bloomberg'!K1004="","",'Port Bloomberg'!K1004)</f>
        <v/>
      </c>
      <c r="L1004" s="7" t="str">
        <f>IF('Port Bloomberg'!L1004="","",'Port Bloomberg'!L1004)</f>
        <v/>
      </c>
      <c r="M1004" s="7" t="str">
        <f>IF('Port Bloomberg'!M1004="","",'Port Bloomberg'!M1004)</f>
        <v/>
      </c>
      <c r="N1004" s="7" t="str">
        <f>IF('Port Bloomberg'!N1004="","",'Port Bloomberg'!N1004)</f>
        <v/>
      </c>
      <c r="O1004" s="7" t="str">
        <f>IF('Port Bloomberg'!O1004="","",'Port Bloomberg'!O1004)</f>
        <v/>
      </c>
      <c r="P1004" s="7" t="str">
        <f>IF('Port Bloomberg'!P1004="","",'Port Bloomberg'!P1004)</f>
        <v/>
      </c>
      <c r="Q1004" s="7" t="str">
        <f>IF('Port Bloomberg'!Q1004="","",'Port Bloomberg'!Q1004)</f>
        <v/>
      </c>
      <c r="R1004" s="7" t="str">
        <f>IF('Port Bloomberg'!R1004="","",'Port Bloomberg'!R1004)</f>
        <v/>
      </c>
      <c r="S1004" s="5" t="str">
        <f>IF(E1004="","",IFERROR(IF(MATCH(E1004,[1]Instrumentos!$D:$D,0)&gt;0,1,0),0))</f>
        <v/>
      </c>
      <c r="T1004" s="5" t="str">
        <f>IF(E1004="","",IFERROR(IF(MATCH(E1004,'Lista de excepciones'!$E:$E,0)&gt;0,1,0),0))</f>
        <v/>
      </c>
      <c r="U1004" s="6" t="str">
        <f t="shared" si="16"/>
        <v/>
      </c>
    </row>
    <row r="1005" spans="1:21" hidden="1" x14ac:dyDescent="0.25">
      <c r="A1005" s="7" t="str">
        <f>IF('Port Bloomberg'!A1005="","",'Port Bloomberg'!A1005)</f>
        <v/>
      </c>
      <c r="B1005" s="7" t="str">
        <f>IF('Port Bloomberg'!B1005="","",'Port Bloomberg'!B1005)</f>
        <v/>
      </c>
      <c r="C1005" s="7" t="str">
        <f>IF('Port Bloomberg'!C1005="","",'Port Bloomberg'!C1005)</f>
        <v/>
      </c>
      <c r="D1005" s="7" t="str">
        <f>IF('Port Bloomberg'!D1005="","",'Port Bloomberg'!D1005)</f>
        <v/>
      </c>
      <c r="E1005" s="7" t="str">
        <f>IF('Port Bloomberg'!E1005="","",'Port Bloomberg'!E1005)</f>
        <v/>
      </c>
      <c r="F1005" s="7" t="str">
        <f>IF('Port Bloomberg'!F1005="","",'Port Bloomberg'!F1005)</f>
        <v/>
      </c>
      <c r="G1005" s="7" t="str">
        <f>IF('Port Bloomberg'!G1005="","",'Port Bloomberg'!G1005)</f>
        <v/>
      </c>
      <c r="H1005" s="7" t="str">
        <f>IF('Port Bloomberg'!H1005="","",'Port Bloomberg'!H1005)</f>
        <v/>
      </c>
      <c r="I1005" s="7" t="str">
        <f>IF('Port Bloomberg'!I1005="","",'Port Bloomberg'!I1005)</f>
        <v/>
      </c>
      <c r="J1005" s="7" t="str">
        <f>IF('Port Bloomberg'!J1005="","",'Port Bloomberg'!J1005)</f>
        <v/>
      </c>
      <c r="K1005" s="7" t="str">
        <f>IF('Port Bloomberg'!K1005="","",'Port Bloomberg'!K1005)</f>
        <v/>
      </c>
      <c r="L1005" s="7" t="str">
        <f>IF('Port Bloomberg'!L1005="","",'Port Bloomberg'!L1005)</f>
        <v/>
      </c>
      <c r="M1005" s="7" t="str">
        <f>IF('Port Bloomberg'!M1005="","",'Port Bloomberg'!M1005)</f>
        <v/>
      </c>
      <c r="N1005" s="7" t="str">
        <f>IF('Port Bloomberg'!N1005="","",'Port Bloomberg'!N1005)</f>
        <v/>
      </c>
      <c r="O1005" s="7" t="str">
        <f>IF('Port Bloomberg'!O1005="","",'Port Bloomberg'!O1005)</f>
        <v/>
      </c>
      <c r="P1005" s="7" t="str">
        <f>IF('Port Bloomberg'!P1005="","",'Port Bloomberg'!P1005)</f>
        <v/>
      </c>
      <c r="Q1005" s="7" t="str">
        <f>IF('Port Bloomberg'!Q1005="","",'Port Bloomberg'!Q1005)</f>
        <v/>
      </c>
      <c r="R1005" s="7" t="str">
        <f>IF('Port Bloomberg'!R1005="","",'Port Bloomberg'!R1005)</f>
        <v/>
      </c>
      <c r="S1005" s="5" t="str">
        <f>IF(E1005="","",IFERROR(IF(MATCH(E1005,[1]Instrumentos!$D:$D,0)&gt;0,1,0),0))</f>
        <v/>
      </c>
      <c r="T1005" s="5" t="str">
        <f>IF(E1005="","",IFERROR(IF(MATCH(E1005,'Lista de excepciones'!$E:$E,0)&gt;0,1,0),0))</f>
        <v/>
      </c>
      <c r="U1005" s="6" t="str">
        <f t="shared" si="16"/>
        <v/>
      </c>
    </row>
    <row r="1006" spans="1:21" hidden="1" x14ac:dyDescent="0.25">
      <c r="A1006" s="7" t="str">
        <f>IF('Port Bloomberg'!A1006="","",'Port Bloomberg'!A1006)</f>
        <v/>
      </c>
      <c r="B1006" s="7" t="str">
        <f>IF('Port Bloomberg'!B1006="","",'Port Bloomberg'!B1006)</f>
        <v/>
      </c>
      <c r="C1006" s="7" t="str">
        <f>IF('Port Bloomberg'!C1006="","",'Port Bloomberg'!C1006)</f>
        <v/>
      </c>
      <c r="D1006" s="7" t="str">
        <f>IF('Port Bloomberg'!D1006="","",'Port Bloomberg'!D1006)</f>
        <v/>
      </c>
      <c r="E1006" s="7" t="str">
        <f>IF('Port Bloomberg'!E1006="","",'Port Bloomberg'!E1006)</f>
        <v/>
      </c>
      <c r="F1006" s="7" t="str">
        <f>IF('Port Bloomberg'!F1006="","",'Port Bloomberg'!F1006)</f>
        <v/>
      </c>
      <c r="G1006" s="7" t="str">
        <f>IF('Port Bloomberg'!G1006="","",'Port Bloomberg'!G1006)</f>
        <v/>
      </c>
      <c r="H1006" s="7" t="str">
        <f>IF('Port Bloomberg'!H1006="","",'Port Bloomberg'!H1006)</f>
        <v/>
      </c>
      <c r="I1006" s="7" t="str">
        <f>IF('Port Bloomberg'!I1006="","",'Port Bloomberg'!I1006)</f>
        <v/>
      </c>
      <c r="J1006" s="7" t="str">
        <f>IF('Port Bloomberg'!J1006="","",'Port Bloomberg'!J1006)</f>
        <v/>
      </c>
      <c r="K1006" s="7" t="str">
        <f>IF('Port Bloomberg'!K1006="","",'Port Bloomberg'!K1006)</f>
        <v/>
      </c>
      <c r="L1006" s="7" t="str">
        <f>IF('Port Bloomberg'!L1006="","",'Port Bloomberg'!L1006)</f>
        <v/>
      </c>
      <c r="M1006" s="7" t="str">
        <f>IF('Port Bloomberg'!M1006="","",'Port Bloomberg'!M1006)</f>
        <v/>
      </c>
      <c r="N1006" s="7" t="str">
        <f>IF('Port Bloomberg'!N1006="","",'Port Bloomberg'!N1006)</f>
        <v/>
      </c>
      <c r="O1006" s="7" t="str">
        <f>IF('Port Bloomberg'!O1006="","",'Port Bloomberg'!O1006)</f>
        <v/>
      </c>
      <c r="P1006" s="7" t="str">
        <f>IF('Port Bloomberg'!P1006="","",'Port Bloomberg'!P1006)</f>
        <v/>
      </c>
      <c r="Q1006" s="7" t="str">
        <f>IF('Port Bloomberg'!Q1006="","",'Port Bloomberg'!Q1006)</f>
        <v/>
      </c>
      <c r="R1006" s="7" t="str">
        <f>IF('Port Bloomberg'!R1006="","",'Port Bloomberg'!R1006)</f>
        <v/>
      </c>
      <c r="S1006" s="5" t="str">
        <f>IF(E1006="","",IFERROR(IF(MATCH(E1006,[1]Instrumentos!$D:$D,0)&gt;0,1,0),0))</f>
        <v/>
      </c>
      <c r="T1006" s="5" t="str">
        <f>IF(E1006="","",IFERROR(IF(MATCH(E1006,'Lista de excepciones'!$E:$E,0)&gt;0,1,0),0))</f>
        <v/>
      </c>
      <c r="U1006" s="6" t="str">
        <f t="shared" si="16"/>
        <v/>
      </c>
    </row>
    <row r="1007" spans="1:21" hidden="1" x14ac:dyDescent="0.25">
      <c r="A1007" s="7" t="str">
        <f>IF('Port Bloomberg'!A1007="","",'Port Bloomberg'!A1007)</f>
        <v/>
      </c>
      <c r="B1007" s="7" t="str">
        <f>IF('Port Bloomberg'!B1007="","",'Port Bloomberg'!B1007)</f>
        <v/>
      </c>
      <c r="C1007" s="7" t="str">
        <f>IF('Port Bloomberg'!C1007="","",'Port Bloomberg'!C1007)</f>
        <v/>
      </c>
      <c r="D1007" s="7" t="str">
        <f>IF('Port Bloomberg'!D1007="","",'Port Bloomberg'!D1007)</f>
        <v/>
      </c>
      <c r="E1007" s="7" t="str">
        <f>IF('Port Bloomberg'!E1007="","",'Port Bloomberg'!E1007)</f>
        <v/>
      </c>
      <c r="F1007" s="7" t="str">
        <f>IF('Port Bloomberg'!F1007="","",'Port Bloomberg'!F1007)</f>
        <v/>
      </c>
      <c r="G1007" s="7" t="str">
        <f>IF('Port Bloomberg'!G1007="","",'Port Bloomberg'!G1007)</f>
        <v/>
      </c>
      <c r="H1007" s="7" t="str">
        <f>IF('Port Bloomberg'!H1007="","",'Port Bloomberg'!H1007)</f>
        <v/>
      </c>
      <c r="I1007" s="7" t="str">
        <f>IF('Port Bloomberg'!I1007="","",'Port Bloomberg'!I1007)</f>
        <v/>
      </c>
      <c r="J1007" s="7" t="str">
        <f>IF('Port Bloomberg'!J1007="","",'Port Bloomberg'!J1007)</f>
        <v/>
      </c>
      <c r="K1007" s="7" t="str">
        <f>IF('Port Bloomberg'!K1007="","",'Port Bloomberg'!K1007)</f>
        <v/>
      </c>
      <c r="L1007" s="7" t="str">
        <f>IF('Port Bloomberg'!L1007="","",'Port Bloomberg'!L1007)</f>
        <v/>
      </c>
      <c r="M1007" s="7" t="str">
        <f>IF('Port Bloomberg'!M1007="","",'Port Bloomberg'!M1007)</f>
        <v/>
      </c>
      <c r="N1007" s="7" t="str">
        <f>IF('Port Bloomberg'!N1007="","",'Port Bloomberg'!N1007)</f>
        <v/>
      </c>
      <c r="O1007" s="7" t="str">
        <f>IF('Port Bloomberg'!O1007="","",'Port Bloomberg'!O1007)</f>
        <v/>
      </c>
      <c r="P1007" s="7" t="str">
        <f>IF('Port Bloomberg'!P1007="","",'Port Bloomberg'!P1007)</f>
        <v/>
      </c>
      <c r="Q1007" s="7" t="str">
        <f>IF('Port Bloomberg'!Q1007="","",'Port Bloomberg'!Q1007)</f>
        <v/>
      </c>
      <c r="R1007" s="7" t="str">
        <f>IF('Port Bloomberg'!R1007="","",'Port Bloomberg'!R1007)</f>
        <v/>
      </c>
      <c r="S1007" s="5" t="str">
        <f>IF(E1007="","",IFERROR(IF(MATCH(E1007,[1]Instrumentos!$D:$D,0)&gt;0,1,0),0))</f>
        <v/>
      </c>
      <c r="T1007" s="5" t="str">
        <f>IF(E1007="","",IFERROR(IF(MATCH(E1007,'Lista de excepciones'!$E:$E,0)&gt;0,1,0),0))</f>
        <v/>
      </c>
      <c r="U1007" s="6" t="str">
        <f t="shared" si="16"/>
        <v/>
      </c>
    </row>
    <row r="1008" spans="1:21" hidden="1" x14ac:dyDescent="0.25">
      <c r="A1008" s="7" t="str">
        <f>IF('Port Bloomberg'!A1008="","",'Port Bloomberg'!A1008)</f>
        <v/>
      </c>
      <c r="B1008" s="7" t="str">
        <f>IF('Port Bloomberg'!B1008="","",'Port Bloomberg'!B1008)</f>
        <v/>
      </c>
      <c r="C1008" s="7" t="str">
        <f>IF('Port Bloomberg'!C1008="","",'Port Bloomberg'!C1008)</f>
        <v/>
      </c>
      <c r="D1008" s="7" t="str">
        <f>IF('Port Bloomberg'!D1008="","",'Port Bloomberg'!D1008)</f>
        <v/>
      </c>
      <c r="E1008" s="7" t="str">
        <f>IF('Port Bloomberg'!E1008="","",'Port Bloomberg'!E1008)</f>
        <v/>
      </c>
      <c r="F1008" s="7" t="str">
        <f>IF('Port Bloomberg'!F1008="","",'Port Bloomberg'!F1008)</f>
        <v/>
      </c>
      <c r="G1008" s="7" t="str">
        <f>IF('Port Bloomberg'!G1008="","",'Port Bloomberg'!G1008)</f>
        <v/>
      </c>
      <c r="H1008" s="7" t="str">
        <f>IF('Port Bloomberg'!H1008="","",'Port Bloomberg'!H1008)</f>
        <v/>
      </c>
      <c r="I1008" s="7" t="str">
        <f>IF('Port Bloomberg'!I1008="","",'Port Bloomberg'!I1008)</f>
        <v/>
      </c>
      <c r="J1008" s="7" t="str">
        <f>IF('Port Bloomberg'!J1008="","",'Port Bloomberg'!J1008)</f>
        <v/>
      </c>
      <c r="K1008" s="7" t="str">
        <f>IF('Port Bloomberg'!K1008="","",'Port Bloomberg'!K1008)</f>
        <v/>
      </c>
      <c r="L1008" s="7" t="str">
        <f>IF('Port Bloomberg'!L1008="","",'Port Bloomberg'!L1008)</f>
        <v/>
      </c>
      <c r="M1008" s="7" t="str">
        <f>IF('Port Bloomberg'!M1008="","",'Port Bloomberg'!M1008)</f>
        <v/>
      </c>
      <c r="N1008" s="7" t="str">
        <f>IF('Port Bloomberg'!N1008="","",'Port Bloomberg'!N1008)</f>
        <v/>
      </c>
      <c r="O1008" s="7" t="str">
        <f>IF('Port Bloomberg'!O1008="","",'Port Bloomberg'!O1008)</f>
        <v/>
      </c>
      <c r="P1008" s="7" t="str">
        <f>IF('Port Bloomberg'!P1008="","",'Port Bloomberg'!P1008)</f>
        <v/>
      </c>
      <c r="Q1008" s="7" t="str">
        <f>IF('Port Bloomberg'!Q1008="","",'Port Bloomberg'!Q1008)</f>
        <v/>
      </c>
      <c r="R1008" s="7" t="str">
        <f>IF('Port Bloomberg'!R1008="","",'Port Bloomberg'!R1008)</f>
        <v/>
      </c>
      <c r="S1008" s="5" t="str">
        <f>IF(E1008="","",IFERROR(IF(MATCH(E1008,[1]Instrumentos!$D:$D,0)&gt;0,1,0),0))</f>
        <v/>
      </c>
      <c r="T1008" s="5" t="str">
        <f>IF(E1008="","",IFERROR(IF(MATCH(E1008,'Lista de excepciones'!$E:$E,0)&gt;0,1,0),0))</f>
        <v/>
      </c>
      <c r="U1008" s="6" t="str">
        <f t="shared" si="16"/>
        <v/>
      </c>
    </row>
    <row r="1009" spans="1:21" hidden="1" x14ac:dyDescent="0.25">
      <c r="A1009" s="7" t="str">
        <f>IF('Port Bloomberg'!A1009="","",'Port Bloomberg'!A1009)</f>
        <v/>
      </c>
      <c r="B1009" s="7" t="str">
        <f>IF('Port Bloomberg'!B1009="","",'Port Bloomberg'!B1009)</f>
        <v/>
      </c>
      <c r="C1009" s="7" t="str">
        <f>IF('Port Bloomberg'!C1009="","",'Port Bloomberg'!C1009)</f>
        <v/>
      </c>
      <c r="D1009" s="7" t="str">
        <f>IF('Port Bloomberg'!D1009="","",'Port Bloomberg'!D1009)</f>
        <v/>
      </c>
      <c r="E1009" s="7" t="str">
        <f>IF('Port Bloomberg'!E1009="","",'Port Bloomberg'!E1009)</f>
        <v/>
      </c>
      <c r="F1009" s="7" t="str">
        <f>IF('Port Bloomberg'!F1009="","",'Port Bloomberg'!F1009)</f>
        <v/>
      </c>
      <c r="G1009" s="7" t="str">
        <f>IF('Port Bloomberg'!G1009="","",'Port Bloomberg'!G1009)</f>
        <v/>
      </c>
      <c r="H1009" s="7" t="str">
        <f>IF('Port Bloomberg'!H1009="","",'Port Bloomberg'!H1009)</f>
        <v/>
      </c>
      <c r="I1009" s="7" t="str">
        <f>IF('Port Bloomberg'!I1009="","",'Port Bloomberg'!I1009)</f>
        <v/>
      </c>
      <c r="J1009" s="7" t="str">
        <f>IF('Port Bloomberg'!J1009="","",'Port Bloomberg'!J1009)</f>
        <v/>
      </c>
      <c r="K1009" s="7" t="str">
        <f>IF('Port Bloomberg'!K1009="","",'Port Bloomberg'!K1009)</f>
        <v/>
      </c>
      <c r="L1009" s="7" t="str">
        <f>IF('Port Bloomberg'!L1009="","",'Port Bloomberg'!L1009)</f>
        <v/>
      </c>
      <c r="M1009" s="7" t="str">
        <f>IF('Port Bloomberg'!M1009="","",'Port Bloomberg'!M1009)</f>
        <v/>
      </c>
      <c r="N1009" s="7" t="str">
        <f>IF('Port Bloomberg'!N1009="","",'Port Bloomberg'!N1009)</f>
        <v/>
      </c>
      <c r="O1009" s="7" t="str">
        <f>IF('Port Bloomberg'!O1009="","",'Port Bloomberg'!O1009)</f>
        <v/>
      </c>
      <c r="P1009" s="7" t="str">
        <f>IF('Port Bloomberg'!P1009="","",'Port Bloomberg'!P1009)</f>
        <v/>
      </c>
      <c r="Q1009" s="7" t="str">
        <f>IF('Port Bloomberg'!Q1009="","",'Port Bloomberg'!Q1009)</f>
        <v/>
      </c>
      <c r="R1009" s="7" t="str">
        <f>IF('Port Bloomberg'!R1009="","",'Port Bloomberg'!R1009)</f>
        <v/>
      </c>
      <c r="S1009" s="5" t="str">
        <f>IF(E1009="","",IFERROR(IF(MATCH(E1009,[1]Instrumentos!$D:$D,0)&gt;0,1,0),0))</f>
        <v/>
      </c>
      <c r="T1009" s="5" t="str">
        <f>IF(E1009="","",IFERROR(IF(MATCH(E1009,'Lista de excepciones'!$E:$E,0)&gt;0,1,0),0))</f>
        <v/>
      </c>
      <c r="U1009" s="6" t="str">
        <f t="shared" si="16"/>
        <v/>
      </c>
    </row>
    <row r="1010" spans="1:21" hidden="1" x14ac:dyDescent="0.25">
      <c r="A1010" s="7" t="str">
        <f>IF('Port Bloomberg'!A1010="","",'Port Bloomberg'!A1010)</f>
        <v/>
      </c>
      <c r="B1010" s="7" t="str">
        <f>IF('Port Bloomberg'!B1010="","",'Port Bloomberg'!B1010)</f>
        <v/>
      </c>
      <c r="C1010" s="7" t="str">
        <f>IF('Port Bloomberg'!C1010="","",'Port Bloomberg'!C1010)</f>
        <v/>
      </c>
      <c r="D1010" s="7" t="str">
        <f>IF('Port Bloomberg'!D1010="","",'Port Bloomberg'!D1010)</f>
        <v/>
      </c>
      <c r="E1010" s="7" t="str">
        <f>IF('Port Bloomberg'!E1010="","",'Port Bloomberg'!E1010)</f>
        <v/>
      </c>
      <c r="F1010" s="7" t="str">
        <f>IF('Port Bloomberg'!F1010="","",'Port Bloomberg'!F1010)</f>
        <v/>
      </c>
      <c r="G1010" s="7" t="str">
        <f>IF('Port Bloomberg'!G1010="","",'Port Bloomberg'!G1010)</f>
        <v/>
      </c>
      <c r="H1010" s="7" t="str">
        <f>IF('Port Bloomberg'!H1010="","",'Port Bloomberg'!H1010)</f>
        <v/>
      </c>
      <c r="I1010" s="7" t="str">
        <f>IF('Port Bloomberg'!I1010="","",'Port Bloomberg'!I1010)</f>
        <v/>
      </c>
      <c r="J1010" s="7" t="str">
        <f>IF('Port Bloomberg'!J1010="","",'Port Bloomberg'!J1010)</f>
        <v/>
      </c>
      <c r="K1010" s="7" t="str">
        <f>IF('Port Bloomberg'!K1010="","",'Port Bloomberg'!K1010)</f>
        <v/>
      </c>
      <c r="L1010" s="7" t="str">
        <f>IF('Port Bloomberg'!L1010="","",'Port Bloomberg'!L1010)</f>
        <v/>
      </c>
      <c r="M1010" s="7" t="str">
        <f>IF('Port Bloomberg'!M1010="","",'Port Bloomberg'!M1010)</f>
        <v/>
      </c>
      <c r="N1010" s="7" t="str">
        <f>IF('Port Bloomberg'!N1010="","",'Port Bloomberg'!N1010)</f>
        <v/>
      </c>
      <c r="O1010" s="7" t="str">
        <f>IF('Port Bloomberg'!O1010="","",'Port Bloomberg'!O1010)</f>
        <v/>
      </c>
      <c r="P1010" s="7" t="str">
        <f>IF('Port Bloomberg'!P1010="","",'Port Bloomberg'!P1010)</f>
        <v/>
      </c>
      <c r="Q1010" s="7" t="str">
        <f>IF('Port Bloomberg'!Q1010="","",'Port Bloomberg'!Q1010)</f>
        <v/>
      </c>
      <c r="R1010" s="7" t="str">
        <f>IF('Port Bloomberg'!R1010="","",'Port Bloomberg'!R1010)</f>
        <v/>
      </c>
      <c r="S1010" s="5" t="str">
        <f>IF(E1010="","",IFERROR(IF(MATCH(E1010,[1]Instrumentos!$D:$D,0)&gt;0,1,0),0))</f>
        <v/>
      </c>
      <c r="T1010" s="5" t="str">
        <f>IF(E1010="","",IFERROR(IF(MATCH(E1010,'Lista de excepciones'!$E:$E,0)&gt;0,1,0),0))</f>
        <v/>
      </c>
      <c r="U1010" s="6" t="str">
        <f t="shared" si="16"/>
        <v/>
      </c>
    </row>
    <row r="1011" spans="1:21" hidden="1" x14ac:dyDescent="0.25">
      <c r="A1011" s="7" t="str">
        <f>IF('Port Bloomberg'!A1011="","",'Port Bloomberg'!A1011)</f>
        <v/>
      </c>
      <c r="B1011" s="7" t="str">
        <f>IF('Port Bloomberg'!B1011="","",'Port Bloomberg'!B1011)</f>
        <v/>
      </c>
      <c r="C1011" s="7" t="str">
        <f>IF('Port Bloomberg'!C1011="","",'Port Bloomberg'!C1011)</f>
        <v/>
      </c>
      <c r="D1011" s="7" t="str">
        <f>IF('Port Bloomberg'!D1011="","",'Port Bloomberg'!D1011)</f>
        <v/>
      </c>
      <c r="E1011" s="7" t="str">
        <f>IF('Port Bloomberg'!E1011="","",'Port Bloomberg'!E1011)</f>
        <v/>
      </c>
      <c r="F1011" s="7" t="str">
        <f>IF('Port Bloomberg'!F1011="","",'Port Bloomberg'!F1011)</f>
        <v/>
      </c>
      <c r="G1011" s="7" t="str">
        <f>IF('Port Bloomberg'!G1011="","",'Port Bloomberg'!G1011)</f>
        <v/>
      </c>
      <c r="H1011" s="7" t="str">
        <f>IF('Port Bloomberg'!H1011="","",'Port Bloomberg'!H1011)</f>
        <v/>
      </c>
      <c r="I1011" s="7" t="str">
        <f>IF('Port Bloomberg'!I1011="","",'Port Bloomberg'!I1011)</f>
        <v/>
      </c>
      <c r="J1011" s="7" t="str">
        <f>IF('Port Bloomberg'!J1011="","",'Port Bloomberg'!J1011)</f>
        <v/>
      </c>
      <c r="K1011" s="7" t="str">
        <f>IF('Port Bloomberg'!K1011="","",'Port Bloomberg'!K1011)</f>
        <v/>
      </c>
      <c r="L1011" s="7" t="str">
        <f>IF('Port Bloomberg'!L1011="","",'Port Bloomberg'!L1011)</f>
        <v/>
      </c>
      <c r="M1011" s="7" t="str">
        <f>IF('Port Bloomberg'!M1011="","",'Port Bloomberg'!M1011)</f>
        <v/>
      </c>
      <c r="N1011" s="7" t="str">
        <f>IF('Port Bloomberg'!N1011="","",'Port Bloomberg'!N1011)</f>
        <v/>
      </c>
      <c r="O1011" s="7" t="str">
        <f>IF('Port Bloomberg'!O1011="","",'Port Bloomberg'!O1011)</f>
        <v/>
      </c>
      <c r="P1011" s="7" t="str">
        <f>IF('Port Bloomberg'!P1011="","",'Port Bloomberg'!P1011)</f>
        <v/>
      </c>
      <c r="Q1011" s="7" t="str">
        <f>IF('Port Bloomberg'!Q1011="","",'Port Bloomberg'!Q1011)</f>
        <v/>
      </c>
      <c r="R1011" s="7" t="str">
        <f>IF('Port Bloomberg'!R1011="","",'Port Bloomberg'!R1011)</f>
        <v/>
      </c>
      <c r="S1011" s="5" t="str">
        <f>IF(E1011="","",IFERROR(IF(MATCH(E1011,[1]Instrumentos!$D:$D,0)&gt;0,1,0),0))</f>
        <v/>
      </c>
      <c r="T1011" s="5" t="str">
        <f>IF(E1011="","",IFERROR(IF(MATCH(E1011,'Lista de excepciones'!$E:$E,0)&gt;0,1,0),0))</f>
        <v/>
      </c>
      <c r="U1011" s="6" t="str">
        <f t="shared" si="16"/>
        <v/>
      </c>
    </row>
    <row r="1012" spans="1:21" hidden="1" x14ac:dyDescent="0.25">
      <c r="A1012" s="7" t="str">
        <f>IF('Port Bloomberg'!A1012="","",'Port Bloomberg'!A1012)</f>
        <v/>
      </c>
      <c r="B1012" s="7" t="str">
        <f>IF('Port Bloomberg'!B1012="","",'Port Bloomberg'!B1012)</f>
        <v/>
      </c>
      <c r="C1012" s="7" t="str">
        <f>IF('Port Bloomberg'!C1012="","",'Port Bloomberg'!C1012)</f>
        <v/>
      </c>
      <c r="D1012" s="7" t="str">
        <f>IF('Port Bloomberg'!D1012="","",'Port Bloomberg'!D1012)</f>
        <v/>
      </c>
      <c r="E1012" s="7" t="str">
        <f>IF('Port Bloomberg'!E1012="","",'Port Bloomberg'!E1012)</f>
        <v/>
      </c>
      <c r="F1012" s="7" t="str">
        <f>IF('Port Bloomberg'!F1012="","",'Port Bloomberg'!F1012)</f>
        <v/>
      </c>
      <c r="G1012" s="7" t="str">
        <f>IF('Port Bloomberg'!G1012="","",'Port Bloomberg'!G1012)</f>
        <v/>
      </c>
      <c r="H1012" s="7" t="str">
        <f>IF('Port Bloomberg'!H1012="","",'Port Bloomberg'!H1012)</f>
        <v/>
      </c>
      <c r="I1012" s="7" t="str">
        <f>IF('Port Bloomberg'!I1012="","",'Port Bloomberg'!I1012)</f>
        <v/>
      </c>
      <c r="J1012" s="7" t="str">
        <f>IF('Port Bloomberg'!J1012="","",'Port Bloomberg'!J1012)</f>
        <v/>
      </c>
      <c r="K1012" s="7" t="str">
        <f>IF('Port Bloomberg'!K1012="","",'Port Bloomberg'!K1012)</f>
        <v/>
      </c>
      <c r="L1012" s="7" t="str">
        <f>IF('Port Bloomberg'!L1012="","",'Port Bloomberg'!L1012)</f>
        <v/>
      </c>
      <c r="M1012" s="7" t="str">
        <f>IF('Port Bloomberg'!M1012="","",'Port Bloomberg'!M1012)</f>
        <v/>
      </c>
      <c r="N1012" s="7" t="str">
        <f>IF('Port Bloomberg'!N1012="","",'Port Bloomberg'!N1012)</f>
        <v/>
      </c>
      <c r="O1012" s="7" t="str">
        <f>IF('Port Bloomberg'!O1012="","",'Port Bloomberg'!O1012)</f>
        <v/>
      </c>
      <c r="P1012" s="7" t="str">
        <f>IF('Port Bloomberg'!P1012="","",'Port Bloomberg'!P1012)</f>
        <v/>
      </c>
      <c r="Q1012" s="7" t="str">
        <f>IF('Port Bloomberg'!Q1012="","",'Port Bloomberg'!Q1012)</f>
        <v/>
      </c>
      <c r="R1012" s="7" t="str">
        <f>IF('Port Bloomberg'!R1012="","",'Port Bloomberg'!R1012)</f>
        <v/>
      </c>
      <c r="S1012" s="5" t="str">
        <f>IF(E1012="","",IFERROR(IF(MATCH(E1012,[1]Instrumentos!$D:$D,0)&gt;0,1,0),0))</f>
        <v/>
      </c>
      <c r="T1012" s="5" t="str">
        <f>IF(E1012="","",IFERROR(IF(MATCH(E1012,'Lista de excepciones'!$E:$E,0)&gt;0,1,0),0))</f>
        <v/>
      </c>
      <c r="U1012" s="6" t="str">
        <f t="shared" si="16"/>
        <v/>
      </c>
    </row>
    <row r="1013" spans="1:21" hidden="1" x14ac:dyDescent="0.25">
      <c r="A1013" s="7" t="str">
        <f>IF('Port Bloomberg'!A1013="","",'Port Bloomberg'!A1013)</f>
        <v/>
      </c>
      <c r="B1013" s="7" t="str">
        <f>IF('Port Bloomberg'!B1013="","",'Port Bloomberg'!B1013)</f>
        <v/>
      </c>
      <c r="C1013" s="7" t="str">
        <f>IF('Port Bloomberg'!C1013="","",'Port Bloomberg'!C1013)</f>
        <v/>
      </c>
      <c r="D1013" s="7" t="str">
        <f>IF('Port Bloomberg'!D1013="","",'Port Bloomberg'!D1013)</f>
        <v/>
      </c>
      <c r="E1013" s="7" t="str">
        <f>IF('Port Bloomberg'!E1013="","",'Port Bloomberg'!E1013)</f>
        <v/>
      </c>
      <c r="F1013" s="7" t="str">
        <f>IF('Port Bloomberg'!F1013="","",'Port Bloomberg'!F1013)</f>
        <v/>
      </c>
      <c r="G1013" s="7" t="str">
        <f>IF('Port Bloomberg'!G1013="","",'Port Bloomberg'!G1013)</f>
        <v/>
      </c>
      <c r="H1013" s="7" t="str">
        <f>IF('Port Bloomberg'!H1013="","",'Port Bloomberg'!H1013)</f>
        <v/>
      </c>
      <c r="I1013" s="7" t="str">
        <f>IF('Port Bloomberg'!I1013="","",'Port Bloomberg'!I1013)</f>
        <v/>
      </c>
      <c r="J1013" s="7" t="str">
        <f>IF('Port Bloomberg'!J1013="","",'Port Bloomberg'!J1013)</f>
        <v/>
      </c>
      <c r="K1013" s="7" t="str">
        <f>IF('Port Bloomberg'!K1013="","",'Port Bloomberg'!K1013)</f>
        <v/>
      </c>
      <c r="L1013" s="7" t="str">
        <f>IF('Port Bloomberg'!L1013="","",'Port Bloomberg'!L1013)</f>
        <v/>
      </c>
      <c r="M1013" s="7" t="str">
        <f>IF('Port Bloomberg'!M1013="","",'Port Bloomberg'!M1013)</f>
        <v/>
      </c>
      <c r="N1013" s="7" t="str">
        <f>IF('Port Bloomberg'!N1013="","",'Port Bloomberg'!N1013)</f>
        <v/>
      </c>
      <c r="O1013" s="7" t="str">
        <f>IF('Port Bloomberg'!O1013="","",'Port Bloomberg'!O1013)</f>
        <v/>
      </c>
      <c r="P1013" s="7" t="str">
        <f>IF('Port Bloomberg'!P1013="","",'Port Bloomberg'!P1013)</f>
        <v/>
      </c>
      <c r="Q1013" s="7" t="str">
        <f>IF('Port Bloomberg'!Q1013="","",'Port Bloomberg'!Q1013)</f>
        <v/>
      </c>
      <c r="R1013" s="7" t="str">
        <f>IF('Port Bloomberg'!R1013="","",'Port Bloomberg'!R1013)</f>
        <v/>
      </c>
      <c r="S1013" s="5" t="str">
        <f>IF(E1013="","",IFERROR(IF(MATCH(E1013,[1]Instrumentos!$D:$D,0)&gt;0,1,0),0))</f>
        <v/>
      </c>
      <c r="T1013" s="5" t="str">
        <f>IF(E1013="","",IFERROR(IF(MATCH(E1013,'Lista de excepciones'!$E:$E,0)&gt;0,1,0),0))</f>
        <v/>
      </c>
      <c r="U1013" s="6" t="str">
        <f t="shared" si="16"/>
        <v/>
      </c>
    </row>
    <row r="1014" spans="1:21" hidden="1" x14ac:dyDescent="0.25">
      <c r="A1014" s="7" t="str">
        <f>IF('Port Bloomberg'!A1014="","",'Port Bloomberg'!A1014)</f>
        <v/>
      </c>
      <c r="B1014" s="7" t="str">
        <f>IF('Port Bloomberg'!B1014="","",'Port Bloomberg'!B1014)</f>
        <v/>
      </c>
      <c r="C1014" s="7" t="str">
        <f>IF('Port Bloomberg'!C1014="","",'Port Bloomberg'!C1014)</f>
        <v/>
      </c>
      <c r="D1014" s="7" t="str">
        <f>IF('Port Bloomberg'!D1014="","",'Port Bloomberg'!D1014)</f>
        <v/>
      </c>
      <c r="E1014" s="7" t="str">
        <f>IF('Port Bloomberg'!E1014="","",'Port Bloomberg'!E1014)</f>
        <v/>
      </c>
      <c r="F1014" s="7" t="str">
        <f>IF('Port Bloomberg'!F1014="","",'Port Bloomberg'!F1014)</f>
        <v/>
      </c>
      <c r="G1014" s="7" t="str">
        <f>IF('Port Bloomberg'!G1014="","",'Port Bloomberg'!G1014)</f>
        <v/>
      </c>
      <c r="H1014" s="7" t="str">
        <f>IF('Port Bloomberg'!H1014="","",'Port Bloomberg'!H1014)</f>
        <v/>
      </c>
      <c r="I1014" s="7" t="str">
        <f>IF('Port Bloomberg'!I1014="","",'Port Bloomberg'!I1014)</f>
        <v/>
      </c>
      <c r="J1014" s="7" t="str">
        <f>IF('Port Bloomberg'!J1014="","",'Port Bloomberg'!J1014)</f>
        <v/>
      </c>
      <c r="K1014" s="7" t="str">
        <f>IF('Port Bloomberg'!K1014="","",'Port Bloomberg'!K1014)</f>
        <v/>
      </c>
      <c r="L1014" s="7" t="str">
        <f>IF('Port Bloomberg'!L1014="","",'Port Bloomberg'!L1014)</f>
        <v/>
      </c>
      <c r="M1014" s="7" t="str">
        <f>IF('Port Bloomberg'!M1014="","",'Port Bloomberg'!M1014)</f>
        <v/>
      </c>
      <c r="N1014" s="7" t="str">
        <f>IF('Port Bloomberg'!N1014="","",'Port Bloomberg'!N1014)</f>
        <v/>
      </c>
      <c r="O1014" s="7" t="str">
        <f>IF('Port Bloomberg'!O1014="","",'Port Bloomberg'!O1014)</f>
        <v/>
      </c>
      <c r="P1014" s="7" t="str">
        <f>IF('Port Bloomberg'!P1014="","",'Port Bloomberg'!P1014)</f>
        <v/>
      </c>
      <c r="Q1014" s="7" t="str">
        <f>IF('Port Bloomberg'!Q1014="","",'Port Bloomberg'!Q1014)</f>
        <v/>
      </c>
      <c r="R1014" s="7" t="str">
        <f>IF('Port Bloomberg'!R1014="","",'Port Bloomberg'!R1014)</f>
        <v/>
      </c>
      <c r="S1014" s="5" t="str">
        <f>IF(E1014="","",IFERROR(IF(MATCH(E1014,[1]Instrumentos!$D:$D,0)&gt;0,1,0),0))</f>
        <v/>
      </c>
      <c r="T1014" s="5" t="str">
        <f>IF(E1014="","",IFERROR(IF(MATCH(E1014,'Lista de excepciones'!$E:$E,0)&gt;0,1,0),0))</f>
        <v/>
      </c>
      <c r="U1014" s="6" t="str">
        <f t="shared" si="16"/>
        <v/>
      </c>
    </row>
    <row r="1015" spans="1:21" hidden="1" x14ac:dyDescent="0.25">
      <c r="A1015" s="7" t="str">
        <f>IF('Port Bloomberg'!A1015="","",'Port Bloomberg'!A1015)</f>
        <v/>
      </c>
      <c r="B1015" s="7" t="str">
        <f>IF('Port Bloomberg'!B1015="","",'Port Bloomberg'!B1015)</f>
        <v/>
      </c>
      <c r="C1015" s="7" t="str">
        <f>IF('Port Bloomberg'!C1015="","",'Port Bloomberg'!C1015)</f>
        <v/>
      </c>
      <c r="D1015" s="7" t="str">
        <f>IF('Port Bloomberg'!D1015="","",'Port Bloomberg'!D1015)</f>
        <v/>
      </c>
      <c r="E1015" s="7" t="str">
        <f>IF('Port Bloomberg'!E1015="","",'Port Bloomberg'!E1015)</f>
        <v/>
      </c>
      <c r="F1015" s="7" t="str">
        <f>IF('Port Bloomberg'!F1015="","",'Port Bloomberg'!F1015)</f>
        <v/>
      </c>
      <c r="G1015" s="7" t="str">
        <f>IF('Port Bloomberg'!G1015="","",'Port Bloomberg'!G1015)</f>
        <v/>
      </c>
      <c r="H1015" s="7" t="str">
        <f>IF('Port Bloomberg'!H1015="","",'Port Bloomberg'!H1015)</f>
        <v/>
      </c>
      <c r="I1015" s="7" t="str">
        <f>IF('Port Bloomberg'!I1015="","",'Port Bloomberg'!I1015)</f>
        <v/>
      </c>
      <c r="J1015" s="7" t="str">
        <f>IF('Port Bloomberg'!J1015="","",'Port Bloomberg'!J1015)</f>
        <v/>
      </c>
      <c r="K1015" s="7" t="str">
        <f>IF('Port Bloomberg'!K1015="","",'Port Bloomberg'!K1015)</f>
        <v/>
      </c>
      <c r="L1015" s="7" t="str">
        <f>IF('Port Bloomberg'!L1015="","",'Port Bloomberg'!L1015)</f>
        <v/>
      </c>
      <c r="M1015" s="7" t="str">
        <f>IF('Port Bloomberg'!M1015="","",'Port Bloomberg'!M1015)</f>
        <v/>
      </c>
      <c r="N1015" s="7" t="str">
        <f>IF('Port Bloomberg'!N1015="","",'Port Bloomberg'!N1015)</f>
        <v/>
      </c>
      <c r="O1015" s="7" t="str">
        <f>IF('Port Bloomberg'!O1015="","",'Port Bloomberg'!O1015)</f>
        <v/>
      </c>
      <c r="P1015" s="7" t="str">
        <f>IF('Port Bloomberg'!P1015="","",'Port Bloomberg'!P1015)</f>
        <v/>
      </c>
      <c r="Q1015" s="7" t="str">
        <f>IF('Port Bloomberg'!Q1015="","",'Port Bloomberg'!Q1015)</f>
        <v/>
      </c>
      <c r="R1015" s="7" t="str">
        <f>IF('Port Bloomberg'!R1015="","",'Port Bloomberg'!R1015)</f>
        <v/>
      </c>
      <c r="S1015" s="5" t="str">
        <f>IF(E1015="","",IFERROR(IF(MATCH(E1015,[1]Instrumentos!$D:$D,0)&gt;0,1,0),0))</f>
        <v/>
      </c>
      <c r="T1015" s="5" t="str">
        <f>IF(E1015="","",IFERROR(IF(MATCH(E1015,'Lista de excepciones'!$E:$E,0)&gt;0,1,0),0))</f>
        <v/>
      </c>
      <c r="U1015" s="6" t="str">
        <f t="shared" si="16"/>
        <v/>
      </c>
    </row>
    <row r="1016" spans="1:21" hidden="1" x14ac:dyDescent="0.25">
      <c r="A1016" s="7" t="str">
        <f>IF('Port Bloomberg'!A1016="","",'Port Bloomberg'!A1016)</f>
        <v/>
      </c>
      <c r="B1016" s="7" t="str">
        <f>IF('Port Bloomberg'!B1016="","",'Port Bloomberg'!B1016)</f>
        <v/>
      </c>
      <c r="C1016" s="7" t="str">
        <f>IF('Port Bloomberg'!C1016="","",'Port Bloomberg'!C1016)</f>
        <v/>
      </c>
      <c r="D1016" s="7" t="str">
        <f>IF('Port Bloomberg'!D1016="","",'Port Bloomberg'!D1016)</f>
        <v/>
      </c>
      <c r="E1016" s="7" t="str">
        <f>IF('Port Bloomberg'!E1016="","",'Port Bloomberg'!E1016)</f>
        <v/>
      </c>
      <c r="F1016" s="7" t="str">
        <f>IF('Port Bloomberg'!F1016="","",'Port Bloomberg'!F1016)</f>
        <v/>
      </c>
      <c r="G1016" s="7" t="str">
        <f>IF('Port Bloomberg'!G1016="","",'Port Bloomberg'!G1016)</f>
        <v/>
      </c>
      <c r="H1016" s="7" t="str">
        <f>IF('Port Bloomberg'!H1016="","",'Port Bloomberg'!H1016)</f>
        <v/>
      </c>
      <c r="I1016" s="7" t="str">
        <f>IF('Port Bloomberg'!I1016="","",'Port Bloomberg'!I1016)</f>
        <v/>
      </c>
      <c r="J1016" s="7" t="str">
        <f>IF('Port Bloomberg'!J1016="","",'Port Bloomberg'!J1016)</f>
        <v/>
      </c>
      <c r="K1016" s="7" t="str">
        <f>IF('Port Bloomberg'!K1016="","",'Port Bloomberg'!K1016)</f>
        <v/>
      </c>
      <c r="L1016" s="7" t="str">
        <f>IF('Port Bloomberg'!L1016="","",'Port Bloomberg'!L1016)</f>
        <v/>
      </c>
      <c r="M1016" s="7" t="str">
        <f>IF('Port Bloomberg'!M1016="","",'Port Bloomberg'!M1016)</f>
        <v/>
      </c>
      <c r="N1016" s="7" t="str">
        <f>IF('Port Bloomberg'!N1016="","",'Port Bloomberg'!N1016)</f>
        <v/>
      </c>
      <c r="O1016" s="7" t="str">
        <f>IF('Port Bloomberg'!O1016="","",'Port Bloomberg'!O1016)</f>
        <v/>
      </c>
      <c r="P1016" s="7" t="str">
        <f>IF('Port Bloomberg'!P1016="","",'Port Bloomberg'!P1016)</f>
        <v/>
      </c>
      <c r="Q1016" s="7" t="str">
        <f>IF('Port Bloomberg'!Q1016="","",'Port Bloomberg'!Q1016)</f>
        <v/>
      </c>
      <c r="R1016" s="7" t="str">
        <f>IF('Port Bloomberg'!R1016="","",'Port Bloomberg'!R1016)</f>
        <v/>
      </c>
      <c r="S1016" s="5" t="str">
        <f>IF(E1016="","",IFERROR(IF(MATCH(E1016,[1]Instrumentos!$D:$D,0)&gt;0,1,0),0))</f>
        <v/>
      </c>
      <c r="T1016" s="5" t="str">
        <f>IF(E1016="","",IFERROR(IF(MATCH(E1016,'Lista de excepciones'!$E:$E,0)&gt;0,1,0),0))</f>
        <v/>
      </c>
      <c r="U1016" s="6" t="str">
        <f t="shared" si="16"/>
        <v/>
      </c>
    </row>
    <row r="1017" spans="1:21" hidden="1" x14ac:dyDescent="0.25">
      <c r="A1017" s="7" t="str">
        <f>IF('Port Bloomberg'!A1017="","",'Port Bloomberg'!A1017)</f>
        <v/>
      </c>
      <c r="B1017" s="7" t="str">
        <f>IF('Port Bloomberg'!B1017="","",'Port Bloomberg'!B1017)</f>
        <v/>
      </c>
      <c r="C1017" s="7" t="str">
        <f>IF('Port Bloomberg'!C1017="","",'Port Bloomberg'!C1017)</f>
        <v/>
      </c>
      <c r="D1017" s="7" t="str">
        <f>IF('Port Bloomberg'!D1017="","",'Port Bloomberg'!D1017)</f>
        <v/>
      </c>
      <c r="E1017" s="7" t="str">
        <f>IF('Port Bloomberg'!E1017="","",'Port Bloomberg'!E1017)</f>
        <v/>
      </c>
      <c r="F1017" s="7" t="str">
        <f>IF('Port Bloomberg'!F1017="","",'Port Bloomberg'!F1017)</f>
        <v/>
      </c>
      <c r="G1017" s="7" t="str">
        <f>IF('Port Bloomberg'!G1017="","",'Port Bloomberg'!G1017)</f>
        <v/>
      </c>
      <c r="H1017" s="7" t="str">
        <f>IF('Port Bloomberg'!H1017="","",'Port Bloomberg'!H1017)</f>
        <v/>
      </c>
      <c r="I1017" s="7" t="str">
        <f>IF('Port Bloomberg'!I1017="","",'Port Bloomberg'!I1017)</f>
        <v/>
      </c>
      <c r="J1017" s="7" t="str">
        <f>IF('Port Bloomberg'!J1017="","",'Port Bloomberg'!J1017)</f>
        <v/>
      </c>
      <c r="K1017" s="7" t="str">
        <f>IF('Port Bloomberg'!K1017="","",'Port Bloomberg'!K1017)</f>
        <v/>
      </c>
      <c r="L1017" s="7" t="str">
        <f>IF('Port Bloomberg'!L1017="","",'Port Bloomberg'!L1017)</f>
        <v/>
      </c>
      <c r="M1017" s="7" t="str">
        <f>IF('Port Bloomberg'!M1017="","",'Port Bloomberg'!M1017)</f>
        <v/>
      </c>
      <c r="N1017" s="7" t="str">
        <f>IF('Port Bloomberg'!N1017="","",'Port Bloomberg'!N1017)</f>
        <v/>
      </c>
      <c r="O1017" s="7" t="str">
        <f>IF('Port Bloomberg'!O1017="","",'Port Bloomberg'!O1017)</f>
        <v/>
      </c>
      <c r="P1017" s="7" t="str">
        <f>IF('Port Bloomberg'!P1017="","",'Port Bloomberg'!P1017)</f>
        <v/>
      </c>
      <c r="Q1017" s="7" t="str">
        <f>IF('Port Bloomberg'!Q1017="","",'Port Bloomberg'!Q1017)</f>
        <v/>
      </c>
      <c r="R1017" s="7" t="str">
        <f>IF('Port Bloomberg'!R1017="","",'Port Bloomberg'!R1017)</f>
        <v/>
      </c>
      <c r="S1017" s="5" t="str">
        <f>IF(E1017="","",IFERROR(IF(MATCH(E1017,[1]Instrumentos!$D:$D,0)&gt;0,1,0),0))</f>
        <v/>
      </c>
      <c r="T1017" s="5" t="str">
        <f>IF(E1017="","",IFERROR(IF(MATCH(E1017,'Lista de excepciones'!$E:$E,0)&gt;0,1,0),0))</f>
        <v/>
      </c>
      <c r="U1017" s="6" t="str">
        <f t="shared" si="16"/>
        <v/>
      </c>
    </row>
    <row r="1018" spans="1:21" hidden="1" x14ac:dyDescent="0.25">
      <c r="A1018" s="7" t="str">
        <f>IF('Port Bloomberg'!A1018="","",'Port Bloomberg'!A1018)</f>
        <v/>
      </c>
      <c r="B1018" s="7" t="str">
        <f>IF('Port Bloomberg'!B1018="","",'Port Bloomberg'!B1018)</f>
        <v/>
      </c>
      <c r="C1018" s="7" t="str">
        <f>IF('Port Bloomberg'!C1018="","",'Port Bloomberg'!C1018)</f>
        <v/>
      </c>
      <c r="D1018" s="7" t="str">
        <f>IF('Port Bloomberg'!D1018="","",'Port Bloomberg'!D1018)</f>
        <v/>
      </c>
      <c r="E1018" s="7" t="str">
        <f>IF('Port Bloomberg'!E1018="","",'Port Bloomberg'!E1018)</f>
        <v/>
      </c>
      <c r="F1018" s="7" t="str">
        <f>IF('Port Bloomberg'!F1018="","",'Port Bloomberg'!F1018)</f>
        <v/>
      </c>
      <c r="G1018" s="7" t="str">
        <f>IF('Port Bloomberg'!G1018="","",'Port Bloomberg'!G1018)</f>
        <v/>
      </c>
      <c r="H1018" s="7" t="str">
        <f>IF('Port Bloomberg'!H1018="","",'Port Bloomberg'!H1018)</f>
        <v/>
      </c>
      <c r="I1018" s="7" t="str">
        <f>IF('Port Bloomberg'!I1018="","",'Port Bloomberg'!I1018)</f>
        <v/>
      </c>
      <c r="J1018" s="7" t="str">
        <f>IF('Port Bloomberg'!J1018="","",'Port Bloomberg'!J1018)</f>
        <v/>
      </c>
      <c r="K1018" s="7" t="str">
        <f>IF('Port Bloomberg'!K1018="","",'Port Bloomberg'!K1018)</f>
        <v/>
      </c>
      <c r="L1018" s="7" t="str">
        <f>IF('Port Bloomberg'!L1018="","",'Port Bloomberg'!L1018)</f>
        <v/>
      </c>
      <c r="M1018" s="7" t="str">
        <f>IF('Port Bloomberg'!M1018="","",'Port Bloomberg'!M1018)</f>
        <v/>
      </c>
      <c r="N1018" s="7" t="str">
        <f>IF('Port Bloomberg'!N1018="","",'Port Bloomberg'!N1018)</f>
        <v/>
      </c>
      <c r="O1018" s="7" t="str">
        <f>IF('Port Bloomberg'!O1018="","",'Port Bloomberg'!O1018)</f>
        <v/>
      </c>
      <c r="P1018" s="7" t="str">
        <f>IF('Port Bloomberg'!P1018="","",'Port Bloomberg'!P1018)</f>
        <v/>
      </c>
      <c r="Q1018" s="7" t="str">
        <f>IF('Port Bloomberg'!Q1018="","",'Port Bloomberg'!Q1018)</f>
        <v/>
      </c>
      <c r="R1018" s="7" t="str">
        <f>IF('Port Bloomberg'!R1018="","",'Port Bloomberg'!R1018)</f>
        <v/>
      </c>
      <c r="S1018" s="5" t="str">
        <f>IF(E1018="","",IFERROR(IF(MATCH(E1018,[1]Instrumentos!$D:$D,0)&gt;0,1,0),0))</f>
        <v/>
      </c>
      <c r="T1018" s="5" t="str">
        <f>IF(E1018="","",IFERROR(IF(MATCH(E1018,'Lista de excepciones'!$E:$E,0)&gt;0,1,0),0))</f>
        <v/>
      </c>
      <c r="U1018" s="6" t="str">
        <f t="shared" si="16"/>
        <v/>
      </c>
    </row>
    <row r="1019" spans="1:21" hidden="1" x14ac:dyDescent="0.25">
      <c r="A1019" s="7" t="str">
        <f>IF('Port Bloomberg'!A1019="","",'Port Bloomberg'!A1019)</f>
        <v/>
      </c>
      <c r="B1019" s="7" t="str">
        <f>IF('Port Bloomberg'!B1019="","",'Port Bloomberg'!B1019)</f>
        <v/>
      </c>
      <c r="C1019" s="7" t="str">
        <f>IF('Port Bloomberg'!C1019="","",'Port Bloomberg'!C1019)</f>
        <v/>
      </c>
      <c r="D1019" s="7" t="str">
        <f>IF('Port Bloomberg'!D1019="","",'Port Bloomberg'!D1019)</f>
        <v/>
      </c>
      <c r="E1019" s="7" t="str">
        <f>IF('Port Bloomberg'!E1019="","",'Port Bloomberg'!E1019)</f>
        <v/>
      </c>
      <c r="F1019" s="7" t="str">
        <f>IF('Port Bloomberg'!F1019="","",'Port Bloomberg'!F1019)</f>
        <v/>
      </c>
      <c r="G1019" s="7" t="str">
        <f>IF('Port Bloomberg'!G1019="","",'Port Bloomberg'!G1019)</f>
        <v/>
      </c>
      <c r="H1019" s="7" t="str">
        <f>IF('Port Bloomberg'!H1019="","",'Port Bloomberg'!H1019)</f>
        <v/>
      </c>
      <c r="I1019" s="7" t="str">
        <f>IF('Port Bloomberg'!I1019="","",'Port Bloomberg'!I1019)</f>
        <v/>
      </c>
      <c r="J1019" s="7" t="str">
        <f>IF('Port Bloomberg'!J1019="","",'Port Bloomberg'!J1019)</f>
        <v/>
      </c>
      <c r="K1019" s="7" t="str">
        <f>IF('Port Bloomberg'!K1019="","",'Port Bloomberg'!K1019)</f>
        <v/>
      </c>
      <c r="L1019" s="7" t="str">
        <f>IF('Port Bloomberg'!L1019="","",'Port Bloomberg'!L1019)</f>
        <v/>
      </c>
      <c r="M1019" s="7" t="str">
        <f>IF('Port Bloomberg'!M1019="","",'Port Bloomberg'!M1019)</f>
        <v/>
      </c>
      <c r="N1019" s="7" t="str">
        <f>IF('Port Bloomberg'!N1019="","",'Port Bloomberg'!N1019)</f>
        <v/>
      </c>
      <c r="O1019" s="7" t="str">
        <f>IF('Port Bloomberg'!O1019="","",'Port Bloomberg'!O1019)</f>
        <v/>
      </c>
      <c r="P1019" s="7" t="str">
        <f>IF('Port Bloomberg'!P1019="","",'Port Bloomberg'!P1019)</f>
        <v/>
      </c>
      <c r="Q1019" s="7" t="str">
        <f>IF('Port Bloomberg'!Q1019="","",'Port Bloomberg'!Q1019)</f>
        <v/>
      </c>
      <c r="R1019" s="7" t="str">
        <f>IF('Port Bloomberg'!R1019="","",'Port Bloomberg'!R1019)</f>
        <v/>
      </c>
      <c r="S1019" s="5" t="str">
        <f>IF(E1019="","",IFERROR(IF(MATCH(E1019,[1]Instrumentos!$D:$D,0)&gt;0,1,0),0))</f>
        <v/>
      </c>
      <c r="T1019" s="5" t="str">
        <f>IF(E1019="","",IFERROR(IF(MATCH(E1019,'Lista de excepciones'!$E:$E,0)&gt;0,1,0),0))</f>
        <v/>
      </c>
      <c r="U1019" s="6" t="str">
        <f t="shared" si="16"/>
        <v/>
      </c>
    </row>
    <row r="1020" spans="1:21" hidden="1" x14ac:dyDescent="0.25">
      <c r="A1020" s="7" t="str">
        <f>IF('Port Bloomberg'!A1020="","",'Port Bloomberg'!A1020)</f>
        <v/>
      </c>
      <c r="B1020" s="7" t="str">
        <f>IF('Port Bloomberg'!B1020="","",'Port Bloomberg'!B1020)</f>
        <v/>
      </c>
      <c r="C1020" s="7" t="str">
        <f>IF('Port Bloomberg'!C1020="","",'Port Bloomberg'!C1020)</f>
        <v/>
      </c>
      <c r="D1020" s="7" t="str">
        <f>IF('Port Bloomberg'!D1020="","",'Port Bloomberg'!D1020)</f>
        <v/>
      </c>
      <c r="E1020" s="7" t="str">
        <f>IF('Port Bloomberg'!E1020="","",'Port Bloomberg'!E1020)</f>
        <v/>
      </c>
      <c r="F1020" s="7" t="str">
        <f>IF('Port Bloomberg'!F1020="","",'Port Bloomberg'!F1020)</f>
        <v/>
      </c>
      <c r="G1020" s="7" t="str">
        <f>IF('Port Bloomberg'!G1020="","",'Port Bloomberg'!G1020)</f>
        <v/>
      </c>
      <c r="H1020" s="7" t="str">
        <f>IF('Port Bloomberg'!H1020="","",'Port Bloomberg'!H1020)</f>
        <v/>
      </c>
      <c r="I1020" s="7" t="str">
        <f>IF('Port Bloomberg'!I1020="","",'Port Bloomberg'!I1020)</f>
        <v/>
      </c>
      <c r="J1020" s="7" t="str">
        <f>IF('Port Bloomberg'!J1020="","",'Port Bloomberg'!J1020)</f>
        <v/>
      </c>
      <c r="K1020" s="7" t="str">
        <f>IF('Port Bloomberg'!K1020="","",'Port Bloomberg'!K1020)</f>
        <v/>
      </c>
      <c r="L1020" s="7" t="str">
        <f>IF('Port Bloomberg'!L1020="","",'Port Bloomberg'!L1020)</f>
        <v/>
      </c>
      <c r="M1020" s="7" t="str">
        <f>IF('Port Bloomberg'!M1020="","",'Port Bloomberg'!M1020)</f>
        <v/>
      </c>
      <c r="N1020" s="7" t="str">
        <f>IF('Port Bloomberg'!N1020="","",'Port Bloomberg'!N1020)</f>
        <v/>
      </c>
      <c r="O1020" s="7" t="str">
        <f>IF('Port Bloomberg'!O1020="","",'Port Bloomberg'!O1020)</f>
        <v/>
      </c>
      <c r="P1020" s="7" t="str">
        <f>IF('Port Bloomberg'!P1020="","",'Port Bloomberg'!P1020)</f>
        <v/>
      </c>
      <c r="Q1020" s="7" t="str">
        <f>IF('Port Bloomberg'!Q1020="","",'Port Bloomberg'!Q1020)</f>
        <v/>
      </c>
      <c r="R1020" s="7" t="str">
        <f>IF('Port Bloomberg'!R1020="","",'Port Bloomberg'!R1020)</f>
        <v/>
      </c>
      <c r="S1020" s="5" t="str">
        <f>IF(E1020="","",IFERROR(IF(MATCH(E1020,[1]Instrumentos!$D:$D,0)&gt;0,1,0),0))</f>
        <v/>
      </c>
      <c r="T1020" s="5" t="str">
        <f>IF(E1020="","",IFERROR(IF(MATCH(E1020,'Lista de excepciones'!$E:$E,0)&gt;0,1,0),0))</f>
        <v/>
      </c>
      <c r="U1020" s="6" t="str">
        <f t="shared" si="16"/>
        <v/>
      </c>
    </row>
    <row r="1021" spans="1:21" hidden="1" x14ac:dyDescent="0.25">
      <c r="A1021" s="7" t="str">
        <f>IF('Port Bloomberg'!A1021="","",'Port Bloomberg'!A1021)</f>
        <v/>
      </c>
      <c r="B1021" s="7" t="str">
        <f>IF('Port Bloomberg'!B1021="","",'Port Bloomberg'!B1021)</f>
        <v/>
      </c>
      <c r="C1021" s="7" t="str">
        <f>IF('Port Bloomberg'!C1021="","",'Port Bloomberg'!C1021)</f>
        <v/>
      </c>
      <c r="D1021" s="7" t="str">
        <f>IF('Port Bloomberg'!D1021="","",'Port Bloomberg'!D1021)</f>
        <v/>
      </c>
      <c r="E1021" s="7" t="str">
        <f>IF('Port Bloomberg'!E1021="","",'Port Bloomberg'!E1021)</f>
        <v/>
      </c>
      <c r="F1021" s="7" t="str">
        <f>IF('Port Bloomberg'!F1021="","",'Port Bloomberg'!F1021)</f>
        <v/>
      </c>
      <c r="G1021" s="7" t="str">
        <f>IF('Port Bloomberg'!G1021="","",'Port Bloomberg'!G1021)</f>
        <v/>
      </c>
      <c r="H1021" s="7" t="str">
        <f>IF('Port Bloomberg'!H1021="","",'Port Bloomberg'!H1021)</f>
        <v/>
      </c>
      <c r="I1021" s="7" t="str">
        <f>IF('Port Bloomberg'!I1021="","",'Port Bloomberg'!I1021)</f>
        <v/>
      </c>
      <c r="J1021" s="7" t="str">
        <f>IF('Port Bloomberg'!J1021="","",'Port Bloomberg'!J1021)</f>
        <v/>
      </c>
      <c r="K1021" s="7" t="str">
        <f>IF('Port Bloomberg'!K1021="","",'Port Bloomberg'!K1021)</f>
        <v/>
      </c>
      <c r="L1021" s="7" t="str">
        <f>IF('Port Bloomberg'!L1021="","",'Port Bloomberg'!L1021)</f>
        <v/>
      </c>
      <c r="M1021" s="7" t="str">
        <f>IF('Port Bloomberg'!M1021="","",'Port Bloomberg'!M1021)</f>
        <v/>
      </c>
      <c r="N1021" s="7" t="str">
        <f>IF('Port Bloomberg'!N1021="","",'Port Bloomberg'!N1021)</f>
        <v/>
      </c>
      <c r="O1021" s="7" t="str">
        <f>IF('Port Bloomberg'!O1021="","",'Port Bloomberg'!O1021)</f>
        <v/>
      </c>
      <c r="P1021" s="7" t="str">
        <f>IF('Port Bloomberg'!P1021="","",'Port Bloomberg'!P1021)</f>
        <v/>
      </c>
      <c r="Q1021" s="7" t="str">
        <f>IF('Port Bloomberg'!Q1021="","",'Port Bloomberg'!Q1021)</f>
        <v/>
      </c>
      <c r="R1021" s="7" t="str">
        <f>IF('Port Bloomberg'!R1021="","",'Port Bloomberg'!R1021)</f>
        <v/>
      </c>
      <c r="S1021" s="5" t="str">
        <f>IF(E1021="","",IFERROR(IF(MATCH(E1021,[1]Instrumentos!$D:$D,0)&gt;0,1,0),0))</f>
        <v/>
      </c>
      <c r="T1021" s="5" t="str">
        <f>IF(E1021="","",IFERROR(IF(MATCH(E1021,'Lista de excepciones'!$E:$E,0)&gt;0,1,0),0))</f>
        <v/>
      </c>
      <c r="U1021" s="6" t="str">
        <f t="shared" si="16"/>
        <v/>
      </c>
    </row>
    <row r="1022" spans="1:21" hidden="1" x14ac:dyDescent="0.25">
      <c r="A1022" s="7" t="str">
        <f>IF('Port Bloomberg'!A1022="","",'Port Bloomberg'!A1022)</f>
        <v/>
      </c>
      <c r="B1022" s="7" t="str">
        <f>IF('Port Bloomberg'!B1022="","",'Port Bloomberg'!B1022)</f>
        <v/>
      </c>
      <c r="C1022" s="7" t="str">
        <f>IF('Port Bloomberg'!C1022="","",'Port Bloomberg'!C1022)</f>
        <v/>
      </c>
      <c r="D1022" s="7" t="str">
        <f>IF('Port Bloomberg'!D1022="","",'Port Bloomberg'!D1022)</f>
        <v/>
      </c>
      <c r="E1022" s="7" t="str">
        <f>IF('Port Bloomberg'!E1022="","",'Port Bloomberg'!E1022)</f>
        <v/>
      </c>
      <c r="F1022" s="7" t="str">
        <f>IF('Port Bloomberg'!F1022="","",'Port Bloomberg'!F1022)</f>
        <v/>
      </c>
      <c r="G1022" s="7" t="str">
        <f>IF('Port Bloomberg'!G1022="","",'Port Bloomberg'!G1022)</f>
        <v/>
      </c>
      <c r="H1022" s="7" t="str">
        <f>IF('Port Bloomberg'!H1022="","",'Port Bloomberg'!H1022)</f>
        <v/>
      </c>
      <c r="I1022" s="7" t="str">
        <f>IF('Port Bloomberg'!I1022="","",'Port Bloomberg'!I1022)</f>
        <v/>
      </c>
      <c r="J1022" s="7" t="str">
        <f>IF('Port Bloomberg'!J1022="","",'Port Bloomberg'!J1022)</f>
        <v/>
      </c>
      <c r="K1022" s="7" t="str">
        <f>IF('Port Bloomberg'!K1022="","",'Port Bloomberg'!K1022)</f>
        <v/>
      </c>
      <c r="L1022" s="7" t="str">
        <f>IF('Port Bloomberg'!L1022="","",'Port Bloomberg'!L1022)</f>
        <v/>
      </c>
      <c r="M1022" s="7" t="str">
        <f>IF('Port Bloomberg'!M1022="","",'Port Bloomberg'!M1022)</f>
        <v/>
      </c>
      <c r="N1022" s="7" t="str">
        <f>IF('Port Bloomberg'!N1022="","",'Port Bloomberg'!N1022)</f>
        <v/>
      </c>
      <c r="O1022" s="7" t="str">
        <f>IF('Port Bloomberg'!O1022="","",'Port Bloomberg'!O1022)</f>
        <v/>
      </c>
      <c r="P1022" s="7" t="str">
        <f>IF('Port Bloomberg'!P1022="","",'Port Bloomberg'!P1022)</f>
        <v/>
      </c>
      <c r="Q1022" s="7" t="str">
        <f>IF('Port Bloomberg'!Q1022="","",'Port Bloomberg'!Q1022)</f>
        <v/>
      </c>
      <c r="R1022" s="7" t="str">
        <f>IF('Port Bloomberg'!R1022="","",'Port Bloomberg'!R1022)</f>
        <v/>
      </c>
      <c r="S1022" s="5" t="str">
        <f>IF(E1022="","",IFERROR(IF(MATCH(E1022,[1]Instrumentos!$D:$D,0)&gt;0,1,0),0))</f>
        <v/>
      </c>
      <c r="T1022" s="5" t="str">
        <f>IF(E1022="","",IFERROR(IF(MATCH(E1022,'Lista de excepciones'!$E:$E,0)&gt;0,1,0),0))</f>
        <v/>
      </c>
      <c r="U1022" s="6" t="str">
        <f t="shared" si="16"/>
        <v/>
      </c>
    </row>
    <row r="1023" spans="1:21" hidden="1" x14ac:dyDescent="0.25">
      <c r="A1023" s="7" t="str">
        <f>IF('Port Bloomberg'!A1023="","",'Port Bloomberg'!A1023)</f>
        <v/>
      </c>
      <c r="B1023" s="7" t="str">
        <f>IF('Port Bloomberg'!B1023="","",'Port Bloomberg'!B1023)</f>
        <v/>
      </c>
      <c r="C1023" s="7" t="str">
        <f>IF('Port Bloomberg'!C1023="","",'Port Bloomberg'!C1023)</f>
        <v/>
      </c>
      <c r="D1023" s="7" t="str">
        <f>IF('Port Bloomberg'!D1023="","",'Port Bloomberg'!D1023)</f>
        <v/>
      </c>
      <c r="E1023" s="7" t="str">
        <f>IF('Port Bloomberg'!E1023="","",'Port Bloomberg'!E1023)</f>
        <v/>
      </c>
      <c r="F1023" s="7" t="str">
        <f>IF('Port Bloomberg'!F1023="","",'Port Bloomberg'!F1023)</f>
        <v/>
      </c>
      <c r="G1023" s="7" t="str">
        <f>IF('Port Bloomberg'!G1023="","",'Port Bloomberg'!G1023)</f>
        <v/>
      </c>
      <c r="H1023" s="7" t="str">
        <f>IF('Port Bloomberg'!H1023="","",'Port Bloomberg'!H1023)</f>
        <v/>
      </c>
      <c r="I1023" s="7" t="str">
        <f>IF('Port Bloomberg'!I1023="","",'Port Bloomberg'!I1023)</f>
        <v/>
      </c>
      <c r="J1023" s="7" t="str">
        <f>IF('Port Bloomberg'!J1023="","",'Port Bloomberg'!J1023)</f>
        <v/>
      </c>
      <c r="K1023" s="7" t="str">
        <f>IF('Port Bloomberg'!K1023="","",'Port Bloomberg'!K1023)</f>
        <v/>
      </c>
      <c r="L1023" s="7" t="str">
        <f>IF('Port Bloomberg'!L1023="","",'Port Bloomberg'!L1023)</f>
        <v/>
      </c>
      <c r="M1023" s="7" t="str">
        <f>IF('Port Bloomberg'!M1023="","",'Port Bloomberg'!M1023)</f>
        <v/>
      </c>
      <c r="N1023" s="7" t="str">
        <f>IF('Port Bloomberg'!N1023="","",'Port Bloomberg'!N1023)</f>
        <v/>
      </c>
      <c r="O1023" s="7" t="str">
        <f>IF('Port Bloomberg'!O1023="","",'Port Bloomberg'!O1023)</f>
        <v/>
      </c>
      <c r="P1023" s="7" t="str">
        <f>IF('Port Bloomberg'!P1023="","",'Port Bloomberg'!P1023)</f>
        <v/>
      </c>
      <c r="Q1023" s="7" t="str">
        <f>IF('Port Bloomberg'!Q1023="","",'Port Bloomberg'!Q1023)</f>
        <v/>
      </c>
      <c r="R1023" s="7" t="str">
        <f>IF('Port Bloomberg'!R1023="","",'Port Bloomberg'!R1023)</f>
        <v/>
      </c>
      <c r="S1023" s="5" t="str">
        <f>IF(E1023="","",IFERROR(IF(MATCH(E1023,[1]Instrumentos!$D:$D,0)&gt;0,1,0),0))</f>
        <v/>
      </c>
      <c r="T1023" s="5" t="str">
        <f>IF(E1023="","",IFERROR(IF(MATCH(E1023,'Lista de excepciones'!$E:$E,0)&gt;0,1,0),0))</f>
        <v/>
      </c>
      <c r="U1023" s="6" t="str">
        <f t="shared" si="16"/>
        <v/>
      </c>
    </row>
    <row r="1024" spans="1:21" hidden="1" x14ac:dyDescent="0.25">
      <c r="A1024" s="7" t="str">
        <f>IF('Port Bloomberg'!A1024="","",'Port Bloomberg'!A1024)</f>
        <v/>
      </c>
      <c r="B1024" s="7" t="str">
        <f>IF('Port Bloomberg'!B1024="","",'Port Bloomberg'!B1024)</f>
        <v/>
      </c>
      <c r="C1024" s="7" t="str">
        <f>IF('Port Bloomberg'!C1024="","",'Port Bloomberg'!C1024)</f>
        <v/>
      </c>
      <c r="D1024" s="7" t="str">
        <f>IF('Port Bloomberg'!D1024="","",'Port Bloomberg'!D1024)</f>
        <v/>
      </c>
      <c r="E1024" s="7" t="str">
        <f>IF('Port Bloomberg'!E1024="","",'Port Bloomberg'!E1024)</f>
        <v/>
      </c>
      <c r="F1024" s="7" t="str">
        <f>IF('Port Bloomberg'!F1024="","",'Port Bloomberg'!F1024)</f>
        <v/>
      </c>
      <c r="G1024" s="7" t="str">
        <f>IF('Port Bloomberg'!G1024="","",'Port Bloomberg'!G1024)</f>
        <v/>
      </c>
      <c r="H1024" s="7" t="str">
        <f>IF('Port Bloomberg'!H1024="","",'Port Bloomberg'!H1024)</f>
        <v/>
      </c>
      <c r="I1024" s="7" t="str">
        <f>IF('Port Bloomberg'!I1024="","",'Port Bloomberg'!I1024)</f>
        <v/>
      </c>
      <c r="J1024" s="7" t="str">
        <f>IF('Port Bloomberg'!J1024="","",'Port Bloomberg'!J1024)</f>
        <v/>
      </c>
      <c r="K1024" s="7" t="str">
        <f>IF('Port Bloomberg'!K1024="","",'Port Bloomberg'!K1024)</f>
        <v/>
      </c>
      <c r="L1024" s="7" t="str">
        <f>IF('Port Bloomberg'!L1024="","",'Port Bloomberg'!L1024)</f>
        <v/>
      </c>
      <c r="M1024" s="7" t="str">
        <f>IF('Port Bloomberg'!M1024="","",'Port Bloomberg'!M1024)</f>
        <v/>
      </c>
      <c r="N1024" s="7" t="str">
        <f>IF('Port Bloomberg'!N1024="","",'Port Bloomberg'!N1024)</f>
        <v/>
      </c>
      <c r="O1024" s="7" t="str">
        <f>IF('Port Bloomberg'!O1024="","",'Port Bloomberg'!O1024)</f>
        <v/>
      </c>
      <c r="P1024" s="7" t="str">
        <f>IF('Port Bloomberg'!P1024="","",'Port Bloomberg'!P1024)</f>
        <v/>
      </c>
      <c r="Q1024" s="7" t="str">
        <f>IF('Port Bloomberg'!Q1024="","",'Port Bloomberg'!Q1024)</f>
        <v/>
      </c>
      <c r="R1024" s="7" t="str">
        <f>IF('Port Bloomberg'!R1024="","",'Port Bloomberg'!R1024)</f>
        <v/>
      </c>
      <c r="S1024" s="5" t="str">
        <f>IF(E1024="","",IFERROR(IF(MATCH(E1024,[1]Instrumentos!$D:$D,0)&gt;0,1,0),0))</f>
        <v/>
      </c>
      <c r="T1024" s="5" t="str">
        <f>IF(E1024="","",IFERROR(IF(MATCH(E1024,'Lista de excepciones'!$E:$E,0)&gt;0,1,0),0))</f>
        <v/>
      </c>
      <c r="U1024" s="6" t="str">
        <f t="shared" si="16"/>
        <v/>
      </c>
    </row>
    <row r="1025" spans="1:21" hidden="1" x14ac:dyDescent="0.25">
      <c r="A1025" s="7" t="str">
        <f>IF('Port Bloomberg'!A1025="","",'Port Bloomberg'!A1025)</f>
        <v/>
      </c>
      <c r="B1025" s="7" t="str">
        <f>IF('Port Bloomberg'!B1025="","",'Port Bloomberg'!B1025)</f>
        <v/>
      </c>
      <c r="C1025" s="7" t="str">
        <f>IF('Port Bloomberg'!C1025="","",'Port Bloomberg'!C1025)</f>
        <v/>
      </c>
      <c r="D1025" s="7" t="str">
        <f>IF('Port Bloomberg'!D1025="","",'Port Bloomberg'!D1025)</f>
        <v/>
      </c>
      <c r="E1025" s="7" t="str">
        <f>IF('Port Bloomberg'!E1025="","",'Port Bloomberg'!E1025)</f>
        <v/>
      </c>
      <c r="F1025" s="7" t="str">
        <f>IF('Port Bloomberg'!F1025="","",'Port Bloomberg'!F1025)</f>
        <v/>
      </c>
      <c r="G1025" s="7" t="str">
        <f>IF('Port Bloomberg'!G1025="","",'Port Bloomberg'!G1025)</f>
        <v/>
      </c>
      <c r="H1025" s="7" t="str">
        <f>IF('Port Bloomberg'!H1025="","",'Port Bloomberg'!H1025)</f>
        <v/>
      </c>
      <c r="I1025" s="7" t="str">
        <f>IF('Port Bloomberg'!I1025="","",'Port Bloomberg'!I1025)</f>
        <v/>
      </c>
      <c r="J1025" s="7" t="str">
        <f>IF('Port Bloomberg'!J1025="","",'Port Bloomberg'!J1025)</f>
        <v/>
      </c>
      <c r="K1025" s="7" t="str">
        <f>IF('Port Bloomberg'!K1025="","",'Port Bloomberg'!K1025)</f>
        <v/>
      </c>
      <c r="L1025" s="7" t="str">
        <f>IF('Port Bloomberg'!L1025="","",'Port Bloomberg'!L1025)</f>
        <v/>
      </c>
      <c r="M1025" s="7" t="str">
        <f>IF('Port Bloomberg'!M1025="","",'Port Bloomberg'!M1025)</f>
        <v/>
      </c>
      <c r="N1025" s="7" t="str">
        <f>IF('Port Bloomberg'!N1025="","",'Port Bloomberg'!N1025)</f>
        <v/>
      </c>
      <c r="O1025" s="7" t="str">
        <f>IF('Port Bloomberg'!O1025="","",'Port Bloomberg'!O1025)</f>
        <v/>
      </c>
      <c r="P1025" s="7" t="str">
        <f>IF('Port Bloomberg'!P1025="","",'Port Bloomberg'!P1025)</f>
        <v/>
      </c>
      <c r="Q1025" s="7" t="str">
        <f>IF('Port Bloomberg'!Q1025="","",'Port Bloomberg'!Q1025)</f>
        <v/>
      </c>
      <c r="R1025" s="7" t="str">
        <f>IF('Port Bloomberg'!R1025="","",'Port Bloomberg'!R1025)</f>
        <v/>
      </c>
      <c r="S1025" s="5" t="str">
        <f>IF(E1025="","",IFERROR(IF(MATCH(E1025,[1]Instrumentos!$D:$D,0)&gt;0,1,0),0))</f>
        <v/>
      </c>
      <c r="T1025" s="5" t="str">
        <f>IF(E1025="","",IFERROR(IF(MATCH(E1025,'Lista de excepciones'!$E:$E,0)&gt;0,1,0),0))</f>
        <v/>
      </c>
      <c r="U1025" s="6" t="str">
        <f t="shared" si="16"/>
        <v/>
      </c>
    </row>
    <row r="1026" spans="1:21" hidden="1" x14ac:dyDescent="0.25">
      <c r="A1026" s="7" t="str">
        <f>IF('Port Bloomberg'!A1026="","",'Port Bloomberg'!A1026)</f>
        <v/>
      </c>
      <c r="B1026" s="7" t="str">
        <f>IF('Port Bloomberg'!B1026="","",'Port Bloomberg'!B1026)</f>
        <v/>
      </c>
      <c r="C1026" s="7" t="str">
        <f>IF('Port Bloomberg'!C1026="","",'Port Bloomberg'!C1026)</f>
        <v/>
      </c>
      <c r="D1026" s="7" t="str">
        <f>IF('Port Bloomberg'!D1026="","",'Port Bloomberg'!D1026)</f>
        <v/>
      </c>
      <c r="E1026" s="7" t="str">
        <f>IF('Port Bloomberg'!E1026="","",'Port Bloomberg'!E1026)</f>
        <v/>
      </c>
      <c r="F1026" s="7" t="str">
        <f>IF('Port Bloomberg'!F1026="","",'Port Bloomberg'!F1026)</f>
        <v/>
      </c>
      <c r="G1026" s="7" t="str">
        <f>IF('Port Bloomberg'!G1026="","",'Port Bloomberg'!G1026)</f>
        <v/>
      </c>
      <c r="H1026" s="7" t="str">
        <f>IF('Port Bloomberg'!H1026="","",'Port Bloomberg'!H1026)</f>
        <v/>
      </c>
      <c r="I1026" s="7" t="str">
        <f>IF('Port Bloomberg'!I1026="","",'Port Bloomberg'!I1026)</f>
        <v/>
      </c>
      <c r="J1026" s="7" t="str">
        <f>IF('Port Bloomberg'!J1026="","",'Port Bloomberg'!J1026)</f>
        <v/>
      </c>
      <c r="K1026" s="7" t="str">
        <f>IF('Port Bloomberg'!K1026="","",'Port Bloomberg'!K1026)</f>
        <v/>
      </c>
      <c r="L1026" s="7" t="str">
        <f>IF('Port Bloomberg'!L1026="","",'Port Bloomberg'!L1026)</f>
        <v/>
      </c>
      <c r="M1026" s="7" t="str">
        <f>IF('Port Bloomberg'!M1026="","",'Port Bloomberg'!M1026)</f>
        <v/>
      </c>
      <c r="N1026" s="7" t="str">
        <f>IF('Port Bloomberg'!N1026="","",'Port Bloomberg'!N1026)</f>
        <v/>
      </c>
      <c r="O1026" s="7" t="str">
        <f>IF('Port Bloomberg'!O1026="","",'Port Bloomberg'!O1026)</f>
        <v/>
      </c>
      <c r="P1026" s="7" t="str">
        <f>IF('Port Bloomberg'!P1026="","",'Port Bloomberg'!P1026)</f>
        <v/>
      </c>
      <c r="Q1026" s="7" t="str">
        <f>IF('Port Bloomberg'!Q1026="","",'Port Bloomberg'!Q1026)</f>
        <v/>
      </c>
      <c r="R1026" s="7" t="str">
        <f>IF('Port Bloomberg'!R1026="","",'Port Bloomberg'!R1026)</f>
        <v/>
      </c>
      <c r="S1026" s="5" t="str">
        <f>IF(E1026="","",IFERROR(IF(MATCH(E1026,[1]Instrumentos!$D:$D,0)&gt;0,1,0),0))</f>
        <v/>
      </c>
      <c r="T1026" s="5" t="str">
        <f>IF(E1026="","",IFERROR(IF(MATCH(E1026,'Lista de excepciones'!$E:$E,0)&gt;0,1,0),0))</f>
        <v/>
      </c>
      <c r="U1026" s="6" t="str">
        <f t="shared" si="16"/>
        <v/>
      </c>
    </row>
    <row r="1027" spans="1:21" hidden="1" x14ac:dyDescent="0.25">
      <c r="A1027" s="7" t="str">
        <f>IF('Port Bloomberg'!A1027="","",'Port Bloomberg'!A1027)</f>
        <v/>
      </c>
      <c r="B1027" s="7" t="str">
        <f>IF('Port Bloomberg'!B1027="","",'Port Bloomberg'!B1027)</f>
        <v/>
      </c>
      <c r="C1027" s="7" t="str">
        <f>IF('Port Bloomberg'!C1027="","",'Port Bloomberg'!C1027)</f>
        <v/>
      </c>
      <c r="D1027" s="7" t="str">
        <f>IF('Port Bloomberg'!D1027="","",'Port Bloomberg'!D1027)</f>
        <v/>
      </c>
      <c r="E1027" s="7" t="str">
        <f>IF('Port Bloomberg'!E1027="","",'Port Bloomberg'!E1027)</f>
        <v/>
      </c>
      <c r="F1027" s="7" t="str">
        <f>IF('Port Bloomberg'!F1027="","",'Port Bloomberg'!F1027)</f>
        <v/>
      </c>
      <c r="G1027" s="7" t="str">
        <f>IF('Port Bloomberg'!G1027="","",'Port Bloomberg'!G1027)</f>
        <v/>
      </c>
      <c r="H1027" s="7" t="str">
        <f>IF('Port Bloomberg'!H1027="","",'Port Bloomberg'!H1027)</f>
        <v/>
      </c>
      <c r="I1027" s="7" t="str">
        <f>IF('Port Bloomberg'!I1027="","",'Port Bloomberg'!I1027)</f>
        <v/>
      </c>
      <c r="J1027" s="7" t="str">
        <f>IF('Port Bloomberg'!J1027="","",'Port Bloomberg'!J1027)</f>
        <v/>
      </c>
      <c r="K1027" s="7" t="str">
        <f>IF('Port Bloomberg'!K1027="","",'Port Bloomberg'!K1027)</f>
        <v/>
      </c>
      <c r="L1027" s="7" t="str">
        <f>IF('Port Bloomberg'!L1027="","",'Port Bloomberg'!L1027)</f>
        <v/>
      </c>
      <c r="M1027" s="7" t="str">
        <f>IF('Port Bloomberg'!M1027="","",'Port Bloomberg'!M1027)</f>
        <v/>
      </c>
      <c r="N1027" s="7" t="str">
        <f>IF('Port Bloomberg'!N1027="","",'Port Bloomberg'!N1027)</f>
        <v/>
      </c>
      <c r="O1027" s="7" t="str">
        <f>IF('Port Bloomberg'!O1027="","",'Port Bloomberg'!O1027)</f>
        <v/>
      </c>
      <c r="P1027" s="7" t="str">
        <f>IF('Port Bloomberg'!P1027="","",'Port Bloomberg'!P1027)</f>
        <v/>
      </c>
      <c r="Q1027" s="7" t="str">
        <f>IF('Port Bloomberg'!Q1027="","",'Port Bloomberg'!Q1027)</f>
        <v/>
      </c>
      <c r="R1027" s="7" t="str">
        <f>IF('Port Bloomberg'!R1027="","",'Port Bloomberg'!R1027)</f>
        <v/>
      </c>
      <c r="S1027" s="5" t="str">
        <f>IF(E1027="","",IFERROR(IF(MATCH(E1027,[1]Instrumentos!$D:$D,0)&gt;0,1,0),0))</f>
        <v/>
      </c>
      <c r="T1027" s="5" t="str">
        <f>IF(E1027="","",IFERROR(IF(MATCH(E1027,'Lista de excepciones'!$E:$E,0)&gt;0,1,0),0))</f>
        <v/>
      </c>
      <c r="U1027" s="6" t="str">
        <f t="shared" ref="U1027:U1090" si="17">IF(E1027="","",IF(S1027+T1027=0,"AGREGAR/REVISAR","NO"))</f>
        <v/>
      </c>
    </row>
    <row r="1028" spans="1:21" hidden="1" x14ac:dyDescent="0.25">
      <c r="A1028" s="7" t="str">
        <f>IF('Port Bloomberg'!A1028="","",'Port Bloomberg'!A1028)</f>
        <v/>
      </c>
      <c r="B1028" s="7" t="str">
        <f>IF('Port Bloomberg'!B1028="","",'Port Bloomberg'!B1028)</f>
        <v/>
      </c>
      <c r="C1028" s="7" t="str">
        <f>IF('Port Bloomberg'!C1028="","",'Port Bloomberg'!C1028)</f>
        <v/>
      </c>
      <c r="D1028" s="7" t="str">
        <f>IF('Port Bloomberg'!D1028="","",'Port Bloomberg'!D1028)</f>
        <v/>
      </c>
      <c r="E1028" s="7" t="str">
        <f>IF('Port Bloomberg'!E1028="","",'Port Bloomberg'!E1028)</f>
        <v/>
      </c>
      <c r="F1028" s="7" t="str">
        <f>IF('Port Bloomberg'!F1028="","",'Port Bloomberg'!F1028)</f>
        <v/>
      </c>
      <c r="G1028" s="7" t="str">
        <f>IF('Port Bloomberg'!G1028="","",'Port Bloomberg'!G1028)</f>
        <v/>
      </c>
      <c r="H1028" s="7" t="str">
        <f>IF('Port Bloomberg'!H1028="","",'Port Bloomberg'!H1028)</f>
        <v/>
      </c>
      <c r="I1028" s="7" t="str">
        <f>IF('Port Bloomberg'!I1028="","",'Port Bloomberg'!I1028)</f>
        <v/>
      </c>
      <c r="J1028" s="7" t="str">
        <f>IF('Port Bloomberg'!J1028="","",'Port Bloomberg'!J1028)</f>
        <v/>
      </c>
      <c r="K1028" s="7" t="str">
        <f>IF('Port Bloomberg'!K1028="","",'Port Bloomberg'!K1028)</f>
        <v/>
      </c>
      <c r="L1028" s="7" t="str">
        <f>IF('Port Bloomberg'!L1028="","",'Port Bloomberg'!L1028)</f>
        <v/>
      </c>
      <c r="M1028" s="7" t="str">
        <f>IF('Port Bloomberg'!M1028="","",'Port Bloomberg'!M1028)</f>
        <v/>
      </c>
      <c r="N1028" s="7" t="str">
        <f>IF('Port Bloomberg'!N1028="","",'Port Bloomberg'!N1028)</f>
        <v/>
      </c>
      <c r="O1028" s="7" t="str">
        <f>IF('Port Bloomberg'!O1028="","",'Port Bloomberg'!O1028)</f>
        <v/>
      </c>
      <c r="P1028" s="7" t="str">
        <f>IF('Port Bloomberg'!P1028="","",'Port Bloomberg'!P1028)</f>
        <v/>
      </c>
      <c r="Q1028" s="7" t="str">
        <f>IF('Port Bloomberg'!Q1028="","",'Port Bloomberg'!Q1028)</f>
        <v/>
      </c>
      <c r="R1028" s="7" t="str">
        <f>IF('Port Bloomberg'!R1028="","",'Port Bloomberg'!R1028)</f>
        <v/>
      </c>
      <c r="S1028" s="5" t="str">
        <f>IF(E1028="","",IFERROR(IF(MATCH(E1028,[1]Instrumentos!$D:$D,0)&gt;0,1,0),0))</f>
        <v/>
      </c>
      <c r="T1028" s="5" t="str">
        <f>IF(E1028="","",IFERROR(IF(MATCH(E1028,'Lista de excepciones'!$E:$E,0)&gt;0,1,0),0))</f>
        <v/>
      </c>
      <c r="U1028" s="6" t="str">
        <f t="shared" si="17"/>
        <v/>
      </c>
    </row>
    <row r="1029" spans="1:21" hidden="1" x14ac:dyDescent="0.25">
      <c r="A1029" s="7" t="str">
        <f>IF('Port Bloomberg'!A1029="","",'Port Bloomberg'!A1029)</f>
        <v/>
      </c>
      <c r="B1029" s="7" t="str">
        <f>IF('Port Bloomberg'!B1029="","",'Port Bloomberg'!B1029)</f>
        <v/>
      </c>
      <c r="C1029" s="7" t="str">
        <f>IF('Port Bloomberg'!C1029="","",'Port Bloomberg'!C1029)</f>
        <v/>
      </c>
      <c r="D1029" s="7" t="str">
        <f>IF('Port Bloomberg'!D1029="","",'Port Bloomberg'!D1029)</f>
        <v/>
      </c>
      <c r="E1029" s="7" t="str">
        <f>IF('Port Bloomberg'!E1029="","",'Port Bloomberg'!E1029)</f>
        <v/>
      </c>
      <c r="F1029" s="7" t="str">
        <f>IF('Port Bloomberg'!F1029="","",'Port Bloomberg'!F1029)</f>
        <v/>
      </c>
      <c r="G1029" s="7" t="str">
        <f>IF('Port Bloomberg'!G1029="","",'Port Bloomberg'!G1029)</f>
        <v/>
      </c>
      <c r="H1029" s="7" t="str">
        <f>IF('Port Bloomberg'!H1029="","",'Port Bloomberg'!H1029)</f>
        <v/>
      </c>
      <c r="I1029" s="7" t="str">
        <f>IF('Port Bloomberg'!I1029="","",'Port Bloomberg'!I1029)</f>
        <v/>
      </c>
      <c r="J1029" s="7" t="str">
        <f>IF('Port Bloomberg'!J1029="","",'Port Bloomberg'!J1029)</f>
        <v/>
      </c>
      <c r="K1029" s="7" t="str">
        <f>IF('Port Bloomberg'!K1029="","",'Port Bloomberg'!K1029)</f>
        <v/>
      </c>
      <c r="L1029" s="7" t="str">
        <f>IF('Port Bloomberg'!L1029="","",'Port Bloomberg'!L1029)</f>
        <v/>
      </c>
      <c r="M1029" s="7" t="str">
        <f>IF('Port Bloomberg'!M1029="","",'Port Bloomberg'!M1029)</f>
        <v/>
      </c>
      <c r="N1029" s="7" t="str">
        <f>IF('Port Bloomberg'!N1029="","",'Port Bloomberg'!N1029)</f>
        <v/>
      </c>
      <c r="O1029" s="7" t="str">
        <f>IF('Port Bloomberg'!O1029="","",'Port Bloomberg'!O1029)</f>
        <v/>
      </c>
      <c r="P1029" s="7" t="str">
        <f>IF('Port Bloomberg'!P1029="","",'Port Bloomberg'!P1029)</f>
        <v/>
      </c>
      <c r="Q1029" s="7" t="str">
        <f>IF('Port Bloomberg'!Q1029="","",'Port Bloomberg'!Q1029)</f>
        <v/>
      </c>
      <c r="R1029" s="7" t="str">
        <f>IF('Port Bloomberg'!R1029="","",'Port Bloomberg'!R1029)</f>
        <v/>
      </c>
      <c r="S1029" s="5" t="str">
        <f>IF(E1029="","",IFERROR(IF(MATCH(E1029,[1]Instrumentos!$D:$D,0)&gt;0,1,0),0))</f>
        <v/>
      </c>
      <c r="T1029" s="5" t="str">
        <f>IF(E1029="","",IFERROR(IF(MATCH(E1029,'Lista de excepciones'!$E:$E,0)&gt;0,1,0),0))</f>
        <v/>
      </c>
      <c r="U1029" s="6" t="str">
        <f t="shared" si="17"/>
        <v/>
      </c>
    </row>
    <row r="1030" spans="1:21" hidden="1" x14ac:dyDescent="0.25">
      <c r="A1030" s="7" t="str">
        <f>IF('Port Bloomberg'!A1030="","",'Port Bloomberg'!A1030)</f>
        <v/>
      </c>
      <c r="B1030" s="7" t="str">
        <f>IF('Port Bloomberg'!B1030="","",'Port Bloomberg'!B1030)</f>
        <v/>
      </c>
      <c r="C1030" s="7" t="str">
        <f>IF('Port Bloomberg'!C1030="","",'Port Bloomberg'!C1030)</f>
        <v/>
      </c>
      <c r="D1030" s="7" t="str">
        <f>IF('Port Bloomberg'!D1030="","",'Port Bloomberg'!D1030)</f>
        <v/>
      </c>
      <c r="E1030" s="7" t="str">
        <f>IF('Port Bloomberg'!E1030="","",'Port Bloomberg'!E1030)</f>
        <v/>
      </c>
      <c r="F1030" s="7" t="str">
        <f>IF('Port Bloomberg'!F1030="","",'Port Bloomberg'!F1030)</f>
        <v/>
      </c>
      <c r="G1030" s="7" t="str">
        <f>IF('Port Bloomberg'!G1030="","",'Port Bloomberg'!G1030)</f>
        <v/>
      </c>
      <c r="H1030" s="7" t="str">
        <f>IF('Port Bloomberg'!H1030="","",'Port Bloomberg'!H1030)</f>
        <v/>
      </c>
      <c r="I1030" s="7" t="str">
        <f>IF('Port Bloomberg'!I1030="","",'Port Bloomberg'!I1030)</f>
        <v/>
      </c>
      <c r="J1030" s="7" t="str">
        <f>IF('Port Bloomberg'!J1030="","",'Port Bloomberg'!J1030)</f>
        <v/>
      </c>
      <c r="K1030" s="7" t="str">
        <f>IF('Port Bloomberg'!K1030="","",'Port Bloomberg'!K1030)</f>
        <v/>
      </c>
      <c r="L1030" s="7" t="str">
        <f>IF('Port Bloomberg'!L1030="","",'Port Bloomberg'!L1030)</f>
        <v/>
      </c>
      <c r="M1030" s="7" t="str">
        <f>IF('Port Bloomberg'!M1030="","",'Port Bloomberg'!M1030)</f>
        <v/>
      </c>
      <c r="N1030" s="7" t="str">
        <f>IF('Port Bloomberg'!N1030="","",'Port Bloomberg'!N1030)</f>
        <v/>
      </c>
      <c r="O1030" s="7" t="str">
        <f>IF('Port Bloomberg'!O1030="","",'Port Bloomberg'!O1030)</f>
        <v/>
      </c>
      <c r="P1030" s="7" t="str">
        <f>IF('Port Bloomberg'!P1030="","",'Port Bloomberg'!P1030)</f>
        <v/>
      </c>
      <c r="Q1030" s="7" t="str">
        <f>IF('Port Bloomberg'!Q1030="","",'Port Bloomberg'!Q1030)</f>
        <v/>
      </c>
      <c r="R1030" s="7" t="str">
        <f>IF('Port Bloomberg'!R1030="","",'Port Bloomberg'!R1030)</f>
        <v/>
      </c>
      <c r="S1030" s="5" t="str">
        <f>IF(E1030="","",IFERROR(IF(MATCH(E1030,[1]Instrumentos!$D:$D,0)&gt;0,1,0),0))</f>
        <v/>
      </c>
      <c r="T1030" s="5" t="str">
        <f>IF(E1030="","",IFERROR(IF(MATCH(E1030,'Lista de excepciones'!$E:$E,0)&gt;0,1,0),0))</f>
        <v/>
      </c>
      <c r="U1030" s="6" t="str">
        <f t="shared" si="17"/>
        <v/>
      </c>
    </row>
    <row r="1031" spans="1:21" hidden="1" x14ac:dyDescent="0.25">
      <c r="A1031" s="7" t="str">
        <f>IF('Port Bloomberg'!A1031="","",'Port Bloomberg'!A1031)</f>
        <v/>
      </c>
      <c r="B1031" s="7" t="str">
        <f>IF('Port Bloomberg'!B1031="","",'Port Bloomberg'!B1031)</f>
        <v/>
      </c>
      <c r="C1031" s="7" t="str">
        <f>IF('Port Bloomberg'!C1031="","",'Port Bloomberg'!C1031)</f>
        <v/>
      </c>
      <c r="D1031" s="7" t="str">
        <f>IF('Port Bloomberg'!D1031="","",'Port Bloomberg'!D1031)</f>
        <v/>
      </c>
      <c r="E1031" s="7" t="str">
        <f>IF('Port Bloomberg'!E1031="","",'Port Bloomberg'!E1031)</f>
        <v/>
      </c>
      <c r="F1031" s="7" t="str">
        <f>IF('Port Bloomberg'!F1031="","",'Port Bloomberg'!F1031)</f>
        <v/>
      </c>
      <c r="G1031" s="7" t="str">
        <f>IF('Port Bloomberg'!G1031="","",'Port Bloomberg'!G1031)</f>
        <v/>
      </c>
      <c r="H1031" s="7" t="str">
        <f>IF('Port Bloomberg'!H1031="","",'Port Bloomberg'!H1031)</f>
        <v/>
      </c>
      <c r="I1031" s="7" t="str">
        <f>IF('Port Bloomberg'!I1031="","",'Port Bloomberg'!I1031)</f>
        <v/>
      </c>
      <c r="J1031" s="7" t="str">
        <f>IF('Port Bloomberg'!J1031="","",'Port Bloomberg'!J1031)</f>
        <v/>
      </c>
      <c r="K1031" s="7" t="str">
        <f>IF('Port Bloomberg'!K1031="","",'Port Bloomberg'!K1031)</f>
        <v/>
      </c>
      <c r="L1031" s="7" t="str">
        <f>IF('Port Bloomberg'!L1031="","",'Port Bloomberg'!L1031)</f>
        <v/>
      </c>
      <c r="M1031" s="7" t="str">
        <f>IF('Port Bloomberg'!M1031="","",'Port Bloomberg'!M1031)</f>
        <v/>
      </c>
      <c r="N1031" s="7" t="str">
        <f>IF('Port Bloomberg'!N1031="","",'Port Bloomberg'!N1031)</f>
        <v/>
      </c>
      <c r="O1031" s="7" t="str">
        <f>IF('Port Bloomberg'!O1031="","",'Port Bloomberg'!O1031)</f>
        <v/>
      </c>
      <c r="P1031" s="7" t="str">
        <f>IF('Port Bloomberg'!P1031="","",'Port Bloomberg'!P1031)</f>
        <v/>
      </c>
      <c r="Q1031" s="7" t="str">
        <f>IF('Port Bloomberg'!Q1031="","",'Port Bloomberg'!Q1031)</f>
        <v/>
      </c>
      <c r="R1031" s="7" t="str">
        <f>IF('Port Bloomberg'!R1031="","",'Port Bloomberg'!R1031)</f>
        <v/>
      </c>
      <c r="S1031" s="5" t="str">
        <f>IF(E1031="","",IFERROR(IF(MATCH(E1031,[1]Instrumentos!$D:$D,0)&gt;0,1,0),0))</f>
        <v/>
      </c>
      <c r="T1031" s="5" t="str">
        <f>IF(E1031="","",IFERROR(IF(MATCH(E1031,'Lista de excepciones'!$E:$E,0)&gt;0,1,0),0))</f>
        <v/>
      </c>
      <c r="U1031" s="6" t="str">
        <f t="shared" si="17"/>
        <v/>
      </c>
    </row>
    <row r="1032" spans="1:21" hidden="1" x14ac:dyDescent="0.25">
      <c r="A1032" s="7" t="str">
        <f>IF('Port Bloomberg'!A1032="","",'Port Bloomberg'!A1032)</f>
        <v/>
      </c>
      <c r="B1032" s="7" t="str">
        <f>IF('Port Bloomberg'!B1032="","",'Port Bloomberg'!B1032)</f>
        <v/>
      </c>
      <c r="C1032" s="7" t="str">
        <f>IF('Port Bloomberg'!C1032="","",'Port Bloomberg'!C1032)</f>
        <v/>
      </c>
      <c r="D1032" s="7" t="str">
        <f>IF('Port Bloomberg'!D1032="","",'Port Bloomberg'!D1032)</f>
        <v/>
      </c>
      <c r="E1032" s="7" t="str">
        <f>IF('Port Bloomberg'!E1032="","",'Port Bloomberg'!E1032)</f>
        <v/>
      </c>
      <c r="F1032" s="7" t="str">
        <f>IF('Port Bloomberg'!F1032="","",'Port Bloomberg'!F1032)</f>
        <v/>
      </c>
      <c r="G1032" s="7" t="str">
        <f>IF('Port Bloomberg'!G1032="","",'Port Bloomberg'!G1032)</f>
        <v/>
      </c>
      <c r="H1032" s="7" t="str">
        <f>IF('Port Bloomberg'!H1032="","",'Port Bloomberg'!H1032)</f>
        <v/>
      </c>
      <c r="I1032" s="7" t="str">
        <f>IF('Port Bloomberg'!I1032="","",'Port Bloomberg'!I1032)</f>
        <v/>
      </c>
      <c r="J1032" s="7" t="str">
        <f>IF('Port Bloomberg'!J1032="","",'Port Bloomberg'!J1032)</f>
        <v/>
      </c>
      <c r="K1032" s="7" t="str">
        <f>IF('Port Bloomberg'!K1032="","",'Port Bloomberg'!K1032)</f>
        <v/>
      </c>
      <c r="L1032" s="7" t="str">
        <f>IF('Port Bloomberg'!L1032="","",'Port Bloomberg'!L1032)</f>
        <v/>
      </c>
      <c r="M1032" s="7" t="str">
        <f>IF('Port Bloomberg'!M1032="","",'Port Bloomberg'!M1032)</f>
        <v/>
      </c>
      <c r="N1032" s="7" t="str">
        <f>IF('Port Bloomberg'!N1032="","",'Port Bloomberg'!N1032)</f>
        <v/>
      </c>
      <c r="O1032" s="7" t="str">
        <f>IF('Port Bloomberg'!O1032="","",'Port Bloomberg'!O1032)</f>
        <v/>
      </c>
      <c r="P1032" s="7" t="str">
        <f>IF('Port Bloomberg'!P1032="","",'Port Bloomberg'!P1032)</f>
        <v/>
      </c>
      <c r="Q1032" s="7" t="str">
        <f>IF('Port Bloomberg'!Q1032="","",'Port Bloomberg'!Q1032)</f>
        <v/>
      </c>
      <c r="R1032" s="7" t="str">
        <f>IF('Port Bloomberg'!R1032="","",'Port Bloomberg'!R1032)</f>
        <v/>
      </c>
      <c r="S1032" s="5" t="str">
        <f>IF(E1032="","",IFERROR(IF(MATCH(E1032,[1]Instrumentos!$D:$D,0)&gt;0,1,0),0))</f>
        <v/>
      </c>
      <c r="T1032" s="5" t="str">
        <f>IF(E1032="","",IFERROR(IF(MATCH(E1032,'Lista de excepciones'!$E:$E,0)&gt;0,1,0),0))</f>
        <v/>
      </c>
      <c r="U1032" s="6" t="str">
        <f t="shared" si="17"/>
        <v/>
      </c>
    </row>
    <row r="1033" spans="1:21" hidden="1" x14ac:dyDescent="0.25">
      <c r="A1033" s="7" t="str">
        <f>IF('Port Bloomberg'!A1033="","",'Port Bloomberg'!A1033)</f>
        <v/>
      </c>
      <c r="B1033" s="7" t="str">
        <f>IF('Port Bloomberg'!B1033="","",'Port Bloomberg'!B1033)</f>
        <v/>
      </c>
      <c r="C1033" s="7" t="str">
        <f>IF('Port Bloomberg'!C1033="","",'Port Bloomberg'!C1033)</f>
        <v/>
      </c>
      <c r="D1033" s="7" t="str">
        <f>IF('Port Bloomberg'!D1033="","",'Port Bloomberg'!D1033)</f>
        <v/>
      </c>
      <c r="E1033" s="7" t="str">
        <f>IF('Port Bloomberg'!E1033="","",'Port Bloomberg'!E1033)</f>
        <v/>
      </c>
      <c r="F1033" s="7" t="str">
        <f>IF('Port Bloomberg'!F1033="","",'Port Bloomberg'!F1033)</f>
        <v/>
      </c>
      <c r="G1033" s="7" t="str">
        <f>IF('Port Bloomberg'!G1033="","",'Port Bloomberg'!G1033)</f>
        <v/>
      </c>
      <c r="H1033" s="7" t="str">
        <f>IF('Port Bloomberg'!H1033="","",'Port Bloomberg'!H1033)</f>
        <v/>
      </c>
      <c r="I1033" s="7" t="str">
        <f>IF('Port Bloomberg'!I1033="","",'Port Bloomberg'!I1033)</f>
        <v/>
      </c>
      <c r="J1033" s="7" t="str">
        <f>IF('Port Bloomberg'!J1033="","",'Port Bloomberg'!J1033)</f>
        <v/>
      </c>
      <c r="K1033" s="7" t="str">
        <f>IF('Port Bloomberg'!K1033="","",'Port Bloomberg'!K1033)</f>
        <v/>
      </c>
      <c r="L1033" s="7" t="str">
        <f>IF('Port Bloomberg'!L1033="","",'Port Bloomberg'!L1033)</f>
        <v/>
      </c>
      <c r="M1033" s="7" t="str">
        <f>IF('Port Bloomberg'!M1033="","",'Port Bloomberg'!M1033)</f>
        <v/>
      </c>
      <c r="N1033" s="7" t="str">
        <f>IF('Port Bloomberg'!N1033="","",'Port Bloomberg'!N1033)</f>
        <v/>
      </c>
      <c r="O1033" s="7" t="str">
        <f>IF('Port Bloomberg'!O1033="","",'Port Bloomberg'!O1033)</f>
        <v/>
      </c>
      <c r="P1033" s="7" t="str">
        <f>IF('Port Bloomberg'!P1033="","",'Port Bloomberg'!P1033)</f>
        <v/>
      </c>
      <c r="Q1033" s="7" t="str">
        <f>IF('Port Bloomberg'!Q1033="","",'Port Bloomberg'!Q1033)</f>
        <v/>
      </c>
      <c r="R1033" s="7" t="str">
        <f>IF('Port Bloomberg'!R1033="","",'Port Bloomberg'!R1033)</f>
        <v/>
      </c>
      <c r="S1033" s="5" t="str">
        <f>IF(E1033="","",IFERROR(IF(MATCH(E1033,[1]Instrumentos!$D:$D,0)&gt;0,1,0),0))</f>
        <v/>
      </c>
      <c r="T1033" s="5" t="str">
        <f>IF(E1033="","",IFERROR(IF(MATCH(E1033,'Lista de excepciones'!$E:$E,0)&gt;0,1,0),0))</f>
        <v/>
      </c>
      <c r="U1033" s="6" t="str">
        <f t="shared" si="17"/>
        <v/>
      </c>
    </row>
    <row r="1034" spans="1:21" hidden="1" x14ac:dyDescent="0.25">
      <c r="A1034" s="7" t="str">
        <f>IF('Port Bloomberg'!A1034="","",'Port Bloomberg'!A1034)</f>
        <v/>
      </c>
      <c r="B1034" s="7" t="str">
        <f>IF('Port Bloomberg'!B1034="","",'Port Bloomberg'!B1034)</f>
        <v/>
      </c>
      <c r="C1034" s="7" t="str">
        <f>IF('Port Bloomberg'!C1034="","",'Port Bloomberg'!C1034)</f>
        <v/>
      </c>
      <c r="D1034" s="7" t="str">
        <f>IF('Port Bloomberg'!D1034="","",'Port Bloomberg'!D1034)</f>
        <v/>
      </c>
      <c r="E1034" s="7" t="str">
        <f>IF('Port Bloomberg'!E1034="","",'Port Bloomberg'!E1034)</f>
        <v/>
      </c>
      <c r="F1034" s="7" t="str">
        <f>IF('Port Bloomberg'!F1034="","",'Port Bloomberg'!F1034)</f>
        <v/>
      </c>
      <c r="G1034" s="7" t="str">
        <f>IF('Port Bloomberg'!G1034="","",'Port Bloomberg'!G1034)</f>
        <v/>
      </c>
      <c r="H1034" s="7" t="str">
        <f>IF('Port Bloomberg'!H1034="","",'Port Bloomberg'!H1034)</f>
        <v/>
      </c>
      <c r="I1034" s="7" t="str">
        <f>IF('Port Bloomberg'!I1034="","",'Port Bloomberg'!I1034)</f>
        <v/>
      </c>
      <c r="J1034" s="7" t="str">
        <f>IF('Port Bloomberg'!J1034="","",'Port Bloomberg'!J1034)</f>
        <v/>
      </c>
      <c r="K1034" s="7" t="str">
        <f>IF('Port Bloomberg'!K1034="","",'Port Bloomberg'!K1034)</f>
        <v/>
      </c>
      <c r="L1034" s="7" t="str">
        <f>IF('Port Bloomberg'!L1034="","",'Port Bloomberg'!L1034)</f>
        <v/>
      </c>
      <c r="M1034" s="7" t="str">
        <f>IF('Port Bloomberg'!M1034="","",'Port Bloomberg'!M1034)</f>
        <v/>
      </c>
      <c r="N1034" s="7" t="str">
        <f>IF('Port Bloomberg'!N1034="","",'Port Bloomberg'!N1034)</f>
        <v/>
      </c>
      <c r="O1034" s="7" t="str">
        <f>IF('Port Bloomberg'!O1034="","",'Port Bloomberg'!O1034)</f>
        <v/>
      </c>
      <c r="P1034" s="7" t="str">
        <f>IF('Port Bloomberg'!P1034="","",'Port Bloomberg'!P1034)</f>
        <v/>
      </c>
      <c r="Q1034" s="7" t="str">
        <f>IF('Port Bloomberg'!Q1034="","",'Port Bloomberg'!Q1034)</f>
        <v/>
      </c>
      <c r="R1034" s="7" t="str">
        <f>IF('Port Bloomberg'!R1034="","",'Port Bloomberg'!R1034)</f>
        <v/>
      </c>
      <c r="S1034" s="5" t="str">
        <f>IF(E1034="","",IFERROR(IF(MATCH(E1034,[1]Instrumentos!$D:$D,0)&gt;0,1,0),0))</f>
        <v/>
      </c>
      <c r="T1034" s="5" t="str">
        <f>IF(E1034="","",IFERROR(IF(MATCH(E1034,'Lista de excepciones'!$E:$E,0)&gt;0,1,0),0))</f>
        <v/>
      </c>
      <c r="U1034" s="6" t="str">
        <f t="shared" si="17"/>
        <v/>
      </c>
    </row>
    <row r="1035" spans="1:21" hidden="1" x14ac:dyDescent="0.25">
      <c r="A1035" s="7" t="str">
        <f>IF('Port Bloomberg'!A1035="","",'Port Bloomberg'!A1035)</f>
        <v/>
      </c>
      <c r="B1035" s="7" t="str">
        <f>IF('Port Bloomberg'!B1035="","",'Port Bloomberg'!B1035)</f>
        <v/>
      </c>
      <c r="C1035" s="7" t="str">
        <f>IF('Port Bloomberg'!C1035="","",'Port Bloomberg'!C1035)</f>
        <v/>
      </c>
      <c r="D1035" s="7" t="str">
        <f>IF('Port Bloomberg'!D1035="","",'Port Bloomberg'!D1035)</f>
        <v/>
      </c>
      <c r="E1035" s="7" t="str">
        <f>IF('Port Bloomberg'!E1035="","",'Port Bloomberg'!E1035)</f>
        <v/>
      </c>
      <c r="F1035" s="7" t="str">
        <f>IF('Port Bloomberg'!F1035="","",'Port Bloomberg'!F1035)</f>
        <v/>
      </c>
      <c r="G1035" s="7" t="str">
        <f>IF('Port Bloomberg'!G1035="","",'Port Bloomberg'!G1035)</f>
        <v/>
      </c>
      <c r="H1035" s="7" t="str">
        <f>IF('Port Bloomberg'!H1035="","",'Port Bloomberg'!H1035)</f>
        <v/>
      </c>
      <c r="I1035" s="7" t="str">
        <f>IF('Port Bloomberg'!I1035="","",'Port Bloomberg'!I1035)</f>
        <v/>
      </c>
      <c r="J1035" s="7" t="str">
        <f>IF('Port Bloomberg'!J1035="","",'Port Bloomberg'!J1035)</f>
        <v/>
      </c>
      <c r="K1035" s="7" t="str">
        <f>IF('Port Bloomberg'!K1035="","",'Port Bloomberg'!K1035)</f>
        <v/>
      </c>
      <c r="L1035" s="7" t="str">
        <f>IF('Port Bloomberg'!L1035="","",'Port Bloomberg'!L1035)</f>
        <v/>
      </c>
      <c r="M1035" s="7" t="str">
        <f>IF('Port Bloomberg'!M1035="","",'Port Bloomberg'!M1035)</f>
        <v/>
      </c>
      <c r="N1035" s="7" t="str">
        <f>IF('Port Bloomberg'!N1035="","",'Port Bloomberg'!N1035)</f>
        <v/>
      </c>
      <c r="O1035" s="7" t="str">
        <f>IF('Port Bloomberg'!O1035="","",'Port Bloomberg'!O1035)</f>
        <v/>
      </c>
      <c r="P1035" s="7" t="str">
        <f>IF('Port Bloomberg'!P1035="","",'Port Bloomberg'!P1035)</f>
        <v/>
      </c>
      <c r="Q1035" s="7" t="str">
        <f>IF('Port Bloomberg'!Q1035="","",'Port Bloomberg'!Q1035)</f>
        <v/>
      </c>
      <c r="R1035" s="7" t="str">
        <f>IF('Port Bloomberg'!R1035="","",'Port Bloomberg'!R1035)</f>
        <v/>
      </c>
      <c r="S1035" s="5" t="str">
        <f>IF(E1035="","",IFERROR(IF(MATCH(E1035,[1]Instrumentos!$D:$D,0)&gt;0,1,0),0))</f>
        <v/>
      </c>
      <c r="T1035" s="5" t="str">
        <f>IF(E1035="","",IFERROR(IF(MATCH(E1035,'Lista de excepciones'!$E:$E,0)&gt;0,1,0),0))</f>
        <v/>
      </c>
      <c r="U1035" s="6" t="str">
        <f t="shared" si="17"/>
        <v/>
      </c>
    </row>
    <row r="1036" spans="1:21" hidden="1" x14ac:dyDescent="0.25">
      <c r="A1036" s="7" t="str">
        <f>IF('Port Bloomberg'!A1036="","",'Port Bloomberg'!A1036)</f>
        <v/>
      </c>
      <c r="B1036" s="7" t="str">
        <f>IF('Port Bloomberg'!B1036="","",'Port Bloomberg'!B1036)</f>
        <v/>
      </c>
      <c r="C1036" s="7" t="str">
        <f>IF('Port Bloomberg'!C1036="","",'Port Bloomberg'!C1036)</f>
        <v/>
      </c>
      <c r="D1036" s="7" t="str">
        <f>IF('Port Bloomberg'!D1036="","",'Port Bloomberg'!D1036)</f>
        <v/>
      </c>
      <c r="E1036" s="7" t="str">
        <f>IF('Port Bloomberg'!E1036="","",'Port Bloomberg'!E1036)</f>
        <v/>
      </c>
      <c r="F1036" s="7" t="str">
        <f>IF('Port Bloomberg'!F1036="","",'Port Bloomberg'!F1036)</f>
        <v/>
      </c>
      <c r="G1036" s="7" t="str">
        <f>IF('Port Bloomberg'!G1036="","",'Port Bloomberg'!G1036)</f>
        <v/>
      </c>
      <c r="H1036" s="7" t="str">
        <f>IF('Port Bloomberg'!H1036="","",'Port Bloomberg'!H1036)</f>
        <v/>
      </c>
      <c r="I1036" s="7" t="str">
        <f>IF('Port Bloomberg'!I1036="","",'Port Bloomberg'!I1036)</f>
        <v/>
      </c>
      <c r="J1036" s="7" t="str">
        <f>IF('Port Bloomberg'!J1036="","",'Port Bloomberg'!J1036)</f>
        <v/>
      </c>
      <c r="K1036" s="7" t="str">
        <f>IF('Port Bloomberg'!K1036="","",'Port Bloomberg'!K1036)</f>
        <v/>
      </c>
      <c r="L1036" s="7" t="str">
        <f>IF('Port Bloomberg'!L1036="","",'Port Bloomberg'!L1036)</f>
        <v/>
      </c>
      <c r="M1036" s="7" t="str">
        <f>IF('Port Bloomberg'!M1036="","",'Port Bloomberg'!M1036)</f>
        <v/>
      </c>
      <c r="N1036" s="7" t="str">
        <f>IF('Port Bloomberg'!N1036="","",'Port Bloomberg'!N1036)</f>
        <v/>
      </c>
      <c r="O1036" s="7" t="str">
        <f>IF('Port Bloomberg'!O1036="","",'Port Bloomberg'!O1036)</f>
        <v/>
      </c>
      <c r="P1036" s="7" t="str">
        <f>IF('Port Bloomberg'!P1036="","",'Port Bloomberg'!P1036)</f>
        <v/>
      </c>
      <c r="Q1036" s="7" t="str">
        <f>IF('Port Bloomberg'!Q1036="","",'Port Bloomberg'!Q1036)</f>
        <v/>
      </c>
      <c r="R1036" s="7" t="str">
        <f>IF('Port Bloomberg'!R1036="","",'Port Bloomberg'!R1036)</f>
        <v/>
      </c>
      <c r="S1036" s="5" t="str">
        <f>IF(E1036="","",IFERROR(IF(MATCH(E1036,[1]Instrumentos!$D:$D,0)&gt;0,1,0),0))</f>
        <v/>
      </c>
      <c r="T1036" s="5" t="str">
        <f>IF(E1036="","",IFERROR(IF(MATCH(E1036,'Lista de excepciones'!$E:$E,0)&gt;0,1,0),0))</f>
        <v/>
      </c>
      <c r="U1036" s="6" t="str">
        <f t="shared" si="17"/>
        <v/>
      </c>
    </row>
    <row r="1037" spans="1:21" hidden="1" x14ac:dyDescent="0.25">
      <c r="A1037" s="7" t="str">
        <f>IF('Port Bloomberg'!A1037="","",'Port Bloomberg'!A1037)</f>
        <v/>
      </c>
      <c r="B1037" s="7" t="str">
        <f>IF('Port Bloomberg'!B1037="","",'Port Bloomberg'!B1037)</f>
        <v/>
      </c>
      <c r="C1037" s="7" t="str">
        <f>IF('Port Bloomberg'!C1037="","",'Port Bloomberg'!C1037)</f>
        <v/>
      </c>
      <c r="D1037" s="7" t="str">
        <f>IF('Port Bloomberg'!D1037="","",'Port Bloomberg'!D1037)</f>
        <v/>
      </c>
      <c r="E1037" s="7" t="str">
        <f>IF('Port Bloomberg'!E1037="","",'Port Bloomberg'!E1037)</f>
        <v/>
      </c>
      <c r="F1037" s="7" t="str">
        <f>IF('Port Bloomberg'!F1037="","",'Port Bloomberg'!F1037)</f>
        <v/>
      </c>
      <c r="G1037" s="7" t="str">
        <f>IF('Port Bloomberg'!G1037="","",'Port Bloomberg'!G1037)</f>
        <v/>
      </c>
      <c r="H1037" s="7" t="str">
        <f>IF('Port Bloomberg'!H1037="","",'Port Bloomberg'!H1037)</f>
        <v/>
      </c>
      <c r="I1037" s="7" t="str">
        <f>IF('Port Bloomberg'!I1037="","",'Port Bloomberg'!I1037)</f>
        <v/>
      </c>
      <c r="J1037" s="7" t="str">
        <f>IF('Port Bloomberg'!J1037="","",'Port Bloomberg'!J1037)</f>
        <v/>
      </c>
      <c r="K1037" s="7" t="str">
        <f>IF('Port Bloomberg'!K1037="","",'Port Bloomberg'!K1037)</f>
        <v/>
      </c>
      <c r="L1037" s="7" t="str">
        <f>IF('Port Bloomberg'!L1037="","",'Port Bloomberg'!L1037)</f>
        <v/>
      </c>
      <c r="M1037" s="7" t="str">
        <f>IF('Port Bloomberg'!M1037="","",'Port Bloomberg'!M1037)</f>
        <v/>
      </c>
      <c r="N1037" s="7" t="str">
        <f>IF('Port Bloomberg'!N1037="","",'Port Bloomberg'!N1037)</f>
        <v/>
      </c>
      <c r="O1037" s="7" t="str">
        <f>IF('Port Bloomberg'!O1037="","",'Port Bloomberg'!O1037)</f>
        <v/>
      </c>
      <c r="P1037" s="7" t="str">
        <f>IF('Port Bloomberg'!P1037="","",'Port Bloomberg'!P1037)</f>
        <v/>
      </c>
      <c r="Q1037" s="7" t="str">
        <f>IF('Port Bloomberg'!Q1037="","",'Port Bloomberg'!Q1037)</f>
        <v/>
      </c>
      <c r="R1037" s="7" t="str">
        <f>IF('Port Bloomberg'!R1037="","",'Port Bloomberg'!R1037)</f>
        <v/>
      </c>
      <c r="S1037" s="5" t="str">
        <f>IF(E1037="","",IFERROR(IF(MATCH(E1037,[1]Instrumentos!$D:$D,0)&gt;0,1,0),0))</f>
        <v/>
      </c>
      <c r="T1037" s="5" t="str">
        <f>IF(E1037="","",IFERROR(IF(MATCH(E1037,'Lista de excepciones'!$E:$E,0)&gt;0,1,0),0))</f>
        <v/>
      </c>
      <c r="U1037" s="6" t="str">
        <f t="shared" si="17"/>
        <v/>
      </c>
    </row>
    <row r="1038" spans="1:21" hidden="1" x14ac:dyDescent="0.25">
      <c r="A1038" s="7" t="str">
        <f>IF('Port Bloomberg'!A1038="","",'Port Bloomberg'!A1038)</f>
        <v/>
      </c>
      <c r="B1038" s="7" t="str">
        <f>IF('Port Bloomberg'!B1038="","",'Port Bloomberg'!B1038)</f>
        <v/>
      </c>
      <c r="C1038" s="7" t="str">
        <f>IF('Port Bloomberg'!C1038="","",'Port Bloomberg'!C1038)</f>
        <v/>
      </c>
      <c r="D1038" s="7" t="str">
        <f>IF('Port Bloomberg'!D1038="","",'Port Bloomberg'!D1038)</f>
        <v/>
      </c>
      <c r="E1038" s="7" t="str">
        <f>IF('Port Bloomberg'!E1038="","",'Port Bloomberg'!E1038)</f>
        <v/>
      </c>
      <c r="F1038" s="7" t="str">
        <f>IF('Port Bloomberg'!F1038="","",'Port Bloomberg'!F1038)</f>
        <v/>
      </c>
      <c r="G1038" s="7" t="str">
        <f>IF('Port Bloomberg'!G1038="","",'Port Bloomberg'!G1038)</f>
        <v/>
      </c>
      <c r="H1038" s="7" t="str">
        <f>IF('Port Bloomberg'!H1038="","",'Port Bloomberg'!H1038)</f>
        <v/>
      </c>
      <c r="I1038" s="7" t="str">
        <f>IF('Port Bloomberg'!I1038="","",'Port Bloomberg'!I1038)</f>
        <v/>
      </c>
      <c r="J1038" s="7" t="str">
        <f>IF('Port Bloomberg'!J1038="","",'Port Bloomberg'!J1038)</f>
        <v/>
      </c>
      <c r="K1038" s="7" t="str">
        <f>IF('Port Bloomberg'!K1038="","",'Port Bloomberg'!K1038)</f>
        <v/>
      </c>
      <c r="L1038" s="7" t="str">
        <f>IF('Port Bloomberg'!L1038="","",'Port Bloomberg'!L1038)</f>
        <v/>
      </c>
      <c r="M1038" s="7" t="str">
        <f>IF('Port Bloomberg'!M1038="","",'Port Bloomberg'!M1038)</f>
        <v/>
      </c>
      <c r="N1038" s="7" t="str">
        <f>IF('Port Bloomberg'!N1038="","",'Port Bloomberg'!N1038)</f>
        <v/>
      </c>
      <c r="O1038" s="7" t="str">
        <f>IF('Port Bloomberg'!O1038="","",'Port Bloomberg'!O1038)</f>
        <v/>
      </c>
      <c r="P1038" s="7" t="str">
        <f>IF('Port Bloomberg'!P1038="","",'Port Bloomberg'!P1038)</f>
        <v/>
      </c>
      <c r="Q1038" s="7" t="str">
        <f>IF('Port Bloomberg'!Q1038="","",'Port Bloomberg'!Q1038)</f>
        <v/>
      </c>
      <c r="R1038" s="7" t="str">
        <f>IF('Port Bloomberg'!R1038="","",'Port Bloomberg'!R1038)</f>
        <v/>
      </c>
      <c r="S1038" s="5" t="str">
        <f>IF(E1038="","",IFERROR(IF(MATCH(E1038,[1]Instrumentos!$D:$D,0)&gt;0,1,0),0))</f>
        <v/>
      </c>
      <c r="T1038" s="5" t="str">
        <f>IF(E1038="","",IFERROR(IF(MATCH(E1038,'Lista de excepciones'!$E:$E,0)&gt;0,1,0),0))</f>
        <v/>
      </c>
      <c r="U1038" s="6" t="str">
        <f t="shared" si="17"/>
        <v/>
      </c>
    </row>
    <row r="1039" spans="1:21" hidden="1" x14ac:dyDescent="0.25">
      <c r="A1039" s="7" t="str">
        <f>IF('Port Bloomberg'!A1039="","",'Port Bloomberg'!A1039)</f>
        <v/>
      </c>
      <c r="B1039" s="7" t="str">
        <f>IF('Port Bloomberg'!B1039="","",'Port Bloomberg'!B1039)</f>
        <v/>
      </c>
      <c r="C1039" s="7" t="str">
        <f>IF('Port Bloomberg'!C1039="","",'Port Bloomberg'!C1039)</f>
        <v/>
      </c>
      <c r="D1039" s="7" t="str">
        <f>IF('Port Bloomberg'!D1039="","",'Port Bloomberg'!D1039)</f>
        <v/>
      </c>
      <c r="E1039" s="7" t="str">
        <f>IF('Port Bloomberg'!E1039="","",'Port Bloomberg'!E1039)</f>
        <v/>
      </c>
      <c r="F1039" s="7" t="str">
        <f>IF('Port Bloomberg'!F1039="","",'Port Bloomberg'!F1039)</f>
        <v/>
      </c>
      <c r="G1039" s="7" t="str">
        <f>IF('Port Bloomberg'!G1039="","",'Port Bloomberg'!G1039)</f>
        <v/>
      </c>
      <c r="H1039" s="7" t="str">
        <f>IF('Port Bloomberg'!H1039="","",'Port Bloomberg'!H1039)</f>
        <v/>
      </c>
      <c r="I1039" s="7" t="str">
        <f>IF('Port Bloomberg'!I1039="","",'Port Bloomberg'!I1039)</f>
        <v/>
      </c>
      <c r="J1039" s="7" t="str">
        <f>IF('Port Bloomberg'!J1039="","",'Port Bloomberg'!J1039)</f>
        <v/>
      </c>
      <c r="K1039" s="7" t="str">
        <f>IF('Port Bloomberg'!K1039="","",'Port Bloomberg'!K1039)</f>
        <v/>
      </c>
      <c r="L1039" s="7" t="str">
        <f>IF('Port Bloomberg'!L1039="","",'Port Bloomberg'!L1039)</f>
        <v/>
      </c>
      <c r="M1039" s="7" t="str">
        <f>IF('Port Bloomberg'!M1039="","",'Port Bloomberg'!M1039)</f>
        <v/>
      </c>
      <c r="N1039" s="7" t="str">
        <f>IF('Port Bloomberg'!N1039="","",'Port Bloomberg'!N1039)</f>
        <v/>
      </c>
      <c r="O1039" s="7" t="str">
        <f>IF('Port Bloomberg'!O1039="","",'Port Bloomberg'!O1039)</f>
        <v/>
      </c>
      <c r="P1039" s="7" t="str">
        <f>IF('Port Bloomberg'!P1039="","",'Port Bloomberg'!P1039)</f>
        <v/>
      </c>
      <c r="Q1039" s="7" t="str">
        <f>IF('Port Bloomberg'!Q1039="","",'Port Bloomberg'!Q1039)</f>
        <v/>
      </c>
      <c r="R1039" s="7" t="str">
        <f>IF('Port Bloomberg'!R1039="","",'Port Bloomberg'!R1039)</f>
        <v/>
      </c>
      <c r="S1039" s="5" t="str">
        <f>IF(E1039="","",IFERROR(IF(MATCH(E1039,[1]Instrumentos!$D:$D,0)&gt;0,1,0),0))</f>
        <v/>
      </c>
      <c r="T1039" s="5" t="str">
        <f>IF(E1039="","",IFERROR(IF(MATCH(E1039,'Lista de excepciones'!$E:$E,0)&gt;0,1,0),0))</f>
        <v/>
      </c>
      <c r="U1039" s="6" t="str">
        <f t="shared" si="17"/>
        <v/>
      </c>
    </row>
    <row r="1040" spans="1:21" hidden="1" x14ac:dyDescent="0.25">
      <c r="A1040" s="7" t="str">
        <f>IF('Port Bloomberg'!A1040="","",'Port Bloomberg'!A1040)</f>
        <v/>
      </c>
      <c r="B1040" s="7" t="str">
        <f>IF('Port Bloomberg'!B1040="","",'Port Bloomberg'!B1040)</f>
        <v/>
      </c>
      <c r="C1040" s="7" t="str">
        <f>IF('Port Bloomberg'!C1040="","",'Port Bloomberg'!C1040)</f>
        <v/>
      </c>
      <c r="D1040" s="7" t="str">
        <f>IF('Port Bloomberg'!D1040="","",'Port Bloomberg'!D1040)</f>
        <v/>
      </c>
      <c r="E1040" s="7" t="str">
        <f>IF('Port Bloomberg'!E1040="","",'Port Bloomberg'!E1040)</f>
        <v/>
      </c>
      <c r="F1040" s="7" t="str">
        <f>IF('Port Bloomberg'!F1040="","",'Port Bloomberg'!F1040)</f>
        <v/>
      </c>
      <c r="G1040" s="7" t="str">
        <f>IF('Port Bloomberg'!G1040="","",'Port Bloomberg'!G1040)</f>
        <v/>
      </c>
      <c r="H1040" s="7" t="str">
        <f>IF('Port Bloomberg'!H1040="","",'Port Bloomberg'!H1040)</f>
        <v/>
      </c>
      <c r="I1040" s="7" t="str">
        <f>IF('Port Bloomberg'!I1040="","",'Port Bloomberg'!I1040)</f>
        <v/>
      </c>
      <c r="J1040" s="7" t="str">
        <f>IF('Port Bloomberg'!J1040="","",'Port Bloomberg'!J1040)</f>
        <v/>
      </c>
      <c r="K1040" s="7" t="str">
        <f>IF('Port Bloomberg'!K1040="","",'Port Bloomberg'!K1040)</f>
        <v/>
      </c>
      <c r="L1040" s="7" t="str">
        <f>IF('Port Bloomberg'!L1040="","",'Port Bloomberg'!L1040)</f>
        <v/>
      </c>
      <c r="M1040" s="7" t="str">
        <f>IF('Port Bloomberg'!M1040="","",'Port Bloomberg'!M1040)</f>
        <v/>
      </c>
      <c r="N1040" s="7" t="str">
        <f>IF('Port Bloomberg'!N1040="","",'Port Bloomberg'!N1040)</f>
        <v/>
      </c>
      <c r="O1040" s="7" t="str">
        <f>IF('Port Bloomberg'!O1040="","",'Port Bloomberg'!O1040)</f>
        <v/>
      </c>
      <c r="P1040" s="7" t="str">
        <f>IF('Port Bloomberg'!P1040="","",'Port Bloomberg'!P1040)</f>
        <v/>
      </c>
      <c r="Q1040" s="7" t="str">
        <f>IF('Port Bloomberg'!Q1040="","",'Port Bloomberg'!Q1040)</f>
        <v/>
      </c>
      <c r="R1040" s="7" t="str">
        <f>IF('Port Bloomberg'!R1040="","",'Port Bloomberg'!R1040)</f>
        <v/>
      </c>
      <c r="S1040" s="5" t="str">
        <f>IF(E1040="","",IFERROR(IF(MATCH(E1040,[1]Instrumentos!$D:$D,0)&gt;0,1,0),0))</f>
        <v/>
      </c>
      <c r="T1040" s="5" t="str">
        <f>IF(E1040="","",IFERROR(IF(MATCH(E1040,'Lista de excepciones'!$E:$E,0)&gt;0,1,0),0))</f>
        <v/>
      </c>
      <c r="U1040" s="6" t="str">
        <f t="shared" si="17"/>
        <v/>
      </c>
    </row>
    <row r="1041" spans="1:21" hidden="1" x14ac:dyDescent="0.25">
      <c r="A1041" s="7" t="str">
        <f>IF('Port Bloomberg'!A1041="","",'Port Bloomberg'!A1041)</f>
        <v/>
      </c>
      <c r="B1041" s="7" t="str">
        <f>IF('Port Bloomberg'!B1041="","",'Port Bloomberg'!B1041)</f>
        <v/>
      </c>
      <c r="C1041" s="7" t="str">
        <f>IF('Port Bloomberg'!C1041="","",'Port Bloomberg'!C1041)</f>
        <v/>
      </c>
      <c r="D1041" s="7" t="str">
        <f>IF('Port Bloomberg'!D1041="","",'Port Bloomberg'!D1041)</f>
        <v/>
      </c>
      <c r="E1041" s="7" t="str">
        <f>IF('Port Bloomberg'!E1041="","",'Port Bloomberg'!E1041)</f>
        <v/>
      </c>
      <c r="F1041" s="7" t="str">
        <f>IF('Port Bloomberg'!F1041="","",'Port Bloomberg'!F1041)</f>
        <v/>
      </c>
      <c r="G1041" s="7" t="str">
        <f>IF('Port Bloomberg'!G1041="","",'Port Bloomberg'!G1041)</f>
        <v/>
      </c>
      <c r="H1041" s="7" t="str">
        <f>IF('Port Bloomberg'!H1041="","",'Port Bloomberg'!H1041)</f>
        <v/>
      </c>
      <c r="I1041" s="7" t="str">
        <f>IF('Port Bloomberg'!I1041="","",'Port Bloomberg'!I1041)</f>
        <v/>
      </c>
      <c r="J1041" s="7" t="str">
        <f>IF('Port Bloomberg'!J1041="","",'Port Bloomberg'!J1041)</f>
        <v/>
      </c>
      <c r="K1041" s="7" t="str">
        <f>IF('Port Bloomberg'!K1041="","",'Port Bloomberg'!K1041)</f>
        <v/>
      </c>
      <c r="L1041" s="7" t="str">
        <f>IF('Port Bloomberg'!L1041="","",'Port Bloomberg'!L1041)</f>
        <v/>
      </c>
      <c r="M1041" s="7" t="str">
        <f>IF('Port Bloomberg'!M1041="","",'Port Bloomberg'!M1041)</f>
        <v/>
      </c>
      <c r="N1041" s="7" t="str">
        <f>IF('Port Bloomberg'!N1041="","",'Port Bloomberg'!N1041)</f>
        <v/>
      </c>
      <c r="O1041" s="7" t="str">
        <f>IF('Port Bloomberg'!O1041="","",'Port Bloomberg'!O1041)</f>
        <v/>
      </c>
      <c r="P1041" s="7" t="str">
        <f>IF('Port Bloomberg'!P1041="","",'Port Bloomberg'!P1041)</f>
        <v/>
      </c>
      <c r="Q1041" s="7" t="str">
        <f>IF('Port Bloomberg'!Q1041="","",'Port Bloomberg'!Q1041)</f>
        <v/>
      </c>
      <c r="R1041" s="7" t="str">
        <f>IF('Port Bloomberg'!R1041="","",'Port Bloomberg'!R1041)</f>
        <v/>
      </c>
      <c r="S1041" s="5" t="str">
        <f>IF(E1041="","",IFERROR(IF(MATCH(E1041,[1]Instrumentos!$D:$D,0)&gt;0,1,0),0))</f>
        <v/>
      </c>
      <c r="T1041" s="5" t="str">
        <f>IF(E1041="","",IFERROR(IF(MATCH(E1041,'Lista de excepciones'!$E:$E,0)&gt;0,1,0),0))</f>
        <v/>
      </c>
      <c r="U1041" s="6" t="str">
        <f t="shared" si="17"/>
        <v/>
      </c>
    </row>
    <row r="1042" spans="1:21" hidden="1" x14ac:dyDescent="0.25">
      <c r="A1042" s="7" t="str">
        <f>IF('Port Bloomberg'!A1042="","",'Port Bloomberg'!A1042)</f>
        <v/>
      </c>
      <c r="B1042" s="7" t="str">
        <f>IF('Port Bloomberg'!B1042="","",'Port Bloomberg'!B1042)</f>
        <v/>
      </c>
      <c r="C1042" s="7" t="str">
        <f>IF('Port Bloomberg'!C1042="","",'Port Bloomberg'!C1042)</f>
        <v/>
      </c>
      <c r="D1042" s="7" t="str">
        <f>IF('Port Bloomberg'!D1042="","",'Port Bloomberg'!D1042)</f>
        <v/>
      </c>
      <c r="E1042" s="7" t="str">
        <f>IF('Port Bloomberg'!E1042="","",'Port Bloomberg'!E1042)</f>
        <v/>
      </c>
      <c r="F1042" s="7" t="str">
        <f>IF('Port Bloomberg'!F1042="","",'Port Bloomberg'!F1042)</f>
        <v/>
      </c>
      <c r="G1042" s="7" t="str">
        <f>IF('Port Bloomberg'!G1042="","",'Port Bloomberg'!G1042)</f>
        <v/>
      </c>
      <c r="H1042" s="7" t="str">
        <f>IF('Port Bloomberg'!H1042="","",'Port Bloomberg'!H1042)</f>
        <v/>
      </c>
      <c r="I1042" s="7" t="str">
        <f>IF('Port Bloomberg'!I1042="","",'Port Bloomberg'!I1042)</f>
        <v/>
      </c>
      <c r="J1042" s="7" t="str">
        <f>IF('Port Bloomberg'!J1042="","",'Port Bloomberg'!J1042)</f>
        <v/>
      </c>
      <c r="K1042" s="7" t="str">
        <f>IF('Port Bloomberg'!K1042="","",'Port Bloomberg'!K1042)</f>
        <v/>
      </c>
      <c r="L1042" s="7" t="str">
        <f>IF('Port Bloomberg'!L1042="","",'Port Bloomberg'!L1042)</f>
        <v/>
      </c>
      <c r="M1042" s="7" t="str">
        <f>IF('Port Bloomberg'!M1042="","",'Port Bloomberg'!M1042)</f>
        <v/>
      </c>
      <c r="N1042" s="7" t="str">
        <f>IF('Port Bloomberg'!N1042="","",'Port Bloomberg'!N1042)</f>
        <v/>
      </c>
      <c r="O1042" s="7" t="str">
        <f>IF('Port Bloomberg'!O1042="","",'Port Bloomberg'!O1042)</f>
        <v/>
      </c>
      <c r="P1042" s="7" t="str">
        <f>IF('Port Bloomberg'!P1042="","",'Port Bloomberg'!P1042)</f>
        <v/>
      </c>
      <c r="Q1042" s="7" t="str">
        <f>IF('Port Bloomberg'!Q1042="","",'Port Bloomberg'!Q1042)</f>
        <v/>
      </c>
      <c r="R1042" s="7" t="str">
        <f>IF('Port Bloomberg'!R1042="","",'Port Bloomberg'!R1042)</f>
        <v/>
      </c>
      <c r="S1042" s="5" t="str">
        <f>IF(E1042="","",IFERROR(IF(MATCH(E1042,[1]Instrumentos!$D:$D,0)&gt;0,1,0),0))</f>
        <v/>
      </c>
      <c r="T1042" s="5" t="str">
        <f>IF(E1042="","",IFERROR(IF(MATCH(E1042,'Lista de excepciones'!$E:$E,0)&gt;0,1,0),0))</f>
        <v/>
      </c>
      <c r="U1042" s="6" t="str">
        <f t="shared" si="17"/>
        <v/>
      </c>
    </row>
    <row r="1043" spans="1:21" hidden="1" x14ac:dyDescent="0.25">
      <c r="A1043" s="7" t="str">
        <f>IF('Port Bloomberg'!A1043="","",'Port Bloomberg'!A1043)</f>
        <v/>
      </c>
      <c r="B1043" s="7" t="str">
        <f>IF('Port Bloomberg'!B1043="","",'Port Bloomberg'!B1043)</f>
        <v/>
      </c>
      <c r="C1043" s="7" t="str">
        <f>IF('Port Bloomberg'!C1043="","",'Port Bloomberg'!C1043)</f>
        <v/>
      </c>
      <c r="D1043" s="7" t="str">
        <f>IF('Port Bloomberg'!D1043="","",'Port Bloomberg'!D1043)</f>
        <v/>
      </c>
      <c r="E1043" s="7" t="str">
        <f>IF('Port Bloomberg'!E1043="","",'Port Bloomberg'!E1043)</f>
        <v/>
      </c>
      <c r="F1043" s="7" t="str">
        <f>IF('Port Bloomberg'!F1043="","",'Port Bloomberg'!F1043)</f>
        <v/>
      </c>
      <c r="G1043" s="7" t="str">
        <f>IF('Port Bloomberg'!G1043="","",'Port Bloomberg'!G1043)</f>
        <v/>
      </c>
      <c r="H1043" s="7" t="str">
        <f>IF('Port Bloomberg'!H1043="","",'Port Bloomberg'!H1043)</f>
        <v/>
      </c>
      <c r="I1043" s="7" t="str">
        <f>IF('Port Bloomberg'!I1043="","",'Port Bloomberg'!I1043)</f>
        <v/>
      </c>
      <c r="J1043" s="7" t="str">
        <f>IF('Port Bloomberg'!J1043="","",'Port Bloomberg'!J1043)</f>
        <v/>
      </c>
      <c r="K1043" s="7" t="str">
        <f>IF('Port Bloomberg'!K1043="","",'Port Bloomberg'!K1043)</f>
        <v/>
      </c>
      <c r="L1043" s="7" t="str">
        <f>IF('Port Bloomberg'!L1043="","",'Port Bloomberg'!L1043)</f>
        <v/>
      </c>
      <c r="M1043" s="7" t="str">
        <f>IF('Port Bloomberg'!M1043="","",'Port Bloomberg'!M1043)</f>
        <v/>
      </c>
      <c r="N1043" s="7" t="str">
        <f>IF('Port Bloomberg'!N1043="","",'Port Bloomberg'!N1043)</f>
        <v/>
      </c>
      <c r="O1043" s="7" t="str">
        <f>IF('Port Bloomberg'!O1043="","",'Port Bloomberg'!O1043)</f>
        <v/>
      </c>
      <c r="P1043" s="7" t="str">
        <f>IF('Port Bloomberg'!P1043="","",'Port Bloomberg'!P1043)</f>
        <v/>
      </c>
      <c r="Q1043" s="7" t="str">
        <f>IF('Port Bloomberg'!Q1043="","",'Port Bloomberg'!Q1043)</f>
        <v/>
      </c>
      <c r="R1043" s="7" t="str">
        <f>IF('Port Bloomberg'!R1043="","",'Port Bloomberg'!R1043)</f>
        <v/>
      </c>
      <c r="S1043" s="5" t="str">
        <f>IF(E1043="","",IFERROR(IF(MATCH(E1043,[1]Instrumentos!$D:$D,0)&gt;0,1,0),0))</f>
        <v/>
      </c>
      <c r="T1043" s="5" t="str">
        <f>IF(E1043="","",IFERROR(IF(MATCH(E1043,'Lista de excepciones'!$E:$E,0)&gt;0,1,0),0))</f>
        <v/>
      </c>
      <c r="U1043" s="6" t="str">
        <f t="shared" si="17"/>
        <v/>
      </c>
    </row>
    <row r="1044" spans="1:21" hidden="1" x14ac:dyDescent="0.25">
      <c r="A1044" s="7" t="str">
        <f>IF('Port Bloomberg'!A1044="","",'Port Bloomberg'!A1044)</f>
        <v/>
      </c>
      <c r="B1044" s="7" t="str">
        <f>IF('Port Bloomberg'!B1044="","",'Port Bloomberg'!B1044)</f>
        <v/>
      </c>
      <c r="C1044" s="7" t="str">
        <f>IF('Port Bloomberg'!C1044="","",'Port Bloomberg'!C1044)</f>
        <v/>
      </c>
      <c r="D1044" s="7" t="str">
        <f>IF('Port Bloomberg'!D1044="","",'Port Bloomberg'!D1044)</f>
        <v/>
      </c>
      <c r="E1044" s="7" t="str">
        <f>IF('Port Bloomberg'!E1044="","",'Port Bloomberg'!E1044)</f>
        <v/>
      </c>
      <c r="F1044" s="7" t="str">
        <f>IF('Port Bloomberg'!F1044="","",'Port Bloomberg'!F1044)</f>
        <v/>
      </c>
      <c r="G1044" s="7" t="str">
        <f>IF('Port Bloomberg'!G1044="","",'Port Bloomberg'!G1044)</f>
        <v/>
      </c>
      <c r="H1044" s="7" t="str">
        <f>IF('Port Bloomberg'!H1044="","",'Port Bloomberg'!H1044)</f>
        <v/>
      </c>
      <c r="I1044" s="7" t="str">
        <f>IF('Port Bloomberg'!I1044="","",'Port Bloomberg'!I1044)</f>
        <v/>
      </c>
      <c r="J1044" s="7" t="str">
        <f>IF('Port Bloomberg'!J1044="","",'Port Bloomberg'!J1044)</f>
        <v/>
      </c>
      <c r="K1044" s="7" t="str">
        <f>IF('Port Bloomberg'!K1044="","",'Port Bloomberg'!K1044)</f>
        <v/>
      </c>
      <c r="L1044" s="7" t="str">
        <f>IF('Port Bloomberg'!L1044="","",'Port Bloomberg'!L1044)</f>
        <v/>
      </c>
      <c r="M1044" s="7" t="str">
        <f>IF('Port Bloomberg'!M1044="","",'Port Bloomberg'!M1044)</f>
        <v/>
      </c>
      <c r="N1044" s="7" t="str">
        <f>IF('Port Bloomberg'!N1044="","",'Port Bloomberg'!N1044)</f>
        <v/>
      </c>
      <c r="O1044" s="7" t="str">
        <f>IF('Port Bloomberg'!O1044="","",'Port Bloomberg'!O1044)</f>
        <v/>
      </c>
      <c r="P1044" s="7" t="str">
        <f>IF('Port Bloomberg'!P1044="","",'Port Bloomberg'!P1044)</f>
        <v/>
      </c>
      <c r="Q1044" s="7" t="str">
        <f>IF('Port Bloomberg'!Q1044="","",'Port Bloomberg'!Q1044)</f>
        <v/>
      </c>
      <c r="R1044" s="7" t="str">
        <f>IF('Port Bloomberg'!R1044="","",'Port Bloomberg'!R1044)</f>
        <v/>
      </c>
      <c r="S1044" s="5" t="str">
        <f>IF(E1044="","",IFERROR(IF(MATCH(E1044,[1]Instrumentos!$D:$D,0)&gt;0,1,0),0))</f>
        <v/>
      </c>
      <c r="T1044" s="5" t="str">
        <f>IF(E1044="","",IFERROR(IF(MATCH(E1044,'Lista de excepciones'!$E:$E,0)&gt;0,1,0),0))</f>
        <v/>
      </c>
      <c r="U1044" s="6" t="str">
        <f t="shared" si="17"/>
        <v/>
      </c>
    </row>
    <row r="1045" spans="1:21" hidden="1" x14ac:dyDescent="0.25">
      <c r="A1045" s="7" t="str">
        <f>IF('Port Bloomberg'!A1045="","",'Port Bloomberg'!A1045)</f>
        <v/>
      </c>
      <c r="B1045" s="7" t="str">
        <f>IF('Port Bloomberg'!B1045="","",'Port Bloomberg'!B1045)</f>
        <v/>
      </c>
      <c r="C1045" s="7" t="str">
        <f>IF('Port Bloomberg'!C1045="","",'Port Bloomberg'!C1045)</f>
        <v/>
      </c>
      <c r="D1045" s="7" t="str">
        <f>IF('Port Bloomberg'!D1045="","",'Port Bloomberg'!D1045)</f>
        <v/>
      </c>
      <c r="E1045" s="7" t="str">
        <f>IF('Port Bloomberg'!E1045="","",'Port Bloomberg'!E1045)</f>
        <v/>
      </c>
      <c r="F1045" s="7" t="str">
        <f>IF('Port Bloomberg'!F1045="","",'Port Bloomberg'!F1045)</f>
        <v/>
      </c>
      <c r="G1045" s="7" t="str">
        <f>IF('Port Bloomberg'!G1045="","",'Port Bloomberg'!G1045)</f>
        <v/>
      </c>
      <c r="H1045" s="7" t="str">
        <f>IF('Port Bloomberg'!H1045="","",'Port Bloomberg'!H1045)</f>
        <v/>
      </c>
      <c r="I1045" s="7" t="str">
        <f>IF('Port Bloomberg'!I1045="","",'Port Bloomberg'!I1045)</f>
        <v/>
      </c>
      <c r="J1045" s="7" t="str">
        <f>IF('Port Bloomberg'!J1045="","",'Port Bloomberg'!J1045)</f>
        <v/>
      </c>
      <c r="K1045" s="7" t="str">
        <f>IF('Port Bloomberg'!K1045="","",'Port Bloomberg'!K1045)</f>
        <v/>
      </c>
      <c r="L1045" s="7" t="str">
        <f>IF('Port Bloomberg'!L1045="","",'Port Bloomberg'!L1045)</f>
        <v/>
      </c>
      <c r="M1045" s="7" t="str">
        <f>IF('Port Bloomberg'!M1045="","",'Port Bloomberg'!M1045)</f>
        <v/>
      </c>
      <c r="N1045" s="7" t="str">
        <f>IF('Port Bloomberg'!N1045="","",'Port Bloomberg'!N1045)</f>
        <v/>
      </c>
      <c r="O1045" s="7" t="str">
        <f>IF('Port Bloomberg'!O1045="","",'Port Bloomberg'!O1045)</f>
        <v/>
      </c>
      <c r="P1045" s="7" t="str">
        <f>IF('Port Bloomberg'!P1045="","",'Port Bloomberg'!P1045)</f>
        <v/>
      </c>
      <c r="Q1045" s="7" t="str">
        <f>IF('Port Bloomberg'!Q1045="","",'Port Bloomberg'!Q1045)</f>
        <v/>
      </c>
      <c r="R1045" s="7" t="str">
        <f>IF('Port Bloomberg'!R1045="","",'Port Bloomberg'!R1045)</f>
        <v/>
      </c>
      <c r="S1045" s="5" t="str">
        <f>IF(E1045="","",IFERROR(IF(MATCH(E1045,[1]Instrumentos!$D:$D,0)&gt;0,1,0),0))</f>
        <v/>
      </c>
      <c r="T1045" s="5" t="str">
        <f>IF(E1045="","",IFERROR(IF(MATCH(E1045,'Lista de excepciones'!$E:$E,0)&gt;0,1,0),0))</f>
        <v/>
      </c>
      <c r="U1045" s="6" t="str">
        <f t="shared" si="17"/>
        <v/>
      </c>
    </row>
    <row r="1046" spans="1:21" hidden="1" x14ac:dyDescent="0.25">
      <c r="A1046" s="7" t="str">
        <f>IF('Port Bloomberg'!A1046="","",'Port Bloomberg'!A1046)</f>
        <v/>
      </c>
      <c r="B1046" s="7" t="str">
        <f>IF('Port Bloomberg'!B1046="","",'Port Bloomberg'!B1046)</f>
        <v/>
      </c>
      <c r="C1046" s="7" t="str">
        <f>IF('Port Bloomberg'!C1046="","",'Port Bloomberg'!C1046)</f>
        <v/>
      </c>
      <c r="D1046" s="7" t="str">
        <f>IF('Port Bloomberg'!D1046="","",'Port Bloomberg'!D1046)</f>
        <v/>
      </c>
      <c r="E1046" s="7" t="str">
        <f>IF('Port Bloomberg'!E1046="","",'Port Bloomberg'!E1046)</f>
        <v/>
      </c>
      <c r="F1046" s="7" t="str">
        <f>IF('Port Bloomberg'!F1046="","",'Port Bloomberg'!F1046)</f>
        <v/>
      </c>
      <c r="G1046" s="7" t="str">
        <f>IF('Port Bloomberg'!G1046="","",'Port Bloomberg'!G1046)</f>
        <v/>
      </c>
      <c r="H1046" s="7" t="str">
        <f>IF('Port Bloomberg'!H1046="","",'Port Bloomberg'!H1046)</f>
        <v/>
      </c>
      <c r="I1046" s="7" t="str">
        <f>IF('Port Bloomberg'!I1046="","",'Port Bloomberg'!I1046)</f>
        <v/>
      </c>
      <c r="J1046" s="7" t="str">
        <f>IF('Port Bloomberg'!J1046="","",'Port Bloomberg'!J1046)</f>
        <v/>
      </c>
      <c r="K1046" s="7" t="str">
        <f>IF('Port Bloomberg'!K1046="","",'Port Bloomberg'!K1046)</f>
        <v/>
      </c>
      <c r="L1046" s="7" t="str">
        <f>IF('Port Bloomberg'!L1046="","",'Port Bloomberg'!L1046)</f>
        <v/>
      </c>
      <c r="M1046" s="7" t="str">
        <f>IF('Port Bloomberg'!M1046="","",'Port Bloomberg'!M1046)</f>
        <v/>
      </c>
      <c r="N1046" s="7" t="str">
        <f>IF('Port Bloomberg'!N1046="","",'Port Bloomberg'!N1046)</f>
        <v/>
      </c>
      <c r="O1046" s="7" t="str">
        <f>IF('Port Bloomberg'!O1046="","",'Port Bloomberg'!O1046)</f>
        <v/>
      </c>
      <c r="P1046" s="7" t="str">
        <f>IF('Port Bloomberg'!P1046="","",'Port Bloomberg'!P1046)</f>
        <v/>
      </c>
      <c r="Q1046" s="7" t="str">
        <f>IF('Port Bloomberg'!Q1046="","",'Port Bloomberg'!Q1046)</f>
        <v/>
      </c>
      <c r="R1046" s="7" t="str">
        <f>IF('Port Bloomberg'!R1046="","",'Port Bloomberg'!R1046)</f>
        <v/>
      </c>
      <c r="S1046" s="5" t="str">
        <f>IF(E1046="","",IFERROR(IF(MATCH(E1046,[1]Instrumentos!$D:$D,0)&gt;0,1,0),0))</f>
        <v/>
      </c>
      <c r="T1046" s="5" t="str">
        <f>IF(E1046="","",IFERROR(IF(MATCH(E1046,'Lista de excepciones'!$E:$E,0)&gt;0,1,0),0))</f>
        <v/>
      </c>
      <c r="U1046" s="6" t="str">
        <f t="shared" si="17"/>
        <v/>
      </c>
    </row>
    <row r="1047" spans="1:21" hidden="1" x14ac:dyDescent="0.25">
      <c r="A1047" s="7" t="str">
        <f>IF('Port Bloomberg'!A1047="","",'Port Bloomberg'!A1047)</f>
        <v/>
      </c>
      <c r="B1047" s="7" t="str">
        <f>IF('Port Bloomberg'!B1047="","",'Port Bloomberg'!B1047)</f>
        <v/>
      </c>
      <c r="C1047" s="7" t="str">
        <f>IF('Port Bloomberg'!C1047="","",'Port Bloomberg'!C1047)</f>
        <v/>
      </c>
      <c r="D1047" s="7" t="str">
        <f>IF('Port Bloomberg'!D1047="","",'Port Bloomberg'!D1047)</f>
        <v/>
      </c>
      <c r="E1047" s="7" t="str">
        <f>IF('Port Bloomberg'!E1047="","",'Port Bloomberg'!E1047)</f>
        <v/>
      </c>
      <c r="F1047" s="7" t="str">
        <f>IF('Port Bloomberg'!F1047="","",'Port Bloomberg'!F1047)</f>
        <v/>
      </c>
      <c r="G1047" s="7" t="str">
        <f>IF('Port Bloomberg'!G1047="","",'Port Bloomberg'!G1047)</f>
        <v/>
      </c>
      <c r="H1047" s="7" t="str">
        <f>IF('Port Bloomberg'!H1047="","",'Port Bloomberg'!H1047)</f>
        <v/>
      </c>
      <c r="I1047" s="7" t="str">
        <f>IF('Port Bloomberg'!I1047="","",'Port Bloomberg'!I1047)</f>
        <v/>
      </c>
      <c r="J1047" s="7" t="str">
        <f>IF('Port Bloomberg'!J1047="","",'Port Bloomberg'!J1047)</f>
        <v/>
      </c>
      <c r="K1047" s="7" t="str">
        <f>IF('Port Bloomberg'!K1047="","",'Port Bloomberg'!K1047)</f>
        <v/>
      </c>
      <c r="L1047" s="7" t="str">
        <f>IF('Port Bloomberg'!L1047="","",'Port Bloomberg'!L1047)</f>
        <v/>
      </c>
      <c r="M1047" s="7" t="str">
        <f>IF('Port Bloomberg'!M1047="","",'Port Bloomberg'!M1047)</f>
        <v/>
      </c>
      <c r="N1047" s="7" t="str">
        <f>IF('Port Bloomberg'!N1047="","",'Port Bloomberg'!N1047)</f>
        <v/>
      </c>
      <c r="O1047" s="7" t="str">
        <f>IF('Port Bloomberg'!O1047="","",'Port Bloomberg'!O1047)</f>
        <v/>
      </c>
      <c r="P1047" s="7" t="str">
        <f>IF('Port Bloomberg'!P1047="","",'Port Bloomberg'!P1047)</f>
        <v/>
      </c>
      <c r="Q1047" s="7" t="str">
        <f>IF('Port Bloomberg'!Q1047="","",'Port Bloomberg'!Q1047)</f>
        <v/>
      </c>
      <c r="R1047" s="7" t="str">
        <f>IF('Port Bloomberg'!R1047="","",'Port Bloomberg'!R1047)</f>
        <v/>
      </c>
      <c r="S1047" s="5" t="str">
        <f>IF(E1047="","",IFERROR(IF(MATCH(E1047,[1]Instrumentos!$D:$D,0)&gt;0,1,0),0))</f>
        <v/>
      </c>
      <c r="T1047" s="5" t="str">
        <f>IF(E1047="","",IFERROR(IF(MATCH(E1047,'Lista de excepciones'!$E:$E,0)&gt;0,1,0),0))</f>
        <v/>
      </c>
      <c r="U1047" s="6" t="str">
        <f t="shared" si="17"/>
        <v/>
      </c>
    </row>
    <row r="1048" spans="1:21" hidden="1" x14ac:dyDescent="0.25">
      <c r="A1048" s="7" t="str">
        <f>IF('Port Bloomberg'!A1048="","",'Port Bloomberg'!A1048)</f>
        <v/>
      </c>
      <c r="B1048" s="7" t="str">
        <f>IF('Port Bloomberg'!B1048="","",'Port Bloomberg'!B1048)</f>
        <v/>
      </c>
      <c r="C1048" s="7" t="str">
        <f>IF('Port Bloomberg'!C1048="","",'Port Bloomberg'!C1048)</f>
        <v/>
      </c>
      <c r="D1048" s="7" t="str">
        <f>IF('Port Bloomberg'!D1048="","",'Port Bloomberg'!D1048)</f>
        <v/>
      </c>
      <c r="E1048" s="7" t="str">
        <f>IF('Port Bloomberg'!E1048="","",'Port Bloomberg'!E1048)</f>
        <v/>
      </c>
      <c r="F1048" s="7" t="str">
        <f>IF('Port Bloomberg'!F1048="","",'Port Bloomberg'!F1048)</f>
        <v/>
      </c>
      <c r="G1048" s="7" t="str">
        <f>IF('Port Bloomberg'!G1048="","",'Port Bloomberg'!G1048)</f>
        <v/>
      </c>
      <c r="H1048" s="7" t="str">
        <f>IF('Port Bloomberg'!H1048="","",'Port Bloomberg'!H1048)</f>
        <v/>
      </c>
      <c r="I1048" s="7" t="str">
        <f>IF('Port Bloomberg'!I1048="","",'Port Bloomberg'!I1048)</f>
        <v/>
      </c>
      <c r="J1048" s="7" t="str">
        <f>IF('Port Bloomberg'!J1048="","",'Port Bloomberg'!J1048)</f>
        <v/>
      </c>
      <c r="K1048" s="7" t="str">
        <f>IF('Port Bloomberg'!K1048="","",'Port Bloomberg'!K1048)</f>
        <v/>
      </c>
      <c r="L1048" s="7" t="str">
        <f>IF('Port Bloomberg'!L1048="","",'Port Bloomberg'!L1048)</f>
        <v/>
      </c>
      <c r="M1048" s="7" t="str">
        <f>IF('Port Bloomberg'!M1048="","",'Port Bloomberg'!M1048)</f>
        <v/>
      </c>
      <c r="N1048" s="7" t="str">
        <f>IF('Port Bloomberg'!N1048="","",'Port Bloomberg'!N1048)</f>
        <v/>
      </c>
      <c r="O1048" s="7" t="str">
        <f>IF('Port Bloomberg'!O1048="","",'Port Bloomberg'!O1048)</f>
        <v/>
      </c>
      <c r="P1048" s="7" t="str">
        <f>IF('Port Bloomberg'!P1048="","",'Port Bloomberg'!P1048)</f>
        <v/>
      </c>
      <c r="Q1048" s="7" t="str">
        <f>IF('Port Bloomberg'!Q1048="","",'Port Bloomberg'!Q1048)</f>
        <v/>
      </c>
      <c r="R1048" s="7" t="str">
        <f>IF('Port Bloomberg'!R1048="","",'Port Bloomberg'!R1048)</f>
        <v/>
      </c>
      <c r="S1048" s="5" t="str">
        <f>IF(E1048="","",IFERROR(IF(MATCH(E1048,[1]Instrumentos!$D:$D,0)&gt;0,1,0),0))</f>
        <v/>
      </c>
      <c r="T1048" s="5" t="str">
        <f>IF(E1048="","",IFERROR(IF(MATCH(E1048,'Lista de excepciones'!$E:$E,0)&gt;0,1,0),0))</f>
        <v/>
      </c>
      <c r="U1048" s="6" t="str">
        <f t="shared" si="17"/>
        <v/>
      </c>
    </row>
    <row r="1049" spans="1:21" hidden="1" x14ac:dyDescent="0.25">
      <c r="A1049" s="7" t="str">
        <f>IF('Port Bloomberg'!A1049="","",'Port Bloomberg'!A1049)</f>
        <v/>
      </c>
      <c r="B1049" s="7" t="str">
        <f>IF('Port Bloomberg'!B1049="","",'Port Bloomberg'!B1049)</f>
        <v/>
      </c>
      <c r="C1049" s="7" t="str">
        <f>IF('Port Bloomberg'!C1049="","",'Port Bloomberg'!C1049)</f>
        <v/>
      </c>
      <c r="D1049" s="7" t="str">
        <f>IF('Port Bloomberg'!D1049="","",'Port Bloomberg'!D1049)</f>
        <v/>
      </c>
      <c r="E1049" s="7" t="str">
        <f>IF('Port Bloomberg'!E1049="","",'Port Bloomberg'!E1049)</f>
        <v/>
      </c>
      <c r="F1049" s="7" t="str">
        <f>IF('Port Bloomberg'!F1049="","",'Port Bloomberg'!F1049)</f>
        <v/>
      </c>
      <c r="G1049" s="7" t="str">
        <f>IF('Port Bloomberg'!G1049="","",'Port Bloomberg'!G1049)</f>
        <v/>
      </c>
      <c r="H1049" s="7" t="str">
        <f>IF('Port Bloomberg'!H1049="","",'Port Bloomberg'!H1049)</f>
        <v/>
      </c>
      <c r="I1049" s="7" t="str">
        <f>IF('Port Bloomberg'!I1049="","",'Port Bloomberg'!I1049)</f>
        <v/>
      </c>
      <c r="J1049" s="7" t="str">
        <f>IF('Port Bloomberg'!J1049="","",'Port Bloomberg'!J1049)</f>
        <v/>
      </c>
      <c r="K1049" s="7" t="str">
        <f>IF('Port Bloomberg'!K1049="","",'Port Bloomberg'!K1049)</f>
        <v/>
      </c>
      <c r="L1049" s="7" t="str">
        <f>IF('Port Bloomberg'!L1049="","",'Port Bloomberg'!L1049)</f>
        <v/>
      </c>
      <c r="M1049" s="7" t="str">
        <f>IF('Port Bloomberg'!M1049="","",'Port Bloomberg'!M1049)</f>
        <v/>
      </c>
      <c r="N1049" s="7" t="str">
        <f>IF('Port Bloomberg'!N1049="","",'Port Bloomberg'!N1049)</f>
        <v/>
      </c>
      <c r="O1049" s="7" t="str">
        <f>IF('Port Bloomberg'!O1049="","",'Port Bloomberg'!O1049)</f>
        <v/>
      </c>
      <c r="P1049" s="7" t="str">
        <f>IF('Port Bloomberg'!P1049="","",'Port Bloomberg'!P1049)</f>
        <v/>
      </c>
      <c r="Q1049" s="7" t="str">
        <f>IF('Port Bloomberg'!Q1049="","",'Port Bloomberg'!Q1049)</f>
        <v/>
      </c>
      <c r="R1049" s="7" t="str">
        <f>IF('Port Bloomberg'!R1049="","",'Port Bloomberg'!R1049)</f>
        <v/>
      </c>
      <c r="S1049" s="5" t="str">
        <f>IF(E1049="","",IFERROR(IF(MATCH(E1049,[1]Instrumentos!$D:$D,0)&gt;0,1,0),0))</f>
        <v/>
      </c>
      <c r="T1049" s="5" t="str">
        <f>IF(E1049="","",IFERROR(IF(MATCH(E1049,'Lista de excepciones'!$E:$E,0)&gt;0,1,0),0))</f>
        <v/>
      </c>
      <c r="U1049" s="6" t="str">
        <f t="shared" si="17"/>
        <v/>
      </c>
    </row>
    <row r="1050" spans="1:21" hidden="1" x14ac:dyDescent="0.25">
      <c r="A1050" s="7" t="str">
        <f>IF('Port Bloomberg'!A1050="","",'Port Bloomberg'!A1050)</f>
        <v/>
      </c>
      <c r="B1050" s="7" t="str">
        <f>IF('Port Bloomberg'!B1050="","",'Port Bloomberg'!B1050)</f>
        <v/>
      </c>
      <c r="C1050" s="7" t="str">
        <f>IF('Port Bloomberg'!C1050="","",'Port Bloomberg'!C1050)</f>
        <v/>
      </c>
      <c r="D1050" s="7" t="str">
        <f>IF('Port Bloomberg'!D1050="","",'Port Bloomberg'!D1050)</f>
        <v/>
      </c>
      <c r="E1050" s="7" t="str">
        <f>IF('Port Bloomberg'!E1050="","",'Port Bloomberg'!E1050)</f>
        <v/>
      </c>
      <c r="F1050" s="7" t="str">
        <f>IF('Port Bloomberg'!F1050="","",'Port Bloomberg'!F1050)</f>
        <v/>
      </c>
      <c r="G1050" s="7" t="str">
        <f>IF('Port Bloomberg'!G1050="","",'Port Bloomberg'!G1050)</f>
        <v/>
      </c>
      <c r="H1050" s="7" t="str">
        <f>IF('Port Bloomberg'!H1050="","",'Port Bloomberg'!H1050)</f>
        <v/>
      </c>
      <c r="I1050" s="7" t="str">
        <f>IF('Port Bloomberg'!I1050="","",'Port Bloomberg'!I1050)</f>
        <v/>
      </c>
      <c r="J1050" s="7" t="str">
        <f>IF('Port Bloomberg'!J1050="","",'Port Bloomberg'!J1050)</f>
        <v/>
      </c>
      <c r="K1050" s="7" t="str">
        <f>IF('Port Bloomberg'!K1050="","",'Port Bloomberg'!K1050)</f>
        <v/>
      </c>
      <c r="L1050" s="7" t="str">
        <f>IF('Port Bloomberg'!L1050="","",'Port Bloomberg'!L1050)</f>
        <v/>
      </c>
      <c r="M1050" s="7" t="str">
        <f>IF('Port Bloomberg'!M1050="","",'Port Bloomberg'!M1050)</f>
        <v/>
      </c>
      <c r="N1050" s="7" t="str">
        <f>IF('Port Bloomberg'!N1050="","",'Port Bloomberg'!N1050)</f>
        <v/>
      </c>
      <c r="O1050" s="7" t="str">
        <f>IF('Port Bloomberg'!O1050="","",'Port Bloomberg'!O1050)</f>
        <v/>
      </c>
      <c r="P1050" s="7" t="str">
        <f>IF('Port Bloomberg'!P1050="","",'Port Bloomberg'!P1050)</f>
        <v/>
      </c>
      <c r="Q1050" s="7" t="str">
        <f>IF('Port Bloomberg'!Q1050="","",'Port Bloomberg'!Q1050)</f>
        <v/>
      </c>
      <c r="R1050" s="7" t="str">
        <f>IF('Port Bloomberg'!R1050="","",'Port Bloomberg'!R1050)</f>
        <v/>
      </c>
      <c r="S1050" s="5" t="str">
        <f>IF(E1050="","",IFERROR(IF(MATCH(E1050,[1]Instrumentos!$D:$D,0)&gt;0,1,0),0))</f>
        <v/>
      </c>
      <c r="T1050" s="5" t="str">
        <f>IF(E1050="","",IFERROR(IF(MATCH(E1050,'Lista de excepciones'!$E:$E,0)&gt;0,1,0),0))</f>
        <v/>
      </c>
      <c r="U1050" s="6" t="str">
        <f t="shared" si="17"/>
        <v/>
      </c>
    </row>
    <row r="1051" spans="1:21" hidden="1" x14ac:dyDescent="0.25">
      <c r="A1051" s="7" t="str">
        <f>IF('Port Bloomberg'!A1051="","",'Port Bloomberg'!A1051)</f>
        <v/>
      </c>
      <c r="B1051" s="7" t="str">
        <f>IF('Port Bloomberg'!B1051="","",'Port Bloomberg'!B1051)</f>
        <v/>
      </c>
      <c r="C1051" s="7" t="str">
        <f>IF('Port Bloomberg'!C1051="","",'Port Bloomberg'!C1051)</f>
        <v/>
      </c>
      <c r="D1051" s="7" t="str">
        <f>IF('Port Bloomberg'!D1051="","",'Port Bloomberg'!D1051)</f>
        <v/>
      </c>
      <c r="E1051" s="7" t="str">
        <f>IF('Port Bloomberg'!E1051="","",'Port Bloomberg'!E1051)</f>
        <v/>
      </c>
      <c r="F1051" s="7" t="str">
        <f>IF('Port Bloomberg'!F1051="","",'Port Bloomberg'!F1051)</f>
        <v/>
      </c>
      <c r="G1051" s="7" t="str">
        <f>IF('Port Bloomberg'!G1051="","",'Port Bloomberg'!G1051)</f>
        <v/>
      </c>
      <c r="H1051" s="7" t="str">
        <f>IF('Port Bloomberg'!H1051="","",'Port Bloomberg'!H1051)</f>
        <v/>
      </c>
      <c r="I1051" s="7" t="str">
        <f>IF('Port Bloomberg'!I1051="","",'Port Bloomberg'!I1051)</f>
        <v/>
      </c>
      <c r="J1051" s="7" t="str">
        <f>IF('Port Bloomberg'!J1051="","",'Port Bloomberg'!J1051)</f>
        <v/>
      </c>
      <c r="K1051" s="7" t="str">
        <f>IF('Port Bloomberg'!K1051="","",'Port Bloomberg'!K1051)</f>
        <v/>
      </c>
      <c r="L1051" s="7" t="str">
        <f>IF('Port Bloomberg'!L1051="","",'Port Bloomberg'!L1051)</f>
        <v/>
      </c>
      <c r="M1051" s="7" t="str">
        <f>IF('Port Bloomberg'!M1051="","",'Port Bloomberg'!M1051)</f>
        <v/>
      </c>
      <c r="N1051" s="7" t="str">
        <f>IF('Port Bloomberg'!N1051="","",'Port Bloomberg'!N1051)</f>
        <v/>
      </c>
      <c r="O1051" s="7" t="str">
        <f>IF('Port Bloomberg'!O1051="","",'Port Bloomberg'!O1051)</f>
        <v/>
      </c>
      <c r="P1051" s="7" t="str">
        <f>IF('Port Bloomberg'!P1051="","",'Port Bloomberg'!P1051)</f>
        <v/>
      </c>
      <c r="Q1051" s="7" t="str">
        <f>IF('Port Bloomberg'!Q1051="","",'Port Bloomberg'!Q1051)</f>
        <v/>
      </c>
      <c r="R1051" s="7" t="str">
        <f>IF('Port Bloomberg'!R1051="","",'Port Bloomberg'!R1051)</f>
        <v/>
      </c>
      <c r="S1051" s="5" t="str">
        <f>IF(E1051="","",IFERROR(IF(MATCH(E1051,[1]Instrumentos!$D:$D,0)&gt;0,1,0),0))</f>
        <v/>
      </c>
      <c r="T1051" s="5" t="str">
        <f>IF(E1051="","",IFERROR(IF(MATCH(E1051,'Lista de excepciones'!$E:$E,0)&gt;0,1,0),0))</f>
        <v/>
      </c>
      <c r="U1051" s="6" t="str">
        <f t="shared" si="17"/>
        <v/>
      </c>
    </row>
    <row r="1052" spans="1:21" hidden="1" x14ac:dyDescent="0.25">
      <c r="A1052" s="7" t="str">
        <f>IF('Port Bloomberg'!A1052="","",'Port Bloomberg'!A1052)</f>
        <v/>
      </c>
      <c r="B1052" s="7" t="str">
        <f>IF('Port Bloomberg'!B1052="","",'Port Bloomberg'!B1052)</f>
        <v/>
      </c>
      <c r="C1052" s="7" t="str">
        <f>IF('Port Bloomberg'!C1052="","",'Port Bloomberg'!C1052)</f>
        <v/>
      </c>
      <c r="D1052" s="7" t="str">
        <f>IF('Port Bloomberg'!D1052="","",'Port Bloomberg'!D1052)</f>
        <v/>
      </c>
      <c r="E1052" s="7" t="str">
        <f>IF('Port Bloomberg'!E1052="","",'Port Bloomberg'!E1052)</f>
        <v/>
      </c>
      <c r="F1052" s="7" t="str">
        <f>IF('Port Bloomberg'!F1052="","",'Port Bloomberg'!F1052)</f>
        <v/>
      </c>
      <c r="G1052" s="7" t="str">
        <f>IF('Port Bloomberg'!G1052="","",'Port Bloomberg'!G1052)</f>
        <v/>
      </c>
      <c r="H1052" s="7" t="str">
        <f>IF('Port Bloomberg'!H1052="","",'Port Bloomberg'!H1052)</f>
        <v/>
      </c>
      <c r="I1052" s="7" t="str">
        <f>IF('Port Bloomberg'!I1052="","",'Port Bloomberg'!I1052)</f>
        <v/>
      </c>
      <c r="J1052" s="7" t="str">
        <f>IF('Port Bloomberg'!J1052="","",'Port Bloomberg'!J1052)</f>
        <v/>
      </c>
      <c r="K1052" s="7" t="str">
        <f>IF('Port Bloomberg'!K1052="","",'Port Bloomberg'!K1052)</f>
        <v/>
      </c>
      <c r="L1052" s="7" t="str">
        <f>IF('Port Bloomberg'!L1052="","",'Port Bloomberg'!L1052)</f>
        <v/>
      </c>
      <c r="M1052" s="7" t="str">
        <f>IF('Port Bloomberg'!M1052="","",'Port Bloomberg'!M1052)</f>
        <v/>
      </c>
      <c r="N1052" s="7" t="str">
        <f>IF('Port Bloomberg'!N1052="","",'Port Bloomberg'!N1052)</f>
        <v/>
      </c>
      <c r="O1052" s="7" t="str">
        <f>IF('Port Bloomberg'!O1052="","",'Port Bloomberg'!O1052)</f>
        <v/>
      </c>
      <c r="P1052" s="7" t="str">
        <f>IF('Port Bloomberg'!P1052="","",'Port Bloomberg'!P1052)</f>
        <v/>
      </c>
      <c r="Q1052" s="7" t="str">
        <f>IF('Port Bloomberg'!Q1052="","",'Port Bloomberg'!Q1052)</f>
        <v/>
      </c>
      <c r="R1052" s="7" t="str">
        <f>IF('Port Bloomberg'!R1052="","",'Port Bloomberg'!R1052)</f>
        <v/>
      </c>
      <c r="S1052" s="5" t="str">
        <f>IF(E1052="","",IFERROR(IF(MATCH(E1052,[1]Instrumentos!$D:$D,0)&gt;0,1,0),0))</f>
        <v/>
      </c>
      <c r="T1052" s="5" t="str">
        <f>IF(E1052="","",IFERROR(IF(MATCH(E1052,'Lista de excepciones'!$E:$E,0)&gt;0,1,0),0))</f>
        <v/>
      </c>
      <c r="U1052" s="6" t="str">
        <f t="shared" si="17"/>
        <v/>
      </c>
    </row>
    <row r="1053" spans="1:21" hidden="1" x14ac:dyDescent="0.25">
      <c r="A1053" s="7" t="str">
        <f>IF('Port Bloomberg'!A1053="","",'Port Bloomberg'!A1053)</f>
        <v/>
      </c>
      <c r="B1053" s="7" t="str">
        <f>IF('Port Bloomberg'!B1053="","",'Port Bloomberg'!B1053)</f>
        <v/>
      </c>
      <c r="C1053" s="7" t="str">
        <f>IF('Port Bloomberg'!C1053="","",'Port Bloomberg'!C1053)</f>
        <v/>
      </c>
      <c r="D1053" s="7" t="str">
        <f>IF('Port Bloomberg'!D1053="","",'Port Bloomberg'!D1053)</f>
        <v/>
      </c>
      <c r="E1053" s="7" t="str">
        <f>IF('Port Bloomberg'!E1053="","",'Port Bloomberg'!E1053)</f>
        <v/>
      </c>
      <c r="F1053" s="7" t="str">
        <f>IF('Port Bloomberg'!F1053="","",'Port Bloomberg'!F1053)</f>
        <v/>
      </c>
      <c r="G1053" s="7" t="str">
        <f>IF('Port Bloomberg'!G1053="","",'Port Bloomberg'!G1053)</f>
        <v/>
      </c>
      <c r="H1053" s="7" t="str">
        <f>IF('Port Bloomberg'!H1053="","",'Port Bloomberg'!H1053)</f>
        <v/>
      </c>
      <c r="I1053" s="7" t="str">
        <f>IF('Port Bloomberg'!I1053="","",'Port Bloomberg'!I1053)</f>
        <v/>
      </c>
      <c r="J1053" s="7" t="str">
        <f>IF('Port Bloomberg'!J1053="","",'Port Bloomberg'!J1053)</f>
        <v/>
      </c>
      <c r="K1053" s="7" t="str">
        <f>IF('Port Bloomberg'!K1053="","",'Port Bloomberg'!K1053)</f>
        <v/>
      </c>
      <c r="L1053" s="7" t="str">
        <f>IF('Port Bloomberg'!L1053="","",'Port Bloomberg'!L1053)</f>
        <v/>
      </c>
      <c r="M1053" s="7" t="str">
        <f>IF('Port Bloomberg'!M1053="","",'Port Bloomberg'!M1053)</f>
        <v/>
      </c>
      <c r="N1053" s="7" t="str">
        <f>IF('Port Bloomberg'!N1053="","",'Port Bloomberg'!N1053)</f>
        <v/>
      </c>
      <c r="O1053" s="7" t="str">
        <f>IF('Port Bloomberg'!O1053="","",'Port Bloomberg'!O1053)</f>
        <v/>
      </c>
      <c r="P1053" s="7" t="str">
        <f>IF('Port Bloomberg'!P1053="","",'Port Bloomberg'!P1053)</f>
        <v/>
      </c>
      <c r="Q1053" s="7" t="str">
        <f>IF('Port Bloomberg'!Q1053="","",'Port Bloomberg'!Q1053)</f>
        <v/>
      </c>
      <c r="R1053" s="7" t="str">
        <f>IF('Port Bloomberg'!R1053="","",'Port Bloomberg'!R1053)</f>
        <v/>
      </c>
      <c r="S1053" s="5" t="str">
        <f>IF(E1053="","",IFERROR(IF(MATCH(E1053,[1]Instrumentos!$D:$D,0)&gt;0,1,0),0))</f>
        <v/>
      </c>
      <c r="T1053" s="5" t="str">
        <f>IF(E1053="","",IFERROR(IF(MATCH(E1053,'Lista de excepciones'!$E:$E,0)&gt;0,1,0),0))</f>
        <v/>
      </c>
      <c r="U1053" s="6" t="str">
        <f t="shared" si="17"/>
        <v/>
      </c>
    </row>
    <row r="1054" spans="1:21" hidden="1" x14ac:dyDescent="0.25">
      <c r="A1054" s="7" t="str">
        <f>IF('Port Bloomberg'!A1054="","",'Port Bloomberg'!A1054)</f>
        <v/>
      </c>
      <c r="B1054" s="7" t="str">
        <f>IF('Port Bloomberg'!B1054="","",'Port Bloomberg'!B1054)</f>
        <v/>
      </c>
      <c r="C1054" s="7" t="str">
        <f>IF('Port Bloomberg'!C1054="","",'Port Bloomberg'!C1054)</f>
        <v/>
      </c>
      <c r="D1054" s="7" t="str">
        <f>IF('Port Bloomberg'!D1054="","",'Port Bloomberg'!D1054)</f>
        <v/>
      </c>
      <c r="E1054" s="7" t="str">
        <f>IF('Port Bloomberg'!E1054="","",'Port Bloomberg'!E1054)</f>
        <v/>
      </c>
      <c r="F1054" s="7" t="str">
        <f>IF('Port Bloomberg'!F1054="","",'Port Bloomberg'!F1054)</f>
        <v/>
      </c>
      <c r="G1054" s="7" t="str">
        <f>IF('Port Bloomberg'!G1054="","",'Port Bloomberg'!G1054)</f>
        <v/>
      </c>
      <c r="H1054" s="7" t="str">
        <f>IF('Port Bloomberg'!H1054="","",'Port Bloomberg'!H1054)</f>
        <v/>
      </c>
      <c r="I1054" s="7" t="str">
        <f>IF('Port Bloomberg'!I1054="","",'Port Bloomberg'!I1054)</f>
        <v/>
      </c>
      <c r="J1054" s="7" t="str">
        <f>IF('Port Bloomberg'!J1054="","",'Port Bloomberg'!J1054)</f>
        <v/>
      </c>
      <c r="K1054" s="7" t="str">
        <f>IF('Port Bloomberg'!K1054="","",'Port Bloomberg'!K1054)</f>
        <v/>
      </c>
      <c r="L1054" s="7" t="str">
        <f>IF('Port Bloomberg'!L1054="","",'Port Bloomberg'!L1054)</f>
        <v/>
      </c>
      <c r="M1054" s="7" t="str">
        <f>IF('Port Bloomberg'!M1054="","",'Port Bloomberg'!M1054)</f>
        <v/>
      </c>
      <c r="N1054" s="7" t="str">
        <f>IF('Port Bloomberg'!N1054="","",'Port Bloomberg'!N1054)</f>
        <v/>
      </c>
      <c r="O1054" s="7" t="str">
        <f>IF('Port Bloomberg'!O1054="","",'Port Bloomberg'!O1054)</f>
        <v/>
      </c>
      <c r="P1054" s="7" t="str">
        <f>IF('Port Bloomberg'!P1054="","",'Port Bloomberg'!P1054)</f>
        <v/>
      </c>
      <c r="Q1054" s="7" t="str">
        <f>IF('Port Bloomberg'!Q1054="","",'Port Bloomberg'!Q1054)</f>
        <v/>
      </c>
      <c r="R1054" s="7" t="str">
        <f>IF('Port Bloomberg'!R1054="","",'Port Bloomberg'!R1054)</f>
        <v/>
      </c>
      <c r="S1054" s="5" t="str">
        <f>IF(E1054="","",IFERROR(IF(MATCH(E1054,[1]Instrumentos!$D:$D,0)&gt;0,1,0),0))</f>
        <v/>
      </c>
      <c r="T1054" s="5" t="str">
        <f>IF(E1054="","",IFERROR(IF(MATCH(E1054,'Lista de excepciones'!$E:$E,0)&gt;0,1,0),0))</f>
        <v/>
      </c>
      <c r="U1054" s="6" t="str">
        <f t="shared" si="17"/>
        <v/>
      </c>
    </row>
    <row r="1055" spans="1:21" hidden="1" x14ac:dyDescent="0.25">
      <c r="A1055" s="7" t="str">
        <f>IF('Port Bloomberg'!A1055="","",'Port Bloomberg'!A1055)</f>
        <v/>
      </c>
      <c r="B1055" s="7" t="str">
        <f>IF('Port Bloomberg'!B1055="","",'Port Bloomberg'!B1055)</f>
        <v/>
      </c>
      <c r="C1055" s="7" t="str">
        <f>IF('Port Bloomberg'!C1055="","",'Port Bloomberg'!C1055)</f>
        <v/>
      </c>
      <c r="D1055" s="7" t="str">
        <f>IF('Port Bloomberg'!D1055="","",'Port Bloomberg'!D1055)</f>
        <v/>
      </c>
      <c r="E1055" s="7" t="str">
        <f>IF('Port Bloomberg'!E1055="","",'Port Bloomberg'!E1055)</f>
        <v/>
      </c>
      <c r="F1055" s="7" t="str">
        <f>IF('Port Bloomberg'!F1055="","",'Port Bloomberg'!F1055)</f>
        <v/>
      </c>
      <c r="G1055" s="7" t="str">
        <f>IF('Port Bloomberg'!G1055="","",'Port Bloomberg'!G1055)</f>
        <v/>
      </c>
      <c r="H1055" s="7" t="str">
        <f>IF('Port Bloomberg'!H1055="","",'Port Bloomberg'!H1055)</f>
        <v/>
      </c>
      <c r="I1055" s="7" t="str">
        <f>IF('Port Bloomberg'!I1055="","",'Port Bloomberg'!I1055)</f>
        <v/>
      </c>
      <c r="J1055" s="7" t="str">
        <f>IF('Port Bloomberg'!J1055="","",'Port Bloomberg'!J1055)</f>
        <v/>
      </c>
      <c r="K1055" s="7" t="str">
        <f>IF('Port Bloomberg'!K1055="","",'Port Bloomberg'!K1055)</f>
        <v/>
      </c>
      <c r="L1055" s="7" t="str">
        <f>IF('Port Bloomberg'!L1055="","",'Port Bloomberg'!L1055)</f>
        <v/>
      </c>
      <c r="M1055" s="7" t="str">
        <f>IF('Port Bloomberg'!M1055="","",'Port Bloomberg'!M1055)</f>
        <v/>
      </c>
      <c r="N1055" s="7" t="str">
        <f>IF('Port Bloomberg'!N1055="","",'Port Bloomberg'!N1055)</f>
        <v/>
      </c>
      <c r="O1055" s="7" t="str">
        <f>IF('Port Bloomberg'!O1055="","",'Port Bloomberg'!O1055)</f>
        <v/>
      </c>
      <c r="P1055" s="7" t="str">
        <f>IF('Port Bloomberg'!P1055="","",'Port Bloomberg'!P1055)</f>
        <v/>
      </c>
      <c r="Q1055" s="7" t="str">
        <f>IF('Port Bloomberg'!Q1055="","",'Port Bloomberg'!Q1055)</f>
        <v/>
      </c>
      <c r="R1055" s="7" t="str">
        <f>IF('Port Bloomberg'!R1055="","",'Port Bloomberg'!R1055)</f>
        <v/>
      </c>
      <c r="S1055" s="5" t="str">
        <f>IF(E1055="","",IFERROR(IF(MATCH(E1055,[1]Instrumentos!$D:$D,0)&gt;0,1,0),0))</f>
        <v/>
      </c>
      <c r="T1055" s="5" t="str">
        <f>IF(E1055="","",IFERROR(IF(MATCH(E1055,'Lista de excepciones'!$E:$E,0)&gt;0,1,0),0))</f>
        <v/>
      </c>
      <c r="U1055" s="6" t="str">
        <f t="shared" si="17"/>
        <v/>
      </c>
    </row>
    <row r="1056" spans="1:21" hidden="1" x14ac:dyDescent="0.25">
      <c r="A1056" s="7" t="str">
        <f>IF('Port Bloomberg'!A1056="","",'Port Bloomberg'!A1056)</f>
        <v/>
      </c>
      <c r="B1056" s="7" t="str">
        <f>IF('Port Bloomberg'!B1056="","",'Port Bloomberg'!B1056)</f>
        <v/>
      </c>
      <c r="C1056" s="7" t="str">
        <f>IF('Port Bloomberg'!C1056="","",'Port Bloomberg'!C1056)</f>
        <v/>
      </c>
      <c r="D1056" s="7" t="str">
        <f>IF('Port Bloomberg'!D1056="","",'Port Bloomberg'!D1056)</f>
        <v/>
      </c>
      <c r="E1056" s="7" t="str">
        <f>IF('Port Bloomberg'!E1056="","",'Port Bloomberg'!E1056)</f>
        <v/>
      </c>
      <c r="F1056" s="7" t="str">
        <f>IF('Port Bloomberg'!F1056="","",'Port Bloomberg'!F1056)</f>
        <v/>
      </c>
      <c r="G1056" s="7" t="str">
        <f>IF('Port Bloomberg'!G1056="","",'Port Bloomberg'!G1056)</f>
        <v/>
      </c>
      <c r="H1056" s="7" t="str">
        <f>IF('Port Bloomberg'!H1056="","",'Port Bloomberg'!H1056)</f>
        <v/>
      </c>
      <c r="I1056" s="7" t="str">
        <f>IF('Port Bloomberg'!I1056="","",'Port Bloomberg'!I1056)</f>
        <v/>
      </c>
      <c r="J1056" s="7" t="str">
        <f>IF('Port Bloomberg'!J1056="","",'Port Bloomberg'!J1056)</f>
        <v/>
      </c>
      <c r="K1056" s="7" t="str">
        <f>IF('Port Bloomberg'!K1056="","",'Port Bloomberg'!K1056)</f>
        <v/>
      </c>
      <c r="L1056" s="7" t="str">
        <f>IF('Port Bloomberg'!L1056="","",'Port Bloomberg'!L1056)</f>
        <v/>
      </c>
      <c r="M1056" s="7" t="str">
        <f>IF('Port Bloomberg'!M1056="","",'Port Bloomberg'!M1056)</f>
        <v/>
      </c>
      <c r="N1056" s="7" t="str">
        <f>IF('Port Bloomberg'!N1056="","",'Port Bloomberg'!N1056)</f>
        <v/>
      </c>
      <c r="O1056" s="7" t="str">
        <f>IF('Port Bloomberg'!O1056="","",'Port Bloomberg'!O1056)</f>
        <v/>
      </c>
      <c r="P1056" s="7" t="str">
        <f>IF('Port Bloomberg'!P1056="","",'Port Bloomberg'!P1056)</f>
        <v/>
      </c>
      <c r="Q1056" s="7" t="str">
        <f>IF('Port Bloomberg'!Q1056="","",'Port Bloomberg'!Q1056)</f>
        <v/>
      </c>
      <c r="R1056" s="7" t="str">
        <f>IF('Port Bloomberg'!R1056="","",'Port Bloomberg'!R1056)</f>
        <v/>
      </c>
      <c r="S1056" s="5" t="str">
        <f>IF(E1056="","",IFERROR(IF(MATCH(E1056,[1]Instrumentos!$D:$D,0)&gt;0,1,0),0))</f>
        <v/>
      </c>
      <c r="T1056" s="5" t="str">
        <f>IF(E1056="","",IFERROR(IF(MATCH(E1056,'Lista de excepciones'!$E:$E,0)&gt;0,1,0),0))</f>
        <v/>
      </c>
      <c r="U1056" s="6" t="str">
        <f t="shared" si="17"/>
        <v/>
      </c>
    </row>
    <row r="1057" spans="1:21" hidden="1" x14ac:dyDescent="0.25">
      <c r="A1057" s="7" t="str">
        <f>IF('Port Bloomberg'!A1057="","",'Port Bloomberg'!A1057)</f>
        <v/>
      </c>
      <c r="B1057" s="7" t="str">
        <f>IF('Port Bloomberg'!B1057="","",'Port Bloomberg'!B1057)</f>
        <v/>
      </c>
      <c r="C1057" s="7" t="str">
        <f>IF('Port Bloomberg'!C1057="","",'Port Bloomberg'!C1057)</f>
        <v/>
      </c>
      <c r="D1057" s="7" t="str">
        <f>IF('Port Bloomberg'!D1057="","",'Port Bloomberg'!D1057)</f>
        <v/>
      </c>
      <c r="E1057" s="7" t="str">
        <f>IF('Port Bloomberg'!E1057="","",'Port Bloomberg'!E1057)</f>
        <v/>
      </c>
      <c r="F1057" s="7" t="str">
        <f>IF('Port Bloomberg'!F1057="","",'Port Bloomberg'!F1057)</f>
        <v/>
      </c>
      <c r="G1057" s="7" t="str">
        <f>IF('Port Bloomberg'!G1057="","",'Port Bloomberg'!G1057)</f>
        <v/>
      </c>
      <c r="H1057" s="7" t="str">
        <f>IF('Port Bloomberg'!H1057="","",'Port Bloomberg'!H1057)</f>
        <v/>
      </c>
      <c r="I1057" s="7" t="str">
        <f>IF('Port Bloomberg'!I1057="","",'Port Bloomberg'!I1057)</f>
        <v/>
      </c>
      <c r="J1057" s="7" t="str">
        <f>IF('Port Bloomberg'!J1057="","",'Port Bloomberg'!J1057)</f>
        <v/>
      </c>
      <c r="K1057" s="7" t="str">
        <f>IF('Port Bloomberg'!K1057="","",'Port Bloomberg'!K1057)</f>
        <v/>
      </c>
      <c r="L1057" s="7" t="str">
        <f>IF('Port Bloomberg'!L1057="","",'Port Bloomberg'!L1057)</f>
        <v/>
      </c>
      <c r="M1057" s="7" t="str">
        <f>IF('Port Bloomberg'!M1057="","",'Port Bloomberg'!M1057)</f>
        <v/>
      </c>
      <c r="N1057" s="7" t="str">
        <f>IF('Port Bloomberg'!N1057="","",'Port Bloomberg'!N1057)</f>
        <v/>
      </c>
      <c r="O1057" s="7" t="str">
        <f>IF('Port Bloomberg'!O1057="","",'Port Bloomberg'!O1057)</f>
        <v/>
      </c>
      <c r="P1057" s="7" t="str">
        <f>IF('Port Bloomberg'!P1057="","",'Port Bloomberg'!P1057)</f>
        <v/>
      </c>
      <c r="Q1057" s="7" t="str">
        <f>IF('Port Bloomberg'!Q1057="","",'Port Bloomberg'!Q1057)</f>
        <v/>
      </c>
      <c r="R1057" s="7" t="str">
        <f>IF('Port Bloomberg'!R1057="","",'Port Bloomberg'!R1057)</f>
        <v/>
      </c>
      <c r="S1057" s="5" t="str">
        <f>IF(E1057="","",IFERROR(IF(MATCH(E1057,[1]Instrumentos!$D:$D,0)&gt;0,1,0),0))</f>
        <v/>
      </c>
      <c r="T1057" s="5" t="str">
        <f>IF(E1057="","",IFERROR(IF(MATCH(E1057,'Lista de excepciones'!$E:$E,0)&gt;0,1,0),0))</f>
        <v/>
      </c>
      <c r="U1057" s="6" t="str">
        <f t="shared" si="17"/>
        <v/>
      </c>
    </row>
    <row r="1058" spans="1:21" hidden="1" x14ac:dyDescent="0.25">
      <c r="A1058" s="7" t="str">
        <f>IF('Port Bloomberg'!A1058="","",'Port Bloomberg'!A1058)</f>
        <v/>
      </c>
      <c r="B1058" s="7" t="str">
        <f>IF('Port Bloomberg'!B1058="","",'Port Bloomberg'!B1058)</f>
        <v/>
      </c>
      <c r="C1058" s="7" t="str">
        <f>IF('Port Bloomberg'!C1058="","",'Port Bloomberg'!C1058)</f>
        <v/>
      </c>
      <c r="D1058" s="7" t="str">
        <f>IF('Port Bloomberg'!D1058="","",'Port Bloomberg'!D1058)</f>
        <v/>
      </c>
      <c r="E1058" s="7" t="str">
        <f>IF('Port Bloomberg'!E1058="","",'Port Bloomberg'!E1058)</f>
        <v/>
      </c>
      <c r="F1058" s="7" t="str">
        <f>IF('Port Bloomberg'!F1058="","",'Port Bloomberg'!F1058)</f>
        <v/>
      </c>
      <c r="G1058" s="7" t="str">
        <f>IF('Port Bloomberg'!G1058="","",'Port Bloomberg'!G1058)</f>
        <v/>
      </c>
      <c r="H1058" s="7" t="str">
        <f>IF('Port Bloomberg'!H1058="","",'Port Bloomberg'!H1058)</f>
        <v/>
      </c>
      <c r="I1058" s="7" t="str">
        <f>IF('Port Bloomberg'!I1058="","",'Port Bloomberg'!I1058)</f>
        <v/>
      </c>
      <c r="J1058" s="7" t="str">
        <f>IF('Port Bloomberg'!J1058="","",'Port Bloomberg'!J1058)</f>
        <v/>
      </c>
      <c r="K1058" s="7" t="str">
        <f>IF('Port Bloomberg'!K1058="","",'Port Bloomberg'!K1058)</f>
        <v/>
      </c>
      <c r="L1058" s="7" t="str">
        <f>IF('Port Bloomberg'!L1058="","",'Port Bloomberg'!L1058)</f>
        <v/>
      </c>
      <c r="M1058" s="7" t="str">
        <f>IF('Port Bloomberg'!M1058="","",'Port Bloomberg'!M1058)</f>
        <v/>
      </c>
      <c r="N1058" s="7" t="str">
        <f>IF('Port Bloomberg'!N1058="","",'Port Bloomberg'!N1058)</f>
        <v/>
      </c>
      <c r="O1058" s="7" t="str">
        <f>IF('Port Bloomberg'!O1058="","",'Port Bloomberg'!O1058)</f>
        <v/>
      </c>
      <c r="P1058" s="7" t="str">
        <f>IF('Port Bloomberg'!P1058="","",'Port Bloomberg'!P1058)</f>
        <v/>
      </c>
      <c r="Q1058" s="7" t="str">
        <f>IF('Port Bloomberg'!Q1058="","",'Port Bloomberg'!Q1058)</f>
        <v/>
      </c>
      <c r="R1058" s="7" t="str">
        <f>IF('Port Bloomberg'!R1058="","",'Port Bloomberg'!R1058)</f>
        <v/>
      </c>
      <c r="S1058" s="5" t="str">
        <f>IF(E1058="","",IFERROR(IF(MATCH(E1058,[1]Instrumentos!$D:$D,0)&gt;0,1,0),0))</f>
        <v/>
      </c>
      <c r="T1058" s="5" t="str">
        <f>IF(E1058="","",IFERROR(IF(MATCH(E1058,'Lista de excepciones'!$E:$E,0)&gt;0,1,0),0))</f>
        <v/>
      </c>
      <c r="U1058" s="6" t="str">
        <f t="shared" si="17"/>
        <v/>
      </c>
    </row>
    <row r="1059" spans="1:21" hidden="1" x14ac:dyDescent="0.25">
      <c r="A1059" s="7" t="str">
        <f>IF('Port Bloomberg'!A1059="","",'Port Bloomberg'!A1059)</f>
        <v/>
      </c>
      <c r="B1059" s="7" t="str">
        <f>IF('Port Bloomberg'!B1059="","",'Port Bloomberg'!B1059)</f>
        <v/>
      </c>
      <c r="C1059" s="7" t="str">
        <f>IF('Port Bloomberg'!C1059="","",'Port Bloomberg'!C1059)</f>
        <v/>
      </c>
      <c r="D1059" s="7" t="str">
        <f>IF('Port Bloomberg'!D1059="","",'Port Bloomberg'!D1059)</f>
        <v/>
      </c>
      <c r="E1059" s="7" t="str">
        <f>IF('Port Bloomberg'!E1059="","",'Port Bloomberg'!E1059)</f>
        <v/>
      </c>
      <c r="F1059" s="7" t="str">
        <f>IF('Port Bloomberg'!F1059="","",'Port Bloomberg'!F1059)</f>
        <v/>
      </c>
      <c r="G1059" s="7" t="str">
        <f>IF('Port Bloomberg'!G1059="","",'Port Bloomberg'!G1059)</f>
        <v/>
      </c>
      <c r="H1059" s="7" t="str">
        <f>IF('Port Bloomberg'!H1059="","",'Port Bloomberg'!H1059)</f>
        <v/>
      </c>
      <c r="I1059" s="7" t="str">
        <f>IF('Port Bloomberg'!I1059="","",'Port Bloomberg'!I1059)</f>
        <v/>
      </c>
      <c r="J1059" s="7" t="str">
        <f>IF('Port Bloomberg'!J1059="","",'Port Bloomberg'!J1059)</f>
        <v/>
      </c>
      <c r="K1059" s="7" t="str">
        <f>IF('Port Bloomberg'!K1059="","",'Port Bloomberg'!K1059)</f>
        <v/>
      </c>
      <c r="L1059" s="7" t="str">
        <f>IF('Port Bloomberg'!L1059="","",'Port Bloomberg'!L1059)</f>
        <v/>
      </c>
      <c r="M1059" s="7" t="str">
        <f>IF('Port Bloomberg'!M1059="","",'Port Bloomberg'!M1059)</f>
        <v/>
      </c>
      <c r="N1059" s="7" t="str">
        <f>IF('Port Bloomberg'!N1059="","",'Port Bloomberg'!N1059)</f>
        <v/>
      </c>
      <c r="O1059" s="7" t="str">
        <f>IF('Port Bloomberg'!O1059="","",'Port Bloomberg'!O1059)</f>
        <v/>
      </c>
      <c r="P1059" s="7" t="str">
        <f>IF('Port Bloomberg'!P1059="","",'Port Bloomberg'!P1059)</f>
        <v/>
      </c>
      <c r="Q1059" s="7" t="str">
        <f>IF('Port Bloomberg'!Q1059="","",'Port Bloomberg'!Q1059)</f>
        <v/>
      </c>
      <c r="R1059" s="7" t="str">
        <f>IF('Port Bloomberg'!R1059="","",'Port Bloomberg'!R1059)</f>
        <v/>
      </c>
      <c r="S1059" s="5" t="str">
        <f>IF(E1059="","",IFERROR(IF(MATCH(E1059,[1]Instrumentos!$D:$D,0)&gt;0,1,0),0))</f>
        <v/>
      </c>
      <c r="T1059" s="5" t="str">
        <f>IF(E1059="","",IFERROR(IF(MATCH(E1059,'Lista de excepciones'!$E:$E,0)&gt;0,1,0),0))</f>
        <v/>
      </c>
      <c r="U1059" s="6" t="str">
        <f t="shared" si="17"/>
        <v/>
      </c>
    </row>
    <row r="1060" spans="1:21" hidden="1" x14ac:dyDescent="0.25">
      <c r="A1060" s="7" t="str">
        <f>IF('Port Bloomberg'!A1060="","",'Port Bloomberg'!A1060)</f>
        <v/>
      </c>
      <c r="B1060" s="7" t="str">
        <f>IF('Port Bloomberg'!B1060="","",'Port Bloomberg'!B1060)</f>
        <v/>
      </c>
      <c r="C1060" s="7" t="str">
        <f>IF('Port Bloomberg'!C1060="","",'Port Bloomberg'!C1060)</f>
        <v/>
      </c>
      <c r="D1060" s="7" t="str">
        <f>IF('Port Bloomberg'!D1060="","",'Port Bloomberg'!D1060)</f>
        <v/>
      </c>
      <c r="E1060" s="7" t="str">
        <f>IF('Port Bloomberg'!E1060="","",'Port Bloomberg'!E1060)</f>
        <v/>
      </c>
      <c r="F1060" s="7" t="str">
        <f>IF('Port Bloomberg'!F1060="","",'Port Bloomberg'!F1060)</f>
        <v/>
      </c>
      <c r="G1060" s="7" t="str">
        <f>IF('Port Bloomberg'!G1060="","",'Port Bloomberg'!G1060)</f>
        <v/>
      </c>
      <c r="H1060" s="7" t="str">
        <f>IF('Port Bloomberg'!H1060="","",'Port Bloomberg'!H1060)</f>
        <v/>
      </c>
      <c r="I1060" s="7" t="str">
        <f>IF('Port Bloomberg'!I1060="","",'Port Bloomberg'!I1060)</f>
        <v/>
      </c>
      <c r="J1060" s="7" t="str">
        <f>IF('Port Bloomberg'!J1060="","",'Port Bloomberg'!J1060)</f>
        <v/>
      </c>
      <c r="K1060" s="7" t="str">
        <f>IF('Port Bloomberg'!K1060="","",'Port Bloomberg'!K1060)</f>
        <v/>
      </c>
      <c r="L1060" s="7" t="str">
        <f>IF('Port Bloomberg'!L1060="","",'Port Bloomberg'!L1060)</f>
        <v/>
      </c>
      <c r="M1060" s="7" t="str">
        <f>IF('Port Bloomberg'!M1060="","",'Port Bloomberg'!M1060)</f>
        <v/>
      </c>
      <c r="N1060" s="7" t="str">
        <f>IF('Port Bloomberg'!N1060="","",'Port Bloomberg'!N1060)</f>
        <v/>
      </c>
      <c r="O1060" s="7" t="str">
        <f>IF('Port Bloomberg'!O1060="","",'Port Bloomberg'!O1060)</f>
        <v/>
      </c>
      <c r="P1060" s="7" t="str">
        <f>IF('Port Bloomberg'!P1060="","",'Port Bloomberg'!P1060)</f>
        <v/>
      </c>
      <c r="Q1060" s="7" t="str">
        <f>IF('Port Bloomberg'!Q1060="","",'Port Bloomberg'!Q1060)</f>
        <v/>
      </c>
      <c r="R1060" s="7" t="str">
        <f>IF('Port Bloomberg'!R1060="","",'Port Bloomberg'!R1060)</f>
        <v/>
      </c>
      <c r="S1060" s="5" t="str">
        <f>IF(E1060="","",IFERROR(IF(MATCH(E1060,[1]Instrumentos!$D:$D,0)&gt;0,1,0),0))</f>
        <v/>
      </c>
      <c r="T1060" s="5" t="str">
        <f>IF(E1060="","",IFERROR(IF(MATCH(E1060,'Lista de excepciones'!$E:$E,0)&gt;0,1,0),0))</f>
        <v/>
      </c>
      <c r="U1060" s="6" t="str">
        <f t="shared" si="17"/>
        <v/>
      </c>
    </row>
    <row r="1061" spans="1:21" hidden="1" x14ac:dyDescent="0.25">
      <c r="A1061" s="7" t="str">
        <f>IF('Port Bloomberg'!A1061="","",'Port Bloomberg'!A1061)</f>
        <v/>
      </c>
      <c r="B1061" s="7" t="str">
        <f>IF('Port Bloomberg'!B1061="","",'Port Bloomberg'!B1061)</f>
        <v/>
      </c>
      <c r="C1061" s="7" t="str">
        <f>IF('Port Bloomberg'!C1061="","",'Port Bloomberg'!C1061)</f>
        <v/>
      </c>
      <c r="D1061" s="7" t="str">
        <f>IF('Port Bloomberg'!D1061="","",'Port Bloomberg'!D1061)</f>
        <v/>
      </c>
      <c r="E1061" s="7" t="str">
        <f>IF('Port Bloomberg'!E1061="","",'Port Bloomberg'!E1061)</f>
        <v/>
      </c>
      <c r="F1061" s="7" t="str">
        <f>IF('Port Bloomberg'!F1061="","",'Port Bloomberg'!F1061)</f>
        <v/>
      </c>
      <c r="G1061" s="7" t="str">
        <f>IF('Port Bloomberg'!G1061="","",'Port Bloomberg'!G1061)</f>
        <v/>
      </c>
      <c r="H1061" s="7" t="str">
        <f>IF('Port Bloomberg'!H1061="","",'Port Bloomberg'!H1061)</f>
        <v/>
      </c>
      <c r="I1061" s="7" t="str">
        <f>IF('Port Bloomberg'!I1061="","",'Port Bloomberg'!I1061)</f>
        <v/>
      </c>
      <c r="J1061" s="7" t="str">
        <f>IF('Port Bloomberg'!J1061="","",'Port Bloomberg'!J1061)</f>
        <v/>
      </c>
      <c r="K1061" s="7" t="str">
        <f>IF('Port Bloomberg'!K1061="","",'Port Bloomberg'!K1061)</f>
        <v/>
      </c>
      <c r="L1061" s="7" t="str">
        <f>IF('Port Bloomberg'!L1061="","",'Port Bloomberg'!L1061)</f>
        <v/>
      </c>
      <c r="M1061" s="7" t="str">
        <f>IF('Port Bloomberg'!M1061="","",'Port Bloomberg'!M1061)</f>
        <v/>
      </c>
      <c r="N1061" s="7" t="str">
        <f>IF('Port Bloomberg'!N1061="","",'Port Bloomberg'!N1061)</f>
        <v/>
      </c>
      <c r="O1061" s="7" t="str">
        <f>IF('Port Bloomberg'!O1061="","",'Port Bloomberg'!O1061)</f>
        <v/>
      </c>
      <c r="P1061" s="7" t="str">
        <f>IF('Port Bloomberg'!P1061="","",'Port Bloomberg'!P1061)</f>
        <v/>
      </c>
      <c r="Q1061" s="7" t="str">
        <f>IF('Port Bloomberg'!Q1061="","",'Port Bloomberg'!Q1061)</f>
        <v/>
      </c>
      <c r="R1061" s="7" t="str">
        <f>IF('Port Bloomberg'!R1061="","",'Port Bloomberg'!R1061)</f>
        <v/>
      </c>
      <c r="S1061" s="5" t="str">
        <f>IF(E1061="","",IFERROR(IF(MATCH(E1061,[1]Instrumentos!$D:$D,0)&gt;0,1,0),0))</f>
        <v/>
      </c>
      <c r="T1061" s="5" t="str">
        <f>IF(E1061="","",IFERROR(IF(MATCH(E1061,'Lista de excepciones'!$E:$E,0)&gt;0,1,0),0))</f>
        <v/>
      </c>
      <c r="U1061" s="6" t="str">
        <f t="shared" si="17"/>
        <v/>
      </c>
    </row>
    <row r="1062" spans="1:21" hidden="1" x14ac:dyDescent="0.25">
      <c r="A1062" s="7" t="str">
        <f>IF('Port Bloomberg'!A1062="","",'Port Bloomberg'!A1062)</f>
        <v/>
      </c>
      <c r="B1062" s="7" t="str">
        <f>IF('Port Bloomberg'!B1062="","",'Port Bloomberg'!B1062)</f>
        <v/>
      </c>
      <c r="C1062" s="7" t="str">
        <f>IF('Port Bloomberg'!C1062="","",'Port Bloomberg'!C1062)</f>
        <v/>
      </c>
      <c r="D1062" s="7" t="str">
        <f>IF('Port Bloomberg'!D1062="","",'Port Bloomberg'!D1062)</f>
        <v/>
      </c>
      <c r="E1062" s="7" t="str">
        <f>IF('Port Bloomberg'!E1062="","",'Port Bloomberg'!E1062)</f>
        <v/>
      </c>
      <c r="F1062" s="7" t="str">
        <f>IF('Port Bloomberg'!F1062="","",'Port Bloomberg'!F1062)</f>
        <v/>
      </c>
      <c r="G1062" s="7" t="str">
        <f>IF('Port Bloomberg'!G1062="","",'Port Bloomberg'!G1062)</f>
        <v/>
      </c>
      <c r="H1062" s="7" t="str">
        <f>IF('Port Bloomberg'!H1062="","",'Port Bloomberg'!H1062)</f>
        <v/>
      </c>
      <c r="I1062" s="7" t="str">
        <f>IF('Port Bloomberg'!I1062="","",'Port Bloomberg'!I1062)</f>
        <v/>
      </c>
      <c r="J1062" s="7" t="str">
        <f>IF('Port Bloomberg'!J1062="","",'Port Bloomberg'!J1062)</f>
        <v/>
      </c>
      <c r="K1062" s="7" t="str">
        <f>IF('Port Bloomberg'!K1062="","",'Port Bloomberg'!K1062)</f>
        <v/>
      </c>
      <c r="L1062" s="7" t="str">
        <f>IF('Port Bloomberg'!L1062="","",'Port Bloomberg'!L1062)</f>
        <v/>
      </c>
      <c r="M1062" s="7" t="str">
        <f>IF('Port Bloomberg'!M1062="","",'Port Bloomberg'!M1062)</f>
        <v/>
      </c>
      <c r="N1062" s="7" t="str">
        <f>IF('Port Bloomberg'!N1062="","",'Port Bloomberg'!N1062)</f>
        <v/>
      </c>
      <c r="O1062" s="7" t="str">
        <f>IF('Port Bloomberg'!O1062="","",'Port Bloomberg'!O1062)</f>
        <v/>
      </c>
      <c r="P1062" s="7" t="str">
        <f>IF('Port Bloomberg'!P1062="","",'Port Bloomberg'!P1062)</f>
        <v/>
      </c>
      <c r="Q1062" s="7" t="str">
        <f>IF('Port Bloomberg'!Q1062="","",'Port Bloomberg'!Q1062)</f>
        <v/>
      </c>
      <c r="R1062" s="7" t="str">
        <f>IF('Port Bloomberg'!R1062="","",'Port Bloomberg'!R1062)</f>
        <v/>
      </c>
      <c r="S1062" s="5" t="str">
        <f>IF(E1062="","",IFERROR(IF(MATCH(E1062,[1]Instrumentos!$D:$D,0)&gt;0,1,0),0))</f>
        <v/>
      </c>
      <c r="T1062" s="5" t="str">
        <f>IF(E1062="","",IFERROR(IF(MATCH(E1062,'Lista de excepciones'!$E:$E,0)&gt;0,1,0),0))</f>
        <v/>
      </c>
      <c r="U1062" s="6" t="str">
        <f t="shared" si="17"/>
        <v/>
      </c>
    </row>
    <row r="1063" spans="1:21" hidden="1" x14ac:dyDescent="0.25">
      <c r="A1063" s="7" t="str">
        <f>IF('Port Bloomberg'!A1063="","",'Port Bloomberg'!A1063)</f>
        <v/>
      </c>
      <c r="B1063" s="7" t="str">
        <f>IF('Port Bloomberg'!B1063="","",'Port Bloomberg'!B1063)</f>
        <v/>
      </c>
      <c r="C1063" s="7" t="str">
        <f>IF('Port Bloomberg'!C1063="","",'Port Bloomberg'!C1063)</f>
        <v/>
      </c>
      <c r="D1063" s="7" t="str">
        <f>IF('Port Bloomberg'!D1063="","",'Port Bloomberg'!D1063)</f>
        <v/>
      </c>
      <c r="E1063" s="7" t="str">
        <f>IF('Port Bloomberg'!E1063="","",'Port Bloomberg'!E1063)</f>
        <v/>
      </c>
      <c r="F1063" s="7" t="str">
        <f>IF('Port Bloomberg'!F1063="","",'Port Bloomberg'!F1063)</f>
        <v/>
      </c>
      <c r="G1063" s="7" t="str">
        <f>IF('Port Bloomberg'!G1063="","",'Port Bloomberg'!G1063)</f>
        <v/>
      </c>
      <c r="H1063" s="7" t="str">
        <f>IF('Port Bloomberg'!H1063="","",'Port Bloomberg'!H1063)</f>
        <v/>
      </c>
      <c r="I1063" s="7" t="str">
        <f>IF('Port Bloomberg'!I1063="","",'Port Bloomberg'!I1063)</f>
        <v/>
      </c>
      <c r="J1063" s="7" t="str">
        <f>IF('Port Bloomberg'!J1063="","",'Port Bloomberg'!J1063)</f>
        <v/>
      </c>
      <c r="K1063" s="7" t="str">
        <f>IF('Port Bloomberg'!K1063="","",'Port Bloomberg'!K1063)</f>
        <v/>
      </c>
      <c r="L1063" s="7" t="str">
        <f>IF('Port Bloomberg'!L1063="","",'Port Bloomberg'!L1063)</f>
        <v/>
      </c>
      <c r="M1063" s="7" t="str">
        <f>IF('Port Bloomberg'!M1063="","",'Port Bloomberg'!M1063)</f>
        <v/>
      </c>
      <c r="N1063" s="7" t="str">
        <f>IF('Port Bloomberg'!N1063="","",'Port Bloomberg'!N1063)</f>
        <v/>
      </c>
      <c r="O1063" s="7" t="str">
        <f>IF('Port Bloomberg'!O1063="","",'Port Bloomberg'!O1063)</f>
        <v/>
      </c>
      <c r="P1063" s="7" t="str">
        <f>IF('Port Bloomberg'!P1063="","",'Port Bloomberg'!P1063)</f>
        <v/>
      </c>
      <c r="Q1063" s="7" t="str">
        <f>IF('Port Bloomberg'!Q1063="","",'Port Bloomberg'!Q1063)</f>
        <v/>
      </c>
      <c r="R1063" s="7" t="str">
        <f>IF('Port Bloomberg'!R1063="","",'Port Bloomberg'!R1063)</f>
        <v/>
      </c>
      <c r="S1063" s="5" t="str">
        <f>IF(E1063="","",IFERROR(IF(MATCH(E1063,[1]Instrumentos!$D:$D,0)&gt;0,1,0),0))</f>
        <v/>
      </c>
      <c r="T1063" s="5" t="str">
        <f>IF(E1063="","",IFERROR(IF(MATCH(E1063,'Lista de excepciones'!$E:$E,0)&gt;0,1,0),0))</f>
        <v/>
      </c>
      <c r="U1063" s="6" t="str">
        <f t="shared" si="17"/>
        <v/>
      </c>
    </row>
    <row r="1064" spans="1:21" hidden="1" x14ac:dyDescent="0.25">
      <c r="A1064" s="7" t="str">
        <f>IF('Port Bloomberg'!A1064="","",'Port Bloomberg'!A1064)</f>
        <v/>
      </c>
      <c r="B1064" s="7" t="str">
        <f>IF('Port Bloomberg'!B1064="","",'Port Bloomberg'!B1064)</f>
        <v/>
      </c>
      <c r="C1064" s="7" t="str">
        <f>IF('Port Bloomberg'!C1064="","",'Port Bloomberg'!C1064)</f>
        <v/>
      </c>
      <c r="D1064" s="7" t="str">
        <f>IF('Port Bloomberg'!D1064="","",'Port Bloomberg'!D1064)</f>
        <v/>
      </c>
      <c r="E1064" s="7" t="str">
        <f>IF('Port Bloomberg'!E1064="","",'Port Bloomberg'!E1064)</f>
        <v/>
      </c>
      <c r="F1064" s="7" t="str">
        <f>IF('Port Bloomberg'!F1064="","",'Port Bloomberg'!F1064)</f>
        <v/>
      </c>
      <c r="G1064" s="7" t="str">
        <f>IF('Port Bloomberg'!G1064="","",'Port Bloomberg'!G1064)</f>
        <v/>
      </c>
      <c r="H1064" s="7" t="str">
        <f>IF('Port Bloomberg'!H1064="","",'Port Bloomberg'!H1064)</f>
        <v/>
      </c>
      <c r="I1064" s="7" t="str">
        <f>IF('Port Bloomberg'!I1064="","",'Port Bloomberg'!I1064)</f>
        <v/>
      </c>
      <c r="J1064" s="7" t="str">
        <f>IF('Port Bloomberg'!J1064="","",'Port Bloomberg'!J1064)</f>
        <v/>
      </c>
      <c r="K1064" s="7" t="str">
        <f>IF('Port Bloomberg'!K1064="","",'Port Bloomberg'!K1064)</f>
        <v/>
      </c>
      <c r="L1064" s="7" t="str">
        <f>IF('Port Bloomberg'!L1064="","",'Port Bloomberg'!L1064)</f>
        <v/>
      </c>
      <c r="M1064" s="7" t="str">
        <f>IF('Port Bloomberg'!M1064="","",'Port Bloomberg'!M1064)</f>
        <v/>
      </c>
      <c r="N1064" s="7" t="str">
        <f>IF('Port Bloomberg'!N1064="","",'Port Bloomberg'!N1064)</f>
        <v/>
      </c>
      <c r="O1064" s="7" t="str">
        <f>IF('Port Bloomberg'!O1064="","",'Port Bloomberg'!O1064)</f>
        <v/>
      </c>
      <c r="P1064" s="7" t="str">
        <f>IF('Port Bloomberg'!P1064="","",'Port Bloomberg'!P1064)</f>
        <v/>
      </c>
      <c r="Q1064" s="7" t="str">
        <f>IF('Port Bloomberg'!Q1064="","",'Port Bloomberg'!Q1064)</f>
        <v/>
      </c>
      <c r="R1064" s="7" t="str">
        <f>IF('Port Bloomberg'!R1064="","",'Port Bloomberg'!R1064)</f>
        <v/>
      </c>
      <c r="S1064" s="5" t="str">
        <f>IF(E1064="","",IFERROR(IF(MATCH(E1064,[1]Instrumentos!$D:$D,0)&gt;0,1,0),0))</f>
        <v/>
      </c>
      <c r="T1064" s="5" t="str">
        <f>IF(E1064="","",IFERROR(IF(MATCH(E1064,'Lista de excepciones'!$E:$E,0)&gt;0,1,0),0))</f>
        <v/>
      </c>
      <c r="U1064" s="6" t="str">
        <f t="shared" si="17"/>
        <v/>
      </c>
    </row>
    <row r="1065" spans="1:21" hidden="1" x14ac:dyDescent="0.25">
      <c r="A1065" s="7" t="str">
        <f>IF('Port Bloomberg'!A1065="","",'Port Bloomberg'!A1065)</f>
        <v/>
      </c>
      <c r="B1065" s="7" t="str">
        <f>IF('Port Bloomberg'!B1065="","",'Port Bloomberg'!B1065)</f>
        <v/>
      </c>
      <c r="C1065" s="7" t="str">
        <f>IF('Port Bloomberg'!C1065="","",'Port Bloomberg'!C1065)</f>
        <v/>
      </c>
      <c r="D1065" s="7" t="str">
        <f>IF('Port Bloomberg'!D1065="","",'Port Bloomberg'!D1065)</f>
        <v/>
      </c>
      <c r="E1065" s="7" t="str">
        <f>IF('Port Bloomberg'!E1065="","",'Port Bloomberg'!E1065)</f>
        <v/>
      </c>
      <c r="F1065" s="7" t="str">
        <f>IF('Port Bloomberg'!F1065="","",'Port Bloomberg'!F1065)</f>
        <v/>
      </c>
      <c r="G1065" s="7" t="str">
        <f>IF('Port Bloomberg'!G1065="","",'Port Bloomberg'!G1065)</f>
        <v/>
      </c>
      <c r="H1065" s="7" t="str">
        <f>IF('Port Bloomberg'!H1065="","",'Port Bloomberg'!H1065)</f>
        <v/>
      </c>
      <c r="I1065" s="7" t="str">
        <f>IF('Port Bloomberg'!I1065="","",'Port Bloomberg'!I1065)</f>
        <v/>
      </c>
      <c r="J1065" s="7" t="str">
        <f>IF('Port Bloomberg'!J1065="","",'Port Bloomberg'!J1065)</f>
        <v/>
      </c>
      <c r="K1065" s="7" t="str">
        <f>IF('Port Bloomberg'!K1065="","",'Port Bloomberg'!K1065)</f>
        <v/>
      </c>
      <c r="L1065" s="7" t="str">
        <f>IF('Port Bloomberg'!L1065="","",'Port Bloomberg'!L1065)</f>
        <v/>
      </c>
      <c r="M1065" s="7" t="str">
        <f>IF('Port Bloomberg'!M1065="","",'Port Bloomberg'!M1065)</f>
        <v/>
      </c>
      <c r="N1065" s="7" t="str">
        <f>IF('Port Bloomberg'!N1065="","",'Port Bloomberg'!N1065)</f>
        <v/>
      </c>
      <c r="O1065" s="7" t="str">
        <f>IF('Port Bloomberg'!O1065="","",'Port Bloomberg'!O1065)</f>
        <v/>
      </c>
      <c r="P1065" s="7" t="str">
        <f>IF('Port Bloomberg'!P1065="","",'Port Bloomberg'!P1065)</f>
        <v/>
      </c>
      <c r="Q1065" s="7" t="str">
        <f>IF('Port Bloomberg'!Q1065="","",'Port Bloomberg'!Q1065)</f>
        <v/>
      </c>
      <c r="R1065" s="7" t="str">
        <f>IF('Port Bloomberg'!R1065="","",'Port Bloomberg'!R1065)</f>
        <v/>
      </c>
      <c r="S1065" s="5" t="str">
        <f>IF(E1065="","",IFERROR(IF(MATCH(E1065,[1]Instrumentos!$D:$D,0)&gt;0,1,0),0))</f>
        <v/>
      </c>
      <c r="T1065" s="5" t="str">
        <f>IF(E1065="","",IFERROR(IF(MATCH(E1065,'Lista de excepciones'!$E:$E,0)&gt;0,1,0),0))</f>
        <v/>
      </c>
      <c r="U1065" s="6" t="str">
        <f t="shared" si="17"/>
        <v/>
      </c>
    </row>
    <row r="1066" spans="1:21" hidden="1" x14ac:dyDescent="0.25">
      <c r="A1066" s="7" t="str">
        <f>IF('Port Bloomberg'!A1066="","",'Port Bloomberg'!A1066)</f>
        <v/>
      </c>
      <c r="B1066" s="7" t="str">
        <f>IF('Port Bloomberg'!B1066="","",'Port Bloomberg'!B1066)</f>
        <v/>
      </c>
      <c r="C1066" s="7" t="str">
        <f>IF('Port Bloomberg'!C1066="","",'Port Bloomberg'!C1066)</f>
        <v/>
      </c>
      <c r="D1066" s="7" t="str">
        <f>IF('Port Bloomberg'!D1066="","",'Port Bloomberg'!D1066)</f>
        <v/>
      </c>
      <c r="E1066" s="7" t="str">
        <f>IF('Port Bloomberg'!E1066="","",'Port Bloomberg'!E1066)</f>
        <v/>
      </c>
      <c r="F1066" s="7" t="str">
        <f>IF('Port Bloomberg'!F1066="","",'Port Bloomberg'!F1066)</f>
        <v/>
      </c>
      <c r="G1066" s="7" t="str">
        <f>IF('Port Bloomberg'!G1066="","",'Port Bloomberg'!G1066)</f>
        <v/>
      </c>
      <c r="H1066" s="7" t="str">
        <f>IF('Port Bloomberg'!H1066="","",'Port Bloomberg'!H1066)</f>
        <v/>
      </c>
      <c r="I1066" s="7" t="str">
        <f>IF('Port Bloomberg'!I1066="","",'Port Bloomberg'!I1066)</f>
        <v/>
      </c>
      <c r="J1066" s="7" t="str">
        <f>IF('Port Bloomberg'!J1066="","",'Port Bloomberg'!J1066)</f>
        <v/>
      </c>
      <c r="K1066" s="7" t="str">
        <f>IF('Port Bloomberg'!K1066="","",'Port Bloomberg'!K1066)</f>
        <v/>
      </c>
      <c r="L1066" s="7" t="str">
        <f>IF('Port Bloomberg'!L1066="","",'Port Bloomberg'!L1066)</f>
        <v/>
      </c>
      <c r="M1066" s="7" t="str">
        <f>IF('Port Bloomberg'!M1066="","",'Port Bloomberg'!M1066)</f>
        <v/>
      </c>
      <c r="N1066" s="7" t="str">
        <f>IF('Port Bloomberg'!N1066="","",'Port Bloomberg'!N1066)</f>
        <v/>
      </c>
      <c r="O1066" s="7" t="str">
        <f>IF('Port Bloomberg'!O1066="","",'Port Bloomberg'!O1066)</f>
        <v/>
      </c>
      <c r="P1066" s="7" t="str">
        <f>IF('Port Bloomberg'!P1066="","",'Port Bloomberg'!P1066)</f>
        <v/>
      </c>
      <c r="Q1066" s="7" t="str">
        <f>IF('Port Bloomberg'!Q1066="","",'Port Bloomberg'!Q1066)</f>
        <v/>
      </c>
      <c r="R1066" s="7" t="str">
        <f>IF('Port Bloomberg'!R1066="","",'Port Bloomberg'!R1066)</f>
        <v/>
      </c>
      <c r="S1066" s="5" t="str">
        <f>IF(E1066="","",IFERROR(IF(MATCH(E1066,[1]Instrumentos!$D:$D,0)&gt;0,1,0),0))</f>
        <v/>
      </c>
      <c r="T1066" s="5" t="str">
        <f>IF(E1066="","",IFERROR(IF(MATCH(E1066,'Lista de excepciones'!$E:$E,0)&gt;0,1,0),0))</f>
        <v/>
      </c>
      <c r="U1066" s="6" t="str">
        <f t="shared" si="17"/>
        <v/>
      </c>
    </row>
    <row r="1067" spans="1:21" hidden="1" x14ac:dyDescent="0.25">
      <c r="A1067" s="7" t="str">
        <f>IF('Port Bloomberg'!A1067="","",'Port Bloomberg'!A1067)</f>
        <v/>
      </c>
      <c r="B1067" s="7" t="str">
        <f>IF('Port Bloomberg'!B1067="","",'Port Bloomberg'!B1067)</f>
        <v/>
      </c>
      <c r="C1067" s="7" t="str">
        <f>IF('Port Bloomberg'!C1067="","",'Port Bloomberg'!C1067)</f>
        <v/>
      </c>
      <c r="D1067" s="7" t="str">
        <f>IF('Port Bloomberg'!D1067="","",'Port Bloomberg'!D1067)</f>
        <v/>
      </c>
      <c r="E1067" s="7" t="str">
        <f>IF('Port Bloomberg'!E1067="","",'Port Bloomberg'!E1067)</f>
        <v/>
      </c>
      <c r="F1067" s="7" t="str">
        <f>IF('Port Bloomberg'!F1067="","",'Port Bloomberg'!F1067)</f>
        <v/>
      </c>
      <c r="G1067" s="7" t="str">
        <f>IF('Port Bloomberg'!G1067="","",'Port Bloomberg'!G1067)</f>
        <v/>
      </c>
      <c r="H1067" s="7" t="str">
        <f>IF('Port Bloomberg'!H1067="","",'Port Bloomberg'!H1067)</f>
        <v/>
      </c>
      <c r="I1067" s="7" t="str">
        <f>IF('Port Bloomberg'!I1067="","",'Port Bloomberg'!I1067)</f>
        <v/>
      </c>
      <c r="J1067" s="7" t="str">
        <f>IF('Port Bloomberg'!J1067="","",'Port Bloomberg'!J1067)</f>
        <v/>
      </c>
      <c r="K1067" s="7" t="str">
        <f>IF('Port Bloomberg'!K1067="","",'Port Bloomberg'!K1067)</f>
        <v/>
      </c>
      <c r="L1067" s="7" t="str">
        <f>IF('Port Bloomberg'!L1067="","",'Port Bloomberg'!L1067)</f>
        <v/>
      </c>
      <c r="M1067" s="7" t="str">
        <f>IF('Port Bloomberg'!M1067="","",'Port Bloomberg'!M1067)</f>
        <v/>
      </c>
      <c r="N1067" s="7" t="str">
        <f>IF('Port Bloomberg'!N1067="","",'Port Bloomberg'!N1067)</f>
        <v/>
      </c>
      <c r="O1067" s="7" t="str">
        <f>IF('Port Bloomberg'!O1067="","",'Port Bloomberg'!O1067)</f>
        <v/>
      </c>
      <c r="P1067" s="7" t="str">
        <f>IF('Port Bloomberg'!P1067="","",'Port Bloomberg'!P1067)</f>
        <v/>
      </c>
      <c r="Q1067" s="7" t="str">
        <f>IF('Port Bloomberg'!Q1067="","",'Port Bloomberg'!Q1067)</f>
        <v/>
      </c>
      <c r="R1067" s="7" t="str">
        <f>IF('Port Bloomberg'!R1067="","",'Port Bloomberg'!R1067)</f>
        <v/>
      </c>
      <c r="S1067" s="5" t="str">
        <f>IF(E1067="","",IFERROR(IF(MATCH(E1067,[1]Instrumentos!$D:$D,0)&gt;0,1,0),0))</f>
        <v/>
      </c>
      <c r="T1067" s="5" t="str">
        <f>IF(E1067="","",IFERROR(IF(MATCH(E1067,'Lista de excepciones'!$E:$E,0)&gt;0,1,0),0))</f>
        <v/>
      </c>
      <c r="U1067" s="6" t="str">
        <f t="shared" si="17"/>
        <v/>
      </c>
    </row>
    <row r="1068" spans="1:21" hidden="1" x14ac:dyDescent="0.25">
      <c r="A1068" s="7" t="str">
        <f>IF('Port Bloomberg'!A1068="","",'Port Bloomberg'!A1068)</f>
        <v/>
      </c>
      <c r="B1068" s="7" t="str">
        <f>IF('Port Bloomberg'!B1068="","",'Port Bloomberg'!B1068)</f>
        <v/>
      </c>
      <c r="C1068" s="7" t="str">
        <f>IF('Port Bloomberg'!C1068="","",'Port Bloomberg'!C1068)</f>
        <v/>
      </c>
      <c r="D1068" s="7" t="str">
        <f>IF('Port Bloomberg'!D1068="","",'Port Bloomberg'!D1068)</f>
        <v/>
      </c>
      <c r="E1068" s="7" t="str">
        <f>IF('Port Bloomberg'!E1068="","",'Port Bloomberg'!E1068)</f>
        <v/>
      </c>
      <c r="F1068" s="7" t="str">
        <f>IF('Port Bloomberg'!F1068="","",'Port Bloomberg'!F1068)</f>
        <v/>
      </c>
      <c r="G1068" s="7" t="str">
        <f>IF('Port Bloomberg'!G1068="","",'Port Bloomberg'!G1068)</f>
        <v/>
      </c>
      <c r="H1068" s="7" t="str">
        <f>IF('Port Bloomberg'!H1068="","",'Port Bloomberg'!H1068)</f>
        <v/>
      </c>
      <c r="I1068" s="7" t="str">
        <f>IF('Port Bloomberg'!I1068="","",'Port Bloomberg'!I1068)</f>
        <v/>
      </c>
      <c r="J1068" s="7" t="str">
        <f>IF('Port Bloomberg'!J1068="","",'Port Bloomberg'!J1068)</f>
        <v/>
      </c>
      <c r="K1068" s="7" t="str">
        <f>IF('Port Bloomberg'!K1068="","",'Port Bloomberg'!K1068)</f>
        <v/>
      </c>
      <c r="L1068" s="7" t="str">
        <f>IF('Port Bloomberg'!L1068="","",'Port Bloomberg'!L1068)</f>
        <v/>
      </c>
      <c r="M1068" s="7" t="str">
        <f>IF('Port Bloomberg'!M1068="","",'Port Bloomberg'!M1068)</f>
        <v/>
      </c>
      <c r="N1068" s="7" t="str">
        <f>IF('Port Bloomberg'!N1068="","",'Port Bloomberg'!N1068)</f>
        <v/>
      </c>
      <c r="O1068" s="7" t="str">
        <f>IF('Port Bloomberg'!O1068="","",'Port Bloomberg'!O1068)</f>
        <v/>
      </c>
      <c r="P1068" s="7" t="str">
        <f>IF('Port Bloomberg'!P1068="","",'Port Bloomberg'!P1068)</f>
        <v/>
      </c>
      <c r="Q1068" s="7" t="str">
        <f>IF('Port Bloomberg'!Q1068="","",'Port Bloomberg'!Q1068)</f>
        <v/>
      </c>
      <c r="R1068" s="7" t="str">
        <f>IF('Port Bloomberg'!R1068="","",'Port Bloomberg'!R1068)</f>
        <v/>
      </c>
      <c r="S1068" s="5" t="str">
        <f>IF(E1068="","",IFERROR(IF(MATCH(E1068,[1]Instrumentos!$D:$D,0)&gt;0,1,0),0))</f>
        <v/>
      </c>
      <c r="T1068" s="5" t="str">
        <f>IF(E1068="","",IFERROR(IF(MATCH(E1068,'Lista de excepciones'!$E:$E,0)&gt;0,1,0),0))</f>
        <v/>
      </c>
      <c r="U1068" s="6" t="str">
        <f t="shared" si="17"/>
        <v/>
      </c>
    </row>
    <row r="1069" spans="1:21" hidden="1" x14ac:dyDescent="0.25">
      <c r="A1069" s="7" t="str">
        <f>IF('Port Bloomberg'!A1069="","",'Port Bloomberg'!A1069)</f>
        <v/>
      </c>
      <c r="B1069" s="7" t="str">
        <f>IF('Port Bloomberg'!B1069="","",'Port Bloomberg'!B1069)</f>
        <v/>
      </c>
      <c r="C1069" s="7" t="str">
        <f>IF('Port Bloomberg'!C1069="","",'Port Bloomberg'!C1069)</f>
        <v/>
      </c>
      <c r="D1069" s="7" t="str">
        <f>IF('Port Bloomberg'!D1069="","",'Port Bloomberg'!D1069)</f>
        <v/>
      </c>
      <c r="E1069" s="7" t="str">
        <f>IF('Port Bloomberg'!E1069="","",'Port Bloomberg'!E1069)</f>
        <v/>
      </c>
      <c r="F1069" s="7" t="str">
        <f>IF('Port Bloomberg'!F1069="","",'Port Bloomberg'!F1069)</f>
        <v/>
      </c>
      <c r="G1069" s="7" t="str">
        <f>IF('Port Bloomberg'!G1069="","",'Port Bloomberg'!G1069)</f>
        <v/>
      </c>
      <c r="H1069" s="7" t="str">
        <f>IF('Port Bloomberg'!H1069="","",'Port Bloomberg'!H1069)</f>
        <v/>
      </c>
      <c r="I1069" s="7" t="str">
        <f>IF('Port Bloomberg'!I1069="","",'Port Bloomberg'!I1069)</f>
        <v/>
      </c>
      <c r="J1069" s="7" t="str">
        <f>IF('Port Bloomberg'!J1069="","",'Port Bloomberg'!J1069)</f>
        <v/>
      </c>
      <c r="K1069" s="7" t="str">
        <f>IF('Port Bloomberg'!K1069="","",'Port Bloomberg'!K1069)</f>
        <v/>
      </c>
      <c r="L1069" s="7" t="str">
        <f>IF('Port Bloomberg'!L1069="","",'Port Bloomberg'!L1069)</f>
        <v/>
      </c>
      <c r="M1069" s="7" t="str">
        <f>IF('Port Bloomberg'!M1069="","",'Port Bloomberg'!M1069)</f>
        <v/>
      </c>
      <c r="N1069" s="7" t="str">
        <f>IF('Port Bloomberg'!N1069="","",'Port Bloomberg'!N1069)</f>
        <v/>
      </c>
      <c r="O1069" s="7" t="str">
        <f>IF('Port Bloomberg'!O1069="","",'Port Bloomberg'!O1069)</f>
        <v/>
      </c>
      <c r="P1069" s="7" t="str">
        <f>IF('Port Bloomberg'!P1069="","",'Port Bloomberg'!P1069)</f>
        <v/>
      </c>
      <c r="Q1069" s="7" t="str">
        <f>IF('Port Bloomberg'!Q1069="","",'Port Bloomberg'!Q1069)</f>
        <v/>
      </c>
      <c r="R1069" s="7" t="str">
        <f>IF('Port Bloomberg'!R1069="","",'Port Bloomberg'!R1069)</f>
        <v/>
      </c>
      <c r="S1069" s="5" t="str">
        <f>IF(E1069="","",IFERROR(IF(MATCH(E1069,[1]Instrumentos!$D:$D,0)&gt;0,1,0),0))</f>
        <v/>
      </c>
      <c r="T1069" s="5" t="str">
        <f>IF(E1069="","",IFERROR(IF(MATCH(E1069,'Lista de excepciones'!$E:$E,0)&gt;0,1,0),0))</f>
        <v/>
      </c>
      <c r="U1069" s="6" t="str">
        <f t="shared" si="17"/>
        <v/>
      </c>
    </row>
    <row r="1070" spans="1:21" hidden="1" x14ac:dyDescent="0.25">
      <c r="A1070" s="7" t="str">
        <f>IF('Port Bloomberg'!A1070="","",'Port Bloomberg'!A1070)</f>
        <v/>
      </c>
      <c r="B1070" s="7" t="str">
        <f>IF('Port Bloomberg'!B1070="","",'Port Bloomberg'!B1070)</f>
        <v/>
      </c>
      <c r="C1070" s="7" t="str">
        <f>IF('Port Bloomberg'!C1070="","",'Port Bloomberg'!C1070)</f>
        <v/>
      </c>
      <c r="D1070" s="7" t="str">
        <f>IF('Port Bloomberg'!D1070="","",'Port Bloomberg'!D1070)</f>
        <v/>
      </c>
      <c r="E1070" s="7" t="str">
        <f>IF('Port Bloomberg'!E1070="","",'Port Bloomberg'!E1070)</f>
        <v/>
      </c>
      <c r="F1070" s="7" t="str">
        <f>IF('Port Bloomberg'!F1070="","",'Port Bloomberg'!F1070)</f>
        <v/>
      </c>
      <c r="G1070" s="7" t="str">
        <f>IF('Port Bloomberg'!G1070="","",'Port Bloomberg'!G1070)</f>
        <v/>
      </c>
      <c r="H1070" s="7" t="str">
        <f>IF('Port Bloomberg'!H1070="","",'Port Bloomberg'!H1070)</f>
        <v/>
      </c>
      <c r="I1070" s="7" t="str">
        <f>IF('Port Bloomberg'!I1070="","",'Port Bloomberg'!I1070)</f>
        <v/>
      </c>
      <c r="J1070" s="7" t="str">
        <f>IF('Port Bloomberg'!J1070="","",'Port Bloomberg'!J1070)</f>
        <v/>
      </c>
      <c r="K1070" s="7" t="str">
        <f>IF('Port Bloomberg'!K1070="","",'Port Bloomberg'!K1070)</f>
        <v/>
      </c>
      <c r="L1070" s="7" t="str">
        <f>IF('Port Bloomberg'!L1070="","",'Port Bloomberg'!L1070)</f>
        <v/>
      </c>
      <c r="M1070" s="7" t="str">
        <f>IF('Port Bloomberg'!M1070="","",'Port Bloomberg'!M1070)</f>
        <v/>
      </c>
      <c r="N1070" s="7" t="str">
        <f>IF('Port Bloomberg'!N1070="","",'Port Bloomberg'!N1070)</f>
        <v/>
      </c>
      <c r="O1070" s="7" t="str">
        <f>IF('Port Bloomberg'!O1070="","",'Port Bloomberg'!O1070)</f>
        <v/>
      </c>
      <c r="P1070" s="7" t="str">
        <f>IF('Port Bloomberg'!P1070="","",'Port Bloomberg'!P1070)</f>
        <v/>
      </c>
      <c r="Q1070" s="7" t="str">
        <f>IF('Port Bloomberg'!Q1070="","",'Port Bloomberg'!Q1070)</f>
        <v/>
      </c>
      <c r="R1070" s="7" t="str">
        <f>IF('Port Bloomberg'!R1070="","",'Port Bloomberg'!R1070)</f>
        <v/>
      </c>
      <c r="S1070" s="5" t="str">
        <f>IF(E1070="","",IFERROR(IF(MATCH(E1070,[1]Instrumentos!$D:$D,0)&gt;0,1,0),0))</f>
        <v/>
      </c>
      <c r="T1070" s="5" t="str">
        <f>IF(E1070="","",IFERROR(IF(MATCH(E1070,'Lista de excepciones'!$E:$E,0)&gt;0,1,0),0))</f>
        <v/>
      </c>
      <c r="U1070" s="6" t="str">
        <f t="shared" si="17"/>
        <v/>
      </c>
    </row>
    <row r="1071" spans="1:21" hidden="1" x14ac:dyDescent="0.25">
      <c r="A1071" s="7" t="str">
        <f>IF('Port Bloomberg'!A1071="","",'Port Bloomberg'!A1071)</f>
        <v/>
      </c>
      <c r="B1071" s="7" t="str">
        <f>IF('Port Bloomberg'!B1071="","",'Port Bloomberg'!B1071)</f>
        <v/>
      </c>
      <c r="C1071" s="7" t="str">
        <f>IF('Port Bloomberg'!C1071="","",'Port Bloomberg'!C1071)</f>
        <v/>
      </c>
      <c r="D1071" s="7" t="str">
        <f>IF('Port Bloomberg'!D1071="","",'Port Bloomberg'!D1071)</f>
        <v/>
      </c>
      <c r="E1071" s="7" t="str">
        <f>IF('Port Bloomberg'!E1071="","",'Port Bloomberg'!E1071)</f>
        <v/>
      </c>
      <c r="F1071" s="7" t="str">
        <f>IF('Port Bloomberg'!F1071="","",'Port Bloomberg'!F1071)</f>
        <v/>
      </c>
      <c r="G1071" s="7" t="str">
        <f>IF('Port Bloomberg'!G1071="","",'Port Bloomberg'!G1071)</f>
        <v/>
      </c>
      <c r="H1071" s="7" t="str">
        <f>IF('Port Bloomberg'!H1071="","",'Port Bloomberg'!H1071)</f>
        <v/>
      </c>
      <c r="I1071" s="7" t="str">
        <f>IF('Port Bloomberg'!I1071="","",'Port Bloomberg'!I1071)</f>
        <v/>
      </c>
      <c r="J1071" s="7" t="str">
        <f>IF('Port Bloomberg'!J1071="","",'Port Bloomberg'!J1071)</f>
        <v/>
      </c>
      <c r="K1071" s="7" t="str">
        <f>IF('Port Bloomberg'!K1071="","",'Port Bloomberg'!K1071)</f>
        <v/>
      </c>
      <c r="L1071" s="7" t="str">
        <f>IF('Port Bloomberg'!L1071="","",'Port Bloomberg'!L1071)</f>
        <v/>
      </c>
      <c r="M1071" s="7" t="str">
        <f>IF('Port Bloomberg'!M1071="","",'Port Bloomberg'!M1071)</f>
        <v/>
      </c>
      <c r="N1071" s="7" t="str">
        <f>IF('Port Bloomberg'!N1071="","",'Port Bloomberg'!N1071)</f>
        <v/>
      </c>
      <c r="O1071" s="7" t="str">
        <f>IF('Port Bloomberg'!O1071="","",'Port Bloomberg'!O1071)</f>
        <v/>
      </c>
      <c r="P1071" s="7" t="str">
        <f>IF('Port Bloomberg'!P1071="","",'Port Bloomberg'!P1071)</f>
        <v/>
      </c>
      <c r="Q1071" s="7" t="str">
        <f>IF('Port Bloomberg'!Q1071="","",'Port Bloomberg'!Q1071)</f>
        <v/>
      </c>
      <c r="R1071" s="7" t="str">
        <f>IF('Port Bloomberg'!R1071="","",'Port Bloomberg'!R1071)</f>
        <v/>
      </c>
      <c r="S1071" s="5" t="str">
        <f>IF(E1071="","",IFERROR(IF(MATCH(E1071,[1]Instrumentos!$D:$D,0)&gt;0,1,0),0))</f>
        <v/>
      </c>
      <c r="T1071" s="5" t="str">
        <f>IF(E1071="","",IFERROR(IF(MATCH(E1071,'Lista de excepciones'!$E:$E,0)&gt;0,1,0),0))</f>
        <v/>
      </c>
      <c r="U1071" s="6" t="str">
        <f t="shared" si="17"/>
        <v/>
      </c>
    </row>
    <row r="1072" spans="1:21" hidden="1" x14ac:dyDescent="0.25">
      <c r="A1072" s="7" t="str">
        <f>IF('Port Bloomberg'!A1072="","",'Port Bloomberg'!A1072)</f>
        <v/>
      </c>
      <c r="B1072" s="7" t="str">
        <f>IF('Port Bloomberg'!B1072="","",'Port Bloomberg'!B1072)</f>
        <v/>
      </c>
      <c r="C1072" s="7" t="str">
        <f>IF('Port Bloomberg'!C1072="","",'Port Bloomberg'!C1072)</f>
        <v/>
      </c>
      <c r="D1072" s="7" t="str">
        <f>IF('Port Bloomberg'!D1072="","",'Port Bloomberg'!D1072)</f>
        <v/>
      </c>
      <c r="E1072" s="7" t="str">
        <f>IF('Port Bloomberg'!E1072="","",'Port Bloomberg'!E1072)</f>
        <v/>
      </c>
      <c r="F1072" s="7" t="str">
        <f>IF('Port Bloomberg'!F1072="","",'Port Bloomberg'!F1072)</f>
        <v/>
      </c>
      <c r="G1072" s="7" t="str">
        <f>IF('Port Bloomberg'!G1072="","",'Port Bloomberg'!G1072)</f>
        <v/>
      </c>
      <c r="H1072" s="7" t="str">
        <f>IF('Port Bloomberg'!H1072="","",'Port Bloomberg'!H1072)</f>
        <v/>
      </c>
      <c r="I1072" s="7" t="str">
        <f>IF('Port Bloomberg'!I1072="","",'Port Bloomberg'!I1072)</f>
        <v/>
      </c>
      <c r="J1072" s="7" t="str">
        <f>IF('Port Bloomberg'!J1072="","",'Port Bloomberg'!J1072)</f>
        <v/>
      </c>
      <c r="K1072" s="7" t="str">
        <f>IF('Port Bloomberg'!K1072="","",'Port Bloomberg'!K1072)</f>
        <v/>
      </c>
      <c r="L1072" s="7" t="str">
        <f>IF('Port Bloomberg'!L1072="","",'Port Bloomberg'!L1072)</f>
        <v/>
      </c>
      <c r="M1072" s="7" t="str">
        <f>IF('Port Bloomberg'!M1072="","",'Port Bloomberg'!M1072)</f>
        <v/>
      </c>
      <c r="N1072" s="7" t="str">
        <f>IF('Port Bloomberg'!N1072="","",'Port Bloomberg'!N1072)</f>
        <v/>
      </c>
      <c r="O1072" s="7" t="str">
        <f>IF('Port Bloomberg'!O1072="","",'Port Bloomberg'!O1072)</f>
        <v/>
      </c>
      <c r="P1072" s="7" t="str">
        <f>IF('Port Bloomberg'!P1072="","",'Port Bloomberg'!P1072)</f>
        <v/>
      </c>
      <c r="Q1072" s="7" t="str">
        <f>IF('Port Bloomberg'!Q1072="","",'Port Bloomberg'!Q1072)</f>
        <v/>
      </c>
      <c r="R1072" s="7" t="str">
        <f>IF('Port Bloomberg'!R1072="","",'Port Bloomberg'!R1072)</f>
        <v/>
      </c>
      <c r="S1072" s="5" t="str">
        <f>IF(E1072="","",IFERROR(IF(MATCH(E1072,[1]Instrumentos!$D:$D,0)&gt;0,1,0),0))</f>
        <v/>
      </c>
      <c r="T1072" s="5" t="str">
        <f>IF(E1072="","",IFERROR(IF(MATCH(E1072,'Lista de excepciones'!$E:$E,0)&gt;0,1,0),0))</f>
        <v/>
      </c>
      <c r="U1072" s="6" t="str">
        <f t="shared" si="17"/>
        <v/>
      </c>
    </row>
    <row r="1073" spans="1:21" hidden="1" x14ac:dyDescent="0.25">
      <c r="A1073" s="7" t="str">
        <f>IF('Port Bloomberg'!A1073="","",'Port Bloomberg'!A1073)</f>
        <v/>
      </c>
      <c r="B1073" s="7" t="str">
        <f>IF('Port Bloomberg'!B1073="","",'Port Bloomberg'!B1073)</f>
        <v/>
      </c>
      <c r="C1073" s="7" t="str">
        <f>IF('Port Bloomberg'!C1073="","",'Port Bloomberg'!C1073)</f>
        <v/>
      </c>
      <c r="D1073" s="7" t="str">
        <f>IF('Port Bloomberg'!D1073="","",'Port Bloomberg'!D1073)</f>
        <v/>
      </c>
      <c r="E1073" s="7" t="str">
        <f>IF('Port Bloomberg'!E1073="","",'Port Bloomberg'!E1073)</f>
        <v/>
      </c>
      <c r="F1073" s="7" t="str">
        <f>IF('Port Bloomberg'!F1073="","",'Port Bloomberg'!F1073)</f>
        <v/>
      </c>
      <c r="G1073" s="7" t="str">
        <f>IF('Port Bloomberg'!G1073="","",'Port Bloomberg'!G1073)</f>
        <v/>
      </c>
      <c r="H1073" s="7" t="str">
        <f>IF('Port Bloomberg'!H1073="","",'Port Bloomberg'!H1073)</f>
        <v/>
      </c>
      <c r="I1073" s="7" t="str">
        <f>IF('Port Bloomberg'!I1073="","",'Port Bloomberg'!I1073)</f>
        <v/>
      </c>
      <c r="J1073" s="7" t="str">
        <f>IF('Port Bloomberg'!J1073="","",'Port Bloomberg'!J1073)</f>
        <v/>
      </c>
      <c r="K1073" s="7" t="str">
        <f>IF('Port Bloomberg'!K1073="","",'Port Bloomberg'!K1073)</f>
        <v/>
      </c>
      <c r="L1073" s="7" t="str">
        <f>IF('Port Bloomberg'!L1073="","",'Port Bloomberg'!L1073)</f>
        <v/>
      </c>
      <c r="M1073" s="7" t="str">
        <f>IF('Port Bloomberg'!M1073="","",'Port Bloomberg'!M1073)</f>
        <v/>
      </c>
      <c r="N1073" s="7" t="str">
        <f>IF('Port Bloomberg'!N1073="","",'Port Bloomberg'!N1073)</f>
        <v/>
      </c>
      <c r="O1073" s="7" t="str">
        <f>IF('Port Bloomberg'!O1073="","",'Port Bloomberg'!O1073)</f>
        <v/>
      </c>
      <c r="P1073" s="7" t="str">
        <f>IF('Port Bloomberg'!P1073="","",'Port Bloomberg'!P1073)</f>
        <v/>
      </c>
      <c r="Q1073" s="7" t="str">
        <f>IF('Port Bloomberg'!Q1073="","",'Port Bloomberg'!Q1073)</f>
        <v/>
      </c>
      <c r="R1073" s="7" t="str">
        <f>IF('Port Bloomberg'!R1073="","",'Port Bloomberg'!R1073)</f>
        <v/>
      </c>
      <c r="S1073" s="5" t="str">
        <f>IF(E1073="","",IFERROR(IF(MATCH(E1073,[1]Instrumentos!$D:$D,0)&gt;0,1,0),0))</f>
        <v/>
      </c>
      <c r="T1073" s="5" t="str">
        <f>IF(E1073="","",IFERROR(IF(MATCH(E1073,'Lista de excepciones'!$E:$E,0)&gt;0,1,0),0))</f>
        <v/>
      </c>
      <c r="U1073" s="6" t="str">
        <f t="shared" si="17"/>
        <v/>
      </c>
    </row>
    <row r="1074" spans="1:21" hidden="1" x14ac:dyDescent="0.25">
      <c r="A1074" s="7" t="str">
        <f>IF('Port Bloomberg'!A1074="","",'Port Bloomberg'!A1074)</f>
        <v/>
      </c>
      <c r="B1074" s="7" t="str">
        <f>IF('Port Bloomberg'!B1074="","",'Port Bloomberg'!B1074)</f>
        <v/>
      </c>
      <c r="C1074" s="7" t="str">
        <f>IF('Port Bloomberg'!C1074="","",'Port Bloomberg'!C1074)</f>
        <v/>
      </c>
      <c r="D1074" s="7" t="str">
        <f>IF('Port Bloomberg'!D1074="","",'Port Bloomberg'!D1074)</f>
        <v/>
      </c>
      <c r="E1074" s="7" t="str">
        <f>IF('Port Bloomberg'!E1074="","",'Port Bloomberg'!E1074)</f>
        <v/>
      </c>
      <c r="F1074" s="7" t="str">
        <f>IF('Port Bloomberg'!F1074="","",'Port Bloomberg'!F1074)</f>
        <v/>
      </c>
      <c r="G1074" s="7" t="str">
        <f>IF('Port Bloomberg'!G1074="","",'Port Bloomberg'!G1074)</f>
        <v/>
      </c>
      <c r="H1074" s="7" t="str">
        <f>IF('Port Bloomberg'!H1074="","",'Port Bloomberg'!H1074)</f>
        <v/>
      </c>
      <c r="I1074" s="7" t="str">
        <f>IF('Port Bloomberg'!I1074="","",'Port Bloomberg'!I1074)</f>
        <v/>
      </c>
      <c r="J1074" s="7" t="str">
        <f>IF('Port Bloomberg'!J1074="","",'Port Bloomberg'!J1074)</f>
        <v/>
      </c>
      <c r="K1074" s="7" t="str">
        <f>IF('Port Bloomberg'!K1074="","",'Port Bloomberg'!K1074)</f>
        <v/>
      </c>
      <c r="L1074" s="7" t="str">
        <f>IF('Port Bloomberg'!L1074="","",'Port Bloomberg'!L1074)</f>
        <v/>
      </c>
      <c r="M1074" s="7" t="str">
        <f>IF('Port Bloomberg'!M1074="","",'Port Bloomberg'!M1074)</f>
        <v/>
      </c>
      <c r="N1074" s="7" t="str">
        <f>IF('Port Bloomberg'!N1074="","",'Port Bloomberg'!N1074)</f>
        <v/>
      </c>
      <c r="O1074" s="7" t="str">
        <f>IF('Port Bloomberg'!O1074="","",'Port Bloomberg'!O1074)</f>
        <v/>
      </c>
      <c r="P1074" s="7" t="str">
        <f>IF('Port Bloomberg'!P1074="","",'Port Bloomberg'!P1074)</f>
        <v/>
      </c>
      <c r="Q1074" s="7" t="str">
        <f>IF('Port Bloomberg'!Q1074="","",'Port Bloomberg'!Q1074)</f>
        <v/>
      </c>
      <c r="R1074" s="7" t="str">
        <f>IF('Port Bloomberg'!R1074="","",'Port Bloomberg'!R1074)</f>
        <v/>
      </c>
      <c r="S1074" s="5" t="str">
        <f>IF(E1074="","",IFERROR(IF(MATCH(E1074,[1]Instrumentos!$D:$D,0)&gt;0,1,0),0))</f>
        <v/>
      </c>
      <c r="T1074" s="5" t="str">
        <f>IF(E1074="","",IFERROR(IF(MATCH(E1074,'Lista de excepciones'!$E:$E,0)&gt;0,1,0),0))</f>
        <v/>
      </c>
      <c r="U1074" s="6" t="str">
        <f t="shared" si="17"/>
        <v/>
      </c>
    </row>
    <row r="1075" spans="1:21" hidden="1" x14ac:dyDescent="0.25">
      <c r="A1075" s="7" t="str">
        <f>IF('Port Bloomberg'!A1075="","",'Port Bloomberg'!A1075)</f>
        <v/>
      </c>
      <c r="B1075" s="7" t="str">
        <f>IF('Port Bloomberg'!B1075="","",'Port Bloomberg'!B1075)</f>
        <v/>
      </c>
      <c r="C1075" s="7" t="str">
        <f>IF('Port Bloomberg'!C1075="","",'Port Bloomberg'!C1075)</f>
        <v/>
      </c>
      <c r="D1075" s="7" t="str">
        <f>IF('Port Bloomberg'!D1075="","",'Port Bloomberg'!D1075)</f>
        <v/>
      </c>
      <c r="E1075" s="7" t="str">
        <f>IF('Port Bloomberg'!E1075="","",'Port Bloomberg'!E1075)</f>
        <v/>
      </c>
      <c r="F1075" s="7" t="str">
        <f>IF('Port Bloomberg'!F1075="","",'Port Bloomberg'!F1075)</f>
        <v/>
      </c>
      <c r="G1075" s="7" t="str">
        <f>IF('Port Bloomberg'!G1075="","",'Port Bloomberg'!G1075)</f>
        <v/>
      </c>
      <c r="H1075" s="7" t="str">
        <f>IF('Port Bloomberg'!H1075="","",'Port Bloomberg'!H1075)</f>
        <v/>
      </c>
      <c r="I1075" s="7" t="str">
        <f>IF('Port Bloomberg'!I1075="","",'Port Bloomberg'!I1075)</f>
        <v/>
      </c>
      <c r="J1075" s="7" t="str">
        <f>IF('Port Bloomberg'!J1075="","",'Port Bloomberg'!J1075)</f>
        <v/>
      </c>
      <c r="K1075" s="7" t="str">
        <f>IF('Port Bloomberg'!K1075="","",'Port Bloomberg'!K1075)</f>
        <v/>
      </c>
      <c r="L1075" s="7" t="str">
        <f>IF('Port Bloomberg'!L1075="","",'Port Bloomberg'!L1075)</f>
        <v/>
      </c>
      <c r="M1075" s="7" t="str">
        <f>IF('Port Bloomberg'!M1075="","",'Port Bloomberg'!M1075)</f>
        <v/>
      </c>
      <c r="N1075" s="7" t="str">
        <f>IF('Port Bloomberg'!N1075="","",'Port Bloomberg'!N1075)</f>
        <v/>
      </c>
      <c r="O1075" s="7" t="str">
        <f>IF('Port Bloomberg'!O1075="","",'Port Bloomberg'!O1075)</f>
        <v/>
      </c>
      <c r="P1075" s="7" t="str">
        <f>IF('Port Bloomberg'!P1075="","",'Port Bloomberg'!P1075)</f>
        <v/>
      </c>
      <c r="Q1075" s="7" t="str">
        <f>IF('Port Bloomberg'!Q1075="","",'Port Bloomberg'!Q1075)</f>
        <v/>
      </c>
      <c r="R1075" s="7" t="str">
        <f>IF('Port Bloomberg'!R1075="","",'Port Bloomberg'!R1075)</f>
        <v/>
      </c>
      <c r="S1075" s="5" t="str">
        <f>IF(E1075="","",IFERROR(IF(MATCH(E1075,[1]Instrumentos!$D:$D,0)&gt;0,1,0),0))</f>
        <v/>
      </c>
      <c r="T1075" s="5" t="str">
        <f>IF(E1075="","",IFERROR(IF(MATCH(E1075,'Lista de excepciones'!$E:$E,0)&gt;0,1,0),0))</f>
        <v/>
      </c>
      <c r="U1075" s="6" t="str">
        <f t="shared" si="17"/>
        <v/>
      </c>
    </row>
    <row r="1076" spans="1:21" hidden="1" x14ac:dyDescent="0.25">
      <c r="A1076" s="7" t="str">
        <f>IF('Port Bloomberg'!A1076="","",'Port Bloomberg'!A1076)</f>
        <v/>
      </c>
      <c r="B1076" s="7" t="str">
        <f>IF('Port Bloomberg'!B1076="","",'Port Bloomberg'!B1076)</f>
        <v/>
      </c>
      <c r="C1076" s="7" t="str">
        <f>IF('Port Bloomberg'!C1076="","",'Port Bloomberg'!C1076)</f>
        <v/>
      </c>
      <c r="D1076" s="7" t="str">
        <f>IF('Port Bloomberg'!D1076="","",'Port Bloomberg'!D1076)</f>
        <v/>
      </c>
      <c r="E1076" s="7" t="str">
        <f>IF('Port Bloomberg'!E1076="","",'Port Bloomberg'!E1076)</f>
        <v/>
      </c>
      <c r="F1076" s="7" t="str">
        <f>IF('Port Bloomberg'!F1076="","",'Port Bloomberg'!F1076)</f>
        <v/>
      </c>
      <c r="G1076" s="7" t="str">
        <f>IF('Port Bloomberg'!G1076="","",'Port Bloomberg'!G1076)</f>
        <v/>
      </c>
      <c r="H1076" s="7" t="str">
        <f>IF('Port Bloomberg'!H1076="","",'Port Bloomberg'!H1076)</f>
        <v/>
      </c>
      <c r="I1076" s="7" t="str">
        <f>IF('Port Bloomberg'!I1076="","",'Port Bloomberg'!I1076)</f>
        <v/>
      </c>
      <c r="J1076" s="7" t="str">
        <f>IF('Port Bloomberg'!J1076="","",'Port Bloomberg'!J1076)</f>
        <v/>
      </c>
      <c r="K1076" s="7" t="str">
        <f>IF('Port Bloomberg'!K1076="","",'Port Bloomberg'!K1076)</f>
        <v/>
      </c>
      <c r="L1076" s="7" t="str">
        <f>IF('Port Bloomberg'!L1076="","",'Port Bloomberg'!L1076)</f>
        <v/>
      </c>
      <c r="M1076" s="7" t="str">
        <f>IF('Port Bloomberg'!M1076="","",'Port Bloomberg'!M1076)</f>
        <v/>
      </c>
      <c r="N1076" s="7" t="str">
        <f>IF('Port Bloomberg'!N1076="","",'Port Bloomberg'!N1076)</f>
        <v/>
      </c>
      <c r="O1076" s="7" t="str">
        <f>IF('Port Bloomberg'!O1076="","",'Port Bloomberg'!O1076)</f>
        <v/>
      </c>
      <c r="P1076" s="7" t="str">
        <f>IF('Port Bloomberg'!P1076="","",'Port Bloomberg'!P1076)</f>
        <v/>
      </c>
      <c r="Q1076" s="7" t="str">
        <f>IF('Port Bloomberg'!Q1076="","",'Port Bloomberg'!Q1076)</f>
        <v/>
      </c>
      <c r="R1076" s="7" t="str">
        <f>IF('Port Bloomberg'!R1076="","",'Port Bloomberg'!R1076)</f>
        <v/>
      </c>
      <c r="S1076" s="5" t="str">
        <f>IF(E1076="","",IFERROR(IF(MATCH(E1076,[1]Instrumentos!$D:$D,0)&gt;0,1,0),0))</f>
        <v/>
      </c>
      <c r="T1076" s="5" t="str">
        <f>IF(E1076="","",IFERROR(IF(MATCH(E1076,'Lista de excepciones'!$E:$E,0)&gt;0,1,0),0))</f>
        <v/>
      </c>
      <c r="U1076" s="6" t="str">
        <f t="shared" si="17"/>
        <v/>
      </c>
    </row>
    <row r="1077" spans="1:21" hidden="1" x14ac:dyDescent="0.25">
      <c r="A1077" s="7" t="str">
        <f>IF('Port Bloomberg'!A1077="","",'Port Bloomberg'!A1077)</f>
        <v/>
      </c>
      <c r="B1077" s="7" t="str">
        <f>IF('Port Bloomberg'!B1077="","",'Port Bloomberg'!B1077)</f>
        <v/>
      </c>
      <c r="C1077" s="7" t="str">
        <f>IF('Port Bloomberg'!C1077="","",'Port Bloomberg'!C1077)</f>
        <v/>
      </c>
      <c r="D1077" s="7" t="str">
        <f>IF('Port Bloomberg'!D1077="","",'Port Bloomberg'!D1077)</f>
        <v/>
      </c>
      <c r="E1077" s="7" t="str">
        <f>IF('Port Bloomberg'!E1077="","",'Port Bloomberg'!E1077)</f>
        <v/>
      </c>
      <c r="F1077" s="7" t="str">
        <f>IF('Port Bloomberg'!F1077="","",'Port Bloomberg'!F1077)</f>
        <v/>
      </c>
      <c r="G1077" s="7" t="str">
        <f>IF('Port Bloomberg'!G1077="","",'Port Bloomberg'!G1077)</f>
        <v/>
      </c>
      <c r="H1077" s="7" t="str">
        <f>IF('Port Bloomberg'!H1077="","",'Port Bloomberg'!H1077)</f>
        <v/>
      </c>
      <c r="I1077" s="7" t="str">
        <f>IF('Port Bloomberg'!I1077="","",'Port Bloomberg'!I1077)</f>
        <v/>
      </c>
      <c r="J1077" s="7" t="str">
        <f>IF('Port Bloomberg'!J1077="","",'Port Bloomberg'!J1077)</f>
        <v/>
      </c>
      <c r="K1077" s="7" t="str">
        <f>IF('Port Bloomberg'!K1077="","",'Port Bloomberg'!K1077)</f>
        <v/>
      </c>
      <c r="L1077" s="7" t="str">
        <f>IF('Port Bloomberg'!L1077="","",'Port Bloomberg'!L1077)</f>
        <v/>
      </c>
      <c r="M1077" s="7" t="str">
        <f>IF('Port Bloomberg'!M1077="","",'Port Bloomberg'!M1077)</f>
        <v/>
      </c>
      <c r="N1077" s="7" t="str">
        <f>IF('Port Bloomberg'!N1077="","",'Port Bloomberg'!N1077)</f>
        <v/>
      </c>
      <c r="O1077" s="7" t="str">
        <f>IF('Port Bloomberg'!O1077="","",'Port Bloomberg'!O1077)</f>
        <v/>
      </c>
      <c r="P1077" s="7" t="str">
        <f>IF('Port Bloomberg'!P1077="","",'Port Bloomberg'!P1077)</f>
        <v/>
      </c>
      <c r="Q1077" s="7" t="str">
        <f>IF('Port Bloomberg'!Q1077="","",'Port Bloomberg'!Q1077)</f>
        <v/>
      </c>
      <c r="R1077" s="7" t="str">
        <f>IF('Port Bloomberg'!R1077="","",'Port Bloomberg'!R1077)</f>
        <v/>
      </c>
      <c r="S1077" s="5" t="str">
        <f>IF(E1077="","",IFERROR(IF(MATCH(E1077,[1]Instrumentos!$D:$D,0)&gt;0,1,0),0))</f>
        <v/>
      </c>
      <c r="T1077" s="5" t="str">
        <f>IF(E1077="","",IFERROR(IF(MATCH(E1077,'Lista de excepciones'!$E:$E,0)&gt;0,1,0),0))</f>
        <v/>
      </c>
      <c r="U1077" s="6" t="str">
        <f t="shared" si="17"/>
        <v/>
      </c>
    </row>
    <row r="1078" spans="1:21" hidden="1" x14ac:dyDescent="0.25">
      <c r="A1078" s="7" t="str">
        <f>IF('Port Bloomberg'!A1078="","",'Port Bloomberg'!A1078)</f>
        <v/>
      </c>
      <c r="B1078" s="7" t="str">
        <f>IF('Port Bloomberg'!B1078="","",'Port Bloomberg'!B1078)</f>
        <v/>
      </c>
      <c r="C1078" s="7" t="str">
        <f>IF('Port Bloomberg'!C1078="","",'Port Bloomberg'!C1078)</f>
        <v/>
      </c>
      <c r="D1078" s="7" t="str">
        <f>IF('Port Bloomberg'!D1078="","",'Port Bloomberg'!D1078)</f>
        <v/>
      </c>
      <c r="E1078" s="7" t="str">
        <f>IF('Port Bloomberg'!E1078="","",'Port Bloomberg'!E1078)</f>
        <v/>
      </c>
      <c r="F1078" s="7" t="str">
        <f>IF('Port Bloomberg'!F1078="","",'Port Bloomberg'!F1078)</f>
        <v/>
      </c>
      <c r="G1078" s="7" t="str">
        <f>IF('Port Bloomberg'!G1078="","",'Port Bloomberg'!G1078)</f>
        <v/>
      </c>
      <c r="H1078" s="7" t="str">
        <f>IF('Port Bloomberg'!H1078="","",'Port Bloomberg'!H1078)</f>
        <v/>
      </c>
      <c r="I1078" s="7" t="str">
        <f>IF('Port Bloomberg'!I1078="","",'Port Bloomberg'!I1078)</f>
        <v/>
      </c>
      <c r="J1078" s="7" t="str">
        <f>IF('Port Bloomberg'!J1078="","",'Port Bloomberg'!J1078)</f>
        <v/>
      </c>
      <c r="K1078" s="7" t="str">
        <f>IF('Port Bloomberg'!K1078="","",'Port Bloomberg'!K1078)</f>
        <v/>
      </c>
      <c r="L1078" s="7" t="str">
        <f>IF('Port Bloomberg'!L1078="","",'Port Bloomberg'!L1078)</f>
        <v/>
      </c>
      <c r="M1078" s="7" t="str">
        <f>IF('Port Bloomberg'!M1078="","",'Port Bloomberg'!M1078)</f>
        <v/>
      </c>
      <c r="N1078" s="7" t="str">
        <f>IF('Port Bloomberg'!N1078="","",'Port Bloomberg'!N1078)</f>
        <v/>
      </c>
      <c r="O1078" s="7" t="str">
        <f>IF('Port Bloomberg'!O1078="","",'Port Bloomberg'!O1078)</f>
        <v/>
      </c>
      <c r="P1078" s="7" t="str">
        <f>IF('Port Bloomberg'!P1078="","",'Port Bloomberg'!P1078)</f>
        <v/>
      </c>
      <c r="Q1078" s="7" t="str">
        <f>IF('Port Bloomberg'!Q1078="","",'Port Bloomberg'!Q1078)</f>
        <v/>
      </c>
      <c r="R1078" s="7" t="str">
        <f>IF('Port Bloomberg'!R1078="","",'Port Bloomberg'!R1078)</f>
        <v/>
      </c>
      <c r="S1078" s="5" t="str">
        <f>IF(E1078="","",IFERROR(IF(MATCH(E1078,[1]Instrumentos!$D:$D,0)&gt;0,1,0),0))</f>
        <v/>
      </c>
      <c r="T1078" s="5" t="str">
        <f>IF(E1078="","",IFERROR(IF(MATCH(E1078,'Lista de excepciones'!$E:$E,0)&gt;0,1,0),0))</f>
        <v/>
      </c>
      <c r="U1078" s="6" t="str">
        <f t="shared" si="17"/>
        <v/>
      </c>
    </row>
    <row r="1079" spans="1:21" hidden="1" x14ac:dyDescent="0.25">
      <c r="A1079" s="7" t="str">
        <f>IF('Port Bloomberg'!A1079="","",'Port Bloomberg'!A1079)</f>
        <v/>
      </c>
      <c r="B1079" s="7" t="str">
        <f>IF('Port Bloomberg'!B1079="","",'Port Bloomberg'!B1079)</f>
        <v/>
      </c>
      <c r="C1079" s="7" t="str">
        <f>IF('Port Bloomberg'!C1079="","",'Port Bloomberg'!C1079)</f>
        <v/>
      </c>
      <c r="D1079" s="7" t="str">
        <f>IF('Port Bloomberg'!D1079="","",'Port Bloomberg'!D1079)</f>
        <v/>
      </c>
      <c r="E1079" s="7" t="str">
        <f>IF('Port Bloomberg'!E1079="","",'Port Bloomberg'!E1079)</f>
        <v/>
      </c>
      <c r="F1079" s="7" t="str">
        <f>IF('Port Bloomberg'!F1079="","",'Port Bloomberg'!F1079)</f>
        <v/>
      </c>
      <c r="G1079" s="7" t="str">
        <f>IF('Port Bloomberg'!G1079="","",'Port Bloomberg'!G1079)</f>
        <v/>
      </c>
      <c r="H1079" s="7" t="str">
        <f>IF('Port Bloomberg'!H1079="","",'Port Bloomberg'!H1079)</f>
        <v/>
      </c>
      <c r="I1079" s="7" t="str">
        <f>IF('Port Bloomberg'!I1079="","",'Port Bloomberg'!I1079)</f>
        <v/>
      </c>
      <c r="J1079" s="7" t="str">
        <f>IF('Port Bloomberg'!J1079="","",'Port Bloomberg'!J1079)</f>
        <v/>
      </c>
      <c r="K1079" s="7" t="str">
        <f>IF('Port Bloomberg'!K1079="","",'Port Bloomberg'!K1079)</f>
        <v/>
      </c>
      <c r="L1079" s="7" t="str">
        <f>IF('Port Bloomberg'!L1079="","",'Port Bloomberg'!L1079)</f>
        <v/>
      </c>
      <c r="M1079" s="7" t="str">
        <f>IF('Port Bloomberg'!M1079="","",'Port Bloomberg'!M1079)</f>
        <v/>
      </c>
      <c r="N1079" s="7" t="str">
        <f>IF('Port Bloomberg'!N1079="","",'Port Bloomberg'!N1079)</f>
        <v/>
      </c>
      <c r="O1079" s="7" t="str">
        <f>IF('Port Bloomberg'!O1079="","",'Port Bloomberg'!O1079)</f>
        <v/>
      </c>
      <c r="P1079" s="7" t="str">
        <f>IF('Port Bloomberg'!P1079="","",'Port Bloomberg'!P1079)</f>
        <v/>
      </c>
      <c r="Q1079" s="7" t="str">
        <f>IF('Port Bloomberg'!Q1079="","",'Port Bloomberg'!Q1079)</f>
        <v/>
      </c>
      <c r="R1079" s="7" t="str">
        <f>IF('Port Bloomberg'!R1079="","",'Port Bloomberg'!R1079)</f>
        <v/>
      </c>
      <c r="S1079" s="5" t="str">
        <f>IF(E1079="","",IFERROR(IF(MATCH(E1079,[1]Instrumentos!$D:$D,0)&gt;0,1,0),0))</f>
        <v/>
      </c>
      <c r="T1079" s="5" t="str">
        <f>IF(E1079="","",IFERROR(IF(MATCH(E1079,'Lista de excepciones'!$E:$E,0)&gt;0,1,0),0))</f>
        <v/>
      </c>
      <c r="U1079" s="6" t="str">
        <f t="shared" si="17"/>
        <v/>
      </c>
    </row>
    <row r="1080" spans="1:21" hidden="1" x14ac:dyDescent="0.25">
      <c r="A1080" s="7" t="str">
        <f>IF('Port Bloomberg'!A1080="","",'Port Bloomberg'!A1080)</f>
        <v/>
      </c>
      <c r="B1080" s="7" t="str">
        <f>IF('Port Bloomberg'!B1080="","",'Port Bloomberg'!B1080)</f>
        <v/>
      </c>
      <c r="C1080" s="7" t="str">
        <f>IF('Port Bloomberg'!C1080="","",'Port Bloomberg'!C1080)</f>
        <v/>
      </c>
      <c r="D1080" s="7" t="str">
        <f>IF('Port Bloomberg'!D1080="","",'Port Bloomberg'!D1080)</f>
        <v/>
      </c>
      <c r="E1080" s="7" t="str">
        <f>IF('Port Bloomberg'!E1080="","",'Port Bloomberg'!E1080)</f>
        <v/>
      </c>
      <c r="F1080" s="7" t="str">
        <f>IF('Port Bloomberg'!F1080="","",'Port Bloomberg'!F1080)</f>
        <v/>
      </c>
      <c r="G1080" s="7" t="str">
        <f>IF('Port Bloomberg'!G1080="","",'Port Bloomberg'!G1080)</f>
        <v/>
      </c>
      <c r="H1080" s="7" t="str">
        <f>IF('Port Bloomberg'!H1080="","",'Port Bloomberg'!H1080)</f>
        <v/>
      </c>
      <c r="I1080" s="7" t="str">
        <f>IF('Port Bloomberg'!I1080="","",'Port Bloomberg'!I1080)</f>
        <v/>
      </c>
      <c r="J1080" s="7" t="str">
        <f>IF('Port Bloomberg'!J1080="","",'Port Bloomberg'!J1080)</f>
        <v/>
      </c>
      <c r="K1080" s="7" t="str">
        <f>IF('Port Bloomberg'!K1080="","",'Port Bloomberg'!K1080)</f>
        <v/>
      </c>
      <c r="L1080" s="7" t="str">
        <f>IF('Port Bloomberg'!L1080="","",'Port Bloomberg'!L1080)</f>
        <v/>
      </c>
      <c r="M1080" s="7" t="str">
        <f>IF('Port Bloomberg'!M1080="","",'Port Bloomberg'!M1080)</f>
        <v/>
      </c>
      <c r="N1080" s="7" t="str">
        <f>IF('Port Bloomberg'!N1080="","",'Port Bloomberg'!N1080)</f>
        <v/>
      </c>
      <c r="O1080" s="7" t="str">
        <f>IF('Port Bloomberg'!O1080="","",'Port Bloomberg'!O1080)</f>
        <v/>
      </c>
      <c r="P1080" s="7" t="str">
        <f>IF('Port Bloomberg'!P1080="","",'Port Bloomberg'!P1080)</f>
        <v/>
      </c>
      <c r="Q1080" s="7" t="str">
        <f>IF('Port Bloomberg'!Q1080="","",'Port Bloomberg'!Q1080)</f>
        <v/>
      </c>
      <c r="R1080" s="7" t="str">
        <f>IF('Port Bloomberg'!R1080="","",'Port Bloomberg'!R1080)</f>
        <v/>
      </c>
      <c r="S1080" s="5" t="str">
        <f>IF(E1080="","",IFERROR(IF(MATCH(E1080,[1]Instrumentos!$D:$D,0)&gt;0,1,0),0))</f>
        <v/>
      </c>
      <c r="T1080" s="5" t="str">
        <f>IF(E1080="","",IFERROR(IF(MATCH(E1080,'Lista de excepciones'!$E:$E,0)&gt;0,1,0),0))</f>
        <v/>
      </c>
      <c r="U1080" s="6" t="str">
        <f t="shared" si="17"/>
        <v/>
      </c>
    </row>
    <row r="1081" spans="1:21" hidden="1" x14ac:dyDescent="0.25">
      <c r="A1081" s="7" t="str">
        <f>IF('Port Bloomberg'!A1081="","",'Port Bloomberg'!A1081)</f>
        <v/>
      </c>
      <c r="B1081" s="7" t="str">
        <f>IF('Port Bloomberg'!B1081="","",'Port Bloomberg'!B1081)</f>
        <v/>
      </c>
      <c r="C1081" s="7" t="str">
        <f>IF('Port Bloomberg'!C1081="","",'Port Bloomberg'!C1081)</f>
        <v/>
      </c>
      <c r="D1081" s="7" t="str">
        <f>IF('Port Bloomberg'!D1081="","",'Port Bloomberg'!D1081)</f>
        <v/>
      </c>
      <c r="E1081" s="7" t="str">
        <f>IF('Port Bloomberg'!E1081="","",'Port Bloomberg'!E1081)</f>
        <v/>
      </c>
      <c r="F1081" s="7" t="str">
        <f>IF('Port Bloomberg'!F1081="","",'Port Bloomberg'!F1081)</f>
        <v/>
      </c>
      <c r="G1081" s="7" t="str">
        <f>IF('Port Bloomberg'!G1081="","",'Port Bloomberg'!G1081)</f>
        <v/>
      </c>
      <c r="H1081" s="7" t="str">
        <f>IF('Port Bloomberg'!H1081="","",'Port Bloomberg'!H1081)</f>
        <v/>
      </c>
      <c r="I1081" s="7" t="str">
        <f>IF('Port Bloomberg'!I1081="","",'Port Bloomberg'!I1081)</f>
        <v/>
      </c>
      <c r="J1081" s="7" t="str">
        <f>IF('Port Bloomberg'!J1081="","",'Port Bloomberg'!J1081)</f>
        <v/>
      </c>
      <c r="K1081" s="7" t="str">
        <f>IF('Port Bloomberg'!K1081="","",'Port Bloomberg'!K1081)</f>
        <v/>
      </c>
      <c r="L1081" s="7" t="str">
        <f>IF('Port Bloomberg'!L1081="","",'Port Bloomberg'!L1081)</f>
        <v/>
      </c>
      <c r="M1081" s="7" t="str">
        <f>IF('Port Bloomberg'!M1081="","",'Port Bloomberg'!M1081)</f>
        <v/>
      </c>
      <c r="N1081" s="7" t="str">
        <f>IF('Port Bloomberg'!N1081="","",'Port Bloomberg'!N1081)</f>
        <v/>
      </c>
      <c r="O1081" s="7" t="str">
        <f>IF('Port Bloomberg'!O1081="","",'Port Bloomberg'!O1081)</f>
        <v/>
      </c>
      <c r="P1081" s="7" t="str">
        <f>IF('Port Bloomberg'!P1081="","",'Port Bloomberg'!P1081)</f>
        <v/>
      </c>
      <c r="Q1081" s="7" t="str">
        <f>IF('Port Bloomberg'!Q1081="","",'Port Bloomberg'!Q1081)</f>
        <v/>
      </c>
      <c r="R1081" s="7" t="str">
        <f>IF('Port Bloomberg'!R1081="","",'Port Bloomberg'!R1081)</f>
        <v/>
      </c>
      <c r="S1081" s="5" t="str">
        <f>IF(E1081="","",IFERROR(IF(MATCH(E1081,[1]Instrumentos!$D:$D,0)&gt;0,1,0),0))</f>
        <v/>
      </c>
      <c r="T1081" s="5" t="str">
        <f>IF(E1081="","",IFERROR(IF(MATCH(E1081,'Lista de excepciones'!$E:$E,0)&gt;0,1,0),0))</f>
        <v/>
      </c>
      <c r="U1081" s="6" t="str">
        <f t="shared" si="17"/>
        <v/>
      </c>
    </row>
    <row r="1082" spans="1:21" hidden="1" x14ac:dyDescent="0.25">
      <c r="A1082" s="7" t="str">
        <f>IF('Port Bloomberg'!A1082="","",'Port Bloomberg'!A1082)</f>
        <v/>
      </c>
      <c r="B1082" s="7" t="str">
        <f>IF('Port Bloomberg'!B1082="","",'Port Bloomberg'!B1082)</f>
        <v/>
      </c>
      <c r="C1082" s="7" t="str">
        <f>IF('Port Bloomberg'!C1082="","",'Port Bloomberg'!C1082)</f>
        <v/>
      </c>
      <c r="D1082" s="7" t="str">
        <f>IF('Port Bloomberg'!D1082="","",'Port Bloomberg'!D1082)</f>
        <v/>
      </c>
      <c r="E1082" s="7" t="str">
        <f>IF('Port Bloomberg'!E1082="","",'Port Bloomberg'!E1082)</f>
        <v/>
      </c>
      <c r="F1082" s="7" t="str">
        <f>IF('Port Bloomberg'!F1082="","",'Port Bloomberg'!F1082)</f>
        <v/>
      </c>
      <c r="G1082" s="7" t="str">
        <f>IF('Port Bloomberg'!G1082="","",'Port Bloomberg'!G1082)</f>
        <v/>
      </c>
      <c r="H1082" s="7" t="str">
        <f>IF('Port Bloomberg'!H1082="","",'Port Bloomberg'!H1082)</f>
        <v/>
      </c>
      <c r="I1082" s="7" t="str">
        <f>IF('Port Bloomberg'!I1082="","",'Port Bloomberg'!I1082)</f>
        <v/>
      </c>
      <c r="J1082" s="7" t="str">
        <f>IF('Port Bloomberg'!J1082="","",'Port Bloomberg'!J1082)</f>
        <v/>
      </c>
      <c r="K1082" s="7" t="str">
        <f>IF('Port Bloomberg'!K1082="","",'Port Bloomberg'!K1082)</f>
        <v/>
      </c>
      <c r="L1082" s="7" t="str">
        <f>IF('Port Bloomberg'!L1082="","",'Port Bloomberg'!L1082)</f>
        <v/>
      </c>
      <c r="M1082" s="7" t="str">
        <f>IF('Port Bloomberg'!M1082="","",'Port Bloomberg'!M1082)</f>
        <v/>
      </c>
      <c r="N1082" s="7" t="str">
        <f>IF('Port Bloomberg'!N1082="","",'Port Bloomberg'!N1082)</f>
        <v/>
      </c>
      <c r="O1082" s="7" t="str">
        <f>IF('Port Bloomberg'!O1082="","",'Port Bloomberg'!O1082)</f>
        <v/>
      </c>
      <c r="P1082" s="7" t="str">
        <f>IF('Port Bloomberg'!P1082="","",'Port Bloomberg'!P1082)</f>
        <v/>
      </c>
      <c r="Q1082" s="7" t="str">
        <f>IF('Port Bloomberg'!Q1082="","",'Port Bloomberg'!Q1082)</f>
        <v/>
      </c>
      <c r="R1082" s="7" t="str">
        <f>IF('Port Bloomberg'!R1082="","",'Port Bloomberg'!R1082)</f>
        <v/>
      </c>
      <c r="S1082" s="5" t="str">
        <f>IF(E1082="","",IFERROR(IF(MATCH(E1082,[1]Instrumentos!$D:$D,0)&gt;0,1,0),0))</f>
        <v/>
      </c>
      <c r="T1082" s="5" t="str">
        <f>IF(E1082="","",IFERROR(IF(MATCH(E1082,'Lista de excepciones'!$E:$E,0)&gt;0,1,0),0))</f>
        <v/>
      </c>
      <c r="U1082" s="6" t="str">
        <f t="shared" si="17"/>
        <v/>
      </c>
    </row>
    <row r="1083" spans="1:21" hidden="1" x14ac:dyDescent="0.25">
      <c r="A1083" s="7" t="str">
        <f>IF('Port Bloomberg'!A1083="","",'Port Bloomberg'!A1083)</f>
        <v/>
      </c>
      <c r="B1083" s="7" t="str">
        <f>IF('Port Bloomberg'!B1083="","",'Port Bloomberg'!B1083)</f>
        <v/>
      </c>
      <c r="C1083" s="7" t="str">
        <f>IF('Port Bloomberg'!C1083="","",'Port Bloomberg'!C1083)</f>
        <v/>
      </c>
      <c r="D1083" s="7" t="str">
        <f>IF('Port Bloomberg'!D1083="","",'Port Bloomberg'!D1083)</f>
        <v/>
      </c>
      <c r="E1083" s="7" t="str">
        <f>IF('Port Bloomberg'!E1083="","",'Port Bloomberg'!E1083)</f>
        <v/>
      </c>
      <c r="F1083" s="7" t="str">
        <f>IF('Port Bloomberg'!F1083="","",'Port Bloomberg'!F1083)</f>
        <v/>
      </c>
      <c r="G1083" s="7" t="str">
        <f>IF('Port Bloomberg'!G1083="","",'Port Bloomberg'!G1083)</f>
        <v/>
      </c>
      <c r="H1083" s="7" t="str">
        <f>IF('Port Bloomberg'!H1083="","",'Port Bloomberg'!H1083)</f>
        <v/>
      </c>
      <c r="I1083" s="7" t="str">
        <f>IF('Port Bloomberg'!I1083="","",'Port Bloomberg'!I1083)</f>
        <v/>
      </c>
      <c r="J1083" s="7" t="str">
        <f>IF('Port Bloomberg'!J1083="","",'Port Bloomberg'!J1083)</f>
        <v/>
      </c>
      <c r="K1083" s="7" t="str">
        <f>IF('Port Bloomberg'!K1083="","",'Port Bloomberg'!K1083)</f>
        <v/>
      </c>
      <c r="L1083" s="7" t="str">
        <f>IF('Port Bloomberg'!L1083="","",'Port Bloomberg'!L1083)</f>
        <v/>
      </c>
      <c r="M1083" s="7" t="str">
        <f>IF('Port Bloomberg'!M1083="","",'Port Bloomberg'!M1083)</f>
        <v/>
      </c>
      <c r="N1083" s="7" t="str">
        <f>IF('Port Bloomberg'!N1083="","",'Port Bloomberg'!N1083)</f>
        <v/>
      </c>
      <c r="O1083" s="7" t="str">
        <f>IF('Port Bloomberg'!O1083="","",'Port Bloomberg'!O1083)</f>
        <v/>
      </c>
      <c r="P1083" s="7" t="str">
        <f>IF('Port Bloomberg'!P1083="","",'Port Bloomberg'!P1083)</f>
        <v/>
      </c>
      <c r="Q1083" s="7" t="str">
        <f>IF('Port Bloomberg'!Q1083="","",'Port Bloomberg'!Q1083)</f>
        <v/>
      </c>
      <c r="R1083" s="7" t="str">
        <f>IF('Port Bloomberg'!R1083="","",'Port Bloomberg'!R1083)</f>
        <v/>
      </c>
      <c r="S1083" s="5" t="str">
        <f>IF(E1083="","",IFERROR(IF(MATCH(E1083,[1]Instrumentos!$D:$D,0)&gt;0,1,0),0))</f>
        <v/>
      </c>
      <c r="T1083" s="5" t="str">
        <f>IF(E1083="","",IFERROR(IF(MATCH(E1083,'Lista de excepciones'!$E:$E,0)&gt;0,1,0),0))</f>
        <v/>
      </c>
      <c r="U1083" s="6" t="str">
        <f t="shared" si="17"/>
        <v/>
      </c>
    </row>
    <row r="1084" spans="1:21" hidden="1" x14ac:dyDescent="0.25">
      <c r="A1084" s="7" t="str">
        <f>IF('Port Bloomberg'!A1084="","",'Port Bloomberg'!A1084)</f>
        <v/>
      </c>
      <c r="B1084" s="7" t="str">
        <f>IF('Port Bloomberg'!B1084="","",'Port Bloomberg'!B1084)</f>
        <v/>
      </c>
      <c r="C1084" s="7" t="str">
        <f>IF('Port Bloomberg'!C1084="","",'Port Bloomberg'!C1084)</f>
        <v/>
      </c>
      <c r="D1084" s="7" t="str">
        <f>IF('Port Bloomberg'!D1084="","",'Port Bloomberg'!D1084)</f>
        <v/>
      </c>
      <c r="E1084" s="7" t="str">
        <f>IF('Port Bloomberg'!E1084="","",'Port Bloomberg'!E1084)</f>
        <v/>
      </c>
      <c r="F1084" s="7" t="str">
        <f>IF('Port Bloomberg'!F1084="","",'Port Bloomberg'!F1084)</f>
        <v/>
      </c>
      <c r="G1084" s="7" t="str">
        <f>IF('Port Bloomberg'!G1084="","",'Port Bloomberg'!G1084)</f>
        <v/>
      </c>
      <c r="H1084" s="7" t="str">
        <f>IF('Port Bloomberg'!H1084="","",'Port Bloomberg'!H1084)</f>
        <v/>
      </c>
      <c r="I1084" s="7" t="str">
        <f>IF('Port Bloomberg'!I1084="","",'Port Bloomberg'!I1084)</f>
        <v/>
      </c>
      <c r="J1084" s="7" t="str">
        <f>IF('Port Bloomberg'!J1084="","",'Port Bloomberg'!J1084)</f>
        <v/>
      </c>
      <c r="K1084" s="7" t="str">
        <f>IF('Port Bloomberg'!K1084="","",'Port Bloomberg'!K1084)</f>
        <v/>
      </c>
      <c r="L1084" s="7" t="str">
        <f>IF('Port Bloomberg'!L1084="","",'Port Bloomberg'!L1084)</f>
        <v/>
      </c>
      <c r="M1084" s="7" t="str">
        <f>IF('Port Bloomberg'!M1084="","",'Port Bloomberg'!M1084)</f>
        <v/>
      </c>
      <c r="N1084" s="7" t="str">
        <f>IF('Port Bloomberg'!N1084="","",'Port Bloomberg'!N1084)</f>
        <v/>
      </c>
      <c r="O1084" s="7" t="str">
        <f>IF('Port Bloomberg'!O1084="","",'Port Bloomberg'!O1084)</f>
        <v/>
      </c>
      <c r="P1084" s="7" t="str">
        <f>IF('Port Bloomberg'!P1084="","",'Port Bloomberg'!P1084)</f>
        <v/>
      </c>
      <c r="Q1084" s="7" t="str">
        <f>IF('Port Bloomberg'!Q1084="","",'Port Bloomberg'!Q1084)</f>
        <v/>
      </c>
      <c r="R1084" s="7" t="str">
        <f>IF('Port Bloomberg'!R1084="","",'Port Bloomberg'!R1084)</f>
        <v/>
      </c>
      <c r="S1084" s="5" t="str">
        <f>IF(E1084="","",IFERROR(IF(MATCH(E1084,[1]Instrumentos!$D:$D,0)&gt;0,1,0),0))</f>
        <v/>
      </c>
      <c r="T1084" s="5" t="str">
        <f>IF(E1084="","",IFERROR(IF(MATCH(E1084,'Lista de excepciones'!$E:$E,0)&gt;0,1,0),0))</f>
        <v/>
      </c>
      <c r="U1084" s="6" t="str">
        <f t="shared" si="17"/>
        <v/>
      </c>
    </row>
    <row r="1085" spans="1:21" hidden="1" x14ac:dyDescent="0.25">
      <c r="A1085" s="7" t="str">
        <f>IF('Port Bloomberg'!A1085="","",'Port Bloomberg'!A1085)</f>
        <v/>
      </c>
      <c r="B1085" s="7" t="str">
        <f>IF('Port Bloomberg'!B1085="","",'Port Bloomberg'!B1085)</f>
        <v/>
      </c>
      <c r="C1085" s="7" t="str">
        <f>IF('Port Bloomberg'!C1085="","",'Port Bloomberg'!C1085)</f>
        <v/>
      </c>
      <c r="D1085" s="7" t="str">
        <f>IF('Port Bloomberg'!D1085="","",'Port Bloomberg'!D1085)</f>
        <v/>
      </c>
      <c r="E1085" s="7" t="str">
        <f>IF('Port Bloomberg'!E1085="","",'Port Bloomberg'!E1085)</f>
        <v/>
      </c>
      <c r="F1085" s="7" t="str">
        <f>IF('Port Bloomberg'!F1085="","",'Port Bloomberg'!F1085)</f>
        <v/>
      </c>
      <c r="G1085" s="7" t="str">
        <f>IF('Port Bloomberg'!G1085="","",'Port Bloomberg'!G1085)</f>
        <v/>
      </c>
      <c r="H1085" s="7" t="str">
        <f>IF('Port Bloomberg'!H1085="","",'Port Bloomberg'!H1085)</f>
        <v/>
      </c>
      <c r="I1085" s="7" t="str">
        <f>IF('Port Bloomberg'!I1085="","",'Port Bloomberg'!I1085)</f>
        <v/>
      </c>
      <c r="J1085" s="7" t="str">
        <f>IF('Port Bloomberg'!J1085="","",'Port Bloomberg'!J1085)</f>
        <v/>
      </c>
      <c r="K1085" s="7" t="str">
        <f>IF('Port Bloomberg'!K1085="","",'Port Bloomberg'!K1085)</f>
        <v/>
      </c>
      <c r="L1085" s="7" t="str">
        <f>IF('Port Bloomberg'!L1085="","",'Port Bloomberg'!L1085)</f>
        <v/>
      </c>
      <c r="M1085" s="7" t="str">
        <f>IF('Port Bloomberg'!M1085="","",'Port Bloomberg'!M1085)</f>
        <v/>
      </c>
      <c r="N1085" s="7" t="str">
        <f>IF('Port Bloomberg'!N1085="","",'Port Bloomberg'!N1085)</f>
        <v/>
      </c>
      <c r="O1085" s="7" t="str">
        <f>IF('Port Bloomberg'!O1085="","",'Port Bloomberg'!O1085)</f>
        <v/>
      </c>
      <c r="P1085" s="7" t="str">
        <f>IF('Port Bloomberg'!P1085="","",'Port Bloomberg'!P1085)</f>
        <v/>
      </c>
      <c r="Q1085" s="7" t="str">
        <f>IF('Port Bloomberg'!Q1085="","",'Port Bloomberg'!Q1085)</f>
        <v/>
      </c>
      <c r="R1085" s="7" t="str">
        <f>IF('Port Bloomberg'!R1085="","",'Port Bloomberg'!R1085)</f>
        <v/>
      </c>
      <c r="S1085" s="5" t="str">
        <f>IF(E1085="","",IFERROR(IF(MATCH(E1085,[1]Instrumentos!$D:$D,0)&gt;0,1,0),0))</f>
        <v/>
      </c>
      <c r="T1085" s="5" t="str">
        <f>IF(E1085="","",IFERROR(IF(MATCH(E1085,'Lista de excepciones'!$E:$E,0)&gt;0,1,0),0))</f>
        <v/>
      </c>
      <c r="U1085" s="6" t="str">
        <f t="shared" si="17"/>
        <v/>
      </c>
    </row>
    <row r="1086" spans="1:21" hidden="1" x14ac:dyDescent="0.25">
      <c r="A1086" s="7" t="str">
        <f>IF('Port Bloomberg'!A1086="","",'Port Bloomberg'!A1086)</f>
        <v/>
      </c>
      <c r="B1086" s="7" t="str">
        <f>IF('Port Bloomberg'!B1086="","",'Port Bloomberg'!B1086)</f>
        <v/>
      </c>
      <c r="C1086" s="7" t="str">
        <f>IF('Port Bloomberg'!C1086="","",'Port Bloomberg'!C1086)</f>
        <v/>
      </c>
      <c r="D1086" s="7" t="str">
        <f>IF('Port Bloomberg'!D1086="","",'Port Bloomberg'!D1086)</f>
        <v/>
      </c>
      <c r="E1086" s="7" t="str">
        <f>IF('Port Bloomberg'!E1086="","",'Port Bloomberg'!E1086)</f>
        <v/>
      </c>
      <c r="F1086" s="7" t="str">
        <f>IF('Port Bloomberg'!F1086="","",'Port Bloomberg'!F1086)</f>
        <v/>
      </c>
      <c r="G1086" s="7" t="str">
        <f>IF('Port Bloomberg'!G1086="","",'Port Bloomberg'!G1086)</f>
        <v/>
      </c>
      <c r="H1086" s="7" t="str">
        <f>IF('Port Bloomberg'!H1086="","",'Port Bloomberg'!H1086)</f>
        <v/>
      </c>
      <c r="I1086" s="7" t="str">
        <f>IF('Port Bloomberg'!I1086="","",'Port Bloomberg'!I1086)</f>
        <v/>
      </c>
      <c r="J1086" s="7" t="str">
        <f>IF('Port Bloomberg'!J1086="","",'Port Bloomberg'!J1086)</f>
        <v/>
      </c>
      <c r="K1086" s="7" t="str">
        <f>IF('Port Bloomberg'!K1086="","",'Port Bloomberg'!K1086)</f>
        <v/>
      </c>
      <c r="L1086" s="7" t="str">
        <f>IF('Port Bloomberg'!L1086="","",'Port Bloomberg'!L1086)</f>
        <v/>
      </c>
      <c r="M1086" s="7" t="str">
        <f>IF('Port Bloomberg'!M1086="","",'Port Bloomberg'!M1086)</f>
        <v/>
      </c>
      <c r="N1086" s="7" t="str">
        <f>IF('Port Bloomberg'!N1086="","",'Port Bloomberg'!N1086)</f>
        <v/>
      </c>
      <c r="O1086" s="7" t="str">
        <f>IF('Port Bloomberg'!O1086="","",'Port Bloomberg'!O1086)</f>
        <v/>
      </c>
      <c r="P1086" s="7" t="str">
        <f>IF('Port Bloomberg'!P1086="","",'Port Bloomberg'!P1086)</f>
        <v/>
      </c>
      <c r="Q1086" s="7" t="str">
        <f>IF('Port Bloomberg'!Q1086="","",'Port Bloomberg'!Q1086)</f>
        <v/>
      </c>
      <c r="R1086" s="7" t="str">
        <f>IF('Port Bloomberg'!R1086="","",'Port Bloomberg'!R1086)</f>
        <v/>
      </c>
      <c r="S1086" s="5" t="str">
        <f>IF(E1086="","",IFERROR(IF(MATCH(E1086,[1]Instrumentos!$D:$D,0)&gt;0,1,0),0))</f>
        <v/>
      </c>
      <c r="T1086" s="5" t="str">
        <f>IF(E1086="","",IFERROR(IF(MATCH(E1086,'Lista de excepciones'!$E:$E,0)&gt;0,1,0),0))</f>
        <v/>
      </c>
      <c r="U1086" s="6" t="str">
        <f t="shared" si="17"/>
        <v/>
      </c>
    </row>
    <row r="1087" spans="1:21" hidden="1" x14ac:dyDescent="0.25">
      <c r="A1087" s="7" t="str">
        <f>IF('Port Bloomberg'!A1087="","",'Port Bloomberg'!A1087)</f>
        <v/>
      </c>
      <c r="B1087" s="7" t="str">
        <f>IF('Port Bloomberg'!B1087="","",'Port Bloomberg'!B1087)</f>
        <v/>
      </c>
      <c r="C1087" s="7" t="str">
        <f>IF('Port Bloomberg'!C1087="","",'Port Bloomberg'!C1087)</f>
        <v/>
      </c>
      <c r="D1087" s="7" t="str">
        <f>IF('Port Bloomberg'!D1087="","",'Port Bloomberg'!D1087)</f>
        <v/>
      </c>
      <c r="E1087" s="7" t="str">
        <f>IF('Port Bloomberg'!E1087="","",'Port Bloomberg'!E1087)</f>
        <v/>
      </c>
      <c r="F1087" s="7" t="str">
        <f>IF('Port Bloomberg'!F1087="","",'Port Bloomberg'!F1087)</f>
        <v/>
      </c>
      <c r="G1087" s="7" t="str">
        <f>IF('Port Bloomberg'!G1087="","",'Port Bloomberg'!G1087)</f>
        <v/>
      </c>
      <c r="H1087" s="7" t="str">
        <f>IF('Port Bloomberg'!H1087="","",'Port Bloomberg'!H1087)</f>
        <v/>
      </c>
      <c r="I1087" s="7" t="str">
        <f>IF('Port Bloomberg'!I1087="","",'Port Bloomberg'!I1087)</f>
        <v/>
      </c>
      <c r="J1087" s="7" t="str">
        <f>IF('Port Bloomberg'!J1087="","",'Port Bloomberg'!J1087)</f>
        <v/>
      </c>
      <c r="K1087" s="7" t="str">
        <f>IF('Port Bloomberg'!K1087="","",'Port Bloomberg'!K1087)</f>
        <v/>
      </c>
      <c r="L1087" s="7" t="str">
        <f>IF('Port Bloomberg'!L1087="","",'Port Bloomberg'!L1087)</f>
        <v/>
      </c>
      <c r="M1087" s="7" t="str">
        <f>IF('Port Bloomberg'!M1087="","",'Port Bloomberg'!M1087)</f>
        <v/>
      </c>
      <c r="N1087" s="7" t="str">
        <f>IF('Port Bloomberg'!N1087="","",'Port Bloomberg'!N1087)</f>
        <v/>
      </c>
      <c r="O1087" s="7" t="str">
        <f>IF('Port Bloomberg'!O1087="","",'Port Bloomberg'!O1087)</f>
        <v/>
      </c>
      <c r="P1087" s="7" t="str">
        <f>IF('Port Bloomberg'!P1087="","",'Port Bloomberg'!P1087)</f>
        <v/>
      </c>
      <c r="Q1087" s="7" t="str">
        <f>IF('Port Bloomberg'!Q1087="","",'Port Bloomberg'!Q1087)</f>
        <v/>
      </c>
      <c r="R1087" s="7" t="str">
        <f>IF('Port Bloomberg'!R1087="","",'Port Bloomberg'!R1087)</f>
        <v/>
      </c>
      <c r="S1087" s="5" t="str">
        <f>IF(E1087="","",IFERROR(IF(MATCH(E1087,[1]Instrumentos!$D:$D,0)&gt;0,1,0),0))</f>
        <v/>
      </c>
      <c r="T1087" s="5" t="str">
        <f>IF(E1087="","",IFERROR(IF(MATCH(E1087,'Lista de excepciones'!$E:$E,0)&gt;0,1,0),0))</f>
        <v/>
      </c>
      <c r="U1087" s="6" t="str">
        <f t="shared" si="17"/>
        <v/>
      </c>
    </row>
    <row r="1088" spans="1:21" hidden="1" x14ac:dyDescent="0.25">
      <c r="A1088" s="7" t="str">
        <f>IF('Port Bloomberg'!A1088="","",'Port Bloomberg'!A1088)</f>
        <v/>
      </c>
      <c r="B1088" s="7" t="str">
        <f>IF('Port Bloomberg'!B1088="","",'Port Bloomberg'!B1088)</f>
        <v/>
      </c>
      <c r="C1088" s="7" t="str">
        <f>IF('Port Bloomberg'!C1088="","",'Port Bloomberg'!C1088)</f>
        <v/>
      </c>
      <c r="D1088" s="7" t="str">
        <f>IF('Port Bloomberg'!D1088="","",'Port Bloomberg'!D1088)</f>
        <v/>
      </c>
      <c r="E1088" s="7" t="str">
        <f>IF('Port Bloomberg'!E1088="","",'Port Bloomberg'!E1088)</f>
        <v/>
      </c>
      <c r="F1088" s="7" t="str">
        <f>IF('Port Bloomberg'!F1088="","",'Port Bloomberg'!F1088)</f>
        <v/>
      </c>
      <c r="G1088" s="7" t="str">
        <f>IF('Port Bloomberg'!G1088="","",'Port Bloomberg'!G1088)</f>
        <v/>
      </c>
      <c r="H1088" s="7" t="str">
        <f>IF('Port Bloomberg'!H1088="","",'Port Bloomberg'!H1088)</f>
        <v/>
      </c>
      <c r="I1088" s="7" t="str">
        <f>IF('Port Bloomberg'!I1088="","",'Port Bloomberg'!I1088)</f>
        <v/>
      </c>
      <c r="J1088" s="7" t="str">
        <f>IF('Port Bloomberg'!J1088="","",'Port Bloomberg'!J1088)</f>
        <v/>
      </c>
      <c r="K1088" s="7" t="str">
        <f>IF('Port Bloomberg'!K1088="","",'Port Bloomberg'!K1088)</f>
        <v/>
      </c>
      <c r="L1088" s="7" t="str">
        <f>IF('Port Bloomberg'!L1088="","",'Port Bloomberg'!L1088)</f>
        <v/>
      </c>
      <c r="M1088" s="7" t="str">
        <f>IF('Port Bloomberg'!M1088="","",'Port Bloomberg'!M1088)</f>
        <v/>
      </c>
      <c r="N1088" s="7" t="str">
        <f>IF('Port Bloomberg'!N1088="","",'Port Bloomberg'!N1088)</f>
        <v/>
      </c>
      <c r="O1088" s="7" t="str">
        <f>IF('Port Bloomberg'!O1088="","",'Port Bloomberg'!O1088)</f>
        <v/>
      </c>
      <c r="P1088" s="7" t="str">
        <f>IF('Port Bloomberg'!P1088="","",'Port Bloomberg'!P1088)</f>
        <v/>
      </c>
      <c r="Q1088" s="7" t="str">
        <f>IF('Port Bloomberg'!Q1088="","",'Port Bloomberg'!Q1088)</f>
        <v/>
      </c>
      <c r="R1088" s="7" t="str">
        <f>IF('Port Bloomberg'!R1088="","",'Port Bloomberg'!R1088)</f>
        <v/>
      </c>
      <c r="S1088" s="5" t="str">
        <f>IF(E1088="","",IFERROR(IF(MATCH(E1088,[1]Instrumentos!$D:$D,0)&gt;0,1,0),0))</f>
        <v/>
      </c>
      <c r="T1088" s="5" t="str">
        <f>IF(E1088="","",IFERROR(IF(MATCH(E1088,'Lista de excepciones'!$E:$E,0)&gt;0,1,0),0))</f>
        <v/>
      </c>
      <c r="U1088" s="6" t="str">
        <f t="shared" si="17"/>
        <v/>
      </c>
    </row>
    <row r="1089" spans="1:21" hidden="1" x14ac:dyDescent="0.25">
      <c r="A1089" s="7" t="str">
        <f>IF('Port Bloomberg'!A1089="","",'Port Bloomberg'!A1089)</f>
        <v/>
      </c>
      <c r="B1089" s="7" t="str">
        <f>IF('Port Bloomberg'!B1089="","",'Port Bloomberg'!B1089)</f>
        <v/>
      </c>
      <c r="C1089" s="7" t="str">
        <f>IF('Port Bloomberg'!C1089="","",'Port Bloomberg'!C1089)</f>
        <v/>
      </c>
      <c r="D1089" s="7" t="str">
        <f>IF('Port Bloomberg'!D1089="","",'Port Bloomberg'!D1089)</f>
        <v/>
      </c>
      <c r="E1089" s="7" t="str">
        <f>IF('Port Bloomberg'!E1089="","",'Port Bloomberg'!E1089)</f>
        <v/>
      </c>
      <c r="F1089" s="7" t="str">
        <f>IF('Port Bloomberg'!F1089="","",'Port Bloomberg'!F1089)</f>
        <v/>
      </c>
      <c r="G1089" s="7" t="str">
        <f>IF('Port Bloomberg'!G1089="","",'Port Bloomberg'!G1089)</f>
        <v/>
      </c>
      <c r="H1089" s="7" t="str">
        <f>IF('Port Bloomberg'!H1089="","",'Port Bloomberg'!H1089)</f>
        <v/>
      </c>
      <c r="I1089" s="7" t="str">
        <f>IF('Port Bloomberg'!I1089="","",'Port Bloomberg'!I1089)</f>
        <v/>
      </c>
      <c r="J1089" s="7" t="str">
        <f>IF('Port Bloomberg'!J1089="","",'Port Bloomberg'!J1089)</f>
        <v/>
      </c>
      <c r="K1089" s="7" t="str">
        <f>IF('Port Bloomberg'!K1089="","",'Port Bloomberg'!K1089)</f>
        <v/>
      </c>
      <c r="L1089" s="7" t="str">
        <f>IF('Port Bloomberg'!L1089="","",'Port Bloomberg'!L1089)</f>
        <v/>
      </c>
      <c r="M1089" s="7" t="str">
        <f>IF('Port Bloomberg'!M1089="","",'Port Bloomberg'!M1089)</f>
        <v/>
      </c>
      <c r="N1089" s="7" t="str">
        <f>IF('Port Bloomberg'!N1089="","",'Port Bloomberg'!N1089)</f>
        <v/>
      </c>
      <c r="O1089" s="7" t="str">
        <f>IF('Port Bloomberg'!O1089="","",'Port Bloomberg'!O1089)</f>
        <v/>
      </c>
      <c r="P1089" s="7" t="str">
        <f>IF('Port Bloomberg'!P1089="","",'Port Bloomberg'!P1089)</f>
        <v/>
      </c>
      <c r="Q1089" s="7" t="str">
        <f>IF('Port Bloomberg'!Q1089="","",'Port Bloomberg'!Q1089)</f>
        <v/>
      </c>
      <c r="R1089" s="7" t="str">
        <f>IF('Port Bloomberg'!R1089="","",'Port Bloomberg'!R1089)</f>
        <v/>
      </c>
      <c r="S1089" s="5" t="str">
        <f>IF(E1089="","",IFERROR(IF(MATCH(E1089,[1]Instrumentos!$D:$D,0)&gt;0,1,0),0))</f>
        <v/>
      </c>
      <c r="T1089" s="5" t="str">
        <f>IF(E1089="","",IFERROR(IF(MATCH(E1089,'Lista de excepciones'!$E:$E,0)&gt;0,1,0),0))</f>
        <v/>
      </c>
      <c r="U1089" s="6" t="str">
        <f t="shared" si="17"/>
        <v/>
      </c>
    </row>
    <row r="1090" spans="1:21" hidden="1" x14ac:dyDescent="0.25">
      <c r="A1090" s="7" t="str">
        <f>IF('Port Bloomberg'!A1090="","",'Port Bloomberg'!A1090)</f>
        <v/>
      </c>
      <c r="B1090" s="7" t="str">
        <f>IF('Port Bloomberg'!B1090="","",'Port Bloomberg'!B1090)</f>
        <v/>
      </c>
      <c r="C1090" s="7" t="str">
        <f>IF('Port Bloomberg'!C1090="","",'Port Bloomberg'!C1090)</f>
        <v/>
      </c>
      <c r="D1090" s="7" t="str">
        <f>IF('Port Bloomberg'!D1090="","",'Port Bloomberg'!D1090)</f>
        <v/>
      </c>
      <c r="E1090" s="7" t="str">
        <f>IF('Port Bloomberg'!E1090="","",'Port Bloomberg'!E1090)</f>
        <v/>
      </c>
      <c r="F1090" s="7" t="str">
        <f>IF('Port Bloomberg'!F1090="","",'Port Bloomberg'!F1090)</f>
        <v/>
      </c>
      <c r="G1090" s="7" t="str">
        <f>IF('Port Bloomberg'!G1090="","",'Port Bloomberg'!G1090)</f>
        <v/>
      </c>
      <c r="H1090" s="7" t="str">
        <f>IF('Port Bloomberg'!H1090="","",'Port Bloomberg'!H1090)</f>
        <v/>
      </c>
      <c r="I1090" s="7" t="str">
        <f>IF('Port Bloomberg'!I1090="","",'Port Bloomberg'!I1090)</f>
        <v/>
      </c>
      <c r="J1090" s="7" t="str">
        <f>IF('Port Bloomberg'!J1090="","",'Port Bloomberg'!J1090)</f>
        <v/>
      </c>
      <c r="K1090" s="7" t="str">
        <f>IF('Port Bloomberg'!K1090="","",'Port Bloomberg'!K1090)</f>
        <v/>
      </c>
      <c r="L1090" s="7" t="str">
        <f>IF('Port Bloomberg'!L1090="","",'Port Bloomberg'!L1090)</f>
        <v/>
      </c>
      <c r="M1090" s="7" t="str">
        <f>IF('Port Bloomberg'!M1090="","",'Port Bloomberg'!M1090)</f>
        <v/>
      </c>
      <c r="N1090" s="7" t="str">
        <f>IF('Port Bloomberg'!N1090="","",'Port Bloomberg'!N1090)</f>
        <v/>
      </c>
      <c r="O1090" s="7" t="str">
        <f>IF('Port Bloomberg'!O1090="","",'Port Bloomberg'!O1090)</f>
        <v/>
      </c>
      <c r="P1090" s="7" t="str">
        <f>IF('Port Bloomberg'!P1090="","",'Port Bloomberg'!P1090)</f>
        <v/>
      </c>
      <c r="Q1090" s="7" t="str">
        <f>IF('Port Bloomberg'!Q1090="","",'Port Bloomberg'!Q1090)</f>
        <v/>
      </c>
      <c r="R1090" s="7" t="str">
        <f>IF('Port Bloomberg'!R1090="","",'Port Bloomberg'!R1090)</f>
        <v/>
      </c>
      <c r="S1090" s="5" t="str">
        <f>IF(E1090="","",IFERROR(IF(MATCH(E1090,[1]Instrumentos!$D:$D,0)&gt;0,1,0),0))</f>
        <v/>
      </c>
      <c r="T1090" s="5" t="str">
        <f>IF(E1090="","",IFERROR(IF(MATCH(E1090,'Lista de excepciones'!$E:$E,0)&gt;0,1,0),0))</f>
        <v/>
      </c>
      <c r="U1090" s="6" t="str">
        <f t="shared" si="17"/>
        <v/>
      </c>
    </row>
    <row r="1091" spans="1:21" hidden="1" x14ac:dyDescent="0.25">
      <c r="A1091" s="7" t="str">
        <f>IF('Port Bloomberg'!A1091="","",'Port Bloomberg'!A1091)</f>
        <v/>
      </c>
      <c r="B1091" s="7" t="str">
        <f>IF('Port Bloomberg'!B1091="","",'Port Bloomberg'!B1091)</f>
        <v/>
      </c>
      <c r="C1091" s="7" t="str">
        <f>IF('Port Bloomberg'!C1091="","",'Port Bloomberg'!C1091)</f>
        <v/>
      </c>
      <c r="D1091" s="7" t="str">
        <f>IF('Port Bloomberg'!D1091="","",'Port Bloomberg'!D1091)</f>
        <v/>
      </c>
      <c r="E1091" s="7" t="str">
        <f>IF('Port Bloomberg'!E1091="","",'Port Bloomberg'!E1091)</f>
        <v/>
      </c>
      <c r="F1091" s="7" t="str">
        <f>IF('Port Bloomberg'!F1091="","",'Port Bloomberg'!F1091)</f>
        <v/>
      </c>
      <c r="G1091" s="7" t="str">
        <f>IF('Port Bloomberg'!G1091="","",'Port Bloomberg'!G1091)</f>
        <v/>
      </c>
      <c r="H1091" s="7" t="str">
        <f>IF('Port Bloomberg'!H1091="","",'Port Bloomberg'!H1091)</f>
        <v/>
      </c>
      <c r="I1091" s="7" t="str">
        <f>IF('Port Bloomberg'!I1091="","",'Port Bloomberg'!I1091)</f>
        <v/>
      </c>
      <c r="J1091" s="7" t="str">
        <f>IF('Port Bloomberg'!J1091="","",'Port Bloomberg'!J1091)</f>
        <v/>
      </c>
      <c r="K1091" s="7" t="str">
        <f>IF('Port Bloomberg'!K1091="","",'Port Bloomberg'!K1091)</f>
        <v/>
      </c>
      <c r="L1091" s="7" t="str">
        <f>IF('Port Bloomberg'!L1091="","",'Port Bloomberg'!L1091)</f>
        <v/>
      </c>
      <c r="M1091" s="7" t="str">
        <f>IF('Port Bloomberg'!M1091="","",'Port Bloomberg'!M1091)</f>
        <v/>
      </c>
      <c r="N1091" s="7" t="str">
        <f>IF('Port Bloomberg'!N1091="","",'Port Bloomberg'!N1091)</f>
        <v/>
      </c>
      <c r="O1091" s="7" t="str">
        <f>IF('Port Bloomberg'!O1091="","",'Port Bloomberg'!O1091)</f>
        <v/>
      </c>
      <c r="P1091" s="7" t="str">
        <f>IF('Port Bloomberg'!P1091="","",'Port Bloomberg'!P1091)</f>
        <v/>
      </c>
      <c r="Q1091" s="7" t="str">
        <f>IF('Port Bloomberg'!Q1091="","",'Port Bloomberg'!Q1091)</f>
        <v/>
      </c>
      <c r="R1091" s="7" t="str">
        <f>IF('Port Bloomberg'!R1091="","",'Port Bloomberg'!R1091)</f>
        <v/>
      </c>
      <c r="S1091" s="5" t="str">
        <f>IF(E1091="","",IFERROR(IF(MATCH(E1091,[1]Instrumentos!$D:$D,0)&gt;0,1,0),0))</f>
        <v/>
      </c>
      <c r="T1091" s="5" t="str">
        <f>IF(E1091="","",IFERROR(IF(MATCH(E1091,'Lista de excepciones'!$E:$E,0)&gt;0,1,0),0))</f>
        <v/>
      </c>
      <c r="U1091" s="6" t="str">
        <f t="shared" ref="U1091:U1154" si="18">IF(E1091="","",IF(S1091+T1091=0,"AGREGAR/REVISAR","NO"))</f>
        <v/>
      </c>
    </row>
    <row r="1092" spans="1:21" hidden="1" x14ac:dyDescent="0.25">
      <c r="A1092" s="7" t="str">
        <f>IF('Port Bloomberg'!A1092="","",'Port Bloomberg'!A1092)</f>
        <v/>
      </c>
      <c r="B1092" s="7" t="str">
        <f>IF('Port Bloomberg'!B1092="","",'Port Bloomberg'!B1092)</f>
        <v/>
      </c>
      <c r="C1092" s="7" t="str">
        <f>IF('Port Bloomberg'!C1092="","",'Port Bloomberg'!C1092)</f>
        <v/>
      </c>
      <c r="D1092" s="7" t="str">
        <f>IF('Port Bloomberg'!D1092="","",'Port Bloomberg'!D1092)</f>
        <v/>
      </c>
      <c r="E1092" s="7" t="str">
        <f>IF('Port Bloomberg'!E1092="","",'Port Bloomberg'!E1092)</f>
        <v/>
      </c>
      <c r="F1092" s="7" t="str">
        <f>IF('Port Bloomberg'!F1092="","",'Port Bloomberg'!F1092)</f>
        <v/>
      </c>
      <c r="G1092" s="7" t="str">
        <f>IF('Port Bloomberg'!G1092="","",'Port Bloomberg'!G1092)</f>
        <v/>
      </c>
      <c r="H1092" s="7" t="str">
        <f>IF('Port Bloomberg'!H1092="","",'Port Bloomberg'!H1092)</f>
        <v/>
      </c>
      <c r="I1092" s="7" t="str">
        <f>IF('Port Bloomberg'!I1092="","",'Port Bloomberg'!I1092)</f>
        <v/>
      </c>
      <c r="J1092" s="7" t="str">
        <f>IF('Port Bloomberg'!J1092="","",'Port Bloomberg'!J1092)</f>
        <v/>
      </c>
      <c r="K1092" s="7" t="str">
        <f>IF('Port Bloomberg'!K1092="","",'Port Bloomberg'!K1092)</f>
        <v/>
      </c>
      <c r="L1092" s="7" t="str">
        <f>IF('Port Bloomberg'!L1092="","",'Port Bloomberg'!L1092)</f>
        <v/>
      </c>
      <c r="M1092" s="7" t="str">
        <f>IF('Port Bloomberg'!M1092="","",'Port Bloomberg'!M1092)</f>
        <v/>
      </c>
      <c r="N1092" s="7" t="str">
        <f>IF('Port Bloomberg'!N1092="","",'Port Bloomberg'!N1092)</f>
        <v/>
      </c>
      <c r="O1092" s="7" t="str">
        <f>IF('Port Bloomberg'!O1092="","",'Port Bloomberg'!O1092)</f>
        <v/>
      </c>
      <c r="P1092" s="7" t="str">
        <f>IF('Port Bloomberg'!P1092="","",'Port Bloomberg'!P1092)</f>
        <v/>
      </c>
      <c r="Q1092" s="7" t="str">
        <f>IF('Port Bloomberg'!Q1092="","",'Port Bloomberg'!Q1092)</f>
        <v/>
      </c>
      <c r="R1092" s="7" t="str">
        <f>IF('Port Bloomberg'!R1092="","",'Port Bloomberg'!R1092)</f>
        <v/>
      </c>
      <c r="S1092" s="5" t="str">
        <f>IF(E1092="","",IFERROR(IF(MATCH(E1092,[1]Instrumentos!$D:$D,0)&gt;0,1,0),0))</f>
        <v/>
      </c>
      <c r="T1092" s="5" t="str">
        <f>IF(E1092="","",IFERROR(IF(MATCH(E1092,'Lista de excepciones'!$E:$E,0)&gt;0,1,0),0))</f>
        <v/>
      </c>
      <c r="U1092" s="6" t="str">
        <f t="shared" si="18"/>
        <v/>
      </c>
    </row>
    <row r="1093" spans="1:21" hidden="1" x14ac:dyDescent="0.25">
      <c r="A1093" s="7" t="str">
        <f>IF('Port Bloomberg'!A1093="","",'Port Bloomberg'!A1093)</f>
        <v/>
      </c>
      <c r="B1093" s="7" t="str">
        <f>IF('Port Bloomberg'!B1093="","",'Port Bloomberg'!B1093)</f>
        <v/>
      </c>
      <c r="C1093" s="7" t="str">
        <f>IF('Port Bloomberg'!C1093="","",'Port Bloomberg'!C1093)</f>
        <v/>
      </c>
      <c r="D1093" s="7" t="str">
        <f>IF('Port Bloomberg'!D1093="","",'Port Bloomberg'!D1093)</f>
        <v/>
      </c>
      <c r="E1093" s="7" t="str">
        <f>IF('Port Bloomberg'!E1093="","",'Port Bloomberg'!E1093)</f>
        <v/>
      </c>
      <c r="F1093" s="7" t="str">
        <f>IF('Port Bloomberg'!F1093="","",'Port Bloomberg'!F1093)</f>
        <v/>
      </c>
      <c r="G1093" s="7" t="str">
        <f>IF('Port Bloomberg'!G1093="","",'Port Bloomberg'!G1093)</f>
        <v/>
      </c>
      <c r="H1093" s="7" t="str">
        <f>IF('Port Bloomberg'!H1093="","",'Port Bloomberg'!H1093)</f>
        <v/>
      </c>
      <c r="I1093" s="7" t="str">
        <f>IF('Port Bloomberg'!I1093="","",'Port Bloomberg'!I1093)</f>
        <v/>
      </c>
      <c r="J1093" s="7" t="str">
        <f>IF('Port Bloomberg'!J1093="","",'Port Bloomberg'!J1093)</f>
        <v/>
      </c>
      <c r="K1093" s="7" t="str">
        <f>IF('Port Bloomberg'!K1093="","",'Port Bloomberg'!K1093)</f>
        <v/>
      </c>
      <c r="L1093" s="7" t="str">
        <f>IF('Port Bloomberg'!L1093="","",'Port Bloomberg'!L1093)</f>
        <v/>
      </c>
      <c r="M1093" s="7" t="str">
        <f>IF('Port Bloomberg'!M1093="","",'Port Bloomberg'!M1093)</f>
        <v/>
      </c>
      <c r="N1093" s="7" t="str">
        <f>IF('Port Bloomberg'!N1093="","",'Port Bloomberg'!N1093)</f>
        <v/>
      </c>
      <c r="O1093" s="7" t="str">
        <f>IF('Port Bloomberg'!O1093="","",'Port Bloomberg'!O1093)</f>
        <v/>
      </c>
      <c r="P1093" s="7" t="str">
        <f>IF('Port Bloomberg'!P1093="","",'Port Bloomberg'!P1093)</f>
        <v/>
      </c>
      <c r="Q1093" s="7" t="str">
        <f>IF('Port Bloomberg'!Q1093="","",'Port Bloomberg'!Q1093)</f>
        <v/>
      </c>
      <c r="R1093" s="7" t="str">
        <f>IF('Port Bloomberg'!R1093="","",'Port Bloomberg'!R1093)</f>
        <v/>
      </c>
      <c r="S1093" s="5" t="str">
        <f>IF(E1093="","",IFERROR(IF(MATCH(E1093,[1]Instrumentos!$D:$D,0)&gt;0,1,0),0))</f>
        <v/>
      </c>
      <c r="T1093" s="5" t="str">
        <f>IF(E1093="","",IFERROR(IF(MATCH(E1093,'Lista de excepciones'!$E:$E,0)&gt;0,1,0),0))</f>
        <v/>
      </c>
      <c r="U1093" s="6" t="str">
        <f t="shared" si="18"/>
        <v/>
      </c>
    </row>
    <row r="1094" spans="1:21" hidden="1" x14ac:dyDescent="0.25">
      <c r="A1094" s="7" t="str">
        <f>IF('Port Bloomberg'!A1094="","",'Port Bloomberg'!A1094)</f>
        <v/>
      </c>
      <c r="B1094" s="7" t="str">
        <f>IF('Port Bloomberg'!B1094="","",'Port Bloomberg'!B1094)</f>
        <v/>
      </c>
      <c r="C1094" s="7" t="str">
        <f>IF('Port Bloomberg'!C1094="","",'Port Bloomberg'!C1094)</f>
        <v/>
      </c>
      <c r="D1094" s="7" t="str">
        <f>IF('Port Bloomberg'!D1094="","",'Port Bloomberg'!D1094)</f>
        <v/>
      </c>
      <c r="E1094" s="7" t="str">
        <f>IF('Port Bloomberg'!E1094="","",'Port Bloomberg'!E1094)</f>
        <v/>
      </c>
      <c r="F1094" s="7" t="str">
        <f>IF('Port Bloomberg'!F1094="","",'Port Bloomberg'!F1094)</f>
        <v/>
      </c>
      <c r="G1094" s="7" t="str">
        <f>IF('Port Bloomberg'!G1094="","",'Port Bloomberg'!G1094)</f>
        <v/>
      </c>
      <c r="H1094" s="7" t="str">
        <f>IF('Port Bloomberg'!H1094="","",'Port Bloomberg'!H1094)</f>
        <v/>
      </c>
      <c r="I1094" s="7" t="str">
        <f>IF('Port Bloomberg'!I1094="","",'Port Bloomberg'!I1094)</f>
        <v/>
      </c>
      <c r="J1094" s="7" t="str">
        <f>IF('Port Bloomberg'!J1094="","",'Port Bloomberg'!J1094)</f>
        <v/>
      </c>
      <c r="K1094" s="7" t="str">
        <f>IF('Port Bloomberg'!K1094="","",'Port Bloomberg'!K1094)</f>
        <v/>
      </c>
      <c r="L1094" s="7" t="str">
        <f>IF('Port Bloomberg'!L1094="","",'Port Bloomberg'!L1094)</f>
        <v/>
      </c>
      <c r="M1094" s="7" t="str">
        <f>IF('Port Bloomberg'!M1094="","",'Port Bloomberg'!M1094)</f>
        <v/>
      </c>
      <c r="N1094" s="7" t="str">
        <f>IF('Port Bloomberg'!N1094="","",'Port Bloomberg'!N1094)</f>
        <v/>
      </c>
      <c r="O1094" s="7" t="str">
        <f>IF('Port Bloomberg'!O1094="","",'Port Bloomberg'!O1094)</f>
        <v/>
      </c>
      <c r="P1094" s="7" t="str">
        <f>IF('Port Bloomberg'!P1094="","",'Port Bloomberg'!P1094)</f>
        <v/>
      </c>
      <c r="Q1094" s="7" t="str">
        <f>IF('Port Bloomberg'!Q1094="","",'Port Bloomberg'!Q1094)</f>
        <v/>
      </c>
      <c r="R1094" s="7" t="str">
        <f>IF('Port Bloomberg'!R1094="","",'Port Bloomberg'!R1094)</f>
        <v/>
      </c>
      <c r="S1094" s="5" t="str">
        <f>IF(E1094="","",IFERROR(IF(MATCH(E1094,[1]Instrumentos!$D:$D,0)&gt;0,1,0),0))</f>
        <v/>
      </c>
      <c r="T1094" s="5" t="str">
        <f>IF(E1094="","",IFERROR(IF(MATCH(E1094,'Lista de excepciones'!$E:$E,0)&gt;0,1,0),0))</f>
        <v/>
      </c>
      <c r="U1094" s="6" t="str">
        <f t="shared" si="18"/>
        <v/>
      </c>
    </row>
    <row r="1095" spans="1:21" hidden="1" x14ac:dyDescent="0.25">
      <c r="A1095" s="7" t="str">
        <f>IF('Port Bloomberg'!A1095="","",'Port Bloomberg'!A1095)</f>
        <v/>
      </c>
      <c r="B1095" s="7" t="str">
        <f>IF('Port Bloomberg'!B1095="","",'Port Bloomberg'!B1095)</f>
        <v/>
      </c>
      <c r="C1095" s="7" t="str">
        <f>IF('Port Bloomberg'!C1095="","",'Port Bloomberg'!C1095)</f>
        <v/>
      </c>
      <c r="D1095" s="7" t="str">
        <f>IF('Port Bloomberg'!D1095="","",'Port Bloomberg'!D1095)</f>
        <v/>
      </c>
      <c r="E1095" s="7" t="str">
        <f>IF('Port Bloomberg'!E1095="","",'Port Bloomberg'!E1095)</f>
        <v/>
      </c>
      <c r="F1095" s="7" t="str">
        <f>IF('Port Bloomberg'!F1095="","",'Port Bloomberg'!F1095)</f>
        <v/>
      </c>
      <c r="G1095" s="7" t="str">
        <f>IF('Port Bloomberg'!G1095="","",'Port Bloomberg'!G1095)</f>
        <v/>
      </c>
      <c r="H1095" s="7" t="str">
        <f>IF('Port Bloomberg'!H1095="","",'Port Bloomberg'!H1095)</f>
        <v/>
      </c>
      <c r="I1095" s="7" t="str">
        <f>IF('Port Bloomberg'!I1095="","",'Port Bloomberg'!I1095)</f>
        <v/>
      </c>
      <c r="J1095" s="7" t="str">
        <f>IF('Port Bloomberg'!J1095="","",'Port Bloomberg'!J1095)</f>
        <v/>
      </c>
      <c r="K1095" s="7" t="str">
        <f>IF('Port Bloomberg'!K1095="","",'Port Bloomberg'!K1095)</f>
        <v/>
      </c>
      <c r="L1095" s="7" t="str">
        <f>IF('Port Bloomberg'!L1095="","",'Port Bloomberg'!L1095)</f>
        <v/>
      </c>
      <c r="M1095" s="7" t="str">
        <f>IF('Port Bloomberg'!M1095="","",'Port Bloomberg'!M1095)</f>
        <v/>
      </c>
      <c r="N1095" s="7" t="str">
        <f>IF('Port Bloomberg'!N1095="","",'Port Bloomberg'!N1095)</f>
        <v/>
      </c>
      <c r="O1095" s="7" t="str">
        <f>IF('Port Bloomberg'!O1095="","",'Port Bloomberg'!O1095)</f>
        <v/>
      </c>
      <c r="P1095" s="7" t="str">
        <f>IF('Port Bloomberg'!P1095="","",'Port Bloomberg'!P1095)</f>
        <v/>
      </c>
      <c r="Q1095" s="7" t="str">
        <f>IF('Port Bloomberg'!Q1095="","",'Port Bloomberg'!Q1095)</f>
        <v/>
      </c>
      <c r="R1095" s="7" t="str">
        <f>IF('Port Bloomberg'!R1095="","",'Port Bloomberg'!R1095)</f>
        <v/>
      </c>
      <c r="S1095" s="5" t="str">
        <f>IF(E1095="","",IFERROR(IF(MATCH(E1095,[1]Instrumentos!$D:$D,0)&gt;0,1,0),0))</f>
        <v/>
      </c>
      <c r="T1095" s="5" t="str">
        <f>IF(E1095="","",IFERROR(IF(MATCH(E1095,'Lista de excepciones'!$E:$E,0)&gt;0,1,0),0))</f>
        <v/>
      </c>
      <c r="U1095" s="6" t="str">
        <f t="shared" si="18"/>
        <v/>
      </c>
    </row>
    <row r="1096" spans="1:21" hidden="1" x14ac:dyDescent="0.25">
      <c r="A1096" s="7" t="str">
        <f>IF('Port Bloomberg'!A1096="","",'Port Bloomberg'!A1096)</f>
        <v/>
      </c>
      <c r="B1096" s="7" t="str">
        <f>IF('Port Bloomberg'!B1096="","",'Port Bloomberg'!B1096)</f>
        <v/>
      </c>
      <c r="C1096" s="7" t="str">
        <f>IF('Port Bloomberg'!C1096="","",'Port Bloomberg'!C1096)</f>
        <v/>
      </c>
      <c r="D1096" s="7" t="str">
        <f>IF('Port Bloomberg'!D1096="","",'Port Bloomberg'!D1096)</f>
        <v/>
      </c>
      <c r="E1096" s="7" t="str">
        <f>IF('Port Bloomberg'!E1096="","",'Port Bloomberg'!E1096)</f>
        <v/>
      </c>
      <c r="F1096" s="7" t="str">
        <f>IF('Port Bloomberg'!F1096="","",'Port Bloomberg'!F1096)</f>
        <v/>
      </c>
      <c r="G1096" s="7" t="str">
        <f>IF('Port Bloomberg'!G1096="","",'Port Bloomberg'!G1096)</f>
        <v/>
      </c>
      <c r="H1096" s="7" t="str">
        <f>IF('Port Bloomberg'!H1096="","",'Port Bloomberg'!H1096)</f>
        <v/>
      </c>
      <c r="I1096" s="7" t="str">
        <f>IF('Port Bloomberg'!I1096="","",'Port Bloomberg'!I1096)</f>
        <v/>
      </c>
      <c r="J1096" s="7" t="str">
        <f>IF('Port Bloomberg'!J1096="","",'Port Bloomberg'!J1096)</f>
        <v/>
      </c>
      <c r="K1096" s="7" t="str">
        <f>IF('Port Bloomberg'!K1096="","",'Port Bloomberg'!K1096)</f>
        <v/>
      </c>
      <c r="L1096" s="7" t="str">
        <f>IF('Port Bloomberg'!L1096="","",'Port Bloomberg'!L1096)</f>
        <v/>
      </c>
      <c r="M1096" s="7" t="str">
        <f>IF('Port Bloomberg'!M1096="","",'Port Bloomberg'!M1096)</f>
        <v/>
      </c>
      <c r="N1096" s="7" t="str">
        <f>IF('Port Bloomberg'!N1096="","",'Port Bloomberg'!N1096)</f>
        <v/>
      </c>
      <c r="O1096" s="7" t="str">
        <f>IF('Port Bloomberg'!O1096="","",'Port Bloomberg'!O1096)</f>
        <v/>
      </c>
      <c r="P1096" s="7" t="str">
        <f>IF('Port Bloomberg'!P1096="","",'Port Bloomberg'!P1096)</f>
        <v/>
      </c>
      <c r="Q1096" s="7" t="str">
        <f>IF('Port Bloomberg'!Q1096="","",'Port Bloomberg'!Q1096)</f>
        <v/>
      </c>
      <c r="R1096" s="7" t="str">
        <f>IF('Port Bloomberg'!R1096="","",'Port Bloomberg'!R1096)</f>
        <v/>
      </c>
      <c r="S1096" s="5" t="str">
        <f>IF(E1096="","",IFERROR(IF(MATCH(E1096,[1]Instrumentos!$D:$D,0)&gt;0,1,0),0))</f>
        <v/>
      </c>
      <c r="T1096" s="5" t="str">
        <f>IF(E1096="","",IFERROR(IF(MATCH(E1096,'Lista de excepciones'!$E:$E,0)&gt;0,1,0),0))</f>
        <v/>
      </c>
      <c r="U1096" s="6" t="str">
        <f t="shared" si="18"/>
        <v/>
      </c>
    </row>
    <row r="1097" spans="1:21" hidden="1" x14ac:dyDescent="0.25">
      <c r="A1097" s="7" t="str">
        <f>IF('Port Bloomberg'!A1097="","",'Port Bloomberg'!A1097)</f>
        <v/>
      </c>
      <c r="B1097" s="7" t="str">
        <f>IF('Port Bloomberg'!B1097="","",'Port Bloomberg'!B1097)</f>
        <v/>
      </c>
      <c r="C1097" s="7" t="str">
        <f>IF('Port Bloomberg'!C1097="","",'Port Bloomberg'!C1097)</f>
        <v/>
      </c>
      <c r="D1097" s="7" t="str">
        <f>IF('Port Bloomberg'!D1097="","",'Port Bloomberg'!D1097)</f>
        <v/>
      </c>
      <c r="E1097" s="7" t="str">
        <f>IF('Port Bloomberg'!E1097="","",'Port Bloomberg'!E1097)</f>
        <v/>
      </c>
      <c r="F1097" s="7" t="str">
        <f>IF('Port Bloomberg'!F1097="","",'Port Bloomberg'!F1097)</f>
        <v/>
      </c>
      <c r="G1097" s="7" t="str">
        <f>IF('Port Bloomberg'!G1097="","",'Port Bloomberg'!G1097)</f>
        <v/>
      </c>
      <c r="H1097" s="7" t="str">
        <f>IF('Port Bloomberg'!H1097="","",'Port Bloomberg'!H1097)</f>
        <v/>
      </c>
      <c r="I1097" s="7" t="str">
        <f>IF('Port Bloomberg'!I1097="","",'Port Bloomberg'!I1097)</f>
        <v/>
      </c>
      <c r="J1097" s="7" t="str">
        <f>IF('Port Bloomberg'!J1097="","",'Port Bloomberg'!J1097)</f>
        <v/>
      </c>
      <c r="K1097" s="7" t="str">
        <f>IF('Port Bloomberg'!K1097="","",'Port Bloomberg'!K1097)</f>
        <v/>
      </c>
      <c r="L1097" s="7" t="str">
        <f>IF('Port Bloomberg'!L1097="","",'Port Bloomberg'!L1097)</f>
        <v/>
      </c>
      <c r="M1097" s="7" t="str">
        <f>IF('Port Bloomberg'!M1097="","",'Port Bloomberg'!M1097)</f>
        <v/>
      </c>
      <c r="N1097" s="7" t="str">
        <f>IF('Port Bloomberg'!N1097="","",'Port Bloomberg'!N1097)</f>
        <v/>
      </c>
      <c r="O1097" s="7" t="str">
        <f>IF('Port Bloomberg'!O1097="","",'Port Bloomberg'!O1097)</f>
        <v/>
      </c>
      <c r="P1097" s="7" t="str">
        <f>IF('Port Bloomberg'!P1097="","",'Port Bloomberg'!P1097)</f>
        <v/>
      </c>
      <c r="Q1097" s="7" t="str">
        <f>IF('Port Bloomberg'!Q1097="","",'Port Bloomberg'!Q1097)</f>
        <v/>
      </c>
      <c r="R1097" s="7" t="str">
        <f>IF('Port Bloomberg'!R1097="","",'Port Bloomberg'!R1097)</f>
        <v/>
      </c>
      <c r="S1097" s="5" t="str">
        <f>IF(E1097="","",IFERROR(IF(MATCH(E1097,[1]Instrumentos!$D:$D,0)&gt;0,1,0),0))</f>
        <v/>
      </c>
      <c r="T1097" s="5" t="str">
        <f>IF(E1097="","",IFERROR(IF(MATCH(E1097,'Lista de excepciones'!$E:$E,0)&gt;0,1,0),0))</f>
        <v/>
      </c>
      <c r="U1097" s="6" t="str">
        <f t="shared" si="18"/>
        <v/>
      </c>
    </row>
    <row r="1098" spans="1:21" hidden="1" x14ac:dyDescent="0.25">
      <c r="A1098" s="7" t="str">
        <f>IF('Port Bloomberg'!A1098="","",'Port Bloomberg'!A1098)</f>
        <v/>
      </c>
      <c r="B1098" s="7" t="str">
        <f>IF('Port Bloomberg'!B1098="","",'Port Bloomberg'!B1098)</f>
        <v/>
      </c>
      <c r="C1098" s="7" t="str">
        <f>IF('Port Bloomberg'!C1098="","",'Port Bloomberg'!C1098)</f>
        <v/>
      </c>
      <c r="D1098" s="7" t="str">
        <f>IF('Port Bloomberg'!D1098="","",'Port Bloomberg'!D1098)</f>
        <v/>
      </c>
      <c r="E1098" s="7" t="str">
        <f>IF('Port Bloomberg'!E1098="","",'Port Bloomberg'!E1098)</f>
        <v/>
      </c>
      <c r="F1098" s="7" t="str">
        <f>IF('Port Bloomberg'!F1098="","",'Port Bloomberg'!F1098)</f>
        <v/>
      </c>
      <c r="G1098" s="7" t="str">
        <f>IF('Port Bloomberg'!G1098="","",'Port Bloomberg'!G1098)</f>
        <v/>
      </c>
      <c r="H1098" s="7" t="str">
        <f>IF('Port Bloomberg'!H1098="","",'Port Bloomberg'!H1098)</f>
        <v/>
      </c>
      <c r="I1098" s="7" t="str">
        <f>IF('Port Bloomberg'!I1098="","",'Port Bloomberg'!I1098)</f>
        <v/>
      </c>
      <c r="J1098" s="7" t="str">
        <f>IF('Port Bloomberg'!J1098="","",'Port Bloomberg'!J1098)</f>
        <v/>
      </c>
      <c r="K1098" s="7" t="str">
        <f>IF('Port Bloomberg'!K1098="","",'Port Bloomberg'!K1098)</f>
        <v/>
      </c>
      <c r="L1098" s="7" t="str">
        <f>IF('Port Bloomberg'!L1098="","",'Port Bloomberg'!L1098)</f>
        <v/>
      </c>
      <c r="M1098" s="7" t="str">
        <f>IF('Port Bloomberg'!M1098="","",'Port Bloomberg'!M1098)</f>
        <v/>
      </c>
      <c r="N1098" s="7" t="str">
        <f>IF('Port Bloomberg'!N1098="","",'Port Bloomberg'!N1098)</f>
        <v/>
      </c>
      <c r="O1098" s="7" t="str">
        <f>IF('Port Bloomberg'!O1098="","",'Port Bloomberg'!O1098)</f>
        <v/>
      </c>
      <c r="P1098" s="7" t="str">
        <f>IF('Port Bloomberg'!P1098="","",'Port Bloomberg'!P1098)</f>
        <v/>
      </c>
      <c r="Q1098" s="7" t="str">
        <f>IF('Port Bloomberg'!Q1098="","",'Port Bloomberg'!Q1098)</f>
        <v/>
      </c>
      <c r="R1098" s="7" t="str">
        <f>IF('Port Bloomberg'!R1098="","",'Port Bloomberg'!R1098)</f>
        <v/>
      </c>
      <c r="S1098" s="5" t="str">
        <f>IF(E1098="","",IFERROR(IF(MATCH(E1098,[1]Instrumentos!$D:$D,0)&gt;0,1,0),0))</f>
        <v/>
      </c>
      <c r="T1098" s="5" t="str">
        <f>IF(E1098="","",IFERROR(IF(MATCH(E1098,'Lista de excepciones'!$E:$E,0)&gt;0,1,0),0))</f>
        <v/>
      </c>
      <c r="U1098" s="6" t="str">
        <f t="shared" si="18"/>
        <v/>
      </c>
    </row>
    <row r="1099" spans="1:21" hidden="1" x14ac:dyDescent="0.25">
      <c r="A1099" s="7" t="str">
        <f>IF('Port Bloomberg'!A1099="","",'Port Bloomberg'!A1099)</f>
        <v/>
      </c>
      <c r="B1099" s="7" t="str">
        <f>IF('Port Bloomberg'!B1099="","",'Port Bloomberg'!B1099)</f>
        <v/>
      </c>
      <c r="C1099" s="7" t="str">
        <f>IF('Port Bloomberg'!C1099="","",'Port Bloomberg'!C1099)</f>
        <v/>
      </c>
      <c r="D1099" s="7" t="str">
        <f>IF('Port Bloomberg'!D1099="","",'Port Bloomberg'!D1099)</f>
        <v/>
      </c>
      <c r="E1099" s="7" t="str">
        <f>IF('Port Bloomberg'!E1099="","",'Port Bloomberg'!E1099)</f>
        <v/>
      </c>
      <c r="F1099" s="7" t="str">
        <f>IF('Port Bloomberg'!F1099="","",'Port Bloomberg'!F1099)</f>
        <v/>
      </c>
      <c r="G1099" s="7" t="str">
        <f>IF('Port Bloomberg'!G1099="","",'Port Bloomberg'!G1099)</f>
        <v/>
      </c>
      <c r="H1099" s="7" t="str">
        <f>IF('Port Bloomberg'!H1099="","",'Port Bloomberg'!H1099)</f>
        <v/>
      </c>
      <c r="I1099" s="7" t="str">
        <f>IF('Port Bloomberg'!I1099="","",'Port Bloomberg'!I1099)</f>
        <v/>
      </c>
      <c r="J1099" s="7" t="str">
        <f>IF('Port Bloomberg'!J1099="","",'Port Bloomberg'!J1099)</f>
        <v/>
      </c>
      <c r="K1099" s="7" t="str">
        <f>IF('Port Bloomberg'!K1099="","",'Port Bloomberg'!K1099)</f>
        <v/>
      </c>
      <c r="L1099" s="7" t="str">
        <f>IF('Port Bloomberg'!L1099="","",'Port Bloomberg'!L1099)</f>
        <v/>
      </c>
      <c r="M1099" s="7" t="str">
        <f>IF('Port Bloomberg'!M1099="","",'Port Bloomberg'!M1099)</f>
        <v/>
      </c>
      <c r="N1099" s="7" t="str">
        <f>IF('Port Bloomberg'!N1099="","",'Port Bloomberg'!N1099)</f>
        <v/>
      </c>
      <c r="O1099" s="7" t="str">
        <f>IF('Port Bloomberg'!O1099="","",'Port Bloomberg'!O1099)</f>
        <v/>
      </c>
      <c r="P1099" s="7" t="str">
        <f>IF('Port Bloomberg'!P1099="","",'Port Bloomberg'!P1099)</f>
        <v/>
      </c>
      <c r="Q1099" s="7" t="str">
        <f>IF('Port Bloomberg'!Q1099="","",'Port Bloomberg'!Q1099)</f>
        <v/>
      </c>
      <c r="R1099" s="7" t="str">
        <f>IF('Port Bloomberg'!R1099="","",'Port Bloomberg'!R1099)</f>
        <v/>
      </c>
      <c r="S1099" s="5" t="str">
        <f>IF(E1099="","",IFERROR(IF(MATCH(E1099,[1]Instrumentos!$D:$D,0)&gt;0,1,0),0))</f>
        <v/>
      </c>
      <c r="T1099" s="5" t="str">
        <f>IF(E1099="","",IFERROR(IF(MATCH(E1099,'Lista de excepciones'!$E:$E,0)&gt;0,1,0),0))</f>
        <v/>
      </c>
      <c r="U1099" s="6" t="str">
        <f t="shared" si="18"/>
        <v/>
      </c>
    </row>
    <row r="1100" spans="1:21" hidden="1" x14ac:dyDescent="0.25">
      <c r="A1100" s="7" t="str">
        <f>IF('Port Bloomberg'!A1100="","",'Port Bloomberg'!A1100)</f>
        <v/>
      </c>
      <c r="B1100" s="7" t="str">
        <f>IF('Port Bloomberg'!B1100="","",'Port Bloomberg'!B1100)</f>
        <v/>
      </c>
      <c r="C1100" s="7" t="str">
        <f>IF('Port Bloomberg'!C1100="","",'Port Bloomberg'!C1100)</f>
        <v/>
      </c>
      <c r="D1100" s="7" t="str">
        <f>IF('Port Bloomberg'!D1100="","",'Port Bloomberg'!D1100)</f>
        <v/>
      </c>
      <c r="E1100" s="7" t="str">
        <f>IF('Port Bloomberg'!E1100="","",'Port Bloomberg'!E1100)</f>
        <v/>
      </c>
      <c r="F1100" s="7" t="str">
        <f>IF('Port Bloomberg'!F1100="","",'Port Bloomberg'!F1100)</f>
        <v/>
      </c>
      <c r="G1100" s="7" t="str">
        <f>IF('Port Bloomberg'!G1100="","",'Port Bloomberg'!G1100)</f>
        <v/>
      </c>
      <c r="H1100" s="7" t="str">
        <f>IF('Port Bloomberg'!H1100="","",'Port Bloomberg'!H1100)</f>
        <v/>
      </c>
      <c r="I1100" s="7" t="str">
        <f>IF('Port Bloomberg'!I1100="","",'Port Bloomberg'!I1100)</f>
        <v/>
      </c>
      <c r="J1100" s="7" t="str">
        <f>IF('Port Bloomberg'!J1100="","",'Port Bloomberg'!J1100)</f>
        <v/>
      </c>
      <c r="K1100" s="7" t="str">
        <f>IF('Port Bloomberg'!K1100="","",'Port Bloomberg'!K1100)</f>
        <v/>
      </c>
      <c r="L1100" s="7" t="str">
        <f>IF('Port Bloomberg'!L1100="","",'Port Bloomberg'!L1100)</f>
        <v/>
      </c>
      <c r="M1100" s="7" t="str">
        <f>IF('Port Bloomberg'!M1100="","",'Port Bloomberg'!M1100)</f>
        <v/>
      </c>
      <c r="N1100" s="7" t="str">
        <f>IF('Port Bloomberg'!N1100="","",'Port Bloomberg'!N1100)</f>
        <v/>
      </c>
      <c r="O1100" s="7" t="str">
        <f>IF('Port Bloomberg'!O1100="","",'Port Bloomberg'!O1100)</f>
        <v/>
      </c>
      <c r="P1100" s="7" t="str">
        <f>IF('Port Bloomberg'!P1100="","",'Port Bloomberg'!P1100)</f>
        <v/>
      </c>
      <c r="Q1100" s="7" t="str">
        <f>IF('Port Bloomberg'!Q1100="","",'Port Bloomberg'!Q1100)</f>
        <v/>
      </c>
      <c r="R1100" s="7" t="str">
        <f>IF('Port Bloomberg'!R1100="","",'Port Bloomberg'!R1100)</f>
        <v/>
      </c>
      <c r="S1100" s="5" t="str">
        <f>IF(E1100="","",IFERROR(IF(MATCH(E1100,[1]Instrumentos!$D:$D,0)&gt;0,1,0),0))</f>
        <v/>
      </c>
      <c r="T1100" s="5" t="str">
        <f>IF(E1100="","",IFERROR(IF(MATCH(E1100,'Lista de excepciones'!$E:$E,0)&gt;0,1,0),0))</f>
        <v/>
      </c>
      <c r="U1100" s="6" t="str">
        <f t="shared" si="18"/>
        <v/>
      </c>
    </row>
    <row r="1101" spans="1:21" hidden="1" x14ac:dyDescent="0.25">
      <c r="A1101" s="7" t="str">
        <f>IF('Port Bloomberg'!A1101="","",'Port Bloomberg'!A1101)</f>
        <v/>
      </c>
      <c r="B1101" s="7" t="str">
        <f>IF('Port Bloomberg'!B1101="","",'Port Bloomberg'!B1101)</f>
        <v/>
      </c>
      <c r="C1101" s="7" t="str">
        <f>IF('Port Bloomberg'!C1101="","",'Port Bloomberg'!C1101)</f>
        <v/>
      </c>
      <c r="D1101" s="7" t="str">
        <f>IF('Port Bloomberg'!D1101="","",'Port Bloomberg'!D1101)</f>
        <v/>
      </c>
      <c r="E1101" s="7" t="str">
        <f>IF('Port Bloomberg'!E1101="","",'Port Bloomberg'!E1101)</f>
        <v/>
      </c>
      <c r="F1101" s="7" t="str">
        <f>IF('Port Bloomberg'!F1101="","",'Port Bloomberg'!F1101)</f>
        <v/>
      </c>
      <c r="G1101" s="7" t="str">
        <f>IF('Port Bloomberg'!G1101="","",'Port Bloomberg'!G1101)</f>
        <v/>
      </c>
      <c r="H1101" s="7" t="str">
        <f>IF('Port Bloomberg'!H1101="","",'Port Bloomberg'!H1101)</f>
        <v/>
      </c>
      <c r="I1101" s="7" t="str">
        <f>IF('Port Bloomberg'!I1101="","",'Port Bloomberg'!I1101)</f>
        <v/>
      </c>
      <c r="J1101" s="7" t="str">
        <f>IF('Port Bloomberg'!J1101="","",'Port Bloomberg'!J1101)</f>
        <v/>
      </c>
      <c r="K1101" s="7" t="str">
        <f>IF('Port Bloomberg'!K1101="","",'Port Bloomberg'!K1101)</f>
        <v/>
      </c>
      <c r="L1101" s="7" t="str">
        <f>IF('Port Bloomberg'!L1101="","",'Port Bloomberg'!L1101)</f>
        <v/>
      </c>
      <c r="M1101" s="7" t="str">
        <f>IF('Port Bloomberg'!M1101="","",'Port Bloomberg'!M1101)</f>
        <v/>
      </c>
      <c r="N1101" s="7" t="str">
        <f>IF('Port Bloomberg'!N1101="","",'Port Bloomberg'!N1101)</f>
        <v/>
      </c>
      <c r="O1101" s="7" t="str">
        <f>IF('Port Bloomberg'!O1101="","",'Port Bloomberg'!O1101)</f>
        <v/>
      </c>
      <c r="P1101" s="7" t="str">
        <f>IF('Port Bloomberg'!P1101="","",'Port Bloomberg'!P1101)</f>
        <v/>
      </c>
      <c r="Q1101" s="7" t="str">
        <f>IF('Port Bloomberg'!Q1101="","",'Port Bloomberg'!Q1101)</f>
        <v/>
      </c>
      <c r="R1101" s="7" t="str">
        <f>IF('Port Bloomberg'!R1101="","",'Port Bloomberg'!R1101)</f>
        <v/>
      </c>
      <c r="S1101" s="5" t="str">
        <f>IF(E1101="","",IFERROR(IF(MATCH(E1101,[1]Instrumentos!$D:$D,0)&gt;0,1,0),0))</f>
        <v/>
      </c>
      <c r="T1101" s="5" t="str">
        <f>IF(E1101="","",IFERROR(IF(MATCH(E1101,'Lista de excepciones'!$E:$E,0)&gt;0,1,0),0))</f>
        <v/>
      </c>
      <c r="U1101" s="6" t="str">
        <f t="shared" si="18"/>
        <v/>
      </c>
    </row>
    <row r="1102" spans="1:21" hidden="1" x14ac:dyDescent="0.25">
      <c r="A1102" s="7" t="str">
        <f>IF('Port Bloomberg'!A1102="","",'Port Bloomberg'!A1102)</f>
        <v/>
      </c>
      <c r="B1102" s="7" t="str">
        <f>IF('Port Bloomberg'!B1102="","",'Port Bloomberg'!B1102)</f>
        <v/>
      </c>
      <c r="C1102" s="7" t="str">
        <f>IF('Port Bloomberg'!C1102="","",'Port Bloomberg'!C1102)</f>
        <v/>
      </c>
      <c r="D1102" s="7" t="str">
        <f>IF('Port Bloomberg'!D1102="","",'Port Bloomberg'!D1102)</f>
        <v/>
      </c>
      <c r="E1102" s="7" t="str">
        <f>IF('Port Bloomberg'!E1102="","",'Port Bloomberg'!E1102)</f>
        <v/>
      </c>
      <c r="F1102" s="7" t="str">
        <f>IF('Port Bloomberg'!F1102="","",'Port Bloomberg'!F1102)</f>
        <v/>
      </c>
      <c r="G1102" s="7" t="str">
        <f>IF('Port Bloomberg'!G1102="","",'Port Bloomberg'!G1102)</f>
        <v/>
      </c>
      <c r="H1102" s="7" t="str">
        <f>IF('Port Bloomberg'!H1102="","",'Port Bloomberg'!H1102)</f>
        <v/>
      </c>
      <c r="I1102" s="7" t="str">
        <f>IF('Port Bloomberg'!I1102="","",'Port Bloomberg'!I1102)</f>
        <v/>
      </c>
      <c r="J1102" s="7" t="str">
        <f>IF('Port Bloomberg'!J1102="","",'Port Bloomberg'!J1102)</f>
        <v/>
      </c>
      <c r="K1102" s="7" t="str">
        <f>IF('Port Bloomberg'!K1102="","",'Port Bloomberg'!K1102)</f>
        <v/>
      </c>
      <c r="L1102" s="7" t="str">
        <f>IF('Port Bloomberg'!L1102="","",'Port Bloomberg'!L1102)</f>
        <v/>
      </c>
      <c r="M1102" s="7" t="str">
        <f>IF('Port Bloomberg'!M1102="","",'Port Bloomberg'!M1102)</f>
        <v/>
      </c>
      <c r="N1102" s="7" t="str">
        <f>IF('Port Bloomberg'!N1102="","",'Port Bloomberg'!N1102)</f>
        <v/>
      </c>
      <c r="O1102" s="7" t="str">
        <f>IF('Port Bloomberg'!O1102="","",'Port Bloomberg'!O1102)</f>
        <v/>
      </c>
      <c r="P1102" s="7" t="str">
        <f>IF('Port Bloomberg'!P1102="","",'Port Bloomberg'!P1102)</f>
        <v/>
      </c>
      <c r="Q1102" s="7" t="str">
        <f>IF('Port Bloomberg'!Q1102="","",'Port Bloomberg'!Q1102)</f>
        <v/>
      </c>
      <c r="R1102" s="7" t="str">
        <f>IF('Port Bloomberg'!R1102="","",'Port Bloomberg'!R1102)</f>
        <v/>
      </c>
      <c r="S1102" s="5" t="str">
        <f>IF(E1102="","",IFERROR(IF(MATCH(E1102,[1]Instrumentos!$D:$D,0)&gt;0,1,0),0))</f>
        <v/>
      </c>
      <c r="T1102" s="5" t="str">
        <f>IF(E1102="","",IFERROR(IF(MATCH(E1102,'Lista de excepciones'!$E:$E,0)&gt;0,1,0),0))</f>
        <v/>
      </c>
      <c r="U1102" s="6" t="str">
        <f t="shared" si="18"/>
        <v/>
      </c>
    </row>
    <row r="1103" spans="1:21" hidden="1" x14ac:dyDescent="0.25">
      <c r="A1103" s="7" t="str">
        <f>IF('Port Bloomberg'!A1103="","",'Port Bloomberg'!A1103)</f>
        <v/>
      </c>
      <c r="B1103" s="7" t="str">
        <f>IF('Port Bloomberg'!B1103="","",'Port Bloomberg'!B1103)</f>
        <v/>
      </c>
      <c r="C1103" s="7" t="str">
        <f>IF('Port Bloomberg'!C1103="","",'Port Bloomberg'!C1103)</f>
        <v/>
      </c>
      <c r="D1103" s="7" t="str">
        <f>IF('Port Bloomberg'!D1103="","",'Port Bloomberg'!D1103)</f>
        <v/>
      </c>
      <c r="E1103" s="7" t="str">
        <f>IF('Port Bloomberg'!E1103="","",'Port Bloomberg'!E1103)</f>
        <v/>
      </c>
      <c r="F1103" s="7" t="str">
        <f>IF('Port Bloomberg'!F1103="","",'Port Bloomberg'!F1103)</f>
        <v/>
      </c>
      <c r="G1103" s="7" t="str">
        <f>IF('Port Bloomberg'!G1103="","",'Port Bloomberg'!G1103)</f>
        <v/>
      </c>
      <c r="H1103" s="7" t="str">
        <f>IF('Port Bloomberg'!H1103="","",'Port Bloomberg'!H1103)</f>
        <v/>
      </c>
      <c r="I1103" s="7" t="str">
        <f>IF('Port Bloomberg'!I1103="","",'Port Bloomberg'!I1103)</f>
        <v/>
      </c>
      <c r="J1103" s="7" t="str">
        <f>IF('Port Bloomberg'!J1103="","",'Port Bloomberg'!J1103)</f>
        <v/>
      </c>
      <c r="K1103" s="7" t="str">
        <f>IF('Port Bloomberg'!K1103="","",'Port Bloomberg'!K1103)</f>
        <v/>
      </c>
      <c r="L1103" s="7" t="str">
        <f>IF('Port Bloomberg'!L1103="","",'Port Bloomberg'!L1103)</f>
        <v/>
      </c>
      <c r="M1103" s="7" t="str">
        <f>IF('Port Bloomberg'!M1103="","",'Port Bloomberg'!M1103)</f>
        <v/>
      </c>
      <c r="N1103" s="7" t="str">
        <f>IF('Port Bloomberg'!N1103="","",'Port Bloomberg'!N1103)</f>
        <v/>
      </c>
      <c r="O1103" s="7" t="str">
        <f>IF('Port Bloomberg'!O1103="","",'Port Bloomberg'!O1103)</f>
        <v/>
      </c>
      <c r="P1103" s="7" t="str">
        <f>IF('Port Bloomberg'!P1103="","",'Port Bloomberg'!P1103)</f>
        <v/>
      </c>
      <c r="Q1103" s="7" t="str">
        <f>IF('Port Bloomberg'!Q1103="","",'Port Bloomberg'!Q1103)</f>
        <v/>
      </c>
      <c r="R1103" s="7" t="str">
        <f>IF('Port Bloomberg'!R1103="","",'Port Bloomberg'!R1103)</f>
        <v/>
      </c>
      <c r="S1103" s="5" t="str">
        <f>IF(E1103="","",IFERROR(IF(MATCH(E1103,[1]Instrumentos!$D:$D,0)&gt;0,1,0),0))</f>
        <v/>
      </c>
      <c r="T1103" s="5" t="str">
        <f>IF(E1103="","",IFERROR(IF(MATCH(E1103,'Lista de excepciones'!$E:$E,0)&gt;0,1,0),0))</f>
        <v/>
      </c>
      <c r="U1103" s="6" t="str">
        <f t="shared" si="18"/>
        <v/>
      </c>
    </row>
    <row r="1104" spans="1:21" hidden="1" x14ac:dyDescent="0.25">
      <c r="A1104" s="7" t="str">
        <f>IF('Port Bloomberg'!A1104="","",'Port Bloomberg'!A1104)</f>
        <v/>
      </c>
      <c r="B1104" s="7" t="str">
        <f>IF('Port Bloomberg'!B1104="","",'Port Bloomberg'!B1104)</f>
        <v/>
      </c>
      <c r="C1104" s="7" t="str">
        <f>IF('Port Bloomberg'!C1104="","",'Port Bloomberg'!C1104)</f>
        <v/>
      </c>
      <c r="D1104" s="7" t="str">
        <f>IF('Port Bloomberg'!D1104="","",'Port Bloomberg'!D1104)</f>
        <v/>
      </c>
      <c r="E1104" s="7" t="str">
        <f>IF('Port Bloomberg'!E1104="","",'Port Bloomberg'!E1104)</f>
        <v/>
      </c>
      <c r="F1104" s="7" t="str">
        <f>IF('Port Bloomberg'!F1104="","",'Port Bloomberg'!F1104)</f>
        <v/>
      </c>
      <c r="G1104" s="7" t="str">
        <f>IF('Port Bloomberg'!G1104="","",'Port Bloomberg'!G1104)</f>
        <v/>
      </c>
      <c r="H1104" s="7" t="str">
        <f>IF('Port Bloomberg'!H1104="","",'Port Bloomberg'!H1104)</f>
        <v/>
      </c>
      <c r="I1104" s="7" t="str">
        <f>IF('Port Bloomberg'!I1104="","",'Port Bloomberg'!I1104)</f>
        <v/>
      </c>
      <c r="J1104" s="7" t="str">
        <f>IF('Port Bloomberg'!J1104="","",'Port Bloomberg'!J1104)</f>
        <v/>
      </c>
      <c r="K1104" s="7" t="str">
        <f>IF('Port Bloomberg'!K1104="","",'Port Bloomberg'!K1104)</f>
        <v/>
      </c>
      <c r="L1104" s="7" t="str">
        <f>IF('Port Bloomberg'!L1104="","",'Port Bloomberg'!L1104)</f>
        <v/>
      </c>
      <c r="M1104" s="7" t="str">
        <f>IF('Port Bloomberg'!M1104="","",'Port Bloomberg'!M1104)</f>
        <v/>
      </c>
      <c r="N1104" s="7" t="str">
        <f>IF('Port Bloomberg'!N1104="","",'Port Bloomberg'!N1104)</f>
        <v/>
      </c>
      <c r="O1104" s="7" t="str">
        <f>IF('Port Bloomberg'!O1104="","",'Port Bloomberg'!O1104)</f>
        <v/>
      </c>
      <c r="P1104" s="7" t="str">
        <f>IF('Port Bloomberg'!P1104="","",'Port Bloomberg'!P1104)</f>
        <v/>
      </c>
      <c r="Q1104" s="7" t="str">
        <f>IF('Port Bloomberg'!Q1104="","",'Port Bloomberg'!Q1104)</f>
        <v/>
      </c>
      <c r="R1104" s="7" t="str">
        <f>IF('Port Bloomberg'!R1104="","",'Port Bloomberg'!R1104)</f>
        <v/>
      </c>
      <c r="S1104" s="5" t="str">
        <f>IF(E1104="","",IFERROR(IF(MATCH(E1104,[1]Instrumentos!$D:$D,0)&gt;0,1,0),0))</f>
        <v/>
      </c>
      <c r="T1104" s="5" t="str">
        <f>IF(E1104="","",IFERROR(IF(MATCH(E1104,'Lista de excepciones'!$E:$E,0)&gt;0,1,0),0))</f>
        <v/>
      </c>
      <c r="U1104" s="6" t="str">
        <f t="shared" si="18"/>
        <v/>
      </c>
    </row>
    <row r="1105" spans="1:21" hidden="1" x14ac:dyDescent="0.25">
      <c r="A1105" s="7" t="str">
        <f>IF('Port Bloomberg'!A1105="","",'Port Bloomberg'!A1105)</f>
        <v/>
      </c>
      <c r="B1105" s="7" t="str">
        <f>IF('Port Bloomberg'!B1105="","",'Port Bloomberg'!B1105)</f>
        <v/>
      </c>
      <c r="C1105" s="7" t="str">
        <f>IF('Port Bloomberg'!C1105="","",'Port Bloomberg'!C1105)</f>
        <v/>
      </c>
      <c r="D1105" s="7" t="str">
        <f>IF('Port Bloomberg'!D1105="","",'Port Bloomberg'!D1105)</f>
        <v/>
      </c>
      <c r="E1105" s="7" t="str">
        <f>IF('Port Bloomberg'!E1105="","",'Port Bloomberg'!E1105)</f>
        <v/>
      </c>
      <c r="F1105" s="7" t="str">
        <f>IF('Port Bloomberg'!F1105="","",'Port Bloomberg'!F1105)</f>
        <v/>
      </c>
      <c r="G1105" s="7" t="str">
        <f>IF('Port Bloomberg'!G1105="","",'Port Bloomberg'!G1105)</f>
        <v/>
      </c>
      <c r="H1105" s="7" t="str">
        <f>IF('Port Bloomberg'!H1105="","",'Port Bloomberg'!H1105)</f>
        <v/>
      </c>
      <c r="I1105" s="7" t="str">
        <f>IF('Port Bloomberg'!I1105="","",'Port Bloomberg'!I1105)</f>
        <v/>
      </c>
      <c r="J1105" s="7" t="str">
        <f>IF('Port Bloomberg'!J1105="","",'Port Bloomberg'!J1105)</f>
        <v/>
      </c>
      <c r="K1105" s="7" t="str">
        <f>IF('Port Bloomberg'!K1105="","",'Port Bloomberg'!K1105)</f>
        <v/>
      </c>
      <c r="L1105" s="7" t="str">
        <f>IF('Port Bloomberg'!L1105="","",'Port Bloomberg'!L1105)</f>
        <v/>
      </c>
      <c r="M1105" s="7" t="str">
        <f>IF('Port Bloomberg'!M1105="","",'Port Bloomberg'!M1105)</f>
        <v/>
      </c>
      <c r="N1105" s="7" t="str">
        <f>IF('Port Bloomberg'!N1105="","",'Port Bloomberg'!N1105)</f>
        <v/>
      </c>
      <c r="O1105" s="7" t="str">
        <f>IF('Port Bloomberg'!O1105="","",'Port Bloomberg'!O1105)</f>
        <v/>
      </c>
      <c r="P1105" s="7" t="str">
        <f>IF('Port Bloomberg'!P1105="","",'Port Bloomberg'!P1105)</f>
        <v/>
      </c>
      <c r="Q1105" s="7" t="str">
        <f>IF('Port Bloomberg'!Q1105="","",'Port Bloomberg'!Q1105)</f>
        <v/>
      </c>
      <c r="R1105" s="7" t="str">
        <f>IF('Port Bloomberg'!R1105="","",'Port Bloomberg'!R1105)</f>
        <v/>
      </c>
      <c r="S1105" s="5" t="str">
        <f>IF(E1105="","",IFERROR(IF(MATCH(E1105,[1]Instrumentos!$D:$D,0)&gt;0,1,0),0))</f>
        <v/>
      </c>
      <c r="T1105" s="5" t="str">
        <f>IF(E1105="","",IFERROR(IF(MATCH(E1105,'Lista de excepciones'!$E:$E,0)&gt;0,1,0),0))</f>
        <v/>
      </c>
      <c r="U1105" s="6" t="str">
        <f t="shared" si="18"/>
        <v/>
      </c>
    </row>
    <row r="1106" spans="1:21" hidden="1" x14ac:dyDescent="0.25">
      <c r="A1106" s="7" t="str">
        <f>IF('Port Bloomberg'!A1106="","",'Port Bloomberg'!A1106)</f>
        <v/>
      </c>
      <c r="B1106" s="7" t="str">
        <f>IF('Port Bloomberg'!B1106="","",'Port Bloomberg'!B1106)</f>
        <v/>
      </c>
      <c r="C1106" s="7" t="str">
        <f>IF('Port Bloomberg'!C1106="","",'Port Bloomberg'!C1106)</f>
        <v/>
      </c>
      <c r="D1106" s="7" t="str">
        <f>IF('Port Bloomberg'!D1106="","",'Port Bloomberg'!D1106)</f>
        <v/>
      </c>
      <c r="E1106" s="7" t="str">
        <f>IF('Port Bloomberg'!E1106="","",'Port Bloomberg'!E1106)</f>
        <v/>
      </c>
      <c r="F1106" s="7" t="str">
        <f>IF('Port Bloomberg'!F1106="","",'Port Bloomberg'!F1106)</f>
        <v/>
      </c>
      <c r="G1106" s="7" t="str">
        <f>IF('Port Bloomberg'!G1106="","",'Port Bloomberg'!G1106)</f>
        <v/>
      </c>
      <c r="H1106" s="7" t="str">
        <f>IF('Port Bloomberg'!H1106="","",'Port Bloomberg'!H1106)</f>
        <v/>
      </c>
      <c r="I1106" s="7" t="str">
        <f>IF('Port Bloomberg'!I1106="","",'Port Bloomberg'!I1106)</f>
        <v/>
      </c>
      <c r="J1106" s="7" t="str">
        <f>IF('Port Bloomberg'!J1106="","",'Port Bloomberg'!J1106)</f>
        <v/>
      </c>
      <c r="K1106" s="7" t="str">
        <f>IF('Port Bloomberg'!K1106="","",'Port Bloomberg'!K1106)</f>
        <v/>
      </c>
      <c r="L1106" s="7" t="str">
        <f>IF('Port Bloomberg'!L1106="","",'Port Bloomberg'!L1106)</f>
        <v/>
      </c>
      <c r="M1106" s="7" t="str">
        <f>IF('Port Bloomberg'!M1106="","",'Port Bloomberg'!M1106)</f>
        <v/>
      </c>
      <c r="N1106" s="7" t="str">
        <f>IF('Port Bloomberg'!N1106="","",'Port Bloomberg'!N1106)</f>
        <v/>
      </c>
      <c r="O1106" s="7" t="str">
        <f>IF('Port Bloomberg'!O1106="","",'Port Bloomberg'!O1106)</f>
        <v/>
      </c>
      <c r="P1106" s="7" t="str">
        <f>IF('Port Bloomberg'!P1106="","",'Port Bloomberg'!P1106)</f>
        <v/>
      </c>
      <c r="Q1106" s="7" t="str">
        <f>IF('Port Bloomberg'!Q1106="","",'Port Bloomberg'!Q1106)</f>
        <v/>
      </c>
      <c r="R1106" s="7" t="str">
        <f>IF('Port Bloomberg'!R1106="","",'Port Bloomberg'!R1106)</f>
        <v/>
      </c>
      <c r="S1106" s="5" t="str">
        <f>IF(E1106="","",IFERROR(IF(MATCH(E1106,[1]Instrumentos!$D:$D,0)&gt;0,1,0),0))</f>
        <v/>
      </c>
      <c r="T1106" s="5" t="str">
        <f>IF(E1106="","",IFERROR(IF(MATCH(E1106,'Lista de excepciones'!$E:$E,0)&gt;0,1,0),0))</f>
        <v/>
      </c>
      <c r="U1106" s="6" t="str">
        <f t="shared" si="18"/>
        <v/>
      </c>
    </row>
    <row r="1107" spans="1:21" hidden="1" x14ac:dyDescent="0.25">
      <c r="A1107" s="7" t="str">
        <f>IF('Port Bloomberg'!A1107="","",'Port Bloomberg'!A1107)</f>
        <v/>
      </c>
      <c r="B1107" s="7" t="str">
        <f>IF('Port Bloomberg'!B1107="","",'Port Bloomberg'!B1107)</f>
        <v/>
      </c>
      <c r="C1107" s="7" t="str">
        <f>IF('Port Bloomberg'!C1107="","",'Port Bloomberg'!C1107)</f>
        <v/>
      </c>
      <c r="D1107" s="7" t="str">
        <f>IF('Port Bloomberg'!D1107="","",'Port Bloomberg'!D1107)</f>
        <v/>
      </c>
      <c r="E1107" s="7" t="str">
        <f>IF('Port Bloomberg'!E1107="","",'Port Bloomberg'!E1107)</f>
        <v/>
      </c>
      <c r="F1107" s="7" t="str">
        <f>IF('Port Bloomberg'!F1107="","",'Port Bloomberg'!F1107)</f>
        <v/>
      </c>
      <c r="G1107" s="7" t="str">
        <f>IF('Port Bloomberg'!G1107="","",'Port Bloomberg'!G1107)</f>
        <v/>
      </c>
      <c r="H1107" s="7" t="str">
        <f>IF('Port Bloomberg'!H1107="","",'Port Bloomberg'!H1107)</f>
        <v/>
      </c>
      <c r="I1107" s="7" t="str">
        <f>IF('Port Bloomberg'!I1107="","",'Port Bloomberg'!I1107)</f>
        <v/>
      </c>
      <c r="J1107" s="7" t="str">
        <f>IF('Port Bloomberg'!J1107="","",'Port Bloomberg'!J1107)</f>
        <v/>
      </c>
      <c r="K1107" s="7" t="str">
        <f>IF('Port Bloomberg'!K1107="","",'Port Bloomberg'!K1107)</f>
        <v/>
      </c>
      <c r="L1107" s="7" t="str">
        <f>IF('Port Bloomberg'!L1107="","",'Port Bloomberg'!L1107)</f>
        <v/>
      </c>
      <c r="M1107" s="7" t="str">
        <f>IF('Port Bloomberg'!M1107="","",'Port Bloomberg'!M1107)</f>
        <v/>
      </c>
      <c r="N1107" s="7" t="str">
        <f>IF('Port Bloomberg'!N1107="","",'Port Bloomberg'!N1107)</f>
        <v/>
      </c>
      <c r="O1107" s="7" t="str">
        <f>IF('Port Bloomberg'!O1107="","",'Port Bloomberg'!O1107)</f>
        <v/>
      </c>
      <c r="P1107" s="7" t="str">
        <f>IF('Port Bloomberg'!P1107="","",'Port Bloomberg'!P1107)</f>
        <v/>
      </c>
      <c r="Q1107" s="7" t="str">
        <f>IF('Port Bloomberg'!Q1107="","",'Port Bloomberg'!Q1107)</f>
        <v/>
      </c>
      <c r="R1107" s="7" t="str">
        <f>IF('Port Bloomberg'!R1107="","",'Port Bloomberg'!R1107)</f>
        <v/>
      </c>
      <c r="S1107" s="5" t="str">
        <f>IF(E1107="","",IFERROR(IF(MATCH(E1107,[1]Instrumentos!$D:$D,0)&gt;0,1,0),0))</f>
        <v/>
      </c>
      <c r="T1107" s="5" t="str">
        <f>IF(E1107="","",IFERROR(IF(MATCH(E1107,'Lista de excepciones'!$E:$E,0)&gt;0,1,0),0))</f>
        <v/>
      </c>
      <c r="U1107" s="6" t="str">
        <f t="shared" si="18"/>
        <v/>
      </c>
    </row>
    <row r="1108" spans="1:21" hidden="1" x14ac:dyDescent="0.25">
      <c r="A1108" s="7" t="str">
        <f>IF('Port Bloomberg'!A1108="","",'Port Bloomberg'!A1108)</f>
        <v/>
      </c>
      <c r="B1108" s="7" t="str">
        <f>IF('Port Bloomberg'!B1108="","",'Port Bloomberg'!B1108)</f>
        <v/>
      </c>
      <c r="C1108" s="7" t="str">
        <f>IF('Port Bloomberg'!C1108="","",'Port Bloomberg'!C1108)</f>
        <v/>
      </c>
      <c r="D1108" s="7" t="str">
        <f>IF('Port Bloomberg'!D1108="","",'Port Bloomberg'!D1108)</f>
        <v/>
      </c>
      <c r="E1108" s="7" t="str">
        <f>IF('Port Bloomberg'!E1108="","",'Port Bloomberg'!E1108)</f>
        <v/>
      </c>
      <c r="F1108" s="7" t="str">
        <f>IF('Port Bloomberg'!F1108="","",'Port Bloomberg'!F1108)</f>
        <v/>
      </c>
      <c r="G1108" s="7" t="str">
        <f>IF('Port Bloomberg'!G1108="","",'Port Bloomberg'!G1108)</f>
        <v/>
      </c>
      <c r="H1108" s="7" t="str">
        <f>IF('Port Bloomberg'!H1108="","",'Port Bloomberg'!H1108)</f>
        <v/>
      </c>
      <c r="I1108" s="7" t="str">
        <f>IF('Port Bloomberg'!I1108="","",'Port Bloomberg'!I1108)</f>
        <v/>
      </c>
      <c r="J1108" s="7" t="str">
        <f>IF('Port Bloomberg'!J1108="","",'Port Bloomberg'!J1108)</f>
        <v/>
      </c>
      <c r="K1108" s="7" t="str">
        <f>IF('Port Bloomberg'!K1108="","",'Port Bloomberg'!K1108)</f>
        <v/>
      </c>
      <c r="L1108" s="7" t="str">
        <f>IF('Port Bloomberg'!L1108="","",'Port Bloomberg'!L1108)</f>
        <v/>
      </c>
      <c r="M1108" s="7" t="str">
        <f>IF('Port Bloomberg'!M1108="","",'Port Bloomberg'!M1108)</f>
        <v/>
      </c>
      <c r="N1108" s="7" t="str">
        <f>IF('Port Bloomberg'!N1108="","",'Port Bloomberg'!N1108)</f>
        <v/>
      </c>
      <c r="O1108" s="7" t="str">
        <f>IF('Port Bloomberg'!O1108="","",'Port Bloomberg'!O1108)</f>
        <v/>
      </c>
      <c r="P1108" s="7" t="str">
        <f>IF('Port Bloomberg'!P1108="","",'Port Bloomberg'!P1108)</f>
        <v/>
      </c>
      <c r="Q1108" s="7" t="str">
        <f>IF('Port Bloomberg'!Q1108="","",'Port Bloomberg'!Q1108)</f>
        <v/>
      </c>
      <c r="R1108" s="7" t="str">
        <f>IF('Port Bloomberg'!R1108="","",'Port Bloomberg'!R1108)</f>
        <v/>
      </c>
      <c r="S1108" s="5" t="str">
        <f>IF(E1108="","",IFERROR(IF(MATCH(E1108,[1]Instrumentos!$D:$D,0)&gt;0,1,0),0))</f>
        <v/>
      </c>
      <c r="T1108" s="5" t="str">
        <f>IF(E1108="","",IFERROR(IF(MATCH(E1108,'Lista de excepciones'!$E:$E,0)&gt;0,1,0),0))</f>
        <v/>
      </c>
      <c r="U1108" s="6" t="str">
        <f t="shared" si="18"/>
        <v/>
      </c>
    </row>
    <row r="1109" spans="1:21" hidden="1" x14ac:dyDescent="0.25">
      <c r="A1109" s="7" t="str">
        <f>IF('Port Bloomberg'!A1109="","",'Port Bloomberg'!A1109)</f>
        <v/>
      </c>
      <c r="B1109" s="7" t="str">
        <f>IF('Port Bloomberg'!B1109="","",'Port Bloomberg'!B1109)</f>
        <v/>
      </c>
      <c r="C1109" s="7" t="str">
        <f>IF('Port Bloomberg'!C1109="","",'Port Bloomberg'!C1109)</f>
        <v/>
      </c>
      <c r="D1109" s="7" t="str">
        <f>IF('Port Bloomberg'!D1109="","",'Port Bloomberg'!D1109)</f>
        <v/>
      </c>
      <c r="E1109" s="7" t="str">
        <f>IF('Port Bloomberg'!E1109="","",'Port Bloomberg'!E1109)</f>
        <v/>
      </c>
      <c r="F1109" s="7" t="str">
        <f>IF('Port Bloomberg'!F1109="","",'Port Bloomberg'!F1109)</f>
        <v/>
      </c>
      <c r="G1109" s="7" t="str">
        <f>IF('Port Bloomberg'!G1109="","",'Port Bloomberg'!G1109)</f>
        <v/>
      </c>
      <c r="H1109" s="7" t="str">
        <f>IF('Port Bloomberg'!H1109="","",'Port Bloomberg'!H1109)</f>
        <v/>
      </c>
      <c r="I1109" s="7" t="str">
        <f>IF('Port Bloomberg'!I1109="","",'Port Bloomberg'!I1109)</f>
        <v/>
      </c>
      <c r="J1109" s="7" t="str">
        <f>IF('Port Bloomberg'!J1109="","",'Port Bloomberg'!J1109)</f>
        <v/>
      </c>
      <c r="K1109" s="7" t="str">
        <f>IF('Port Bloomberg'!K1109="","",'Port Bloomberg'!K1109)</f>
        <v/>
      </c>
      <c r="L1109" s="7" t="str">
        <f>IF('Port Bloomberg'!L1109="","",'Port Bloomberg'!L1109)</f>
        <v/>
      </c>
      <c r="M1109" s="7" t="str">
        <f>IF('Port Bloomberg'!M1109="","",'Port Bloomberg'!M1109)</f>
        <v/>
      </c>
      <c r="N1109" s="7" t="str">
        <f>IF('Port Bloomberg'!N1109="","",'Port Bloomberg'!N1109)</f>
        <v/>
      </c>
      <c r="O1109" s="7" t="str">
        <f>IF('Port Bloomberg'!O1109="","",'Port Bloomberg'!O1109)</f>
        <v/>
      </c>
      <c r="P1109" s="7" t="str">
        <f>IF('Port Bloomberg'!P1109="","",'Port Bloomberg'!P1109)</f>
        <v/>
      </c>
      <c r="Q1109" s="7" t="str">
        <f>IF('Port Bloomberg'!Q1109="","",'Port Bloomberg'!Q1109)</f>
        <v/>
      </c>
      <c r="R1109" s="7" t="str">
        <f>IF('Port Bloomberg'!R1109="","",'Port Bloomberg'!R1109)</f>
        <v/>
      </c>
      <c r="S1109" s="5" t="str">
        <f>IF(E1109="","",IFERROR(IF(MATCH(E1109,[1]Instrumentos!$D:$D,0)&gt;0,1,0),0))</f>
        <v/>
      </c>
      <c r="T1109" s="5" t="str">
        <f>IF(E1109="","",IFERROR(IF(MATCH(E1109,'Lista de excepciones'!$E:$E,0)&gt;0,1,0),0))</f>
        <v/>
      </c>
      <c r="U1109" s="6" t="str">
        <f t="shared" si="18"/>
        <v/>
      </c>
    </row>
    <row r="1110" spans="1:21" hidden="1" x14ac:dyDescent="0.25">
      <c r="A1110" s="7" t="str">
        <f>IF('Port Bloomberg'!A1110="","",'Port Bloomberg'!A1110)</f>
        <v/>
      </c>
      <c r="B1110" s="7" t="str">
        <f>IF('Port Bloomberg'!B1110="","",'Port Bloomberg'!B1110)</f>
        <v/>
      </c>
      <c r="C1110" s="7" t="str">
        <f>IF('Port Bloomberg'!C1110="","",'Port Bloomberg'!C1110)</f>
        <v/>
      </c>
      <c r="D1110" s="7" t="str">
        <f>IF('Port Bloomberg'!D1110="","",'Port Bloomberg'!D1110)</f>
        <v/>
      </c>
      <c r="E1110" s="7" t="str">
        <f>IF('Port Bloomberg'!E1110="","",'Port Bloomberg'!E1110)</f>
        <v/>
      </c>
      <c r="F1110" s="7" t="str">
        <f>IF('Port Bloomberg'!F1110="","",'Port Bloomberg'!F1110)</f>
        <v/>
      </c>
      <c r="G1110" s="7" t="str">
        <f>IF('Port Bloomberg'!G1110="","",'Port Bloomberg'!G1110)</f>
        <v/>
      </c>
      <c r="H1110" s="7" t="str">
        <f>IF('Port Bloomberg'!H1110="","",'Port Bloomberg'!H1110)</f>
        <v/>
      </c>
      <c r="I1110" s="7" t="str">
        <f>IF('Port Bloomberg'!I1110="","",'Port Bloomberg'!I1110)</f>
        <v/>
      </c>
      <c r="J1110" s="7" t="str">
        <f>IF('Port Bloomberg'!J1110="","",'Port Bloomberg'!J1110)</f>
        <v/>
      </c>
      <c r="K1110" s="7" t="str">
        <f>IF('Port Bloomberg'!K1110="","",'Port Bloomberg'!K1110)</f>
        <v/>
      </c>
      <c r="L1110" s="7" t="str">
        <f>IF('Port Bloomberg'!L1110="","",'Port Bloomberg'!L1110)</f>
        <v/>
      </c>
      <c r="M1110" s="7" t="str">
        <f>IF('Port Bloomberg'!M1110="","",'Port Bloomberg'!M1110)</f>
        <v/>
      </c>
      <c r="N1110" s="7" t="str">
        <f>IF('Port Bloomberg'!N1110="","",'Port Bloomberg'!N1110)</f>
        <v/>
      </c>
      <c r="O1110" s="7" t="str">
        <f>IF('Port Bloomberg'!O1110="","",'Port Bloomberg'!O1110)</f>
        <v/>
      </c>
      <c r="P1110" s="7" t="str">
        <f>IF('Port Bloomberg'!P1110="","",'Port Bloomberg'!P1110)</f>
        <v/>
      </c>
      <c r="Q1110" s="7" t="str">
        <f>IF('Port Bloomberg'!Q1110="","",'Port Bloomberg'!Q1110)</f>
        <v/>
      </c>
      <c r="R1110" s="7" t="str">
        <f>IF('Port Bloomberg'!R1110="","",'Port Bloomberg'!R1110)</f>
        <v/>
      </c>
      <c r="S1110" s="5" t="str">
        <f>IF(E1110="","",IFERROR(IF(MATCH(E1110,[1]Instrumentos!$D:$D,0)&gt;0,1,0),0))</f>
        <v/>
      </c>
      <c r="T1110" s="5" t="str">
        <f>IF(E1110="","",IFERROR(IF(MATCH(E1110,'Lista de excepciones'!$E:$E,0)&gt;0,1,0),0))</f>
        <v/>
      </c>
      <c r="U1110" s="6" t="str">
        <f t="shared" si="18"/>
        <v/>
      </c>
    </row>
    <row r="1111" spans="1:21" hidden="1" x14ac:dyDescent="0.25">
      <c r="A1111" s="7" t="str">
        <f>IF('Port Bloomberg'!A1111="","",'Port Bloomberg'!A1111)</f>
        <v/>
      </c>
      <c r="B1111" s="7" t="str">
        <f>IF('Port Bloomberg'!B1111="","",'Port Bloomberg'!B1111)</f>
        <v/>
      </c>
      <c r="C1111" s="7" t="str">
        <f>IF('Port Bloomberg'!C1111="","",'Port Bloomberg'!C1111)</f>
        <v/>
      </c>
      <c r="D1111" s="7" t="str">
        <f>IF('Port Bloomberg'!D1111="","",'Port Bloomberg'!D1111)</f>
        <v/>
      </c>
      <c r="E1111" s="7" t="str">
        <f>IF('Port Bloomberg'!E1111="","",'Port Bloomberg'!E1111)</f>
        <v/>
      </c>
      <c r="F1111" s="7" t="str">
        <f>IF('Port Bloomberg'!F1111="","",'Port Bloomberg'!F1111)</f>
        <v/>
      </c>
      <c r="G1111" s="7" t="str">
        <f>IF('Port Bloomberg'!G1111="","",'Port Bloomberg'!G1111)</f>
        <v/>
      </c>
      <c r="H1111" s="7" t="str">
        <f>IF('Port Bloomberg'!H1111="","",'Port Bloomberg'!H1111)</f>
        <v/>
      </c>
      <c r="I1111" s="7" t="str">
        <f>IF('Port Bloomberg'!I1111="","",'Port Bloomberg'!I1111)</f>
        <v/>
      </c>
      <c r="J1111" s="7" t="str">
        <f>IF('Port Bloomberg'!J1111="","",'Port Bloomberg'!J1111)</f>
        <v/>
      </c>
      <c r="K1111" s="7" t="str">
        <f>IF('Port Bloomberg'!K1111="","",'Port Bloomberg'!K1111)</f>
        <v/>
      </c>
      <c r="L1111" s="7" t="str">
        <f>IF('Port Bloomberg'!L1111="","",'Port Bloomberg'!L1111)</f>
        <v/>
      </c>
      <c r="M1111" s="7" t="str">
        <f>IF('Port Bloomberg'!M1111="","",'Port Bloomberg'!M1111)</f>
        <v/>
      </c>
      <c r="N1111" s="7" t="str">
        <f>IF('Port Bloomberg'!N1111="","",'Port Bloomberg'!N1111)</f>
        <v/>
      </c>
      <c r="O1111" s="7" t="str">
        <f>IF('Port Bloomberg'!O1111="","",'Port Bloomberg'!O1111)</f>
        <v/>
      </c>
      <c r="P1111" s="7" t="str">
        <f>IF('Port Bloomberg'!P1111="","",'Port Bloomberg'!P1111)</f>
        <v/>
      </c>
      <c r="Q1111" s="7" t="str">
        <f>IF('Port Bloomberg'!Q1111="","",'Port Bloomberg'!Q1111)</f>
        <v/>
      </c>
      <c r="R1111" s="7" t="str">
        <f>IF('Port Bloomberg'!R1111="","",'Port Bloomberg'!R1111)</f>
        <v/>
      </c>
      <c r="S1111" s="5" t="str">
        <f>IF(E1111="","",IFERROR(IF(MATCH(E1111,[1]Instrumentos!$D:$D,0)&gt;0,1,0),0))</f>
        <v/>
      </c>
      <c r="T1111" s="5" t="str">
        <f>IF(E1111="","",IFERROR(IF(MATCH(E1111,'Lista de excepciones'!$E:$E,0)&gt;0,1,0),0))</f>
        <v/>
      </c>
      <c r="U1111" s="6" t="str">
        <f t="shared" si="18"/>
        <v/>
      </c>
    </row>
    <row r="1112" spans="1:21" hidden="1" x14ac:dyDescent="0.25">
      <c r="A1112" s="7" t="str">
        <f>IF('Port Bloomberg'!A1112="","",'Port Bloomberg'!A1112)</f>
        <v/>
      </c>
      <c r="B1112" s="7" t="str">
        <f>IF('Port Bloomberg'!B1112="","",'Port Bloomberg'!B1112)</f>
        <v/>
      </c>
      <c r="C1112" s="7" t="str">
        <f>IF('Port Bloomberg'!C1112="","",'Port Bloomberg'!C1112)</f>
        <v/>
      </c>
      <c r="D1112" s="7" t="str">
        <f>IF('Port Bloomberg'!D1112="","",'Port Bloomberg'!D1112)</f>
        <v/>
      </c>
      <c r="E1112" s="7" t="str">
        <f>IF('Port Bloomberg'!E1112="","",'Port Bloomberg'!E1112)</f>
        <v/>
      </c>
      <c r="F1112" s="7" t="str">
        <f>IF('Port Bloomberg'!F1112="","",'Port Bloomberg'!F1112)</f>
        <v/>
      </c>
      <c r="G1112" s="7" t="str">
        <f>IF('Port Bloomberg'!G1112="","",'Port Bloomberg'!G1112)</f>
        <v/>
      </c>
      <c r="H1112" s="7" t="str">
        <f>IF('Port Bloomberg'!H1112="","",'Port Bloomberg'!H1112)</f>
        <v/>
      </c>
      <c r="I1112" s="7" t="str">
        <f>IF('Port Bloomberg'!I1112="","",'Port Bloomberg'!I1112)</f>
        <v/>
      </c>
      <c r="J1112" s="7" t="str">
        <f>IF('Port Bloomberg'!J1112="","",'Port Bloomberg'!J1112)</f>
        <v/>
      </c>
      <c r="K1112" s="7" t="str">
        <f>IF('Port Bloomberg'!K1112="","",'Port Bloomberg'!K1112)</f>
        <v/>
      </c>
      <c r="L1112" s="7" t="str">
        <f>IF('Port Bloomberg'!L1112="","",'Port Bloomberg'!L1112)</f>
        <v/>
      </c>
      <c r="M1112" s="7" t="str">
        <f>IF('Port Bloomberg'!M1112="","",'Port Bloomberg'!M1112)</f>
        <v/>
      </c>
      <c r="N1112" s="7" t="str">
        <f>IF('Port Bloomberg'!N1112="","",'Port Bloomberg'!N1112)</f>
        <v/>
      </c>
      <c r="O1112" s="7" t="str">
        <f>IF('Port Bloomberg'!O1112="","",'Port Bloomberg'!O1112)</f>
        <v/>
      </c>
      <c r="P1112" s="7" t="str">
        <f>IF('Port Bloomberg'!P1112="","",'Port Bloomberg'!P1112)</f>
        <v/>
      </c>
      <c r="Q1112" s="7" t="str">
        <f>IF('Port Bloomberg'!Q1112="","",'Port Bloomberg'!Q1112)</f>
        <v/>
      </c>
      <c r="R1112" s="7" t="str">
        <f>IF('Port Bloomberg'!R1112="","",'Port Bloomberg'!R1112)</f>
        <v/>
      </c>
      <c r="S1112" s="5" t="str">
        <f>IF(E1112="","",IFERROR(IF(MATCH(E1112,[1]Instrumentos!$D:$D,0)&gt;0,1,0),0))</f>
        <v/>
      </c>
      <c r="T1112" s="5" t="str">
        <f>IF(E1112="","",IFERROR(IF(MATCH(E1112,'Lista de excepciones'!$E:$E,0)&gt;0,1,0),0))</f>
        <v/>
      </c>
      <c r="U1112" s="6" t="str">
        <f t="shared" si="18"/>
        <v/>
      </c>
    </row>
    <row r="1113" spans="1:21" hidden="1" x14ac:dyDescent="0.25">
      <c r="A1113" s="7" t="str">
        <f>IF('Port Bloomberg'!A1113="","",'Port Bloomberg'!A1113)</f>
        <v/>
      </c>
      <c r="B1113" s="7" t="str">
        <f>IF('Port Bloomberg'!B1113="","",'Port Bloomberg'!B1113)</f>
        <v/>
      </c>
      <c r="C1113" s="7" t="str">
        <f>IF('Port Bloomberg'!C1113="","",'Port Bloomberg'!C1113)</f>
        <v/>
      </c>
      <c r="D1113" s="7" t="str">
        <f>IF('Port Bloomberg'!D1113="","",'Port Bloomberg'!D1113)</f>
        <v/>
      </c>
      <c r="E1113" s="7" t="str">
        <f>IF('Port Bloomberg'!E1113="","",'Port Bloomberg'!E1113)</f>
        <v/>
      </c>
      <c r="F1113" s="7" t="str">
        <f>IF('Port Bloomberg'!F1113="","",'Port Bloomberg'!F1113)</f>
        <v/>
      </c>
      <c r="G1113" s="7" t="str">
        <f>IF('Port Bloomberg'!G1113="","",'Port Bloomberg'!G1113)</f>
        <v/>
      </c>
      <c r="H1113" s="7" t="str">
        <f>IF('Port Bloomberg'!H1113="","",'Port Bloomberg'!H1113)</f>
        <v/>
      </c>
      <c r="I1113" s="7" t="str">
        <f>IF('Port Bloomberg'!I1113="","",'Port Bloomberg'!I1113)</f>
        <v/>
      </c>
      <c r="J1113" s="7" t="str">
        <f>IF('Port Bloomberg'!J1113="","",'Port Bloomberg'!J1113)</f>
        <v/>
      </c>
      <c r="K1113" s="7" t="str">
        <f>IF('Port Bloomberg'!K1113="","",'Port Bloomberg'!K1113)</f>
        <v/>
      </c>
      <c r="L1113" s="7" t="str">
        <f>IF('Port Bloomberg'!L1113="","",'Port Bloomberg'!L1113)</f>
        <v/>
      </c>
      <c r="M1113" s="7" t="str">
        <f>IF('Port Bloomberg'!M1113="","",'Port Bloomberg'!M1113)</f>
        <v/>
      </c>
      <c r="N1113" s="7" t="str">
        <f>IF('Port Bloomberg'!N1113="","",'Port Bloomberg'!N1113)</f>
        <v/>
      </c>
      <c r="O1113" s="7" t="str">
        <f>IF('Port Bloomberg'!O1113="","",'Port Bloomberg'!O1113)</f>
        <v/>
      </c>
      <c r="P1113" s="7" t="str">
        <f>IF('Port Bloomberg'!P1113="","",'Port Bloomberg'!P1113)</f>
        <v/>
      </c>
      <c r="Q1113" s="7" t="str">
        <f>IF('Port Bloomberg'!Q1113="","",'Port Bloomberg'!Q1113)</f>
        <v/>
      </c>
      <c r="R1113" s="7" t="str">
        <f>IF('Port Bloomberg'!R1113="","",'Port Bloomberg'!R1113)</f>
        <v/>
      </c>
      <c r="S1113" s="5" t="str">
        <f>IF(E1113="","",IFERROR(IF(MATCH(E1113,[1]Instrumentos!$D:$D,0)&gt;0,1,0),0))</f>
        <v/>
      </c>
      <c r="T1113" s="5" t="str">
        <f>IF(E1113="","",IFERROR(IF(MATCH(E1113,'Lista de excepciones'!$E:$E,0)&gt;0,1,0),0))</f>
        <v/>
      </c>
      <c r="U1113" s="6" t="str">
        <f t="shared" si="18"/>
        <v/>
      </c>
    </row>
    <row r="1114" spans="1:21" hidden="1" x14ac:dyDescent="0.25">
      <c r="A1114" s="7" t="str">
        <f>IF('Port Bloomberg'!A1114="","",'Port Bloomberg'!A1114)</f>
        <v/>
      </c>
      <c r="B1114" s="7" t="str">
        <f>IF('Port Bloomberg'!B1114="","",'Port Bloomberg'!B1114)</f>
        <v/>
      </c>
      <c r="C1114" s="7" t="str">
        <f>IF('Port Bloomberg'!C1114="","",'Port Bloomberg'!C1114)</f>
        <v/>
      </c>
      <c r="D1114" s="7" t="str">
        <f>IF('Port Bloomberg'!D1114="","",'Port Bloomberg'!D1114)</f>
        <v/>
      </c>
      <c r="E1114" s="7" t="str">
        <f>IF('Port Bloomberg'!E1114="","",'Port Bloomberg'!E1114)</f>
        <v/>
      </c>
      <c r="F1114" s="7" t="str">
        <f>IF('Port Bloomberg'!F1114="","",'Port Bloomberg'!F1114)</f>
        <v/>
      </c>
      <c r="G1114" s="7" t="str">
        <f>IF('Port Bloomberg'!G1114="","",'Port Bloomberg'!G1114)</f>
        <v/>
      </c>
      <c r="H1114" s="7" t="str">
        <f>IF('Port Bloomberg'!H1114="","",'Port Bloomberg'!H1114)</f>
        <v/>
      </c>
      <c r="I1114" s="7" t="str">
        <f>IF('Port Bloomberg'!I1114="","",'Port Bloomberg'!I1114)</f>
        <v/>
      </c>
      <c r="J1114" s="7" t="str">
        <f>IF('Port Bloomberg'!J1114="","",'Port Bloomberg'!J1114)</f>
        <v/>
      </c>
      <c r="K1114" s="7" t="str">
        <f>IF('Port Bloomberg'!K1114="","",'Port Bloomberg'!K1114)</f>
        <v/>
      </c>
      <c r="L1114" s="7" t="str">
        <f>IF('Port Bloomberg'!L1114="","",'Port Bloomberg'!L1114)</f>
        <v/>
      </c>
      <c r="M1114" s="7" t="str">
        <f>IF('Port Bloomberg'!M1114="","",'Port Bloomberg'!M1114)</f>
        <v/>
      </c>
      <c r="N1114" s="7" t="str">
        <f>IF('Port Bloomberg'!N1114="","",'Port Bloomberg'!N1114)</f>
        <v/>
      </c>
      <c r="O1114" s="7" t="str">
        <f>IF('Port Bloomberg'!O1114="","",'Port Bloomberg'!O1114)</f>
        <v/>
      </c>
      <c r="P1114" s="7" t="str">
        <f>IF('Port Bloomberg'!P1114="","",'Port Bloomberg'!P1114)</f>
        <v/>
      </c>
      <c r="Q1114" s="7" t="str">
        <f>IF('Port Bloomberg'!Q1114="","",'Port Bloomberg'!Q1114)</f>
        <v/>
      </c>
      <c r="R1114" s="7" t="str">
        <f>IF('Port Bloomberg'!R1114="","",'Port Bloomberg'!R1114)</f>
        <v/>
      </c>
      <c r="S1114" s="5" t="str">
        <f>IF(E1114="","",IFERROR(IF(MATCH(E1114,[1]Instrumentos!$D:$D,0)&gt;0,1,0),0))</f>
        <v/>
      </c>
      <c r="T1114" s="5" t="str">
        <f>IF(E1114="","",IFERROR(IF(MATCH(E1114,'Lista de excepciones'!$E:$E,0)&gt;0,1,0),0))</f>
        <v/>
      </c>
      <c r="U1114" s="6" t="str">
        <f t="shared" si="18"/>
        <v/>
      </c>
    </row>
    <row r="1115" spans="1:21" hidden="1" x14ac:dyDescent="0.25">
      <c r="A1115" s="7" t="str">
        <f>IF('Port Bloomberg'!A1115="","",'Port Bloomberg'!A1115)</f>
        <v/>
      </c>
      <c r="B1115" s="7" t="str">
        <f>IF('Port Bloomberg'!B1115="","",'Port Bloomberg'!B1115)</f>
        <v/>
      </c>
      <c r="C1115" s="7" t="str">
        <f>IF('Port Bloomberg'!C1115="","",'Port Bloomberg'!C1115)</f>
        <v/>
      </c>
      <c r="D1115" s="7" t="str">
        <f>IF('Port Bloomberg'!D1115="","",'Port Bloomberg'!D1115)</f>
        <v/>
      </c>
      <c r="E1115" s="7" t="str">
        <f>IF('Port Bloomberg'!E1115="","",'Port Bloomberg'!E1115)</f>
        <v/>
      </c>
      <c r="F1115" s="7" t="str">
        <f>IF('Port Bloomberg'!F1115="","",'Port Bloomberg'!F1115)</f>
        <v/>
      </c>
      <c r="G1115" s="7" t="str">
        <f>IF('Port Bloomberg'!G1115="","",'Port Bloomberg'!G1115)</f>
        <v/>
      </c>
      <c r="H1115" s="7" t="str">
        <f>IF('Port Bloomberg'!H1115="","",'Port Bloomberg'!H1115)</f>
        <v/>
      </c>
      <c r="I1115" s="7" t="str">
        <f>IF('Port Bloomberg'!I1115="","",'Port Bloomberg'!I1115)</f>
        <v/>
      </c>
      <c r="J1115" s="7" t="str">
        <f>IF('Port Bloomberg'!J1115="","",'Port Bloomberg'!J1115)</f>
        <v/>
      </c>
      <c r="K1115" s="7" t="str">
        <f>IF('Port Bloomberg'!K1115="","",'Port Bloomberg'!K1115)</f>
        <v/>
      </c>
      <c r="L1115" s="7" t="str">
        <f>IF('Port Bloomberg'!L1115="","",'Port Bloomberg'!L1115)</f>
        <v/>
      </c>
      <c r="M1115" s="7" t="str">
        <f>IF('Port Bloomberg'!M1115="","",'Port Bloomberg'!M1115)</f>
        <v/>
      </c>
      <c r="N1115" s="7" t="str">
        <f>IF('Port Bloomberg'!N1115="","",'Port Bloomberg'!N1115)</f>
        <v/>
      </c>
      <c r="O1115" s="7" t="str">
        <f>IF('Port Bloomberg'!O1115="","",'Port Bloomberg'!O1115)</f>
        <v/>
      </c>
      <c r="P1115" s="7" t="str">
        <f>IF('Port Bloomberg'!P1115="","",'Port Bloomberg'!P1115)</f>
        <v/>
      </c>
      <c r="Q1115" s="7" t="str">
        <f>IF('Port Bloomberg'!Q1115="","",'Port Bloomberg'!Q1115)</f>
        <v/>
      </c>
      <c r="R1115" s="7" t="str">
        <f>IF('Port Bloomberg'!R1115="","",'Port Bloomberg'!R1115)</f>
        <v/>
      </c>
      <c r="S1115" s="5" t="str">
        <f>IF(E1115="","",IFERROR(IF(MATCH(E1115,[1]Instrumentos!$D:$D,0)&gt;0,1,0),0))</f>
        <v/>
      </c>
      <c r="T1115" s="5" t="str">
        <f>IF(E1115="","",IFERROR(IF(MATCH(E1115,'Lista de excepciones'!$E:$E,0)&gt;0,1,0),0))</f>
        <v/>
      </c>
      <c r="U1115" s="6" t="str">
        <f t="shared" si="18"/>
        <v/>
      </c>
    </row>
    <row r="1116" spans="1:21" hidden="1" x14ac:dyDescent="0.25">
      <c r="A1116" s="7" t="str">
        <f>IF('Port Bloomberg'!A1116="","",'Port Bloomberg'!A1116)</f>
        <v/>
      </c>
      <c r="B1116" s="7" t="str">
        <f>IF('Port Bloomberg'!B1116="","",'Port Bloomberg'!B1116)</f>
        <v/>
      </c>
      <c r="C1116" s="7" t="str">
        <f>IF('Port Bloomberg'!C1116="","",'Port Bloomberg'!C1116)</f>
        <v/>
      </c>
      <c r="D1116" s="7" t="str">
        <f>IF('Port Bloomberg'!D1116="","",'Port Bloomberg'!D1116)</f>
        <v/>
      </c>
      <c r="E1116" s="7" t="str">
        <f>IF('Port Bloomberg'!E1116="","",'Port Bloomberg'!E1116)</f>
        <v/>
      </c>
      <c r="F1116" s="7" t="str">
        <f>IF('Port Bloomberg'!F1116="","",'Port Bloomberg'!F1116)</f>
        <v/>
      </c>
      <c r="G1116" s="7" t="str">
        <f>IF('Port Bloomberg'!G1116="","",'Port Bloomberg'!G1116)</f>
        <v/>
      </c>
      <c r="H1116" s="7" t="str">
        <f>IF('Port Bloomberg'!H1116="","",'Port Bloomberg'!H1116)</f>
        <v/>
      </c>
      <c r="I1116" s="7" t="str">
        <f>IF('Port Bloomberg'!I1116="","",'Port Bloomberg'!I1116)</f>
        <v/>
      </c>
      <c r="J1116" s="7" t="str">
        <f>IF('Port Bloomberg'!J1116="","",'Port Bloomberg'!J1116)</f>
        <v/>
      </c>
      <c r="K1116" s="7" t="str">
        <f>IF('Port Bloomberg'!K1116="","",'Port Bloomberg'!K1116)</f>
        <v/>
      </c>
      <c r="L1116" s="7" t="str">
        <f>IF('Port Bloomberg'!L1116="","",'Port Bloomberg'!L1116)</f>
        <v/>
      </c>
      <c r="M1116" s="7" t="str">
        <f>IF('Port Bloomberg'!M1116="","",'Port Bloomberg'!M1116)</f>
        <v/>
      </c>
      <c r="N1116" s="7" t="str">
        <f>IF('Port Bloomberg'!N1116="","",'Port Bloomberg'!N1116)</f>
        <v/>
      </c>
      <c r="O1116" s="7" t="str">
        <f>IF('Port Bloomberg'!O1116="","",'Port Bloomberg'!O1116)</f>
        <v/>
      </c>
      <c r="P1116" s="7" t="str">
        <f>IF('Port Bloomberg'!P1116="","",'Port Bloomberg'!P1116)</f>
        <v/>
      </c>
      <c r="Q1116" s="7" t="str">
        <f>IF('Port Bloomberg'!Q1116="","",'Port Bloomberg'!Q1116)</f>
        <v/>
      </c>
      <c r="R1116" s="7" t="str">
        <f>IF('Port Bloomberg'!R1116="","",'Port Bloomberg'!R1116)</f>
        <v/>
      </c>
      <c r="S1116" s="5" t="str">
        <f>IF(E1116="","",IFERROR(IF(MATCH(E1116,[1]Instrumentos!$D:$D,0)&gt;0,1,0),0))</f>
        <v/>
      </c>
      <c r="T1116" s="5" t="str">
        <f>IF(E1116="","",IFERROR(IF(MATCH(E1116,'Lista de excepciones'!$E:$E,0)&gt;0,1,0),0))</f>
        <v/>
      </c>
      <c r="U1116" s="6" t="str">
        <f t="shared" si="18"/>
        <v/>
      </c>
    </row>
    <row r="1117" spans="1:21" hidden="1" x14ac:dyDescent="0.25">
      <c r="A1117" s="7" t="str">
        <f>IF('Port Bloomberg'!A1117="","",'Port Bloomberg'!A1117)</f>
        <v/>
      </c>
      <c r="B1117" s="7" t="str">
        <f>IF('Port Bloomberg'!B1117="","",'Port Bloomberg'!B1117)</f>
        <v/>
      </c>
      <c r="C1117" s="7" t="str">
        <f>IF('Port Bloomberg'!C1117="","",'Port Bloomberg'!C1117)</f>
        <v/>
      </c>
      <c r="D1117" s="7" t="str">
        <f>IF('Port Bloomberg'!D1117="","",'Port Bloomberg'!D1117)</f>
        <v/>
      </c>
      <c r="E1117" s="7" t="str">
        <f>IF('Port Bloomberg'!E1117="","",'Port Bloomberg'!E1117)</f>
        <v/>
      </c>
      <c r="F1117" s="7" t="str">
        <f>IF('Port Bloomberg'!F1117="","",'Port Bloomberg'!F1117)</f>
        <v/>
      </c>
      <c r="G1117" s="7" t="str">
        <f>IF('Port Bloomberg'!G1117="","",'Port Bloomberg'!G1117)</f>
        <v/>
      </c>
      <c r="H1117" s="7" t="str">
        <f>IF('Port Bloomberg'!H1117="","",'Port Bloomberg'!H1117)</f>
        <v/>
      </c>
      <c r="I1117" s="7" t="str">
        <f>IF('Port Bloomberg'!I1117="","",'Port Bloomberg'!I1117)</f>
        <v/>
      </c>
      <c r="J1117" s="7" t="str">
        <f>IF('Port Bloomberg'!J1117="","",'Port Bloomberg'!J1117)</f>
        <v/>
      </c>
      <c r="K1117" s="7" t="str">
        <f>IF('Port Bloomberg'!K1117="","",'Port Bloomberg'!K1117)</f>
        <v/>
      </c>
      <c r="L1117" s="7" t="str">
        <f>IF('Port Bloomberg'!L1117="","",'Port Bloomberg'!L1117)</f>
        <v/>
      </c>
      <c r="M1117" s="7" t="str">
        <f>IF('Port Bloomberg'!M1117="","",'Port Bloomberg'!M1117)</f>
        <v/>
      </c>
      <c r="N1117" s="7" t="str">
        <f>IF('Port Bloomberg'!N1117="","",'Port Bloomberg'!N1117)</f>
        <v/>
      </c>
      <c r="O1117" s="7" t="str">
        <f>IF('Port Bloomberg'!O1117="","",'Port Bloomberg'!O1117)</f>
        <v/>
      </c>
      <c r="P1117" s="7" t="str">
        <f>IF('Port Bloomberg'!P1117="","",'Port Bloomberg'!P1117)</f>
        <v/>
      </c>
      <c r="Q1117" s="7" t="str">
        <f>IF('Port Bloomberg'!Q1117="","",'Port Bloomberg'!Q1117)</f>
        <v/>
      </c>
      <c r="R1117" s="7" t="str">
        <f>IF('Port Bloomberg'!R1117="","",'Port Bloomberg'!R1117)</f>
        <v/>
      </c>
      <c r="S1117" s="5" t="str">
        <f>IF(E1117="","",IFERROR(IF(MATCH(E1117,[1]Instrumentos!$D:$D,0)&gt;0,1,0),0))</f>
        <v/>
      </c>
      <c r="T1117" s="5" t="str">
        <f>IF(E1117="","",IFERROR(IF(MATCH(E1117,'Lista de excepciones'!$E:$E,0)&gt;0,1,0),0))</f>
        <v/>
      </c>
      <c r="U1117" s="6" t="str">
        <f t="shared" si="18"/>
        <v/>
      </c>
    </row>
    <row r="1118" spans="1:21" hidden="1" x14ac:dyDescent="0.25">
      <c r="A1118" s="7" t="str">
        <f>IF('Port Bloomberg'!A1118="","",'Port Bloomberg'!A1118)</f>
        <v/>
      </c>
      <c r="B1118" s="7" t="str">
        <f>IF('Port Bloomberg'!B1118="","",'Port Bloomberg'!B1118)</f>
        <v/>
      </c>
      <c r="C1118" s="7" t="str">
        <f>IF('Port Bloomberg'!C1118="","",'Port Bloomberg'!C1118)</f>
        <v/>
      </c>
      <c r="D1118" s="7" t="str">
        <f>IF('Port Bloomberg'!D1118="","",'Port Bloomberg'!D1118)</f>
        <v/>
      </c>
      <c r="E1118" s="7" t="str">
        <f>IF('Port Bloomberg'!E1118="","",'Port Bloomberg'!E1118)</f>
        <v/>
      </c>
      <c r="F1118" s="7" t="str">
        <f>IF('Port Bloomberg'!F1118="","",'Port Bloomberg'!F1118)</f>
        <v/>
      </c>
      <c r="G1118" s="7" t="str">
        <f>IF('Port Bloomberg'!G1118="","",'Port Bloomberg'!G1118)</f>
        <v/>
      </c>
      <c r="H1118" s="7" t="str">
        <f>IF('Port Bloomberg'!H1118="","",'Port Bloomberg'!H1118)</f>
        <v/>
      </c>
      <c r="I1118" s="7" t="str">
        <f>IF('Port Bloomberg'!I1118="","",'Port Bloomberg'!I1118)</f>
        <v/>
      </c>
      <c r="J1118" s="7" t="str">
        <f>IF('Port Bloomberg'!J1118="","",'Port Bloomberg'!J1118)</f>
        <v/>
      </c>
      <c r="K1118" s="7" t="str">
        <f>IF('Port Bloomberg'!K1118="","",'Port Bloomberg'!K1118)</f>
        <v/>
      </c>
      <c r="L1118" s="7" t="str">
        <f>IF('Port Bloomberg'!L1118="","",'Port Bloomberg'!L1118)</f>
        <v/>
      </c>
      <c r="M1118" s="7" t="str">
        <f>IF('Port Bloomberg'!M1118="","",'Port Bloomberg'!M1118)</f>
        <v/>
      </c>
      <c r="N1118" s="7" t="str">
        <f>IF('Port Bloomberg'!N1118="","",'Port Bloomberg'!N1118)</f>
        <v/>
      </c>
      <c r="O1118" s="7" t="str">
        <f>IF('Port Bloomberg'!O1118="","",'Port Bloomberg'!O1118)</f>
        <v/>
      </c>
      <c r="P1118" s="7" t="str">
        <f>IF('Port Bloomberg'!P1118="","",'Port Bloomberg'!P1118)</f>
        <v/>
      </c>
      <c r="Q1118" s="7" t="str">
        <f>IF('Port Bloomberg'!Q1118="","",'Port Bloomberg'!Q1118)</f>
        <v/>
      </c>
      <c r="R1118" s="7" t="str">
        <f>IF('Port Bloomberg'!R1118="","",'Port Bloomberg'!R1118)</f>
        <v/>
      </c>
      <c r="S1118" s="5" t="str">
        <f>IF(E1118="","",IFERROR(IF(MATCH(E1118,[1]Instrumentos!$D:$D,0)&gt;0,1,0),0))</f>
        <v/>
      </c>
      <c r="T1118" s="5" t="str">
        <f>IF(E1118="","",IFERROR(IF(MATCH(E1118,'Lista de excepciones'!$E:$E,0)&gt;0,1,0),0))</f>
        <v/>
      </c>
      <c r="U1118" s="6" t="str">
        <f t="shared" si="18"/>
        <v/>
      </c>
    </row>
    <row r="1119" spans="1:21" hidden="1" x14ac:dyDescent="0.25">
      <c r="A1119" s="7" t="str">
        <f>IF('Port Bloomberg'!A1119="","",'Port Bloomberg'!A1119)</f>
        <v/>
      </c>
      <c r="B1119" s="7" t="str">
        <f>IF('Port Bloomberg'!B1119="","",'Port Bloomberg'!B1119)</f>
        <v/>
      </c>
      <c r="C1119" s="7" t="str">
        <f>IF('Port Bloomberg'!C1119="","",'Port Bloomberg'!C1119)</f>
        <v/>
      </c>
      <c r="D1119" s="7" t="str">
        <f>IF('Port Bloomberg'!D1119="","",'Port Bloomberg'!D1119)</f>
        <v/>
      </c>
      <c r="E1119" s="7" t="str">
        <f>IF('Port Bloomberg'!E1119="","",'Port Bloomberg'!E1119)</f>
        <v/>
      </c>
      <c r="F1119" s="7" t="str">
        <f>IF('Port Bloomberg'!F1119="","",'Port Bloomberg'!F1119)</f>
        <v/>
      </c>
      <c r="G1119" s="7" t="str">
        <f>IF('Port Bloomberg'!G1119="","",'Port Bloomberg'!G1119)</f>
        <v/>
      </c>
      <c r="H1119" s="7" t="str">
        <f>IF('Port Bloomberg'!H1119="","",'Port Bloomberg'!H1119)</f>
        <v/>
      </c>
      <c r="I1119" s="7" t="str">
        <f>IF('Port Bloomberg'!I1119="","",'Port Bloomberg'!I1119)</f>
        <v/>
      </c>
      <c r="J1119" s="7" t="str">
        <f>IF('Port Bloomberg'!J1119="","",'Port Bloomberg'!J1119)</f>
        <v/>
      </c>
      <c r="K1119" s="7" t="str">
        <f>IF('Port Bloomberg'!K1119="","",'Port Bloomberg'!K1119)</f>
        <v/>
      </c>
      <c r="L1119" s="7" t="str">
        <f>IF('Port Bloomberg'!L1119="","",'Port Bloomberg'!L1119)</f>
        <v/>
      </c>
      <c r="M1119" s="7" t="str">
        <f>IF('Port Bloomberg'!M1119="","",'Port Bloomberg'!M1119)</f>
        <v/>
      </c>
      <c r="N1119" s="7" t="str">
        <f>IF('Port Bloomberg'!N1119="","",'Port Bloomberg'!N1119)</f>
        <v/>
      </c>
      <c r="O1119" s="7" t="str">
        <f>IF('Port Bloomberg'!O1119="","",'Port Bloomberg'!O1119)</f>
        <v/>
      </c>
      <c r="P1119" s="7" t="str">
        <f>IF('Port Bloomberg'!P1119="","",'Port Bloomberg'!P1119)</f>
        <v/>
      </c>
      <c r="Q1119" s="7" t="str">
        <f>IF('Port Bloomberg'!Q1119="","",'Port Bloomberg'!Q1119)</f>
        <v/>
      </c>
      <c r="R1119" s="7" t="str">
        <f>IF('Port Bloomberg'!R1119="","",'Port Bloomberg'!R1119)</f>
        <v/>
      </c>
      <c r="S1119" s="5" t="str">
        <f>IF(E1119="","",IFERROR(IF(MATCH(E1119,[1]Instrumentos!$D:$D,0)&gt;0,1,0),0))</f>
        <v/>
      </c>
      <c r="T1119" s="5" t="str">
        <f>IF(E1119="","",IFERROR(IF(MATCH(E1119,'Lista de excepciones'!$E:$E,0)&gt;0,1,0),0))</f>
        <v/>
      </c>
      <c r="U1119" s="6" t="str">
        <f t="shared" si="18"/>
        <v/>
      </c>
    </row>
    <row r="1120" spans="1:21" hidden="1" x14ac:dyDescent="0.25">
      <c r="A1120" s="7" t="str">
        <f>IF('Port Bloomberg'!A1120="","",'Port Bloomberg'!A1120)</f>
        <v/>
      </c>
      <c r="B1120" s="7" t="str">
        <f>IF('Port Bloomberg'!B1120="","",'Port Bloomberg'!B1120)</f>
        <v/>
      </c>
      <c r="C1120" s="7" t="str">
        <f>IF('Port Bloomberg'!C1120="","",'Port Bloomberg'!C1120)</f>
        <v/>
      </c>
      <c r="D1120" s="7" t="str">
        <f>IF('Port Bloomberg'!D1120="","",'Port Bloomberg'!D1120)</f>
        <v/>
      </c>
      <c r="E1120" s="7" t="str">
        <f>IF('Port Bloomberg'!E1120="","",'Port Bloomberg'!E1120)</f>
        <v/>
      </c>
      <c r="F1120" s="7" t="str">
        <f>IF('Port Bloomberg'!F1120="","",'Port Bloomberg'!F1120)</f>
        <v/>
      </c>
      <c r="G1120" s="7" t="str">
        <f>IF('Port Bloomberg'!G1120="","",'Port Bloomberg'!G1120)</f>
        <v/>
      </c>
      <c r="H1120" s="7" t="str">
        <f>IF('Port Bloomberg'!H1120="","",'Port Bloomberg'!H1120)</f>
        <v/>
      </c>
      <c r="I1120" s="7" t="str">
        <f>IF('Port Bloomberg'!I1120="","",'Port Bloomberg'!I1120)</f>
        <v/>
      </c>
      <c r="J1120" s="7" t="str">
        <f>IF('Port Bloomberg'!J1120="","",'Port Bloomberg'!J1120)</f>
        <v/>
      </c>
      <c r="K1120" s="7" t="str">
        <f>IF('Port Bloomberg'!K1120="","",'Port Bloomberg'!K1120)</f>
        <v/>
      </c>
      <c r="L1120" s="7" t="str">
        <f>IF('Port Bloomberg'!L1120="","",'Port Bloomberg'!L1120)</f>
        <v/>
      </c>
      <c r="M1120" s="7" t="str">
        <f>IF('Port Bloomberg'!M1120="","",'Port Bloomberg'!M1120)</f>
        <v/>
      </c>
      <c r="N1120" s="7" t="str">
        <f>IF('Port Bloomberg'!N1120="","",'Port Bloomberg'!N1120)</f>
        <v/>
      </c>
      <c r="O1120" s="7" t="str">
        <f>IF('Port Bloomberg'!O1120="","",'Port Bloomberg'!O1120)</f>
        <v/>
      </c>
      <c r="P1120" s="7" t="str">
        <f>IF('Port Bloomberg'!P1120="","",'Port Bloomberg'!P1120)</f>
        <v/>
      </c>
      <c r="Q1120" s="7" t="str">
        <f>IF('Port Bloomberg'!Q1120="","",'Port Bloomberg'!Q1120)</f>
        <v/>
      </c>
      <c r="R1120" s="7" t="str">
        <f>IF('Port Bloomberg'!R1120="","",'Port Bloomberg'!R1120)</f>
        <v/>
      </c>
      <c r="S1120" s="5" t="str">
        <f>IF(E1120="","",IFERROR(IF(MATCH(E1120,[1]Instrumentos!$D:$D,0)&gt;0,1,0),0))</f>
        <v/>
      </c>
      <c r="T1120" s="5" t="str">
        <f>IF(E1120="","",IFERROR(IF(MATCH(E1120,'Lista de excepciones'!$E:$E,0)&gt;0,1,0),0))</f>
        <v/>
      </c>
      <c r="U1120" s="6" t="str">
        <f t="shared" si="18"/>
        <v/>
      </c>
    </row>
    <row r="1121" spans="1:21" hidden="1" x14ac:dyDescent="0.25">
      <c r="A1121" s="7" t="str">
        <f>IF('Port Bloomberg'!A1121="","",'Port Bloomberg'!A1121)</f>
        <v/>
      </c>
      <c r="B1121" s="7" t="str">
        <f>IF('Port Bloomberg'!B1121="","",'Port Bloomberg'!B1121)</f>
        <v/>
      </c>
      <c r="C1121" s="7" t="str">
        <f>IF('Port Bloomberg'!C1121="","",'Port Bloomberg'!C1121)</f>
        <v/>
      </c>
      <c r="D1121" s="7" t="str">
        <f>IF('Port Bloomberg'!D1121="","",'Port Bloomberg'!D1121)</f>
        <v/>
      </c>
      <c r="E1121" s="7" t="str">
        <f>IF('Port Bloomberg'!E1121="","",'Port Bloomberg'!E1121)</f>
        <v/>
      </c>
      <c r="F1121" s="7" t="str">
        <f>IF('Port Bloomberg'!F1121="","",'Port Bloomberg'!F1121)</f>
        <v/>
      </c>
      <c r="G1121" s="7" t="str">
        <f>IF('Port Bloomberg'!G1121="","",'Port Bloomberg'!G1121)</f>
        <v/>
      </c>
      <c r="H1121" s="7" t="str">
        <f>IF('Port Bloomberg'!H1121="","",'Port Bloomberg'!H1121)</f>
        <v/>
      </c>
      <c r="I1121" s="7" t="str">
        <f>IF('Port Bloomberg'!I1121="","",'Port Bloomberg'!I1121)</f>
        <v/>
      </c>
      <c r="J1121" s="7" t="str">
        <f>IF('Port Bloomberg'!J1121="","",'Port Bloomberg'!J1121)</f>
        <v/>
      </c>
      <c r="K1121" s="7" t="str">
        <f>IF('Port Bloomberg'!K1121="","",'Port Bloomberg'!K1121)</f>
        <v/>
      </c>
      <c r="L1121" s="7" t="str">
        <f>IF('Port Bloomberg'!L1121="","",'Port Bloomberg'!L1121)</f>
        <v/>
      </c>
      <c r="M1121" s="7" t="str">
        <f>IF('Port Bloomberg'!M1121="","",'Port Bloomberg'!M1121)</f>
        <v/>
      </c>
      <c r="N1121" s="7" t="str">
        <f>IF('Port Bloomberg'!N1121="","",'Port Bloomberg'!N1121)</f>
        <v/>
      </c>
      <c r="O1121" s="7" t="str">
        <f>IF('Port Bloomberg'!O1121="","",'Port Bloomberg'!O1121)</f>
        <v/>
      </c>
      <c r="P1121" s="7" t="str">
        <f>IF('Port Bloomberg'!P1121="","",'Port Bloomberg'!P1121)</f>
        <v/>
      </c>
      <c r="Q1121" s="7" t="str">
        <f>IF('Port Bloomberg'!Q1121="","",'Port Bloomberg'!Q1121)</f>
        <v/>
      </c>
      <c r="R1121" s="7" t="str">
        <f>IF('Port Bloomberg'!R1121="","",'Port Bloomberg'!R1121)</f>
        <v/>
      </c>
      <c r="S1121" s="5" t="str">
        <f>IF(E1121="","",IFERROR(IF(MATCH(E1121,[1]Instrumentos!$D:$D,0)&gt;0,1,0),0))</f>
        <v/>
      </c>
      <c r="T1121" s="5" t="str">
        <f>IF(E1121="","",IFERROR(IF(MATCH(E1121,'Lista de excepciones'!$E:$E,0)&gt;0,1,0),0))</f>
        <v/>
      </c>
      <c r="U1121" s="6" t="str">
        <f t="shared" si="18"/>
        <v/>
      </c>
    </row>
    <row r="1122" spans="1:21" hidden="1" x14ac:dyDescent="0.25">
      <c r="A1122" s="7" t="str">
        <f>IF('Port Bloomberg'!A1122="","",'Port Bloomberg'!A1122)</f>
        <v/>
      </c>
      <c r="B1122" s="7" t="str">
        <f>IF('Port Bloomberg'!B1122="","",'Port Bloomberg'!B1122)</f>
        <v/>
      </c>
      <c r="C1122" s="7" t="str">
        <f>IF('Port Bloomberg'!C1122="","",'Port Bloomberg'!C1122)</f>
        <v/>
      </c>
      <c r="D1122" s="7" t="str">
        <f>IF('Port Bloomberg'!D1122="","",'Port Bloomberg'!D1122)</f>
        <v/>
      </c>
      <c r="E1122" s="7" t="str">
        <f>IF('Port Bloomberg'!E1122="","",'Port Bloomberg'!E1122)</f>
        <v/>
      </c>
      <c r="F1122" s="7" t="str">
        <f>IF('Port Bloomberg'!F1122="","",'Port Bloomberg'!F1122)</f>
        <v/>
      </c>
      <c r="G1122" s="7" t="str">
        <f>IF('Port Bloomberg'!G1122="","",'Port Bloomberg'!G1122)</f>
        <v/>
      </c>
      <c r="H1122" s="7" t="str">
        <f>IF('Port Bloomberg'!H1122="","",'Port Bloomberg'!H1122)</f>
        <v/>
      </c>
      <c r="I1122" s="7" t="str">
        <f>IF('Port Bloomberg'!I1122="","",'Port Bloomberg'!I1122)</f>
        <v/>
      </c>
      <c r="J1122" s="7" t="str">
        <f>IF('Port Bloomberg'!J1122="","",'Port Bloomberg'!J1122)</f>
        <v/>
      </c>
      <c r="K1122" s="7" t="str">
        <f>IF('Port Bloomberg'!K1122="","",'Port Bloomberg'!K1122)</f>
        <v/>
      </c>
      <c r="L1122" s="7" t="str">
        <f>IF('Port Bloomberg'!L1122="","",'Port Bloomberg'!L1122)</f>
        <v/>
      </c>
      <c r="M1122" s="7" t="str">
        <f>IF('Port Bloomberg'!M1122="","",'Port Bloomberg'!M1122)</f>
        <v/>
      </c>
      <c r="N1122" s="7" t="str">
        <f>IF('Port Bloomberg'!N1122="","",'Port Bloomberg'!N1122)</f>
        <v/>
      </c>
      <c r="O1122" s="7" t="str">
        <f>IF('Port Bloomberg'!O1122="","",'Port Bloomberg'!O1122)</f>
        <v/>
      </c>
      <c r="P1122" s="7" t="str">
        <f>IF('Port Bloomberg'!P1122="","",'Port Bloomberg'!P1122)</f>
        <v/>
      </c>
      <c r="Q1122" s="7" t="str">
        <f>IF('Port Bloomberg'!Q1122="","",'Port Bloomberg'!Q1122)</f>
        <v/>
      </c>
      <c r="R1122" s="7" t="str">
        <f>IF('Port Bloomberg'!R1122="","",'Port Bloomberg'!R1122)</f>
        <v/>
      </c>
      <c r="S1122" s="5" t="str">
        <f>IF(E1122="","",IFERROR(IF(MATCH(E1122,[1]Instrumentos!$D:$D,0)&gt;0,1,0),0))</f>
        <v/>
      </c>
      <c r="T1122" s="5" t="str">
        <f>IF(E1122="","",IFERROR(IF(MATCH(E1122,'Lista de excepciones'!$E:$E,0)&gt;0,1,0),0))</f>
        <v/>
      </c>
      <c r="U1122" s="6" t="str">
        <f t="shared" si="18"/>
        <v/>
      </c>
    </row>
    <row r="1123" spans="1:21" hidden="1" x14ac:dyDescent="0.25">
      <c r="A1123" s="7" t="str">
        <f>IF('Port Bloomberg'!A1123="","",'Port Bloomberg'!A1123)</f>
        <v/>
      </c>
      <c r="B1123" s="7" t="str">
        <f>IF('Port Bloomberg'!B1123="","",'Port Bloomberg'!B1123)</f>
        <v/>
      </c>
      <c r="C1123" s="7" t="str">
        <f>IF('Port Bloomberg'!C1123="","",'Port Bloomberg'!C1123)</f>
        <v/>
      </c>
      <c r="D1123" s="7" t="str">
        <f>IF('Port Bloomberg'!D1123="","",'Port Bloomberg'!D1123)</f>
        <v/>
      </c>
      <c r="E1123" s="7" t="str">
        <f>IF('Port Bloomberg'!E1123="","",'Port Bloomberg'!E1123)</f>
        <v/>
      </c>
      <c r="F1123" s="7" t="str">
        <f>IF('Port Bloomberg'!F1123="","",'Port Bloomberg'!F1123)</f>
        <v/>
      </c>
      <c r="G1123" s="7" t="str">
        <f>IF('Port Bloomberg'!G1123="","",'Port Bloomberg'!G1123)</f>
        <v/>
      </c>
      <c r="H1123" s="7" t="str">
        <f>IF('Port Bloomberg'!H1123="","",'Port Bloomberg'!H1123)</f>
        <v/>
      </c>
      <c r="I1123" s="7" t="str">
        <f>IF('Port Bloomberg'!I1123="","",'Port Bloomberg'!I1123)</f>
        <v/>
      </c>
      <c r="J1123" s="7" t="str">
        <f>IF('Port Bloomberg'!J1123="","",'Port Bloomberg'!J1123)</f>
        <v/>
      </c>
      <c r="K1123" s="7" t="str">
        <f>IF('Port Bloomberg'!K1123="","",'Port Bloomberg'!K1123)</f>
        <v/>
      </c>
      <c r="L1123" s="7" t="str">
        <f>IF('Port Bloomberg'!L1123="","",'Port Bloomberg'!L1123)</f>
        <v/>
      </c>
      <c r="M1123" s="7" t="str">
        <f>IF('Port Bloomberg'!M1123="","",'Port Bloomberg'!M1123)</f>
        <v/>
      </c>
      <c r="N1123" s="7" t="str">
        <f>IF('Port Bloomberg'!N1123="","",'Port Bloomberg'!N1123)</f>
        <v/>
      </c>
      <c r="O1123" s="7" t="str">
        <f>IF('Port Bloomberg'!O1123="","",'Port Bloomberg'!O1123)</f>
        <v/>
      </c>
      <c r="P1123" s="7" t="str">
        <f>IF('Port Bloomberg'!P1123="","",'Port Bloomberg'!P1123)</f>
        <v/>
      </c>
      <c r="Q1123" s="7" t="str">
        <f>IF('Port Bloomberg'!Q1123="","",'Port Bloomberg'!Q1123)</f>
        <v/>
      </c>
      <c r="R1123" s="7" t="str">
        <f>IF('Port Bloomberg'!R1123="","",'Port Bloomberg'!R1123)</f>
        <v/>
      </c>
      <c r="S1123" s="5" t="str">
        <f>IF(E1123="","",IFERROR(IF(MATCH(E1123,[1]Instrumentos!$D:$D,0)&gt;0,1,0),0))</f>
        <v/>
      </c>
      <c r="T1123" s="5" t="str">
        <f>IF(E1123="","",IFERROR(IF(MATCH(E1123,'Lista de excepciones'!$E:$E,0)&gt;0,1,0),0))</f>
        <v/>
      </c>
      <c r="U1123" s="6" t="str">
        <f t="shared" si="18"/>
        <v/>
      </c>
    </row>
    <row r="1124" spans="1:21" hidden="1" x14ac:dyDescent="0.25">
      <c r="A1124" s="7" t="str">
        <f>IF('Port Bloomberg'!A1124="","",'Port Bloomberg'!A1124)</f>
        <v/>
      </c>
      <c r="B1124" s="7" t="str">
        <f>IF('Port Bloomberg'!B1124="","",'Port Bloomberg'!B1124)</f>
        <v/>
      </c>
      <c r="C1124" s="7" t="str">
        <f>IF('Port Bloomberg'!C1124="","",'Port Bloomberg'!C1124)</f>
        <v/>
      </c>
      <c r="D1124" s="7" t="str">
        <f>IF('Port Bloomberg'!D1124="","",'Port Bloomberg'!D1124)</f>
        <v/>
      </c>
      <c r="E1124" s="7" t="str">
        <f>IF('Port Bloomberg'!E1124="","",'Port Bloomberg'!E1124)</f>
        <v/>
      </c>
      <c r="F1124" s="7" t="str">
        <f>IF('Port Bloomberg'!F1124="","",'Port Bloomberg'!F1124)</f>
        <v/>
      </c>
      <c r="G1124" s="7" t="str">
        <f>IF('Port Bloomberg'!G1124="","",'Port Bloomberg'!G1124)</f>
        <v/>
      </c>
      <c r="H1124" s="7" t="str">
        <f>IF('Port Bloomberg'!H1124="","",'Port Bloomberg'!H1124)</f>
        <v/>
      </c>
      <c r="I1124" s="7" t="str">
        <f>IF('Port Bloomberg'!I1124="","",'Port Bloomberg'!I1124)</f>
        <v/>
      </c>
      <c r="J1124" s="7" t="str">
        <f>IF('Port Bloomberg'!J1124="","",'Port Bloomberg'!J1124)</f>
        <v/>
      </c>
      <c r="K1124" s="7" t="str">
        <f>IF('Port Bloomberg'!K1124="","",'Port Bloomberg'!K1124)</f>
        <v/>
      </c>
      <c r="L1124" s="7" t="str">
        <f>IF('Port Bloomberg'!L1124="","",'Port Bloomberg'!L1124)</f>
        <v/>
      </c>
      <c r="M1124" s="7" t="str">
        <f>IF('Port Bloomberg'!M1124="","",'Port Bloomberg'!M1124)</f>
        <v/>
      </c>
      <c r="N1124" s="7" t="str">
        <f>IF('Port Bloomberg'!N1124="","",'Port Bloomberg'!N1124)</f>
        <v/>
      </c>
      <c r="O1124" s="7" t="str">
        <f>IF('Port Bloomberg'!O1124="","",'Port Bloomberg'!O1124)</f>
        <v/>
      </c>
      <c r="P1124" s="7" t="str">
        <f>IF('Port Bloomberg'!P1124="","",'Port Bloomberg'!P1124)</f>
        <v/>
      </c>
      <c r="Q1124" s="7" t="str">
        <f>IF('Port Bloomberg'!Q1124="","",'Port Bloomberg'!Q1124)</f>
        <v/>
      </c>
      <c r="R1124" s="7" t="str">
        <f>IF('Port Bloomberg'!R1124="","",'Port Bloomberg'!R1124)</f>
        <v/>
      </c>
      <c r="S1124" s="5" t="str">
        <f>IF(E1124="","",IFERROR(IF(MATCH(E1124,[1]Instrumentos!$D:$D,0)&gt;0,1,0),0))</f>
        <v/>
      </c>
      <c r="T1124" s="5" t="str">
        <f>IF(E1124="","",IFERROR(IF(MATCH(E1124,'Lista de excepciones'!$E:$E,0)&gt;0,1,0),0))</f>
        <v/>
      </c>
      <c r="U1124" s="6" t="str">
        <f t="shared" si="18"/>
        <v/>
      </c>
    </row>
    <row r="1125" spans="1:21" hidden="1" x14ac:dyDescent="0.25">
      <c r="A1125" s="7" t="str">
        <f>IF('Port Bloomberg'!A1125="","",'Port Bloomberg'!A1125)</f>
        <v/>
      </c>
      <c r="B1125" s="7" t="str">
        <f>IF('Port Bloomberg'!B1125="","",'Port Bloomberg'!B1125)</f>
        <v/>
      </c>
      <c r="C1125" s="7" t="str">
        <f>IF('Port Bloomberg'!C1125="","",'Port Bloomberg'!C1125)</f>
        <v/>
      </c>
      <c r="D1125" s="7" t="str">
        <f>IF('Port Bloomberg'!D1125="","",'Port Bloomberg'!D1125)</f>
        <v/>
      </c>
      <c r="E1125" s="7" t="str">
        <f>IF('Port Bloomberg'!E1125="","",'Port Bloomberg'!E1125)</f>
        <v/>
      </c>
      <c r="F1125" s="7" t="str">
        <f>IF('Port Bloomberg'!F1125="","",'Port Bloomberg'!F1125)</f>
        <v/>
      </c>
      <c r="G1125" s="7" t="str">
        <f>IF('Port Bloomberg'!G1125="","",'Port Bloomberg'!G1125)</f>
        <v/>
      </c>
      <c r="H1125" s="7" t="str">
        <f>IF('Port Bloomberg'!H1125="","",'Port Bloomberg'!H1125)</f>
        <v/>
      </c>
      <c r="I1125" s="7" t="str">
        <f>IF('Port Bloomberg'!I1125="","",'Port Bloomberg'!I1125)</f>
        <v/>
      </c>
      <c r="J1125" s="7" t="str">
        <f>IF('Port Bloomberg'!J1125="","",'Port Bloomberg'!J1125)</f>
        <v/>
      </c>
      <c r="K1125" s="7" t="str">
        <f>IF('Port Bloomberg'!K1125="","",'Port Bloomberg'!K1125)</f>
        <v/>
      </c>
      <c r="L1125" s="7" t="str">
        <f>IF('Port Bloomberg'!L1125="","",'Port Bloomberg'!L1125)</f>
        <v/>
      </c>
      <c r="M1125" s="7" t="str">
        <f>IF('Port Bloomberg'!M1125="","",'Port Bloomberg'!M1125)</f>
        <v/>
      </c>
      <c r="N1125" s="7" t="str">
        <f>IF('Port Bloomberg'!N1125="","",'Port Bloomberg'!N1125)</f>
        <v/>
      </c>
      <c r="O1125" s="7" t="str">
        <f>IF('Port Bloomberg'!O1125="","",'Port Bloomberg'!O1125)</f>
        <v/>
      </c>
      <c r="P1125" s="7" t="str">
        <f>IF('Port Bloomberg'!P1125="","",'Port Bloomberg'!P1125)</f>
        <v/>
      </c>
      <c r="Q1125" s="7" t="str">
        <f>IF('Port Bloomberg'!Q1125="","",'Port Bloomberg'!Q1125)</f>
        <v/>
      </c>
      <c r="R1125" s="7" t="str">
        <f>IF('Port Bloomberg'!R1125="","",'Port Bloomberg'!R1125)</f>
        <v/>
      </c>
      <c r="S1125" s="5" t="str">
        <f>IF(E1125="","",IFERROR(IF(MATCH(E1125,[1]Instrumentos!$D:$D,0)&gt;0,1,0),0))</f>
        <v/>
      </c>
      <c r="T1125" s="5" t="str">
        <f>IF(E1125="","",IFERROR(IF(MATCH(E1125,'Lista de excepciones'!$E:$E,0)&gt;0,1,0),0))</f>
        <v/>
      </c>
      <c r="U1125" s="6" t="str">
        <f t="shared" si="18"/>
        <v/>
      </c>
    </row>
    <row r="1126" spans="1:21" hidden="1" x14ac:dyDescent="0.25">
      <c r="A1126" s="7" t="str">
        <f>IF('Port Bloomberg'!A1126="","",'Port Bloomberg'!A1126)</f>
        <v/>
      </c>
      <c r="B1126" s="7" t="str">
        <f>IF('Port Bloomberg'!B1126="","",'Port Bloomberg'!B1126)</f>
        <v/>
      </c>
      <c r="C1126" s="7" t="str">
        <f>IF('Port Bloomberg'!C1126="","",'Port Bloomberg'!C1126)</f>
        <v/>
      </c>
      <c r="D1126" s="7" t="str">
        <f>IF('Port Bloomberg'!D1126="","",'Port Bloomberg'!D1126)</f>
        <v/>
      </c>
      <c r="E1126" s="7" t="str">
        <f>IF('Port Bloomberg'!E1126="","",'Port Bloomberg'!E1126)</f>
        <v/>
      </c>
      <c r="F1126" s="7" t="str">
        <f>IF('Port Bloomberg'!F1126="","",'Port Bloomberg'!F1126)</f>
        <v/>
      </c>
      <c r="G1126" s="7" t="str">
        <f>IF('Port Bloomberg'!G1126="","",'Port Bloomberg'!G1126)</f>
        <v/>
      </c>
      <c r="H1126" s="7" t="str">
        <f>IF('Port Bloomberg'!H1126="","",'Port Bloomberg'!H1126)</f>
        <v/>
      </c>
      <c r="I1126" s="7" t="str">
        <f>IF('Port Bloomberg'!I1126="","",'Port Bloomberg'!I1126)</f>
        <v/>
      </c>
      <c r="J1126" s="7" t="str">
        <f>IF('Port Bloomberg'!J1126="","",'Port Bloomberg'!J1126)</f>
        <v/>
      </c>
      <c r="K1126" s="7" t="str">
        <f>IF('Port Bloomberg'!K1126="","",'Port Bloomberg'!K1126)</f>
        <v/>
      </c>
      <c r="L1126" s="7" t="str">
        <f>IF('Port Bloomberg'!L1126="","",'Port Bloomberg'!L1126)</f>
        <v/>
      </c>
      <c r="M1126" s="7" t="str">
        <f>IF('Port Bloomberg'!M1126="","",'Port Bloomberg'!M1126)</f>
        <v/>
      </c>
      <c r="N1126" s="7" t="str">
        <f>IF('Port Bloomberg'!N1126="","",'Port Bloomberg'!N1126)</f>
        <v/>
      </c>
      <c r="O1126" s="7" t="str">
        <f>IF('Port Bloomberg'!O1126="","",'Port Bloomberg'!O1126)</f>
        <v/>
      </c>
      <c r="P1126" s="7" t="str">
        <f>IF('Port Bloomberg'!P1126="","",'Port Bloomberg'!P1126)</f>
        <v/>
      </c>
      <c r="Q1126" s="7" t="str">
        <f>IF('Port Bloomberg'!Q1126="","",'Port Bloomberg'!Q1126)</f>
        <v/>
      </c>
      <c r="R1126" s="7" t="str">
        <f>IF('Port Bloomberg'!R1126="","",'Port Bloomberg'!R1126)</f>
        <v/>
      </c>
      <c r="S1126" s="5" t="str">
        <f>IF(E1126="","",IFERROR(IF(MATCH(E1126,[1]Instrumentos!$D:$D,0)&gt;0,1,0),0))</f>
        <v/>
      </c>
      <c r="T1126" s="5" t="str">
        <f>IF(E1126="","",IFERROR(IF(MATCH(E1126,'Lista de excepciones'!$E:$E,0)&gt;0,1,0),0))</f>
        <v/>
      </c>
      <c r="U1126" s="6" t="str">
        <f t="shared" si="18"/>
        <v/>
      </c>
    </row>
    <row r="1127" spans="1:21" hidden="1" x14ac:dyDescent="0.25">
      <c r="A1127" s="7" t="str">
        <f>IF('Port Bloomberg'!A1127="","",'Port Bloomberg'!A1127)</f>
        <v/>
      </c>
      <c r="B1127" s="7" t="str">
        <f>IF('Port Bloomberg'!B1127="","",'Port Bloomberg'!B1127)</f>
        <v/>
      </c>
      <c r="C1127" s="7" t="str">
        <f>IF('Port Bloomberg'!C1127="","",'Port Bloomberg'!C1127)</f>
        <v/>
      </c>
      <c r="D1127" s="7" t="str">
        <f>IF('Port Bloomberg'!D1127="","",'Port Bloomberg'!D1127)</f>
        <v/>
      </c>
      <c r="E1127" s="7" t="str">
        <f>IF('Port Bloomberg'!E1127="","",'Port Bloomberg'!E1127)</f>
        <v/>
      </c>
      <c r="F1127" s="7" t="str">
        <f>IF('Port Bloomberg'!F1127="","",'Port Bloomberg'!F1127)</f>
        <v/>
      </c>
      <c r="G1127" s="7" t="str">
        <f>IF('Port Bloomberg'!G1127="","",'Port Bloomberg'!G1127)</f>
        <v/>
      </c>
      <c r="H1127" s="7" t="str">
        <f>IF('Port Bloomberg'!H1127="","",'Port Bloomberg'!H1127)</f>
        <v/>
      </c>
      <c r="I1127" s="7" t="str">
        <f>IF('Port Bloomberg'!I1127="","",'Port Bloomberg'!I1127)</f>
        <v/>
      </c>
      <c r="J1127" s="7" t="str">
        <f>IF('Port Bloomberg'!J1127="","",'Port Bloomberg'!J1127)</f>
        <v/>
      </c>
      <c r="K1127" s="7" t="str">
        <f>IF('Port Bloomberg'!K1127="","",'Port Bloomberg'!K1127)</f>
        <v/>
      </c>
      <c r="L1127" s="7" t="str">
        <f>IF('Port Bloomberg'!L1127="","",'Port Bloomberg'!L1127)</f>
        <v/>
      </c>
      <c r="M1127" s="7" t="str">
        <f>IF('Port Bloomberg'!M1127="","",'Port Bloomberg'!M1127)</f>
        <v/>
      </c>
      <c r="N1127" s="7" t="str">
        <f>IF('Port Bloomberg'!N1127="","",'Port Bloomberg'!N1127)</f>
        <v/>
      </c>
      <c r="O1127" s="7" t="str">
        <f>IF('Port Bloomberg'!O1127="","",'Port Bloomberg'!O1127)</f>
        <v/>
      </c>
      <c r="P1127" s="7" t="str">
        <f>IF('Port Bloomberg'!P1127="","",'Port Bloomberg'!P1127)</f>
        <v/>
      </c>
      <c r="Q1127" s="7" t="str">
        <f>IF('Port Bloomberg'!Q1127="","",'Port Bloomberg'!Q1127)</f>
        <v/>
      </c>
      <c r="R1127" s="7" t="str">
        <f>IF('Port Bloomberg'!R1127="","",'Port Bloomberg'!R1127)</f>
        <v/>
      </c>
      <c r="S1127" s="5" t="str">
        <f>IF(E1127="","",IFERROR(IF(MATCH(E1127,[1]Instrumentos!$D:$D,0)&gt;0,1,0),0))</f>
        <v/>
      </c>
      <c r="T1127" s="5" t="str">
        <f>IF(E1127="","",IFERROR(IF(MATCH(E1127,'Lista de excepciones'!$E:$E,0)&gt;0,1,0),0))</f>
        <v/>
      </c>
      <c r="U1127" s="6" t="str">
        <f t="shared" si="18"/>
        <v/>
      </c>
    </row>
    <row r="1128" spans="1:21" hidden="1" x14ac:dyDescent="0.25">
      <c r="A1128" s="7" t="str">
        <f>IF('Port Bloomberg'!A1128="","",'Port Bloomberg'!A1128)</f>
        <v/>
      </c>
      <c r="B1128" s="7" t="str">
        <f>IF('Port Bloomberg'!B1128="","",'Port Bloomberg'!B1128)</f>
        <v/>
      </c>
      <c r="C1128" s="7" t="str">
        <f>IF('Port Bloomberg'!C1128="","",'Port Bloomberg'!C1128)</f>
        <v/>
      </c>
      <c r="D1128" s="7" t="str">
        <f>IF('Port Bloomberg'!D1128="","",'Port Bloomberg'!D1128)</f>
        <v/>
      </c>
      <c r="E1128" s="7" t="str">
        <f>IF('Port Bloomberg'!E1128="","",'Port Bloomberg'!E1128)</f>
        <v/>
      </c>
      <c r="F1128" s="7" t="str">
        <f>IF('Port Bloomberg'!F1128="","",'Port Bloomberg'!F1128)</f>
        <v/>
      </c>
      <c r="G1128" s="7" t="str">
        <f>IF('Port Bloomberg'!G1128="","",'Port Bloomberg'!G1128)</f>
        <v/>
      </c>
      <c r="H1128" s="7" t="str">
        <f>IF('Port Bloomberg'!H1128="","",'Port Bloomberg'!H1128)</f>
        <v/>
      </c>
      <c r="I1128" s="7" t="str">
        <f>IF('Port Bloomberg'!I1128="","",'Port Bloomberg'!I1128)</f>
        <v/>
      </c>
      <c r="J1128" s="7" t="str">
        <f>IF('Port Bloomberg'!J1128="","",'Port Bloomberg'!J1128)</f>
        <v/>
      </c>
      <c r="K1128" s="7" t="str">
        <f>IF('Port Bloomberg'!K1128="","",'Port Bloomberg'!K1128)</f>
        <v/>
      </c>
      <c r="L1128" s="7" t="str">
        <f>IF('Port Bloomberg'!L1128="","",'Port Bloomberg'!L1128)</f>
        <v/>
      </c>
      <c r="M1128" s="7" t="str">
        <f>IF('Port Bloomberg'!M1128="","",'Port Bloomberg'!M1128)</f>
        <v/>
      </c>
      <c r="N1128" s="7" t="str">
        <f>IF('Port Bloomberg'!N1128="","",'Port Bloomberg'!N1128)</f>
        <v/>
      </c>
      <c r="O1128" s="7" t="str">
        <f>IF('Port Bloomberg'!O1128="","",'Port Bloomberg'!O1128)</f>
        <v/>
      </c>
      <c r="P1128" s="7" t="str">
        <f>IF('Port Bloomberg'!P1128="","",'Port Bloomberg'!P1128)</f>
        <v/>
      </c>
      <c r="Q1128" s="7" t="str">
        <f>IF('Port Bloomberg'!Q1128="","",'Port Bloomberg'!Q1128)</f>
        <v/>
      </c>
      <c r="R1128" s="7" t="str">
        <f>IF('Port Bloomberg'!R1128="","",'Port Bloomberg'!R1128)</f>
        <v/>
      </c>
      <c r="S1128" s="5" t="str">
        <f>IF(E1128="","",IFERROR(IF(MATCH(E1128,[1]Instrumentos!$D:$D,0)&gt;0,1,0),0))</f>
        <v/>
      </c>
      <c r="T1128" s="5" t="str">
        <f>IF(E1128="","",IFERROR(IF(MATCH(E1128,'Lista de excepciones'!$E:$E,0)&gt;0,1,0),0))</f>
        <v/>
      </c>
      <c r="U1128" s="6" t="str">
        <f t="shared" si="18"/>
        <v/>
      </c>
    </row>
    <row r="1129" spans="1:21" hidden="1" x14ac:dyDescent="0.25">
      <c r="A1129" s="7" t="str">
        <f>IF('Port Bloomberg'!A1129="","",'Port Bloomberg'!A1129)</f>
        <v/>
      </c>
      <c r="B1129" s="7" t="str">
        <f>IF('Port Bloomberg'!B1129="","",'Port Bloomberg'!B1129)</f>
        <v/>
      </c>
      <c r="C1129" s="7" t="str">
        <f>IF('Port Bloomberg'!C1129="","",'Port Bloomberg'!C1129)</f>
        <v/>
      </c>
      <c r="D1129" s="7" t="str">
        <f>IF('Port Bloomberg'!D1129="","",'Port Bloomberg'!D1129)</f>
        <v/>
      </c>
      <c r="E1129" s="7" t="str">
        <f>IF('Port Bloomberg'!E1129="","",'Port Bloomberg'!E1129)</f>
        <v/>
      </c>
      <c r="F1129" s="7" t="str">
        <f>IF('Port Bloomberg'!F1129="","",'Port Bloomberg'!F1129)</f>
        <v/>
      </c>
      <c r="G1129" s="7" t="str">
        <f>IF('Port Bloomberg'!G1129="","",'Port Bloomberg'!G1129)</f>
        <v/>
      </c>
      <c r="H1129" s="7" t="str">
        <f>IF('Port Bloomberg'!H1129="","",'Port Bloomberg'!H1129)</f>
        <v/>
      </c>
      <c r="I1129" s="7" t="str">
        <f>IF('Port Bloomberg'!I1129="","",'Port Bloomberg'!I1129)</f>
        <v/>
      </c>
      <c r="J1129" s="7" t="str">
        <f>IF('Port Bloomberg'!J1129="","",'Port Bloomberg'!J1129)</f>
        <v/>
      </c>
      <c r="K1129" s="7" t="str">
        <f>IF('Port Bloomberg'!K1129="","",'Port Bloomberg'!K1129)</f>
        <v/>
      </c>
      <c r="L1129" s="7" t="str">
        <f>IF('Port Bloomberg'!L1129="","",'Port Bloomberg'!L1129)</f>
        <v/>
      </c>
      <c r="M1129" s="7" t="str">
        <f>IF('Port Bloomberg'!M1129="","",'Port Bloomberg'!M1129)</f>
        <v/>
      </c>
      <c r="N1129" s="7" t="str">
        <f>IF('Port Bloomberg'!N1129="","",'Port Bloomberg'!N1129)</f>
        <v/>
      </c>
      <c r="O1129" s="7" t="str">
        <f>IF('Port Bloomberg'!O1129="","",'Port Bloomberg'!O1129)</f>
        <v/>
      </c>
      <c r="P1129" s="7" t="str">
        <f>IF('Port Bloomberg'!P1129="","",'Port Bloomberg'!P1129)</f>
        <v/>
      </c>
      <c r="Q1129" s="7" t="str">
        <f>IF('Port Bloomberg'!Q1129="","",'Port Bloomberg'!Q1129)</f>
        <v/>
      </c>
      <c r="R1129" s="7" t="str">
        <f>IF('Port Bloomberg'!R1129="","",'Port Bloomberg'!R1129)</f>
        <v/>
      </c>
      <c r="S1129" s="5" t="str">
        <f>IF(E1129="","",IFERROR(IF(MATCH(E1129,[1]Instrumentos!$D:$D,0)&gt;0,1,0),0))</f>
        <v/>
      </c>
      <c r="T1129" s="5" t="str">
        <f>IF(E1129="","",IFERROR(IF(MATCH(E1129,'Lista de excepciones'!$E:$E,0)&gt;0,1,0),0))</f>
        <v/>
      </c>
      <c r="U1129" s="6" t="str">
        <f t="shared" si="18"/>
        <v/>
      </c>
    </row>
    <row r="1130" spans="1:21" hidden="1" x14ac:dyDescent="0.25">
      <c r="A1130" s="7" t="str">
        <f>IF('Port Bloomberg'!A1130="","",'Port Bloomberg'!A1130)</f>
        <v/>
      </c>
      <c r="B1130" s="7" t="str">
        <f>IF('Port Bloomberg'!B1130="","",'Port Bloomberg'!B1130)</f>
        <v/>
      </c>
      <c r="C1130" s="7" t="str">
        <f>IF('Port Bloomberg'!C1130="","",'Port Bloomberg'!C1130)</f>
        <v/>
      </c>
      <c r="D1130" s="7" t="str">
        <f>IF('Port Bloomberg'!D1130="","",'Port Bloomberg'!D1130)</f>
        <v/>
      </c>
      <c r="E1130" s="7" t="str">
        <f>IF('Port Bloomberg'!E1130="","",'Port Bloomberg'!E1130)</f>
        <v/>
      </c>
      <c r="F1130" s="7" t="str">
        <f>IF('Port Bloomberg'!F1130="","",'Port Bloomberg'!F1130)</f>
        <v/>
      </c>
      <c r="G1130" s="7" t="str">
        <f>IF('Port Bloomberg'!G1130="","",'Port Bloomberg'!G1130)</f>
        <v/>
      </c>
      <c r="H1130" s="7" t="str">
        <f>IF('Port Bloomberg'!H1130="","",'Port Bloomberg'!H1130)</f>
        <v/>
      </c>
      <c r="I1130" s="7" t="str">
        <f>IF('Port Bloomberg'!I1130="","",'Port Bloomberg'!I1130)</f>
        <v/>
      </c>
      <c r="J1130" s="7" t="str">
        <f>IF('Port Bloomberg'!J1130="","",'Port Bloomberg'!J1130)</f>
        <v/>
      </c>
      <c r="K1130" s="7" t="str">
        <f>IF('Port Bloomberg'!K1130="","",'Port Bloomberg'!K1130)</f>
        <v/>
      </c>
      <c r="L1130" s="7" t="str">
        <f>IF('Port Bloomberg'!L1130="","",'Port Bloomberg'!L1130)</f>
        <v/>
      </c>
      <c r="M1130" s="7" t="str">
        <f>IF('Port Bloomberg'!M1130="","",'Port Bloomberg'!M1130)</f>
        <v/>
      </c>
      <c r="N1130" s="7" t="str">
        <f>IF('Port Bloomberg'!N1130="","",'Port Bloomberg'!N1130)</f>
        <v/>
      </c>
      <c r="O1130" s="7" t="str">
        <f>IF('Port Bloomberg'!O1130="","",'Port Bloomberg'!O1130)</f>
        <v/>
      </c>
      <c r="P1130" s="7" t="str">
        <f>IF('Port Bloomberg'!P1130="","",'Port Bloomberg'!P1130)</f>
        <v/>
      </c>
      <c r="Q1130" s="7" t="str">
        <f>IF('Port Bloomberg'!Q1130="","",'Port Bloomberg'!Q1130)</f>
        <v/>
      </c>
      <c r="R1130" s="7" t="str">
        <f>IF('Port Bloomberg'!R1130="","",'Port Bloomberg'!R1130)</f>
        <v/>
      </c>
      <c r="S1130" s="5" t="str">
        <f>IF(E1130="","",IFERROR(IF(MATCH(E1130,[1]Instrumentos!$D:$D,0)&gt;0,1,0),0))</f>
        <v/>
      </c>
      <c r="T1130" s="5" t="str">
        <f>IF(E1130="","",IFERROR(IF(MATCH(E1130,'Lista de excepciones'!$E:$E,0)&gt;0,1,0),0))</f>
        <v/>
      </c>
      <c r="U1130" s="6" t="str">
        <f t="shared" si="18"/>
        <v/>
      </c>
    </row>
    <row r="1131" spans="1:21" hidden="1" x14ac:dyDescent="0.25">
      <c r="A1131" s="7" t="str">
        <f>IF('Port Bloomberg'!A1131="","",'Port Bloomberg'!A1131)</f>
        <v/>
      </c>
      <c r="B1131" s="7" t="str">
        <f>IF('Port Bloomberg'!B1131="","",'Port Bloomberg'!B1131)</f>
        <v/>
      </c>
      <c r="C1131" s="7" t="str">
        <f>IF('Port Bloomberg'!C1131="","",'Port Bloomberg'!C1131)</f>
        <v/>
      </c>
      <c r="D1131" s="7" t="str">
        <f>IF('Port Bloomberg'!D1131="","",'Port Bloomberg'!D1131)</f>
        <v/>
      </c>
      <c r="E1131" s="7" t="str">
        <f>IF('Port Bloomberg'!E1131="","",'Port Bloomberg'!E1131)</f>
        <v/>
      </c>
      <c r="F1131" s="7" t="str">
        <f>IF('Port Bloomberg'!F1131="","",'Port Bloomberg'!F1131)</f>
        <v/>
      </c>
      <c r="G1131" s="7" t="str">
        <f>IF('Port Bloomberg'!G1131="","",'Port Bloomberg'!G1131)</f>
        <v/>
      </c>
      <c r="H1131" s="7" t="str">
        <f>IF('Port Bloomberg'!H1131="","",'Port Bloomberg'!H1131)</f>
        <v/>
      </c>
      <c r="I1131" s="7" t="str">
        <f>IF('Port Bloomberg'!I1131="","",'Port Bloomberg'!I1131)</f>
        <v/>
      </c>
      <c r="J1131" s="7" t="str">
        <f>IF('Port Bloomberg'!J1131="","",'Port Bloomberg'!J1131)</f>
        <v/>
      </c>
      <c r="K1131" s="7" t="str">
        <f>IF('Port Bloomberg'!K1131="","",'Port Bloomberg'!K1131)</f>
        <v/>
      </c>
      <c r="L1131" s="7" t="str">
        <f>IF('Port Bloomberg'!L1131="","",'Port Bloomberg'!L1131)</f>
        <v/>
      </c>
      <c r="M1131" s="7" t="str">
        <f>IF('Port Bloomberg'!M1131="","",'Port Bloomberg'!M1131)</f>
        <v/>
      </c>
      <c r="N1131" s="7" t="str">
        <f>IF('Port Bloomberg'!N1131="","",'Port Bloomberg'!N1131)</f>
        <v/>
      </c>
      <c r="O1131" s="7" t="str">
        <f>IF('Port Bloomberg'!O1131="","",'Port Bloomberg'!O1131)</f>
        <v/>
      </c>
      <c r="P1131" s="7" t="str">
        <f>IF('Port Bloomberg'!P1131="","",'Port Bloomberg'!P1131)</f>
        <v/>
      </c>
      <c r="Q1131" s="7" t="str">
        <f>IF('Port Bloomberg'!Q1131="","",'Port Bloomberg'!Q1131)</f>
        <v/>
      </c>
      <c r="R1131" s="7" t="str">
        <f>IF('Port Bloomberg'!R1131="","",'Port Bloomberg'!R1131)</f>
        <v/>
      </c>
      <c r="S1131" s="5" t="str">
        <f>IF(E1131="","",IFERROR(IF(MATCH(E1131,[1]Instrumentos!$D:$D,0)&gt;0,1,0),0))</f>
        <v/>
      </c>
      <c r="T1131" s="5" t="str">
        <f>IF(E1131="","",IFERROR(IF(MATCH(E1131,'Lista de excepciones'!$E:$E,0)&gt;0,1,0),0))</f>
        <v/>
      </c>
      <c r="U1131" s="6" t="str">
        <f t="shared" si="18"/>
        <v/>
      </c>
    </row>
    <row r="1132" spans="1:21" hidden="1" x14ac:dyDescent="0.25">
      <c r="A1132" s="7" t="str">
        <f>IF('Port Bloomberg'!A1132="","",'Port Bloomberg'!A1132)</f>
        <v/>
      </c>
      <c r="B1132" s="7" t="str">
        <f>IF('Port Bloomberg'!B1132="","",'Port Bloomberg'!B1132)</f>
        <v/>
      </c>
      <c r="C1132" s="7" t="str">
        <f>IF('Port Bloomberg'!C1132="","",'Port Bloomberg'!C1132)</f>
        <v/>
      </c>
      <c r="D1132" s="7" t="str">
        <f>IF('Port Bloomberg'!D1132="","",'Port Bloomberg'!D1132)</f>
        <v/>
      </c>
      <c r="E1132" s="7" t="str">
        <f>IF('Port Bloomberg'!E1132="","",'Port Bloomberg'!E1132)</f>
        <v/>
      </c>
      <c r="F1132" s="7" t="str">
        <f>IF('Port Bloomberg'!F1132="","",'Port Bloomberg'!F1132)</f>
        <v/>
      </c>
      <c r="G1132" s="7" t="str">
        <f>IF('Port Bloomberg'!G1132="","",'Port Bloomberg'!G1132)</f>
        <v/>
      </c>
      <c r="H1132" s="7" t="str">
        <f>IF('Port Bloomberg'!H1132="","",'Port Bloomberg'!H1132)</f>
        <v/>
      </c>
      <c r="I1132" s="7" t="str">
        <f>IF('Port Bloomberg'!I1132="","",'Port Bloomberg'!I1132)</f>
        <v/>
      </c>
      <c r="J1132" s="7" t="str">
        <f>IF('Port Bloomberg'!J1132="","",'Port Bloomberg'!J1132)</f>
        <v/>
      </c>
      <c r="K1132" s="7" t="str">
        <f>IF('Port Bloomberg'!K1132="","",'Port Bloomberg'!K1132)</f>
        <v/>
      </c>
      <c r="L1132" s="7" t="str">
        <f>IF('Port Bloomberg'!L1132="","",'Port Bloomberg'!L1132)</f>
        <v/>
      </c>
      <c r="M1132" s="7" t="str">
        <f>IF('Port Bloomberg'!M1132="","",'Port Bloomberg'!M1132)</f>
        <v/>
      </c>
      <c r="N1132" s="7" t="str">
        <f>IF('Port Bloomberg'!N1132="","",'Port Bloomberg'!N1132)</f>
        <v/>
      </c>
      <c r="O1132" s="7" t="str">
        <f>IF('Port Bloomberg'!O1132="","",'Port Bloomberg'!O1132)</f>
        <v/>
      </c>
      <c r="P1132" s="7" t="str">
        <f>IF('Port Bloomberg'!P1132="","",'Port Bloomberg'!P1132)</f>
        <v/>
      </c>
      <c r="Q1132" s="7" t="str">
        <f>IF('Port Bloomberg'!Q1132="","",'Port Bloomberg'!Q1132)</f>
        <v/>
      </c>
      <c r="R1132" s="7" t="str">
        <f>IF('Port Bloomberg'!R1132="","",'Port Bloomberg'!R1132)</f>
        <v/>
      </c>
      <c r="S1132" s="5" t="str">
        <f>IF(E1132="","",IFERROR(IF(MATCH(E1132,[1]Instrumentos!$D:$D,0)&gt;0,1,0),0))</f>
        <v/>
      </c>
      <c r="T1132" s="5" t="str">
        <f>IF(E1132="","",IFERROR(IF(MATCH(E1132,'Lista de excepciones'!$E:$E,0)&gt;0,1,0),0))</f>
        <v/>
      </c>
      <c r="U1132" s="6" t="str">
        <f t="shared" si="18"/>
        <v/>
      </c>
    </row>
    <row r="1133" spans="1:21" hidden="1" x14ac:dyDescent="0.25">
      <c r="A1133" s="7" t="str">
        <f>IF('Port Bloomberg'!A1133="","",'Port Bloomberg'!A1133)</f>
        <v/>
      </c>
      <c r="B1133" s="7" t="str">
        <f>IF('Port Bloomberg'!B1133="","",'Port Bloomberg'!B1133)</f>
        <v/>
      </c>
      <c r="C1133" s="7" t="str">
        <f>IF('Port Bloomberg'!C1133="","",'Port Bloomberg'!C1133)</f>
        <v/>
      </c>
      <c r="D1133" s="7" t="str">
        <f>IF('Port Bloomberg'!D1133="","",'Port Bloomberg'!D1133)</f>
        <v/>
      </c>
      <c r="E1133" s="7" t="str">
        <f>IF('Port Bloomberg'!E1133="","",'Port Bloomberg'!E1133)</f>
        <v/>
      </c>
      <c r="F1133" s="7" t="str">
        <f>IF('Port Bloomberg'!F1133="","",'Port Bloomberg'!F1133)</f>
        <v/>
      </c>
      <c r="G1133" s="7" t="str">
        <f>IF('Port Bloomberg'!G1133="","",'Port Bloomberg'!G1133)</f>
        <v/>
      </c>
      <c r="H1133" s="7" t="str">
        <f>IF('Port Bloomberg'!H1133="","",'Port Bloomberg'!H1133)</f>
        <v/>
      </c>
      <c r="I1133" s="7" t="str">
        <f>IF('Port Bloomberg'!I1133="","",'Port Bloomberg'!I1133)</f>
        <v/>
      </c>
      <c r="J1133" s="7" t="str">
        <f>IF('Port Bloomberg'!J1133="","",'Port Bloomberg'!J1133)</f>
        <v/>
      </c>
      <c r="K1133" s="7" t="str">
        <f>IF('Port Bloomberg'!K1133="","",'Port Bloomberg'!K1133)</f>
        <v/>
      </c>
      <c r="L1133" s="7" t="str">
        <f>IF('Port Bloomberg'!L1133="","",'Port Bloomberg'!L1133)</f>
        <v/>
      </c>
      <c r="M1133" s="7" t="str">
        <f>IF('Port Bloomberg'!M1133="","",'Port Bloomberg'!M1133)</f>
        <v/>
      </c>
      <c r="N1133" s="7" t="str">
        <f>IF('Port Bloomberg'!N1133="","",'Port Bloomberg'!N1133)</f>
        <v/>
      </c>
      <c r="O1133" s="7" t="str">
        <f>IF('Port Bloomberg'!O1133="","",'Port Bloomberg'!O1133)</f>
        <v/>
      </c>
      <c r="P1133" s="7" t="str">
        <f>IF('Port Bloomberg'!P1133="","",'Port Bloomberg'!P1133)</f>
        <v/>
      </c>
      <c r="Q1133" s="7" t="str">
        <f>IF('Port Bloomberg'!Q1133="","",'Port Bloomberg'!Q1133)</f>
        <v/>
      </c>
      <c r="R1133" s="7" t="str">
        <f>IF('Port Bloomberg'!R1133="","",'Port Bloomberg'!R1133)</f>
        <v/>
      </c>
      <c r="S1133" s="5" t="str">
        <f>IF(E1133="","",IFERROR(IF(MATCH(E1133,[1]Instrumentos!$D:$D,0)&gt;0,1,0),0))</f>
        <v/>
      </c>
      <c r="T1133" s="5" t="str">
        <f>IF(E1133="","",IFERROR(IF(MATCH(E1133,'Lista de excepciones'!$E:$E,0)&gt;0,1,0),0))</f>
        <v/>
      </c>
      <c r="U1133" s="6" t="str">
        <f t="shared" si="18"/>
        <v/>
      </c>
    </row>
    <row r="1134" spans="1:21" hidden="1" x14ac:dyDescent="0.25">
      <c r="A1134" s="7" t="str">
        <f>IF('Port Bloomberg'!A1134="","",'Port Bloomberg'!A1134)</f>
        <v/>
      </c>
      <c r="B1134" s="7" t="str">
        <f>IF('Port Bloomberg'!B1134="","",'Port Bloomberg'!B1134)</f>
        <v/>
      </c>
      <c r="C1134" s="7" t="str">
        <f>IF('Port Bloomberg'!C1134="","",'Port Bloomberg'!C1134)</f>
        <v/>
      </c>
      <c r="D1134" s="7" t="str">
        <f>IF('Port Bloomberg'!D1134="","",'Port Bloomberg'!D1134)</f>
        <v/>
      </c>
      <c r="E1134" s="7" t="str">
        <f>IF('Port Bloomberg'!E1134="","",'Port Bloomberg'!E1134)</f>
        <v/>
      </c>
      <c r="F1134" s="7" t="str">
        <f>IF('Port Bloomberg'!F1134="","",'Port Bloomberg'!F1134)</f>
        <v/>
      </c>
      <c r="G1134" s="7" t="str">
        <f>IF('Port Bloomberg'!G1134="","",'Port Bloomberg'!G1134)</f>
        <v/>
      </c>
      <c r="H1134" s="7" t="str">
        <f>IF('Port Bloomberg'!H1134="","",'Port Bloomberg'!H1134)</f>
        <v/>
      </c>
      <c r="I1134" s="7" t="str">
        <f>IF('Port Bloomberg'!I1134="","",'Port Bloomberg'!I1134)</f>
        <v/>
      </c>
      <c r="J1134" s="7" t="str">
        <f>IF('Port Bloomberg'!J1134="","",'Port Bloomberg'!J1134)</f>
        <v/>
      </c>
      <c r="K1134" s="7" t="str">
        <f>IF('Port Bloomberg'!K1134="","",'Port Bloomberg'!K1134)</f>
        <v/>
      </c>
      <c r="L1134" s="7" t="str">
        <f>IF('Port Bloomberg'!L1134="","",'Port Bloomberg'!L1134)</f>
        <v/>
      </c>
      <c r="M1134" s="7" t="str">
        <f>IF('Port Bloomberg'!M1134="","",'Port Bloomberg'!M1134)</f>
        <v/>
      </c>
      <c r="N1134" s="7" t="str">
        <f>IF('Port Bloomberg'!N1134="","",'Port Bloomberg'!N1134)</f>
        <v/>
      </c>
      <c r="O1134" s="7" t="str">
        <f>IF('Port Bloomberg'!O1134="","",'Port Bloomberg'!O1134)</f>
        <v/>
      </c>
      <c r="P1134" s="7" t="str">
        <f>IF('Port Bloomberg'!P1134="","",'Port Bloomberg'!P1134)</f>
        <v/>
      </c>
      <c r="Q1134" s="7" t="str">
        <f>IF('Port Bloomberg'!Q1134="","",'Port Bloomberg'!Q1134)</f>
        <v/>
      </c>
      <c r="R1134" s="7" t="str">
        <f>IF('Port Bloomberg'!R1134="","",'Port Bloomberg'!R1134)</f>
        <v/>
      </c>
      <c r="S1134" s="5" t="str">
        <f>IF(E1134="","",IFERROR(IF(MATCH(E1134,[1]Instrumentos!$D:$D,0)&gt;0,1,0),0))</f>
        <v/>
      </c>
      <c r="T1134" s="5" t="str">
        <f>IF(E1134="","",IFERROR(IF(MATCH(E1134,'Lista de excepciones'!$E:$E,0)&gt;0,1,0),0))</f>
        <v/>
      </c>
      <c r="U1134" s="6" t="str">
        <f t="shared" si="18"/>
        <v/>
      </c>
    </row>
    <row r="1135" spans="1:21" hidden="1" x14ac:dyDescent="0.25">
      <c r="A1135" s="7" t="str">
        <f>IF('Port Bloomberg'!A1135="","",'Port Bloomberg'!A1135)</f>
        <v/>
      </c>
      <c r="B1135" s="7" t="str">
        <f>IF('Port Bloomberg'!B1135="","",'Port Bloomberg'!B1135)</f>
        <v/>
      </c>
      <c r="C1135" s="7" t="str">
        <f>IF('Port Bloomberg'!C1135="","",'Port Bloomberg'!C1135)</f>
        <v/>
      </c>
      <c r="D1135" s="7" t="str">
        <f>IF('Port Bloomberg'!D1135="","",'Port Bloomberg'!D1135)</f>
        <v/>
      </c>
      <c r="E1135" s="7" t="str">
        <f>IF('Port Bloomberg'!E1135="","",'Port Bloomberg'!E1135)</f>
        <v/>
      </c>
      <c r="F1135" s="7" t="str">
        <f>IF('Port Bloomberg'!F1135="","",'Port Bloomberg'!F1135)</f>
        <v/>
      </c>
      <c r="G1135" s="7" t="str">
        <f>IF('Port Bloomberg'!G1135="","",'Port Bloomberg'!G1135)</f>
        <v/>
      </c>
      <c r="H1135" s="7" t="str">
        <f>IF('Port Bloomberg'!H1135="","",'Port Bloomberg'!H1135)</f>
        <v/>
      </c>
      <c r="I1135" s="7" t="str">
        <f>IF('Port Bloomberg'!I1135="","",'Port Bloomberg'!I1135)</f>
        <v/>
      </c>
      <c r="J1135" s="7" t="str">
        <f>IF('Port Bloomberg'!J1135="","",'Port Bloomberg'!J1135)</f>
        <v/>
      </c>
      <c r="K1135" s="7" t="str">
        <f>IF('Port Bloomberg'!K1135="","",'Port Bloomberg'!K1135)</f>
        <v/>
      </c>
      <c r="L1135" s="7" t="str">
        <f>IF('Port Bloomberg'!L1135="","",'Port Bloomberg'!L1135)</f>
        <v/>
      </c>
      <c r="M1135" s="7" t="str">
        <f>IF('Port Bloomberg'!M1135="","",'Port Bloomberg'!M1135)</f>
        <v/>
      </c>
      <c r="N1135" s="7" t="str">
        <f>IF('Port Bloomberg'!N1135="","",'Port Bloomberg'!N1135)</f>
        <v/>
      </c>
      <c r="O1135" s="7" t="str">
        <f>IF('Port Bloomberg'!O1135="","",'Port Bloomberg'!O1135)</f>
        <v/>
      </c>
      <c r="P1135" s="7" t="str">
        <f>IF('Port Bloomberg'!P1135="","",'Port Bloomberg'!P1135)</f>
        <v/>
      </c>
      <c r="Q1135" s="7" t="str">
        <f>IF('Port Bloomberg'!Q1135="","",'Port Bloomberg'!Q1135)</f>
        <v/>
      </c>
      <c r="R1135" s="7" t="str">
        <f>IF('Port Bloomberg'!R1135="","",'Port Bloomberg'!R1135)</f>
        <v/>
      </c>
      <c r="S1135" s="5" t="str">
        <f>IF(E1135="","",IFERROR(IF(MATCH(E1135,[1]Instrumentos!$D:$D,0)&gt;0,1,0),0))</f>
        <v/>
      </c>
      <c r="T1135" s="5" t="str">
        <f>IF(E1135="","",IFERROR(IF(MATCH(E1135,'Lista de excepciones'!$E:$E,0)&gt;0,1,0),0))</f>
        <v/>
      </c>
      <c r="U1135" s="6" t="str">
        <f t="shared" si="18"/>
        <v/>
      </c>
    </row>
    <row r="1136" spans="1:21" hidden="1" x14ac:dyDescent="0.25">
      <c r="A1136" s="7" t="str">
        <f>IF('Port Bloomberg'!A1136="","",'Port Bloomberg'!A1136)</f>
        <v/>
      </c>
      <c r="B1136" s="7" t="str">
        <f>IF('Port Bloomberg'!B1136="","",'Port Bloomberg'!B1136)</f>
        <v/>
      </c>
      <c r="C1136" s="7" t="str">
        <f>IF('Port Bloomberg'!C1136="","",'Port Bloomberg'!C1136)</f>
        <v/>
      </c>
      <c r="D1136" s="7" t="str">
        <f>IF('Port Bloomberg'!D1136="","",'Port Bloomberg'!D1136)</f>
        <v/>
      </c>
      <c r="E1136" s="7" t="str">
        <f>IF('Port Bloomberg'!E1136="","",'Port Bloomberg'!E1136)</f>
        <v/>
      </c>
      <c r="F1136" s="7" t="str">
        <f>IF('Port Bloomberg'!F1136="","",'Port Bloomberg'!F1136)</f>
        <v/>
      </c>
      <c r="G1136" s="7" t="str">
        <f>IF('Port Bloomberg'!G1136="","",'Port Bloomberg'!G1136)</f>
        <v/>
      </c>
      <c r="H1136" s="7" t="str">
        <f>IF('Port Bloomberg'!H1136="","",'Port Bloomberg'!H1136)</f>
        <v/>
      </c>
      <c r="I1136" s="7" t="str">
        <f>IF('Port Bloomberg'!I1136="","",'Port Bloomberg'!I1136)</f>
        <v/>
      </c>
      <c r="J1136" s="7" t="str">
        <f>IF('Port Bloomberg'!J1136="","",'Port Bloomberg'!J1136)</f>
        <v/>
      </c>
      <c r="K1136" s="7" t="str">
        <f>IF('Port Bloomberg'!K1136="","",'Port Bloomberg'!K1136)</f>
        <v/>
      </c>
      <c r="L1136" s="7" t="str">
        <f>IF('Port Bloomberg'!L1136="","",'Port Bloomberg'!L1136)</f>
        <v/>
      </c>
      <c r="M1136" s="7" t="str">
        <f>IF('Port Bloomberg'!M1136="","",'Port Bloomberg'!M1136)</f>
        <v/>
      </c>
      <c r="N1136" s="7" t="str">
        <f>IF('Port Bloomberg'!N1136="","",'Port Bloomberg'!N1136)</f>
        <v/>
      </c>
      <c r="O1136" s="7" t="str">
        <f>IF('Port Bloomberg'!O1136="","",'Port Bloomberg'!O1136)</f>
        <v/>
      </c>
      <c r="P1136" s="7" t="str">
        <f>IF('Port Bloomberg'!P1136="","",'Port Bloomberg'!P1136)</f>
        <v/>
      </c>
      <c r="Q1136" s="7" t="str">
        <f>IF('Port Bloomberg'!Q1136="","",'Port Bloomberg'!Q1136)</f>
        <v/>
      </c>
      <c r="R1136" s="7" t="str">
        <f>IF('Port Bloomberg'!R1136="","",'Port Bloomberg'!R1136)</f>
        <v/>
      </c>
      <c r="S1136" s="5" t="str">
        <f>IF(E1136="","",IFERROR(IF(MATCH(E1136,[1]Instrumentos!$D:$D,0)&gt;0,1,0),0))</f>
        <v/>
      </c>
      <c r="T1136" s="5" t="str">
        <f>IF(E1136="","",IFERROR(IF(MATCH(E1136,'Lista de excepciones'!$E:$E,0)&gt;0,1,0),0))</f>
        <v/>
      </c>
      <c r="U1136" s="6" t="str">
        <f t="shared" si="18"/>
        <v/>
      </c>
    </row>
    <row r="1137" spans="1:21" hidden="1" x14ac:dyDescent="0.25">
      <c r="A1137" s="7" t="str">
        <f>IF('Port Bloomberg'!A1137="","",'Port Bloomberg'!A1137)</f>
        <v/>
      </c>
      <c r="B1137" s="7" t="str">
        <f>IF('Port Bloomberg'!B1137="","",'Port Bloomberg'!B1137)</f>
        <v/>
      </c>
      <c r="C1137" s="7" t="str">
        <f>IF('Port Bloomberg'!C1137="","",'Port Bloomberg'!C1137)</f>
        <v/>
      </c>
      <c r="D1137" s="7" t="str">
        <f>IF('Port Bloomberg'!D1137="","",'Port Bloomberg'!D1137)</f>
        <v/>
      </c>
      <c r="E1137" s="7" t="str">
        <f>IF('Port Bloomberg'!E1137="","",'Port Bloomberg'!E1137)</f>
        <v/>
      </c>
      <c r="F1137" s="7" t="str">
        <f>IF('Port Bloomberg'!F1137="","",'Port Bloomberg'!F1137)</f>
        <v/>
      </c>
      <c r="G1137" s="7" t="str">
        <f>IF('Port Bloomberg'!G1137="","",'Port Bloomberg'!G1137)</f>
        <v/>
      </c>
      <c r="H1137" s="7" t="str">
        <f>IF('Port Bloomberg'!H1137="","",'Port Bloomberg'!H1137)</f>
        <v/>
      </c>
      <c r="I1137" s="7" t="str">
        <f>IF('Port Bloomberg'!I1137="","",'Port Bloomberg'!I1137)</f>
        <v/>
      </c>
      <c r="J1137" s="7" t="str">
        <f>IF('Port Bloomberg'!J1137="","",'Port Bloomberg'!J1137)</f>
        <v/>
      </c>
      <c r="K1137" s="7" t="str">
        <f>IF('Port Bloomberg'!K1137="","",'Port Bloomberg'!K1137)</f>
        <v/>
      </c>
      <c r="L1137" s="7" t="str">
        <f>IF('Port Bloomberg'!L1137="","",'Port Bloomberg'!L1137)</f>
        <v/>
      </c>
      <c r="M1137" s="7" t="str">
        <f>IF('Port Bloomberg'!M1137="","",'Port Bloomberg'!M1137)</f>
        <v/>
      </c>
      <c r="N1137" s="7" t="str">
        <f>IF('Port Bloomberg'!N1137="","",'Port Bloomberg'!N1137)</f>
        <v/>
      </c>
      <c r="O1137" s="7" t="str">
        <f>IF('Port Bloomberg'!O1137="","",'Port Bloomberg'!O1137)</f>
        <v/>
      </c>
      <c r="P1137" s="7" t="str">
        <f>IF('Port Bloomberg'!P1137="","",'Port Bloomberg'!P1137)</f>
        <v/>
      </c>
      <c r="Q1137" s="7" t="str">
        <f>IF('Port Bloomberg'!Q1137="","",'Port Bloomberg'!Q1137)</f>
        <v/>
      </c>
      <c r="R1137" s="7" t="str">
        <f>IF('Port Bloomberg'!R1137="","",'Port Bloomberg'!R1137)</f>
        <v/>
      </c>
      <c r="S1137" s="5" t="str">
        <f>IF(E1137="","",IFERROR(IF(MATCH(E1137,[1]Instrumentos!$D:$D,0)&gt;0,1,0),0))</f>
        <v/>
      </c>
      <c r="T1137" s="5" t="str">
        <f>IF(E1137="","",IFERROR(IF(MATCH(E1137,'Lista de excepciones'!$E:$E,0)&gt;0,1,0),0))</f>
        <v/>
      </c>
      <c r="U1137" s="6" t="str">
        <f t="shared" si="18"/>
        <v/>
      </c>
    </row>
    <row r="1138" spans="1:21" hidden="1" x14ac:dyDescent="0.25">
      <c r="A1138" s="7" t="str">
        <f>IF('Port Bloomberg'!A1138="","",'Port Bloomberg'!A1138)</f>
        <v/>
      </c>
      <c r="B1138" s="7" t="str">
        <f>IF('Port Bloomberg'!B1138="","",'Port Bloomberg'!B1138)</f>
        <v/>
      </c>
      <c r="C1138" s="7" t="str">
        <f>IF('Port Bloomberg'!C1138="","",'Port Bloomberg'!C1138)</f>
        <v/>
      </c>
      <c r="D1138" s="7" t="str">
        <f>IF('Port Bloomberg'!D1138="","",'Port Bloomberg'!D1138)</f>
        <v/>
      </c>
      <c r="E1138" s="7" t="str">
        <f>IF('Port Bloomberg'!E1138="","",'Port Bloomberg'!E1138)</f>
        <v/>
      </c>
      <c r="F1138" s="7" t="str">
        <f>IF('Port Bloomberg'!F1138="","",'Port Bloomberg'!F1138)</f>
        <v/>
      </c>
      <c r="G1138" s="7" t="str">
        <f>IF('Port Bloomberg'!G1138="","",'Port Bloomberg'!G1138)</f>
        <v/>
      </c>
      <c r="H1138" s="7" t="str">
        <f>IF('Port Bloomberg'!H1138="","",'Port Bloomberg'!H1138)</f>
        <v/>
      </c>
      <c r="I1138" s="7" t="str">
        <f>IF('Port Bloomberg'!I1138="","",'Port Bloomberg'!I1138)</f>
        <v/>
      </c>
      <c r="J1138" s="7" t="str">
        <f>IF('Port Bloomberg'!J1138="","",'Port Bloomberg'!J1138)</f>
        <v/>
      </c>
      <c r="K1138" s="7" t="str">
        <f>IF('Port Bloomberg'!K1138="","",'Port Bloomberg'!K1138)</f>
        <v/>
      </c>
      <c r="L1138" s="7" t="str">
        <f>IF('Port Bloomberg'!L1138="","",'Port Bloomberg'!L1138)</f>
        <v/>
      </c>
      <c r="M1138" s="7" t="str">
        <f>IF('Port Bloomberg'!M1138="","",'Port Bloomberg'!M1138)</f>
        <v/>
      </c>
      <c r="N1138" s="7" t="str">
        <f>IF('Port Bloomberg'!N1138="","",'Port Bloomberg'!N1138)</f>
        <v/>
      </c>
      <c r="O1138" s="7" t="str">
        <f>IF('Port Bloomberg'!O1138="","",'Port Bloomberg'!O1138)</f>
        <v/>
      </c>
      <c r="P1138" s="7" t="str">
        <f>IF('Port Bloomberg'!P1138="","",'Port Bloomberg'!P1138)</f>
        <v/>
      </c>
      <c r="Q1138" s="7" t="str">
        <f>IF('Port Bloomberg'!Q1138="","",'Port Bloomberg'!Q1138)</f>
        <v/>
      </c>
      <c r="R1138" s="7" t="str">
        <f>IF('Port Bloomberg'!R1138="","",'Port Bloomberg'!R1138)</f>
        <v/>
      </c>
      <c r="S1138" s="5" t="str">
        <f>IF(E1138="","",IFERROR(IF(MATCH(E1138,[1]Instrumentos!$D:$D,0)&gt;0,1,0),0))</f>
        <v/>
      </c>
      <c r="T1138" s="5" t="str">
        <f>IF(E1138="","",IFERROR(IF(MATCH(E1138,'Lista de excepciones'!$E:$E,0)&gt;0,1,0),0))</f>
        <v/>
      </c>
      <c r="U1138" s="6" t="str">
        <f t="shared" si="18"/>
        <v/>
      </c>
    </row>
    <row r="1139" spans="1:21" hidden="1" x14ac:dyDescent="0.25">
      <c r="A1139" s="7" t="str">
        <f>IF('Port Bloomberg'!A1139="","",'Port Bloomberg'!A1139)</f>
        <v/>
      </c>
      <c r="B1139" s="7" t="str">
        <f>IF('Port Bloomberg'!B1139="","",'Port Bloomberg'!B1139)</f>
        <v/>
      </c>
      <c r="C1139" s="7" t="str">
        <f>IF('Port Bloomberg'!C1139="","",'Port Bloomberg'!C1139)</f>
        <v/>
      </c>
      <c r="D1139" s="7" t="str">
        <f>IF('Port Bloomberg'!D1139="","",'Port Bloomberg'!D1139)</f>
        <v/>
      </c>
      <c r="E1139" s="7" t="str">
        <f>IF('Port Bloomberg'!E1139="","",'Port Bloomberg'!E1139)</f>
        <v/>
      </c>
      <c r="F1139" s="7" t="str">
        <f>IF('Port Bloomberg'!F1139="","",'Port Bloomberg'!F1139)</f>
        <v/>
      </c>
      <c r="G1139" s="7" t="str">
        <f>IF('Port Bloomberg'!G1139="","",'Port Bloomberg'!G1139)</f>
        <v/>
      </c>
      <c r="H1139" s="7" t="str">
        <f>IF('Port Bloomberg'!H1139="","",'Port Bloomberg'!H1139)</f>
        <v/>
      </c>
      <c r="I1139" s="7" t="str">
        <f>IF('Port Bloomberg'!I1139="","",'Port Bloomberg'!I1139)</f>
        <v/>
      </c>
      <c r="J1139" s="7" t="str">
        <f>IF('Port Bloomberg'!J1139="","",'Port Bloomberg'!J1139)</f>
        <v/>
      </c>
      <c r="K1139" s="7" t="str">
        <f>IF('Port Bloomberg'!K1139="","",'Port Bloomberg'!K1139)</f>
        <v/>
      </c>
      <c r="L1139" s="7" t="str">
        <f>IF('Port Bloomberg'!L1139="","",'Port Bloomberg'!L1139)</f>
        <v/>
      </c>
      <c r="M1139" s="7" t="str">
        <f>IF('Port Bloomberg'!M1139="","",'Port Bloomberg'!M1139)</f>
        <v/>
      </c>
      <c r="N1139" s="7" t="str">
        <f>IF('Port Bloomberg'!N1139="","",'Port Bloomberg'!N1139)</f>
        <v/>
      </c>
      <c r="O1139" s="7" t="str">
        <f>IF('Port Bloomberg'!O1139="","",'Port Bloomberg'!O1139)</f>
        <v/>
      </c>
      <c r="P1139" s="7" t="str">
        <f>IF('Port Bloomberg'!P1139="","",'Port Bloomberg'!P1139)</f>
        <v/>
      </c>
      <c r="Q1139" s="7" t="str">
        <f>IF('Port Bloomberg'!Q1139="","",'Port Bloomberg'!Q1139)</f>
        <v/>
      </c>
      <c r="R1139" s="7" t="str">
        <f>IF('Port Bloomberg'!R1139="","",'Port Bloomberg'!R1139)</f>
        <v/>
      </c>
      <c r="S1139" s="5" t="str">
        <f>IF(E1139="","",IFERROR(IF(MATCH(E1139,[1]Instrumentos!$D:$D,0)&gt;0,1,0),0))</f>
        <v/>
      </c>
      <c r="T1139" s="5" t="str">
        <f>IF(E1139="","",IFERROR(IF(MATCH(E1139,'Lista de excepciones'!$E:$E,0)&gt;0,1,0),0))</f>
        <v/>
      </c>
      <c r="U1139" s="6" t="str">
        <f t="shared" si="18"/>
        <v/>
      </c>
    </row>
    <row r="1140" spans="1:21" hidden="1" x14ac:dyDescent="0.25">
      <c r="A1140" s="7" t="str">
        <f>IF('Port Bloomberg'!A1140="","",'Port Bloomberg'!A1140)</f>
        <v/>
      </c>
      <c r="B1140" s="7" t="str">
        <f>IF('Port Bloomberg'!B1140="","",'Port Bloomberg'!B1140)</f>
        <v/>
      </c>
      <c r="C1140" s="7" t="str">
        <f>IF('Port Bloomberg'!C1140="","",'Port Bloomberg'!C1140)</f>
        <v/>
      </c>
      <c r="D1140" s="7" t="str">
        <f>IF('Port Bloomberg'!D1140="","",'Port Bloomberg'!D1140)</f>
        <v/>
      </c>
      <c r="E1140" s="7" t="str">
        <f>IF('Port Bloomberg'!E1140="","",'Port Bloomberg'!E1140)</f>
        <v/>
      </c>
      <c r="F1140" s="7" t="str">
        <f>IF('Port Bloomberg'!F1140="","",'Port Bloomberg'!F1140)</f>
        <v/>
      </c>
      <c r="G1140" s="7" t="str">
        <f>IF('Port Bloomberg'!G1140="","",'Port Bloomberg'!G1140)</f>
        <v/>
      </c>
      <c r="H1140" s="7" t="str">
        <f>IF('Port Bloomberg'!H1140="","",'Port Bloomberg'!H1140)</f>
        <v/>
      </c>
      <c r="I1140" s="7" t="str">
        <f>IF('Port Bloomberg'!I1140="","",'Port Bloomberg'!I1140)</f>
        <v/>
      </c>
      <c r="J1140" s="7" t="str">
        <f>IF('Port Bloomberg'!J1140="","",'Port Bloomberg'!J1140)</f>
        <v/>
      </c>
      <c r="K1140" s="7" t="str">
        <f>IF('Port Bloomberg'!K1140="","",'Port Bloomberg'!K1140)</f>
        <v/>
      </c>
      <c r="L1140" s="7" t="str">
        <f>IF('Port Bloomberg'!L1140="","",'Port Bloomberg'!L1140)</f>
        <v/>
      </c>
      <c r="M1140" s="7" t="str">
        <f>IF('Port Bloomberg'!M1140="","",'Port Bloomberg'!M1140)</f>
        <v/>
      </c>
      <c r="N1140" s="7" t="str">
        <f>IF('Port Bloomberg'!N1140="","",'Port Bloomberg'!N1140)</f>
        <v/>
      </c>
      <c r="O1140" s="7" t="str">
        <f>IF('Port Bloomberg'!O1140="","",'Port Bloomberg'!O1140)</f>
        <v/>
      </c>
      <c r="P1140" s="7" t="str">
        <f>IF('Port Bloomberg'!P1140="","",'Port Bloomberg'!P1140)</f>
        <v/>
      </c>
      <c r="Q1140" s="7" t="str">
        <f>IF('Port Bloomberg'!Q1140="","",'Port Bloomberg'!Q1140)</f>
        <v/>
      </c>
      <c r="R1140" s="7" t="str">
        <f>IF('Port Bloomberg'!R1140="","",'Port Bloomberg'!R1140)</f>
        <v/>
      </c>
      <c r="S1140" s="5" t="str">
        <f>IF(E1140="","",IFERROR(IF(MATCH(E1140,[1]Instrumentos!$D:$D,0)&gt;0,1,0),0))</f>
        <v/>
      </c>
      <c r="T1140" s="5" t="str">
        <f>IF(E1140="","",IFERROR(IF(MATCH(E1140,'Lista de excepciones'!$E:$E,0)&gt;0,1,0),0))</f>
        <v/>
      </c>
      <c r="U1140" s="6" t="str">
        <f t="shared" si="18"/>
        <v/>
      </c>
    </row>
    <row r="1141" spans="1:21" hidden="1" x14ac:dyDescent="0.25">
      <c r="A1141" s="7" t="str">
        <f>IF('Port Bloomberg'!A1141="","",'Port Bloomberg'!A1141)</f>
        <v/>
      </c>
      <c r="B1141" s="7" t="str">
        <f>IF('Port Bloomberg'!B1141="","",'Port Bloomberg'!B1141)</f>
        <v/>
      </c>
      <c r="C1141" s="7" t="str">
        <f>IF('Port Bloomberg'!C1141="","",'Port Bloomberg'!C1141)</f>
        <v/>
      </c>
      <c r="D1141" s="7" t="str">
        <f>IF('Port Bloomberg'!D1141="","",'Port Bloomberg'!D1141)</f>
        <v/>
      </c>
      <c r="E1141" s="7" t="str">
        <f>IF('Port Bloomberg'!E1141="","",'Port Bloomberg'!E1141)</f>
        <v/>
      </c>
      <c r="F1141" s="7" t="str">
        <f>IF('Port Bloomberg'!F1141="","",'Port Bloomberg'!F1141)</f>
        <v/>
      </c>
      <c r="G1141" s="7" t="str">
        <f>IF('Port Bloomberg'!G1141="","",'Port Bloomberg'!G1141)</f>
        <v/>
      </c>
      <c r="H1141" s="7" t="str">
        <f>IF('Port Bloomberg'!H1141="","",'Port Bloomberg'!H1141)</f>
        <v/>
      </c>
      <c r="I1141" s="7" t="str">
        <f>IF('Port Bloomberg'!I1141="","",'Port Bloomberg'!I1141)</f>
        <v/>
      </c>
      <c r="J1141" s="7" t="str">
        <f>IF('Port Bloomberg'!J1141="","",'Port Bloomberg'!J1141)</f>
        <v/>
      </c>
      <c r="K1141" s="7" t="str">
        <f>IF('Port Bloomberg'!K1141="","",'Port Bloomberg'!K1141)</f>
        <v/>
      </c>
      <c r="L1141" s="7" t="str">
        <f>IF('Port Bloomberg'!L1141="","",'Port Bloomberg'!L1141)</f>
        <v/>
      </c>
      <c r="M1141" s="7" t="str">
        <f>IF('Port Bloomberg'!M1141="","",'Port Bloomberg'!M1141)</f>
        <v/>
      </c>
      <c r="N1141" s="7" t="str">
        <f>IF('Port Bloomberg'!N1141="","",'Port Bloomberg'!N1141)</f>
        <v/>
      </c>
      <c r="O1141" s="7" t="str">
        <f>IF('Port Bloomberg'!O1141="","",'Port Bloomberg'!O1141)</f>
        <v/>
      </c>
      <c r="P1141" s="7" t="str">
        <f>IF('Port Bloomberg'!P1141="","",'Port Bloomberg'!P1141)</f>
        <v/>
      </c>
      <c r="Q1141" s="7" t="str">
        <f>IF('Port Bloomberg'!Q1141="","",'Port Bloomberg'!Q1141)</f>
        <v/>
      </c>
      <c r="R1141" s="7" t="str">
        <f>IF('Port Bloomberg'!R1141="","",'Port Bloomberg'!R1141)</f>
        <v/>
      </c>
      <c r="S1141" s="5" t="str">
        <f>IF(E1141="","",IFERROR(IF(MATCH(E1141,[1]Instrumentos!$D:$D,0)&gt;0,1,0),0))</f>
        <v/>
      </c>
      <c r="T1141" s="5" t="str">
        <f>IF(E1141="","",IFERROR(IF(MATCH(E1141,'Lista de excepciones'!$E:$E,0)&gt;0,1,0),0))</f>
        <v/>
      </c>
      <c r="U1141" s="6" t="str">
        <f t="shared" si="18"/>
        <v/>
      </c>
    </row>
    <row r="1142" spans="1:21" hidden="1" x14ac:dyDescent="0.25">
      <c r="A1142" s="7" t="str">
        <f>IF('Port Bloomberg'!A1142="","",'Port Bloomberg'!A1142)</f>
        <v/>
      </c>
      <c r="B1142" s="7" t="str">
        <f>IF('Port Bloomberg'!B1142="","",'Port Bloomberg'!B1142)</f>
        <v/>
      </c>
      <c r="C1142" s="7" t="str">
        <f>IF('Port Bloomberg'!C1142="","",'Port Bloomberg'!C1142)</f>
        <v/>
      </c>
      <c r="D1142" s="7" t="str">
        <f>IF('Port Bloomberg'!D1142="","",'Port Bloomberg'!D1142)</f>
        <v/>
      </c>
      <c r="E1142" s="7" t="str">
        <f>IF('Port Bloomberg'!E1142="","",'Port Bloomberg'!E1142)</f>
        <v/>
      </c>
      <c r="F1142" s="7" t="str">
        <f>IF('Port Bloomberg'!F1142="","",'Port Bloomberg'!F1142)</f>
        <v/>
      </c>
      <c r="G1142" s="7" t="str">
        <f>IF('Port Bloomberg'!G1142="","",'Port Bloomberg'!G1142)</f>
        <v/>
      </c>
      <c r="H1142" s="7" t="str">
        <f>IF('Port Bloomberg'!H1142="","",'Port Bloomberg'!H1142)</f>
        <v/>
      </c>
      <c r="I1142" s="7" t="str">
        <f>IF('Port Bloomberg'!I1142="","",'Port Bloomberg'!I1142)</f>
        <v/>
      </c>
      <c r="J1142" s="7" t="str">
        <f>IF('Port Bloomberg'!J1142="","",'Port Bloomberg'!J1142)</f>
        <v/>
      </c>
      <c r="K1142" s="7" t="str">
        <f>IF('Port Bloomberg'!K1142="","",'Port Bloomberg'!K1142)</f>
        <v/>
      </c>
      <c r="L1142" s="7" t="str">
        <f>IF('Port Bloomberg'!L1142="","",'Port Bloomberg'!L1142)</f>
        <v/>
      </c>
      <c r="M1142" s="7" t="str">
        <f>IF('Port Bloomberg'!M1142="","",'Port Bloomberg'!M1142)</f>
        <v/>
      </c>
      <c r="N1142" s="7" t="str">
        <f>IF('Port Bloomberg'!N1142="","",'Port Bloomberg'!N1142)</f>
        <v/>
      </c>
      <c r="O1142" s="7" t="str">
        <f>IF('Port Bloomberg'!O1142="","",'Port Bloomberg'!O1142)</f>
        <v/>
      </c>
      <c r="P1142" s="7" t="str">
        <f>IF('Port Bloomberg'!P1142="","",'Port Bloomberg'!P1142)</f>
        <v/>
      </c>
      <c r="Q1142" s="7" t="str">
        <f>IF('Port Bloomberg'!Q1142="","",'Port Bloomberg'!Q1142)</f>
        <v/>
      </c>
      <c r="R1142" s="7" t="str">
        <f>IF('Port Bloomberg'!R1142="","",'Port Bloomberg'!R1142)</f>
        <v/>
      </c>
      <c r="S1142" s="5" t="str">
        <f>IF(E1142="","",IFERROR(IF(MATCH(E1142,[1]Instrumentos!$D:$D,0)&gt;0,1,0),0))</f>
        <v/>
      </c>
      <c r="T1142" s="5" t="str">
        <f>IF(E1142="","",IFERROR(IF(MATCH(E1142,'Lista de excepciones'!$E:$E,0)&gt;0,1,0),0))</f>
        <v/>
      </c>
      <c r="U1142" s="6" t="str">
        <f t="shared" si="18"/>
        <v/>
      </c>
    </row>
    <row r="1143" spans="1:21" hidden="1" x14ac:dyDescent="0.25">
      <c r="A1143" s="7" t="str">
        <f>IF('Port Bloomberg'!A1143="","",'Port Bloomberg'!A1143)</f>
        <v/>
      </c>
      <c r="B1143" s="7" t="str">
        <f>IF('Port Bloomberg'!B1143="","",'Port Bloomberg'!B1143)</f>
        <v/>
      </c>
      <c r="C1143" s="7" t="str">
        <f>IF('Port Bloomberg'!C1143="","",'Port Bloomberg'!C1143)</f>
        <v/>
      </c>
      <c r="D1143" s="7" t="str">
        <f>IF('Port Bloomberg'!D1143="","",'Port Bloomberg'!D1143)</f>
        <v/>
      </c>
      <c r="E1143" s="7" t="str">
        <f>IF('Port Bloomberg'!E1143="","",'Port Bloomberg'!E1143)</f>
        <v/>
      </c>
      <c r="F1143" s="7" t="str">
        <f>IF('Port Bloomberg'!F1143="","",'Port Bloomberg'!F1143)</f>
        <v/>
      </c>
      <c r="G1143" s="7" t="str">
        <f>IF('Port Bloomberg'!G1143="","",'Port Bloomberg'!G1143)</f>
        <v/>
      </c>
      <c r="H1143" s="7" t="str">
        <f>IF('Port Bloomberg'!H1143="","",'Port Bloomberg'!H1143)</f>
        <v/>
      </c>
      <c r="I1143" s="7" t="str">
        <f>IF('Port Bloomberg'!I1143="","",'Port Bloomberg'!I1143)</f>
        <v/>
      </c>
      <c r="J1143" s="7" t="str">
        <f>IF('Port Bloomberg'!J1143="","",'Port Bloomberg'!J1143)</f>
        <v/>
      </c>
      <c r="K1143" s="7" t="str">
        <f>IF('Port Bloomberg'!K1143="","",'Port Bloomberg'!K1143)</f>
        <v/>
      </c>
      <c r="L1143" s="7" t="str">
        <f>IF('Port Bloomberg'!L1143="","",'Port Bloomberg'!L1143)</f>
        <v/>
      </c>
      <c r="M1143" s="7" t="str">
        <f>IF('Port Bloomberg'!M1143="","",'Port Bloomberg'!M1143)</f>
        <v/>
      </c>
      <c r="N1143" s="7" t="str">
        <f>IF('Port Bloomberg'!N1143="","",'Port Bloomberg'!N1143)</f>
        <v/>
      </c>
      <c r="O1143" s="7" t="str">
        <f>IF('Port Bloomberg'!O1143="","",'Port Bloomberg'!O1143)</f>
        <v/>
      </c>
      <c r="P1143" s="7" t="str">
        <f>IF('Port Bloomberg'!P1143="","",'Port Bloomberg'!P1143)</f>
        <v/>
      </c>
      <c r="Q1143" s="7" t="str">
        <f>IF('Port Bloomberg'!Q1143="","",'Port Bloomberg'!Q1143)</f>
        <v/>
      </c>
      <c r="R1143" s="7" t="str">
        <f>IF('Port Bloomberg'!R1143="","",'Port Bloomberg'!R1143)</f>
        <v/>
      </c>
      <c r="S1143" s="5" t="str">
        <f>IF(E1143="","",IFERROR(IF(MATCH(E1143,[1]Instrumentos!$D:$D,0)&gt;0,1,0),0))</f>
        <v/>
      </c>
      <c r="T1143" s="5" t="str">
        <f>IF(E1143="","",IFERROR(IF(MATCH(E1143,'Lista de excepciones'!$E:$E,0)&gt;0,1,0),0))</f>
        <v/>
      </c>
      <c r="U1143" s="6" t="str">
        <f t="shared" si="18"/>
        <v/>
      </c>
    </row>
    <row r="1144" spans="1:21" hidden="1" x14ac:dyDescent="0.25">
      <c r="A1144" s="7" t="str">
        <f>IF('Port Bloomberg'!A1144="","",'Port Bloomberg'!A1144)</f>
        <v/>
      </c>
      <c r="B1144" s="7" t="str">
        <f>IF('Port Bloomberg'!B1144="","",'Port Bloomberg'!B1144)</f>
        <v/>
      </c>
      <c r="C1144" s="7" t="str">
        <f>IF('Port Bloomberg'!C1144="","",'Port Bloomberg'!C1144)</f>
        <v/>
      </c>
      <c r="D1144" s="7" t="str">
        <f>IF('Port Bloomberg'!D1144="","",'Port Bloomberg'!D1144)</f>
        <v/>
      </c>
      <c r="E1144" s="7" t="str">
        <f>IF('Port Bloomberg'!E1144="","",'Port Bloomberg'!E1144)</f>
        <v/>
      </c>
      <c r="F1144" s="7" t="str">
        <f>IF('Port Bloomberg'!F1144="","",'Port Bloomberg'!F1144)</f>
        <v/>
      </c>
      <c r="G1144" s="7" t="str">
        <f>IF('Port Bloomberg'!G1144="","",'Port Bloomberg'!G1144)</f>
        <v/>
      </c>
      <c r="H1144" s="7" t="str">
        <f>IF('Port Bloomberg'!H1144="","",'Port Bloomberg'!H1144)</f>
        <v/>
      </c>
      <c r="I1144" s="7" t="str">
        <f>IF('Port Bloomberg'!I1144="","",'Port Bloomberg'!I1144)</f>
        <v/>
      </c>
      <c r="J1144" s="7" t="str">
        <f>IF('Port Bloomberg'!J1144="","",'Port Bloomberg'!J1144)</f>
        <v/>
      </c>
      <c r="K1144" s="7" t="str">
        <f>IF('Port Bloomberg'!K1144="","",'Port Bloomberg'!K1144)</f>
        <v/>
      </c>
      <c r="L1144" s="7" t="str">
        <f>IF('Port Bloomberg'!L1144="","",'Port Bloomberg'!L1144)</f>
        <v/>
      </c>
      <c r="M1144" s="7" t="str">
        <f>IF('Port Bloomberg'!M1144="","",'Port Bloomberg'!M1144)</f>
        <v/>
      </c>
      <c r="N1144" s="7" t="str">
        <f>IF('Port Bloomberg'!N1144="","",'Port Bloomberg'!N1144)</f>
        <v/>
      </c>
      <c r="O1144" s="7" t="str">
        <f>IF('Port Bloomberg'!O1144="","",'Port Bloomberg'!O1144)</f>
        <v/>
      </c>
      <c r="P1144" s="7" t="str">
        <f>IF('Port Bloomberg'!P1144="","",'Port Bloomberg'!P1144)</f>
        <v/>
      </c>
      <c r="Q1144" s="7" t="str">
        <f>IF('Port Bloomberg'!Q1144="","",'Port Bloomberg'!Q1144)</f>
        <v/>
      </c>
      <c r="R1144" s="7" t="str">
        <f>IF('Port Bloomberg'!R1144="","",'Port Bloomberg'!R1144)</f>
        <v/>
      </c>
      <c r="S1144" s="5" t="str">
        <f>IF(E1144="","",IFERROR(IF(MATCH(E1144,[1]Instrumentos!$D:$D,0)&gt;0,1,0),0))</f>
        <v/>
      </c>
      <c r="T1144" s="5" t="str">
        <f>IF(E1144="","",IFERROR(IF(MATCH(E1144,'Lista de excepciones'!$E:$E,0)&gt;0,1,0),0))</f>
        <v/>
      </c>
      <c r="U1144" s="6" t="str">
        <f t="shared" si="18"/>
        <v/>
      </c>
    </row>
    <row r="1145" spans="1:21" hidden="1" x14ac:dyDescent="0.25">
      <c r="A1145" s="7" t="str">
        <f>IF('Port Bloomberg'!A1145="","",'Port Bloomberg'!A1145)</f>
        <v/>
      </c>
      <c r="B1145" s="7" t="str">
        <f>IF('Port Bloomberg'!B1145="","",'Port Bloomberg'!B1145)</f>
        <v/>
      </c>
      <c r="C1145" s="7" t="str">
        <f>IF('Port Bloomberg'!C1145="","",'Port Bloomberg'!C1145)</f>
        <v/>
      </c>
      <c r="D1145" s="7" t="str">
        <f>IF('Port Bloomberg'!D1145="","",'Port Bloomberg'!D1145)</f>
        <v/>
      </c>
      <c r="E1145" s="7" t="str">
        <f>IF('Port Bloomberg'!E1145="","",'Port Bloomberg'!E1145)</f>
        <v/>
      </c>
      <c r="F1145" s="7" t="str">
        <f>IF('Port Bloomberg'!F1145="","",'Port Bloomberg'!F1145)</f>
        <v/>
      </c>
      <c r="G1145" s="7" t="str">
        <f>IF('Port Bloomberg'!G1145="","",'Port Bloomberg'!G1145)</f>
        <v/>
      </c>
      <c r="H1145" s="7" t="str">
        <f>IF('Port Bloomberg'!H1145="","",'Port Bloomberg'!H1145)</f>
        <v/>
      </c>
      <c r="I1145" s="7" t="str">
        <f>IF('Port Bloomberg'!I1145="","",'Port Bloomberg'!I1145)</f>
        <v/>
      </c>
      <c r="J1145" s="7" t="str">
        <f>IF('Port Bloomberg'!J1145="","",'Port Bloomberg'!J1145)</f>
        <v/>
      </c>
      <c r="K1145" s="7" t="str">
        <f>IF('Port Bloomberg'!K1145="","",'Port Bloomberg'!K1145)</f>
        <v/>
      </c>
      <c r="L1145" s="7" t="str">
        <f>IF('Port Bloomberg'!L1145="","",'Port Bloomberg'!L1145)</f>
        <v/>
      </c>
      <c r="M1145" s="7" t="str">
        <f>IF('Port Bloomberg'!M1145="","",'Port Bloomberg'!M1145)</f>
        <v/>
      </c>
      <c r="N1145" s="7" t="str">
        <f>IF('Port Bloomberg'!N1145="","",'Port Bloomberg'!N1145)</f>
        <v/>
      </c>
      <c r="O1145" s="7" t="str">
        <f>IF('Port Bloomberg'!O1145="","",'Port Bloomberg'!O1145)</f>
        <v/>
      </c>
      <c r="P1145" s="7" t="str">
        <f>IF('Port Bloomberg'!P1145="","",'Port Bloomberg'!P1145)</f>
        <v/>
      </c>
      <c r="Q1145" s="7" t="str">
        <f>IF('Port Bloomberg'!Q1145="","",'Port Bloomberg'!Q1145)</f>
        <v/>
      </c>
      <c r="R1145" s="7" t="str">
        <f>IF('Port Bloomberg'!R1145="","",'Port Bloomberg'!R1145)</f>
        <v/>
      </c>
      <c r="S1145" s="5" t="str">
        <f>IF(E1145="","",IFERROR(IF(MATCH(E1145,[1]Instrumentos!$D:$D,0)&gt;0,1,0),0))</f>
        <v/>
      </c>
      <c r="T1145" s="5" t="str">
        <f>IF(E1145="","",IFERROR(IF(MATCH(E1145,'Lista de excepciones'!$E:$E,0)&gt;0,1,0),0))</f>
        <v/>
      </c>
      <c r="U1145" s="6" t="str">
        <f t="shared" si="18"/>
        <v/>
      </c>
    </row>
    <row r="1146" spans="1:21" hidden="1" x14ac:dyDescent="0.25">
      <c r="A1146" s="7" t="str">
        <f>IF('Port Bloomberg'!A1146="","",'Port Bloomberg'!A1146)</f>
        <v/>
      </c>
      <c r="B1146" s="7" t="str">
        <f>IF('Port Bloomberg'!B1146="","",'Port Bloomberg'!B1146)</f>
        <v/>
      </c>
      <c r="C1146" s="7" t="str">
        <f>IF('Port Bloomberg'!C1146="","",'Port Bloomberg'!C1146)</f>
        <v/>
      </c>
      <c r="D1146" s="7" t="str">
        <f>IF('Port Bloomberg'!D1146="","",'Port Bloomberg'!D1146)</f>
        <v/>
      </c>
      <c r="E1146" s="7" t="str">
        <f>IF('Port Bloomberg'!E1146="","",'Port Bloomberg'!E1146)</f>
        <v/>
      </c>
      <c r="F1146" s="7" t="str">
        <f>IF('Port Bloomberg'!F1146="","",'Port Bloomberg'!F1146)</f>
        <v/>
      </c>
      <c r="G1146" s="7" t="str">
        <f>IF('Port Bloomberg'!G1146="","",'Port Bloomberg'!G1146)</f>
        <v/>
      </c>
      <c r="H1146" s="7" t="str">
        <f>IF('Port Bloomberg'!H1146="","",'Port Bloomberg'!H1146)</f>
        <v/>
      </c>
      <c r="I1146" s="7" t="str">
        <f>IF('Port Bloomberg'!I1146="","",'Port Bloomberg'!I1146)</f>
        <v/>
      </c>
      <c r="J1146" s="7" t="str">
        <f>IF('Port Bloomberg'!J1146="","",'Port Bloomberg'!J1146)</f>
        <v/>
      </c>
      <c r="K1146" s="7" t="str">
        <f>IF('Port Bloomberg'!K1146="","",'Port Bloomberg'!K1146)</f>
        <v/>
      </c>
      <c r="L1146" s="7" t="str">
        <f>IF('Port Bloomberg'!L1146="","",'Port Bloomberg'!L1146)</f>
        <v/>
      </c>
      <c r="M1146" s="7" t="str">
        <f>IF('Port Bloomberg'!M1146="","",'Port Bloomberg'!M1146)</f>
        <v/>
      </c>
      <c r="N1146" s="7" t="str">
        <f>IF('Port Bloomberg'!N1146="","",'Port Bloomberg'!N1146)</f>
        <v/>
      </c>
      <c r="O1146" s="7" t="str">
        <f>IF('Port Bloomberg'!O1146="","",'Port Bloomberg'!O1146)</f>
        <v/>
      </c>
      <c r="P1146" s="7" t="str">
        <f>IF('Port Bloomberg'!P1146="","",'Port Bloomberg'!P1146)</f>
        <v/>
      </c>
      <c r="Q1146" s="7" t="str">
        <f>IF('Port Bloomberg'!Q1146="","",'Port Bloomberg'!Q1146)</f>
        <v/>
      </c>
      <c r="R1146" s="7" t="str">
        <f>IF('Port Bloomberg'!R1146="","",'Port Bloomberg'!R1146)</f>
        <v/>
      </c>
      <c r="S1146" s="5" t="str">
        <f>IF(E1146="","",IFERROR(IF(MATCH(E1146,[1]Instrumentos!$D:$D,0)&gt;0,1,0),0))</f>
        <v/>
      </c>
      <c r="T1146" s="5" t="str">
        <f>IF(E1146="","",IFERROR(IF(MATCH(E1146,'Lista de excepciones'!$E:$E,0)&gt;0,1,0),0))</f>
        <v/>
      </c>
      <c r="U1146" s="6" t="str">
        <f t="shared" si="18"/>
        <v/>
      </c>
    </row>
    <row r="1147" spans="1:21" hidden="1" x14ac:dyDescent="0.25">
      <c r="A1147" s="7" t="str">
        <f>IF('Port Bloomberg'!A1147="","",'Port Bloomberg'!A1147)</f>
        <v/>
      </c>
      <c r="B1147" s="7" t="str">
        <f>IF('Port Bloomberg'!B1147="","",'Port Bloomberg'!B1147)</f>
        <v/>
      </c>
      <c r="C1147" s="7" t="str">
        <f>IF('Port Bloomberg'!C1147="","",'Port Bloomberg'!C1147)</f>
        <v/>
      </c>
      <c r="D1147" s="7" t="str">
        <f>IF('Port Bloomberg'!D1147="","",'Port Bloomberg'!D1147)</f>
        <v/>
      </c>
      <c r="E1147" s="7" t="str">
        <f>IF('Port Bloomberg'!E1147="","",'Port Bloomberg'!E1147)</f>
        <v/>
      </c>
      <c r="F1147" s="7" t="str">
        <f>IF('Port Bloomberg'!F1147="","",'Port Bloomberg'!F1147)</f>
        <v/>
      </c>
      <c r="G1147" s="7" t="str">
        <f>IF('Port Bloomberg'!G1147="","",'Port Bloomberg'!G1147)</f>
        <v/>
      </c>
      <c r="H1147" s="7" t="str">
        <f>IF('Port Bloomberg'!H1147="","",'Port Bloomberg'!H1147)</f>
        <v/>
      </c>
      <c r="I1147" s="7" t="str">
        <f>IF('Port Bloomberg'!I1147="","",'Port Bloomberg'!I1147)</f>
        <v/>
      </c>
      <c r="J1147" s="7" t="str">
        <f>IF('Port Bloomberg'!J1147="","",'Port Bloomberg'!J1147)</f>
        <v/>
      </c>
      <c r="K1147" s="7" t="str">
        <f>IF('Port Bloomberg'!K1147="","",'Port Bloomberg'!K1147)</f>
        <v/>
      </c>
      <c r="L1147" s="7" t="str">
        <f>IF('Port Bloomberg'!L1147="","",'Port Bloomberg'!L1147)</f>
        <v/>
      </c>
      <c r="M1147" s="7" t="str">
        <f>IF('Port Bloomberg'!M1147="","",'Port Bloomberg'!M1147)</f>
        <v/>
      </c>
      <c r="N1147" s="7" t="str">
        <f>IF('Port Bloomberg'!N1147="","",'Port Bloomberg'!N1147)</f>
        <v/>
      </c>
      <c r="O1147" s="7" t="str">
        <f>IF('Port Bloomberg'!O1147="","",'Port Bloomberg'!O1147)</f>
        <v/>
      </c>
      <c r="P1147" s="7" t="str">
        <f>IF('Port Bloomberg'!P1147="","",'Port Bloomberg'!P1147)</f>
        <v/>
      </c>
      <c r="Q1147" s="7" t="str">
        <f>IF('Port Bloomberg'!Q1147="","",'Port Bloomberg'!Q1147)</f>
        <v/>
      </c>
      <c r="R1147" s="7" t="str">
        <f>IF('Port Bloomberg'!R1147="","",'Port Bloomberg'!R1147)</f>
        <v/>
      </c>
      <c r="S1147" s="5" t="str">
        <f>IF(E1147="","",IFERROR(IF(MATCH(E1147,[1]Instrumentos!$D:$D,0)&gt;0,1,0),0))</f>
        <v/>
      </c>
      <c r="T1147" s="5" t="str">
        <f>IF(E1147="","",IFERROR(IF(MATCH(E1147,'Lista de excepciones'!$E:$E,0)&gt;0,1,0),0))</f>
        <v/>
      </c>
      <c r="U1147" s="6" t="str">
        <f t="shared" si="18"/>
        <v/>
      </c>
    </row>
    <row r="1148" spans="1:21" hidden="1" x14ac:dyDescent="0.25">
      <c r="A1148" s="7" t="str">
        <f>IF('Port Bloomberg'!A1148="","",'Port Bloomberg'!A1148)</f>
        <v/>
      </c>
      <c r="B1148" s="7" t="str">
        <f>IF('Port Bloomberg'!B1148="","",'Port Bloomberg'!B1148)</f>
        <v/>
      </c>
      <c r="C1148" s="7" t="str">
        <f>IF('Port Bloomberg'!C1148="","",'Port Bloomberg'!C1148)</f>
        <v/>
      </c>
      <c r="D1148" s="7" t="str">
        <f>IF('Port Bloomberg'!D1148="","",'Port Bloomberg'!D1148)</f>
        <v/>
      </c>
      <c r="E1148" s="7" t="str">
        <f>IF('Port Bloomberg'!E1148="","",'Port Bloomberg'!E1148)</f>
        <v/>
      </c>
      <c r="F1148" s="7" t="str">
        <f>IF('Port Bloomberg'!F1148="","",'Port Bloomberg'!F1148)</f>
        <v/>
      </c>
      <c r="G1148" s="7" t="str">
        <f>IF('Port Bloomberg'!G1148="","",'Port Bloomberg'!G1148)</f>
        <v/>
      </c>
      <c r="H1148" s="7" t="str">
        <f>IF('Port Bloomberg'!H1148="","",'Port Bloomberg'!H1148)</f>
        <v/>
      </c>
      <c r="I1148" s="7" t="str">
        <f>IF('Port Bloomberg'!I1148="","",'Port Bloomberg'!I1148)</f>
        <v/>
      </c>
      <c r="J1148" s="7" t="str">
        <f>IF('Port Bloomberg'!J1148="","",'Port Bloomberg'!J1148)</f>
        <v/>
      </c>
      <c r="K1148" s="7" t="str">
        <f>IF('Port Bloomberg'!K1148="","",'Port Bloomberg'!K1148)</f>
        <v/>
      </c>
      <c r="L1148" s="7" t="str">
        <f>IF('Port Bloomberg'!L1148="","",'Port Bloomberg'!L1148)</f>
        <v/>
      </c>
      <c r="M1148" s="7" t="str">
        <f>IF('Port Bloomberg'!M1148="","",'Port Bloomberg'!M1148)</f>
        <v/>
      </c>
      <c r="N1148" s="7" t="str">
        <f>IF('Port Bloomberg'!N1148="","",'Port Bloomberg'!N1148)</f>
        <v/>
      </c>
      <c r="O1148" s="7" t="str">
        <f>IF('Port Bloomberg'!O1148="","",'Port Bloomberg'!O1148)</f>
        <v/>
      </c>
      <c r="P1148" s="7" t="str">
        <f>IF('Port Bloomberg'!P1148="","",'Port Bloomberg'!P1148)</f>
        <v/>
      </c>
      <c r="Q1148" s="7" t="str">
        <f>IF('Port Bloomberg'!Q1148="","",'Port Bloomberg'!Q1148)</f>
        <v/>
      </c>
      <c r="R1148" s="7" t="str">
        <f>IF('Port Bloomberg'!R1148="","",'Port Bloomberg'!R1148)</f>
        <v/>
      </c>
      <c r="S1148" s="5" t="str">
        <f>IF(E1148="","",IFERROR(IF(MATCH(E1148,[1]Instrumentos!$D:$D,0)&gt;0,1,0),0))</f>
        <v/>
      </c>
      <c r="T1148" s="5" t="str">
        <f>IF(E1148="","",IFERROR(IF(MATCH(E1148,'Lista de excepciones'!$E:$E,0)&gt;0,1,0),0))</f>
        <v/>
      </c>
      <c r="U1148" s="6" t="str">
        <f t="shared" si="18"/>
        <v/>
      </c>
    </row>
    <row r="1149" spans="1:21" hidden="1" x14ac:dyDescent="0.25">
      <c r="A1149" s="7" t="str">
        <f>IF('Port Bloomberg'!A1149="","",'Port Bloomberg'!A1149)</f>
        <v/>
      </c>
      <c r="B1149" s="7" t="str">
        <f>IF('Port Bloomberg'!B1149="","",'Port Bloomberg'!B1149)</f>
        <v/>
      </c>
      <c r="C1149" s="7" t="str">
        <f>IF('Port Bloomberg'!C1149="","",'Port Bloomberg'!C1149)</f>
        <v/>
      </c>
      <c r="D1149" s="7" t="str">
        <f>IF('Port Bloomberg'!D1149="","",'Port Bloomberg'!D1149)</f>
        <v/>
      </c>
      <c r="E1149" s="7" t="str">
        <f>IF('Port Bloomberg'!E1149="","",'Port Bloomberg'!E1149)</f>
        <v/>
      </c>
      <c r="F1149" s="7" t="str">
        <f>IF('Port Bloomberg'!F1149="","",'Port Bloomberg'!F1149)</f>
        <v/>
      </c>
      <c r="G1149" s="7" t="str">
        <f>IF('Port Bloomberg'!G1149="","",'Port Bloomberg'!G1149)</f>
        <v/>
      </c>
      <c r="H1149" s="7" t="str">
        <f>IF('Port Bloomberg'!H1149="","",'Port Bloomberg'!H1149)</f>
        <v/>
      </c>
      <c r="I1149" s="7" t="str">
        <f>IF('Port Bloomberg'!I1149="","",'Port Bloomberg'!I1149)</f>
        <v/>
      </c>
      <c r="J1149" s="7" t="str">
        <f>IF('Port Bloomberg'!J1149="","",'Port Bloomberg'!J1149)</f>
        <v/>
      </c>
      <c r="K1149" s="7" t="str">
        <f>IF('Port Bloomberg'!K1149="","",'Port Bloomberg'!K1149)</f>
        <v/>
      </c>
      <c r="L1149" s="7" t="str">
        <f>IF('Port Bloomberg'!L1149="","",'Port Bloomberg'!L1149)</f>
        <v/>
      </c>
      <c r="M1149" s="7" t="str">
        <f>IF('Port Bloomberg'!M1149="","",'Port Bloomberg'!M1149)</f>
        <v/>
      </c>
      <c r="N1149" s="7" t="str">
        <f>IF('Port Bloomberg'!N1149="","",'Port Bloomberg'!N1149)</f>
        <v/>
      </c>
      <c r="O1149" s="7" t="str">
        <f>IF('Port Bloomberg'!O1149="","",'Port Bloomberg'!O1149)</f>
        <v/>
      </c>
      <c r="P1149" s="7" t="str">
        <f>IF('Port Bloomberg'!P1149="","",'Port Bloomberg'!P1149)</f>
        <v/>
      </c>
      <c r="Q1149" s="7" t="str">
        <f>IF('Port Bloomberg'!Q1149="","",'Port Bloomberg'!Q1149)</f>
        <v/>
      </c>
      <c r="R1149" s="7" t="str">
        <f>IF('Port Bloomberg'!R1149="","",'Port Bloomberg'!R1149)</f>
        <v/>
      </c>
      <c r="S1149" s="5" t="str">
        <f>IF(E1149="","",IFERROR(IF(MATCH(E1149,[1]Instrumentos!$D:$D,0)&gt;0,1,0),0))</f>
        <v/>
      </c>
      <c r="T1149" s="5" t="str">
        <f>IF(E1149="","",IFERROR(IF(MATCH(E1149,'Lista de excepciones'!$E:$E,0)&gt;0,1,0),0))</f>
        <v/>
      </c>
      <c r="U1149" s="6" t="str">
        <f t="shared" si="18"/>
        <v/>
      </c>
    </row>
    <row r="1150" spans="1:21" hidden="1" x14ac:dyDescent="0.25">
      <c r="A1150" s="7" t="str">
        <f>IF('Port Bloomberg'!A1150="","",'Port Bloomberg'!A1150)</f>
        <v/>
      </c>
      <c r="B1150" s="7" t="str">
        <f>IF('Port Bloomberg'!B1150="","",'Port Bloomberg'!B1150)</f>
        <v/>
      </c>
      <c r="C1150" s="7" t="str">
        <f>IF('Port Bloomberg'!C1150="","",'Port Bloomberg'!C1150)</f>
        <v/>
      </c>
      <c r="D1150" s="7" t="str">
        <f>IF('Port Bloomberg'!D1150="","",'Port Bloomberg'!D1150)</f>
        <v/>
      </c>
      <c r="E1150" s="7" t="str">
        <f>IF('Port Bloomberg'!E1150="","",'Port Bloomberg'!E1150)</f>
        <v/>
      </c>
      <c r="F1150" s="7" t="str">
        <f>IF('Port Bloomberg'!F1150="","",'Port Bloomberg'!F1150)</f>
        <v/>
      </c>
      <c r="G1150" s="7" t="str">
        <f>IF('Port Bloomberg'!G1150="","",'Port Bloomberg'!G1150)</f>
        <v/>
      </c>
      <c r="H1150" s="7" t="str">
        <f>IF('Port Bloomberg'!H1150="","",'Port Bloomberg'!H1150)</f>
        <v/>
      </c>
      <c r="I1150" s="7" t="str">
        <f>IF('Port Bloomberg'!I1150="","",'Port Bloomberg'!I1150)</f>
        <v/>
      </c>
      <c r="J1150" s="7" t="str">
        <f>IF('Port Bloomberg'!J1150="","",'Port Bloomberg'!J1150)</f>
        <v/>
      </c>
      <c r="K1150" s="7" t="str">
        <f>IF('Port Bloomberg'!K1150="","",'Port Bloomberg'!K1150)</f>
        <v/>
      </c>
      <c r="L1150" s="7" t="str">
        <f>IF('Port Bloomberg'!L1150="","",'Port Bloomberg'!L1150)</f>
        <v/>
      </c>
      <c r="M1150" s="7" t="str">
        <f>IF('Port Bloomberg'!M1150="","",'Port Bloomberg'!M1150)</f>
        <v/>
      </c>
      <c r="N1150" s="7" t="str">
        <f>IF('Port Bloomberg'!N1150="","",'Port Bloomberg'!N1150)</f>
        <v/>
      </c>
      <c r="O1150" s="7" t="str">
        <f>IF('Port Bloomberg'!O1150="","",'Port Bloomberg'!O1150)</f>
        <v/>
      </c>
      <c r="P1150" s="7" t="str">
        <f>IF('Port Bloomberg'!P1150="","",'Port Bloomberg'!P1150)</f>
        <v/>
      </c>
      <c r="Q1150" s="7" t="str">
        <f>IF('Port Bloomberg'!Q1150="","",'Port Bloomberg'!Q1150)</f>
        <v/>
      </c>
      <c r="R1150" s="7" t="str">
        <f>IF('Port Bloomberg'!R1150="","",'Port Bloomberg'!R1150)</f>
        <v/>
      </c>
      <c r="S1150" s="5" t="str">
        <f>IF(E1150="","",IFERROR(IF(MATCH(E1150,[1]Instrumentos!$D:$D,0)&gt;0,1,0),0))</f>
        <v/>
      </c>
      <c r="T1150" s="5" t="str">
        <f>IF(E1150="","",IFERROR(IF(MATCH(E1150,'Lista de excepciones'!$E:$E,0)&gt;0,1,0),0))</f>
        <v/>
      </c>
      <c r="U1150" s="6" t="str">
        <f t="shared" si="18"/>
        <v/>
      </c>
    </row>
    <row r="1151" spans="1:21" hidden="1" x14ac:dyDescent="0.25">
      <c r="A1151" s="7" t="str">
        <f>IF('Port Bloomberg'!A1151="","",'Port Bloomberg'!A1151)</f>
        <v/>
      </c>
      <c r="B1151" s="7" t="str">
        <f>IF('Port Bloomberg'!B1151="","",'Port Bloomberg'!B1151)</f>
        <v/>
      </c>
      <c r="C1151" s="7" t="str">
        <f>IF('Port Bloomberg'!C1151="","",'Port Bloomberg'!C1151)</f>
        <v/>
      </c>
      <c r="D1151" s="7" t="str">
        <f>IF('Port Bloomberg'!D1151="","",'Port Bloomberg'!D1151)</f>
        <v/>
      </c>
      <c r="E1151" s="7" t="str">
        <f>IF('Port Bloomberg'!E1151="","",'Port Bloomberg'!E1151)</f>
        <v/>
      </c>
      <c r="F1151" s="7" t="str">
        <f>IF('Port Bloomberg'!F1151="","",'Port Bloomberg'!F1151)</f>
        <v/>
      </c>
      <c r="G1151" s="7" t="str">
        <f>IF('Port Bloomberg'!G1151="","",'Port Bloomberg'!G1151)</f>
        <v/>
      </c>
      <c r="H1151" s="7" t="str">
        <f>IF('Port Bloomberg'!H1151="","",'Port Bloomberg'!H1151)</f>
        <v/>
      </c>
      <c r="I1151" s="7" t="str">
        <f>IF('Port Bloomberg'!I1151="","",'Port Bloomberg'!I1151)</f>
        <v/>
      </c>
      <c r="J1151" s="7" t="str">
        <f>IF('Port Bloomberg'!J1151="","",'Port Bloomberg'!J1151)</f>
        <v/>
      </c>
      <c r="K1151" s="7" t="str">
        <f>IF('Port Bloomberg'!K1151="","",'Port Bloomberg'!K1151)</f>
        <v/>
      </c>
      <c r="L1151" s="7" t="str">
        <f>IF('Port Bloomberg'!L1151="","",'Port Bloomberg'!L1151)</f>
        <v/>
      </c>
      <c r="M1151" s="7" t="str">
        <f>IF('Port Bloomberg'!M1151="","",'Port Bloomberg'!M1151)</f>
        <v/>
      </c>
      <c r="N1151" s="7" t="str">
        <f>IF('Port Bloomberg'!N1151="","",'Port Bloomberg'!N1151)</f>
        <v/>
      </c>
      <c r="O1151" s="7" t="str">
        <f>IF('Port Bloomberg'!O1151="","",'Port Bloomberg'!O1151)</f>
        <v/>
      </c>
      <c r="P1151" s="7" t="str">
        <f>IF('Port Bloomberg'!P1151="","",'Port Bloomberg'!P1151)</f>
        <v/>
      </c>
      <c r="Q1151" s="7" t="str">
        <f>IF('Port Bloomberg'!Q1151="","",'Port Bloomberg'!Q1151)</f>
        <v/>
      </c>
      <c r="R1151" s="7" t="str">
        <f>IF('Port Bloomberg'!R1151="","",'Port Bloomberg'!R1151)</f>
        <v/>
      </c>
      <c r="S1151" s="5" t="str">
        <f>IF(E1151="","",IFERROR(IF(MATCH(E1151,[1]Instrumentos!$D:$D,0)&gt;0,1,0),0))</f>
        <v/>
      </c>
      <c r="T1151" s="5" t="str">
        <f>IF(E1151="","",IFERROR(IF(MATCH(E1151,'Lista de excepciones'!$E:$E,0)&gt;0,1,0),0))</f>
        <v/>
      </c>
      <c r="U1151" s="6" t="str">
        <f t="shared" si="18"/>
        <v/>
      </c>
    </row>
    <row r="1152" spans="1:21" hidden="1" x14ac:dyDescent="0.25">
      <c r="A1152" s="7" t="str">
        <f>IF('Port Bloomberg'!A1152="","",'Port Bloomberg'!A1152)</f>
        <v/>
      </c>
      <c r="B1152" s="7" t="str">
        <f>IF('Port Bloomberg'!B1152="","",'Port Bloomberg'!B1152)</f>
        <v/>
      </c>
      <c r="C1152" s="7" t="str">
        <f>IF('Port Bloomberg'!C1152="","",'Port Bloomberg'!C1152)</f>
        <v/>
      </c>
      <c r="D1152" s="7" t="str">
        <f>IF('Port Bloomberg'!D1152="","",'Port Bloomberg'!D1152)</f>
        <v/>
      </c>
      <c r="E1152" s="7" t="str">
        <f>IF('Port Bloomberg'!E1152="","",'Port Bloomberg'!E1152)</f>
        <v/>
      </c>
      <c r="F1152" s="7" t="str">
        <f>IF('Port Bloomberg'!F1152="","",'Port Bloomberg'!F1152)</f>
        <v/>
      </c>
      <c r="G1152" s="7" t="str">
        <f>IF('Port Bloomberg'!G1152="","",'Port Bloomberg'!G1152)</f>
        <v/>
      </c>
      <c r="H1152" s="7" t="str">
        <f>IF('Port Bloomberg'!H1152="","",'Port Bloomberg'!H1152)</f>
        <v/>
      </c>
      <c r="I1152" s="7" t="str">
        <f>IF('Port Bloomberg'!I1152="","",'Port Bloomberg'!I1152)</f>
        <v/>
      </c>
      <c r="J1152" s="7" t="str">
        <f>IF('Port Bloomberg'!J1152="","",'Port Bloomberg'!J1152)</f>
        <v/>
      </c>
      <c r="K1152" s="7" t="str">
        <f>IF('Port Bloomberg'!K1152="","",'Port Bloomberg'!K1152)</f>
        <v/>
      </c>
      <c r="L1152" s="7" t="str">
        <f>IF('Port Bloomberg'!L1152="","",'Port Bloomberg'!L1152)</f>
        <v/>
      </c>
      <c r="M1152" s="7" t="str">
        <f>IF('Port Bloomberg'!M1152="","",'Port Bloomberg'!M1152)</f>
        <v/>
      </c>
      <c r="N1152" s="7" t="str">
        <f>IF('Port Bloomberg'!N1152="","",'Port Bloomberg'!N1152)</f>
        <v/>
      </c>
      <c r="O1152" s="7" t="str">
        <f>IF('Port Bloomberg'!O1152="","",'Port Bloomberg'!O1152)</f>
        <v/>
      </c>
      <c r="P1152" s="7" t="str">
        <f>IF('Port Bloomberg'!P1152="","",'Port Bloomberg'!P1152)</f>
        <v/>
      </c>
      <c r="Q1152" s="7" t="str">
        <f>IF('Port Bloomberg'!Q1152="","",'Port Bloomberg'!Q1152)</f>
        <v/>
      </c>
      <c r="R1152" s="7" t="str">
        <f>IF('Port Bloomberg'!R1152="","",'Port Bloomberg'!R1152)</f>
        <v/>
      </c>
      <c r="S1152" s="5" t="str">
        <f>IF(E1152="","",IFERROR(IF(MATCH(E1152,[1]Instrumentos!$D:$D,0)&gt;0,1,0),0))</f>
        <v/>
      </c>
      <c r="T1152" s="5" t="str">
        <f>IF(E1152="","",IFERROR(IF(MATCH(E1152,'Lista de excepciones'!$E:$E,0)&gt;0,1,0),0))</f>
        <v/>
      </c>
      <c r="U1152" s="6" t="str">
        <f t="shared" si="18"/>
        <v/>
      </c>
    </row>
    <row r="1153" spans="1:21" hidden="1" x14ac:dyDescent="0.25">
      <c r="A1153" s="7" t="str">
        <f>IF('Port Bloomberg'!A1153="","",'Port Bloomberg'!A1153)</f>
        <v/>
      </c>
      <c r="B1153" s="7" t="str">
        <f>IF('Port Bloomberg'!B1153="","",'Port Bloomberg'!B1153)</f>
        <v/>
      </c>
      <c r="C1153" s="7" t="str">
        <f>IF('Port Bloomberg'!C1153="","",'Port Bloomberg'!C1153)</f>
        <v/>
      </c>
      <c r="D1153" s="7" t="str">
        <f>IF('Port Bloomberg'!D1153="","",'Port Bloomberg'!D1153)</f>
        <v/>
      </c>
      <c r="E1153" s="7" t="str">
        <f>IF('Port Bloomberg'!E1153="","",'Port Bloomberg'!E1153)</f>
        <v/>
      </c>
      <c r="F1153" s="7" t="str">
        <f>IF('Port Bloomberg'!F1153="","",'Port Bloomberg'!F1153)</f>
        <v/>
      </c>
      <c r="G1153" s="7" t="str">
        <f>IF('Port Bloomberg'!G1153="","",'Port Bloomberg'!G1153)</f>
        <v/>
      </c>
      <c r="H1153" s="7" t="str">
        <f>IF('Port Bloomberg'!H1153="","",'Port Bloomberg'!H1153)</f>
        <v/>
      </c>
      <c r="I1153" s="7" t="str">
        <f>IF('Port Bloomberg'!I1153="","",'Port Bloomberg'!I1153)</f>
        <v/>
      </c>
      <c r="J1153" s="7" t="str">
        <f>IF('Port Bloomberg'!J1153="","",'Port Bloomberg'!J1153)</f>
        <v/>
      </c>
      <c r="K1153" s="7" t="str">
        <f>IF('Port Bloomberg'!K1153="","",'Port Bloomberg'!K1153)</f>
        <v/>
      </c>
      <c r="L1153" s="7" t="str">
        <f>IF('Port Bloomberg'!L1153="","",'Port Bloomberg'!L1153)</f>
        <v/>
      </c>
      <c r="M1153" s="7" t="str">
        <f>IF('Port Bloomberg'!M1153="","",'Port Bloomberg'!M1153)</f>
        <v/>
      </c>
      <c r="N1153" s="7" t="str">
        <f>IF('Port Bloomberg'!N1153="","",'Port Bloomberg'!N1153)</f>
        <v/>
      </c>
      <c r="O1153" s="7" t="str">
        <f>IF('Port Bloomberg'!O1153="","",'Port Bloomberg'!O1153)</f>
        <v/>
      </c>
      <c r="P1153" s="7" t="str">
        <f>IF('Port Bloomberg'!P1153="","",'Port Bloomberg'!P1153)</f>
        <v/>
      </c>
      <c r="Q1153" s="7" t="str">
        <f>IF('Port Bloomberg'!Q1153="","",'Port Bloomberg'!Q1153)</f>
        <v/>
      </c>
      <c r="R1153" s="7" t="str">
        <f>IF('Port Bloomberg'!R1153="","",'Port Bloomberg'!R1153)</f>
        <v/>
      </c>
      <c r="S1153" s="5" t="str">
        <f>IF(E1153="","",IFERROR(IF(MATCH(E1153,[1]Instrumentos!$D:$D,0)&gt;0,1,0),0))</f>
        <v/>
      </c>
      <c r="T1153" s="5" t="str">
        <f>IF(E1153="","",IFERROR(IF(MATCH(E1153,'Lista de excepciones'!$E:$E,0)&gt;0,1,0),0))</f>
        <v/>
      </c>
      <c r="U1153" s="6" t="str">
        <f t="shared" si="18"/>
        <v/>
      </c>
    </row>
    <row r="1154" spans="1:21" hidden="1" x14ac:dyDescent="0.25">
      <c r="A1154" s="7" t="str">
        <f>IF('Port Bloomberg'!A1154="","",'Port Bloomberg'!A1154)</f>
        <v/>
      </c>
      <c r="B1154" s="7" t="str">
        <f>IF('Port Bloomberg'!B1154="","",'Port Bloomberg'!B1154)</f>
        <v/>
      </c>
      <c r="C1154" s="7" t="str">
        <f>IF('Port Bloomberg'!C1154="","",'Port Bloomberg'!C1154)</f>
        <v/>
      </c>
      <c r="D1154" s="7" t="str">
        <f>IF('Port Bloomberg'!D1154="","",'Port Bloomberg'!D1154)</f>
        <v/>
      </c>
      <c r="E1154" s="7" t="str">
        <f>IF('Port Bloomberg'!E1154="","",'Port Bloomberg'!E1154)</f>
        <v/>
      </c>
      <c r="F1154" s="7" t="str">
        <f>IF('Port Bloomberg'!F1154="","",'Port Bloomberg'!F1154)</f>
        <v/>
      </c>
      <c r="G1154" s="7" t="str">
        <f>IF('Port Bloomberg'!G1154="","",'Port Bloomberg'!G1154)</f>
        <v/>
      </c>
      <c r="H1154" s="7" t="str">
        <f>IF('Port Bloomberg'!H1154="","",'Port Bloomberg'!H1154)</f>
        <v/>
      </c>
      <c r="I1154" s="7" t="str">
        <f>IF('Port Bloomberg'!I1154="","",'Port Bloomberg'!I1154)</f>
        <v/>
      </c>
      <c r="J1154" s="7" t="str">
        <f>IF('Port Bloomberg'!J1154="","",'Port Bloomberg'!J1154)</f>
        <v/>
      </c>
      <c r="K1154" s="7" t="str">
        <f>IF('Port Bloomberg'!K1154="","",'Port Bloomberg'!K1154)</f>
        <v/>
      </c>
      <c r="L1154" s="7" t="str">
        <f>IF('Port Bloomberg'!L1154="","",'Port Bloomberg'!L1154)</f>
        <v/>
      </c>
      <c r="M1154" s="7" t="str">
        <f>IF('Port Bloomberg'!M1154="","",'Port Bloomberg'!M1154)</f>
        <v/>
      </c>
      <c r="N1154" s="7" t="str">
        <f>IF('Port Bloomberg'!N1154="","",'Port Bloomberg'!N1154)</f>
        <v/>
      </c>
      <c r="O1154" s="7" t="str">
        <f>IF('Port Bloomberg'!O1154="","",'Port Bloomberg'!O1154)</f>
        <v/>
      </c>
      <c r="P1154" s="7" t="str">
        <f>IF('Port Bloomberg'!P1154="","",'Port Bloomberg'!P1154)</f>
        <v/>
      </c>
      <c r="Q1154" s="7" t="str">
        <f>IF('Port Bloomberg'!Q1154="","",'Port Bloomberg'!Q1154)</f>
        <v/>
      </c>
      <c r="R1154" s="7" t="str">
        <f>IF('Port Bloomberg'!R1154="","",'Port Bloomberg'!R1154)</f>
        <v/>
      </c>
      <c r="S1154" s="5" t="str">
        <f>IF(E1154="","",IFERROR(IF(MATCH(E1154,[1]Instrumentos!$D:$D,0)&gt;0,1,0),0))</f>
        <v/>
      </c>
      <c r="T1154" s="5" t="str">
        <f>IF(E1154="","",IFERROR(IF(MATCH(E1154,'Lista de excepciones'!$E:$E,0)&gt;0,1,0),0))</f>
        <v/>
      </c>
      <c r="U1154" s="6" t="str">
        <f t="shared" si="18"/>
        <v/>
      </c>
    </row>
    <row r="1155" spans="1:21" hidden="1" x14ac:dyDescent="0.25">
      <c r="A1155" s="7" t="str">
        <f>IF('Port Bloomberg'!A1155="","",'Port Bloomberg'!A1155)</f>
        <v/>
      </c>
      <c r="B1155" s="7" t="str">
        <f>IF('Port Bloomberg'!B1155="","",'Port Bloomberg'!B1155)</f>
        <v/>
      </c>
      <c r="C1155" s="7" t="str">
        <f>IF('Port Bloomberg'!C1155="","",'Port Bloomberg'!C1155)</f>
        <v/>
      </c>
      <c r="D1155" s="7" t="str">
        <f>IF('Port Bloomberg'!D1155="","",'Port Bloomberg'!D1155)</f>
        <v/>
      </c>
      <c r="E1155" s="7" t="str">
        <f>IF('Port Bloomberg'!E1155="","",'Port Bloomberg'!E1155)</f>
        <v/>
      </c>
      <c r="F1155" s="7" t="str">
        <f>IF('Port Bloomberg'!F1155="","",'Port Bloomberg'!F1155)</f>
        <v/>
      </c>
      <c r="G1155" s="7" t="str">
        <f>IF('Port Bloomberg'!G1155="","",'Port Bloomberg'!G1155)</f>
        <v/>
      </c>
      <c r="H1155" s="7" t="str">
        <f>IF('Port Bloomberg'!H1155="","",'Port Bloomberg'!H1155)</f>
        <v/>
      </c>
      <c r="I1155" s="7" t="str">
        <f>IF('Port Bloomberg'!I1155="","",'Port Bloomberg'!I1155)</f>
        <v/>
      </c>
      <c r="J1155" s="7" t="str">
        <f>IF('Port Bloomberg'!J1155="","",'Port Bloomberg'!J1155)</f>
        <v/>
      </c>
      <c r="K1155" s="7" t="str">
        <f>IF('Port Bloomberg'!K1155="","",'Port Bloomberg'!K1155)</f>
        <v/>
      </c>
      <c r="L1155" s="7" t="str">
        <f>IF('Port Bloomberg'!L1155="","",'Port Bloomberg'!L1155)</f>
        <v/>
      </c>
      <c r="M1155" s="7" t="str">
        <f>IF('Port Bloomberg'!M1155="","",'Port Bloomberg'!M1155)</f>
        <v/>
      </c>
      <c r="N1155" s="7" t="str">
        <f>IF('Port Bloomberg'!N1155="","",'Port Bloomberg'!N1155)</f>
        <v/>
      </c>
      <c r="O1155" s="7" t="str">
        <f>IF('Port Bloomberg'!O1155="","",'Port Bloomberg'!O1155)</f>
        <v/>
      </c>
      <c r="P1155" s="7" t="str">
        <f>IF('Port Bloomberg'!P1155="","",'Port Bloomberg'!P1155)</f>
        <v/>
      </c>
      <c r="Q1155" s="7" t="str">
        <f>IF('Port Bloomberg'!Q1155="","",'Port Bloomberg'!Q1155)</f>
        <v/>
      </c>
      <c r="R1155" s="7" t="str">
        <f>IF('Port Bloomberg'!R1155="","",'Port Bloomberg'!R1155)</f>
        <v/>
      </c>
      <c r="S1155" s="5" t="str">
        <f>IF(E1155="","",IFERROR(IF(MATCH(E1155,[1]Instrumentos!$D:$D,0)&gt;0,1,0),0))</f>
        <v/>
      </c>
      <c r="T1155" s="5" t="str">
        <f>IF(E1155="","",IFERROR(IF(MATCH(E1155,'Lista de excepciones'!$E:$E,0)&gt;0,1,0),0))</f>
        <v/>
      </c>
      <c r="U1155" s="6" t="str">
        <f t="shared" ref="U1155:U1218" si="19">IF(E1155="","",IF(S1155+T1155=0,"AGREGAR/REVISAR","NO"))</f>
        <v/>
      </c>
    </row>
    <row r="1156" spans="1:21" hidden="1" x14ac:dyDescent="0.25">
      <c r="A1156" s="7" t="str">
        <f>IF('Port Bloomberg'!A1156="","",'Port Bloomberg'!A1156)</f>
        <v/>
      </c>
      <c r="B1156" s="7" t="str">
        <f>IF('Port Bloomberg'!B1156="","",'Port Bloomberg'!B1156)</f>
        <v/>
      </c>
      <c r="C1156" s="7" t="str">
        <f>IF('Port Bloomberg'!C1156="","",'Port Bloomberg'!C1156)</f>
        <v/>
      </c>
      <c r="D1156" s="7" t="str">
        <f>IF('Port Bloomberg'!D1156="","",'Port Bloomberg'!D1156)</f>
        <v/>
      </c>
      <c r="E1156" s="7" t="str">
        <f>IF('Port Bloomberg'!E1156="","",'Port Bloomberg'!E1156)</f>
        <v/>
      </c>
      <c r="F1156" s="7" t="str">
        <f>IF('Port Bloomberg'!F1156="","",'Port Bloomberg'!F1156)</f>
        <v/>
      </c>
      <c r="G1156" s="7" t="str">
        <f>IF('Port Bloomberg'!G1156="","",'Port Bloomberg'!G1156)</f>
        <v/>
      </c>
      <c r="H1156" s="7" t="str">
        <f>IF('Port Bloomberg'!H1156="","",'Port Bloomberg'!H1156)</f>
        <v/>
      </c>
      <c r="I1156" s="7" t="str">
        <f>IF('Port Bloomberg'!I1156="","",'Port Bloomberg'!I1156)</f>
        <v/>
      </c>
      <c r="J1156" s="7" t="str">
        <f>IF('Port Bloomberg'!J1156="","",'Port Bloomberg'!J1156)</f>
        <v/>
      </c>
      <c r="K1156" s="7" t="str">
        <f>IF('Port Bloomberg'!K1156="","",'Port Bloomberg'!K1156)</f>
        <v/>
      </c>
      <c r="L1156" s="7" t="str">
        <f>IF('Port Bloomberg'!L1156="","",'Port Bloomberg'!L1156)</f>
        <v/>
      </c>
      <c r="M1156" s="7" t="str">
        <f>IF('Port Bloomberg'!M1156="","",'Port Bloomberg'!M1156)</f>
        <v/>
      </c>
      <c r="N1156" s="7" t="str">
        <f>IF('Port Bloomberg'!N1156="","",'Port Bloomberg'!N1156)</f>
        <v/>
      </c>
      <c r="O1156" s="7" t="str">
        <f>IF('Port Bloomberg'!O1156="","",'Port Bloomberg'!O1156)</f>
        <v/>
      </c>
      <c r="P1156" s="7" t="str">
        <f>IF('Port Bloomberg'!P1156="","",'Port Bloomberg'!P1156)</f>
        <v/>
      </c>
      <c r="Q1156" s="7" t="str">
        <f>IF('Port Bloomberg'!Q1156="","",'Port Bloomberg'!Q1156)</f>
        <v/>
      </c>
      <c r="R1156" s="7" t="str">
        <f>IF('Port Bloomberg'!R1156="","",'Port Bloomberg'!R1156)</f>
        <v/>
      </c>
      <c r="S1156" s="5" t="str">
        <f>IF(E1156="","",IFERROR(IF(MATCH(E1156,[1]Instrumentos!$D:$D,0)&gt;0,1,0),0))</f>
        <v/>
      </c>
      <c r="T1156" s="5" t="str">
        <f>IF(E1156="","",IFERROR(IF(MATCH(E1156,'Lista de excepciones'!$E:$E,0)&gt;0,1,0),0))</f>
        <v/>
      </c>
      <c r="U1156" s="6" t="str">
        <f t="shared" si="19"/>
        <v/>
      </c>
    </row>
    <row r="1157" spans="1:21" hidden="1" x14ac:dyDescent="0.25">
      <c r="A1157" s="7" t="str">
        <f>IF('Port Bloomberg'!A1157="","",'Port Bloomberg'!A1157)</f>
        <v/>
      </c>
      <c r="B1157" s="7" t="str">
        <f>IF('Port Bloomberg'!B1157="","",'Port Bloomberg'!B1157)</f>
        <v/>
      </c>
      <c r="C1157" s="7" t="str">
        <f>IF('Port Bloomberg'!C1157="","",'Port Bloomberg'!C1157)</f>
        <v/>
      </c>
      <c r="D1157" s="7" t="str">
        <f>IF('Port Bloomberg'!D1157="","",'Port Bloomberg'!D1157)</f>
        <v/>
      </c>
      <c r="E1157" s="7" t="str">
        <f>IF('Port Bloomberg'!E1157="","",'Port Bloomberg'!E1157)</f>
        <v/>
      </c>
      <c r="F1157" s="7" t="str">
        <f>IF('Port Bloomberg'!F1157="","",'Port Bloomberg'!F1157)</f>
        <v/>
      </c>
      <c r="G1157" s="7" t="str">
        <f>IF('Port Bloomberg'!G1157="","",'Port Bloomberg'!G1157)</f>
        <v/>
      </c>
      <c r="H1157" s="7" t="str">
        <f>IF('Port Bloomberg'!H1157="","",'Port Bloomberg'!H1157)</f>
        <v/>
      </c>
      <c r="I1157" s="7" t="str">
        <f>IF('Port Bloomberg'!I1157="","",'Port Bloomberg'!I1157)</f>
        <v/>
      </c>
      <c r="J1157" s="7" t="str">
        <f>IF('Port Bloomberg'!J1157="","",'Port Bloomberg'!J1157)</f>
        <v/>
      </c>
      <c r="K1157" s="7" t="str">
        <f>IF('Port Bloomberg'!K1157="","",'Port Bloomberg'!K1157)</f>
        <v/>
      </c>
      <c r="L1157" s="7" t="str">
        <f>IF('Port Bloomberg'!L1157="","",'Port Bloomberg'!L1157)</f>
        <v/>
      </c>
      <c r="M1157" s="7" t="str">
        <f>IF('Port Bloomberg'!M1157="","",'Port Bloomberg'!M1157)</f>
        <v/>
      </c>
      <c r="N1157" s="7" t="str">
        <f>IF('Port Bloomberg'!N1157="","",'Port Bloomberg'!N1157)</f>
        <v/>
      </c>
      <c r="O1157" s="7" t="str">
        <f>IF('Port Bloomberg'!O1157="","",'Port Bloomberg'!O1157)</f>
        <v/>
      </c>
      <c r="P1157" s="7" t="str">
        <f>IF('Port Bloomberg'!P1157="","",'Port Bloomberg'!P1157)</f>
        <v/>
      </c>
      <c r="Q1157" s="7" t="str">
        <f>IF('Port Bloomberg'!Q1157="","",'Port Bloomberg'!Q1157)</f>
        <v/>
      </c>
      <c r="R1157" s="7" t="str">
        <f>IF('Port Bloomberg'!R1157="","",'Port Bloomberg'!R1157)</f>
        <v/>
      </c>
      <c r="S1157" s="5" t="str">
        <f>IF(E1157="","",IFERROR(IF(MATCH(E1157,[1]Instrumentos!$D:$D,0)&gt;0,1,0),0))</f>
        <v/>
      </c>
      <c r="T1157" s="5" t="str">
        <f>IF(E1157="","",IFERROR(IF(MATCH(E1157,'Lista de excepciones'!$E:$E,0)&gt;0,1,0),0))</f>
        <v/>
      </c>
      <c r="U1157" s="6" t="str">
        <f t="shared" si="19"/>
        <v/>
      </c>
    </row>
    <row r="1158" spans="1:21" hidden="1" x14ac:dyDescent="0.25">
      <c r="A1158" s="7" t="str">
        <f>IF('Port Bloomberg'!A1158="","",'Port Bloomberg'!A1158)</f>
        <v/>
      </c>
      <c r="B1158" s="7" t="str">
        <f>IF('Port Bloomberg'!B1158="","",'Port Bloomberg'!B1158)</f>
        <v/>
      </c>
      <c r="C1158" s="7" t="str">
        <f>IF('Port Bloomberg'!C1158="","",'Port Bloomberg'!C1158)</f>
        <v/>
      </c>
      <c r="D1158" s="7" t="str">
        <f>IF('Port Bloomberg'!D1158="","",'Port Bloomberg'!D1158)</f>
        <v/>
      </c>
      <c r="E1158" s="7" t="str">
        <f>IF('Port Bloomberg'!E1158="","",'Port Bloomberg'!E1158)</f>
        <v/>
      </c>
      <c r="F1158" s="7" t="str">
        <f>IF('Port Bloomberg'!F1158="","",'Port Bloomberg'!F1158)</f>
        <v/>
      </c>
      <c r="G1158" s="7" t="str">
        <f>IF('Port Bloomberg'!G1158="","",'Port Bloomberg'!G1158)</f>
        <v/>
      </c>
      <c r="H1158" s="7" t="str">
        <f>IF('Port Bloomberg'!H1158="","",'Port Bloomberg'!H1158)</f>
        <v/>
      </c>
      <c r="I1158" s="7" t="str">
        <f>IF('Port Bloomberg'!I1158="","",'Port Bloomberg'!I1158)</f>
        <v/>
      </c>
      <c r="J1158" s="7" t="str">
        <f>IF('Port Bloomberg'!J1158="","",'Port Bloomberg'!J1158)</f>
        <v/>
      </c>
      <c r="K1158" s="7" t="str">
        <f>IF('Port Bloomberg'!K1158="","",'Port Bloomberg'!K1158)</f>
        <v/>
      </c>
      <c r="L1158" s="7" t="str">
        <f>IF('Port Bloomberg'!L1158="","",'Port Bloomberg'!L1158)</f>
        <v/>
      </c>
      <c r="M1158" s="7" t="str">
        <f>IF('Port Bloomberg'!M1158="","",'Port Bloomberg'!M1158)</f>
        <v/>
      </c>
      <c r="N1158" s="7" t="str">
        <f>IF('Port Bloomberg'!N1158="","",'Port Bloomberg'!N1158)</f>
        <v/>
      </c>
      <c r="O1158" s="7" t="str">
        <f>IF('Port Bloomberg'!O1158="","",'Port Bloomberg'!O1158)</f>
        <v/>
      </c>
      <c r="P1158" s="7" t="str">
        <f>IF('Port Bloomberg'!P1158="","",'Port Bloomberg'!P1158)</f>
        <v/>
      </c>
      <c r="Q1158" s="7" t="str">
        <f>IF('Port Bloomberg'!Q1158="","",'Port Bloomberg'!Q1158)</f>
        <v/>
      </c>
      <c r="R1158" s="7" t="str">
        <f>IF('Port Bloomberg'!R1158="","",'Port Bloomberg'!R1158)</f>
        <v/>
      </c>
      <c r="S1158" s="5" t="str">
        <f>IF(E1158="","",IFERROR(IF(MATCH(E1158,[1]Instrumentos!$D:$D,0)&gt;0,1,0),0))</f>
        <v/>
      </c>
      <c r="T1158" s="5" t="str">
        <f>IF(E1158="","",IFERROR(IF(MATCH(E1158,'Lista de excepciones'!$E:$E,0)&gt;0,1,0),0))</f>
        <v/>
      </c>
      <c r="U1158" s="6" t="str">
        <f t="shared" si="19"/>
        <v/>
      </c>
    </row>
    <row r="1159" spans="1:21" hidden="1" x14ac:dyDescent="0.25">
      <c r="A1159" s="7" t="str">
        <f>IF('Port Bloomberg'!A1159="","",'Port Bloomberg'!A1159)</f>
        <v/>
      </c>
      <c r="B1159" s="7" t="str">
        <f>IF('Port Bloomberg'!B1159="","",'Port Bloomberg'!B1159)</f>
        <v/>
      </c>
      <c r="C1159" s="7" t="str">
        <f>IF('Port Bloomberg'!C1159="","",'Port Bloomberg'!C1159)</f>
        <v/>
      </c>
      <c r="D1159" s="7" t="str">
        <f>IF('Port Bloomberg'!D1159="","",'Port Bloomberg'!D1159)</f>
        <v/>
      </c>
      <c r="E1159" s="7" t="str">
        <f>IF('Port Bloomberg'!E1159="","",'Port Bloomberg'!E1159)</f>
        <v/>
      </c>
      <c r="F1159" s="7" t="str">
        <f>IF('Port Bloomberg'!F1159="","",'Port Bloomberg'!F1159)</f>
        <v/>
      </c>
      <c r="G1159" s="7" t="str">
        <f>IF('Port Bloomberg'!G1159="","",'Port Bloomberg'!G1159)</f>
        <v/>
      </c>
      <c r="H1159" s="7" t="str">
        <f>IF('Port Bloomberg'!H1159="","",'Port Bloomberg'!H1159)</f>
        <v/>
      </c>
      <c r="I1159" s="7" t="str">
        <f>IF('Port Bloomberg'!I1159="","",'Port Bloomberg'!I1159)</f>
        <v/>
      </c>
      <c r="J1159" s="7" t="str">
        <f>IF('Port Bloomberg'!J1159="","",'Port Bloomberg'!J1159)</f>
        <v/>
      </c>
      <c r="K1159" s="7" t="str">
        <f>IF('Port Bloomberg'!K1159="","",'Port Bloomberg'!K1159)</f>
        <v/>
      </c>
      <c r="L1159" s="7" t="str">
        <f>IF('Port Bloomberg'!L1159="","",'Port Bloomberg'!L1159)</f>
        <v/>
      </c>
      <c r="M1159" s="7" t="str">
        <f>IF('Port Bloomberg'!M1159="","",'Port Bloomberg'!M1159)</f>
        <v/>
      </c>
      <c r="N1159" s="7" t="str">
        <f>IF('Port Bloomberg'!N1159="","",'Port Bloomberg'!N1159)</f>
        <v/>
      </c>
      <c r="O1159" s="7" t="str">
        <f>IF('Port Bloomberg'!O1159="","",'Port Bloomberg'!O1159)</f>
        <v/>
      </c>
      <c r="P1159" s="7" t="str">
        <f>IF('Port Bloomberg'!P1159="","",'Port Bloomberg'!P1159)</f>
        <v/>
      </c>
      <c r="Q1159" s="7" t="str">
        <f>IF('Port Bloomberg'!Q1159="","",'Port Bloomberg'!Q1159)</f>
        <v/>
      </c>
      <c r="R1159" s="7" t="str">
        <f>IF('Port Bloomberg'!R1159="","",'Port Bloomberg'!R1159)</f>
        <v/>
      </c>
      <c r="S1159" s="5" t="str">
        <f>IF(E1159="","",IFERROR(IF(MATCH(E1159,[1]Instrumentos!$D:$D,0)&gt;0,1,0),0))</f>
        <v/>
      </c>
      <c r="T1159" s="5" t="str">
        <f>IF(E1159="","",IFERROR(IF(MATCH(E1159,'Lista de excepciones'!$E:$E,0)&gt;0,1,0),0))</f>
        <v/>
      </c>
      <c r="U1159" s="6" t="str">
        <f t="shared" si="19"/>
        <v/>
      </c>
    </row>
    <row r="1160" spans="1:21" hidden="1" x14ac:dyDescent="0.25">
      <c r="A1160" s="7" t="str">
        <f>IF('Port Bloomberg'!A1160="","",'Port Bloomberg'!A1160)</f>
        <v/>
      </c>
      <c r="B1160" s="7" t="str">
        <f>IF('Port Bloomberg'!B1160="","",'Port Bloomberg'!B1160)</f>
        <v/>
      </c>
      <c r="C1160" s="7" t="str">
        <f>IF('Port Bloomberg'!C1160="","",'Port Bloomberg'!C1160)</f>
        <v/>
      </c>
      <c r="D1160" s="7" t="str">
        <f>IF('Port Bloomberg'!D1160="","",'Port Bloomberg'!D1160)</f>
        <v/>
      </c>
      <c r="E1160" s="7" t="str">
        <f>IF('Port Bloomberg'!E1160="","",'Port Bloomberg'!E1160)</f>
        <v/>
      </c>
      <c r="F1160" s="7" t="str">
        <f>IF('Port Bloomberg'!F1160="","",'Port Bloomberg'!F1160)</f>
        <v/>
      </c>
      <c r="G1160" s="7" t="str">
        <f>IF('Port Bloomberg'!G1160="","",'Port Bloomberg'!G1160)</f>
        <v/>
      </c>
      <c r="H1160" s="7" t="str">
        <f>IF('Port Bloomberg'!H1160="","",'Port Bloomberg'!H1160)</f>
        <v/>
      </c>
      <c r="I1160" s="7" t="str">
        <f>IF('Port Bloomberg'!I1160="","",'Port Bloomberg'!I1160)</f>
        <v/>
      </c>
      <c r="J1160" s="7" t="str">
        <f>IF('Port Bloomberg'!J1160="","",'Port Bloomberg'!J1160)</f>
        <v/>
      </c>
      <c r="K1160" s="7" t="str">
        <f>IF('Port Bloomberg'!K1160="","",'Port Bloomberg'!K1160)</f>
        <v/>
      </c>
      <c r="L1160" s="7" t="str">
        <f>IF('Port Bloomberg'!L1160="","",'Port Bloomberg'!L1160)</f>
        <v/>
      </c>
      <c r="M1160" s="7" t="str">
        <f>IF('Port Bloomberg'!M1160="","",'Port Bloomberg'!M1160)</f>
        <v/>
      </c>
      <c r="N1160" s="7" t="str">
        <f>IF('Port Bloomberg'!N1160="","",'Port Bloomberg'!N1160)</f>
        <v/>
      </c>
      <c r="O1160" s="7" t="str">
        <f>IF('Port Bloomberg'!O1160="","",'Port Bloomberg'!O1160)</f>
        <v/>
      </c>
      <c r="P1160" s="7" t="str">
        <f>IF('Port Bloomberg'!P1160="","",'Port Bloomberg'!P1160)</f>
        <v/>
      </c>
      <c r="Q1160" s="7" t="str">
        <f>IF('Port Bloomberg'!Q1160="","",'Port Bloomberg'!Q1160)</f>
        <v/>
      </c>
      <c r="R1160" s="7" t="str">
        <f>IF('Port Bloomberg'!R1160="","",'Port Bloomberg'!R1160)</f>
        <v/>
      </c>
      <c r="S1160" s="5" t="str">
        <f>IF(E1160="","",IFERROR(IF(MATCH(E1160,[1]Instrumentos!$D:$D,0)&gt;0,1,0),0))</f>
        <v/>
      </c>
      <c r="T1160" s="5" t="str">
        <f>IF(E1160="","",IFERROR(IF(MATCH(E1160,'Lista de excepciones'!$E:$E,0)&gt;0,1,0),0))</f>
        <v/>
      </c>
      <c r="U1160" s="6" t="str">
        <f t="shared" si="19"/>
        <v/>
      </c>
    </row>
    <row r="1161" spans="1:21" hidden="1" x14ac:dyDescent="0.25">
      <c r="A1161" s="7" t="str">
        <f>IF('Port Bloomberg'!A1161="","",'Port Bloomberg'!A1161)</f>
        <v/>
      </c>
      <c r="B1161" s="7" t="str">
        <f>IF('Port Bloomberg'!B1161="","",'Port Bloomberg'!B1161)</f>
        <v/>
      </c>
      <c r="C1161" s="7" t="str">
        <f>IF('Port Bloomberg'!C1161="","",'Port Bloomberg'!C1161)</f>
        <v/>
      </c>
      <c r="D1161" s="7" t="str">
        <f>IF('Port Bloomberg'!D1161="","",'Port Bloomberg'!D1161)</f>
        <v/>
      </c>
      <c r="E1161" s="7" t="str">
        <f>IF('Port Bloomberg'!E1161="","",'Port Bloomberg'!E1161)</f>
        <v/>
      </c>
      <c r="F1161" s="7" t="str">
        <f>IF('Port Bloomberg'!F1161="","",'Port Bloomberg'!F1161)</f>
        <v/>
      </c>
      <c r="G1161" s="7" t="str">
        <f>IF('Port Bloomberg'!G1161="","",'Port Bloomberg'!G1161)</f>
        <v/>
      </c>
      <c r="H1161" s="7" t="str">
        <f>IF('Port Bloomberg'!H1161="","",'Port Bloomberg'!H1161)</f>
        <v/>
      </c>
      <c r="I1161" s="7" t="str">
        <f>IF('Port Bloomberg'!I1161="","",'Port Bloomberg'!I1161)</f>
        <v/>
      </c>
      <c r="J1161" s="7" t="str">
        <f>IF('Port Bloomberg'!J1161="","",'Port Bloomberg'!J1161)</f>
        <v/>
      </c>
      <c r="K1161" s="7" t="str">
        <f>IF('Port Bloomberg'!K1161="","",'Port Bloomberg'!K1161)</f>
        <v/>
      </c>
      <c r="L1161" s="7" t="str">
        <f>IF('Port Bloomberg'!L1161="","",'Port Bloomberg'!L1161)</f>
        <v/>
      </c>
      <c r="M1161" s="7" t="str">
        <f>IF('Port Bloomberg'!M1161="","",'Port Bloomberg'!M1161)</f>
        <v/>
      </c>
      <c r="N1161" s="7" t="str">
        <f>IF('Port Bloomberg'!N1161="","",'Port Bloomberg'!N1161)</f>
        <v/>
      </c>
      <c r="O1161" s="7" t="str">
        <f>IF('Port Bloomberg'!O1161="","",'Port Bloomberg'!O1161)</f>
        <v/>
      </c>
      <c r="P1161" s="7" t="str">
        <f>IF('Port Bloomberg'!P1161="","",'Port Bloomberg'!P1161)</f>
        <v/>
      </c>
      <c r="Q1161" s="7" t="str">
        <f>IF('Port Bloomberg'!Q1161="","",'Port Bloomberg'!Q1161)</f>
        <v/>
      </c>
      <c r="R1161" s="7" t="str">
        <f>IF('Port Bloomberg'!R1161="","",'Port Bloomberg'!R1161)</f>
        <v/>
      </c>
      <c r="S1161" s="5" t="str">
        <f>IF(E1161="","",IFERROR(IF(MATCH(E1161,[1]Instrumentos!$D:$D,0)&gt;0,1,0),0))</f>
        <v/>
      </c>
      <c r="T1161" s="5" t="str">
        <f>IF(E1161="","",IFERROR(IF(MATCH(E1161,'Lista de excepciones'!$E:$E,0)&gt;0,1,0),0))</f>
        <v/>
      </c>
      <c r="U1161" s="6" t="str">
        <f t="shared" si="19"/>
        <v/>
      </c>
    </row>
    <row r="1162" spans="1:21" hidden="1" x14ac:dyDescent="0.25">
      <c r="A1162" s="7" t="str">
        <f>IF('Port Bloomberg'!A1162="","",'Port Bloomberg'!A1162)</f>
        <v/>
      </c>
      <c r="B1162" s="7" t="str">
        <f>IF('Port Bloomberg'!B1162="","",'Port Bloomberg'!B1162)</f>
        <v/>
      </c>
      <c r="C1162" s="7" t="str">
        <f>IF('Port Bloomberg'!C1162="","",'Port Bloomberg'!C1162)</f>
        <v/>
      </c>
      <c r="D1162" s="7" t="str">
        <f>IF('Port Bloomberg'!D1162="","",'Port Bloomberg'!D1162)</f>
        <v/>
      </c>
      <c r="E1162" s="7" t="str">
        <f>IF('Port Bloomberg'!E1162="","",'Port Bloomberg'!E1162)</f>
        <v/>
      </c>
      <c r="F1162" s="7" t="str">
        <f>IF('Port Bloomberg'!F1162="","",'Port Bloomberg'!F1162)</f>
        <v/>
      </c>
      <c r="G1162" s="7" t="str">
        <f>IF('Port Bloomberg'!G1162="","",'Port Bloomberg'!G1162)</f>
        <v/>
      </c>
      <c r="H1162" s="7" t="str">
        <f>IF('Port Bloomberg'!H1162="","",'Port Bloomberg'!H1162)</f>
        <v/>
      </c>
      <c r="I1162" s="7" t="str">
        <f>IF('Port Bloomberg'!I1162="","",'Port Bloomberg'!I1162)</f>
        <v/>
      </c>
      <c r="J1162" s="7" t="str">
        <f>IF('Port Bloomberg'!J1162="","",'Port Bloomberg'!J1162)</f>
        <v/>
      </c>
      <c r="K1162" s="7" t="str">
        <f>IF('Port Bloomberg'!K1162="","",'Port Bloomberg'!K1162)</f>
        <v/>
      </c>
      <c r="L1162" s="7" t="str">
        <f>IF('Port Bloomberg'!L1162="","",'Port Bloomberg'!L1162)</f>
        <v/>
      </c>
      <c r="M1162" s="7" t="str">
        <f>IF('Port Bloomberg'!M1162="","",'Port Bloomberg'!M1162)</f>
        <v/>
      </c>
      <c r="N1162" s="7" t="str">
        <f>IF('Port Bloomberg'!N1162="","",'Port Bloomberg'!N1162)</f>
        <v/>
      </c>
      <c r="O1162" s="7" t="str">
        <f>IF('Port Bloomberg'!O1162="","",'Port Bloomberg'!O1162)</f>
        <v/>
      </c>
      <c r="P1162" s="7" t="str">
        <f>IF('Port Bloomberg'!P1162="","",'Port Bloomberg'!P1162)</f>
        <v/>
      </c>
      <c r="Q1162" s="7" t="str">
        <f>IF('Port Bloomberg'!Q1162="","",'Port Bloomberg'!Q1162)</f>
        <v/>
      </c>
      <c r="R1162" s="7" t="str">
        <f>IF('Port Bloomberg'!R1162="","",'Port Bloomberg'!R1162)</f>
        <v/>
      </c>
      <c r="S1162" s="5" t="str">
        <f>IF(E1162="","",IFERROR(IF(MATCH(E1162,[1]Instrumentos!$D:$D,0)&gt;0,1,0),0))</f>
        <v/>
      </c>
      <c r="T1162" s="5" t="str">
        <f>IF(E1162="","",IFERROR(IF(MATCH(E1162,'Lista de excepciones'!$E:$E,0)&gt;0,1,0),0))</f>
        <v/>
      </c>
      <c r="U1162" s="6" t="str">
        <f t="shared" si="19"/>
        <v/>
      </c>
    </row>
    <row r="1163" spans="1:21" hidden="1" x14ac:dyDescent="0.25">
      <c r="A1163" s="7" t="str">
        <f>IF('Port Bloomberg'!A1163="","",'Port Bloomberg'!A1163)</f>
        <v/>
      </c>
      <c r="B1163" s="7" t="str">
        <f>IF('Port Bloomberg'!B1163="","",'Port Bloomberg'!B1163)</f>
        <v/>
      </c>
      <c r="C1163" s="7" t="str">
        <f>IF('Port Bloomberg'!C1163="","",'Port Bloomberg'!C1163)</f>
        <v/>
      </c>
      <c r="D1163" s="7" t="str">
        <f>IF('Port Bloomberg'!D1163="","",'Port Bloomberg'!D1163)</f>
        <v/>
      </c>
      <c r="E1163" s="7" t="str">
        <f>IF('Port Bloomberg'!E1163="","",'Port Bloomberg'!E1163)</f>
        <v/>
      </c>
      <c r="F1163" s="7" t="str">
        <f>IF('Port Bloomberg'!F1163="","",'Port Bloomberg'!F1163)</f>
        <v/>
      </c>
      <c r="G1163" s="7" t="str">
        <f>IF('Port Bloomberg'!G1163="","",'Port Bloomberg'!G1163)</f>
        <v/>
      </c>
      <c r="H1163" s="7" t="str">
        <f>IF('Port Bloomberg'!H1163="","",'Port Bloomberg'!H1163)</f>
        <v/>
      </c>
      <c r="I1163" s="7" t="str">
        <f>IF('Port Bloomberg'!I1163="","",'Port Bloomberg'!I1163)</f>
        <v/>
      </c>
      <c r="J1163" s="7" t="str">
        <f>IF('Port Bloomberg'!J1163="","",'Port Bloomberg'!J1163)</f>
        <v/>
      </c>
      <c r="K1163" s="7" t="str">
        <f>IF('Port Bloomberg'!K1163="","",'Port Bloomberg'!K1163)</f>
        <v/>
      </c>
      <c r="L1163" s="7" t="str">
        <f>IF('Port Bloomberg'!L1163="","",'Port Bloomberg'!L1163)</f>
        <v/>
      </c>
      <c r="M1163" s="7" t="str">
        <f>IF('Port Bloomberg'!M1163="","",'Port Bloomberg'!M1163)</f>
        <v/>
      </c>
      <c r="N1163" s="7" t="str">
        <f>IF('Port Bloomberg'!N1163="","",'Port Bloomberg'!N1163)</f>
        <v/>
      </c>
      <c r="O1163" s="7" t="str">
        <f>IF('Port Bloomberg'!O1163="","",'Port Bloomberg'!O1163)</f>
        <v/>
      </c>
      <c r="P1163" s="7" t="str">
        <f>IF('Port Bloomberg'!P1163="","",'Port Bloomberg'!P1163)</f>
        <v/>
      </c>
      <c r="Q1163" s="7" t="str">
        <f>IF('Port Bloomberg'!Q1163="","",'Port Bloomberg'!Q1163)</f>
        <v/>
      </c>
      <c r="R1163" s="7" t="str">
        <f>IF('Port Bloomberg'!R1163="","",'Port Bloomberg'!R1163)</f>
        <v/>
      </c>
      <c r="S1163" s="5" t="str">
        <f>IF(E1163="","",IFERROR(IF(MATCH(E1163,[1]Instrumentos!$D:$D,0)&gt;0,1,0),0))</f>
        <v/>
      </c>
      <c r="T1163" s="5" t="str">
        <f>IF(E1163="","",IFERROR(IF(MATCH(E1163,'Lista de excepciones'!$E:$E,0)&gt;0,1,0),0))</f>
        <v/>
      </c>
      <c r="U1163" s="6" t="str">
        <f t="shared" si="19"/>
        <v/>
      </c>
    </row>
    <row r="1164" spans="1:21" hidden="1" x14ac:dyDescent="0.25">
      <c r="A1164" s="7" t="str">
        <f>IF('Port Bloomberg'!A1164="","",'Port Bloomberg'!A1164)</f>
        <v/>
      </c>
      <c r="B1164" s="7" t="str">
        <f>IF('Port Bloomberg'!B1164="","",'Port Bloomberg'!B1164)</f>
        <v/>
      </c>
      <c r="C1164" s="7" t="str">
        <f>IF('Port Bloomberg'!C1164="","",'Port Bloomberg'!C1164)</f>
        <v/>
      </c>
      <c r="D1164" s="7" t="str">
        <f>IF('Port Bloomberg'!D1164="","",'Port Bloomberg'!D1164)</f>
        <v/>
      </c>
      <c r="E1164" s="7" t="str">
        <f>IF('Port Bloomberg'!E1164="","",'Port Bloomberg'!E1164)</f>
        <v/>
      </c>
      <c r="F1164" s="7" t="str">
        <f>IF('Port Bloomberg'!F1164="","",'Port Bloomberg'!F1164)</f>
        <v/>
      </c>
      <c r="G1164" s="7" t="str">
        <f>IF('Port Bloomberg'!G1164="","",'Port Bloomberg'!G1164)</f>
        <v/>
      </c>
      <c r="H1164" s="7" t="str">
        <f>IF('Port Bloomberg'!H1164="","",'Port Bloomberg'!H1164)</f>
        <v/>
      </c>
      <c r="I1164" s="7" t="str">
        <f>IF('Port Bloomberg'!I1164="","",'Port Bloomberg'!I1164)</f>
        <v/>
      </c>
      <c r="J1164" s="7" t="str">
        <f>IF('Port Bloomberg'!J1164="","",'Port Bloomberg'!J1164)</f>
        <v/>
      </c>
      <c r="K1164" s="7" t="str">
        <f>IF('Port Bloomberg'!K1164="","",'Port Bloomberg'!K1164)</f>
        <v/>
      </c>
      <c r="L1164" s="7" t="str">
        <f>IF('Port Bloomberg'!L1164="","",'Port Bloomberg'!L1164)</f>
        <v/>
      </c>
      <c r="M1164" s="7" t="str">
        <f>IF('Port Bloomberg'!M1164="","",'Port Bloomberg'!M1164)</f>
        <v/>
      </c>
      <c r="N1164" s="7" t="str">
        <f>IF('Port Bloomberg'!N1164="","",'Port Bloomberg'!N1164)</f>
        <v/>
      </c>
      <c r="O1164" s="7" t="str">
        <f>IF('Port Bloomberg'!O1164="","",'Port Bloomberg'!O1164)</f>
        <v/>
      </c>
      <c r="P1164" s="7" t="str">
        <f>IF('Port Bloomberg'!P1164="","",'Port Bloomberg'!P1164)</f>
        <v/>
      </c>
      <c r="Q1164" s="7" t="str">
        <f>IF('Port Bloomberg'!Q1164="","",'Port Bloomberg'!Q1164)</f>
        <v/>
      </c>
      <c r="R1164" s="7" t="str">
        <f>IF('Port Bloomberg'!R1164="","",'Port Bloomberg'!R1164)</f>
        <v/>
      </c>
      <c r="S1164" s="5" t="str">
        <f>IF(E1164="","",IFERROR(IF(MATCH(E1164,[1]Instrumentos!$D:$D,0)&gt;0,1,0),0))</f>
        <v/>
      </c>
      <c r="T1164" s="5" t="str">
        <f>IF(E1164="","",IFERROR(IF(MATCH(E1164,'Lista de excepciones'!$E:$E,0)&gt;0,1,0),0))</f>
        <v/>
      </c>
      <c r="U1164" s="6" t="str">
        <f t="shared" si="19"/>
        <v/>
      </c>
    </row>
    <row r="1165" spans="1:21" hidden="1" x14ac:dyDescent="0.25">
      <c r="A1165" s="7" t="str">
        <f>IF('Port Bloomberg'!A1165="","",'Port Bloomberg'!A1165)</f>
        <v/>
      </c>
      <c r="B1165" s="7" t="str">
        <f>IF('Port Bloomberg'!B1165="","",'Port Bloomberg'!B1165)</f>
        <v/>
      </c>
      <c r="C1165" s="7" t="str">
        <f>IF('Port Bloomberg'!C1165="","",'Port Bloomberg'!C1165)</f>
        <v/>
      </c>
      <c r="D1165" s="7" t="str">
        <f>IF('Port Bloomberg'!D1165="","",'Port Bloomberg'!D1165)</f>
        <v/>
      </c>
      <c r="E1165" s="7" t="str">
        <f>IF('Port Bloomberg'!E1165="","",'Port Bloomberg'!E1165)</f>
        <v/>
      </c>
      <c r="F1165" s="7" t="str">
        <f>IF('Port Bloomberg'!F1165="","",'Port Bloomberg'!F1165)</f>
        <v/>
      </c>
      <c r="G1165" s="7" t="str">
        <f>IF('Port Bloomberg'!G1165="","",'Port Bloomberg'!G1165)</f>
        <v/>
      </c>
      <c r="H1165" s="7" t="str">
        <f>IF('Port Bloomberg'!H1165="","",'Port Bloomberg'!H1165)</f>
        <v/>
      </c>
      <c r="I1165" s="7" t="str">
        <f>IF('Port Bloomberg'!I1165="","",'Port Bloomberg'!I1165)</f>
        <v/>
      </c>
      <c r="J1165" s="7" t="str">
        <f>IF('Port Bloomberg'!J1165="","",'Port Bloomberg'!J1165)</f>
        <v/>
      </c>
      <c r="K1165" s="7" t="str">
        <f>IF('Port Bloomberg'!K1165="","",'Port Bloomberg'!K1165)</f>
        <v/>
      </c>
      <c r="L1165" s="7" t="str">
        <f>IF('Port Bloomberg'!L1165="","",'Port Bloomberg'!L1165)</f>
        <v/>
      </c>
      <c r="M1165" s="7" t="str">
        <f>IF('Port Bloomberg'!M1165="","",'Port Bloomberg'!M1165)</f>
        <v/>
      </c>
      <c r="N1165" s="7" t="str">
        <f>IF('Port Bloomberg'!N1165="","",'Port Bloomberg'!N1165)</f>
        <v/>
      </c>
      <c r="O1165" s="7" t="str">
        <f>IF('Port Bloomberg'!O1165="","",'Port Bloomberg'!O1165)</f>
        <v/>
      </c>
      <c r="P1165" s="7" t="str">
        <f>IF('Port Bloomberg'!P1165="","",'Port Bloomberg'!P1165)</f>
        <v/>
      </c>
      <c r="Q1165" s="7" t="str">
        <f>IF('Port Bloomberg'!Q1165="","",'Port Bloomberg'!Q1165)</f>
        <v/>
      </c>
      <c r="R1165" s="7" t="str">
        <f>IF('Port Bloomberg'!R1165="","",'Port Bloomberg'!R1165)</f>
        <v/>
      </c>
      <c r="S1165" s="5" t="str">
        <f>IF(E1165="","",IFERROR(IF(MATCH(E1165,[1]Instrumentos!$D:$D,0)&gt;0,1,0),0))</f>
        <v/>
      </c>
      <c r="T1165" s="5" t="str">
        <f>IF(E1165="","",IFERROR(IF(MATCH(E1165,'Lista de excepciones'!$E:$E,0)&gt;0,1,0),0))</f>
        <v/>
      </c>
      <c r="U1165" s="6" t="str">
        <f t="shared" si="19"/>
        <v/>
      </c>
    </row>
    <row r="1166" spans="1:21" hidden="1" x14ac:dyDescent="0.25">
      <c r="A1166" s="7" t="str">
        <f>IF('Port Bloomberg'!A1166="","",'Port Bloomberg'!A1166)</f>
        <v/>
      </c>
      <c r="B1166" s="7" t="str">
        <f>IF('Port Bloomberg'!B1166="","",'Port Bloomberg'!B1166)</f>
        <v/>
      </c>
      <c r="C1166" s="7" t="str">
        <f>IF('Port Bloomberg'!C1166="","",'Port Bloomberg'!C1166)</f>
        <v/>
      </c>
      <c r="D1166" s="7" t="str">
        <f>IF('Port Bloomberg'!D1166="","",'Port Bloomberg'!D1166)</f>
        <v/>
      </c>
      <c r="E1166" s="7" t="str">
        <f>IF('Port Bloomberg'!E1166="","",'Port Bloomberg'!E1166)</f>
        <v/>
      </c>
      <c r="F1166" s="7" t="str">
        <f>IF('Port Bloomberg'!F1166="","",'Port Bloomberg'!F1166)</f>
        <v/>
      </c>
      <c r="G1166" s="7" t="str">
        <f>IF('Port Bloomberg'!G1166="","",'Port Bloomberg'!G1166)</f>
        <v/>
      </c>
      <c r="H1166" s="7" t="str">
        <f>IF('Port Bloomberg'!H1166="","",'Port Bloomberg'!H1166)</f>
        <v/>
      </c>
      <c r="I1166" s="7" t="str">
        <f>IF('Port Bloomberg'!I1166="","",'Port Bloomberg'!I1166)</f>
        <v/>
      </c>
      <c r="J1166" s="7" t="str">
        <f>IF('Port Bloomberg'!J1166="","",'Port Bloomberg'!J1166)</f>
        <v/>
      </c>
      <c r="K1166" s="7" t="str">
        <f>IF('Port Bloomberg'!K1166="","",'Port Bloomberg'!K1166)</f>
        <v/>
      </c>
      <c r="L1166" s="7" t="str">
        <f>IF('Port Bloomberg'!L1166="","",'Port Bloomberg'!L1166)</f>
        <v/>
      </c>
      <c r="M1166" s="7" t="str">
        <f>IF('Port Bloomberg'!M1166="","",'Port Bloomberg'!M1166)</f>
        <v/>
      </c>
      <c r="N1166" s="7" t="str">
        <f>IF('Port Bloomberg'!N1166="","",'Port Bloomberg'!N1166)</f>
        <v/>
      </c>
      <c r="O1166" s="7" t="str">
        <f>IF('Port Bloomberg'!O1166="","",'Port Bloomberg'!O1166)</f>
        <v/>
      </c>
      <c r="P1166" s="7" t="str">
        <f>IF('Port Bloomberg'!P1166="","",'Port Bloomberg'!P1166)</f>
        <v/>
      </c>
      <c r="Q1166" s="7" t="str">
        <f>IF('Port Bloomberg'!Q1166="","",'Port Bloomberg'!Q1166)</f>
        <v/>
      </c>
      <c r="R1166" s="7" t="str">
        <f>IF('Port Bloomberg'!R1166="","",'Port Bloomberg'!R1166)</f>
        <v/>
      </c>
      <c r="S1166" s="5" t="str">
        <f>IF(E1166="","",IFERROR(IF(MATCH(E1166,[1]Instrumentos!$D:$D,0)&gt;0,1,0),0))</f>
        <v/>
      </c>
      <c r="T1166" s="5" t="str">
        <f>IF(E1166="","",IFERROR(IF(MATCH(E1166,'Lista de excepciones'!$E:$E,0)&gt;0,1,0),0))</f>
        <v/>
      </c>
      <c r="U1166" s="6" t="str">
        <f t="shared" si="19"/>
        <v/>
      </c>
    </row>
    <row r="1167" spans="1:21" hidden="1" x14ac:dyDescent="0.25">
      <c r="A1167" s="7" t="str">
        <f>IF('Port Bloomberg'!A1167="","",'Port Bloomberg'!A1167)</f>
        <v/>
      </c>
      <c r="B1167" s="7" t="str">
        <f>IF('Port Bloomberg'!B1167="","",'Port Bloomberg'!B1167)</f>
        <v/>
      </c>
      <c r="C1167" s="7" t="str">
        <f>IF('Port Bloomberg'!C1167="","",'Port Bloomberg'!C1167)</f>
        <v/>
      </c>
      <c r="D1167" s="7" t="str">
        <f>IF('Port Bloomberg'!D1167="","",'Port Bloomberg'!D1167)</f>
        <v/>
      </c>
      <c r="E1167" s="7" t="str">
        <f>IF('Port Bloomberg'!E1167="","",'Port Bloomberg'!E1167)</f>
        <v/>
      </c>
      <c r="F1167" s="7" t="str">
        <f>IF('Port Bloomberg'!F1167="","",'Port Bloomberg'!F1167)</f>
        <v/>
      </c>
      <c r="G1167" s="7" t="str">
        <f>IF('Port Bloomberg'!G1167="","",'Port Bloomberg'!G1167)</f>
        <v/>
      </c>
      <c r="H1167" s="7" t="str">
        <f>IF('Port Bloomberg'!H1167="","",'Port Bloomberg'!H1167)</f>
        <v/>
      </c>
      <c r="I1167" s="7" t="str">
        <f>IF('Port Bloomberg'!I1167="","",'Port Bloomberg'!I1167)</f>
        <v/>
      </c>
      <c r="J1167" s="7" t="str">
        <f>IF('Port Bloomberg'!J1167="","",'Port Bloomberg'!J1167)</f>
        <v/>
      </c>
      <c r="K1167" s="7" t="str">
        <f>IF('Port Bloomberg'!K1167="","",'Port Bloomberg'!K1167)</f>
        <v/>
      </c>
      <c r="L1167" s="7" t="str">
        <f>IF('Port Bloomberg'!L1167="","",'Port Bloomberg'!L1167)</f>
        <v/>
      </c>
      <c r="M1167" s="7" t="str">
        <f>IF('Port Bloomberg'!M1167="","",'Port Bloomberg'!M1167)</f>
        <v/>
      </c>
      <c r="N1167" s="7" t="str">
        <f>IF('Port Bloomberg'!N1167="","",'Port Bloomberg'!N1167)</f>
        <v/>
      </c>
      <c r="O1167" s="7" t="str">
        <f>IF('Port Bloomberg'!O1167="","",'Port Bloomberg'!O1167)</f>
        <v/>
      </c>
      <c r="P1167" s="7" t="str">
        <f>IF('Port Bloomberg'!P1167="","",'Port Bloomberg'!P1167)</f>
        <v/>
      </c>
      <c r="Q1167" s="7" t="str">
        <f>IF('Port Bloomberg'!Q1167="","",'Port Bloomberg'!Q1167)</f>
        <v/>
      </c>
      <c r="R1167" s="7" t="str">
        <f>IF('Port Bloomberg'!R1167="","",'Port Bloomberg'!R1167)</f>
        <v/>
      </c>
      <c r="S1167" s="5" t="str">
        <f>IF(E1167="","",IFERROR(IF(MATCH(E1167,[1]Instrumentos!$D:$D,0)&gt;0,1,0),0))</f>
        <v/>
      </c>
      <c r="T1167" s="5" t="str">
        <f>IF(E1167="","",IFERROR(IF(MATCH(E1167,'Lista de excepciones'!$E:$E,0)&gt;0,1,0),0))</f>
        <v/>
      </c>
      <c r="U1167" s="6" t="str">
        <f t="shared" si="19"/>
        <v/>
      </c>
    </row>
    <row r="1168" spans="1:21" hidden="1" x14ac:dyDescent="0.25">
      <c r="A1168" s="7" t="str">
        <f>IF('Port Bloomberg'!A1168="","",'Port Bloomberg'!A1168)</f>
        <v/>
      </c>
      <c r="B1168" s="7" t="str">
        <f>IF('Port Bloomberg'!B1168="","",'Port Bloomberg'!B1168)</f>
        <v/>
      </c>
      <c r="C1168" s="7" t="str">
        <f>IF('Port Bloomberg'!C1168="","",'Port Bloomberg'!C1168)</f>
        <v/>
      </c>
      <c r="D1168" s="7" t="str">
        <f>IF('Port Bloomberg'!D1168="","",'Port Bloomberg'!D1168)</f>
        <v/>
      </c>
      <c r="E1168" s="7" t="str">
        <f>IF('Port Bloomberg'!E1168="","",'Port Bloomberg'!E1168)</f>
        <v/>
      </c>
      <c r="F1168" s="7" t="str">
        <f>IF('Port Bloomberg'!F1168="","",'Port Bloomberg'!F1168)</f>
        <v/>
      </c>
      <c r="G1168" s="7" t="str">
        <f>IF('Port Bloomberg'!G1168="","",'Port Bloomberg'!G1168)</f>
        <v/>
      </c>
      <c r="H1168" s="7" t="str">
        <f>IF('Port Bloomberg'!H1168="","",'Port Bloomberg'!H1168)</f>
        <v/>
      </c>
      <c r="I1168" s="7" t="str">
        <f>IF('Port Bloomberg'!I1168="","",'Port Bloomberg'!I1168)</f>
        <v/>
      </c>
      <c r="J1168" s="7" t="str">
        <f>IF('Port Bloomberg'!J1168="","",'Port Bloomberg'!J1168)</f>
        <v/>
      </c>
      <c r="K1168" s="7" t="str">
        <f>IF('Port Bloomberg'!K1168="","",'Port Bloomberg'!K1168)</f>
        <v/>
      </c>
      <c r="L1168" s="7" t="str">
        <f>IF('Port Bloomberg'!L1168="","",'Port Bloomberg'!L1168)</f>
        <v/>
      </c>
      <c r="M1168" s="7" t="str">
        <f>IF('Port Bloomberg'!M1168="","",'Port Bloomberg'!M1168)</f>
        <v/>
      </c>
      <c r="N1168" s="7" t="str">
        <f>IF('Port Bloomberg'!N1168="","",'Port Bloomberg'!N1168)</f>
        <v/>
      </c>
      <c r="O1168" s="7" t="str">
        <f>IF('Port Bloomberg'!O1168="","",'Port Bloomberg'!O1168)</f>
        <v/>
      </c>
      <c r="P1168" s="7" t="str">
        <f>IF('Port Bloomberg'!P1168="","",'Port Bloomberg'!P1168)</f>
        <v/>
      </c>
      <c r="Q1168" s="7" t="str">
        <f>IF('Port Bloomberg'!Q1168="","",'Port Bloomberg'!Q1168)</f>
        <v/>
      </c>
      <c r="R1168" s="7" t="str">
        <f>IF('Port Bloomberg'!R1168="","",'Port Bloomberg'!R1168)</f>
        <v/>
      </c>
      <c r="S1168" s="5" t="str">
        <f>IF(E1168="","",IFERROR(IF(MATCH(E1168,[1]Instrumentos!$D:$D,0)&gt;0,1,0),0))</f>
        <v/>
      </c>
      <c r="T1168" s="5" t="str">
        <f>IF(E1168="","",IFERROR(IF(MATCH(E1168,'Lista de excepciones'!$E:$E,0)&gt;0,1,0),0))</f>
        <v/>
      </c>
      <c r="U1168" s="6" t="str">
        <f t="shared" si="19"/>
        <v/>
      </c>
    </row>
    <row r="1169" spans="1:21" hidden="1" x14ac:dyDescent="0.25">
      <c r="A1169" s="7" t="str">
        <f>IF('Port Bloomberg'!A1169="","",'Port Bloomberg'!A1169)</f>
        <v/>
      </c>
      <c r="B1169" s="7" t="str">
        <f>IF('Port Bloomberg'!B1169="","",'Port Bloomberg'!B1169)</f>
        <v/>
      </c>
      <c r="C1169" s="7" t="str">
        <f>IF('Port Bloomberg'!C1169="","",'Port Bloomberg'!C1169)</f>
        <v/>
      </c>
      <c r="D1169" s="7" t="str">
        <f>IF('Port Bloomberg'!D1169="","",'Port Bloomberg'!D1169)</f>
        <v/>
      </c>
      <c r="E1169" s="7" t="str">
        <f>IF('Port Bloomberg'!E1169="","",'Port Bloomberg'!E1169)</f>
        <v/>
      </c>
      <c r="F1169" s="7" t="str">
        <f>IF('Port Bloomberg'!F1169="","",'Port Bloomberg'!F1169)</f>
        <v/>
      </c>
      <c r="G1169" s="7" t="str">
        <f>IF('Port Bloomberg'!G1169="","",'Port Bloomberg'!G1169)</f>
        <v/>
      </c>
      <c r="H1169" s="7" t="str">
        <f>IF('Port Bloomberg'!H1169="","",'Port Bloomberg'!H1169)</f>
        <v/>
      </c>
      <c r="I1169" s="7" t="str">
        <f>IF('Port Bloomberg'!I1169="","",'Port Bloomberg'!I1169)</f>
        <v/>
      </c>
      <c r="J1169" s="7" t="str">
        <f>IF('Port Bloomberg'!J1169="","",'Port Bloomberg'!J1169)</f>
        <v/>
      </c>
      <c r="K1169" s="7" t="str">
        <f>IF('Port Bloomberg'!K1169="","",'Port Bloomberg'!K1169)</f>
        <v/>
      </c>
      <c r="L1169" s="7" t="str">
        <f>IF('Port Bloomberg'!L1169="","",'Port Bloomberg'!L1169)</f>
        <v/>
      </c>
      <c r="M1169" s="7" t="str">
        <f>IF('Port Bloomberg'!M1169="","",'Port Bloomberg'!M1169)</f>
        <v/>
      </c>
      <c r="N1169" s="7" t="str">
        <f>IF('Port Bloomberg'!N1169="","",'Port Bloomberg'!N1169)</f>
        <v/>
      </c>
      <c r="O1169" s="7" t="str">
        <f>IF('Port Bloomberg'!O1169="","",'Port Bloomberg'!O1169)</f>
        <v/>
      </c>
      <c r="P1169" s="7" t="str">
        <f>IF('Port Bloomberg'!P1169="","",'Port Bloomberg'!P1169)</f>
        <v/>
      </c>
      <c r="Q1169" s="7" t="str">
        <f>IF('Port Bloomberg'!Q1169="","",'Port Bloomberg'!Q1169)</f>
        <v/>
      </c>
      <c r="R1169" s="7" t="str">
        <f>IF('Port Bloomberg'!R1169="","",'Port Bloomberg'!R1169)</f>
        <v/>
      </c>
      <c r="S1169" s="5" t="str">
        <f>IF(E1169="","",IFERROR(IF(MATCH(E1169,[1]Instrumentos!$D:$D,0)&gt;0,1,0),0))</f>
        <v/>
      </c>
      <c r="T1169" s="5" t="str">
        <f>IF(E1169="","",IFERROR(IF(MATCH(E1169,'Lista de excepciones'!$E:$E,0)&gt;0,1,0),0))</f>
        <v/>
      </c>
      <c r="U1169" s="6" t="str">
        <f t="shared" si="19"/>
        <v/>
      </c>
    </row>
    <row r="1170" spans="1:21" hidden="1" x14ac:dyDescent="0.25">
      <c r="A1170" s="7" t="str">
        <f>IF('Port Bloomberg'!A1170="","",'Port Bloomberg'!A1170)</f>
        <v/>
      </c>
      <c r="B1170" s="7" t="str">
        <f>IF('Port Bloomberg'!B1170="","",'Port Bloomberg'!B1170)</f>
        <v/>
      </c>
      <c r="C1170" s="7" t="str">
        <f>IF('Port Bloomberg'!C1170="","",'Port Bloomberg'!C1170)</f>
        <v/>
      </c>
      <c r="D1170" s="7" t="str">
        <f>IF('Port Bloomberg'!D1170="","",'Port Bloomberg'!D1170)</f>
        <v/>
      </c>
      <c r="E1170" s="7" t="str">
        <f>IF('Port Bloomberg'!E1170="","",'Port Bloomberg'!E1170)</f>
        <v/>
      </c>
      <c r="F1170" s="7" t="str">
        <f>IF('Port Bloomberg'!F1170="","",'Port Bloomberg'!F1170)</f>
        <v/>
      </c>
      <c r="G1170" s="7" t="str">
        <f>IF('Port Bloomberg'!G1170="","",'Port Bloomberg'!G1170)</f>
        <v/>
      </c>
      <c r="H1170" s="7" t="str">
        <f>IF('Port Bloomberg'!H1170="","",'Port Bloomberg'!H1170)</f>
        <v/>
      </c>
      <c r="I1170" s="7" t="str">
        <f>IF('Port Bloomberg'!I1170="","",'Port Bloomberg'!I1170)</f>
        <v/>
      </c>
      <c r="J1170" s="7" t="str">
        <f>IF('Port Bloomberg'!J1170="","",'Port Bloomberg'!J1170)</f>
        <v/>
      </c>
      <c r="K1170" s="7" t="str">
        <f>IF('Port Bloomberg'!K1170="","",'Port Bloomberg'!K1170)</f>
        <v/>
      </c>
      <c r="L1170" s="7" t="str">
        <f>IF('Port Bloomberg'!L1170="","",'Port Bloomberg'!L1170)</f>
        <v/>
      </c>
      <c r="M1170" s="7" t="str">
        <f>IF('Port Bloomberg'!M1170="","",'Port Bloomberg'!M1170)</f>
        <v/>
      </c>
      <c r="N1170" s="7" t="str">
        <f>IF('Port Bloomberg'!N1170="","",'Port Bloomberg'!N1170)</f>
        <v/>
      </c>
      <c r="O1170" s="7" t="str">
        <f>IF('Port Bloomberg'!O1170="","",'Port Bloomberg'!O1170)</f>
        <v/>
      </c>
      <c r="P1170" s="7" t="str">
        <f>IF('Port Bloomberg'!P1170="","",'Port Bloomberg'!P1170)</f>
        <v/>
      </c>
      <c r="Q1170" s="7" t="str">
        <f>IF('Port Bloomberg'!Q1170="","",'Port Bloomberg'!Q1170)</f>
        <v/>
      </c>
      <c r="R1170" s="7" t="str">
        <f>IF('Port Bloomberg'!R1170="","",'Port Bloomberg'!R1170)</f>
        <v/>
      </c>
      <c r="S1170" s="5" t="str">
        <f>IF(E1170="","",IFERROR(IF(MATCH(E1170,[1]Instrumentos!$D:$D,0)&gt;0,1,0),0))</f>
        <v/>
      </c>
      <c r="T1170" s="5" t="str">
        <f>IF(E1170="","",IFERROR(IF(MATCH(E1170,'Lista de excepciones'!$E:$E,0)&gt;0,1,0),0))</f>
        <v/>
      </c>
      <c r="U1170" s="6" t="str">
        <f t="shared" si="19"/>
        <v/>
      </c>
    </row>
    <row r="1171" spans="1:21" hidden="1" x14ac:dyDescent="0.25">
      <c r="A1171" s="7" t="str">
        <f>IF('Port Bloomberg'!A1171="","",'Port Bloomberg'!A1171)</f>
        <v/>
      </c>
      <c r="B1171" s="7" t="str">
        <f>IF('Port Bloomberg'!B1171="","",'Port Bloomberg'!B1171)</f>
        <v/>
      </c>
      <c r="C1171" s="7" t="str">
        <f>IF('Port Bloomberg'!C1171="","",'Port Bloomberg'!C1171)</f>
        <v/>
      </c>
      <c r="D1171" s="7" t="str">
        <f>IF('Port Bloomberg'!D1171="","",'Port Bloomberg'!D1171)</f>
        <v/>
      </c>
      <c r="E1171" s="7" t="str">
        <f>IF('Port Bloomberg'!E1171="","",'Port Bloomberg'!E1171)</f>
        <v/>
      </c>
      <c r="F1171" s="7" t="str">
        <f>IF('Port Bloomberg'!F1171="","",'Port Bloomberg'!F1171)</f>
        <v/>
      </c>
      <c r="G1171" s="7" t="str">
        <f>IF('Port Bloomberg'!G1171="","",'Port Bloomberg'!G1171)</f>
        <v/>
      </c>
      <c r="H1171" s="7" t="str">
        <f>IF('Port Bloomberg'!H1171="","",'Port Bloomberg'!H1171)</f>
        <v/>
      </c>
      <c r="I1171" s="7" t="str">
        <f>IF('Port Bloomberg'!I1171="","",'Port Bloomberg'!I1171)</f>
        <v/>
      </c>
      <c r="J1171" s="7" t="str">
        <f>IF('Port Bloomberg'!J1171="","",'Port Bloomberg'!J1171)</f>
        <v/>
      </c>
      <c r="K1171" s="7" t="str">
        <f>IF('Port Bloomberg'!K1171="","",'Port Bloomberg'!K1171)</f>
        <v/>
      </c>
      <c r="L1171" s="7" t="str">
        <f>IF('Port Bloomberg'!L1171="","",'Port Bloomberg'!L1171)</f>
        <v/>
      </c>
      <c r="M1171" s="7" t="str">
        <f>IF('Port Bloomberg'!M1171="","",'Port Bloomberg'!M1171)</f>
        <v/>
      </c>
      <c r="N1171" s="7" t="str">
        <f>IF('Port Bloomberg'!N1171="","",'Port Bloomberg'!N1171)</f>
        <v/>
      </c>
      <c r="O1171" s="7" t="str">
        <f>IF('Port Bloomberg'!O1171="","",'Port Bloomberg'!O1171)</f>
        <v/>
      </c>
      <c r="P1171" s="7" t="str">
        <f>IF('Port Bloomberg'!P1171="","",'Port Bloomberg'!P1171)</f>
        <v/>
      </c>
      <c r="Q1171" s="7" t="str">
        <f>IF('Port Bloomberg'!Q1171="","",'Port Bloomberg'!Q1171)</f>
        <v/>
      </c>
      <c r="R1171" s="7" t="str">
        <f>IF('Port Bloomberg'!R1171="","",'Port Bloomberg'!R1171)</f>
        <v/>
      </c>
      <c r="S1171" s="5" t="str">
        <f>IF(E1171="","",IFERROR(IF(MATCH(E1171,[1]Instrumentos!$D:$D,0)&gt;0,1,0),0))</f>
        <v/>
      </c>
      <c r="T1171" s="5" t="str">
        <f>IF(E1171="","",IFERROR(IF(MATCH(E1171,'Lista de excepciones'!$E:$E,0)&gt;0,1,0),0))</f>
        <v/>
      </c>
      <c r="U1171" s="6" t="str">
        <f t="shared" si="19"/>
        <v/>
      </c>
    </row>
    <row r="1172" spans="1:21" hidden="1" x14ac:dyDescent="0.25">
      <c r="A1172" s="7" t="str">
        <f>IF('Port Bloomberg'!A1172="","",'Port Bloomberg'!A1172)</f>
        <v/>
      </c>
      <c r="B1172" s="7" t="str">
        <f>IF('Port Bloomberg'!B1172="","",'Port Bloomberg'!B1172)</f>
        <v/>
      </c>
      <c r="C1172" s="7" t="str">
        <f>IF('Port Bloomberg'!C1172="","",'Port Bloomberg'!C1172)</f>
        <v/>
      </c>
      <c r="D1172" s="7" t="str">
        <f>IF('Port Bloomberg'!D1172="","",'Port Bloomberg'!D1172)</f>
        <v/>
      </c>
      <c r="E1172" s="7" t="str">
        <f>IF('Port Bloomberg'!E1172="","",'Port Bloomberg'!E1172)</f>
        <v/>
      </c>
      <c r="F1172" s="7" t="str">
        <f>IF('Port Bloomberg'!F1172="","",'Port Bloomberg'!F1172)</f>
        <v/>
      </c>
      <c r="G1172" s="7" t="str">
        <f>IF('Port Bloomberg'!G1172="","",'Port Bloomberg'!G1172)</f>
        <v/>
      </c>
      <c r="H1172" s="7" t="str">
        <f>IF('Port Bloomberg'!H1172="","",'Port Bloomberg'!H1172)</f>
        <v/>
      </c>
      <c r="I1172" s="7" t="str">
        <f>IF('Port Bloomberg'!I1172="","",'Port Bloomberg'!I1172)</f>
        <v/>
      </c>
      <c r="J1172" s="7" t="str">
        <f>IF('Port Bloomberg'!J1172="","",'Port Bloomberg'!J1172)</f>
        <v/>
      </c>
      <c r="K1172" s="7" t="str">
        <f>IF('Port Bloomberg'!K1172="","",'Port Bloomberg'!K1172)</f>
        <v/>
      </c>
      <c r="L1172" s="7" t="str">
        <f>IF('Port Bloomberg'!L1172="","",'Port Bloomberg'!L1172)</f>
        <v/>
      </c>
      <c r="M1172" s="7" t="str">
        <f>IF('Port Bloomberg'!M1172="","",'Port Bloomberg'!M1172)</f>
        <v/>
      </c>
      <c r="N1172" s="7" t="str">
        <f>IF('Port Bloomberg'!N1172="","",'Port Bloomberg'!N1172)</f>
        <v/>
      </c>
      <c r="O1172" s="7" t="str">
        <f>IF('Port Bloomberg'!O1172="","",'Port Bloomberg'!O1172)</f>
        <v/>
      </c>
      <c r="P1172" s="7" t="str">
        <f>IF('Port Bloomberg'!P1172="","",'Port Bloomberg'!P1172)</f>
        <v/>
      </c>
      <c r="Q1172" s="7" t="str">
        <f>IF('Port Bloomberg'!Q1172="","",'Port Bloomberg'!Q1172)</f>
        <v/>
      </c>
      <c r="R1172" s="7" t="str">
        <f>IF('Port Bloomberg'!R1172="","",'Port Bloomberg'!R1172)</f>
        <v/>
      </c>
      <c r="S1172" s="5" t="str">
        <f>IF(E1172="","",IFERROR(IF(MATCH(E1172,[1]Instrumentos!$D:$D,0)&gt;0,1,0),0))</f>
        <v/>
      </c>
      <c r="T1172" s="5" t="str">
        <f>IF(E1172="","",IFERROR(IF(MATCH(E1172,'Lista de excepciones'!$E:$E,0)&gt;0,1,0),0))</f>
        <v/>
      </c>
      <c r="U1172" s="6" t="str">
        <f t="shared" si="19"/>
        <v/>
      </c>
    </row>
    <row r="1173" spans="1:21" hidden="1" x14ac:dyDescent="0.25">
      <c r="A1173" s="7" t="str">
        <f>IF('Port Bloomberg'!A1173="","",'Port Bloomberg'!A1173)</f>
        <v/>
      </c>
      <c r="B1173" s="7" t="str">
        <f>IF('Port Bloomberg'!B1173="","",'Port Bloomberg'!B1173)</f>
        <v/>
      </c>
      <c r="C1173" s="7" t="str">
        <f>IF('Port Bloomberg'!C1173="","",'Port Bloomberg'!C1173)</f>
        <v/>
      </c>
      <c r="D1173" s="7" t="str">
        <f>IF('Port Bloomberg'!D1173="","",'Port Bloomberg'!D1173)</f>
        <v/>
      </c>
      <c r="E1173" s="7" t="str">
        <f>IF('Port Bloomberg'!E1173="","",'Port Bloomberg'!E1173)</f>
        <v/>
      </c>
      <c r="F1173" s="7" t="str">
        <f>IF('Port Bloomberg'!F1173="","",'Port Bloomberg'!F1173)</f>
        <v/>
      </c>
      <c r="G1173" s="7" t="str">
        <f>IF('Port Bloomberg'!G1173="","",'Port Bloomberg'!G1173)</f>
        <v/>
      </c>
      <c r="H1173" s="7" t="str">
        <f>IF('Port Bloomberg'!H1173="","",'Port Bloomberg'!H1173)</f>
        <v/>
      </c>
      <c r="I1173" s="7" t="str">
        <f>IF('Port Bloomberg'!I1173="","",'Port Bloomberg'!I1173)</f>
        <v/>
      </c>
      <c r="J1173" s="7" t="str">
        <f>IF('Port Bloomberg'!J1173="","",'Port Bloomberg'!J1173)</f>
        <v/>
      </c>
      <c r="K1173" s="7" t="str">
        <f>IF('Port Bloomberg'!K1173="","",'Port Bloomberg'!K1173)</f>
        <v/>
      </c>
      <c r="L1173" s="7" t="str">
        <f>IF('Port Bloomberg'!L1173="","",'Port Bloomberg'!L1173)</f>
        <v/>
      </c>
      <c r="M1173" s="7" t="str">
        <f>IF('Port Bloomberg'!M1173="","",'Port Bloomberg'!M1173)</f>
        <v/>
      </c>
      <c r="N1173" s="7" t="str">
        <f>IF('Port Bloomberg'!N1173="","",'Port Bloomberg'!N1173)</f>
        <v/>
      </c>
      <c r="O1173" s="7" t="str">
        <f>IF('Port Bloomberg'!O1173="","",'Port Bloomberg'!O1173)</f>
        <v/>
      </c>
      <c r="P1173" s="7" t="str">
        <f>IF('Port Bloomberg'!P1173="","",'Port Bloomberg'!P1173)</f>
        <v/>
      </c>
      <c r="Q1173" s="7" t="str">
        <f>IF('Port Bloomberg'!Q1173="","",'Port Bloomberg'!Q1173)</f>
        <v/>
      </c>
      <c r="R1173" s="7" t="str">
        <f>IF('Port Bloomberg'!R1173="","",'Port Bloomberg'!R1173)</f>
        <v/>
      </c>
      <c r="S1173" s="5" t="str">
        <f>IF(E1173="","",IFERROR(IF(MATCH(E1173,[1]Instrumentos!$D:$D,0)&gt;0,1,0),0))</f>
        <v/>
      </c>
      <c r="T1173" s="5" t="str">
        <f>IF(E1173="","",IFERROR(IF(MATCH(E1173,'Lista de excepciones'!$E:$E,0)&gt;0,1,0),0))</f>
        <v/>
      </c>
      <c r="U1173" s="6" t="str">
        <f t="shared" si="19"/>
        <v/>
      </c>
    </row>
    <row r="1174" spans="1:21" hidden="1" x14ac:dyDescent="0.25">
      <c r="A1174" s="7" t="str">
        <f>IF('Port Bloomberg'!A1174="","",'Port Bloomberg'!A1174)</f>
        <v/>
      </c>
      <c r="B1174" s="7" t="str">
        <f>IF('Port Bloomberg'!B1174="","",'Port Bloomberg'!B1174)</f>
        <v/>
      </c>
      <c r="C1174" s="7" t="str">
        <f>IF('Port Bloomberg'!C1174="","",'Port Bloomberg'!C1174)</f>
        <v/>
      </c>
      <c r="D1174" s="7" t="str">
        <f>IF('Port Bloomberg'!D1174="","",'Port Bloomberg'!D1174)</f>
        <v/>
      </c>
      <c r="E1174" s="7" t="str">
        <f>IF('Port Bloomberg'!E1174="","",'Port Bloomberg'!E1174)</f>
        <v/>
      </c>
      <c r="F1174" s="7" t="str">
        <f>IF('Port Bloomberg'!F1174="","",'Port Bloomberg'!F1174)</f>
        <v/>
      </c>
      <c r="G1174" s="7" t="str">
        <f>IF('Port Bloomberg'!G1174="","",'Port Bloomberg'!G1174)</f>
        <v/>
      </c>
      <c r="H1174" s="7" t="str">
        <f>IF('Port Bloomberg'!H1174="","",'Port Bloomberg'!H1174)</f>
        <v/>
      </c>
      <c r="I1174" s="7" t="str">
        <f>IF('Port Bloomberg'!I1174="","",'Port Bloomberg'!I1174)</f>
        <v/>
      </c>
      <c r="J1174" s="7" t="str">
        <f>IF('Port Bloomberg'!J1174="","",'Port Bloomberg'!J1174)</f>
        <v/>
      </c>
      <c r="K1174" s="7" t="str">
        <f>IF('Port Bloomberg'!K1174="","",'Port Bloomberg'!K1174)</f>
        <v/>
      </c>
      <c r="L1174" s="7" t="str">
        <f>IF('Port Bloomberg'!L1174="","",'Port Bloomberg'!L1174)</f>
        <v/>
      </c>
      <c r="M1174" s="7" t="str">
        <f>IF('Port Bloomberg'!M1174="","",'Port Bloomberg'!M1174)</f>
        <v/>
      </c>
      <c r="N1174" s="7" t="str">
        <f>IF('Port Bloomberg'!N1174="","",'Port Bloomberg'!N1174)</f>
        <v/>
      </c>
      <c r="O1174" s="7" t="str">
        <f>IF('Port Bloomberg'!O1174="","",'Port Bloomberg'!O1174)</f>
        <v/>
      </c>
      <c r="P1174" s="7" t="str">
        <f>IF('Port Bloomberg'!P1174="","",'Port Bloomberg'!P1174)</f>
        <v/>
      </c>
      <c r="Q1174" s="7" t="str">
        <f>IF('Port Bloomberg'!Q1174="","",'Port Bloomberg'!Q1174)</f>
        <v/>
      </c>
      <c r="R1174" s="7" t="str">
        <f>IF('Port Bloomberg'!R1174="","",'Port Bloomberg'!R1174)</f>
        <v/>
      </c>
      <c r="S1174" s="5" t="str">
        <f>IF(E1174="","",IFERROR(IF(MATCH(E1174,[1]Instrumentos!$D:$D,0)&gt;0,1,0),0))</f>
        <v/>
      </c>
      <c r="T1174" s="5" t="str">
        <f>IF(E1174="","",IFERROR(IF(MATCH(E1174,'Lista de excepciones'!$E:$E,0)&gt;0,1,0),0))</f>
        <v/>
      </c>
      <c r="U1174" s="6" t="str">
        <f t="shared" si="19"/>
        <v/>
      </c>
    </row>
    <row r="1175" spans="1:21" hidden="1" x14ac:dyDescent="0.25">
      <c r="A1175" s="7" t="str">
        <f>IF('Port Bloomberg'!A1175="","",'Port Bloomberg'!A1175)</f>
        <v/>
      </c>
      <c r="B1175" s="7" t="str">
        <f>IF('Port Bloomberg'!B1175="","",'Port Bloomberg'!B1175)</f>
        <v/>
      </c>
      <c r="C1175" s="7" t="str">
        <f>IF('Port Bloomberg'!C1175="","",'Port Bloomberg'!C1175)</f>
        <v/>
      </c>
      <c r="D1175" s="7" t="str">
        <f>IF('Port Bloomberg'!D1175="","",'Port Bloomberg'!D1175)</f>
        <v/>
      </c>
      <c r="E1175" s="7" t="str">
        <f>IF('Port Bloomberg'!E1175="","",'Port Bloomberg'!E1175)</f>
        <v/>
      </c>
      <c r="F1175" s="7" t="str">
        <f>IF('Port Bloomberg'!F1175="","",'Port Bloomberg'!F1175)</f>
        <v/>
      </c>
      <c r="G1175" s="7" t="str">
        <f>IF('Port Bloomberg'!G1175="","",'Port Bloomberg'!G1175)</f>
        <v/>
      </c>
      <c r="H1175" s="7" t="str">
        <f>IF('Port Bloomberg'!H1175="","",'Port Bloomberg'!H1175)</f>
        <v/>
      </c>
      <c r="I1175" s="7" t="str">
        <f>IF('Port Bloomberg'!I1175="","",'Port Bloomberg'!I1175)</f>
        <v/>
      </c>
      <c r="J1175" s="7" t="str">
        <f>IF('Port Bloomberg'!J1175="","",'Port Bloomberg'!J1175)</f>
        <v/>
      </c>
      <c r="K1175" s="7" t="str">
        <f>IF('Port Bloomberg'!K1175="","",'Port Bloomberg'!K1175)</f>
        <v/>
      </c>
      <c r="L1175" s="7" t="str">
        <f>IF('Port Bloomberg'!L1175="","",'Port Bloomberg'!L1175)</f>
        <v/>
      </c>
      <c r="M1175" s="7" t="str">
        <f>IF('Port Bloomberg'!M1175="","",'Port Bloomberg'!M1175)</f>
        <v/>
      </c>
      <c r="N1175" s="7" t="str">
        <f>IF('Port Bloomberg'!N1175="","",'Port Bloomberg'!N1175)</f>
        <v/>
      </c>
      <c r="O1175" s="7" t="str">
        <f>IF('Port Bloomberg'!O1175="","",'Port Bloomberg'!O1175)</f>
        <v/>
      </c>
      <c r="P1175" s="7" t="str">
        <f>IF('Port Bloomberg'!P1175="","",'Port Bloomberg'!P1175)</f>
        <v/>
      </c>
      <c r="Q1175" s="7" t="str">
        <f>IF('Port Bloomberg'!Q1175="","",'Port Bloomberg'!Q1175)</f>
        <v/>
      </c>
      <c r="R1175" s="7" t="str">
        <f>IF('Port Bloomberg'!R1175="","",'Port Bloomberg'!R1175)</f>
        <v/>
      </c>
      <c r="S1175" s="5" t="str">
        <f>IF(E1175="","",IFERROR(IF(MATCH(E1175,[1]Instrumentos!$D:$D,0)&gt;0,1,0),0))</f>
        <v/>
      </c>
      <c r="T1175" s="5" t="str">
        <f>IF(E1175="","",IFERROR(IF(MATCH(E1175,'Lista de excepciones'!$E:$E,0)&gt;0,1,0),0))</f>
        <v/>
      </c>
      <c r="U1175" s="6" t="str">
        <f t="shared" si="19"/>
        <v/>
      </c>
    </row>
    <row r="1176" spans="1:21" hidden="1" x14ac:dyDescent="0.25">
      <c r="A1176" s="7" t="str">
        <f>IF('Port Bloomberg'!A1176="","",'Port Bloomberg'!A1176)</f>
        <v/>
      </c>
      <c r="B1176" s="7" t="str">
        <f>IF('Port Bloomberg'!B1176="","",'Port Bloomberg'!B1176)</f>
        <v/>
      </c>
      <c r="C1176" s="7" t="str">
        <f>IF('Port Bloomberg'!C1176="","",'Port Bloomberg'!C1176)</f>
        <v/>
      </c>
      <c r="D1176" s="7" t="str">
        <f>IF('Port Bloomberg'!D1176="","",'Port Bloomberg'!D1176)</f>
        <v/>
      </c>
      <c r="E1176" s="7" t="str">
        <f>IF('Port Bloomberg'!E1176="","",'Port Bloomberg'!E1176)</f>
        <v/>
      </c>
      <c r="F1176" s="7" t="str">
        <f>IF('Port Bloomberg'!F1176="","",'Port Bloomberg'!F1176)</f>
        <v/>
      </c>
      <c r="G1176" s="7" t="str">
        <f>IF('Port Bloomberg'!G1176="","",'Port Bloomberg'!G1176)</f>
        <v/>
      </c>
      <c r="H1176" s="7" t="str">
        <f>IF('Port Bloomberg'!H1176="","",'Port Bloomberg'!H1176)</f>
        <v/>
      </c>
      <c r="I1176" s="7" t="str">
        <f>IF('Port Bloomberg'!I1176="","",'Port Bloomberg'!I1176)</f>
        <v/>
      </c>
      <c r="J1176" s="7" t="str">
        <f>IF('Port Bloomberg'!J1176="","",'Port Bloomberg'!J1176)</f>
        <v/>
      </c>
      <c r="K1176" s="7" t="str">
        <f>IF('Port Bloomberg'!K1176="","",'Port Bloomberg'!K1176)</f>
        <v/>
      </c>
      <c r="L1176" s="7" t="str">
        <f>IF('Port Bloomberg'!L1176="","",'Port Bloomberg'!L1176)</f>
        <v/>
      </c>
      <c r="M1176" s="7" t="str">
        <f>IF('Port Bloomberg'!M1176="","",'Port Bloomberg'!M1176)</f>
        <v/>
      </c>
      <c r="N1176" s="7" t="str">
        <f>IF('Port Bloomberg'!N1176="","",'Port Bloomberg'!N1176)</f>
        <v/>
      </c>
      <c r="O1176" s="7" t="str">
        <f>IF('Port Bloomberg'!O1176="","",'Port Bloomberg'!O1176)</f>
        <v/>
      </c>
      <c r="P1176" s="7" t="str">
        <f>IF('Port Bloomberg'!P1176="","",'Port Bloomberg'!P1176)</f>
        <v/>
      </c>
      <c r="Q1176" s="7" t="str">
        <f>IF('Port Bloomberg'!Q1176="","",'Port Bloomberg'!Q1176)</f>
        <v/>
      </c>
      <c r="R1176" s="7" t="str">
        <f>IF('Port Bloomberg'!R1176="","",'Port Bloomberg'!R1176)</f>
        <v/>
      </c>
      <c r="S1176" s="5" t="str">
        <f>IF(E1176="","",IFERROR(IF(MATCH(E1176,[1]Instrumentos!$D:$D,0)&gt;0,1,0),0))</f>
        <v/>
      </c>
      <c r="T1176" s="5" t="str">
        <f>IF(E1176="","",IFERROR(IF(MATCH(E1176,'Lista de excepciones'!$E:$E,0)&gt;0,1,0),0))</f>
        <v/>
      </c>
      <c r="U1176" s="6" t="str">
        <f t="shared" si="19"/>
        <v/>
      </c>
    </row>
    <row r="1177" spans="1:21" hidden="1" x14ac:dyDescent="0.25">
      <c r="A1177" s="7" t="str">
        <f>IF('Port Bloomberg'!A1177="","",'Port Bloomberg'!A1177)</f>
        <v/>
      </c>
      <c r="B1177" s="7" t="str">
        <f>IF('Port Bloomberg'!B1177="","",'Port Bloomberg'!B1177)</f>
        <v/>
      </c>
      <c r="C1177" s="7" t="str">
        <f>IF('Port Bloomberg'!C1177="","",'Port Bloomberg'!C1177)</f>
        <v/>
      </c>
      <c r="D1177" s="7" t="str">
        <f>IF('Port Bloomberg'!D1177="","",'Port Bloomberg'!D1177)</f>
        <v/>
      </c>
      <c r="E1177" s="7" t="str">
        <f>IF('Port Bloomberg'!E1177="","",'Port Bloomberg'!E1177)</f>
        <v/>
      </c>
      <c r="F1177" s="7" t="str">
        <f>IF('Port Bloomberg'!F1177="","",'Port Bloomberg'!F1177)</f>
        <v/>
      </c>
      <c r="G1177" s="7" t="str">
        <f>IF('Port Bloomberg'!G1177="","",'Port Bloomberg'!G1177)</f>
        <v/>
      </c>
      <c r="H1177" s="7" t="str">
        <f>IF('Port Bloomberg'!H1177="","",'Port Bloomberg'!H1177)</f>
        <v/>
      </c>
      <c r="I1177" s="7" t="str">
        <f>IF('Port Bloomberg'!I1177="","",'Port Bloomberg'!I1177)</f>
        <v/>
      </c>
      <c r="J1177" s="7" t="str">
        <f>IF('Port Bloomberg'!J1177="","",'Port Bloomberg'!J1177)</f>
        <v/>
      </c>
      <c r="K1177" s="7" t="str">
        <f>IF('Port Bloomberg'!K1177="","",'Port Bloomberg'!K1177)</f>
        <v/>
      </c>
      <c r="L1177" s="7" t="str">
        <f>IF('Port Bloomberg'!L1177="","",'Port Bloomberg'!L1177)</f>
        <v/>
      </c>
      <c r="M1177" s="7" t="str">
        <f>IF('Port Bloomberg'!M1177="","",'Port Bloomberg'!M1177)</f>
        <v/>
      </c>
      <c r="N1177" s="7" t="str">
        <f>IF('Port Bloomberg'!N1177="","",'Port Bloomberg'!N1177)</f>
        <v/>
      </c>
      <c r="O1177" s="7" t="str">
        <f>IF('Port Bloomberg'!O1177="","",'Port Bloomberg'!O1177)</f>
        <v/>
      </c>
      <c r="P1177" s="7" t="str">
        <f>IF('Port Bloomberg'!P1177="","",'Port Bloomberg'!P1177)</f>
        <v/>
      </c>
      <c r="Q1177" s="7" t="str">
        <f>IF('Port Bloomberg'!Q1177="","",'Port Bloomberg'!Q1177)</f>
        <v/>
      </c>
      <c r="R1177" s="7" t="str">
        <f>IF('Port Bloomberg'!R1177="","",'Port Bloomberg'!R1177)</f>
        <v/>
      </c>
      <c r="S1177" s="5" t="str">
        <f>IF(E1177="","",IFERROR(IF(MATCH(E1177,[1]Instrumentos!$D:$D,0)&gt;0,1,0),0))</f>
        <v/>
      </c>
      <c r="T1177" s="5" t="str">
        <f>IF(E1177="","",IFERROR(IF(MATCH(E1177,'Lista de excepciones'!$E:$E,0)&gt;0,1,0),0))</f>
        <v/>
      </c>
      <c r="U1177" s="6" t="str">
        <f t="shared" si="19"/>
        <v/>
      </c>
    </row>
    <row r="1178" spans="1:21" hidden="1" x14ac:dyDescent="0.25">
      <c r="A1178" s="7" t="str">
        <f>IF('Port Bloomberg'!A1178="","",'Port Bloomberg'!A1178)</f>
        <v/>
      </c>
      <c r="B1178" s="7" t="str">
        <f>IF('Port Bloomberg'!B1178="","",'Port Bloomberg'!B1178)</f>
        <v/>
      </c>
      <c r="C1178" s="7" t="str">
        <f>IF('Port Bloomberg'!C1178="","",'Port Bloomberg'!C1178)</f>
        <v/>
      </c>
      <c r="D1178" s="7" t="str">
        <f>IF('Port Bloomberg'!D1178="","",'Port Bloomberg'!D1178)</f>
        <v/>
      </c>
      <c r="E1178" s="7" t="str">
        <f>IF('Port Bloomberg'!E1178="","",'Port Bloomberg'!E1178)</f>
        <v/>
      </c>
      <c r="F1178" s="7" t="str">
        <f>IF('Port Bloomberg'!F1178="","",'Port Bloomberg'!F1178)</f>
        <v/>
      </c>
      <c r="G1178" s="7" t="str">
        <f>IF('Port Bloomberg'!G1178="","",'Port Bloomberg'!G1178)</f>
        <v/>
      </c>
      <c r="H1178" s="7" t="str">
        <f>IF('Port Bloomberg'!H1178="","",'Port Bloomberg'!H1178)</f>
        <v/>
      </c>
      <c r="I1178" s="7" t="str">
        <f>IF('Port Bloomberg'!I1178="","",'Port Bloomberg'!I1178)</f>
        <v/>
      </c>
      <c r="J1178" s="7" t="str">
        <f>IF('Port Bloomberg'!J1178="","",'Port Bloomberg'!J1178)</f>
        <v/>
      </c>
      <c r="K1178" s="7" t="str">
        <f>IF('Port Bloomberg'!K1178="","",'Port Bloomberg'!K1178)</f>
        <v/>
      </c>
      <c r="L1178" s="7" t="str">
        <f>IF('Port Bloomberg'!L1178="","",'Port Bloomberg'!L1178)</f>
        <v/>
      </c>
      <c r="M1178" s="7" t="str">
        <f>IF('Port Bloomberg'!M1178="","",'Port Bloomberg'!M1178)</f>
        <v/>
      </c>
      <c r="N1178" s="7" t="str">
        <f>IF('Port Bloomberg'!N1178="","",'Port Bloomberg'!N1178)</f>
        <v/>
      </c>
      <c r="O1178" s="7" t="str">
        <f>IF('Port Bloomberg'!O1178="","",'Port Bloomberg'!O1178)</f>
        <v/>
      </c>
      <c r="P1178" s="7" t="str">
        <f>IF('Port Bloomberg'!P1178="","",'Port Bloomberg'!P1178)</f>
        <v/>
      </c>
      <c r="Q1178" s="7" t="str">
        <f>IF('Port Bloomberg'!Q1178="","",'Port Bloomberg'!Q1178)</f>
        <v/>
      </c>
      <c r="R1178" s="7" t="str">
        <f>IF('Port Bloomberg'!R1178="","",'Port Bloomberg'!R1178)</f>
        <v/>
      </c>
      <c r="S1178" s="5" t="str">
        <f>IF(E1178="","",IFERROR(IF(MATCH(E1178,[1]Instrumentos!$D:$D,0)&gt;0,1,0),0))</f>
        <v/>
      </c>
      <c r="T1178" s="5" t="str">
        <f>IF(E1178="","",IFERROR(IF(MATCH(E1178,'Lista de excepciones'!$E:$E,0)&gt;0,1,0),0))</f>
        <v/>
      </c>
      <c r="U1178" s="6" t="str">
        <f t="shared" si="19"/>
        <v/>
      </c>
    </row>
    <row r="1179" spans="1:21" hidden="1" x14ac:dyDescent="0.25">
      <c r="A1179" s="7" t="str">
        <f>IF('Port Bloomberg'!A1179="","",'Port Bloomberg'!A1179)</f>
        <v/>
      </c>
      <c r="B1179" s="7" t="str">
        <f>IF('Port Bloomberg'!B1179="","",'Port Bloomberg'!B1179)</f>
        <v/>
      </c>
      <c r="C1179" s="7" t="str">
        <f>IF('Port Bloomberg'!C1179="","",'Port Bloomberg'!C1179)</f>
        <v/>
      </c>
      <c r="D1179" s="7" t="str">
        <f>IF('Port Bloomberg'!D1179="","",'Port Bloomberg'!D1179)</f>
        <v/>
      </c>
      <c r="E1179" s="7" t="str">
        <f>IF('Port Bloomberg'!E1179="","",'Port Bloomberg'!E1179)</f>
        <v/>
      </c>
      <c r="F1179" s="7" t="str">
        <f>IF('Port Bloomberg'!F1179="","",'Port Bloomberg'!F1179)</f>
        <v/>
      </c>
      <c r="G1179" s="7" t="str">
        <f>IF('Port Bloomberg'!G1179="","",'Port Bloomberg'!G1179)</f>
        <v/>
      </c>
      <c r="H1179" s="7" t="str">
        <f>IF('Port Bloomberg'!H1179="","",'Port Bloomberg'!H1179)</f>
        <v/>
      </c>
      <c r="I1179" s="7" t="str">
        <f>IF('Port Bloomberg'!I1179="","",'Port Bloomberg'!I1179)</f>
        <v/>
      </c>
      <c r="J1179" s="7" t="str">
        <f>IF('Port Bloomberg'!J1179="","",'Port Bloomberg'!J1179)</f>
        <v/>
      </c>
      <c r="K1179" s="7" t="str">
        <f>IF('Port Bloomberg'!K1179="","",'Port Bloomberg'!K1179)</f>
        <v/>
      </c>
      <c r="L1179" s="7" t="str">
        <f>IF('Port Bloomberg'!L1179="","",'Port Bloomberg'!L1179)</f>
        <v/>
      </c>
      <c r="M1179" s="7" t="str">
        <f>IF('Port Bloomberg'!M1179="","",'Port Bloomberg'!M1179)</f>
        <v/>
      </c>
      <c r="N1179" s="7" t="str">
        <f>IF('Port Bloomberg'!N1179="","",'Port Bloomberg'!N1179)</f>
        <v/>
      </c>
      <c r="O1179" s="7" t="str">
        <f>IF('Port Bloomberg'!O1179="","",'Port Bloomberg'!O1179)</f>
        <v/>
      </c>
      <c r="P1179" s="7" t="str">
        <f>IF('Port Bloomberg'!P1179="","",'Port Bloomberg'!P1179)</f>
        <v/>
      </c>
      <c r="Q1179" s="7" t="str">
        <f>IF('Port Bloomberg'!Q1179="","",'Port Bloomberg'!Q1179)</f>
        <v/>
      </c>
      <c r="R1179" s="7" t="str">
        <f>IF('Port Bloomberg'!R1179="","",'Port Bloomberg'!R1179)</f>
        <v/>
      </c>
      <c r="S1179" s="5" t="str">
        <f>IF(E1179="","",IFERROR(IF(MATCH(E1179,[1]Instrumentos!$D:$D,0)&gt;0,1,0),0))</f>
        <v/>
      </c>
      <c r="T1179" s="5" t="str">
        <f>IF(E1179="","",IFERROR(IF(MATCH(E1179,'Lista de excepciones'!$E:$E,0)&gt;0,1,0),0))</f>
        <v/>
      </c>
      <c r="U1179" s="6" t="str">
        <f t="shared" si="19"/>
        <v/>
      </c>
    </row>
    <row r="1180" spans="1:21" hidden="1" x14ac:dyDescent="0.25">
      <c r="A1180" s="7" t="str">
        <f>IF('Port Bloomberg'!A1180="","",'Port Bloomberg'!A1180)</f>
        <v/>
      </c>
      <c r="B1180" s="7" t="str">
        <f>IF('Port Bloomberg'!B1180="","",'Port Bloomberg'!B1180)</f>
        <v/>
      </c>
      <c r="C1180" s="7" t="str">
        <f>IF('Port Bloomberg'!C1180="","",'Port Bloomberg'!C1180)</f>
        <v/>
      </c>
      <c r="D1180" s="7" t="str">
        <f>IF('Port Bloomberg'!D1180="","",'Port Bloomberg'!D1180)</f>
        <v/>
      </c>
      <c r="E1180" s="7" t="str">
        <f>IF('Port Bloomberg'!E1180="","",'Port Bloomberg'!E1180)</f>
        <v/>
      </c>
      <c r="F1180" s="7" t="str">
        <f>IF('Port Bloomberg'!F1180="","",'Port Bloomberg'!F1180)</f>
        <v/>
      </c>
      <c r="G1180" s="7" t="str">
        <f>IF('Port Bloomberg'!G1180="","",'Port Bloomberg'!G1180)</f>
        <v/>
      </c>
      <c r="H1180" s="7" t="str">
        <f>IF('Port Bloomberg'!H1180="","",'Port Bloomberg'!H1180)</f>
        <v/>
      </c>
      <c r="I1180" s="7" t="str">
        <f>IF('Port Bloomberg'!I1180="","",'Port Bloomberg'!I1180)</f>
        <v/>
      </c>
      <c r="J1180" s="7" t="str">
        <f>IF('Port Bloomberg'!J1180="","",'Port Bloomberg'!J1180)</f>
        <v/>
      </c>
      <c r="K1180" s="7" t="str">
        <f>IF('Port Bloomberg'!K1180="","",'Port Bloomberg'!K1180)</f>
        <v/>
      </c>
      <c r="L1180" s="7" t="str">
        <f>IF('Port Bloomberg'!L1180="","",'Port Bloomberg'!L1180)</f>
        <v/>
      </c>
      <c r="M1180" s="7" t="str">
        <f>IF('Port Bloomberg'!M1180="","",'Port Bloomberg'!M1180)</f>
        <v/>
      </c>
      <c r="N1180" s="7" t="str">
        <f>IF('Port Bloomberg'!N1180="","",'Port Bloomberg'!N1180)</f>
        <v/>
      </c>
      <c r="O1180" s="7" t="str">
        <f>IF('Port Bloomberg'!O1180="","",'Port Bloomberg'!O1180)</f>
        <v/>
      </c>
      <c r="P1180" s="7" t="str">
        <f>IF('Port Bloomberg'!P1180="","",'Port Bloomberg'!P1180)</f>
        <v/>
      </c>
      <c r="Q1180" s="7" t="str">
        <f>IF('Port Bloomberg'!Q1180="","",'Port Bloomberg'!Q1180)</f>
        <v/>
      </c>
      <c r="R1180" s="7" t="str">
        <f>IF('Port Bloomberg'!R1180="","",'Port Bloomberg'!R1180)</f>
        <v/>
      </c>
      <c r="S1180" s="5" t="str">
        <f>IF(E1180="","",IFERROR(IF(MATCH(E1180,[1]Instrumentos!$D:$D,0)&gt;0,1,0),0))</f>
        <v/>
      </c>
      <c r="T1180" s="5" t="str">
        <f>IF(E1180="","",IFERROR(IF(MATCH(E1180,'Lista de excepciones'!$E:$E,0)&gt;0,1,0),0))</f>
        <v/>
      </c>
      <c r="U1180" s="6" t="str">
        <f t="shared" si="19"/>
        <v/>
      </c>
    </row>
    <row r="1181" spans="1:21" hidden="1" x14ac:dyDescent="0.25">
      <c r="A1181" s="7" t="str">
        <f>IF('Port Bloomberg'!A1181="","",'Port Bloomberg'!A1181)</f>
        <v/>
      </c>
      <c r="B1181" s="7" t="str">
        <f>IF('Port Bloomberg'!B1181="","",'Port Bloomberg'!B1181)</f>
        <v/>
      </c>
      <c r="C1181" s="7" t="str">
        <f>IF('Port Bloomberg'!C1181="","",'Port Bloomberg'!C1181)</f>
        <v/>
      </c>
      <c r="D1181" s="7" t="str">
        <f>IF('Port Bloomberg'!D1181="","",'Port Bloomberg'!D1181)</f>
        <v/>
      </c>
      <c r="E1181" s="7" t="str">
        <f>IF('Port Bloomberg'!E1181="","",'Port Bloomberg'!E1181)</f>
        <v/>
      </c>
      <c r="F1181" s="7" t="str">
        <f>IF('Port Bloomberg'!F1181="","",'Port Bloomberg'!F1181)</f>
        <v/>
      </c>
      <c r="G1181" s="7" t="str">
        <f>IF('Port Bloomberg'!G1181="","",'Port Bloomberg'!G1181)</f>
        <v/>
      </c>
      <c r="H1181" s="7" t="str">
        <f>IF('Port Bloomberg'!H1181="","",'Port Bloomberg'!H1181)</f>
        <v/>
      </c>
      <c r="I1181" s="7" t="str">
        <f>IF('Port Bloomberg'!I1181="","",'Port Bloomberg'!I1181)</f>
        <v/>
      </c>
      <c r="J1181" s="7" t="str">
        <f>IF('Port Bloomberg'!J1181="","",'Port Bloomberg'!J1181)</f>
        <v/>
      </c>
      <c r="K1181" s="7" t="str">
        <f>IF('Port Bloomberg'!K1181="","",'Port Bloomberg'!K1181)</f>
        <v/>
      </c>
      <c r="L1181" s="7" t="str">
        <f>IF('Port Bloomberg'!L1181="","",'Port Bloomberg'!L1181)</f>
        <v/>
      </c>
      <c r="M1181" s="7" t="str">
        <f>IF('Port Bloomberg'!M1181="","",'Port Bloomberg'!M1181)</f>
        <v/>
      </c>
      <c r="N1181" s="7" t="str">
        <f>IF('Port Bloomberg'!N1181="","",'Port Bloomberg'!N1181)</f>
        <v/>
      </c>
      <c r="O1181" s="7" t="str">
        <f>IF('Port Bloomberg'!O1181="","",'Port Bloomberg'!O1181)</f>
        <v/>
      </c>
      <c r="P1181" s="7" t="str">
        <f>IF('Port Bloomberg'!P1181="","",'Port Bloomberg'!P1181)</f>
        <v/>
      </c>
      <c r="Q1181" s="7" t="str">
        <f>IF('Port Bloomberg'!Q1181="","",'Port Bloomberg'!Q1181)</f>
        <v/>
      </c>
      <c r="R1181" s="7" t="str">
        <f>IF('Port Bloomberg'!R1181="","",'Port Bloomberg'!R1181)</f>
        <v/>
      </c>
      <c r="S1181" s="5" t="str">
        <f>IF(E1181="","",IFERROR(IF(MATCH(E1181,[1]Instrumentos!$D:$D,0)&gt;0,1,0),0))</f>
        <v/>
      </c>
      <c r="T1181" s="5" t="str">
        <f>IF(E1181="","",IFERROR(IF(MATCH(E1181,'Lista de excepciones'!$E:$E,0)&gt;0,1,0),0))</f>
        <v/>
      </c>
      <c r="U1181" s="6" t="str">
        <f t="shared" si="19"/>
        <v/>
      </c>
    </row>
    <row r="1182" spans="1:21" hidden="1" x14ac:dyDescent="0.25">
      <c r="A1182" s="7" t="str">
        <f>IF('Port Bloomberg'!A1182="","",'Port Bloomberg'!A1182)</f>
        <v/>
      </c>
      <c r="B1182" s="7" t="str">
        <f>IF('Port Bloomberg'!B1182="","",'Port Bloomberg'!B1182)</f>
        <v/>
      </c>
      <c r="C1182" s="7" t="str">
        <f>IF('Port Bloomberg'!C1182="","",'Port Bloomberg'!C1182)</f>
        <v/>
      </c>
      <c r="D1182" s="7" t="str">
        <f>IF('Port Bloomberg'!D1182="","",'Port Bloomberg'!D1182)</f>
        <v/>
      </c>
      <c r="E1182" s="7" t="str">
        <f>IF('Port Bloomberg'!E1182="","",'Port Bloomberg'!E1182)</f>
        <v/>
      </c>
      <c r="F1182" s="7" t="str">
        <f>IF('Port Bloomberg'!F1182="","",'Port Bloomberg'!F1182)</f>
        <v/>
      </c>
      <c r="G1182" s="7" t="str">
        <f>IF('Port Bloomberg'!G1182="","",'Port Bloomberg'!G1182)</f>
        <v/>
      </c>
      <c r="H1182" s="7" t="str">
        <f>IF('Port Bloomberg'!H1182="","",'Port Bloomberg'!H1182)</f>
        <v/>
      </c>
      <c r="I1182" s="7" t="str">
        <f>IF('Port Bloomberg'!I1182="","",'Port Bloomberg'!I1182)</f>
        <v/>
      </c>
      <c r="J1182" s="7" t="str">
        <f>IF('Port Bloomberg'!J1182="","",'Port Bloomberg'!J1182)</f>
        <v/>
      </c>
      <c r="K1182" s="7" t="str">
        <f>IF('Port Bloomberg'!K1182="","",'Port Bloomberg'!K1182)</f>
        <v/>
      </c>
      <c r="L1182" s="7" t="str">
        <f>IF('Port Bloomberg'!L1182="","",'Port Bloomberg'!L1182)</f>
        <v/>
      </c>
      <c r="M1182" s="7" t="str">
        <f>IF('Port Bloomberg'!M1182="","",'Port Bloomberg'!M1182)</f>
        <v/>
      </c>
      <c r="N1182" s="7" t="str">
        <f>IF('Port Bloomberg'!N1182="","",'Port Bloomberg'!N1182)</f>
        <v/>
      </c>
      <c r="O1182" s="7" t="str">
        <f>IF('Port Bloomberg'!O1182="","",'Port Bloomberg'!O1182)</f>
        <v/>
      </c>
      <c r="P1182" s="7" t="str">
        <f>IF('Port Bloomberg'!P1182="","",'Port Bloomberg'!P1182)</f>
        <v/>
      </c>
      <c r="Q1182" s="7" t="str">
        <f>IF('Port Bloomberg'!Q1182="","",'Port Bloomberg'!Q1182)</f>
        <v/>
      </c>
      <c r="R1182" s="7" t="str">
        <f>IF('Port Bloomberg'!R1182="","",'Port Bloomberg'!R1182)</f>
        <v/>
      </c>
      <c r="S1182" s="5" t="str">
        <f>IF(E1182="","",IFERROR(IF(MATCH(E1182,[1]Instrumentos!$D:$D,0)&gt;0,1,0),0))</f>
        <v/>
      </c>
      <c r="T1182" s="5" t="str">
        <f>IF(E1182="","",IFERROR(IF(MATCH(E1182,'Lista de excepciones'!$E:$E,0)&gt;0,1,0),0))</f>
        <v/>
      </c>
      <c r="U1182" s="6" t="str">
        <f t="shared" si="19"/>
        <v/>
      </c>
    </row>
    <row r="1183" spans="1:21" hidden="1" x14ac:dyDescent="0.25">
      <c r="A1183" s="7" t="str">
        <f>IF('Port Bloomberg'!A1183="","",'Port Bloomberg'!A1183)</f>
        <v/>
      </c>
      <c r="B1183" s="7" t="str">
        <f>IF('Port Bloomberg'!B1183="","",'Port Bloomberg'!B1183)</f>
        <v/>
      </c>
      <c r="C1183" s="7" t="str">
        <f>IF('Port Bloomberg'!C1183="","",'Port Bloomberg'!C1183)</f>
        <v/>
      </c>
      <c r="D1183" s="7" t="str">
        <f>IF('Port Bloomberg'!D1183="","",'Port Bloomberg'!D1183)</f>
        <v/>
      </c>
      <c r="E1183" s="7" t="str">
        <f>IF('Port Bloomberg'!E1183="","",'Port Bloomberg'!E1183)</f>
        <v/>
      </c>
      <c r="F1183" s="7" t="str">
        <f>IF('Port Bloomberg'!F1183="","",'Port Bloomberg'!F1183)</f>
        <v/>
      </c>
      <c r="G1183" s="7" t="str">
        <f>IF('Port Bloomberg'!G1183="","",'Port Bloomberg'!G1183)</f>
        <v/>
      </c>
      <c r="H1183" s="7" t="str">
        <f>IF('Port Bloomberg'!H1183="","",'Port Bloomberg'!H1183)</f>
        <v/>
      </c>
      <c r="I1183" s="7" t="str">
        <f>IF('Port Bloomberg'!I1183="","",'Port Bloomberg'!I1183)</f>
        <v/>
      </c>
      <c r="J1183" s="7" t="str">
        <f>IF('Port Bloomberg'!J1183="","",'Port Bloomberg'!J1183)</f>
        <v/>
      </c>
      <c r="K1183" s="7" t="str">
        <f>IF('Port Bloomberg'!K1183="","",'Port Bloomberg'!K1183)</f>
        <v/>
      </c>
      <c r="L1183" s="7" t="str">
        <f>IF('Port Bloomberg'!L1183="","",'Port Bloomberg'!L1183)</f>
        <v/>
      </c>
      <c r="M1183" s="7" t="str">
        <f>IF('Port Bloomberg'!M1183="","",'Port Bloomberg'!M1183)</f>
        <v/>
      </c>
      <c r="N1183" s="7" t="str">
        <f>IF('Port Bloomberg'!N1183="","",'Port Bloomberg'!N1183)</f>
        <v/>
      </c>
      <c r="O1183" s="7" t="str">
        <f>IF('Port Bloomberg'!O1183="","",'Port Bloomberg'!O1183)</f>
        <v/>
      </c>
      <c r="P1183" s="7" t="str">
        <f>IF('Port Bloomberg'!P1183="","",'Port Bloomberg'!P1183)</f>
        <v/>
      </c>
      <c r="Q1183" s="7" t="str">
        <f>IF('Port Bloomberg'!Q1183="","",'Port Bloomberg'!Q1183)</f>
        <v/>
      </c>
      <c r="R1183" s="7" t="str">
        <f>IF('Port Bloomberg'!R1183="","",'Port Bloomberg'!R1183)</f>
        <v/>
      </c>
      <c r="S1183" s="5" t="str">
        <f>IF(E1183="","",IFERROR(IF(MATCH(E1183,[1]Instrumentos!$D:$D,0)&gt;0,1,0),0))</f>
        <v/>
      </c>
      <c r="T1183" s="5" t="str">
        <f>IF(E1183="","",IFERROR(IF(MATCH(E1183,'Lista de excepciones'!$E:$E,0)&gt;0,1,0),0))</f>
        <v/>
      </c>
      <c r="U1183" s="6" t="str">
        <f t="shared" si="19"/>
        <v/>
      </c>
    </row>
    <row r="1184" spans="1:21" hidden="1" x14ac:dyDescent="0.25">
      <c r="A1184" s="7" t="str">
        <f>IF('Port Bloomberg'!A1184="","",'Port Bloomberg'!A1184)</f>
        <v/>
      </c>
      <c r="B1184" s="7" t="str">
        <f>IF('Port Bloomberg'!B1184="","",'Port Bloomberg'!B1184)</f>
        <v/>
      </c>
      <c r="C1184" s="7" t="str">
        <f>IF('Port Bloomberg'!C1184="","",'Port Bloomberg'!C1184)</f>
        <v/>
      </c>
      <c r="D1184" s="7" t="str">
        <f>IF('Port Bloomberg'!D1184="","",'Port Bloomberg'!D1184)</f>
        <v/>
      </c>
      <c r="E1184" s="7" t="str">
        <f>IF('Port Bloomberg'!E1184="","",'Port Bloomberg'!E1184)</f>
        <v/>
      </c>
      <c r="F1184" s="7" t="str">
        <f>IF('Port Bloomberg'!F1184="","",'Port Bloomberg'!F1184)</f>
        <v/>
      </c>
      <c r="G1184" s="7" t="str">
        <f>IF('Port Bloomberg'!G1184="","",'Port Bloomberg'!G1184)</f>
        <v/>
      </c>
      <c r="H1184" s="7" t="str">
        <f>IF('Port Bloomberg'!H1184="","",'Port Bloomberg'!H1184)</f>
        <v/>
      </c>
      <c r="I1184" s="7" t="str">
        <f>IF('Port Bloomberg'!I1184="","",'Port Bloomberg'!I1184)</f>
        <v/>
      </c>
      <c r="J1184" s="7" t="str">
        <f>IF('Port Bloomberg'!J1184="","",'Port Bloomberg'!J1184)</f>
        <v/>
      </c>
      <c r="K1184" s="7" t="str">
        <f>IF('Port Bloomberg'!K1184="","",'Port Bloomberg'!K1184)</f>
        <v/>
      </c>
      <c r="L1184" s="7" t="str">
        <f>IF('Port Bloomberg'!L1184="","",'Port Bloomberg'!L1184)</f>
        <v/>
      </c>
      <c r="M1184" s="7" t="str">
        <f>IF('Port Bloomberg'!M1184="","",'Port Bloomberg'!M1184)</f>
        <v/>
      </c>
      <c r="N1184" s="7" t="str">
        <f>IF('Port Bloomberg'!N1184="","",'Port Bloomberg'!N1184)</f>
        <v/>
      </c>
      <c r="O1184" s="7" t="str">
        <f>IF('Port Bloomberg'!O1184="","",'Port Bloomberg'!O1184)</f>
        <v/>
      </c>
      <c r="P1184" s="7" t="str">
        <f>IF('Port Bloomberg'!P1184="","",'Port Bloomberg'!P1184)</f>
        <v/>
      </c>
      <c r="Q1184" s="7" t="str">
        <f>IF('Port Bloomberg'!Q1184="","",'Port Bloomberg'!Q1184)</f>
        <v/>
      </c>
      <c r="R1184" s="7" t="str">
        <f>IF('Port Bloomberg'!R1184="","",'Port Bloomberg'!R1184)</f>
        <v/>
      </c>
      <c r="S1184" s="5" t="str">
        <f>IF(E1184="","",IFERROR(IF(MATCH(E1184,[1]Instrumentos!$D:$D,0)&gt;0,1,0),0))</f>
        <v/>
      </c>
      <c r="T1184" s="5" t="str">
        <f>IF(E1184="","",IFERROR(IF(MATCH(E1184,'Lista de excepciones'!$E:$E,0)&gt;0,1,0),0))</f>
        <v/>
      </c>
      <c r="U1184" s="6" t="str">
        <f t="shared" si="19"/>
        <v/>
      </c>
    </row>
    <row r="1185" spans="1:21" hidden="1" x14ac:dyDescent="0.25">
      <c r="A1185" s="7" t="str">
        <f>IF('Port Bloomberg'!A1185="","",'Port Bloomberg'!A1185)</f>
        <v/>
      </c>
      <c r="B1185" s="7" t="str">
        <f>IF('Port Bloomberg'!B1185="","",'Port Bloomberg'!B1185)</f>
        <v/>
      </c>
      <c r="C1185" s="7" t="str">
        <f>IF('Port Bloomberg'!C1185="","",'Port Bloomberg'!C1185)</f>
        <v/>
      </c>
      <c r="D1185" s="7" t="str">
        <f>IF('Port Bloomberg'!D1185="","",'Port Bloomberg'!D1185)</f>
        <v/>
      </c>
      <c r="E1185" s="7" t="str">
        <f>IF('Port Bloomberg'!E1185="","",'Port Bloomberg'!E1185)</f>
        <v/>
      </c>
      <c r="F1185" s="7" t="str">
        <f>IF('Port Bloomberg'!F1185="","",'Port Bloomberg'!F1185)</f>
        <v/>
      </c>
      <c r="G1185" s="7" t="str">
        <f>IF('Port Bloomberg'!G1185="","",'Port Bloomberg'!G1185)</f>
        <v/>
      </c>
      <c r="H1185" s="7" t="str">
        <f>IF('Port Bloomberg'!H1185="","",'Port Bloomberg'!H1185)</f>
        <v/>
      </c>
      <c r="I1185" s="7" t="str">
        <f>IF('Port Bloomberg'!I1185="","",'Port Bloomberg'!I1185)</f>
        <v/>
      </c>
      <c r="J1185" s="7" t="str">
        <f>IF('Port Bloomberg'!J1185="","",'Port Bloomberg'!J1185)</f>
        <v/>
      </c>
      <c r="K1185" s="7" t="str">
        <f>IF('Port Bloomberg'!K1185="","",'Port Bloomberg'!K1185)</f>
        <v/>
      </c>
      <c r="L1185" s="7" t="str">
        <f>IF('Port Bloomberg'!L1185="","",'Port Bloomberg'!L1185)</f>
        <v/>
      </c>
      <c r="M1185" s="7" t="str">
        <f>IF('Port Bloomberg'!M1185="","",'Port Bloomberg'!M1185)</f>
        <v/>
      </c>
      <c r="N1185" s="7" t="str">
        <f>IF('Port Bloomberg'!N1185="","",'Port Bloomberg'!N1185)</f>
        <v/>
      </c>
      <c r="O1185" s="7" t="str">
        <f>IF('Port Bloomberg'!O1185="","",'Port Bloomberg'!O1185)</f>
        <v/>
      </c>
      <c r="P1185" s="7" t="str">
        <f>IF('Port Bloomberg'!P1185="","",'Port Bloomberg'!P1185)</f>
        <v/>
      </c>
      <c r="Q1185" s="7" t="str">
        <f>IF('Port Bloomberg'!Q1185="","",'Port Bloomberg'!Q1185)</f>
        <v/>
      </c>
      <c r="R1185" s="7" t="str">
        <f>IF('Port Bloomberg'!R1185="","",'Port Bloomberg'!R1185)</f>
        <v/>
      </c>
      <c r="S1185" s="5" t="str">
        <f>IF(E1185="","",IFERROR(IF(MATCH(E1185,[1]Instrumentos!$D:$D,0)&gt;0,1,0),0))</f>
        <v/>
      </c>
      <c r="T1185" s="5" t="str">
        <f>IF(E1185="","",IFERROR(IF(MATCH(E1185,'Lista de excepciones'!$E:$E,0)&gt;0,1,0),0))</f>
        <v/>
      </c>
      <c r="U1185" s="6" t="str">
        <f t="shared" si="19"/>
        <v/>
      </c>
    </row>
    <row r="1186" spans="1:21" hidden="1" x14ac:dyDescent="0.25">
      <c r="A1186" s="7" t="str">
        <f>IF('Port Bloomberg'!A1186="","",'Port Bloomberg'!A1186)</f>
        <v/>
      </c>
      <c r="B1186" s="7" t="str">
        <f>IF('Port Bloomberg'!B1186="","",'Port Bloomberg'!B1186)</f>
        <v/>
      </c>
      <c r="C1186" s="7" t="str">
        <f>IF('Port Bloomberg'!C1186="","",'Port Bloomberg'!C1186)</f>
        <v/>
      </c>
      <c r="D1186" s="7" t="str">
        <f>IF('Port Bloomberg'!D1186="","",'Port Bloomberg'!D1186)</f>
        <v/>
      </c>
      <c r="E1186" s="7" t="str">
        <f>IF('Port Bloomberg'!E1186="","",'Port Bloomberg'!E1186)</f>
        <v/>
      </c>
      <c r="F1186" s="7" t="str">
        <f>IF('Port Bloomberg'!F1186="","",'Port Bloomberg'!F1186)</f>
        <v/>
      </c>
      <c r="G1186" s="7" t="str">
        <f>IF('Port Bloomberg'!G1186="","",'Port Bloomberg'!G1186)</f>
        <v/>
      </c>
      <c r="H1186" s="7" t="str">
        <f>IF('Port Bloomberg'!H1186="","",'Port Bloomberg'!H1186)</f>
        <v/>
      </c>
      <c r="I1186" s="7" t="str">
        <f>IF('Port Bloomberg'!I1186="","",'Port Bloomberg'!I1186)</f>
        <v/>
      </c>
      <c r="J1186" s="7" t="str">
        <f>IF('Port Bloomberg'!J1186="","",'Port Bloomberg'!J1186)</f>
        <v/>
      </c>
      <c r="K1186" s="7" t="str">
        <f>IF('Port Bloomberg'!K1186="","",'Port Bloomberg'!K1186)</f>
        <v/>
      </c>
      <c r="L1186" s="7" t="str">
        <f>IF('Port Bloomberg'!L1186="","",'Port Bloomberg'!L1186)</f>
        <v/>
      </c>
      <c r="M1186" s="7" t="str">
        <f>IF('Port Bloomberg'!M1186="","",'Port Bloomberg'!M1186)</f>
        <v/>
      </c>
      <c r="N1186" s="7" t="str">
        <f>IF('Port Bloomberg'!N1186="","",'Port Bloomberg'!N1186)</f>
        <v/>
      </c>
      <c r="O1186" s="7" t="str">
        <f>IF('Port Bloomberg'!O1186="","",'Port Bloomberg'!O1186)</f>
        <v/>
      </c>
      <c r="P1186" s="7" t="str">
        <f>IF('Port Bloomberg'!P1186="","",'Port Bloomberg'!P1186)</f>
        <v/>
      </c>
      <c r="Q1186" s="7" t="str">
        <f>IF('Port Bloomberg'!Q1186="","",'Port Bloomberg'!Q1186)</f>
        <v/>
      </c>
      <c r="R1186" s="7" t="str">
        <f>IF('Port Bloomberg'!R1186="","",'Port Bloomberg'!R1186)</f>
        <v/>
      </c>
      <c r="S1186" s="5" t="str">
        <f>IF(E1186="","",IFERROR(IF(MATCH(E1186,[1]Instrumentos!$D:$D,0)&gt;0,1,0),0))</f>
        <v/>
      </c>
      <c r="T1186" s="5" t="str">
        <f>IF(E1186="","",IFERROR(IF(MATCH(E1186,'Lista de excepciones'!$E:$E,0)&gt;0,1,0),0))</f>
        <v/>
      </c>
      <c r="U1186" s="6" t="str">
        <f t="shared" si="19"/>
        <v/>
      </c>
    </row>
    <row r="1187" spans="1:21" hidden="1" x14ac:dyDescent="0.25">
      <c r="A1187" s="7" t="str">
        <f>IF('Port Bloomberg'!A1187="","",'Port Bloomberg'!A1187)</f>
        <v/>
      </c>
      <c r="B1187" s="7" t="str">
        <f>IF('Port Bloomberg'!B1187="","",'Port Bloomberg'!B1187)</f>
        <v/>
      </c>
      <c r="C1187" s="7" t="str">
        <f>IF('Port Bloomberg'!C1187="","",'Port Bloomberg'!C1187)</f>
        <v/>
      </c>
      <c r="D1187" s="7" t="str">
        <f>IF('Port Bloomberg'!D1187="","",'Port Bloomberg'!D1187)</f>
        <v/>
      </c>
      <c r="E1187" s="7" t="str">
        <f>IF('Port Bloomberg'!E1187="","",'Port Bloomberg'!E1187)</f>
        <v/>
      </c>
      <c r="F1187" s="7" t="str">
        <f>IF('Port Bloomberg'!F1187="","",'Port Bloomberg'!F1187)</f>
        <v/>
      </c>
      <c r="G1187" s="7" t="str">
        <f>IF('Port Bloomberg'!G1187="","",'Port Bloomberg'!G1187)</f>
        <v/>
      </c>
      <c r="H1187" s="7" t="str">
        <f>IF('Port Bloomberg'!H1187="","",'Port Bloomberg'!H1187)</f>
        <v/>
      </c>
      <c r="I1187" s="7" t="str">
        <f>IF('Port Bloomberg'!I1187="","",'Port Bloomberg'!I1187)</f>
        <v/>
      </c>
      <c r="J1187" s="7" t="str">
        <f>IF('Port Bloomberg'!J1187="","",'Port Bloomberg'!J1187)</f>
        <v/>
      </c>
      <c r="K1187" s="7" t="str">
        <f>IF('Port Bloomberg'!K1187="","",'Port Bloomberg'!K1187)</f>
        <v/>
      </c>
      <c r="L1187" s="7" t="str">
        <f>IF('Port Bloomberg'!L1187="","",'Port Bloomberg'!L1187)</f>
        <v/>
      </c>
      <c r="M1187" s="7" t="str">
        <f>IF('Port Bloomberg'!M1187="","",'Port Bloomberg'!M1187)</f>
        <v/>
      </c>
      <c r="N1187" s="7" t="str">
        <f>IF('Port Bloomberg'!N1187="","",'Port Bloomberg'!N1187)</f>
        <v/>
      </c>
      <c r="O1187" s="7" t="str">
        <f>IF('Port Bloomberg'!O1187="","",'Port Bloomberg'!O1187)</f>
        <v/>
      </c>
      <c r="P1187" s="7" t="str">
        <f>IF('Port Bloomberg'!P1187="","",'Port Bloomberg'!P1187)</f>
        <v/>
      </c>
      <c r="Q1187" s="7" t="str">
        <f>IF('Port Bloomberg'!Q1187="","",'Port Bloomberg'!Q1187)</f>
        <v/>
      </c>
      <c r="R1187" s="7" t="str">
        <f>IF('Port Bloomberg'!R1187="","",'Port Bloomberg'!R1187)</f>
        <v/>
      </c>
      <c r="S1187" s="5" t="str">
        <f>IF(E1187="","",IFERROR(IF(MATCH(E1187,[1]Instrumentos!$D:$D,0)&gt;0,1,0),0))</f>
        <v/>
      </c>
      <c r="T1187" s="5" t="str">
        <f>IF(E1187="","",IFERROR(IF(MATCH(E1187,'Lista de excepciones'!$E:$E,0)&gt;0,1,0),0))</f>
        <v/>
      </c>
      <c r="U1187" s="6" t="str">
        <f t="shared" si="19"/>
        <v/>
      </c>
    </row>
    <row r="1188" spans="1:21" hidden="1" x14ac:dyDescent="0.25">
      <c r="A1188" s="7" t="str">
        <f>IF('Port Bloomberg'!A1188="","",'Port Bloomberg'!A1188)</f>
        <v/>
      </c>
      <c r="B1188" s="7" t="str">
        <f>IF('Port Bloomberg'!B1188="","",'Port Bloomberg'!B1188)</f>
        <v/>
      </c>
      <c r="C1188" s="7" t="str">
        <f>IF('Port Bloomberg'!C1188="","",'Port Bloomberg'!C1188)</f>
        <v/>
      </c>
      <c r="D1188" s="7" t="str">
        <f>IF('Port Bloomberg'!D1188="","",'Port Bloomberg'!D1188)</f>
        <v/>
      </c>
      <c r="E1188" s="7" t="str">
        <f>IF('Port Bloomberg'!E1188="","",'Port Bloomberg'!E1188)</f>
        <v/>
      </c>
      <c r="F1188" s="7" t="str">
        <f>IF('Port Bloomberg'!F1188="","",'Port Bloomberg'!F1188)</f>
        <v/>
      </c>
      <c r="G1188" s="7" t="str">
        <f>IF('Port Bloomberg'!G1188="","",'Port Bloomberg'!G1188)</f>
        <v/>
      </c>
      <c r="H1188" s="7" t="str">
        <f>IF('Port Bloomberg'!H1188="","",'Port Bloomberg'!H1188)</f>
        <v/>
      </c>
      <c r="I1188" s="7" t="str">
        <f>IF('Port Bloomberg'!I1188="","",'Port Bloomberg'!I1188)</f>
        <v/>
      </c>
      <c r="J1188" s="7" t="str">
        <f>IF('Port Bloomberg'!J1188="","",'Port Bloomberg'!J1188)</f>
        <v/>
      </c>
      <c r="K1188" s="7" t="str">
        <f>IF('Port Bloomberg'!K1188="","",'Port Bloomberg'!K1188)</f>
        <v/>
      </c>
      <c r="L1188" s="7" t="str">
        <f>IF('Port Bloomberg'!L1188="","",'Port Bloomberg'!L1188)</f>
        <v/>
      </c>
      <c r="M1188" s="7" t="str">
        <f>IF('Port Bloomberg'!M1188="","",'Port Bloomberg'!M1188)</f>
        <v/>
      </c>
      <c r="N1188" s="7" t="str">
        <f>IF('Port Bloomberg'!N1188="","",'Port Bloomberg'!N1188)</f>
        <v/>
      </c>
      <c r="O1188" s="7" t="str">
        <f>IF('Port Bloomberg'!O1188="","",'Port Bloomberg'!O1188)</f>
        <v/>
      </c>
      <c r="P1188" s="7" t="str">
        <f>IF('Port Bloomberg'!P1188="","",'Port Bloomberg'!P1188)</f>
        <v/>
      </c>
      <c r="Q1188" s="7" t="str">
        <f>IF('Port Bloomberg'!Q1188="","",'Port Bloomberg'!Q1188)</f>
        <v/>
      </c>
      <c r="R1188" s="7" t="str">
        <f>IF('Port Bloomberg'!R1188="","",'Port Bloomberg'!R1188)</f>
        <v/>
      </c>
      <c r="S1188" s="5" t="str">
        <f>IF(E1188="","",IFERROR(IF(MATCH(E1188,[1]Instrumentos!$D:$D,0)&gt;0,1,0),0))</f>
        <v/>
      </c>
      <c r="T1188" s="5" t="str">
        <f>IF(E1188="","",IFERROR(IF(MATCH(E1188,'Lista de excepciones'!$E:$E,0)&gt;0,1,0),0))</f>
        <v/>
      </c>
      <c r="U1188" s="6" t="str">
        <f t="shared" si="19"/>
        <v/>
      </c>
    </row>
    <row r="1189" spans="1:21" hidden="1" x14ac:dyDescent="0.25">
      <c r="A1189" s="7" t="str">
        <f>IF('Port Bloomberg'!A1189="","",'Port Bloomberg'!A1189)</f>
        <v/>
      </c>
      <c r="B1189" s="7" t="str">
        <f>IF('Port Bloomberg'!B1189="","",'Port Bloomberg'!B1189)</f>
        <v/>
      </c>
      <c r="C1189" s="7" t="str">
        <f>IF('Port Bloomberg'!C1189="","",'Port Bloomberg'!C1189)</f>
        <v/>
      </c>
      <c r="D1189" s="7" t="str">
        <f>IF('Port Bloomberg'!D1189="","",'Port Bloomberg'!D1189)</f>
        <v/>
      </c>
      <c r="E1189" s="7" t="str">
        <f>IF('Port Bloomberg'!E1189="","",'Port Bloomberg'!E1189)</f>
        <v/>
      </c>
      <c r="F1189" s="7" t="str">
        <f>IF('Port Bloomberg'!F1189="","",'Port Bloomberg'!F1189)</f>
        <v/>
      </c>
      <c r="G1189" s="7" t="str">
        <f>IF('Port Bloomberg'!G1189="","",'Port Bloomberg'!G1189)</f>
        <v/>
      </c>
      <c r="H1189" s="7" t="str">
        <f>IF('Port Bloomberg'!H1189="","",'Port Bloomberg'!H1189)</f>
        <v/>
      </c>
      <c r="I1189" s="7" t="str">
        <f>IF('Port Bloomberg'!I1189="","",'Port Bloomberg'!I1189)</f>
        <v/>
      </c>
      <c r="J1189" s="7" t="str">
        <f>IF('Port Bloomberg'!J1189="","",'Port Bloomberg'!J1189)</f>
        <v/>
      </c>
      <c r="K1189" s="7" t="str">
        <f>IF('Port Bloomberg'!K1189="","",'Port Bloomberg'!K1189)</f>
        <v/>
      </c>
      <c r="L1189" s="7" t="str">
        <f>IF('Port Bloomberg'!L1189="","",'Port Bloomberg'!L1189)</f>
        <v/>
      </c>
      <c r="M1189" s="7" t="str">
        <f>IF('Port Bloomberg'!M1189="","",'Port Bloomberg'!M1189)</f>
        <v/>
      </c>
      <c r="N1189" s="7" t="str">
        <f>IF('Port Bloomberg'!N1189="","",'Port Bloomberg'!N1189)</f>
        <v/>
      </c>
      <c r="O1189" s="7" t="str">
        <f>IF('Port Bloomberg'!O1189="","",'Port Bloomberg'!O1189)</f>
        <v/>
      </c>
      <c r="P1189" s="7" t="str">
        <f>IF('Port Bloomberg'!P1189="","",'Port Bloomberg'!P1189)</f>
        <v/>
      </c>
      <c r="Q1189" s="7" t="str">
        <f>IF('Port Bloomberg'!Q1189="","",'Port Bloomberg'!Q1189)</f>
        <v/>
      </c>
      <c r="R1189" s="7" t="str">
        <f>IF('Port Bloomberg'!R1189="","",'Port Bloomberg'!R1189)</f>
        <v/>
      </c>
      <c r="S1189" s="5" t="str">
        <f>IF(E1189="","",IFERROR(IF(MATCH(E1189,[1]Instrumentos!$D:$D,0)&gt;0,1,0),0))</f>
        <v/>
      </c>
      <c r="T1189" s="5" t="str">
        <f>IF(E1189="","",IFERROR(IF(MATCH(E1189,'Lista de excepciones'!$E:$E,0)&gt;0,1,0),0))</f>
        <v/>
      </c>
      <c r="U1189" s="6" t="str">
        <f t="shared" si="19"/>
        <v/>
      </c>
    </row>
    <row r="1190" spans="1:21" hidden="1" x14ac:dyDescent="0.25">
      <c r="A1190" s="7" t="str">
        <f>IF('Port Bloomberg'!A1190="","",'Port Bloomberg'!A1190)</f>
        <v/>
      </c>
      <c r="B1190" s="7" t="str">
        <f>IF('Port Bloomberg'!B1190="","",'Port Bloomberg'!B1190)</f>
        <v/>
      </c>
      <c r="C1190" s="7" t="str">
        <f>IF('Port Bloomberg'!C1190="","",'Port Bloomberg'!C1190)</f>
        <v/>
      </c>
      <c r="D1190" s="7" t="str">
        <f>IF('Port Bloomberg'!D1190="","",'Port Bloomberg'!D1190)</f>
        <v/>
      </c>
      <c r="E1190" s="7" t="str">
        <f>IF('Port Bloomberg'!E1190="","",'Port Bloomberg'!E1190)</f>
        <v/>
      </c>
      <c r="F1190" s="7" t="str">
        <f>IF('Port Bloomberg'!F1190="","",'Port Bloomberg'!F1190)</f>
        <v/>
      </c>
      <c r="G1190" s="7" t="str">
        <f>IF('Port Bloomberg'!G1190="","",'Port Bloomberg'!G1190)</f>
        <v/>
      </c>
      <c r="H1190" s="7" t="str">
        <f>IF('Port Bloomberg'!H1190="","",'Port Bloomberg'!H1190)</f>
        <v/>
      </c>
      <c r="I1190" s="7" t="str">
        <f>IF('Port Bloomberg'!I1190="","",'Port Bloomberg'!I1190)</f>
        <v/>
      </c>
      <c r="J1190" s="7" t="str">
        <f>IF('Port Bloomberg'!J1190="","",'Port Bloomberg'!J1190)</f>
        <v/>
      </c>
      <c r="K1190" s="7" t="str">
        <f>IF('Port Bloomberg'!K1190="","",'Port Bloomberg'!K1190)</f>
        <v/>
      </c>
      <c r="L1190" s="7" t="str">
        <f>IF('Port Bloomberg'!L1190="","",'Port Bloomberg'!L1190)</f>
        <v/>
      </c>
      <c r="M1190" s="7" t="str">
        <f>IF('Port Bloomberg'!M1190="","",'Port Bloomberg'!M1190)</f>
        <v/>
      </c>
      <c r="N1190" s="7" t="str">
        <f>IF('Port Bloomberg'!N1190="","",'Port Bloomberg'!N1190)</f>
        <v/>
      </c>
      <c r="O1190" s="7" t="str">
        <f>IF('Port Bloomberg'!O1190="","",'Port Bloomberg'!O1190)</f>
        <v/>
      </c>
      <c r="P1190" s="7" t="str">
        <f>IF('Port Bloomberg'!P1190="","",'Port Bloomberg'!P1190)</f>
        <v/>
      </c>
      <c r="Q1190" s="7" t="str">
        <f>IF('Port Bloomberg'!Q1190="","",'Port Bloomberg'!Q1190)</f>
        <v/>
      </c>
      <c r="R1190" s="7" t="str">
        <f>IF('Port Bloomberg'!R1190="","",'Port Bloomberg'!R1190)</f>
        <v/>
      </c>
      <c r="S1190" s="5" t="str">
        <f>IF(E1190="","",IFERROR(IF(MATCH(E1190,[1]Instrumentos!$D:$D,0)&gt;0,1,0),0))</f>
        <v/>
      </c>
      <c r="T1190" s="5" t="str">
        <f>IF(E1190="","",IFERROR(IF(MATCH(E1190,'Lista de excepciones'!$E:$E,0)&gt;0,1,0),0))</f>
        <v/>
      </c>
      <c r="U1190" s="6" t="str">
        <f t="shared" si="19"/>
        <v/>
      </c>
    </row>
    <row r="1191" spans="1:21" hidden="1" x14ac:dyDescent="0.25">
      <c r="A1191" s="7" t="str">
        <f>IF('Port Bloomberg'!A1191="","",'Port Bloomberg'!A1191)</f>
        <v/>
      </c>
      <c r="B1191" s="7" t="str">
        <f>IF('Port Bloomberg'!B1191="","",'Port Bloomberg'!B1191)</f>
        <v/>
      </c>
      <c r="C1191" s="7" t="str">
        <f>IF('Port Bloomberg'!C1191="","",'Port Bloomberg'!C1191)</f>
        <v/>
      </c>
      <c r="D1191" s="7" t="str">
        <f>IF('Port Bloomberg'!D1191="","",'Port Bloomberg'!D1191)</f>
        <v/>
      </c>
      <c r="E1191" s="7" t="str">
        <f>IF('Port Bloomberg'!E1191="","",'Port Bloomberg'!E1191)</f>
        <v/>
      </c>
      <c r="F1191" s="7" t="str">
        <f>IF('Port Bloomberg'!F1191="","",'Port Bloomberg'!F1191)</f>
        <v/>
      </c>
      <c r="G1191" s="7" t="str">
        <f>IF('Port Bloomberg'!G1191="","",'Port Bloomberg'!G1191)</f>
        <v/>
      </c>
      <c r="H1191" s="7" t="str">
        <f>IF('Port Bloomberg'!H1191="","",'Port Bloomberg'!H1191)</f>
        <v/>
      </c>
      <c r="I1191" s="7" t="str">
        <f>IF('Port Bloomberg'!I1191="","",'Port Bloomberg'!I1191)</f>
        <v/>
      </c>
      <c r="J1191" s="7" t="str">
        <f>IF('Port Bloomberg'!J1191="","",'Port Bloomberg'!J1191)</f>
        <v/>
      </c>
      <c r="K1191" s="7" t="str">
        <f>IF('Port Bloomberg'!K1191="","",'Port Bloomberg'!K1191)</f>
        <v/>
      </c>
      <c r="L1191" s="7" t="str">
        <f>IF('Port Bloomberg'!L1191="","",'Port Bloomberg'!L1191)</f>
        <v/>
      </c>
      <c r="M1191" s="7" t="str">
        <f>IF('Port Bloomberg'!M1191="","",'Port Bloomberg'!M1191)</f>
        <v/>
      </c>
      <c r="N1191" s="7" t="str">
        <f>IF('Port Bloomberg'!N1191="","",'Port Bloomberg'!N1191)</f>
        <v/>
      </c>
      <c r="O1191" s="7" t="str">
        <f>IF('Port Bloomberg'!O1191="","",'Port Bloomberg'!O1191)</f>
        <v/>
      </c>
      <c r="P1191" s="7" t="str">
        <f>IF('Port Bloomberg'!P1191="","",'Port Bloomberg'!P1191)</f>
        <v/>
      </c>
      <c r="Q1191" s="7" t="str">
        <f>IF('Port Bloomberg'!Q1191="","",'Port Bloomberg'!Q1191)</f>
        <v/>
      </c>
      <c r="R1191" s="7" t="str">
        <f>IF('Port Bloomberg'!R1191="","",'Port Bloomberg'!R1191)</f>
        <v/>
      </c>
      <c r="S1191" s="5" t="str">
        <f>IF(E1191="","",IFERROR(IF(MATCH(E1191,[1]Instrumentos!$D:$D,0)&gt;0,1,0),0))</f>
        <v/>
      </c>
      <c r="T1191" s="5" t="str">
        <f>IF(E1191="","",IFERROR(IF(MATCH(E1191,'Lista de excepciones'!$E:$E,0)&gt;0,1,0),0))</f>
        <v/>
      </c>
      <c r="U1191" s="6" t="str">
        <f t="shared" si="19"/>
        <v/>
      </c>
    </row>
    <row r="1192" spans="1:21" hidden="1" x14ac:dyDescent="0.25">
      <c r="A1192" s="7" t="str">
        <f>IF('Port Bloomberg'!A1192="","",'Port Bloomberg'!A1192)</f>
        <v/>
      </c>
      <c r="B1192" s="7" t="str">
        <f>IF('Port Bloomberg'!B1192="","",'Port Bloomberg'!B1192)</f>
        <v/>
      </c>
      <c r="C1192" s="7" t="str">
        <f>IF('Port Bloomberg'!C1192="","",'Port Bloomberg'!C1192)</f>
        <v/>
      </c>
      <c r="D1192" s="7" t="str">
        <f>IF('Port Bloomberg'!D1192="","",'Port Bloomberg'!D1192)</f>
        <v/>
      </c>
      <c r="E1192" s="7" t="str">
        <f>IF('Port Bloomberg'!E1192="","",'Port Bloomberg'!E1192)</f>
        <v/>
      </c>
      <c r="F1192" s="7" t="str">
        <f>IF('Port Bloomberg'!F1192="","",'Port Bloomberg'!F1192)</f>
        <v/>
      </c>
      <c r="G1192" s="7" t="str">
        <f>IF('Port Bloomberg'!G1192="","",'Port Bloomberg'!G1192)</f>
        <v/>
      </c>
      <c r="H1192" s="7" t="str">
        <f>IF('Port Bloomberg'!H1192="","",'Port Bloomberg'!H1192)</f>
        <v/>
      </c>
      <c r="I1192" s="7" t="str">
        <f>IF('Port Bloomberg'!I1192="","",'Port Bloomberg'!I1192)</f>
        <v/>
      </c>
      <c r="J1192" s="7" t="str">
        <f>IF('Port Bloomberg'!J1192="","",'Port Bloomberg'!J1192)</f>
        <v/>
      </c>
      <c r="K1192" s="7" t="str">
        <f>IF('Port Bloomberg'!K1192="","",'Port Bloomberg'!K1192)</f>
        <v/>
      </c>
      <c r="L1192" s="7" t="str">
        <f>IF('Port Bloomberg'!L1192="","",'Port Bloomberg'!L1192)</f>
        <v/>
      </c>
      <c r="M1192" s="7" t="str">
        <f>IF('Port Bloomberg'!M1192="","",'Port Bloomberg'!M1192)</f>
        <v/>
      </c>
      <c r="N1192" s="7" t="str">
        <f>IF('Port Bloomberg'!N1192="","",'Port Bloomberg'!N1192)</f>
        <v/>
      </c>
      <c r="O1192" s="7" t="str">
        <f>IF('Port Bloomberg'!O1192="","",'Port Bloomberg'!O1192)</f>
        <v/>
      </c>
      <c r="P1192" s="7" t="str">
        <f>IF('Port Bloomberg'!P1192="","",'Port Bloomberg'!P1192)</f>
        <v/>
      </c>
      <c r="Q1192" s="7" t="str">
        <f>IF('Port Bloomberg'!Q1192="","",'Port Bloomberg'!Q1192)</f>
        <v/>
      </c>
      <c r="R1192" s="7" t="str">
        <f>IF('Port Bloomberg'!R1192="","",'Port Bloomberg'!R1192)</f>
        <v/>
      </c>
      <c r="S1192" s="5" t="str">
        <f>IF(E1192="","",IFERROR(IF(MATCH(E1192,[1]Instrumentos!$D:$D,0)&gt;0,1,0),0))</f>
        <v/>
      </c>
      <c r="T1192" s="5" t="str">
        <f>IF(E1192="","",IFERROR(IF(MATCH(E1192,'Lista de excepciones'!$E:$E,0)&gt;0,1,0),0))</f>
        <v/>
      </c>
      <c r="U1192" s="6" t="str">
        <f t="shared" si="19"/>
        <v/>
      </c>
    </row>
    <row r="1193" spans="1:21" hidden="1" x14ac:dyDescent="0.25">
      <c r="A1193" s="7" t="str">
        <f>IF('Port Bloomberg'!A1193="","",'Port Bloomberg'!A1193)</f>
        <v/>
      </c>
      <c r="B1193" s="7" t="str">
        <f>IF('Port Bloomberg'!B1193="","",'Port Bloomberg'!B1193)</f>
        <v/>
      </c>
      <c r="C1193" s="7" t="str">
        <f>IF('Port Bloomberg'!C1193="","",'Port Bloomberg'!C1193)</f>
        <v/>
      </c>
      <c r="D1193" s="7" t="str">
        <f>IF('Port Bloomberg'!D1193="","",'Port Bloomberg'!D1193)</f>
        <v/>
      </c>
      <c r="E1193" s="7" t="str">
        <f>IF('Port Bloomberg'!E1193="","",'Port Bloomberg'!E1193)</f>
        <v/>
      </c>
      <c r="F1193" s="7" t="str">
        <f>IF('Port Bloomberg'!F1193="","",'Port Bloomberg'!F1193)</f>
        <v/>
      </c>
      <c r="G1193" s="7" t="str">
        <f>IF('Port Bloomberg'!G1193="","",'Port Bloomberg'!G1193)</f>
        <v/>
      </c>
      <c r="H1193" s="7" t="str">
        <f>IF('Port Bloomberg'!H1193="","",'Port Bloomberg'!H1193)</f>
        <v/>
      </c>
      <c r="I1193" s="7" t="str">
        <f>IF('Port Bloomberg'!I1193="","",'Port Bloomberg'!I1193)</f>
        <v/>
      </c>
      <c r="J1193" s="7" t="str">
        <f>IF('Port Bloomberg'!J1193="","",'Port Bloomberg'!J1193)</f>
        <v/>
      </c>
      <c r="K1193" s="7" t="str">
        <f>IF('Port Bloomberg'!K1193="","",'Port Bloomberg'!K1193)</f>
        <v/>
      </c>
      <c r="L1193" s="7" t="str">
        <f>IF('Port Bloomberg'!L1193="","",'Port Bloomberg'!L1193)</f>
        <v/>
      </c>
      <c r="M1193" s="7" t="str">
        <f>IF('Port Bloomberg'!M1193="","",'Port Bloomberg'!M1193)</f>
        <v/>
      </c>
      <c r="N1193" s="7" t="str">
        <f>IF('Port Bloomberg'!N1193="","",'Port Bloomberg'!N1193)</f>
        <v/>
      </c>
      <c r="O1193" s="7" t="str">
        <f>IF('Port Bloomberg'!O1193="","",'Port Bloomberg'!O1193)</f>
        <v/>
      </c>
      <c r="P1193" s="7" t="str">
        <f>IF('Port Bloomberg'!P1193="","",'Port Bloomberg'!P1193)</f>
        <v/>
      </c>
      <c r="Q1193" s="7" t="str">
        <f>IF('Port Bloomberg'!Q1193="","",'Port Bloomberg'!Q1193)</f>
        <v/>
      </c>
      <c r="R1193" s="7" t="str">
        <f>IF('Port Bloomberg'!R1193="","",'Port Bloomberg'!R1193)</f>
        <v/>
      </c>
      <c r="S1193" s="5" t="str">
        <f>IF(E1193="","",IFERROR(IF(MATCH(E1193,[1]Instrumentos!$D:$D,0)&gt;0,1,0),0))</f>
        <v/>
      </c>
      <c r="T1193" s="5" t="str">
        <f>IF(E1193="","",IFERROR(IF(MATCH(E1193,'Lista de excepciones'!$E:$E,0)&gt;0,1,0),0))</f>
        <v/>
      </c>
      <c r="U1193" s="6" t="str">
        <f t="shared" si="19"/>
        <v/>
      </c>
    </row>
    <row r="1194" spans="1:21" hidden="1" x14ac:dyDescent="0.25">
      <c r="A1194" s="7" t="str">
        <f>IF('Port Bloomberg'!A1194="","",'Port Bloomberg'!A1194)</f>
        <v/>
      </c>
      <c r="B1194" s="7" t="str">
        <f>IF('Port Bloomberg'!B1194="","",'Port Bloomberg'!B1194)</f>
        <v/>
      </c>
      <c r="C1194" s="7" t="str">
        <f>IF('Port Bloomberg'!C1194="","",'Port Bloomberg'!C1194)</f>
        <v/>
      </c>
      <c r="D1194" s="7" t="str">
        <f>IF('Port Bloomberg'!D1194="","",'Port Bloomberg'!D1194)</f>
        <v/>
      </c>
      <c r="E1194" s="7" t="str">
        <f>IF('Port Bloomberg'!E1194="","",'Port Bloomberg'!E1194)</f>
        <v/>
      </c>
      <c r="F1194" s="7" t="str">
        <f>IF('Port Bloomberg'!F1194="","",'Port Bloomberg'!F1194)</f>
        <v/>
      </c>
      <c r="G1194" s="7" t="str">
        <f>IF('Port Bloomberg'!G1194="","",'Port Bloomberg'!G1194)</f>
        <v/>
      </c>
      <c r="H1194" s="7" t="str">
        <f>IF('Port Bloomberg'!H1194="","",'Port Bloomberg'!H1194)</f>
        <v/>
      </c>
      <c r="I1194" s="7" t="str">
        <f>IF('Port Bloomberg'!I1194="","",'Port Bloomberg'!I1194)</f>
        <v/>
      </c>
      <c r="J1194" s="7" t="str">
        <f>IF('Port Bloomberg'!J1194="","",'Port Bloomberg'!J1194)</f>
        <v/>
      </c>
      <c r="K1194" s="7" t="str">
        <f>IF('Port Bloomberg'!K1194="","",'Port Bloomberg'!K1194)</f>
        <v/>
      </c>
      <c r="L1194" s="7" t="str">
        <f>IF('Port Bloomberg'!L1194="","",'Port Bloomberg'!L1194)</f>
        <v/>
      </c>
      <c r="M1194" s="7" t="str">
        <f>IF('Port Bloomberg'!M1194="","",'Port Bloomberg'!M1194)</f>
        <v/>
      </c>
      <c r="N1194" s="7" t="str">
        <f>IF('Port Bloomberg'!N1194="","",'Port Bloomberg'!N1194)</f>
        <v/>
      </c>
      <c r="O1194" s="7" t="str">
        <f>IF('Port Bloomberg'!O1194="","",'Port Bloomberg'!O1194)</f>
        <v/>
      </c>
      <c r="P1194" s="7" t="str">
        <f>IF('Port Bloomberg'!P1194="","",'Port Bloomberg'!P1194)</f>
        <v/>
      </c>
      <c r="Q1194" s="7" t="str">
        <f>IF('Port Bloomberg'!Q1194="","",'Port Bloomberg'!Q1194)</f>
        <v/>
      </c>
      <c r="R1194" s="7" t="str">
        <f>IF('Port Bloomberg'!R1194="","",'Port Bloomberg'!R1194)</f>
        <v/>
      </c>
      <c r="S1194" s="5" t="str">
        <f>IF(E1194="","",IFERROR(IF(MATCH(E1194,[1]Instrumentos!$D:$D,0)&gt;0,1,0),0))</f>
        <v/>
      </c>
      <c r="T1194" s="5" t="str">
        <f>IF(E1194="","",IFERROR(IF(MATCH(E1194,'Lista de excepciones'!$E:$E,0)&gt;0,1,0),0))</f>
        <v/>
      </c>
      <c r="U1194" s="6" t="str">
        <f t="shared" si="19"/>
        <v/>
      </c>
    </row>
    <row r="1195" spans="1:21" hidden="1" x14ac:dyDescent="0.25">
      <c r="A1195" s="7" t="str">
        <f>IF('Port Bloomberg'!A1195="","",'Port Bloomberg'!A1195)</f>
        <v/>
      </c>
      <c r="B1195" s="7" t="str">
        <f>IF('Port Bloomberg'!B1195="","",'Port Bloomberg'!B1195)</f>
        <v/>
      </c>
      <c r="C1195" s="7" t="str">
        <f>IF('Port Bloomberg'!C1195="","",'Port Bloomberg'!C1195)</f>
        <v/>
      </c>
      <c r="D1195" s="7" t="str">
        <f>IF('Port Bloomberg'!D1195="","",'Port Bloomberg'!D1195)</f>
        <v/>
      </c>
      <c r="E1195" s="7" t="str">
        <f>IF('Port Bloomberg'!E1195="","",'Port Bloomberg'!E1195)</f>
        <v/>
      </c>
      <c r="F1195" s="7" t="str">
        <f>IF('Port Bloomberg'!F1195="","",'Port Bloomberg'!F1195)</f>
        <v/>
      </c>
      <c r="G1195" s="7" t="str">
        <f>IF('Port Bloomberg'!G1195="","",'Port Bloomberg'!G1195)</f>
        <v/>
      </c>
      <c r="H1195" s="7" t="str">
        <f>IF('Port Bloomberg'!H1195="","",'Port Bloomberg'!H1195)</f>
        <v/>
      </c>
      <c r="I1195" s="7" t="str">
        <f>IF('Port Bloomberg'!I1195="","",'Port Bloomberg'!I1195)</f>
        <v/>
      </c>
      <c r="J1195" s="7" t="str">
        <f>IF('Port Bloomberg'!J1195="","",'Port Bloomberg'!J1195)</f>
        <v/>
      </c>
      <c r="K1195" s="7" t="str">
        <f>IF('Port Bloomberg'!K1195="","",'Port Bloomberg'!K1195)</f>
        <v/>
      </c>
      <c r="L1195" s="7" t="str">
        <f>IF('Port Bloomberg'!L1195="","",'Port Bloomberg'!L1195)</f>
        <v/>
      </c>
      <c r="M1195" s="7" t="str">
        <f>IF('Port Bloomberg'!M1195="","",'Port Bloomberg'!M1195)</f>
        <v/>
      </c>
      <c r="N1195" s="7" t="str">
        <f>IF('Port Bloomberg'!N1195="","",'Port Bloomberg'!N1195)</f>
        <v/>
      </c>
      <c r="O1195" s="7" t="str">
        <f>IF('Port Bloomberg'!O1195="","",'Port Bloomberg'!O1195)</f>
        <v/>
      </c>
      <c r="P1195" s="7" t="str">
        <f>IF('Port Bloomberg'!P1195="","",'Port Bloomberg'!P1195)</f>
        <v/>
      </c>
      <c r="Q1195" s="7" t="str">
        <f>IF('Port Bloomberg'!Q1195="","",'Port Bloomberg'!Q1195)</f>
        <v/>
      </c>
      <c r="R1195" s="7" t="str">
        <f>IF('Port Bloomberg'!R1195="","",'Port Bloomberg'!R1195)</f>
        <v/>
      </c>
      <c r="S1195" s="5" t="str">
        <f>IF(E1195="","",IFERROR(IF(MATCH(E1195,[1]Instrumentos!$D:$D,0)&gt;0,1,0),0))</f>
        <v/>
      </c>
      <c r="T1195" s="5" t="str">
        <f>IF(E1195="","",IFERROR(IF(MATCH(E1195,'Lista de excepciones'!$E:$E,0)&gt;0,1,0),0))</f>
        <v/>
      </c>
      <c r="U1195" s="6" t="str">
        <f t="shared" si="19"/>
        <v/>
      </c>
    </row>
    <row r="1196" spans="1:21" hidden="1" x14ac:dyDescent="0.25">
      <c r="A1196" s="7" t="str">
        <f>IF('Port Bloomberg'!A1196="","",'Port Bloomberg'!A1196)</f>
        <v/>
      </c>
      <c r="B1196" s="7" t="str">
        <f>IF('Port Bloomberg'!B1196="","",'Port Bloomberg'!B1196)</f>
        <v/>
      </c>
      <c r="C1196" s="7" t="str">
        <f>IF('Port Bloomberg'!C1196="","",'Port Bloomberg'!C1196)</f>
        <v/>
      </c>
      <c r="D1196" s="7" t="str">
        <f>IF('Port Bloomberg'!D1196="","",'Port Bloomberg'!D1196)</f>
        <v/>
      </c>
      <c r="E1196" s="7" t="str">
        <f>IF('Port Bloomberg'!E1196="","",'Port Bloomberg'!E1196)</f>
        <v/>
      </c>
      <c r="F1196" s="7" t="str">
        <f>IF('Port Bloomberg'!F1196="","",'Port Bloomberg'!F1196)</f>
        <v/>
      </c>
      <c r="G1196" s="7" t="str">
        <f>IF('Port Bloomberg'!G1196="","",'Port Bloomberg'!G1196)</f>
        <v/>
      </c>
      <c r="H1196" s="7" t="str">
        <f>IF('Port Bloomberg'!H1196="","",'Port Bloomberg'!H1196)</f>
        <v/>
      </c>
      <c r="I1196" s="7" t="str">
        <f>IF('Port Bloomberg'!I1196="","",'Port Bloomberg'!I1196)</f>
        <v/>
      </c>
      <c r="J1196" s="7" t="str">
        <f>IF('Port Bloomberg'!J1196="","",'Port Bloomberg'!J1196)</f>
        <v/>
      </c>
      <c r="K1196" s="7" t="str">
        <f>IF('Port Bloomberg'!K1196="","",'Port Bloomberg'!K1196)</f>
        <v/>
      </c>
      <c r="L1196" s="7" t="str">
        <f>IF('Port Bloomberg'!L1196="","",'Port Bloomberg'!L1196)</f>
        <v/>
      </c>
      <c r="M1196" s="7" t="str">
        <f>IF('Port Bloomberg'!M1196="","",'Port Bloomberg'!M1196)</f>
        <v/>
      </c>
      <c r="N1196" s="7" t="str">
        <f>IF('Port Bloomberg'!N1196="","",'Port Bloomberg'!N1196)</f>
        <v/>
      </c>
      <c r="O1196" s="7" t="str">
        <f>IF('Port Bloomberg'!O1196="","",'Port Bloomberg'!O1196)</f>
        <v/>
      </c>
      <c r="P1196" s="7" t="str">
        <f>IF('Port Bloomberg'!P1196="","",'Port Bloomberg'!P1196)</f>
        <v/>
      </c>
      <c r="Q1196" s="7" t="str">
        <f>IF('Port Bloomberg'!Q1196="","",'Port Bloomberg'!Q1196)</f>
        <v/>
      </c>
      <c r="R1196" s="7" t="str">
        <f>IF('Port Bloomberg'!R1196="","",'Port Bloomberg'!R1196)</f>
        <v/>
      </c>
      <c r="S1196" s="5" t="str">
        <f>IF(E1196="","",IFERROR(IF(MATCH(E1196,[1]Instrumentos!$D:$D,0)&gt;0,1,0),0))</f>
        <v/>
      </c>
      <c r="T1196" s="5" t="str">
        <f>IF(E1196="","",IFERROR(IF(MATCH(E1196,'Lista de excepciones'!$E:$E,0)&gt;0,1,0),0))</f>
        <v/>
      </c>
      <c r="U1196" s="6" t="str">
        <f t="shared" si="19"/>
        <v/>
      </c>
    </row>
    <row r="1197" spans="1:21" hidden="1" x14ac:dyDescent="0.25">
      <c r="A1197" s="7" t="str">
        <f>IF('Port Bloomberg'!A1197="","",'Port Bloomberg'!A1197)</f>
        <v/>
      </c>
      <c r="B1197" s="7" t="str">
        <f>IF('Port Bloomberg'!B1197="","",'Port Bloomberg'!B1197)</f>
        <v/>
      </c>
      <c r="C1197" s="7" t="str">
        <f>IF('Port Bloomberg'!C1197="","",'Port Bloomberg'!C1197)</f>
        <v/>
      </c>
      <c r="D1197" s="7" t="str">
        <f>IF('Port Bloomberg'!D1197="","",'Port Bloomberg'!D1197)</f>
        <v/>
      </c>
      <c r="E1197" s="7" t="str">
        <f>IF('Port Bloomberg'!E1197="","",'Port Bloomberg'!E1197)</f>
        <v/>
      </c>
      <c r="F1197" s="7" t="str">
        <f>IF('Port Bloomberg'!F1197="","",'Port Bloomberg'!F1197)</f>
        <v/>
      </c>
      <c r="G1197" s="7" t="str">
        <f>IF('Port Bloomberg'!G1197="","",'Port Bloomberg'!G1197)</f>
        <v/>
      </c>
      <c r="H1197" s="7" t="str">
        <f>IF('Port Bloomberg'!H1197="","",'Port Bloomberg'!H1197)</f>
        <v/>
      </c>
      <c r="I1197" s="7" t="str">
        <f>IF('Port Bloomberg'!I1197="","",'Port Bloomberg'!I1197)</f>
        <v/>
      </c>
      <c r="J1197" s="7" t="str">
        <f>IF('Port Bloomberg'!J1197="","",'Port Bloomberg'!J1197)</f>
        <v/>
      </c>
      <c r="K1197" s="7" t="str">
        <f>IF('Port Bloomberg'!K1197="","",'Port Bloomberg'!K1197)</f>
        <v/>
      </c>
      <c r="L1197" s="7" t="str">
        <f>IF('Port Bloomberg'!L1197="","",'Port Bloomberg'!L1197)</f>
        <v/>
      </c>
      <c r="M1197" s="7" t="str">
        <f>IF('Port Bloomberg'!M1197="","",'Port Bloomberg'!M1197)</f>
        <v/>
      </c>
      <c r="N1197" s="7" t="str">
        <f>IF('Port Bloomberg'!N1197="","",'Port Bloomberg'!N1197)</f>
        <v/>
      </c>
      <c r="O1197" s="7" t="str">
        <f>IF('Port Bloomberg'!O1197="","",'Port Bloomberg'!O1197)</f>
        <v/>
      </c>
      <c r="P1197" s="7" t="str">
        <f>IF('Port Bloomberg'!P1197="","",'Port Bloomberg'!P1197)</f>
        <v/>
      </c>
      <c r="Q1197" s="7" t="str">
        <f>IF('Port Bloomberg'!Q1197="","",'Port Bloomberg'!Q1197)</f>
        <v/>
      </c>
      <c r="R1197" s="7" t="str">
        <f>IF('Port Bloomberg'!R1197="","",'Port Bloomberg'!R1197)</f>
        <v/>
      </c>
      <c r="S1197" s="5" t="str">
        <f>IF(E1197="","",IFERROR(IF(MATCH(E1197,[1]Instrumentos!$D:$D,0)&gt;0,1,0),0))</f>
        <v/>
      </c>
      <c r="T1197" s="5" t="str">
        <f>IF(E1197="","",IFERROR(IF(MATCH(E1197,'Lista de excepciones'!$E:$E,0)&gt;0,1,0),0))</f>
        <v/>
      </c>
      <c r="U1197" s="6" t="str">
        <f t="shared" si="19"/>
        <v/>
      </c>
    </row>
    <row r="1198" spans="1:21" hidden="1" x14ac:dyDescent="0.25">
      <c r="A1198" s="7" t="str">
        <f>IF('Port Bloomberg'!A1198="","",'Port Bloomberg'!A1198)</f>
        <v/>
      </c>
      <c r="B1198" s="7" t="str">
        <f>IF('Port Bloomberg'!B1198="","",'Port Bloomberg'!B1198)</f>
        <v/>
      </c>
      <c r="C1198" s="7" t="str">
        <f>IF('Port Bloomberg'!C1198="","",'Port Bloomberg'!C1198)</f>
        <v/>
      </c>
      <c r="D1198" s="7" t="str">
        <f>IF('Port Bloomberg'!D1198="","",'Port Bloomberg'!D1198)</f>
        <v/>
      </c>
      <c r="E1198" s="7" t="str">
        <f>IF('Port Bloomberg'!E1198="","",'Port Bloomberg'!E1198)</f>
        <v/>
      </c>
      <c r="F1198" s="7" t="str">
        <f>IF('Port Bloomberg'!F1198="","",'Port Bloomberg'!F1198)</f>
        <v/>
      </c>
      <c r="G1198" s="7" t="str">
        <f>IF('Port Bloomberg'!G1198="","",'Port Bloomberg'!G1198)</f>
        <v/>
      </c>
      <c r="H1198" s="7" t="str">
        <f>IF('Port Bloomberg'!H1198="","",'Port Bloomberg'!H1198)</f>
        <v/>
      </c>
      <c r="I1198" s="7" t="str">
        <f>IF('Port Bloomberg'!I1198="","",'Port Bloomberg'!I1198)</f>
        <v/>
      </c>
      <c r="J1198" s="7" t="str">
        <f>IF('Port Bloomberg'!J1198="","",'Port Bloomberg'!J1198)</f>
        <v/>
      </c>
      <c r="K1198" s="7" t="str">
        <f>IF('Port Bloomberg'!K1198="","",'Port Bloomberg'!K1198)</f>
        <v/>
      </c>
      <c r="L1198" s="7" t="str">
        <f>IF('Port Bloomberg'!L1198="","",'Port Bloomberg'!L1198)</f>
        <v/>
      </c>
      <c r="M1198" s="7" t="str">
        <f>IF('Port Bloomberg'!M1198="","",'Port Bloomberg'!M1198)</f>
        <v/>
      </c>
      <c r="N1198" s="7" t="str">
        <f>IF('Port Bloomberg'!N1198="","",'Port Bloomberg'!N1198)</f>
        <v/>
      </c>
      <c r="O1198" s="7" t="str">
        <f>IF('Port Bloomberg'!O1198="","",'Port Bloomberg'!O1198)</f>
        <v/>
      </c>
      <c r="P1198" s="7" t="str">
        <f>IF('Port Bloomberg'!P1198="","",'Port Bloomberg'!P1198)</f>
        <v/>
      </c>
      <c r="Q1198" s="7" t="str">
        <f>IF('Port Bloomberg'!Q1198="","",'Port Bloomberg'!Q1198)</f>
        <v/>
      </c>
      <c r="R1198" s="7" t="str">
        <f>IF('Port Bloomberg'!R1198="","",'Port Bloomberg'!R1198)</f>
        <v/>
      </c>
      <c r="S1198" s="5" t="str">
        <f>IF(E1198="","",IFERROR(IF(MATCH(E1198,[1]Instrumentos!$D:$D,0)&gt;0,1,0),0))</f>
        <v/>
      </c>
      <c r="T1198" s="5" t="str">
        <f>IF(E1198="","",IFERROR(IF(MATCH(E1198,'Lista de excepciones'!$E:$E,0)&gt;0,1,0),0))</f>
        <v/>
      </c>
      <c r="U1198" s="6" t="str">
        <f t="shared" si="19"/>
        <v/>
      </c>
    </row>
    <row r="1199" spans="1:21" hidden="1" x14ac:dyDescent="0.25">
      <c r="A1199" s="7" t="str">
        <f>IF('Port Bloomberg'!A1199="","",'Port Bloomberg'!A1199)</f>
        <v/>
      </c>
      <c r="B1199" s="7" t="str">
        <f>IF('Port Bloomberg'!B1199="","",'Port Bloomberg'!B1199)</f>
        <v/>
      </c>
      <c r="C1199" s="7" t="str">
        <f>IF('Port Bloomberg'!C1199="","",'Port Bloomberg'!C1199)</f>
        <v/>
      </c>
      <c r="D1199" s="7" t="str">
        <f>IF('Port Bloomberg'!D1199="","",'Port Bloomberg'!D1199)</f>
        <v/>
      </c>
      <c r="E1199" s="7" t="str">
        <f>IF('Port Bloomberg'!E1199="","",'Port Bloomberg'!E1199)</f>
        <v/>
      </c>
      <c r="F1199" s="7" t="str">
        <f>IF('Port Bloomberg'!F1199="","",'Port Bloomberg'!F1199)</f>
        <v/>
      </c>
      <c r="G1199" s="7" t="str">
        <f>IF('Port Bloomberg'!G1199="","",'Port Bloomberg'!G1199)</f>
        <v/>
      </c>
      <c r="H1199" s="7" t="str">
        <f>IF('Port Bloomberg'!H1199="","",'Port Bloomberg'!H1199)</f>
        <v/>
      </c>
      <c r="I1199" s="7" t="str">
        <f>IF('Port Bloomberg'!I1199="","",'Port Bloomberg'!I1199)</f>
        <v/>
      </c>
      <c r="J1199" s="7" t="str">
        <f>IF('Port Bloomberg'!J1199="","",'Port Bloomberg'!J1199)</f>
        <v/>
      </c>
      <c r="K1199" s="7" t="str">
        <f>IF('Port Bloomberg'!K1199="","",'Port Bloomberg'!K1199)</f>
        <v/>
      </c>
      <c r="L1199" s="7" t="str">
        <f>IF('Port Bloomberg'!L1199="","",'Port Bloomberg'!L1199)</f>
        <v/>
      </c>
      <c r="M1199" s="7" t="str">
        <f>IF('Port Bloomberg'!M1199="","",'Port Bloomberg'!M1199)</f>
        <v/>
      </c>
      <c r="N1199" s="7" t="str">
        <f>IF('Port Bloomberg'!N1199="","",'Port Bloomberg'!N1199)</f>
        <v/>
      </c>
      <c r="O1199" s="7" t="str">
        <f>IF('Port Bloomberg'!O1199="","",'Port Bloomberg'!O1199)</f>
        <v/>
      </c>
      <c r="P1199" s="7" t="str">
        <f>IF('Port Bloomberg'!P1199="","",'Port Bloomberg'!P1199)</f>
        <v/>
      </c>
      <c r="Q1199" s="7" t="str">
        <f>IF('Port Bloomberg'!Q1199="","",'Port Bloomberg'!Q1199)</f>
        <v/>
      </c>
      <c r="R1199" s="7" t="str">
        <f>IF('Port Bloomberg'!R1199="","",'Port Bloomberg'!R1199)</f>
        <v/>
      </c>
      <c r="S1199" s="5" t="str">
        <f>IF(E1199="","",IFERROR(IF(MATCH(E1199,[1]Instrumentos!$D:$D,0)&gt;0,1,0),0))</f>
        <v/>
      </c>
      <c r="T1199" s="5" t="str">
        <f>IF(E1199="","",IFERROR(IF(MATCH(E1199,'Lista de excepciones'!$E:$E,0)&gt;0,1,0),0))</f>
        <v/>
      </c>
      <c r="U1199" s="6" t="str">
        <f t="shared" si="19"/>
        <v/>
      </c>
    </row>
    <row r="1200" spans="1:21" hidden="1" x14ac:dyDescent="0.25">
      <c r="A1200" s="7" t="str">
        <f>IF('Port Bloomberg'!A1200="","",'Port Bloomberg'!A1200)</f>
        <v/>
      </c>
      <c r="B1200" s="7" t="str">
        <f>IF('Port Bloomberg'!B1200="","",'Port Bloomberg'!B1200)</f>
        <v/>
      </c>
      <c r="C1200" s="7" t="str">
        <f>IF('Port Bloomberg'!C1200="","",'Port Bloomberg'!C1200)</f>
        <v/>
      </c>
      <c r="D1200" s="7" t="str">
        <f>IF('Port Bloomberg'!D1200="","",'Port Bloomberg'!D1200)</f>
        <v/>
      </c>
      <c r="E1200" s="7" t="str">
        <f>IF('Port Bloomberg'!E1200="","",'Port Bloomberg'!E1200)</f>
        <v/>
      </c>
      <c r="F1200" s="7" t="str">
        <f>IF('Port Bloomberg'!F1200="","",'Port Bloomberg'!F1200)</f>
        <v/>
      </c>
      <c r="G1200" s="7" t="str">
        <f>IF('Port Bloomberg'!G1200="","",'Port Bloomberg'!G1200)</f>
        <v/>
      </c>
      <c r="H1200" s="7" t="str">
        <f>IF('Port Bloomberg'!H1200="","",'Port Bloomberg'!H1200)</f>
        <v/>
      </c>
      <c r="I1200" s="7" t="str">
        <f>IF('Port Bloomberg'!I1200="","",'Port Bloomberg'!I1200)</f>
        <v/>
      </c>
      <c r="J1200" s="7" t="str">
        <f>IF('Port Bloomberg'!J1200="","",'Port Bloomberg'!J1200)</f>
        <v/>
      </c>
      <c r="K1200" s="7" t="str">
        <f>IF('Port Bloomberg'!K1200="","",'Port Bloomberg'!K1200)</f>
        <v/>
      </c>
      <c r="L1200" s="7" t="str">
        <f>IF('Port Bloomberg'!L1200="","",'Port Bloomberg'!L1200)</f>
        <v/>
      </c>
      <c r="M1200" s="7" t="str">
        <f>IF('Port Bloomberg'!M1200="","",'Port Bloomberg'!M1200)</f>
        <v/>
      </c>
      <c r="N1200" s="7" t="str">
        <f>IF('Port Bloomberg'!N1200="","",'Port Bloomberg'!N1200)</f>
        <v/>
      </c>
      <c r="O1200" s="7" t="str">
        <f>IF('Port Bloomberg'!O1200="","",'Port Bloomberg'!O1200)</f>
        <v/>
      </c>
      <c r="P1200" s="7" t="str">
        <f>IF('Port Bloomberg'!P1200="","",'Port Bloomberg'!P1200)</f>
        <v/>
      </c>
      <c r="Q1200" s="7" t="str">
        <f>IF('Port Bloomberg'!Q1200="","",'Port Bloomberg'!Q1200)</f>
        <v/>
      </c>
      <c r="R1200" s="7" t="str">
        <f>IF('Port Bloomberg'!R1200="","",'Port Bloomberg'!R1200)</f>
        <v/>
      </c>
      <c r="S1200" s="5" t="str">
        <f>IF(E1200="","",IFERROR(IF(MATCH(E1200,[1]Instrumentos!$D:$D,0)&gt;0,1,0),0))</f>
        <v/>
      </c>
      <c r="T1200" s="5" t="str">
        <f>IF(E1200="","",IFERROR(IF(MATCH(E1200,'Lista de excepciones'!$E:$E,0)&gt;0,1,0),0))</f>
        <v/>
      </c>
      <c r="U1200" s="6" t="str">
        <f t="shared" si="19"/>
        <v/>
      </c>
    </row>
    <row r="1201" spans="1:21" hidden="1" x14ac:dyDescent="0.25">
      <c r="A1201" s="7" t="str">
        <f>IF('Port Bloomberg'!A1201="","",'Port Bloomberg'!A1201)</f>
        <v/>
      </c>
      <c r="B1201" s="7" t="str">
        <f>IF('Port Bloomberg'!B1201="","",'Port Bloomberg'!B1201)</f>
        <v/>
      </c>
      <c r="C1201" s="7" t="str">
        <f>IF('Port Bloomberg'!C1201="","",'Port Bloomberg'!C1201)</f>
        <v/>
      </c>
      <c r="D1201" s="7" t="str">
        <f>IF('Port Bloomberg'!D1201="","",'Port Bloomberg'!D1201)</f>
        <v/>
      </c>
      <c r="E1201" s="7" t="str">
        <f>IF('Port Bloomberg'!E1201="","",'Port Bloomberg'!E1201)</f>
        <v/>
      </c>
      <c r="F1201" s="7" t="str">
        <f>IF('Port Bloomberg'!F1201="","",'Port Bloomberg'!F1201)</f>
        <v/>
      </c>
      <c r="G1201" s="7" t="str">
        <f>IF('Port Bloomberg'!G1201="","",'Port Bloomberg'!G1201)</f>
        <v/>
      </c>
      <c r="H1201" s="7" t="str">
        <f>IF('Port Bloomberg'!H1201="","",'Port Bloomberg'!H1201)</f>
        <v/>
      </c>
      <c r="I1201" s="7" t="str">
        <f>IF('Port Bloomberg'!I1201="","",'Port Bloomberg'!I1201)</f>
        <v/>
      </c>
      <c r="J1201" s="7" t="str">
        <f>IF('Port Bloomberg'!J1201="","",'Port Bloomberg'!J1201)</f>
        <v/>
      </c>
      <c r="K1201" s="7" t="str">
        <f>IF('Port Bloomberg'!K1201="","",'Port Bloomberg'!K1201)</f>
        <v/>
      </c>
      <c r="L1201" s="7" t="str">
        <f>IF('Port Bloomberg'!L1201="","",'Port Bloomberg'!L1201)</f>
        <v/>
      </c>
      <c r="M1201" s="7" t="str">
        <f>IF('Port Bloomberg'!M1201="","",'Port Bloomberg'!M1201)</f>
        <v/>
      </c>
      <c r="N1201" s="7" t="str">
        <f>IF('Port Bloomberg'!N1201="","",'Port Bloomberg'!N1201)</f>
        <v/>
      </c>
      <c r="O1201" s="7" t="str">
        <f>IF('Port Bloomberg'!O1201="","",'Port Bloomberg'!O1201)</f>
        <v/>
      </c>
      <c r="P1201" s="7" t="str">
        <f>IF('Port Bloomberg'!P1201="","",'Port Bloomberg'!P1201)</f>
        <v/>
      </c>
      <c r="Q1201" s="7" t="str">
        <f>IF('Port Bloomberg'!Q1201="","",'Port Bloomberg'!Q1201)</f>
        <v/>
      </c>
      <c r="R1201" s="7" t="str">
        <f>IF('Port Bloomberg'!R1201="","",'Port Bloomberg'!R1201)</f>
        <v/>
      </c>
      <c r="S1201" s="5" t="str">
        <f>IF(E1201="","",IFERROR(IF(MATCH(E1201,[1]Instrumentos!$D:$D,0)&gt;0,1,0),0))</f>
        <v/>
      </c>
      <c r="T1201" s="5" t="str">
        <f>IF(E1201="","",IFERROR(IF(MATCH(E1201,'Lista de excepciones'!$E:$E,0)&gt;0,1,0),0))</f>
        <v/>
      </c>
      <c r="U1201" s="6" t="str">
        <f t="shared" si="19"/>
        <v/>
      </c>
    </row>
    <row r="1202" spans="1:21" hidden="1" x14ac:dyDescent="0.25">
      <c r="A1202" s="7" t="str">
        <f>IF('Port Bloomberg'!A1202="","",'Port Bloomberg'!A1202)</f>
        <v/>
      </c>
      <c r="B1202" s="7" t="str">
        <f>IF('Port Bloomberg'!B1202="","",'Port Bloomberg'!B1202)</f>
        <v/>
      </c>
      <c r="C1202" s="7" t="str">
        <f>IF('Port Bloomberg'!C1202="","",'Port Bloomberg'!C1202)</f>
        <v/>
      </c>
      <c r="D1202" s="7" t="str">
        <f>IF('Port Bloomberg'!D1202="","",'Port Bloomberg'!D1202)</f>
        <v/>
      </c>
      <c r="E1202" s="7" t="str">
        <f>IF('Port Bloomberg'!E1202="","",'Port Bloomberg'!E1202)</f>
        <v/>
      </c>
      <c r="F1202" s="7" t="str">
        <f>IF('Port Bloomberg'!F1202="","",'Port Bloomberg'!F1202)</f>
        <v/>
      </c>
      <c r="G1202" s="7" t="str">
        <f>IF('Port Bloomberg'!G1202="","",'Port Bloomberg'!G1202)</f>
        <v/>
      </c>
      <c r="H1202" s="7" t="str">
        <f>IF('Port Bloomberg'!H1202="","",'Port Bloomberg'!H1202)</f>
        <v/>
      </c>
      <c r="I1202" s="7" t="str">
        <f>IF('Port Bloomberg'!I1202="","",'Port Bloomberg'!I1202)</f>
        <v/>
      </c>
      <c r="J1202" s="7" t="str">
        <f>IF('Port Bloomberg'!J1202="","",'Port Bloomberg'!J1202)</f>
        <v/>
      </c>
      <c r="K1202" s="7" t="str">
        <f>IF('Port Bloomberg'!K1202="","",'Port Bloomberg'!K1202)</f>
        <v/>
      </c>
      <c r="L1202" s="7" t="str">
        <f>IF('Port Bloomberg'!L1202="","",'Port Bloomberg'!L1202)</f>
        <v/>
      </c>
      <c r="M1202" s="7" t="str">
        <f>IF('Port Bloomberg'!M1202="","",'Port Bloomberg'!M1202)</f>
        <v/>
      </c>
      <c r="N1202" s="7" t="str">
        <f>IF('Port Bloomberg'!N1202="","",'Port Bloomberg'!N1202)</f>
        <v/>
      </c>
      <c r="O1202" s="7" t="str">
        <f>IF('Port Bloomberg'!O1202="","",'Port Bloomberg'!O1202)</f>
        <v/>
      </c>
      <c r="P1202" s="7" t="str">
        <f>IF('Port Bloomberg'!P1202="","",'Port Bloomberg'!P1202)</f>
        <v/>
      </c>
      <c r="Q1202" s="7" t="str">
        <f>IF('Port Bloomberg'!Q1202="","",'Port Bloomberg'!Q1202)</f>
        <v/>
      </c>
      <c r="R1202" s="7" t="str">
        <f>IF('Port Bloomberg'!R1202="","",'Port Bloomberg'!R1202)</f>
        <v/>
      </c>
      <c r="S1202" s="5" t="str">
        <f>IF(E1202="","",IFERROR(IF(MATCH(E1202,[1]Instrumentos!$D:$D,0)&gt;0,1,0),0))</f>
        <v/>
      </c>
      <c r="T1202" s="5" t="str">
        <f>IF(E1202="","",IFERROR(IF(MATCH(E1202,'Lista de excepciones'!$E:$E,0)&gt;0,1,0),0))</f>
        <v/>
      </c>
      <c r="U1202" s="6" t="str">
        <f t="shared" si="19"/>
        <v/>
      </c>
    </row>
    <row r="1203" spans="1:21" hidden="1" x14ac:dyDescent="0.25">
      <c r="A1203" s="7" t="str">
        <f>IF('Port Bloomberg'!A1203="","",'Port Bloomberg'!A1203)</f>
        <v/>
      </c>
      <c r="B1203" s="7" t="str">
        <f>IF('Port Bloomberg'!B1203="","",'Port Bloomberg'!B1203)</f>
        <v/>
      </c>
      <c r="C1203" s="7" t="str">
        <f>IF('Port Bloomberg'!C1203="","",'Port Bloomberg'!C1203)</f>
        <v/>
      </c>
      <c r="D1203" s="7" t="str">
        <f>IF('Port Bloomberg'!D1203="","",'Port Bloomberg'!D1203)</f>
        <v/>
      </c>
      <c r="E1203" s="7" t="str">
        <f>IF('Port Bloomberg'!E1203="","",'Port Bloomberg'!E1203)</f>
        <v/>
      </c>
      <c r="F1203" s="7" t="str">
        <f>IF('Port Bloomberg'!F1203="","",'Port Bloomberg'!F1203)</f>
        <v/>
      </c>
      <c r="G1203" s="7" t="str">
        <f>IF('Port Bloomberg'!G1203="","",'Port Bloomberg'!G1203)</f>
        <v/>
      </c>
      <c r="H1203" s="7" t="str">
        <f>IF('Port Bloomberg'!H1203="","",'Port Bloomberg'!H1203)</f>
        <v/>
      </c>
      <c r="I1203" s="7" t="str">
        <f>IF('Port Bloomberg'!I1203="","",'Port Bloomberg'!I1203)</f>
        <v/>
      </c>
      <c r="J1203" s="7" t="str">
        <f>IF('Port Bloomberg'!J1203="","",'Port Bloomberg'!J1203)</f>
        <v/>
      </c>
      <c r="K1203" s="7" t="str">
        <f>IF('Port Bloomberg'!K1203="","",'Port Bloomberg'!K1203)</f>
        <v/>
      </c>
      <c r="L1203" s="7" t="str">
        <f>IF('Port Bloomberg'!L1203="","",'Port Bloomberg'!L1203)</f>
        <v/>
      </c>
      <c r="M1203" s="7" t="str">
        <f>IF('Port Bloomberg'!M1203="","",'Port Bloomberg'!M1203)</f>
        <v/>
      </c>
      <c r="N1203" s="7" t="str">
        <f>IF('Port Bloomberg'!N1203="","",'Port Bloomberg'!N1203)</f>
        <v/>
      </c>
      <c r="O1203" s="7" t="str">
        <f>IF('Port Bloomberg'!O1203="","",'Port Bloomberg'!O1203)</f>
        <v/>
      </c>
      <c r="P1203" s="7" t="str">
        <f>IF('Port Bloomberg'!P1203="","",'Port Bloomberg'!P1203)</f>
        <v/>
      </c>
      <c r="Q1203" s="7" t="str">
        <f>IF('Port Bloomberg'!Q1203="","",'Port Bloomberg'!Q1203)</f>
        <v/>
      </c>
      <c r="R1203" s="7" t="str">
        <f>IF('Port Bloomberg'!R1203="","",'Port Bloomberg'!R1203)</f>
        <v/>
      </c>
      <c r="S1203" s="5" t="str">
        <f>IF(E1203="","",IFERROR(IF(MATCH(E1203,[1]Instrumentos!$D:$D,0)&gt;0,1,0),0))</f>
        <v/>
      </c>
      <c r="T1203" s="5" t="str">
        <f>IF(E1203="","",IFERROR(IF(MATCH(E1203,'Lista de excepciones'!$E:$E,0)&gt;0,1,0),0))</f>
        <v/>
      </c>
      <c r="U1203" s="6" t="str">
        <f t="shared" si="19"/>
        <v/>
      </c>
    </row>
    <row r="1204" spans="1:21" hidden="1" x14ac:dyDescent="0.25">
      <c r="A1204" s="7" t="str">
        <f>IF('Port Bloomberg'!A1204="","",'Port Bloomberg'!A1204)</f>
        <v/>
      </c>
      <c r="B1204" s="7" t="str">
        <f>IF('Port Bloomberg'!B1204="","",'Port Bloomberg'!B1204)</f>
        <v/>
      </c>
      <c r="C1204" s="7" t="str">
        <f>IF('Port Bloomberg'!C1204="","",'Port Bloomberg'!C1204)</f>
        <v/>
      </c>
      <c r="D1204" s="7" t="str">
        <f>IF('Port Bloomberg'!D1204="","",'Port Bloomberg'!D1204)</f>
        <v/>
      </c>
      <c r="E1204" s="7" t="str">
        <f>IF('Port Bloomberg'!E1204="","",'Port Bloomberg'!E1204)</f>
        <v/>
      </c>
      <c r="F1204" s="7" t="str">
        <f>IF('Port Bloomberg'!F1204="","",'Port Bloomberg'!F1204)</f>
        <v/>
      </c>
      <c r="G1204" s="7" t="str">
        <f>IF('Port Bloomberg'!G1204="","",'Port Bloomberg'!G1204)</f>
        <v/>
      </c>
      <c r="H1204" s="7" t="str">
        <f>IF('Port Bloomberg'!H1204="","",'Port Bloomberg'!H1204)</f>
        <v/>
      </c>
      <c r="I1204" s="7" t="str">
        <f>IF('Port Bloomberg'!I1204="","",'Port Bloomberg'!I1204)</f>
        <v/>
      </c>
      <c r="J1204" s="7" t="str">
        <f>IF('Port Bloomberg'!J1204="","",'Port Bloomberg'!J1204)</f>
        <v/>
      </c>
      <c r="K1204" s="7" t="str">
        <f>IF('Port Bloomberg'!K1204="","",'Port Bloomberg'!K1204)</f>
        <v/>
      </c>
      <c r="L1204" s="7" t="str">
        <f>IF('Port Bloomberg'!L1204="","",'Port Bloomberg'!L1204)</f>
        <v/>
      </c>
      <c r="M1204" s="7" t="str">
        <f>IF('Port Bloomberg'!M1204="","",'Port Bloomberg'!M1204)</f>
        <v/>
      </c>
      <c r="N1204" s="7" t="str">
        <f>IF('Port Bloomberg'!N1204="","",'Port Bloomberg'!N1204)</f>
        <v/>
      </c>
      <c r="O1204" s="7" t="str">
        <f>IF('Port Bloomberg'!O1204="","",'Port Bloomberg'!O1204)</f>
        <v/>
      </c>
      <c r="P1204" s="7" t="str">
        <f>IF('Port Bloomberg'!P1204="","",'Port Bloomberg'!P1204)</f>
        <v/>
      </c>
      <c r="Q1204" s="7" t="str">
        <f>IF('Port Bloomberg'!Q1204="","",'Port Bloomberg'!Q1204)</f>
        <v/>
      </c>
      <c r="R1204" s="7" t="str">
        <f>IF('Port Bloomberg'!R1204="","",'Port Bloomberg'!R1204)</f>
        <v/>
      </c>
      <c r="S1204" s="5" t="str">
        <f>IF(E1204="","",IFERROR(IF(MATCH(E1204,[1]Instrumentos!$D:$D,0)&gt;0,1,0),0))</f>
        <v/>
      </c>
      <c r="T1204" s="5" t="str">
        <f>IF(E1204="","",IFERROR(IF(MATCH(E1204,'Lista de excepciones'!$E:$E,0)&gt;0,1,0),0))</f>
        <v/>
      </c>
      <c r="U1204" s="6" t="str">
        <f t="shared" si="19"/>
        <v/>
      </c>
    </row>
    <row r="1205" spans="1:21" hidden="1" x14ac:dyDescent="0.25">
      <c r="A1205" s="7" t="str">
        <f>IF('Port Bloomberg'!A1205="","",'Port Bloomberg'!A1205)</f>
        <v/>
      </c>
      <c r="B1205" s="7" t="str">
        <f>IF('Port Bloomberg'!B1205="","",'Port Bloomberg'!B1205)</f>
        <v/>
      </c>
      <c r="C1205" s="7" t="str">
        <f>IF('Port Bloomberg'!C1205="","",'Port Bloomberg'!C1205)</f>
        <v/>
      </c>
      <c r="D1205" s="7" t="str">
        <f>IF('Port Bloomberg'!D1205="","",'Port Bloomberg'!D1205)</f>
        <v/>
      </c>
      <c r="E1205" s="7" t="str">
        <f>IF('Port Bloomberg'!E1205="","",'Port Bloomberg'!E1205)</f>
        <v/>
      </c>
      <c r="F1205" s="7" t="str">
        <f>IF('Port Bloomberg'!F1205="","",'Port Bloomberg'!F1205)</f>
        <v/>
      </c>
      <c r="G1205" s="7" t="str">
        <f>IF('Port Bloomberg'!G1205="","",'Port Bloomberg'!G1205)</f>
        <v/>
      </c>
      <c r="H1205" s="7" t="str">
        <f>IF('Port Bloomberg'!H1205="","",'Port Bloomberg'!H1205)</f>
        <v/>
      </c>
      <c r="I1205" s="7" t="str">
        <f>IF('Port Bloomberg'!I1205="","",'Port Bloomberg'!I1205)</f>
        <v/>
      </c>
      <c r="J1205" s="7" t="str">
        <f>IF('Port Bloomberg'!J1205="","",'Port Bloomberg'!J1205)</f>
        <v/>
      </c>
      <c r="K1205" s="7" t="str">
        <f>IF('Port Bloomberg'!K1205="","",'Port Bloomberg'!K1205)</f>
        <v/>
      </c>
      <c r="L1205" s="7" t="str">
        <f>IF('Port Bloomberg'!L1205="","",'Port Bloomberg'!L1205)</f>
        <v/>
      </c>
      <c r="M1205" s="7" t="str">
        <f>IF('Port Bloomberg'!M1205="","",'Port Bloomberg'!M1205)</f>
        <v/>
      </c>
      <c r="N1205" s="7" t="str">
        <f>IF('Port Bloomberg'!N1205="","",'Port Bloomberg'!N1205)</f>
        <v/>
      </c>
      <c r="O1205" s="7" t="str">
        <f>IF('Port Bloomberg'!O1205="","",'Port Bloomberg'!O1205)</f>
        <v/>
      </c>
      <c r="P1205" s="7" t="str">
        <f>IF('Port Bloomberg'!P1205="","",'Port Bloomberg'!P1205)</f>
        <v/>
      </c>
      <c r="Q1205" s="7" t="str">
        <f>IF('Port Bloomberg'!Q1205="","",'Port Bloomberg'!Q1205)</f>
        <v/>
      </c>
      <c r="R1205" s="7" t="str">
        <f>IF('Port Bloomberg'!R1205="","",'Port Bloomberg'!R1205)</f>
        <v/>
      </c>
      <c r="S1205" s="5" t="str">
        <f>IF(E1205="","",IFERROR(IF(MATCH(E1205,[1]Instrumentos!$D:$D,0)&gt;0,1,0),0))</f>
        <v/>
      </c>
      <c r="T1205" s="5" t="str">
        <f>IF(E1205="","",IFERROR(IF(MATCH(E1205,'Lista de excepciones'!$E:$E,0)&gt;0,1,0),0))</f>
        <v/>
      </c>
      <c r="U1205" s="6" t="str">
        <f t="shared" si="19"/>
        <v/>
      </c>
    </row>
    <row r="1206" spans="1:21" hidden="1" x14ac:dyDescent="0.25">
      <c r="A1206" s="7" t="str">
        <f>IF('Port Bloomberg'!A1206="","",'Port Bloomberg'!A1206)</f>
        <v/>
      </c>
      <c r="B1206" s="7" t="str">
        <f>IF('Port Bloomberg'!B1206="","",'Port Bloomberg'!B1206)</f>
        <v/>
      </c>
      <c r="C1206" s="7" t="str">
        <f>IF('Port Bloomberg'!C1206="","",'Port Bloomberg'!C1206)</f>
        <v/>
      </c>
      <c r="D1206" s="7" t="str">
        <f>IF('Port Bloomberg'!D1206="","",'Port Bloomberg'!D1206)</f>
        <v/>
      </c>
      <c r="E1206" s="7" t="str">
        <f>IF('Port Bloomberg'!E1206="","",'Port Bloomberg'!E1206)</f>
        <v/>
      </c>
      <c r="F1206" s="7" t="str">
        <f>IF('Port Bloomberg'!F1206="","",'Port Bloomberg'!F1206)</f>
        <v/>
      </c>
      <c r="G1206" s="7" t="str">
        <f>IF('Port Bloomberg'!G1206="","",'Port Bloomberg'!G1206)</f>
        <v/>
      </c>
      <c r="H1206" s="7" t="str">
        <f>IF('Port Bloomberg'!H1206="","",'Port Bloomberg'!H1206)</f>
        <v/>
      </c>
      <c r="I1206" s="7" t="str">
        <f>IF('Port Bloomberg'!I1206="","",'Port Bloomberg'!I1206)</f>
        <v/>
      </c>
      <c r="J1206" s="7" t="str">
        <f>IF('Port Bloomberg'!J1206="","",'Port Bloomberg'!J1206)</f>
        <v/>
      </c>
      <c r="K1206" s="7" t="str">
        <f>IF('Port Bloomberg'!K1206="","",'Port Bloomberg'!K1206)</f>
        <v/>
      </c>
      <c r="L1206" s="7" t="str">
        <f>IF('Port Bloomberg'!L1206="","",'Port Bloomberg'!L1206)</f>
        <v/>
      </c>
      <c r="M1206" s="7" t="str">
        <f>IF('Port Bloomberg'!M1206="","",'Port Bloomberg'!M1206)</f>
        <v/>
      </c>
      <c r="N1206" s="7" t="str">
        <f>IF('Port Bloomberg'!N1206="","",'Port Bloomberg'!N1206)</f>
        <v/>
      </c>
      <c r="O1206" s="7" t="str">
        <f>IF('Port Bloomberg'!O1206="","",'Port Bloomberg'!O1206)</f>
        <v/>
      </c>
      <c r="P1206" s="7" t="str">
        <f>IF('Port Bloomberg'!P1206="","",'Port Bloomberg'!P1206)</f>
        <v/>
      </c>
      <c r="Q1206" s="7" t="str">
        <f>IF('Port Bloomberg'!Q1206="","",'Port Bloomberg'!Q1206)</f>
        <v/>
      </c>
      <c r="R1206" s="7" t="str">
        <f>IF('Port Bloomberg'!R1206="","",'Port Bloomberg'!R1206)</f>
        <v/>
      </c>
      <c r="S1206" s="5" t="str">
        <f>IF(E1206="","",IFERROR(IF(MATCH(E1206,[1]Instrumentos!$D:$D,0)&gt;0,1,0),0))</f>
        <v/>
      </c>
      <c r="T1206" s="5" t="str">
        <f>IF(E1206="","",IFERROR(IF(MATCH(E1206,'Lista de excepciones'!$E:$E,0)&gt;0,1,0),0))</f>
        <v/>
      </c>
      <c r="U1206" s="6" t="str">
        <f t="shared" si="19"/>
        <v/>
      </c>
    </row>
    <row r="1207" spans="1:21" hidden="1" x14ac:dyDescent="0.25">
      <c r="A1207" s="7" t="str">
        <f>IF('Port Bloomberg'!A1207="","",'Port Bloomberg'!A1207)</f>
        <v/>
      </c>
      <c r="B1207" s="7" t="str">
        <f>IF('Port Bloomberg'!B1207="","",'Port Bloomberg'!B1207)</f>
        <v/>
      </c>
      <c r="C1207" s="7" t="str">
        <f>IF('Port Bloomberg'!C1207="","",'Port Bloomberg'!C1207)</f>
        <v/>
      </c>
      <c r="D1207" s="7" t="str">
        <f>IF('Port Bloomberg'!D1207="","",'Port Bloomberg'!D1207)</f>
        <v/>
      </c>
      <c r="E1207" s="7" t="str">
        <f>IF('Port Bloomberg'!E1207="","",'Port Bloomberg'!E1207)</f>
        <v/>
      </c>
      <c r="F1207" s="7" t="str">
        <f>IF('Port Bloomberg'!F1207="","",'Port Bloomberg'!F1207)</f>
        <v/>
      </c>
      <c r="G1207" s="7" t="str">
        <f>IF('Port Bloomberg'!G1207="","",'Port Bloomberg'!G1207)</f>
        <v/>
      </c>
      <c r="H1207" s="7" t="str">
        <f>IF('Port Bloomberg'!H1207="","",'Port Bloomberg'!H1207)</f>
        <v/>
      </c>
      <c r="I1207" s="7" t="str">
        <f>IF('Port Bloomberg'!I1207="","",'Port Bloomberg'!I1207)</f>
        <v/>
      </c>
      <c r="J1207" s="7" t="str">
        <f>IF('Port Bloomberg'!J1207="","",'Port Bloomberg'!J1207)</f>
        <v/>
      </c>
      <c r="K1207" s="7" t="str">
        <f>IF('Port Bloomberg'!K1207="","",'Port Bloomberg'!K1207)</f>
        <v/>
      </c>
      <c r="L1207" s="7" t="str">
        <f>IF('Port Bloomberg'!L1207="","",'Port Bloomberg'!L1207)</f>
        <v/>
      </c>
      <c r="M1207" s="7" t="str">
        <f>IF('Port Bloomberg'!M1207="","",'Port Bloomberg'!M1207)</f>
        <v/>
      </c>
      <c r="N1207" s="7" t="str">
        <f>IF('Port Bloomberg'!N1207="","",'Port Bloomberg'!N1207)</f>
        <v/>
      </c>
      <c r="O1207" s="7" t="str">
        <f>IF('Port Bloomberg'!O1207="","",'Port Bloomberg'!O1207)</f>
        <v/>
      </c>
      <c r="P1207" s="7" t="str">
        <f>IF('Port Bloomberg'!P1207="","",'Port Bloomberg'!P1207)</f>
        <v/>
      </c>
      <c r="Q1207" s="7" t="str">
        <f>IF('Port Bloomberg'!Q1207="","",'Port Bloomberg'!Q1207)</f>
        <v/>
      </c>
      <c r="R1207" s="7" t="str">
        <f>IF('Port Bloomberg'!R1207="","",'Port Bloomberg'!R1207)</f>
        <v/>
      </c>
      <c r="S1207" s="5" t="str">
        <f>IF(E1207="","",IFERROR(IF(MATCH(E1207,[1]Instrumentos!$D:$D,0)&gt;0,1,0),0))</f>
        <v/>
      </c>
      <c r="T1207" s="5" t="str">
        <f>IF(E1207="","",IFERROR(IF(MATCH(E1207,'Lista de excepciones'!$E:$E,0)&gt;0,1,0),0))</f>
        <v/>
      </c>
      <c r="U1207" s="6" t="str">
        <f t="shared" si="19"/>
        <v/>
      </c>
    </row>
    <row r="1208" spans="1:21" hidden="1" x14ac:dyDescent="0.25">
      <c r="A1208" s="7" t="str">
        <f>IF('Port Bloomberg'!A1208="","",'Port Bloomberg'!A1208)</f>
        <v/>
      </c>
      <c r="B1208" s="7" t="str">
        <f>IF('Port Bloomberg'!B1208="","",'Port Bloomberg'!B1208)</f>
        <v/>
      </c>
      <c r="C1208" s="7" t="str">
        <f>IF('Port Bloomberg'!C1208="","",'Port Bloomberg'!C1208)</f>
        <v/>
      </c>
      <c r="D1208" s="7" t="str">
        <f>IF('Port Bloomberg'!D1208="","",'Port Bloomberg'!D1208)</f>
        <v/>
      </c>
      <c r="E1208" s="7" t="str">
        <f>IF('Port Bloomberg'!E1208="","",'Port Bloomberg'!E1208)</f>
        <v/>
      </c>
      <c r="F1208" s="7" t="str">
        <f>IF('Port Bloomberg'!F1208="","",'Port Bloomberg'!F1208)</f>
        <v/>
      </c>
      <c r="G1208" s="7" t="str">
        <f>IF('Port Bloomberg'!G1208="","",'Port Bloomberg'!G1208)</f>
        <v/>
      </c>
      <c r="H1208" s="7" t="str">
        <f>IF('Port Bloomberg'!H1208="","",'Port Bloomberg'!H1208)</f>
        <v/>
      </c>
      <c r="I1208" s="7" t="str">
        <f>IF('Port Bloomberg'!I1208="","",'Port Bloomberg'!I1208)</f>
        <v/>
      </c>
      <c r="J1208" s="7" t="str">
        <f>IF('Port Bloomberg'!J1208="","",'Port Bloomberg'!J1208)</f>
        <v/>
      </c>
      <c r="K1208" s="7" t="str">
        <f>IF('Port Bloomberg'!K1208="","",'Port Bloomberg'!K1208)</f>
        <v/>
      </c>
      <c r="L1208" s="7" t="str">
        <f>IF('Port Bloomberg'!L1208="","",'Port Bloomberg'!L1208)</f>
        <v/>
      </c>
      <c r="M1208" s="7" t="str">
        <f>IF('Port Bloomberg'!M1208="","",'Port Bloomberg'!M1208)</f>
        <v/>
      </c>
      <c r="N1208" s="7" t="str">
        <f>IF('Port Bloomberg'!N1208="","",'Port Bloomberg'!N1208)</f>
        <v/>
      </c>
      <c r="O1208" s="7" t="str">
        <f>IF('Port Bloomberg'!O1208="","",'Port Bloomberg'!O1208)</f>
        <v/>
      </c>
      <c r="P1208" s="7" t="str">
        <f>IF('Port Bloomberg'!P1208="","",'Port Bloomberg'!P1208)</f>
        <v/>
      </c>
      <c r="Q1208" s="7" t="str">
        <f>IF('Port Bloomberg'!Q1208="","",'Port Bloomberg'!Q1208)</f>
        <v/>
      </c>
      <c r="R1208" s="7" t="str">
        <f>IF('Port Bloomberg'!R1208="","",'Port Bloomberg'!R1208)</f>
        <v/>
      </c>
      <c r="S1208" s="5" t="str">
        <f>IF(E1208="","",IFERROR(IF(MATCH(E1208,[1]Instrumentos!$D:$D,0)&gt;0,1,0),0))</f>
        <v/>
      </c>
      <c r="T1208" s="5" t="str">
        <f>IF(E1208="","",IFERROR(IF(MATCH(E1208,'Lista de excepciones'!$E:$E,0)&gt;0,1,0),0))</f>
        <v/>
      </c>
      <c r="U1208" s="6" t="str">
        <f t="shared" si="19"/>
        <v/>
      </c>
    </row>
    <row r="1209" spans="1:21" hidden="1" x14ac:dyDescent="0.25">
      <c r="A1209" s="7" t="str">
        <f>IF('Port Bloomberg'!A1209="","",'Port Bloomberg'!A1209)</f>
        <v/>
      </c>
      <c r="B1209" s="7" t="str">
        <f>IF('Port Bloomberg'!B1209="","",'Port Bloomberg'!B1209)</f>
        <v/>
      </c>
      <c r="C1209" s="7" t="str">
        <f>IF('Port Bloomberg'!C1209="","",'Port Bloomberg'!C1209)</f>
        <v/>
      </c>
      <c r="D1209" s="7" t="str">
        <f>IF('Port Bloomberg'!D1209="","",'Port Bloomberg'!D1209)</f>
        <v/>
      </c>
      <c r="E1209" s="7" t="str">
        <f>IF('Port Bloomberg'!E1209="","",'Port Bloomberg'!E1209)</f>
        <v/>
      </c>
      <c r="F1209" s="7" t="str">
        <f>IF('Port Bloomberg'!F1209="","",'Port Bloomberg'!F1209)</f>
        <v/>
      </c>
      <c r="G1209" s="7" t="str">
        <f>IF('Port Bloomberg'!G1209="","",'Port Bloomberg'!G1209)</f>
        <v/>
      </c>
      <c r="H1209" s="7" t="str">
        <f>IF('Port Bloomberg'!H1209="","",'Port Bloomberg'!H1209)</f>
        <v/>
      </c>
      <c r="I1209" s="7" t="str">
        <f>IF('Port Bloomberg'!I1209="","",'Port Bloomberg'!I1209)</f>
        <v/>
      </c>
      <c r="J1209" s="7" t="str">
        <f>IF('Port Bloomberg'!J1209="","",'Port Bloomberg'!J1209)</f>
        <v/>
      </c>
      <c r="K1209" s="7" t="str">
        <f>IF('Port Bloomberg'!K1209="","",'Port Bloomberg'!K1209)</f>
        <v/>
      </c>
      <c r="L1209" s="7" t="str">
        <f>IF('Port Bloomberg'!L1209="","",'Port Bloomberg'!L1209)</f>
        <v/>
      </c>
      <c r="M1209" s="7" t="str">
        <f>IF('Port Bloomberg'!M1209="","",'Port Bloomberg'!M1209)</f>
        <v/>
      </c>
      <c r="N1209" s="7" t="str">
        <f>IF('Port Bloomberg'!N1209="","",'Port Bloomberg'!N1209)</f>
        <v/>
      </c>
      <c r="O1209" s="7" t="str">
        <f>IF('Port Bloomberg'!O1209="","",'Port Bloomberg'!O1209)</f>
        <v/>
      </c>
      <c r="P1209" s="7" t="str">
        <f>IF('Port Bloomberg'!P1209="","",'Port Bloomberg'!P1209)</f>
        <v/>
      </c>
      <c r="Q1209" s="7" t="str">
        <f>IF('Port Bloomberg'!Q1209="","",'Port Bloomberg'!Q1209)</f>
        <v/>
      </c>
      <c r="R1209" s="7" t="str">
        <f>IF('Port Bloomberg'!R1209="","",'Port Bloomberg'!R1209)</f>
        <v/>
      </c>
      <c r="S1209" s="5" t="str">
        <f>IF(E1209="","",IFERROR(IF(MATCH(E1209,[1]Instrumentos!$D:$D,0)&gt;0,1,0),0))</f>
        <v/>
      </c>
      <c r="T1209" s="5" t="str">
        <f>IF(E1209="","",IFERROR(IF(MATCH(E1209,'Lista de excepciones'!$E:$E,0)&gt;0,1,0),0))</f>
        <v/>
      </c>
      <c r="U1209" s="6" t="str">
        <f t="shared" si="19"/>
        <v/>
      </c>
    </row>
    <row r="1210" spans="1:21" hidden="1" x14ac:dyDescent="0.25">
      <c r="A1210" s="7" t="str">
        <f>IF('Port Bloomberg'!A1210="","",'Port Bloomberg'!A1210)</f>
        <v/>
      </c>
      <c r="B1210" s="7" t="str">
        <f>IF('Port Bloomberg'!B1210="","",'Port Bloomberg'!B1210)</f>
        <v/>
      </c>
      <c r="C1210" s="7" t="str">
        <f>IF('Port Bloomberg'!C1210="","",'Port Bloomberg'!C1210)</f>
        <v/>
      </c>
      <c r="D1210" s="7" t="str">
        <f>IF('Port Bloomberg'!D1210="","",'Port Bloomberg'!D1210)</f>
        <v/>
      </c>
      <c r="E1210" s="7" t="str">
        <f>IF('Port Bloomberg'!E1210="","",'Port Bloomberg'!E1210)</f>
        <v/>
      </c>
      <c r="F1210" s="7" t="str">
        <f>IF('Port Bloomberg'!F1210="","",'Port Bloomberg'!F1210)</f>
        <v/>
      </c>
      <c r="G1210" s="7" t="str">
        <f>IF('Port Bloomberg'!G1210="","",'Port Bloomberg'!G1210)</f>
        <v/>
      </c>
      <c r="H1210" s="7" t="str">
        <f>IF('Port Bloomberg'!H1210="","",'Port Bloomberg'!H1210)</f>
        <v/>
      </c>
      <c r="I1210" s="7" t="str">
        <f>IF('Port Bloomberg'!I1210="","",'Port Bloomberg'!I1210)</f>
        <v/>
      </c>
      <c r="J1210" s="7" t="str">
        <f>IF('Port Bloomberg'!J1210="","",'Port Bloomberg'!J1210)</f>
        <v/>
      </c>
      <c r="K1210" s="7" t="str">
        <f>IF('Port Bloomberg'!K1210="","",'Port Bloomberg'!K1210)</f>
        <v/>
      </c>
      <c r="L1210" s="7" t="str">
        <f>IF('Port Bloomberg'!L1210="","",'Port Bloomberg'!L1210)</f>
        <v/>
      </c>
      <c r="M1210" s="7" t="str">
        <f>IF('Port Bloomberg'!M1210="","",'Port Bloomberg'!M1210)</f>
        <v/>
      </c>
      <c r="N1210" s="7" t="str">
        <f>IF('Port Bloomberg'!N1210="","",'Port Bloomberg'!N1210)</f>
        <v/>
      </c>
      <c r="O1210" s="7" t="str">
        <f>IF('Port Bloomberg'!O1210="","",'Port Bloomberg'!O1210)</f>
        <v/>
      </c>
      <c r="P1210" s="7" t="str">
        <f>IF('Port Bloomberg'!P1210="","",'Port Bloomberg'!P1210)</f>
        <v/>
      </c>
      <c r="Q1210" s="7" t="str">
        <f>IF('Port Bloomberg'!Q1210="","",'Port Bloomberg'!Q1210)</f>
        <v/>
      </c>
      <c r="R1210" s="7" t="str">
        <f>IF('Port Bloomberg'!R1210="","",'Port Bloomberg'!R1210)</f>
        <v/>
      </c>
      <c r="S1210" s="5" t="str">
        <f>IF(E1210="","",IFERROR(IF(MATCH(E1210,[1]Instrumentos!$D:$D,0)&gt;0,1,0),0))</f>
        <v/>
      </c>
      <c r="T1210" s="5" t="str">
        <f>IF(E1210="","",IFERROR(IF(MATCH(E1210,'Lista de excepciones'!$E:$E,0)&gt;0,1,0),0))</f>
        <v/>
      </c>
      <c r="U1210" s="6" t="str">
        <f t="shared" si="19"/>
        <v/>
      </c>
    </row>
    <row r="1211" spans="1:21" hidden="1" x14ac:dyDescent="0.25">
      <c r="A1211" s="7" t="str">
        <f>IF('Port Bloomberg'!A1211="","",'Port Bloomberg'!A1211)</f>
        <v/>
      </c>
      <c r="B1211" s="7" t="str">
        <f>IF('Port Bloomberg'!B1211="","",'Port Bloomberg'!B1211)</f>
        <v/>
      </c>
      <c r="C1211" s="7" t="str">
        <f>IF('Port Bloomberg'!C1211="","",'Port Bloomberg'!C1211)</f>
        <v/>
      </c>
      <c r="D1211" s="7" t="str">
        <f>IF('Port Bloomberg'!D1211="","",'Port Bloomberg'!D1211)</f>
        <v/>
      </c>
      <c r="E1211" s="7" t="str">
        <f>IF('Port Bloomberg'!E1211="","",'Port Bloomberg'!E1211)</f>
        <v/>
      </c>
      <c r="F1211" s="7" t="str">
        <f>IF('Port Bloomberg'!F1211="","",'Port Bloomberg'!F1211)</f>
        <v/>
      </c>
      <c r="G1211" s="7" t="str">
        <f>IF('Port Bloomberg'!G1211="","",'Port Bloomberg'!G1211)</f>
        <v/>
      </c>
      <c r="H1211" s="7" t="str">
        <f>IF('Port Bloomberg'!H1211="","",'Port Bloomberg'!H1211)</f>
        <v/>
      </c>
      <c r="I1211" s="7" t="str">
        <f>IF('Port Bloomberg'!I1211="","",'Port Bloomberg'!I1211)</f>
        <v/>
      </c>
      <c r="J1211" s="7" t="str">
        <f>IF('Port Bloomberg'!J1211="","",'Port Bloomberg'!J1211)</f>
        <v/>
      </c>
      <c r="K1211" s="7" t="str">
        <f>IF('Port Bloomberg'!K1211="","",'Port Bloomberg'!K1211)</f>
        <v/>
      </c>
      <c r="L1211" s="7" t="str">
        <f>IF('Port Bloomberg'!L1211="","",'Port Bloomberg'!L1211)</f>
        <v/>
      </c>
      <c r="M1211" s="7" t="str">
        <f>IF('Port Bloomberg'!M1211="","",'Port Bloomberg'!M1211)</f>
        <v/>
      </c>
      <c r="N1211" s="7" t="str">
        <f>IF('Port Bloomberg'!N1211="","",'Port Bloomberg'!N1211)</f>
        <v/>
      </c>
      <c r="O1211" s="7" t="str">
        <f>IF('Port Bloomberg'!O1211="","",'Port Bloomberg'!O1211)</f>
        <v/>
      </c>
      <c r="P1211" s="7" t="str">
        <f>IF('Port Bloomberg'!P1211="","",'Port Bloomberg'!P1211)</f>
        <v/>
      </c>
      <c r="Q1211" s="7" t="str">
        <f>IF('Port Bloomberg'!Q1211="","",'Port Bloomberg'!Q1211)</f>
        <v/>
      </c>
      <c r="R1211" s="7" t="str">
        <f>IF('Port Bloomberg'!R1211="","",'Port Bloomberg'!R1211)</f>
        <v/>
      </c>
      <c r="S1211" s="5" t="str">
        <f>IF(E1211="","",IFERROR(IF(MATCH(E1211,[1]Instrumentos!$D:$D,0)&gt;0,1,0),0))</f>
        <v/>
      </c>
      <c r="T1211" s="5" t="str">
        <f>IF(E1211="","",IFERROR(IF(MATCH(E1211,'Lista de excepciones'!$E:$E,0)&gt;0,1,0),0))</f>
        <v/>
      </c>
      <c r="U1211" s="6" t="str">
        <f t="shared" si="19"/>
        <v/>
      </c>
    </row>
    <row r="1212" spans="1:21" hidden="1" x14ac:dyDescent="0.25">
      <c r="A1212" s="7" t="str">
        <f>IF('Port Bloomberg'!A1212="","",'Port Bloomberg'!A1212)</f>
        <v/>
      </c>
      <c r="B1212" s="7" t="str">
        <f>IF('Port Bloomberg'!B1212="","",'Port Bloomberg'!B1212)</f>
        <v/>
      </c>
      <c r="C1212" s="7" t="str">
        <f>IF('Port Bloomberg'!C1212="","",'Port Bloomberg'!C1212)</f>
        <v/>
      </c>
      <c r="D1212" s="7" t="str">
        <f>IF('Port Bloomberg'!D1212="","",'Port Bloomberg'!D1212)</f>
        <v/>
      </c>
      <c r="E1212" s="7" t="str">
        <f>IF('Port Bloomberg'!E1212="","",'Port Bloomberg'!E1212)</f>
        <v/>
      </c>
      <c r="F1212" s="7" t="str">
        <f>IF('Port Bloomberg'!F1212="","",'Port Bloomberg'!F1212)</f>
        <v/>
      </c>
      <c r="G1212" s="7" t="str">
        <f>IF('Port Bloomberg'!G1212="","",'Port Bloomberg'!G1212)</f>
        <v/>
      </c>
      <c r="H1212" s="7" t="str">
        <f>IF('Port Bloomberg'!H1212="","",'Port Bloomberg'!H1212)</f>
        <v/>
      </c>
      <c r="I1212" s="7" t="str">
        <f>IF('Port Bloomberg'!I1212="","",'Port Bloomberg'!I1212)</f>
        <v/>
      </c>
      <c r="J1212" s="7" t="str">
        <f>IF('Port Bloomberg'!J1212="","",'Port Bloomberg'!J1212)</f>
        <v/>
      </c>
      <c r="K1212" s="7" t="str">
        <f>IF('Port Bloomberg'!K1212="","",'Port Bloomberg'!K1212)</f>
        <v/>
      </c>
      <c r="L1212" s="7" t="str">
        <f>IF('Port Bloomberg'!L1212="","",'Port Bloomberg'!L1212)</f>
        <v/>
      </c>
      <c r="M1212" s="7" t="str">
        <f>IF('Port Bloomberg'!M1212="","",'Port Bloomberg'!M1212)</f>
        <v/>
      </c>
      <c r="N1212" s="7" t="str">
        <f>IF('Port Bloomberg'!N1212="","",'Port Bloomberg'!N1212)</f>
        <v/>
      </c>
      <c r="O1212" s="7" t="str">
        <f>IF('Port Bloomberg'!O1212="","",'Port Bloomberg'!O1212)</f>
        <v/>
      </c>
      <c r="P1212" s="7" t="str">
        <f>IF('Port Bloomberg'!P1212="","",'Port Bloomberg'!P1212)</f>
        <v/>
      </c>
      <c r="Q1212" s="7" t="str">
        <f>IF('Port Bloomberg'!Q1212="","",'Port Bloomberg'!Q1212)</f>
        <v/>
      </c>
      <c r="R1212" s="7" t="str">
        <f>IF('Port Bloomberg'!R1212="","",'Port Bloomberg'!R1212)</f>
        <v/>
      </c>
      <c r="S1212" s="5" t="str">
        <f>IF(E1212="","",IFERROR(IF(MATCH(E1212,[1]Instrumentos!$D:$D,0)&gt;0,1,0),0))</f>
        <v/>
      </c>
      <c r="T1212" s="5" t="str">
        <f>IF(E1212="","",IFERROR(IF(MATCH(E1212,'Lista de excepciones'!$E:$E,0)&gt;0,1,0),0))</f>
        <v/>
      </c>
      <c r="U1212" s="6" t="str">
        <f t="shared" si="19"/>
        <v/>
      </c>
    </row>
    <row r="1213" spans="1:21" hidden="1" x14ac:dyDescent="0.25">
      <c r="A1213" s="7" t="str">
        <f>IF('Port Bloomberg'!A1213="","",'Port Bloomberg'!A1213)</f>
        <v/>
      </c>
      <c r="B1213" s="7" t="str">
        <f>IF('Port Bloomberg'!B1213="","",'Port Bloomberg'!B1213)</f>
        <v/>
      </c>
      <c r="C1213" s="7" t="str">
        <f>IF('Port Bloomberg'!C1213="","",'Port Bloomberg'!C1213)</f>
        <v/>
      </c>
      <c r="D1213" s="7" t="str">
        <f>IF('Port Bloomberg'!D1213="","",'Port Bloomberg'!D1213)</f>
        <v/>
      </c>
      <c r="E1213" s="7" t="str">
        <f>IF('Port Bloomberg'!E1213="","",'Port Bloomberg'!E1213)</f>
        <v/>
      </c>
      <c r="F1213" s="7" t="str">
        <f>IF('Port Bloomberg'!F1213="","",'Port Bloomberg'!F1213)</f>
        <v/>
      </c>
      <c r="G1213" s="7" t="str">
        <f>IF('Port Bloomberg'!G1213="","",'Port Bloomberg'!G1213)</f>
        <v/>
      </c>
      <c r="H1213" s="7" t="str">
        <f>IF('Port Bloomberg'!H1213="","",'Port Bloomberg'!H1213)</f>
        <v/>
      </c>
      <c r="I1213" s="7" t="str">
        <f>IF('Port Bloomberg'!I1213="","",'Port Bloomberg'!I1213)</f>
        <v/>
      </c>
      <c r="J1213" s="7" t="str">
        <f>IF('Port Bloomberg'!J1213="","",'Port Bloomberg'!J1213)</f>
        <v/>
      </c>
      <c r="K1213" s="7" t="str">
        <f>IF('Port Bloomberg'!K1213="","",'Port Bloomberg'!K1213)</f>
        <v/>
      </c>
      <c r="L1213" s="7" t="str">
        <f>IF('Port Bloomberg'!L1213="","",'Port Bloomberg'!L1213)</f>
        <v/>
      </c>
      <c r="M1213" s="7" t="str">
        <f>IF('Port Bloomberg'!M1213="","",'Port Bloomberg'!M1213)</f>
        <v/>
      </c>
      <c r="N1213" s="7" t="str">
        <f>IF('Port Bloomberg'!N1213="","",'Port Bloomberg'!N1213)</f>
        <v/>
      </c>
      <c r="O1213" s="7" t="str">
        <f>IF('Port Bloomberg'!O1213="","",'Port Bloomberg'!O1213)</f>
        <v/>
      </c>
      <c r="P1213" s="7" t="str">
        <f>IF('Port Bloomberg'!P1213="","",'Port Bloomberg'!P1213)</f>
        <v/>
      </c>
      <c r="Q1213" s="7" t="str">
        <f>IF('Port Bloomberg'!Q1213="","",'Port Bloomberg'!Q1213)</f>
        <v/>
      </c>
      <c r="R1213" s="7" t="str">
        <f>IF('Port Bloomberg'!R1213="","",'Port Bloomberg'!R1213)</f>
        <v/>
      </c>
      <c r="S1213" s="5" t="str">
        <f>IF(E1213="","",IFERROR(IF(MATCH(E1213,[1]Instrumentos!$D:$D,0)&gt;0,1,0),0))</f>
        <v/>
      </c>
      <c r="T1213" s="5" t="str">
        <f>IF(E1213="","",IFERROR(IF(MATCH(E1213,'Lista de excepciones'!$E:$E,0)&gt;0,1,0),0))</f>
        <v/>
      </c>
      <c r="U1213" s="6" t="str">
        <f t="shared" si="19"/>
        <v/>
      </c>
    </row>
    <row r="1214" spans="1:21" hidden="1" x14ac:dyDescent="0.25">
      <c r="A1214" s="7" t="str">
        <f>IF('Port Bloomberg'!A1214="","",'Port Bloomberg'!A1214)</f>
        <v/>
      </c>
      <c r="B1214" s="7" t="str">
        <f>IF('Port Bloomberg'!B1214="","",'Port Bloomberg'!B1214)</f>
        <v/>
      </c>
      <c r="C1214" s="7" t="str">
        <f>IF('Port Bloomberg'!C1214="","",'Port Bloomberg'!C1214)</f>
        <v/>
      </c>
      <c r="D1214" s="7" t="str">
        <f>IF('Port Bloomberg'!D1214="","",'Port Bloomberg'!D1214)</f>
        <v/>
      </c>
      <c r="E1214" s="7" t="str">
        <f>IF('Port Bloomberg'!E1214="","",'Port Bloomberg'!E1214)</f>
        <v/>
      </c>
      <c r="F1214" s="7" t="str">
        <f>IF('Port Bloomberg'!F1214="","",'Port Bloomberg'!F1214)</f>
        <v/>
      </c>
      <c r="G1214" s="7" t="str">
        <f>IF('Port Bloomberg'!G1214="","",'Port Bloomberg'!G1214)</f>
        <v/>
      </c>
      <c r="H1214" s="7" t="str">
        <f>IF('Port Bloomberg'!H1214="","",'Port Bloomberg'!H1214)</f>
        <v/>
      </c>
      <c r="I1214" s="7" t="str">
        <f>IF('Port Bloomberg'!I1214="","",'Port Bloomberg'!I1214)</f>
        <v/>
      </c>
      <c r="J1214" s="7" t="str">
        <f>IF('Port Bloomberg'!J1214="","",'Port Bloomberg'!J1214)</f>
        <v/>
      </c>
      <c r="K1214" s="7" t="str">
        <f>IF('Port Bloomberg'!K1214="","",'Port Bloomberg'!K1214)</f>
        <v/>
      </c>
      <c r="L1214" s="7" t="str">
        <f>IF('Port Bloomberg'!L1214="","",'Port Bloomberg'!L1214)</f>
        <v/>
      </c>
      <c r="M1214" s="7" t="str">
        <f>IF('Port Bloomberg'!M1214="","",'Port Bloomberg'!M1214)</f>
        <v/>
      </c>
      <c r="N1214" s="7" t="str">
        <f>IF('Port Bloomberg'!N1214="","",'Port Bloomberg'!N1214)</f>
        <v/>
      </c>
      <c r="O1214" s="7" t="str">
        <f>IF('Port Bloomberg'!O1214="","",'Port Bloomberg'!O1214)</f>
        <v/>
      </c>
      <c r="P1214" s="7" t="str">
        <f>IF('Port Bloomberg'!P1214="","",'Port Bloomberg'!P1214)</f>
        <v/>
      </c>
      <c r="Q1214" s="7" t="str">
        <f>IF('Port Bloomberg'!Q1214="","",'Port Bloomberg'!Q1214)</f>
        <v/>
      </c>
      <c r="R1214" s="7" t="str">
        <f>IF('Port Bloomberg'!R1214="","",'Port Bloomberg'!R1214)</f>
        <v/>
      </c>
      <c r="S1214" s="5" t="str">
        <f>IF(E1214="","",IFERROR(IF(MATCH(E1214,[1]Instrumentos!$D:$D,0)&gt;0,1,0),0))</f>
        <v/>
      </c>
      <c r="T1214" s="5" t="str">
        <f>IF(E1214="","",IFERROR(IF(MATCH(E1214,'Lista de excepciones'!$E:$E,0)&gt;0,1,0),0))</f>
        <v/>
      </c>
      <c r="U1214" s="6" t="str">
        <f t="shared" si="19"/>
        <v/>
      </c>
    </row>
    <row r="1215" spans="1:21" hidden="1" x14ac:dyDescent="0.25">
      <c r="A1215" s="7" t="str">
        <f>IF('Port Bloomberg'!A1215="","",'Port Bloomberg'!A1215)</f>
        <v/>
      </c>
      <c r="B1215" s="7" t="str">
        <f>IF('Port Bloomberg'!B1215="","",'Port Bloomberg'!B1215)</f>
        <v/>
      </c>
      <c r="C1215" s="7" t="str">
        <f>IF('Port Bloomberg'!C1215="","",'Port Bloomberg'!C1215)</f>
        <v/>
      </c>
      <c r="D1215" s="7" t="str">
        <f>IF('Port Bloomberg'!D1215="","",'Port Bloomberg'!D1215)</f>
        <v/>
      </c>
      <c r="E1215" s="7" t="str">
        <f>IF('Port Bloomberg'!E1215="","",'Port Bloomberg'!E1215)</f>
        <v/>
      </c>
      <c r="F1215" s="7" t="str">
        <f>IF('Port Bloomberg'!F1215="","",'Port Bloomberg'!F1215)</f>
        <v/>
      </c>
      <c r="G1215" s="7" t="str">
        <f>IF('Port Bloomberg'!G1215="","",'Port Bloomberg'!G1215)</f>
        <v/>
      </c>
      <c r="H1215" s="7" t="str">
        <f>IF('Port Bloomberg'!H1215="","",'Port Bloomberg'!H1215)</f>
        <v/>
      </c>
      <c r="I1215" s="7" t="str">
        <f>IF('Port Bloomberg'!I1215="","",'Port Bloomberg'!I1215)</f>
        <v/>
      </c>
      <c r="J1215" s="7" t="str">
        <f>IF('Port Bloomberg'!J1215="","",'Port Bloomberg'!J1215)</f>
        <v/>
      </c>
      <c r="K1215" s="7" t="str">
        <f>IF('Port Bloomberg'!K1215="","",'Port Bloomberg'!K1215)</f>
        <v/>
      </c>
      <c r="L1215" s="7" t="str">
        <f>IF('Port Bloomberg'!L1215="","",'Port Bloomberg'!L1215)</f>
        <v/>
      </c>
      <c r="M1215" s="7" t="str">
        <f>IF('Port Bloomberg'!M1215="","",'Port Bloomberg'!M1215)</f>
        <v/>
      </c>
      <c r="N1215" s="7" t="str">
        <f>IF('Port Bloomberg'!N1215="","",'Port Bloomberg'!N1215)</f>
        <v/>
      </c>
      <c r="O1215" s="7" t="str">
        <f>IF('Port Bloomberg'!O1215="","",'Port Bloomberg'!O1215)</f>
        <v/>
      </c>
      <c r="P1215" s="7" t="str">
        <f>IF('Port Bloomberg'!P1215="","",'Port Bloomberg'!P1215)</f>
        <v/>
      </c>
      <c r="Q1215" s="7" t="str">
        <f>IF('Port Bloomberg'!Q1215="","",'Port Bloomberg'!Q1215)</f>
        <v/>
      </c>
      <c r="R1215" s="7" t="str">
        <f>IF('Port Bloomberg'!R1215="","",'Port Bloomberg'!R1215)</f>
        <v/>
      </c>
      <c r="S1215" s="5" t="str">
        <f>IF(E1215="","",IFERROR(IF(MATCH(E1215,[1]Instrumentos!$D:$D,0)&gt;0,1,0),0))</f>
        <v/>
      </c>
      <c r="T1215" s="5" t="str">
        <f>IF(E1215="","",IFERROR(IF(MATCH(E1215,'Lista de excepciones'!$E:$E,0)&gt;0,1,0),0))</f>
        <v/>
      </c>
      <c r="U1215" s="6" t="str">
        <f t="shared" si="19"/>
        <v/>
      </c>
    </row>
    <row r="1216" spans="1:21" hidden="1" x14ac:dyDescent="0.25">
      <c r="A1216" s="7" t="str">
        <f>IF('Port Bloomberg'!A1216="","",'Port Bloomberg'!A1216)</f>
        <v/>
      </c>
      <c r="B1216" s="7" t="str">
        <f>IF('Port Bloomberg'!B1216="","",'Port Bloomberg'!B1216)</f>
        <v/>
      </c>
      <c r="C1216" s="7" t="str">
        <f>IF('Port Bloomberg'!C1216="","",'Port Bloomberg'!C1216)</f>
        <v/>
      </c>
      <c r="D1216" s="7" t="str">
        <f>IF('Port Bloomberg'!D1216="","",'Port Bloomberg'!D1216)</f>
        <v/>
      </c>
      <c r="E1216" s="7" t="str">
        <f>IF('Port Bloomberg'!E1216="","",'Port Bloomberg'!E1216)</f>
        <v/>
      </c>
      <c r="F1216" s="7" t="str">
        <f>IF('Port Bloomberg'!F1216="","",'Port Bloomberg'!F1216)</f>
        <v/>
      </c>
      <c r="G1216" s="7" t="str">
        <f>IF('Port Bloomberg'!G1216="","",'Port Bloomberg'!G1216)</f>
        <v/>
      </c>
      <c r="H1216" s="7" t="str">
        <f>IF('Port Bloomberg'!H1216="","",'Port Bloomberg'!H1216)</f>
        <v/>
      </c>
      <c r="I1216" s="7" t="str">
        <f>IF('Port Bloomberg'!I1216="","",'Port Bloomberg'!I1216)</f>
        <v/>
      </c>
      <c r="J1216" s="7" t="str">
        <f>IF('Port Bloomberg'!J1216="","",'Port Bloomberg'!J1216)</f>
        <v/>
      </c>
      <c r="K1216" s="7" t="str">
        <f>IF('Port Bloomberg'!K1216="","",'Port Bloomberg'!K1216)</f>
        <v/>
      </c>
      <c r="L1216" s="7" t="str">
        <f>IF('Port Bloomberg'!L1216="","",'Port Bloomberg'!L1216)</f>
        <v/>
      </c>
      <c r="M1216" s="7" t="str">
        <f>IF('Port Bloomberg'!M1216="","",'Port Bloomberg'!M1216)</f>
        <v/>
      </c>
      <c r="N1216" s="7" t="str">
        <f>IF('Port Bloomberg'!N1216="","",'Port Bloomberg'!N1216)</f>
        <v/>
      </c>
      <c r="O1216" s="7" t="str">
        <f>IF('Port Bloomberg'!O1216="","",'Port Bloomberg'!O1216)</f>
        <v/>
      </c>
      <c r="P1216" s="7" t="str">
        <f>IF('Port Bloomberg'!P1216="","",'Port Bloomberg'!P1216)</f>
        <v/>
      </c>
      <c r="Q1216" s="7" t="str">
        <f>IF('Port Bloomberg'!Q1216="","",'Port Bloomberg'!Q1216)</f>
        <v/>
      </c>
      <c r="R1216" s="7" t="str">
        <f>IF('Port Bloomberg'!R1216="","",'Port Bloomberg'!R1216)</f>
        <v/>
      </c>
      <c r="S1216" s="5" t="str">
        <f>IF(E1216="","",IFERROR(IF(MATCH(E1216,[1]Instrumentos!$D:$D,0)&gt;0,1,0),0))</f>
        <v/>
      </c>
      <c r="T1216" s="5" t="str">
        <f>IF(E1216="","",IFERROR(IF(MATCH(E1216,'Lista de excepciones'!$E:$E,0)&gt;0,1,0),0))</f>
        <v/>
      </c>
      <c r="U1216" s="6" t="str">
        <f t="shared" si="19"/>
        <v/>
      </c>
    </row>
    <row r="1217" spans="1:21" hidden="1" x14ac:dyDescent="0.25">
      <c r="A1217" s="7" t="str">
        <f>IF('Port Bloomberg'!A1217="","",'Port Bloomberg'!A1217)</f>
        <v/>
      </c>
      <c r="B1217" s="7" t="str">
        <f>IF('Port Bloomberg'!B1217="","",'Port Bloomberg'!B1217)</f>
        <v/>
      </c>
      <c r="C1217" s="7" t="str">
        <f>IF('Port Bloomberg'!C1217="","",'Port Bloomberg'!C1217)</f>
        <v/>
      </c>
      <c r="D1217" s="7" t="str">
        <f>IF('Port Bloomberg'!D1217="","",'Port Bloomberg'!D1217)</f>
        <v/>
      </c>
      <c r="E1217" s="7" t="str">
        <f>IF('Port Bloomberg'!E1217="","",'Port Bloomberg'!E1217)</f>
        <v/>
      </c>
      <c r="F1217" s="7" t="str">
        <f>IF('Port Bloomberg'!F1217="","",'Port Bloomberg'!F1217)</f>
        <v/>
      </c>
      <c r="G1217" s="7" t="str">
        <f>IF('Port Bloomberg'!G1217="","",'Port Bloomberg'!G1217)</f>
        <v/>
      </c>
      <c r="H1217" s="7" t="str">
        <f>IF('Port Bloomberg'!H1217="","",'Port Bloomberg'!H1217)</f>
        <v/>
      </c>
      <c r="I1217" s="7" t="str">
        <f>IF('Port Bloomberg'!I1217="","",'Port Bloomberg'!I1217)</f>
        <v/>
      </c>
      <c r="J1217" s="7" t="str">
        <f>IF('Port Bloomberg'!J1217="","",'Port Bloomberg'!J1217)</f>
        <v/>
      </c>
      <c r="K1217" s="7" t="str">
        <f>IF('Port Bloomberg'!K1217="","",'Port Bloomberg'!K1217)</f>
        <v/>
      </c>
      <c r="L1217" s="7" t="str">
        <f>IF('Port Bloomberg'!L1217="","",'Port Bloomberg'!L1217)</f>
        <v/>
      </c>
      <c r="M1217" s="7" t="str">
        <f>IF('Port Bloomberg'!M1217="","",'Port Bloomberg'!M1217)</f>
        <v/>
      </c>
      <c r="N1217" s="7" t="str">
        <f>IF('Port Bloomberg'!N1217="","",'Port Bloomberg'!N1217)</f>
        <v/>
      </c>
      <c r="O1217" s="7" t="str">
        <f>IF('Port Bloomberg'!O1217="","",'Port Bloomberg'!O1217)</f>
        <v/>
      </c>
      <c r="P1217" s="7" t="str">
        <f>IF('Port Bloomberg'!P1217="","",'Port Bloomberg'!P1217)</f>
        <v/>
      </c>
      <c r="Q1217" s="7" t="str">
        <f>IF('Port Bloomberg'!Q1217="","",'Port Bloomberg'!Q1217)</f>
        <v/>
      </c>
      <c r="R1217" s="7" t="str">
        <f>IF('Port Bloomberg'!R1217="","",'Port Bloomberg'!R1217)</f>
        <v/>
      </c>
      <c r="S1217" s="5" t="str">
        <f>IF(E1217="","",IFERROR(IF(MATCH(E1217,[1]Instrumentos!$D:$D,0)&gt;0,1,0),0))</f>
        <v/>
      </c>
      <c r="T1217" s="5" t="str">
        <f>IF(E1217="","",IFERROR(IF(MATCH(E1217,'Lista de excepciones'!$E:$E,0)&gt;0,1,0),0))</f>
        <v/>
      </c>
      <c r="U1217" s="6" t="str">
        <f t="shared" si="19"/>
        <v/>
      </c>
    </row>
    <row r="1218" spans="1:21" hidden="1" x14ac:dyDescent="0.25">
      <c r="A1218" s="7" t="str">
        <f>IF('Port Bloomberg'!A1218="","",'Port Bloomberg'!A1218)</f>
        <v/>
      </c>
      <c r="B1218" s="7" t="str">
        <f>IF('Port Bloomberg'!B1218="","",'Port Bloomberg'!B1218)</f>
        <v/>
      </c>
      <c r="C1218" s="7" t="str">
        <f>IF('Port Bloomberg'!C1218="","",'Port Bloomberg'!C1218)</f>
        <v/>
      </c>
      <c r="D1218" s="7" t="str">
        <f>IF('Port Bloomberg'!D1218="","",'Port Bloomberg'!D1218)</f>
        <v/>
      </c>
      <c r="E1218" s="7" t="str">
        <f>IF('Port Bloomberg'!E1218="","",'Port Bloomberg'!E1218)</f>
        <v/>
      </c>
      <c r="F1218" s="7" t="str">
        <f>IF('Port Bloomberg'!F1218="","",'Port Bloomberg'!F1218)</f>
        <v/>
      </c>
      <c r="G1218" s="7" t="str">
        <f>IF('Port Bloomberg'!G1218="","",'Port Bloomberg'!G1218)</f>
        <v/>
      </c>
      <c r="H1218" s="7" t="str">
        <f>IF('Port Bloomberg'!H1218="","",'Port Bloomberg'!H1218)</f>
        <v/>
      </c>
      <c r="I1218" s="7" t="str">
        <f>IF('Port Bloomberg'!I1218="","",'Port Bloomberg'!I1218)</f>
        <v/>
      </c>
      <c r="J1218" s="7" t="str">
        <f>IF('Port Bloomberg'!J1218="","",'Port Bloomberg'!J1218)</f>
        <v/>
      </c>
      <c r="K1218" s="7" t="str">
        <f>IF('Port Bloomberg'!K1218="","",'Port Bloomberg'!K1218)</f>
        <v/>
      </c>
      <c r="L1218" s="7" t="str">
        <f>IF('Port Bloomberg'!L1218="","",'Port Bloomberg'!L1218)</f>
        <v/>
      </c>
      <c r="M1218" s="7" t="str">
        <f>IF('Port Bloomberg'!M1218="","",'Port Bloomberg'!M1218)</f>
        <v/>
      </c>
      <c r="N1218" s="7" t="str">
        <f>IF('Port Bloomberg'!N1218="","",'Port Bloomberg'!N1218)</f>
        <v/>
      </c>
      <c r="O1218" s="7" t="str">
        <f>IF('Port Bloomberg'!O1218="","",'Port Bloomberg'!O1218)</f>
        <v/>
      </c>
      <c r="P1218" s="7" t="str">
        <f>IF('Port Bloomberg'!P1218="","",'Port Bloomberg'!P1218)</f>
        <v/>
      </c>
      <c r="Q1218" s="7" t="str">
        <f>IF('Port Bloomberg'!Q1218="","",'Port Bloomberg'!Q1218)</f>
        <v/>
      </c>
      <c r="R1218" s="7" t="str">
        <f>IF('Port Bloomberg'!R1218="","",'Port Bloomberg'!R1218)</f>
        <v/>
      </c>
      <c r="S1218" s="5" t="str">
        <f>IF(E1218="","",IFERROR(IF(MATCH(E1218,[1]Instrumentos!$D:$D,0)&gt;0,1,0),0))</f>
        <v/>
      </c>
      <c r="T1218" s="5" t="str">
        <f>IF(E1218="","",IFERROR(IF(MATCH(E1218,'Lista de excepciones'!$E:$E,0)&gt;0,1,0),0))</f>
        <v/>
      </c>
      <c r="U1218" s="6" t="str">
        <f t="shared" si="19"/>
        <v/>
      </c>
    </row>
    <row r="1219" spans="1:21" hidden="1" x14ac:dyDescent="0.25">
      <c r="A1219" s="7" t="str">
        <f>IF('Port Bloomberg'!A1219="","",'Port Bloomberg'!A1219)</f>
        <v/>
      </c>
      <c r="B1219" s="7" t="str">
        <f>IF('Port Bloomberg'!B1219="","",'Port Bloomberg'!B1219)</f>
        <v/>
      </c>
      <c r="C1219" s="7" t="str">
        <f>IF('Port Bloomberg'!C1219="","",'Port Bloomberg'!C1219)</f>
        <v/>
      </c>
      <c r="D1219" s="7" t="str">
        <f>IF('Port Bloomberg'!D1219="","",'Port Bloomberg'!D1219)</f>
        <v/>
      </c>
      <c r="E1219" s="7" t="str">
        <f>IF('Port Bloomberg'!E1219="","",'Port Bloomberg'!E1219)</f>
        <v/>
      </c>
      <c r="F1219" s="7" t="str">
        <f>IF('Port Bloomberg'!F1219="","",'Port Bloomberg'!F1219)</f>
        <v/>
      </c>
      <c r="G1219" s="7" t="str">
        <f>IF('Port Bloomberg'!G1219="","",'Port Bloomberg'!G1219)</f>
        <v/>
      </c>
      <c r="H1219" s="7" t="str">
        <f>IF('Port Bloomberg'!H1219="","",'Port Bloomberg'!H1219)</f>
        <v/>
      </c>
      <c r="I1219" s="7" t="str">
        <f>IF('Port Bloomberg'!I1219="","",'Port Bloomberg'!I1219)</f>
        <v/>
      </c>
      <c r="J1219" s="7" t="str">
        <f>IF('Port Bloomberg'!J1219="","",'Port Bloomberg'!J1219)</f>
        <v/>
      </c>
      <c r="K1219" s="7" t="str">
        <f>IF('Port Bloomberg'!K1219="","",'Port Bloomberg'!K1219)</f>
        <v/>
      </c>
      <c r="L1219" s="7" t="str">
        <f>IF('Port Bloomberg'!L1219="","",'Port Bloomberg'!L1219)</f>
        <v/>
      </c>
      <c r="M1219" s="7" t="str">
        <f>IF('Port Bloomberg'!M1219="","",'Port Bloomberg'!M1219)</f>
        <v/>
      </c>
      <c r="N1219" s="7" t="str">
        <f>IF('Port Bloomberg'!N1219="","",'Port Bloomberg'!N1219)</f>
        <v/>
      </c>
      <c r="O1219" s="7" t="str">
        <f>IF('Port Bloomberg'!O1219="","",'Port Bloomberg'!O1219)</f>
        <v/>
      </c>
      <c r="P1219" s="7" t="str">
        <f>IF('Port Bloomberg'!P1219="","",'Port Bloomberg'!P1219)</f>
        <v/>
      </c>
      <c r="Q1219" s="7" t="str">
        <f>IF('Port Bloomberg'!Q1219="","",'Port Bloomberg'!Q1219)</f>
        <v/>
      </c>
      <c r="R1219" s="7" t="str">
        <f>IF('Port Bloomberg'!R1219="","",'Port Bloomberg'!R1219)</f>
        <v/>
      </c>
      <c r="S1219" s="5" t="str">
        <f>IF(E1219="","",IFERROR(IF(MATCH(E1219,[1]Instrumentos!$D:$D,0)&gt;0,1,0),0))</f>
        <v/>
      </c>
      <c r="T1219" s="5" t="str">
        <f>IF(E1219="","",IFERROR(IF(MATCH(E1219,'Lista de excepciones'!$E:$E,0)&gt;0,1,0),0))</f>
        <v/>
      </c>
      <c r="U1219" s="6" t="str">
        <f t="shared" ref="U1219:U1250" si="20">IF(E1219="","",IF(S1219+T1219=0,"AGREGAR/REVISAR","NO"))</f>
        <v/>
      </c>
    </row>
    <row r="1220" spans="1:21" hidden="1" x14ac:dyDescent="0.25">
      <c r="A1220" s="7" t="str">
        <f>IF('Port Bloomberg'!A1220="","",'Port Bloomberg'!A1220)</f>
        <v/>
      </c>
      <c r="B1220" s="7" t="str">
        <f>IF('Port Bloomberg'!B1220="","",'Port Bloomberg'!B1220)</f>
        <v/>
      </c>
      <c r="C1220" s="7" t="str">
        <f>IF('Port Bloomberg'!C1220="","",'Port Bloomberg'!C1220)</f>
        <v/>
      </c>
      <c r="D1220" s="7" t="str">
        <f>IF('Port Bloomberg'!D1220="","",'Port Bloomberg'!D1220)</f>
        <v/>
      </c>
      <c r="E1220" s="7" t="str">
        <f>IF('Port Bloomberg'!E1220="","",'Port Bloomberg'!E1220)</f>
        <v/>
      </c>
      <c r="F1220" s="7" t="str">
        <f>IF('Port Bloomberg'!F1220="","",'Port Bloomberg'!F1220)</f>
        <v/>
      </c>
      <c r="G1220" s="7" t="str">
        <f>IF('Port Bloomberg'!G1220="","",'Port Bloomberg'!G1220)</f>
        <v/>
      </c>
      <c r="H1220" s="7" t="str">
        <f>IF('Port Bloomberg'!H1220="","",'Port Bloomberg'!H1220)</f>
        <v/>
      </c>
      <c r="I1220" s="7" t="str">
        <f>IF('Port Bloomberg'!I1220="","",'Port Bloomberg'!I1220)</f>
        <v/>
      </c>
      <c r="J1220" s="7" t="str">
        <f>IF('Port Bloomberg'!J1220="","",'Port Bloomberg'!J1220)</f>
        <v/>
      </c>
      <c r="K1220" s="7" t="str">
        <f>IF('Port Bloomberg'!K1220="","",'Port Bloomberg'!K1220)</f>
        <v/>
      </c>
      <c r="L1220" s="7" t="str">
        <f>IF('Port Bloomberg'!L1220="","",'Port Bloomberg'!L1220)</f>
        <v/>
      </c>
      <c r="M1220" s="7" t="str">
        <f>IF('Port Bloomberg'!M1220="","",'Port Bloomberg'!M1220)</f>
        <v/>
      </c>
      <c r="N1220" s="7" t="str">
        <f>IF('Port Bloomberg'!N1220="","",'Port Bloomberg'!N1220)</f>
        <v/>
      </c>
      <c r="O1220" s="7" t="str">
        <f>IF('Port Bloomberg'!O1220="","",'Port Bloomberg'!O1220)</f>
        <v/>
      </c>
      <c r="P1220" s="7" t="str">
        <f>IF('Port Bloomberg'!P1220="","",'Port Bloomberg'!P1220)</f>
        <v/>
      </c>
      <c r="Q1220" s="7" t="str">
        <f>IF('Port Bloomberg'!Q1220="","",'Port Bloomberg'!Q1220)</f>
        <v/>
      </c>
      <c r="R1220" s="7" t="str">
        <f>IF('Port Bloomberg'!R1220="","",'Port Bloomberg'!R1220)</f>
        <v/>
      </c>
      <c r="S1220" s="5" t="str">
        <f>IF(E1220="","",IFERROR(IF(MATCH(E1220,[1]Instrumentos!$D:$D,0)&gt;0,1,0),0))</f>
        <v/>
      </c>
      <c r="T1220" s="5" t="str">
        <f>IF(E1220="","",IFERROR(IF(MATCH(E1220,'Lista de excepciones'!$E:$E,0)&gt;0,1,0),0))</f>
        <v/>
      </c>
      <c r="U1220" s="6" t="str">
        <f t="shared" si="20"/>
        <v/>
      </c>
    </row>
    <row r="1221" spans="1:21" hidden="1" x14ac:dyDescent="0.25">
      <c r="A1221" s="7" t="str">
        <f>IF('Port Bloomberg'!A1221="","",'Port Bloomberg'!A1221)</f>
        <v/>
      </c>
      <c r="B1221" s="7" t="str">
        <f>IF('Port Bloomberg'!B1221="","",'Port Bloomberg'!B1221)</f>
        <v/>
      </c>
      <c r="C1221" s="7" t="str">
        <f>IF('Port Bloomberg'!C1221="","",'Port Bloomberg'!C1221)</f>
        <v/>
      </c>
      <c r="D1221" s="7" t="str">
        <f>IF('Port Bloomberg'!D1221="","",'Port Bloomberg'!D1221)</f>
        <v/>
      </c>
      <c r="E1221" s="7" t="str">
        <f>IF('Port Bloomberg'!E1221="","",'Port Bloomberg'!E1221)</f>
        <v/>
      </c>
      <c r="F1221" s="7" t="str">
        <f>IF('Port Bloomberg'!F1221="","",'Port Bloomberg'!F1221)</f>
        <v/>
      </c>
      <c r="G1221" s="7" t="str">
        <f>IF('Port Bloomberg'!G1221="","",'Port Bloomberg'!G1221)</f>
        <v/>
      </c>
      <c r="H1221" s="7" t="str">
        <f>IF('Port Bloomberg'!H1221="","",'Port Bloomberg'!H1221)</f>
        <v/>
      </c>
      <c r="I1221" s="7" t="str">
        <f>IF('Port Bloomberg'!I1221="","",'Port Bloomberg'!I1221)</f>
        <v/>
      </c>
      <c r="J1221" s="7" t="str">
        <f>IF('Port Bloomberg'!J1221="","",'Port Bloomberg'!J1221)</f>
        <v/>
      </c>
      <c r="K1221" s="7" t="str">
        <f>IF('Port Bloomberg'!K1221="","",'Port Bloomberg'!K1221)</f>
        <v/>
      </c>
      <c r="L1221" s="7" t="str">
        <f>IF('Port Bloomberg'!L1221="","",'Port Bloomberg'!L1221)</f>
        <v/>
      </c>
      <c r="M1221" s="7" t="str">
        <f>IF('Port Bloomberg'!M1221="","",'Port Bloomberg'!M1221)</f>
        <v/>
      </c>
      <c r="N1221" s="7" t="str">
        <f>IF('Port Bloomberg'!N1221="","",'Port Bloomberg'!N1221)</f>
        <v/>
      </c>
      <c r="O1221" s="7" t="str">
        <f>IF('Port Bloomberg'!O1221="","",'Port Bloomberg'!O1221)</f>
        <v/>
      </c>
      <c r="P1221" s="7" t="str">
        <f>IF('Port Bloomberg'!P1221="","",'Port Bloomberg'!P1221)</f>
        <v/>
      </c>
      <c r="Q1221" s="7" t="str">
        <f>IF('Port Bloomberg'!Q1221="","",'Port Bloomberg'!Q1221)</f>
        <v/>
      </c>
      <c r="R1221" s="7" t="str">
        <f>IF('Port Bloomberg'!R1221="","",'Port Bloomberg'!R1221)</f>
        <v/>
      </c>
      <c r="S1221" s="5" t="str">
        <f>IF(E1221="","",IFERROR(IF(MATCH(E1221,[1]Instrumentos!$D:$D,0)&gt;0,1,0),0))</f>
        <v/>
      </c>
      <c r="T1221" s="5" t="str">
        <f>IF(E1221="","",IFERROR(IF(MATCH(E1221,'Lista de excepciones'!$E:$E,0)&gt;0,1,0),0))</f>
        <v/>
      </c>
      <c r="U1221" s="6" t="str">
        <f t="shared" si="20"/>
        <v/>
      </c>
    </row>
    <row r="1222" spans="1:21" hidden="1" x14ac:dyDescent="0.25">
      <c r="A1222" s="7" t="str">
        <f>IF('Port Bloomberg'!A1222="","",'Port Bloomberg'!A1222)</f>
        <v/>
      </c>
      <c r="B1222" s="7" t="str">
        <f>IF('Port Bloomberg'!B1222="","",'Port Bloomberg'!B1222)</f>
        <v/>
      </c>
      <c r="C1222" s="7" t="str">
        <f>IF('Port Bloomberg'!C1222="","",'Port Bloomberg'!C1222)</f>
        <v/>
      </c>
      <c r="D1222" s="7" t="str">
        <f>IF('Port Bloomberg'!D1222="","",'Port Bloomberg'!D1222)</f>
        <v/>
      </c>
      <c r="E1222" s="7" t="str">
        <f>IF('Port Bloomberg'!E1222="","",'Port Bloomberg'!E1222)</f>
        <v/>
      </c>
      <c r="F1222" s="7" t="str">
        <f>IF('Port Bloomberg'!F1222="","",'Port Bloomberg'!F1222)</f>
        <v/>
      </c>
      <c r="G1222" s="7" t="str">
        <f>IF('Port Bloomberg'!G1222="","",'Port Bloomberg'!G1222)</f>
        <v/>
      </c>
      <c r="H1222" s="7" t="str">
        <f>IF('Port Bloomberg'!H1222="","",'Port Bloomberg'!H1222)</f>
        <v/>
      </c>
      <c r="I1222" s="7" t="str">
        <f>IF('Port Bloomberg'!I1222="","",'Port Bloomberg'!I1222)</f>
        <v/>
      </c>
      <c r="J1222" s="7" t="str">
        <f>IF('Port Bloomberg'!J1222="","",'Port Bloomberg'!J1222)</f>
        <v/>
      </c>
      <c r="K1222" s="7" t="str">
        <f>IF('Port Bloomberg'!K1222="","",'Port Bloomberg'!K1222)</f>
        <v/>
      </c>
      <c r="L1222" s="7" t="str">
        <f>IF('Port Bloomberg'!L1222="","",'Port Bloomberg'!L1222)</f>
        <v/>
      </c>
      <c r="M1222" s="7" t="str">
        <f>IF('Port Bloomberg'!M1222="","",'Port Bloomberg'!M1222)</f>
        <v/>
      </c>
      <c r="N1222" s="7" t="str">
        <f>IF('Port Bloomberg'!N1222="","",'Port Bloomberg'!N1222)</f>
        <v/>
      </c>
      <c r="O1222" s="7" t="str">
        <f>IF('Port Bloomberg'!O1222="","",'Port Bloomberg'!O1222)</f>
        <v/>
      </c>
      <c r="P1222" s="7" t="str">
        <f>IF('Port Bloomberg'!P1222="","",'Port Bloomberg'!P1222)</f>
        <v/>
      </c>
      <c r="Q1222" s="7" t="str">
        <f>IF('Port Bloomberg'!Q1222="","",'Port Bloomberg'!Q1222)</f>
        <v/>
      </c>
      <c r="R1222" s="7" t="str">
        <f>IF('Port Bloomberg'!R1222="","",'Port Bloomberg'!R1222)</f>
        <v/>
      </c>
      <c r="S1222" s="5" t="str">
        <f>IF(E1222="","",IFERROR(IF(MATCH(E1222,[1]Instrumentos!$D:$D,0)&gt;0,1,0),0))</f>
        <v/>
      </c>
      <c r="T1222" s="5" t="str">
        <f>IF(E1222="","",IFERROR(IF(MATCH(E1222,'Lista de excepciones'!$E:$E,0)&gt;0,1,0),0))</f>
        <v/>
      </c>
      <c r="U1222" s="6" t="str">
        <f t="shared" si="20"/>
        <v/>
      </c>
    </row>
    <row r="1223" spans="1:21" hidden="1" x14ac:dyDescent="0.25">
      <c r="A1223" s="7" t="str">
        <f>IF('Port Bloomberg'!A1223="","",'Port Bloomberg'!A1223)</f>
        <v/>
      </c>
      <c r="B1223" s="7" t="str">
        <f>IF('Port Bloomberg'!B1223="","",'Port Bloomberg'!B1223)</f>
        <v/>
      </c>
      <c r="C1223" s="7" t="str">
        <f>IF('Port Bloomberg'!C1223="","",'Port Bloomberg'!C1223)</f>
        <v/>
      </c>
      <c r="D1223" s="7" t="str">
        <f>IF('Port Bloomberg'!D1223="","",'Port Bloomberg'!D1223)</f>
        <v/>
      </c>
      <c r="E1223" s="7" t="str">
        <f>IF('Port Bloomberg'!E1223="","",'Port Bloomberg'!E1223)</f>
        <v/>
      </c>
      <c r="F1223" s="7" t="str">
        <f>IF('Port Bloomberg'!F1223="","",'Port Bloomberg'!F1223)</f>
        <v/>
      </c>
      <c r="G1223" s="7" t="str">
        <f>IF('Port Bloomberg'!G1223="","",'Port Bloomberg'!G1223)</f>
        <v/>
      </c>
      <c r="H1223" s="7" t="str">
        <f>IF('Port Bloomberg'!H1223="","",'Port Bloomberg'!H1223)</f>
        <v/>
      </c>
      <c r="I1223" s="7" t="str">
        <f>IF('Port Bloomberg'!I1223="","",'Port Bloomberg'!I1223)</f>
        <v/>
      </c>
      <c r="J1223" s="7" t="str">
        <f>IF('Port Bloomberg'!J1223="","",'Port Bloomberg'!J1223)</f>
        <v/>
      </c>
      <c r="K1223" s="7" t="str">
        <f>IF('Port Bloomberg'!K1223="","",'Port Bloomberg'!K1223)</f>
        <v/>
      </c>
      <c r="L1223" s="7" t="str">
        <f>IF('Port Bloomberg'!L1223="","",'Port Bloomberg'!L1223)</f>
        <v/>
      </c>
      <c r="M1223" s="7" t="str">
        <f>IF('Port Bloomberg'!M1223="","",'Port Bloomberg'!M1223)</f>
        <v/>
      </c>
      <c r="N1223" s="7" t="str">
        <f>IF('Port Bloomberg'!N1223="","",'Port Bloomberg'!N1223)</f>
        <v/>
      </c>
      <c r="O1223" s="7" t="str">
        <f>IF('Port Bloomberg'!O1223="","",'Port Bloomberg'!O1223)</f>
        <v/>
      </c>
      <c r="P1223" s="7" t="str">
        <f>IF('Port Bloomberg'!P1223="","",'Port Bloomberg'!P1223)</f>
        <v/>
      </c>
      <c r="Q1223" s="7" t="str">
        <f>IF('Port Bloomberg'!Q1223="","",'Port Bloomberg'!Q1223)</f>
        <v/>
      </c>
      <c r="R1223" s="7" t="str">
        <f>IF('Port Bloomberg'!R1223="","",'Port Bloomberg'!R1223)</f>
        <v/>
      </c>
      <c r="S1223" s="5" t="str">
        <f>IF(E1223="","",IFERROR(IF(MATCH(E1223,[1]Instrumentos!$D:$D,0)&gt;0,1,0),0))</f>
        <v/>
      </c>
      <c r="T1223" s="5" t="str">
        <f>IF(E1223="","",IFERROR(IF(MATCH(E1223,'Lista de excepciones'!$E:$E,0)&gt;0,1,0),0))</f>
        <v/>
      </c>
      <c r="U1223" s="6" t="str">
        <f t="shared" si="20"/>
        <v/>
      </c>
    </row>
    <row r="1224" spans="1:21" hidden="1" x14ac:dyDescent="0.25">
      <c r="A1224" s="7" t="str">
        <f>IF('Port Bloomberg'!A1224="","",'Port Bloomberg'!A1224)</f>
        <v/>
      </c>
      <c r="B1224" s="7" t="str">
        <f>IF('Port Bloomberg'!B1224="","",'Port Bloomberg'!B1224)</f>
        <v/>
      </c>
      <c r="C1224" s="7" t="str">
        <f>IF('Port Bloomberg'!C1224="","",'Port Bloomberg'!C1224)</f>
        <v/>
      </c>
      <c r="D1224" s="7" t="str">
        <f>IF('Port Bloomberg'!D1224="","",'Port Bloomberg'!D1224)</f>
        <v/>
      </c>
      <c r="E1224" s="7" t="str">
        <f>IF('Port Bloomberg'!E1224="","",'Port Bloomberg'!E1224)</f>
        <v/>
      </c>
      <c r="F1224" s="7" t="str">
        <f>IF('Port Bloomberg'!F1224="","",'Port Bloomberg'!F1224)</f>
        <v/>
      </c>
      <c r="G1224" s="7" t="str">
        <f>IF('Port Bloomberg'!G1224="","",'Port Bloomberg'!G1224)</f>
        <v/>
      </c>
      <c r="H1224" s="7" t="str">
        <f>IF('Port Bloomberg'!H1224="","",'Port Bloomberg'!H1224)</f>
        <v/>
      </c>
      <c r="I1224" s="7" t="str">
        <f>IF('Port Bloomberg'!I1224="","",'Port Bloomberg'!I1224)</f>
        <v/>
      </c>
      <c r="J1224" s="7" t="str">
        <f>IF('Port Bloomberg'!J1224="","",'Port Bloomberg'!J1224)</f>
        <v/>
      </c>
      <c r="K1224" s="7" t="str">
        <f>IF('Port Bloomberg'!K1224="","",'Port Bloomberg'!K1224)</f>
        <v/>
      </c>
      <c r="L1224" s="7" t="str">
        <f>IF('Port Bloomberg'!L1224="","",'Port Bloomberg'!L1224)</f>
        <v/>
      </c>
      <c r="M1224" s="7" t="str">
        <f>IF('Port Bloomberg'!M1224="","",'Port Bloomberg'!M1224)</f>
        <v/>
      </c>
      <c r="N1224" s="7" t="str">
        <f>IF('Port Bloomberg'!N1224="","",'Port Bloomberg'!N1224)</f>
        <v/>
      </c>
      <c r="O1224" s="7" t="str">
        <f>IF('Port Bloomberg'!O1224="","",'Port Bloomberg'!O1224)</f>
        <v/>
      </c>
      <c r="P1224" s="7" t="str">
        <f>IF('Port Bloomberg'!P1224="","",'Port Bloomberg'!P1224)</f>
        <v/>
      </c>
      <c r="Q1224" s="7" t="str">
        <f>IF('Port Bloomberg'!Q1224="","",'Port Bloomberg'!Q1224)</f>
        <v/>
      </c>
      <c r="R1224" s="7" t="str">
        <f>IF('Port Bloomberg'!R1224="","",'Port Bloomberg'!R1224)</f>
        <v/>
      </c>
      <c r="S1224" s="5" t="str">
        <f>IF(E1224="","",IFERROR(IF(MATCH(E1224,[1]Instrumentos!$D:$D,0)&gt;0,1,0),0))</f>
        <v/>
      </c>
      <c r="T1224" s="5" t="str">
        <f>IF(E1224="","",IFERROR(IF(MATCH(E1224,'Lista de excepciones'!$E:$E,0)&gt;0,1,0),0))</f>
        <v/>
      </c>
      <c r="U1224" s="6" t="str">
        <f t="shared" si="20"/>
        <v/>
      </c>
    </row>
    <row r="1225" spans="1:21" hidden="1" x14ac:dyDescent="0.25">
      <c r="A1225" s="7" t="str">
        <f>IF('Port Bloomberg'!A1225="","",'Port Bloomberg'!A1225)</f>
        <v/>
      </c>
      <c r="B1225" s="7" t="str">
        <f>IF('Port Bloomberg'!B1225="","",'Port Bloomberg'!B1225)</f>
        <v/>
      </c>
      <c r="C1225" s="7" t="str">
        <f>IF('Port Bloomberg'!C1225="","",'Port Bloomberg'!C1225)</f>
        <v/>
      </c>
      <c r="D1225" s="7" t="str">
        <f>IF('Port Bloomberg'!D1225="","",'Port Bloomberg'!D1225)</f>
        <v/>
      </c>
      <c r="E1225" s="7" t="str">
        <f>IF('Port Bloomberg'!E1225="","",'Port Bloomberg'!E1225)</f>
        <v/>
      </c>
      <c r="F1225" s="7" t="str">
        <f>IF('Port Bloomberg'!F1225="","",'Port Bloomberg'!F1225)</f>
        <v/>
      </c>
      <c r="G1225" s="7" t="str">
        <f>IF('Port Bloomberg'!G1225="","",'Port Bloomberg'!G1225)</f>
        <v/>
      </c>
      <c r="H1225" s="7" t="str">
        <f>IF('Port Bloomberg'!H1225="","",'Port Bloomberg'!H1225)</f>
        <v/>
      </c>
      <c r="I1225" s="7" t="str">
        <f>IF('Port Bloomberg'!I1225="","",'Port Bloomberg'!I1225)</f>
        <v/>
      </c>
      <c r="J1225" s="7" t="str">
        <f>IF('Port Bloomberg'!J1225="","",'Port Bloomberg'!J1225)</f>
        <v/>
      </c>
      <c r="K1225" s="7" t="str">
        <f>IF('Port Bloomberg'!K1225="","",'Port Bloomberg'!K1225)</f>
        <v/>
      </c>
      <c r="L1225" s="7" t="str">
        <f>IF('Port Bloomberg'!L1225="","",'Port Bloomberg'!L1225)</f>
        <v/>
      </c>
      <c r="M1225" s="7" t="str">
        <f>IF('Port Bloomberg'!M1225="","",'Port Bloomberg'!M1225)</f>
        <v/>
      </c>
      <c r="N1225" s="7" t="str">
        <f>IF('Port Bloomberg'!N1225="","",'Port Bloomberg'!N1225)</f>
        <v/>
      </c>
      <c r="O1225" s="7" t="str">
        <f>IF('Port Bloomberg'!O1225="","",'Port Bloomberg'!O1225)</f>
        <v/>
      </c>
      <c r="P1225" s="7" t="str">
        <f>IF('Port Bloomberg'!P1225="","",'Port Bloomberg'!P1225)</f>
        <v/>
      </c>
      <c r="Q1225" s="7" t="str">
        <f>IF('Port Bloomberg'!Q1225="","",'Port Bloomberg'!Q1225)</f>
        <v/>
      </c>
      <c r="R1225" s="7" t="str">
        <f>IF('Port Bloomberg'!R1225="","",'Port Bloomberg'!R1225)</f>
        <v/>
      </c>
      <c r="S1225" s="5" t="str">
        <f>IF(E1225="","",IFERROR(IF(MATCH(E1225,[1]Instrumentos!$D:$D,0)&gt;0,1,0),0))</f>
        <v/>
      </c>
      <c r="T1225" s="5" t="str">
        <f>IF(E1225="","",IFERROR(IF(MATCH(E1225,'Lista de excepciones'!$E:$E,0)&gt;0,1,0),0))</f>
        <v/>
      </c>
      <c r="U1225" s="6" t="str">
        <f t="shared" si="20"/>
        <v/>
      </c>
    </row>
    <row r="1226" spans="1:21" hidden="1" x14ac:dyDescent="0.25">
      <c r="A1226" s="7" t="str">
        <f>IF('Port Bloomberg'!A1226="","",'Port Bloomberg'!A1226)</f>
        <v/>
      </c>
      <c r="B1226" s="7" t="str">
        <f>IF('Port Bloomberg'!B1226="","",'Port Bloomberg'!B1226)</f>
        <v/>
      </c>
      <c r="C1226" s="7" t="str">
        <f>IF('Port Bloomberg'!C1226="","",'Port Bloomberg'!C1226)</f>
        <v/>
      </c>
      <c r="D1226" s="7" t="str">
        <f>IF('Port Bloomberg'!D1226="","",'Port Bloomberg'!D1226)</f>
        <v/>
      </c>
      <c r="E1226" s="7" t="str">
        <f>IF('Port Bloomberg'!E1226="","",'Port Bloomberg'!E1226)</f>
        <v/>
      </c>
      <c r="F1226" s="7" t="str">
        <f>IF('Port Bloomberg'!F1226="","",'Port Bloomberg'!F1226)</f>
        <v/>
      </c>
      <c r="G1226" s="7" t="str">
        <f>IF('Port Bloomberg'!G1226="","",'Port Bloomberg'!G1226)</f>
        <v/>
      </c>
      <c r="H1226" s="7" t="str">
        <f>IF('Port Bloomberg'!H1226="","",'Port Bloomberg'!H1226)</f>
        <v/>
      </c>
      <c r="I1226" s="7" t="str">
        <f>IF('Port Bloomberg'!I1226="","",'Port Bloomberg'!I1226)</f>
        <v/>
      </c>
      <c r="J1226" s="7" t="str">
        <f>IF('Port Bloomberg'!J1226="","",'Port Bloomberg'!J1226)</f>
        <v/>
      </c>
      <c r="K1226" s="7" t="str">
        <f>IF('Port Bloomberg'!K1226="","",'Port Bloomberg'!K1226)</f>
        <v/>
      </c>
      <c r="L1226" s="7" t="str">
        <f>IF('Port Bloomberg'!L1226="","",'Port Bloomberg'!L1226)</f>
        <v/>
      </c>
      <c r="M1226" s="7" t="str">
        <f>IF('Port Bloomberg'!M1226="","",'Port Bloomberg'!M1226)</f>
        <v/>
      </c>
      <c r="N1226" s="7" t="str">
        <f>IF('Port Bloomberg'!N1226="","",'Port Bloomberg'!N1226)</f>
        <v/>
      </c>
      <c r="O1226" s="7" t="str">
        <f>IF('Port Bloomberg'!O1226="","",'Port Bloomberg'!O1226)</f>
        <v/>
      </c>
      <c r="P1226" s="7" t="str">
        <f>IF('Port Bloomberg'!P1226="","",'Port Bloomberg'!P1226)</f>
        <v/>
      </c>
      <c r="Q1226" s="7" t="str">
        <f>IF('Port Bloomberg'!Q1226="","",'Port Bloomberg'!Q1226)</f>
        <v/>
      </c>
      <c r="R1226" s="7" t="str">
        <f>IF('Port Bloomberg'!R1226="","",'Port Bloomberg'!R1226)</f>
        <v/>
      </c>
      <c r="S1226" s="5" t="str">
        <f>IF(E1226="","",IFERROR(IF(MATCH(E1226,[1]Instrumentos!$D:$D,0)&gt;0,1,0),0))</f>
        <v/>
      </c>
      <c r="T1226" s="5" t="str">
        <f>IF(E1226="","",IFERROR(IF(MATCH(E1226,'Lista de excepciones'!$E:$E,0)&gt;0,1,0),0))</f>
        <v/>
      </c>
      <c r="U1226" s="6" t="str">
        <f t="shared" si="20"/>
        <v/>
      </c>
    </row>
    <row r="1227" spans="1:21" hidden="1" x14ac:dyDescent="0.25">
      <c r="A1227" s="7" t="str">
        <f>IF('Port Bloomberg'!A1227="","",'Port Bloomberg'!A1227)</f>
        <v/>
      </c>
      <c r="B1227" s="7" t="str">
        <f>IF('Port Bloomberg'!B1227="","",'Port Bloomberg'!B1227)</f>
        <v/>
      </c>
      <c r="C1227" s="7" t="str">
        <f>IF('Port Bloomberg'!C1227="","",'Port Bloomberg'!C1227)</f>
        <v/>
      </c>
      <c r="D1227" s="7" t="str">
        <f>IF('Port Bloomberg'!D1227="","",'Port Bloomberg'!D1227)</f>
        <v/>
      </c>
      <c r="E1227" s="7" t="str">
        <f>IF('Port Bloomberg'!E1227="","",'Port Bloomberg'!E1227)</f>
        <v/>
      </c>
      <c r="F1227" s="7" t="str">
        <f>IF('Port Bloomberg'!F1227="","",'Port Bloomberg'!F1227)</f>
        <v/>
      </c>
      <c r="G1227" s="7" t="str">
        <f>IF('Port Bloomberg'!G1227="","",'Port Bloomberg'!G1227)</f>
        <v/>
      </c>
      <c r="H1227" s="7" t="str">
        <f>IF('Port Bloomberg'!H1227="","",'Port Bloomberg'!H1227)</f>
        <v/>
      </c>
      <c r="I1227" s="7" t="str">
        <f>IF('Port Bloomberg'!I1227="","",'Port Bloomberg'!I1227)</f>
        <v/>
      </c>
      <c r="J1227" s="7" t="str">
        <f>IF('Port Bloomberg'!J1227="","",'Port Bloomberg'!J1227)</f>
        <v/>
      </c>
      <c r="K1227" s="7" t="str">
        <f>IF('Port Bloomberg'!K1227="","",'Port Bloomberg'!K1227)</f>
        <v/>
      </c>
      <c r="L1227" s="7" t="str">
        <f>IF('Port Bloomberg'!L1227="","",'Port Bloomberg'!L1227)</f>
        <v/>
      </c>
      <c r="M1227" s="7" t="str">
        <f>IF('Port Bloomberg'!M1227="","",'Port Bloomberg'!M1227)</f>
        <v/>
      </c>
      <c r="N1227" s="7" t="str">
        <f>IF('Port Bloomberg'!N1227="","",'Port Bloomberg'!N1227)</f>
        <v/>
      </c>
      <c r="O1227" s="7" t="str">
        <f>IF('Port Bloomberg'!O1227="","",'Port Bloomberg'!O1227)</f>
        <v/>
      </c>
      <c r="P1227" s="7" t="str">
        <f>IF('Port Bloomberg'!P1227="","",'Port Bloomberg'!P1227)</f>
        <v/>
      </c>
      <c r="Q1227" s="7" t="str">
        <f>IF('Port Bloomberg'!Q1227="","",'Port Bloomberg'!Q1227)</f>
        <v/>
      </c>
      <c r="R1227" s="7" t="str">
        <f>IF('Port Bloomberg'!R1227="","",'Port Bloomberg'!R1227)</f>
        <v/>
      </c>
      <c r="S1227" s="5" t="str">
        <f>IF(E1227="","",IFERROR(IF(MATCH(E1227,[1]Instrumentos!$D:$D,0)&gt;0,1,0),0))</f>
        <v/>
      </c>
      <c r="T1227" s="5" t="str">
        <f>IF(E1227="","",IFERROR(IF(MATCH(E1227,'Lista de excepciones'!$E:$E,0)&gt;0,1,0),0))</f>
        <v/>
      </c>
      <c r="U1227" s="6" t="str">
        <f t="shared" si="20"/>
        <v/>
      </c>
    </row>
    <row r="1228" spans="1:21" hidden="1" x14ac:dyDescent="0.25">
      <c r="A1228" s="7" t="str">
        <f>IF('Port Bloomberg'!A1228="","",'Port Bloomberg'!A1228)</f>
        <v/>
      </c>
      <c r="B1228" s="7" t="str">
        <f>IF('Port Bloomberg'!B1228="","",'Port Bloomberg'!B1228)</f>
        <v/>
      </c>
      <c r="C1228" s="7" t="str">
        <f>IF('Port Bloomberg'!C1228="","",'Port Bloomberg'!C1228)</f>
        <v/>
      </c>
      <c r="D1228" s="7" t="str">
        <f>IF('Port Bloomberg'!D1228="","",'Port Bloomberg'!D1228)</f>
        <v/>
      </c>
      <c r="E1228" s="7" t="str">
        <f>IF('Port Bloomberg'!E1228="","",'Port Bloomberg'!E1228)</f>
        <v/>
      </c>
      <c r="F1228" s="7" t="str">
        <f>IF('Port Bloomberg'!F1228="","",'Port Bloomberg'!F1228)</f>
        <v/>
      </c>
      <c r="G1228" s="7" t="str">
        <f>IF('Port Bloomberg'!G1228="","",'Port Bloomberg'!G1228)</f>
        <v/>
      </c>
      <c r="H1228" s="7" t="str">
        <f>IF('Port Bloomberg'!H1228="","",'Port Bloomberg'!H1228)</f>
        <v/>
      </c>
      <c r="I1228" s="7" t="str">
        <f>IF('Port Bloomberg'!I1228="","",'Port Bloomberg'!I1228)</f>
        <v/>
      </c>
      <c r="J1228" s="7" t="str">
        <f>IF('Port Bloomberg'!J1228="","",'Port Bloomberg'!J1228)</f>
        <v/>
      </c>
      <c r="K1228" s="7" t="str">
        <f>IF('Port Bloomberg'!K1228="","",'Port Bloomberg'!K1228)</f>
        <v/>
      </c>
      <c r="L1228" s="7" t="str">
        <f>IF('Port Bloomberg'!L1228="","",'Port Bloomberg'!L1228)</f>
        <v/>
      </c>
      <c r="M1228" s="7" t="str">
        <f>IF('Port Bloomberg'!M1228="","",'Port Bloomberg'!M1228)</f>
        <v/>
      </c>
      <c r="N1228" s="7" t="str">
        <f>IF('Port Bloomberg'!N1228="","",'Port Bloomberg'!N1228)</f>
        <v/>
      </c>
      <c r="O1228" s="7" t="str">
        <f>IF('Port Bloomberg'!O1228="","",'Port Bloomberg'!O1228)</f>
        <v/>
      </c>
      <c r="P1228" s="7" t="str">
        <f>IF('Port Bloomberg'!P1228="","",'Port Bloomberg'!P1228)</f>
        <v/>
      </c>
      <c r="Q1228" s="7" t="str">
        <f>IF('Port Bloomberg'!Q1228="","",'Port Bloomberg'!Q1228)</f>
        <v/>
      </c>
      <c r="R1228" s="7" t="str">
        <f>IF('Port Bloomberg'!R1228="","",'Port Bloomberg'!R1228)</f>
        <v/>
      </c>
      <c r="S1228" s="5" t="str">
        <f>IF(E1228="","",IFERROR(IF(MATCH(E1228,[1]Instrumentos!$D:$D,0)&gt;0,1,0),0))</f>
        <v/>
      </c>
      <c r="T1228" s="5" t="str">
        <f>IF(E1228="","",IFERROR(IF(MATCH(E1228,'Lista de excepciones'!$E:$E,0)&gt;0,1,0),0))</f>
        <v/>
      </c>
      <c r="U1228" s="6" t="str">
        <f t="shared" si="20"/>
        <v/>
      </c>
    </row>
    <row r="1229" spans="1:21" hidden="1" x14ac:dyDescent="0.25">
      <c r="A1229" s="7" t="str">
        <f>IF('Port Bloomberg'!A1229="","",'Port Bloomberg'!A1229)</f>
        <v/>
      </c>
      <c r="B1229" s="7" t="str">
        <f>IF('Port Bloomberg'!B1229="","",'Port Bloomberg'!B1229)</f>
        <v/>
      </c>
      <c r="C1229" s="7" t="str">
        <f>IF('Port Bloomberg'!C1229="","",'Port Bloomberg'!C1229)</f>
        <v/>
      </c>
      <c r="D1229" s="7" t="str">
        <f>IF('Port Bloomberg'!D1229="","",'Port Bloomberg'!D1229)</f>
        <v/>
      </c>
      <c r="E1229" s="7" t="str">
        <f>IF('Port Bloomberg'!E1229="","",'Port Bloomberg'!E1229)</f>
        <v/>
      </c>
      <c r="F1229" s="7" t="str">
        <f>IF('Port Bloomberg'!F1229="","",'Port Bloomberg'!F1229)</f>
        <v/>
      </c>
      <c r="G1229" s="7" t="str">
        <f>IF('Port Bloomberg'!G1229="","",'Port Bloomberg'!G1229)</f>
        <v/>
      </c>
      <c r="H1229" s="7" t="str">
        <f>IF('Port Bloomberg'!H1229="","",'Port Bloomberg'!H1229)</f>
        <v/>
      </c>
      <c r="I1229" s="7" t="str">
        <f>IF('Port Bloomberg'!I1229="","",'Port Bloomberg'!I1229)</f>
        <v/>
      </c>
      <c r="J1229" s="7" t="str">
        <f>IF('Port Bloomberg'!J1229="","",'Port Bloomberg'!J1229)</f>
        <v/>
      </c>
      <c r="K1229" s="7" t="str">
        <f>IF('Port Bloomberg'!K1229="","",'Port Bloomberg'!K1229)</f>
        <v/>
      </c>
      <c r="L1229" s="7" t="str">
        <f>IF('Port Bloomberg'!L1229="","",'Port Bloomberg'!L1229)</f>
        <v/>
      </c>
      <c r="M1229" s="7" t="str">
        <f>IF('Port Bloomberg'!M1229="","",'Port Bloomberg'!M1229)</f>
        <v/>
      </c>
      <c r="N1229" s="7" t="str">
        <f>IF('Port Bloomberg'!N1229="","",'Port Bloomberg'!N1229)</f>
        <v/>
      </c>
      <c r="O1229" s="7" t="str">
        <f>IF('Port Bloomberg'!O1229="","",'Port Bloomberg'!O1229)</f>
        <v/>
      </c>
      <c r="P1229" s="7" t="str">
        <f>IF('Port Bloomberg'!P1229="","",'Port Bloomberg'!P1229)</f>
        <v/>
      </c>
      <c r="Q1229" s="7" t="str">
        <f>IF('Port Bloomberg'!Q1229="","",'Port Bloomberg'!Q1229)</f>
        <v/>
      </c>
      <c r="R1229" s="7" t="str">
        <f>IF('Port Bloomberg'!R1229="","",'Port Bloomberg'!R1229)</f>
        <v/>
      </c>
      <c r="S1229" s="5" t="str">
        <f>IF(E1229="","",IFERROR(IF(MATCH(E1229,[1]Instrumentos!$D:$D,0)&gt;0,1,0),0))</f>
        <v/>
      </c>
      <c r="T1229" s="5" t="str">
        <f>IF(E1229="","",IFERROR(IF(MATCH(E1229,'Lista de excepciones'!$E:$E,0)&gt;0,1,0),0))</f>
        <v/>
      </c>
      <c r="U1229" s="6" t="str">
        <f t="shared" si="20"/>
        <v/>
      </c>
    </row>
    <row r="1230" spans="1:21" hidden="1" x14ac:dyDescent="0.25">
      <c r="A1230" s="7" t="str">
        <f>IF('Port Bloomberg'!A1230="","",'Port Bloomberg'!A1230)</f>
        <v/>
      </c>
      <c r="B1230" s="7" t="str">
        <f>IF('Port Bloomberg'!B1230="","",'Port Bloomberg'!B1230)</f>
        <v/>
      </c>
      <c r="C1230" s="7" t="str">
        <f>IF('Port Bloomberg'!C1230="","",'Port Bloomberg'!C1230)</f>
        <v/>
      </c>
      <c r="D1230" s="7" t="str">
        <f>IF('Port Bloomberg'!D1230="","",'Port Bloomberg'!D1230)</f>
        <v/>
      </c>
      <c r="E1230" s="7" t="str">
        <f>IF('Port Bloomberg'!E1230="","",'Port Bloomberg'!E1230)</f>
        <v/>
      </c>
      <c r="F1230" s="7" t="str">
        <f>IF('Port Bloomberg'!F1230="","",'Port Bloomberg'!F1230)</f>
        <v/>
      </c>
      <c r="G1230" s="7" t="str">
        <f>IF('Port Bloomberg'!G1230="","",'Port Bloomberg'!G1230)</f>
        <v/>
      </c>
      <c r="H1230" s="7" t="str">
        <f>IF('Port Bloomberg'!H1230="","",'Port Bloomberg'!H1230)</f>
        <v/>
      </c>
      <c r="I1230" s="7" t="str">
        <f>IF('Port Bloomberg'!I1230="","",'Port Bloomberg'!I1230)</f>
        <v/>
      </c>
      <c r="J1230" s="7" t="str">
        <f>IF('Port Bloomberg'!J1230="","",'Port Bloomberg'!J1230)</f>
        <v/>
      </c>
      <c r="K1230" s="7" t="str">
        <f>IF('Port Bloomberg'!K1230="","",'Port Bloomberg'!K1230)</f>
        <v/>
      </c>
      <c r="L1230" s="7" t="str">
        <f>IF('Port Bloomberg'!L1230="","",'Port Bloomberg'!L1230)</f>
        <v/>
      </c>
      <c r="M1230" s="7" t="str">
        <f>IF('Port Bloomberg'!M1230="","",'Port Bloomberg'!M1230)</f>
        <v/>
      </c>
      <c r="N1230" s="7" t="str">
        <f>IF('Port Bloomberg'!N1230="","",'Port Bloomberg'!N1230)</f>
        <v/>
      </c>
      <c r="O1230" s="7" t="str">
        <f>IF('Port Bloomberg'!O1230="","",'Port Bloomberg'!O1230)</f>
        <v/>
      </c>
      <c r="P1230" s="7" t="str">
        <f>IF('Port Bloomberg'!P1230="","",'Port Bloomberg'!P1230)</f>
        <v/>
      </c>
      <c r="Q1230" s="7" t="str">
        <f>IF('Port Bloomberg'!Q1230="","",'Port Bloomberg'!Q1230)</f>
        <v/>
      </c>
      <c r="R1230" s="7" t="str">
        <f>IF('Port Bloomberg'!R1230="","",'Port Bloomberg'!R1230)</f>
        <v/>
      </c>
      <c r="S1230" s="5" t="str">
        <f>IF(E1230="","",IFERROR(IF(MATCH(E1230,[1]Instrumentos!$D:$D,0)&gt;0,1,0),0))</f>
        <v/>
      </c>
      <c r="T1230" s="5" t="str">
        <f>IF(E1230="","",IFERROR(IF(MATCH(E1230,'Lista de excepciones'!$E:$E,0)&gt;0,1,0),0))</f>
        <v/>
      </c>
      <c r="U1230" s="6" t="str">
        <f t="shared" si="20"/>
        <v/>
      </c>
    </row>
    <row r="1231" spans="1:21" hidden="1" x14ac:dyDescent="0.25">
      <c r="A1231" s="7" t="str">
        <f>IF('Port Bloomberg'!A1231="","",'Port Bloomberg'!A1231)</f>
        <v/>
      </c>
      <c r="B1231" s="7" t="str">
        <f>IF('Port Bloomberg'!B1231="","",'Port Bloomberg'!B1231)</f>
        <v/>
      </c>
      <c r="C1231" s="7" t="str">
        <f>IF('Port Bloomberg'!C1231="","",'Port Bloomberg'!C1231)</f>
        <v/>
      </c>
      <c r="D1231" s="7" t="str">
        <f>IF('Port Bloomberg'!D1231="","",'Port Bloomberg'!D1231)</f>
        <v/>
      </c>
      <c r="E1231" s="7" t="str">
        <f>IF('Port Bloomberg'!E1231="","",'Port Bloomberg'!E1231)</f>
        <v/>
      </c>
      <c r="F1231" s="7" t="str">
        <f>IF('Port Bloomberg'!F1231="","",'Port Bloomberg'!F1231)</f>
        <v/>
      </c>
      <c r="G1231" s="7" t="str">
        <f>IF('Port Bloomberg'!G1231="","",'Port Bloomberg'!G1231)</f>
        <v/>
      </c>
      <c r="H1231" s="7" t="str">
        <f>IF('Port Bloomberg'!H1231="","",'Port Bloomberg'!H1231)</f>
        <v/>
      </c>
      <c r="I1231" s="7" t="str">
        <f>IF('Port Bloomberg'!I1231="","",'Port Bloomberg'!I1231)</f>
        <v/>
      </c>
      <c r="J1231" s="7" t="str">
        <f>IF('Port Bloomberg'!J1231="","",'Port Bloomberg'!J1231)</f>
        <v/>
      </c>
      <c r="K1231" s="7" t="str">
        <f>IF('Port Bloomberg'!K1231="","",'Port Bloomberg'!K1231)</f>
        <v/>
      </c>
      <c r="L1231" s="7" t="str">
        <f>IF('Port Bloomberg'!L1231="","",'Port Bloomberg'!L1231)</f>
        <v/>
      </c>
      <c r="M1231" s="7" t="str">
        <f>IF('Port Bloomberg'!M1231="","",'Port Bloomberg'!M1231)</f>
        <v/>
      </c>
      <c r="N1231" s="7" t="str">
        <f>IF('Port Bloomberg'!N1231="","",'Port Bloomberg'!N1231)</f>
        <v/>
      </c>
      <c r="O1231" s="7" t="str">
        <f>IF('Port Bloomberg'!O1231="","",'Port Bloomberg'!O1231)</f>
        <v/>
      </c>
      <c r="P1231" s="7" t="str">
        <f>IF('Port Bloomberg'!P1231="","",'Port Bloomberg'!P1231)</f>
        <v/>
      </c>
      <c r="Q1231" s="7" t="str">
        <f>IF('Port Bloomberg'!Q1231="","",'Port Bloomberg'!Q1231)</f>
        <v/>
      </c>
      <c r="R1231" s="7" t="str">
        <f>IF('Port Bloomberg'!R1231="","",'Port Bloomberg'!R1231)</f>
        <v/>
      </c>
      <c r="S1231" s="5" t="str">
        <f>IF(E1231="","",IFERROR(IF(MATCH(E1231,[1]Instrumentos!$D:$D,0)&gt;0,1,0),0))</f>
        <v/>
      </c>
      <c r="T1231" s="5" t="str">
        <f>IF(E1231="","",IFERROR(IF(MATCH(E1231,'Lista de excepciones'!$E:$E,0)&gt;0,1,0),0))</f>
        <v/>
      </c>
      <c r="U1231" s="6" t="str">
        <f t="shared" si="20"/>
        <v/>
      </c>
    </row>
    <row r="1232" spans="1:21" hidden="1" x14ac:dyDescent="0.25">
      <c r="A1232" s="7" t="str">
        <f>IF('Port Bloomberg'!A1232="","",'Port Bloomberg'!A1232)</f>
        <v/>
      </c>
      <c r="B1232" s="7" t="str">
        <f>IF('Port Bloomberg'!B1232="","",'Port Bloomberg'!B1232)</f>
        <v/>
      </c>
      <c r="C1232" s="7" t="str">
        <f>IF('Port Bloomberg'!C1232="","",'Port Bloomberg'!C1232)</f>
        <v/>
      </c>
      <c r="D1232" s="7" t="str">
        <f>IF('Port Bloomberg'!D1232="","",'Port Bloomberg'!D1232)</f>
        <v/>
      </c>
      <c r="E1232" s="7" t="str">
        <f>IF('Port Bloomberg'!E1232="","",'Port Bloomberg'!E1232)</f>
        <v/>
      </c>
      <c r="F1232" s="7" t="str">
        <f>IF('Port Bloomberg'!F1232="","",'Port Bloomberg'!F1232)</f>
        <v/>
      </c>
      <c r="G1232" s="7" t="str">
        <f>IF('Port Bloomberg'!G1232="","",'Port Bloomberg'!G1232)</f>
        <v/>
      </c>
      <c r="H1232" s="7" t="str">
        <f>IF('Port Bloomberg'!H1232="","",'Port Bloomberg'!H1232)</f>
        <v/>
      </c>
      <c r="I1232" s="7" t="str">
        <f>IF('Port Bloomberg'!I1232="","",'Port Bloomberg'!I1232)</f>
        <v/>
      </c>
      <c r="J1232" s="7" t="str">
        <f>IF('Port Bloomberg'!J1232="","",'Port Bloomberg'!J1232)</f>
        <v/>
      </c>
      <c r="K1232" s="7" t="str">
        <f>IF('Port Bloomberg'!K1232="","",'Port Bloomberg'!K1232)</f>
        <v/>
      </c>
      <c r="L1232" s="7" t="str">
        <f>IF('Port Bloomberg'!L1232="","",'Port Bloomberg'!L1232)</f>
        <v/>
      </c>
      <c r="M1232" s="7" t="str">
        <f>IF('Port Bloomberg'!M1232="","",'Port Bloomberg'!M1232)</f>
        <v/>
      </c>
      <c r="N1232" s="7" t="str">
        <f>IF('Port Bloomberg'!N1232="","",'Port Bloomberg'!N1232)</f>
        <v/>
      </c>
      <c r="O1232" s="7" t="str">
        <f>IF('Port Bloomberg'!O1232="","",'Port Bloomberg'!O1232)</f>
        <v/>
      </c>
      <c r="P1232" s="7" t="str">
        <f>IF('Port Bloomberg'!P1232="","",'Port Bloomberg'!P1232)</f>
        <v/>
      </c>
      <c r="Q1232" s="7" t="str">
        <f>IF('Port Bloomberg'!Q1232="","",'Port Bloomberg'!Q1232)</f>
        <v/>
      </c>
      <c r="R1232" s="7" t="str">
        <f>IF('Port Bloomberg'!R1232="","",'Port Bloomberg'!R1232)</f>
        <v/>
      </c>
      <c r="S1232" s="5" t="str">
        <f>IF(E1232="","",IFERROR(IF(MATCH(E1232,[1]Instrumentos!$D:$D,0)&gt;0,1,0),0))</f>
        <v/>
      </c>
      <c r="T1232" s="5" t="str">
        <f>IF(E1232="","",IFERROR(IF(MATCH(E1232,'Lista de excepciones'!$E:$E,0)&gt;0,1,0),0))</f>
        <v/>
      </c>
      <c r="U1232" s="6" t="str">
        <f t="shared" si="20"/>
        <v/>
      </c>
    </row>
    <row r="1233" spans="1:21" hidden="1" x14ac:dyDescent="0.25">
      <c r="A1233" s="7" t="str">
        <f>IF('Port Bloomberg'!A1233="","",'Port Bloomberg'!A1233)</f>
        <v/>
      </c>
      <c r="B1233" s="7" t="str">
        <f>IF('Port Bloomberg'!B1233="","",'Port Bloomberg'!B1233)</f>
        <v/>
      </c>
      <c r="C1233" s="7" t="str">
        <f>IF('Port Bloomberg'!C1233="","",'Port Bloomberg'!C1233)</f>
        <v/>
      </c>
      <c r="D1233" s="7" t="str">
        <f>IF('Port Bloomberg'!D1233="","",'Port Bloomberg'!D1233)</f>
        <v/>
      </c>
      <c r="E1233" s="7" t="str">
        <f>IF('Port Bloomberg'!E1233="","",'Port Bloomberg'!E1233)</f>
        <v/>
      </c>
      <c r="F1233" s="7" t="str">
        <f>IF('Port Bloomberg'!F1233="","",'Port Bloomberg'!F1233)</f>
        <v/>
      </c>
      <c r="G1233" s="7" t="str">
        <f>IF('Port Bloomberg'!G1233="","",'Port Bloomberg'!G1233)</f>
        <v/>
      </c>
      <c r="H1233" s="7" t="str">
        <f>IF('Port Bloomberg'!H1233="","",'Port Bloomberg'!H1233)</f>
        <v/>
      </c>
      <c r="I1233" s="7" t="str">
        <f>IF('Port Bloomberg'!I1233="","",'Port Bloomberg'!I1233)</f>
        <v/>
      </c>
      <c r="J1233" s="7" t="str">
        <f>IF('Port Bloomberg'!J1233="","",'Port Bloomberg'!J1233)</f>
        <v/>
      </c>
      <c r="K1233" s="7" t="str">
        <f>IF('Port Bloomberg'!K1233="","",'Port Bloomberg'!K1233)</f>
        <v/>
      </c>
      <c r="L1233" s="7" t="str">
        <f>IF('Port Bloomberg'!L1233="","",'Port Bloomberg'!L1233)</f>
        <v/>
      </c>
      <c r="M1233" s="7" t="str">
        <f>IF('Port Bloomberg'!M1233="","",'Port Bloomberg'!M1233)</f>
        <v/>
      </c>
      <c r="N1233" s="7" t="str">
        <f>IF('Port Bloomberg'!N1233="","",'Port Bloomberg'!N1233)</f>
        <v/>
      </c>
      <c r="O1233" s="7" t="str">
        <f>IF('Port Bloomberg'!O1233="","",'Port Bloomberg'!O1233)</f>
        <v/>
      </c>
      <c r="P1233" s="7" t="str">
        <f>IF('Port Bloomberg'!P1233="","",'Port Bloomberg'!P1233)</f>
        <v/>
      </c>
      <c r="Q1233" s="7" t="str">
        <f>IF('Port Bloomberg'!Q1233="","",'Port Bloomberg'!Q1233)</f>
        <v/>
      </c>
      <c r="R1233" s="7" t="str">
        <f>IF('Port Bloomberg'!R1233="","",'Port Bloomberg'!R1233)</f>
        <v/>
      </c>
      <c r="S1233" s="5" t="str">
        <f>IF(E1233="","",IFERROR(IF(MATCH(E1233,[1]Instrumentos!$D:$D,0)&gt;0,1,0),0))</f>
        <v/>
      </c>
      <c r="T1233" s="5" t="str">
        <f>IF(E1233="","",IFERROR(IF(MATCH(E1233,'Lista de excepciones'!$E:$E,0)&gt;0,1,0),0))</f>
        <v/>
      </c>
      <c r="U1233" s="6" t="str">
        <f t="shared" si="20"/>
        <v/>
      </c>
    </row>
    <row r="1234" spans="1:21" hidden="1" x14ac:dyDescent="0.25">
      <c r="A1234" s="7" t="str">
        <f>IF('Port Bloomberg'!A1234="","",'Port Bloomberg'!A1234)</f>
        <v/>
      </c>
      <c r="B1234" s="7" t="str">
        <f>IF('Port Bloomberg'!B1234="","",'Port Bloomberg'!B1234)</f>
        <v/>
      </c>
      <c r="C1234" s="7" t="str">
        <f>IF('Port Bloomberg'!C1234="","",'Port Bloomberg'!C1234)</f>
        <v/>
      </c>
      <c r="D1234" s="7" t="str">
        <f>IF('Port Bloomberg'!D1234="","",'Port Bloomberg'!D1234)</f>
        <v/>
      </c>
      <c r="E1234" s="7" t="str">
        <f>IF('Port Bloomberg'!E1234="","",'Port Bloomberg'!E1234)</f>
        <v/>
      </c>
      <c r="F1234" s="7" t="str">
        <f>IF('Port Bloomberg'!F1234="","",'Port Bloomberg'!F1234)</f>
        <v/>
      </c>
      <c r="G1234" s="7" t="str">
        <f>IF('Port Bloomberg'!G1234="","",'Port Bloomberg'!G1234)</f>
        <v/>
      </c>
      <c r="H1234" s="7" t="str">
        <f>IF('Port Bloomberg'!H1234="","",'Port Bloomberg'!H1234)</f>
        <v/>
      </c>
      <c r="I1234" s="7" t="str">
        <f>IF('Port Bloomberg'!I1234="","",'Port Bloomberg'!I1234)</f>
        <v/>
      </c>
      <c r="J1234" s="7" t="str">
        <f>IF('Port Bloomberg'!J1234="","",'Port Bloomberg'!J1234)</f>
        <v/>
      </c>
      <c r="K1234" s="7" t="str">
        <f>IF('Port Bloomberg'!K1234="","",'Port Bloomberg'!K1234)</f>
        <v/>
      </c>
      <c r="L1234" s="7" t="str">
        <f>IF('Port Bloomberg'!L1234="","",'Port Bloomberg'!L1234)</f>
        <v/>
      </c>
      <c r="M1234" s="7" t="str">
        <f>IF('Port Bloomberg'!M1234="","",'Port Bloomberg'!M1234)</f>
        <v/>
      </c>
      <c r="N1234" s="7" t="str">
        <f>IF('Port Bloomberg'!N1234="","",'Port Bloomberg'!N1234)</f>
        <v/>
      </c>
      <c r="O1234" s="7" t="str">
        <f>IF('Port Bloomberg'!O1234="","",'Port Bloomberg'!O1234)</f>
        <v/>
      </c>
      <c r="P1234" s="7" t="str">
        <f>IF('Port Bloomberg'!P1234="","",'Port Bloomberg'!P1234)</f>
        <v/>
      </c>
      <c r="Q1234" s="7" t="str">
        <f>IF('Port Bloomberg'!Q1234="","",'Port Bloomberg'!Q1234)</f>
        <v/>
      </c>
      <c r="R1234" s="7" t="str">
        <f>IF('Port Bloomberg'!R1234="","",'Port Bloomberg'!R1234)</f>
        <v/>
      </c>
      <c r="S1234" s="5" t="str">
        <f>IF(E1234="","",IFERROR(IF(MATCH(E1234,[1]Instrumentos!$D:$D,0)&gt;0,1,0),0))</f>
        <v/>
      </c>
      <c r="T1234" s="5" t="str">
        <f>IF(E1234="","",IFERROR(IF(MATCH(E1234,'Lista de excepciones'!$E:$E,0)&gt;0,1,0),0))</f>
        <v/>
      </c>
      <c r="U1234" s="6" t="str">
        <f t="shared" si="20"/>
        <v/>
      </c>
    </row>
    <row r="1235" spans="1:21" hidden="1" x14ac:dyDescent="0.25">
      <c r="A1235" s="7" t="str">
        <f>IF('Port Bloomberg'!A1235="","",'Port Bloomberg'!A1235)</f>
        <v/>
      </c>
      <c r="B1235" s="7" t="str">
        <f>IF('Port Bloomberg'!B1235="","",'Port Bloomberg'!B1235)</f>
        <v/>
      </c>
      <c r="C1235" s="7" t="str">
        <f>IF('Port Bloomberg'!C1235="","",'Port Bloomberg'!C1235)</f>
        <v/>
      </c>
      <c r="D1235" s="7" t="str">
        <f>IF('Port Bloomberg'!D1235="","",'Port Bloomberg'!D1235)</f>
        <v/>
      </c>
      <c r="E1235" s="7" t="str">
        <f>IF('Port Bloomberg'!E1235="","",'Port Bloomberg'!E1235)</f>
        <v/>
      </c>
      <c r="F1235" s="7" t="str">
        <f>IF('Port Bloomberg'!F1235="","",'Port Bloomberg'!F1235)</f>
        <v/>
      </c>
      <c r="G1235" s="7" t="str">
        <f>IF('Port Bloomberg'!G1235="","",'Port Bloomberg'!G1235)</f>
        <v/>
      </c>
      <c r="H1235" s="7" t="str">
        <f>IF('Port Bloomberg'!H1235="","",'Port Bloomberg'!H1235)</f>
        <v/>
      </c>
      <c r="I1235" s="7" t="str">
        <f>IF('Port Bloomberg'!I1235="","",'Port Bloomberg'!I1235)</f>
        <v/>
      </c>
      <c r="J1235" s="7" t="str">
        <f>IF('Port Bloomberg'!J1235="","",'Port Bloomberg'!J1235)</f>
        <v/>
      </c>
      <c r="K1235" s="7" t="str">
        <f>IF('Port Bloomberg'!K1235="","",'Port Bloomberg'!K1235)</f>
        <v/>
      </c>
      <c r="L1235" s="7" t="str">
        <f>IF('Port Bloomberg'!L1235="","",'Port Bloomberg'!L1235)</f>
        <v/>
      </c>
      <c r="M1235" s="7" t="str">
        <f>IF('Port Bloomberg'!M1235="","",'Port Bloomberg'!M1235)</f>
        <v/>
      </c>
      <c r="N1235" s="7" t="str">
        <f>IF('Port Bloomberg'!N1235="","",'Port Bloomberg'!N1235)</f>
        <v/>
      </c>
      <c r="O1235" s="7" t="str">
        <f>IF('Port Bloomberg'!O1235="","",'Port Bloomberg'!O1235)</f>
        <v/>
      </c>
      <c r="P1235" s="7" t="str">
        <f>IF('Port Bloomberg'!P1235="","",'Port Bloomberg'!P1235)</f>
        <v/>
      </c>
      <c r="Q1235" s="7" t="str">
        <f>IF('Port Bloomberg'!Q1235="","",'Port Bloomberg'!Q1235)</f>
        <v/>
      </c>
      <c r="R1235" s="7" t="str">
        <f>IF('Port Bloomberg'!R1235="","",'Port Bloomberg'!R1235)</f>
        <v/>
      </c>
      <c r="S1235" s="5" t="str">
        <f>IF(E1235="","",IFERROR(IF(MATCH(E1235,[1]Instrumentos!$D:$D,0)&gt;0,1,0),0))</f>
        <v/>
      </c>
      <c r="T1235" s="5" t="str">
        <f>IF(E1235="","",IFERROR(IF(MATCH(E1235,'Lista de excepciones'!$E:$E,0)&gt;0,1,0),0))</f>
        <v/>
      </c>
      <c r="U1235" s="6" t="str">
        <f t="shared" si="20"/>
        <v/>
      </c>
    </row>
    <row r="1236" spans="1:21" hidden="1" x14ac:dyDescent="0.25">
      <c r="A1236" s="7" t="str">
        <f>IF('Port Bloomberg'!A1236="","",'Port Bloomberg'!A1236)</f>
        <v/>
      </c>
      <c r="B1236" s="7" t="str">
        <f>IF('Port Bloomberg'!B1236="","",'Port Bloomberg'!B1236)</f>
        <v/>
      </c>
      <c r="C1236" s="7" t="str">
        <f>IF('Port Bloomberg'!C1236="","",'Port Bloomberg'!C1236)</f>
        <v/>
      </c>
      <c r="D1236" s="7" t="str">
        <f>IF('Port Bloomberg'!D1236="","",'Port Bloomberg'!D1236)</f>
        <v/>
      </c>
      <c r="E1236" s="7" t="str">
        <f>IF('Port Bloomberg'!E1236="","",'Port Bloomberg'!E1236)</f>
        <v/>
      </c>
      <c r="F1236" s="7" t="str">
        <f>IF('Port Bloomberg'!F1236="","",'Port Bloomberg'!F1236)</f>
        <v/>
      </c>
      <c r="G1236" s="7" t="str">
        <f>IF('Port Bloomberg'!G1236="","",'Port Bloomberg'!G1236)</f>
        <v/>
      </c>
      <c r="H1236" s="7" t="str">
        <f>IF('Port Bloomberg'!H1236="","",'Port Bloomberg'!H1236)</f>
        <v/>
      </c>
      <c r="I1236" s="7" t="str">
        <f>IF('Port Bloomberg'!I1236="","",'Port Bloomberg'!I1236)</f>
        <v/>
      </c>
      <c r="J1236" s="7" t="str">
        <f>IF('Port Bloomberg'!J1236="","",'Port Bloomberg'!J1236)</f>
        <v/>
      </c>
      <c r="K1236" s="7" t="str">
        <f>IF('Port Bloomberg'!K1236="","",'Port Bloomberg'!K1236)</f>
        <v/>
      </c>
      <c r="L1236" s="7" t="str">
        <f>IF('Port Bloomberg'!L1236="","",'Port Bloomberg'!L1236)</f>
        <v/>
      </c>
      <c r="M1236" s="7" t="str">
        <f>IF('Port Bloomberg'!M1236="","",'Port Bloomberg'!M1236)</f>
        <v/>
      </c>
      <c r="N1236" s="7" t="str">
        <f>IF('Port Bloomberg'!N1236="","",'Port Bloomberg'!N1236)</f>
        <v/>
      </c>
      <c r="O1236" s="7" t="str">
        <f>IF('Port Bloomberg'!O1236="","",'Port Bloomberg'!O1236)</f>
        <v/>
      </c>
      <c r="P1236" s="7" t="str">
        <f>IF('Port Bloomberg'!P1236="","",'Port Bloomberg'!P1236)</f>
        <v/>
      </c>
      <c r="Q1236" s="7" t="str">
        <f>IF('Port Bloomberg'!Q1236="","",'Port Bloomberg'!Q1236)</f>
        <v/>
      </c>
      <c r="R1236" s="7" t="str">
        <f>IF('Port Bloomberg'!R1236="","",'Port Bloomberg'!R1236)</f>
        <v/>
      </c>
      <c r="S1236" s="5" t="str">
        <f>IF(E1236="","",IFERROR(IF(MATCH(E1236,[1]Instrumentos!$D:$D,0)&gt;0,1,0),0))</f>
        <v/>
      </c>
      <c r="T1236" s="5" t="str">
        <f>IF(E1236="","",IFERROR(IF(MATCH(E1236,'Lista de excepciones'!$E:$E,0)&gt;0,1,0),0))</f>
        <v/>
      </c>
      <c r="U1236" s="6" t="str">
        <f t="shared" si="20"/>
        <v/>
      </c>
    </row>
    <row r="1237" spans="1:21" hidden="1" x14ac:dyDescent="0.25">
      <c r="A1237" s="7" t="str">
        <f>IF('Port Bloomberg'!A1237="","",'Port Bloomberg'!A1237)</f>
        <v/>
      </c>
      <c r="B1237" s="7" t="str">
        <f>IF('Port Bloomberg'!B1237="","",'Port Bloomberg'!B1237)</f>
        <v/>
      </c>
      <c r="C1237" s="7" t="str">
        <f>IF('Port Bloomberg'!C1237="","",'Port Bloomberg'!C1237)</f>
        <v/>
      </c>
      <c r="D1237" s="7" t="str">
        <f>IF('Port Bloomberg'!D1237="","",'Port Bloomberg'!D1237)</f>
        <v/>
      </c>
      <c r="E1237" s="7" t="str">
        <f>IF('Port Bloomberg'!E1237="","",'Port Bloomberg'!E1237)</f>
        <v/>
      </c>
      <c r="F1237" s="7" t="str">
        <f>IF('Port Bloomberg'!F1237="","",'Port Bloomberg'!F1237)</f>
        <v/>
      </c>
      <c r="G1237" s="7" t="str">
        <f>IF('Port Bloomberg'!G1237="","",'Port Bloomberg'!G1237)</f>
        <v/>
      </c>
      <c r="H1237" s="7" t="str">
        <f>IF('Port Bloomberg'!H1237="","",'Port Bloomberg'!H1237)</f>
        <v/>
      </c>
      <c r="I1237" s="7" t="str">
        <f>IF('Port Bloomberg'!I1237="","",'Port Bloomberg'!I1237)</f>
        <v/>
      </c>
      <c r="J1237" s="7" t="str">
        <f>IF('Port Bloomberg'!J1237="","",'Port Bloomberg'!J1237)</f>
        <v/>
      </c>
      <c r="K1237" s="7" t="str">
        <f>IF('Port Bloomberg'!K1237="","",'Port Bloomberg'!K1237)</f>
        <v/>
      </c>
      <c r="L1237" s="7" t="str">
        <f>IF('Port Bloomberg'!L1237="","",'Port Bloomberg'!L1237)</f>
        <v/>
      </c>
      <c r="M1237" s="7" t="str">
        <f>IF('Port Bloomberg'!M1237="","",'Port Bloomberg'!M1237)</f>
        <v/>
      </c>
      <c r="N1237" s="7" t="str">
        <f>IF('Port Bloomberg'!N1237="","",'Port Bloomberg'!N1237)</f>
        <v/>
      </c>
      <c r="O1237" s="7" t="str">
        <f>IF('Port Bloomberg'!O1237="","",'Port Bloomberg'!O1237)</f>
        <v/>
      </c>
      <c r="P1237" s="7" t="str">
        <f>IF('Port Bloomberg'!P1237="","",'Port Bloomberg'!P1237)</f>
        <v/>
      </c>
      <c r="Q1237" s="7" t="str">
        <f>IF('Port Bloomberg'!Q1237="","",'Port Bloomberg'!Q1237)</f>
        <v/>
      </c>
      <c r="R1237" s="7" t="str">
        <f>IF('Port Bloomberg'!R1237="","",'Port Bloomberg'!R1237)</f>
        <v/>
      </c>
      <c r="S1237" s="5" t="str">
        <f>IF(E1237="","",IFERROR(IF(MATCH(E1237,[1]Instrumentos!$D:$D,0)&gt;0,1,0),0))</f>
        <v/>
      </c>
      <c r="T1237" s="5" t="str">
        <f>IF(E1237="","",IFERROR(IF(MATCH(E1237,'Lista de excepciones'!$E:$E,0)&gt;0,1,0),0))</f>
        <v/>
      </c>
      <c r="U1237" s="6" t="str">
        <f t="shared" si="20"/>
        <v/>
      </c>
    </row>
    <row r="1238" spans="1:21" hidden="1" x14ac:dyDescent="0.25">
      <c r="A1238" s="7" t="str">
        <f>IF('Port Bloomberg'!A1238="","",'Port Bloomberg'!A1238)</f>
        <v/>
      </c>
      <c r="B1238" s="7" t="str">
        <f>IF('Port Bloomberg'!B1238="","",'Port Bloomberg'!B1238)</f>
        <v/>
      </c>
      <c r="C1238" s="7" t="str">
        <f>IF('Port Bloomberg'!C1238="","",'Port Bloomberg'!C1238)</f>
        <v/>
      </c>
      <c r="D1238" s="7" t="str">
        <f>IF('Port Bloomberg'!D1238="","",'Port Bloomberg'!D1238)</f>
        <v/>
      </c>
      <c r="E1238" s="7" t="str">
        <f>IF('Port Bloomberg'!E1238="","",'Port Bloomberg'!E1238)</f>
        <v/>
      </c>
      <c r="F1238" s="7" t="str">
        <f>IF('Port Bloomberg'!F1238="","",'Port Bloomberg'!F1238)</f>
        <v/>
      </c>
      <c r="G1238" s="7" t="str">
        <f>IF('Port Bloomberg'!G1238="","",'Port Bloomberg'!G1238)</f>
        <v/>
      </c>
      <c r="H1238" s="7" t="str">
        <f>IF('Port Bloomberg'!H1238="","",'Port Bloomberg'!H1238)</f>
        <v/>
      </c>
      <c r="I1238" s="7" t="str">
        <f>IF('Port Bloomberg'!I1238="","",'Port Bloomberg'!I1238)</f>
        <v/>
      </c>
      <c r="J1238" s="7" t="str">
        <f>IF('Port Bloomberg'!J1238="","",'Port Bloomberg'!J1238)</f>
        <v/>
      </c>
      <c r="K1238" s="7" t="str">
        <f>IF('Port Bloomberg'!K1238="","",'Port Bloomberg'!K1238)</f>
        <v/>
      </c>
      <c r="L1238" s="7" t="str">
        <f>IF('Port Bloomberg'!L1238="","",'Port Bloomberg'!L1238)</f>
        <v/>
      </c>
      <c r="M1238" s="7" t="str">
        <f>IF('Port Bloomberg'!M1238="","",'Port Bloomberg'!M1238)</f>
        <v/>
      </c>
      <c r="N1238" s="7" t="str">
        <f>IF('Port Bloomberg'!N1238="","",'Port Bloomberg'!N1238)</f>
        <v/>
      </c>
      <c r="O1238" s="7" t="str">
        <f>IF('Port Bloomberg'!O1238="","",'Port Bloomberg'!O1238)</f>
        <v/>
      </c>
      <c r="P1238" s="7" t="str">
        <f>IF('Port Bloomberg'!P1238="","",'Port Bloomberg'!P1238)</f>
        <v/>
      </c>
      <c r="Q1238" s="7" t="str">
        <f>IF('Port Bloomberg'!Q1238="","",'Port Bloomberg'!Q1238)</f>
        <v/>
      </c>
      <c r="R1238" s="7" t="str">
        <f>IF('Port Bloomberg'!R1238="","",'Port Bloomberg'!R1238)</f>
        <v/>
      </c>
      <c r="S1238" s="5" t="str">
        <f>IF(E1238="","",IFERROR(IF(MATCH(E1238,[1]Instrumentos!$D:$D,0)&gt;0,1,0),0))</f>
        <v/>
      </c>
      <c r="T1238" s="5" t="str">
        <f>IF(E1238="","",IFERROR(IF(MATCH(E1238,'Lista de excepciones'!$E:$E,0)&gt;0,1,0),0))</f>
        <v/>
      </c>
      <c r="U1238" s="6" t="str">
        <f t="shared" si="20"/>
        <v/>
      </c>
    </row>
    <row r="1239" spans="1:21" hidden="1" x14ac:dyDescent="0.25">
      <c r="A1239" s="7" t="str">
        <f>IF('Port Bloomberg'!A1239="","",'Port Bloomberg'!A1239)</f>
        <v/>
      </c>
      <c r="B1239" s="7" t="str">
        <f>IF('Port Bloomberg'!B1239="","",'Port Bloomberg'!B1239)</f>
        <v/>
      </c>
      <c r="C1239" s="7" t="str">
        <f>IF('Port Bloomberg'!C1239="","",'Port Bloomberg'!C1239)</f>
        <v/>
      </c>
      <c r="D1239" s="7" t="str">
        <f>IF('Port Bloomberg'!D1239="","",'Port Bloomberg'!D1239)</f>
        <v/>
      </c>
      <c r="E1239" s="7" t="str">
        <f>IF('Port Bloomberg'!E1239="","",'Port Bloomberg'!E1239)</f>
        <v/>
      </c>
      <c r="F1239" s="7" t="str">
        <f>IF('Port Bloomberg'!F1239="","",'Port Bloomberg'!F1239)</f>
        <v/>
      </c>
      <c r="G1239" s="7" t="str">
        <f>IF('Port Bloomberg'!G1239="","",'Port Bloomberg'!G1239)</f>
        <v/>
      </c>
      <c r="H1239" s="7" t="str">
        <f>IF('Port Bloomberg'!H1239="","",'Port Bloomberg'!H1239)</f>
        <v/>
      </c>
      <c r="I1239" s="7" t="str">
        <f>IF('Port Bloomberg'!I1239="","",'Port Bloomberg'!I1239)</f>
        <v/>
      </c>
      <c r="J1239" s="7" t="str">
        <f>IF('Port Bloomberg'!J1239="","",'Port Bloomberg'!J1239)</f>
        <v/>
      </c>
      <c r="K1239" s="7" t="str">
        <f>IF('Port Bloomberg'!K1239="","",'Port Bloomberg'!K1239)</f>
        <v/>
      </c>
      <c r="L1239" s="7" t="str">
        <f>IF('Port Bloomberg'!L1239="","",'Port Bloomberg'!L1239)</f>
        <v/>
      </c>
      <c r="M1239" s="7" t="str">
        <f>IF('Port Bloomberg'!M1239="","",'Port Bloomberg'!M1239)</f>
        <v/>
      </c>
      <c r="N1239" s="7" t="str">
        <f>IF('Port Bloomberg'!N1239="","",'Port Bloomberg'!N1239)</f>
        <v/>
      </c>
      <c r="O1239" s="7" t="str">
        <f>IF('Port Bloomberg'!O1239="","",'Port Bloomberg'!O1239)</f>
        <v/>
      </c>
      <c r="P1239" s="7" t="str">
        <f>IF('Port Bloomberg'!P1239="","",'Port Bloomberg'!P1239)</f>
        <v/>
      </c>
      <c r="Q1239" s="7" t="str">
        <f>IF('Port Bloomberg'!Q1239="","",'Port Bloomberg'!Q1239)</f>
        <v/>
      </c>
      <c r="R1239" s="7" t="str">
        <f>IF('Port Bloomberg'!R1239="","",'Port Bloomberg'!R1239)</f>
        <v/>
      </c>
      <c r="S1239" s="5" t="str">
        <f>IF(E1239="","",IFERROR(IF(MATCH(E1239,[1]Instrumentos!$D:$D,0)&gt;0,1,0),0))</f>
        <v/>
      </c>
      <c r="T1239" s="5" t="str">
        <f>IF(E1239="","",IFERROR(IF(MATCH(E1239,'Lista de excepciones'!$E:$E,0)&gt;0,1,0),0))</f>
        <v/>
      </c>
      <c r="U1239" s="6" t="str">
        <f t="shared" si="20"/>
        <v/>
      </c>
    </row>
    <row r="1240" spans="1:21" hidden="1" x14ac:dyDescent="0.25">
      <c r="A1240" s="7" t="str">
        <f>IF('Port Bloomberg'!A1240="","",'Port Bloomberg'!A1240)</f>
        <v/>
      </c>
      <c r="B1240" s="7" t="str">
        <f>IF('Port Bloomberg'!B1240="","",'Port Bloomberg'!B1240)</f>
        <v/>
      </c>
      <c r="C1240" s="7" t="str">
        <f>IF('Port Bloomberg'!C1240="","",'Port Bloomberg'!C1240)</f>
        <v/>
      </c>
      <c r="D1240" s="7" t="str">
        <f>IF('Port Bloomberg'!D1240="","",'Port Bloomberg'!D1240)</f>
        <v/>
      </c>
      <c r="E1240" s="7" t="str">
        <f>IF('Port Bloomberg'!E1240="","",'Port Bloomberg'!E1240)</f>
        <v/>
      </c>
      <c r="F1240" s="7" t="str">
        <f>IF('Port Bloomberg'!F1240="","",'Port Bloomberg'!F1240)</f>
        <v/>
      </c>
      <c r="G1240" s="7" t="str">
        <f>IF('Port Bloomberg'!G1240="","",'Port Bloomberg'!G1240)</f>
        <v/>
      </c>
      <c r="H1240" s="7" t="str">
        <f>IF('Port Bloomberg'!H1240="","",'Port Bloomberg'!H1240)</f>
        <v/>
      </c>
      <c r="I1240" s="7" t="str">
        <f>IF('Port Bloomberg'!I1240="","",'Port Bloomberg'!I1240)</f>
        <v/>
      </c>
      <c r="J1240" s="7" t="str">
        <f>IF('Port Bloomberg'!J1240="","",'Port Bloomberg'!J1240)</f>
        <v/>
      </c>
      <c r="K1240" s="7" t="str">
        <f>IF('Port Bloomberg'!K1240="","",'Port Bloomberg'!K1240)</f>
        <v/>
      </c>
      <c r="L1240" s="7" t="str">
        <f>IF('Port Bloomberg'!L1240="","",'Port Bloomberg'!L1240)</f>
        <v/>
      </c>
      <c r="M1240" s="7" t="str">
        <f>IF('Port Bloomberg'!M1240="","",'Port Bloomberg'!M1240)</f>
        <v/>
      </c>
      <c r="N1240" s="7" t="str">
        <f>IF('Port Bloomberg'!N1240="","",'Port Bloomberg'!N1240)</f>
        <v/>
      </c>
      <c r="O1240" s="7" t="str">
        <f>IF('Port Bloomberg'!O1240="","",'Port Bloomberg'!O1240)</f>
        <v/>
      </c>
      <c r="P1240" s="7" t="str">
        <f>IF('Port Bloomberg'!P1240="","",'Port Bloomberg'!P1240)</f>
        <v/>
      </c>
      <c r="Q1240" s="7" t="str">
        <f>IF('Port Bloomberg'!Q1240="","",'Port Bloomberg'!Q1240)</f>
        <v/>
      </c>
      <c r="R1240" s="7" t="str">
        <f>IF('Port Bloomberg'!R1240="","",'Port Bloomberg'!R1240)</f>
        <v/>
      </c>
      <c r="S1240" s="5" t="str">
        <f>IF(E1240="","",IFERROR(IF(MATCH(E1240,[1]Instrumentos!$D:$D,0)&gt;0,1,0),0))</f>
        <v/>
      </c>
      <c r="T1240" s="5" t="str">
        <f>IF(E1240="","",IFERROR(IF(MATCH(E1240,'Lista de excepciones'!$E:$E,0)&gt;0,1,0),0))</f>
        <v/>
      </c>
      <c r="U1240" s="6" t="str">
        <f t="shared" si="20"/>
        <v/>
      </c>
    </row>
    <row r="1241" spans="1:21" hidden="1" x14ac:dyDescent="0.25">
      <c r="A1241" s="7" t="str">
        <f>IF('Port Bloomberg'!A1241="","",'Port Bloomberg'!A1241)</f>
        <v/>
      </c>
      <c r="B1241" s="7" t="str">
        <f>IF('Port Bloomberg'!B1241="","",'Port Bloomberg'!B1241)</f>
        <v/>
      </c>
      <c r="C1241" s="7" t="str">
        <f>IF('Port Bloomberg'!C1241="","",'Port Bloomberg'!C1241)</f>
        <v/>
      </c>
      <c r="D1241" s="7" t="str">
        <f>IF('Port Bloomberg'!D1241="","",'Port Bloomberg'!D1241)</f>
        <v/>
      </c>
      <c r="E1241" s="7" t="str">
        <f>IF('Port Bloomberg'!E1241="","",'Port Bloomberg'!E1241)</f>
        <v/>
      </c>
      <c r="F1241" s="7" t="str">
        <f>IF('Port Bloomberg'!F1241="","",'Port Bloomberg'!F1241)</f>
        <v/>
      </c>
      <c r="G1241" s="7" t="str">
        <f>IF('Port Bloomberg'!G1241="","",'Port Bloomberg'!G1241)</f>
        <v/>
      </c>
      <c r="H1241" s="7" t="str">
        <f>IF('Port Bloomberg'!H1241="","",'Port Bloomberg'!H1241)</f>
        <v/>
      </c>
      <c r="I1241" s="7" t="str">
        <f>IF('Port Bloomberg'!I1241="","",'Port Bloomberg'!I1241)</f>
        <v/>
      </c>
      <c r="J1241" s="7" t="str">
        <f>IF('Port Bloomberg'!J1241="","",'Port Bloomberg'!J1241)</f>
        <v/>
      </c>
      <c r="K1241" s="7" t="str">
        <f>IF('Port Bloomberg'!K1241="","",'Port Bloomberg'!K1241)</f>
        <v/>
      </c>
      <c r="L1241" s="7" t="str">
        <f>IF('Port Bloomberg'!L1241="","",'Port Bloomberg'!L1241)</f>
        <v/>
      </c>
      <c r="M1241" s="7" t="str">
        <f>IF('Port Bloomberg'!M1241="","",'Port Bloomberg'!M1241)</f>
        <v/>
      </c>
      <c r="N1241" s="7" t="str">
        <f>IF('Port Bloomberg'!N1241="","",'Port Bloomberg'!N1241)</f>
        <v/>
      </c>
      <c r="O1241" s="7" t="str">
        <f>IF('Port Bloomberg'!O1241="","",'Port Bloomberg'!O1241)</f>
        <v/>
      </c>
      <c r="P1241" s="7" t="str">
        <f>IF('Port Bloomberg'!P1241="","",'Port Bloomberg'!P1241)</f>
        <v/>
      </c>
      <c r="Q1241" s="7" t="str">
        <f>IF('Port Bloomberg'!Q1241="","",'Port Bloomberg'!Q1241)</f>
        <v/>
      </c>
      <c r="R1241" s="7" t="str">
        <f>IF('Port Bloomberg'!R1241="","",'Port Bloomberg'!R1241)</f>
        <v/>
      </c>
      <c r="S1241" s="5" t="str">
        <f>IF(E1241="","",IFERROR(IF(MATCH(E1241,[1]Instrumentos!$D:$D,0)&gt;0,1,0),0))</f>
        <v/>
      </c>
      <c r="T1241" s="5" t="str">
        <f>IF(E1241="","",IFERROR(IF(MATCH(E1241,'Lista de excepciones'!$E:$E,0)&gt;0,1,0),0))</f>
        <v/>
      </c>
      <c r="U1241" s="6" t="str">
        <f t="shared" si="20"/>
        <v/>
      </c>
    </row>
    <row r="1242" spans="1:21" hidden="1" x14ac:dyDescent="0.25">
      <c r="A1242" s="7" t="str">
        <f>IF('Port Bloomberg'!A1242="","",'Port Bloomberg'!A1242)</f>
        <v/>
      </c>
      <c r="B1242" s="7" t="str">
        <f>IF('Port Bloomberg'!B1242="","",'Port Bloomberg'!B1242)</f>
        <v/>
      </c>
      <c r="C1242" s="7" t="str">
        <f>IF('Port Bloomberg'!C1242="","",'Port Bloomberg'!C1242)</f>
        <v/>
      </c>
      <c r="D1242" s="7" t="str">
        <f>IF('Port Bloomberg'!D1242="","",'Port Bloomberg'!D1242)</f>
        <v/>
      </c>
      <c r="E1242" s="7" t="str">
        <f>IF('Port Bloomberg'!E1242="","",'Port Bloomberg'!E1242)</f>
        <v/>
      </c>
      <c r="F1242" s="7" t="str">
        <f>IF('Port Bloomberg'!F1242="","",'Port Bloomberg'!F1242)</f>
        <v/>
      </c>
      <c r="G1242" s="7" t="str">
        <f>IF('Port Bloomberg'!G1242="","",'Port Bloomberg'!G1242)</f>
        <v/>
      </c>
      <c r="H1242" s="7" t="str">
        <f>IF('Port Bloomberg'!H1242="","",'Port Bloomberg'!H1242)</f>
        <v/>
      </c>
      <c r="I1242" s="7" t="str">
        <f>IF('Port Bloomberg'!I1242="","",'Port Bloomberg'!I1242)</f>
        <v/>
      </c>
      <c r="J1242" s="7" t="str">
        <f>IF('Port Bloomberg'!J1242="","",'Port Bloomberg'!J1242)</f>
        <v/>
      </c>
      <c r="K1242" s="7" t="str">
        <f>IF('Port Bloomberg'!K1242="","",'Port Bloomberg'!K1242)</f>
        <v/>
      </c>
      <c r="L1242" s="7" t="str">
        <f>IF('Port Bloomberg'!L1242="","",'Port Bloomberg'!L1242)</f>
        <v/>
      </c>
      <c r="M1242" s="7" t="str">
        <f>IF('Port Bloomberg'!M1242="","",'Port Bloomberg'!M1242)</f>
        <v/>
      </c>
      <c r="N1242" s="7" t="str">
        <f>IF('Port Bloomberg'!N1242="","",'Port Bloomberg'!N1242)</f>
        <v/>
      </c>
      <c r="O1242" s="7" t="str">
        <f>IF('Port Bloomberg'!O1242="","",'Port Bloomberg'!O1242)</f>
        <v/>
      </c>
      <c r="P1242" s="7" t="str">
        <f>IF('Port Bloomberg'!P1242="","",'Port Bloomberg'!P1242)</f>
        <v/>
      </c>
      <c r="Q1242" s="7" t="str">
        <f>IF('Port Bloomberg'!Q1242="","",'Port Bloomberg'!Q1242)</f>
        <v/>
      </c>
      <c r="R1242" s="7" t="str">
        <f>IF('Port Bloomberg'!R1242="","",'Port Bloomberg'!R1242)</f>
        <v/>
      </c>
      <c r="S1242" s="5" t="str">
        <f>IF(E1242="","",IFERROR(IF(MATCH(E1242,[1]Instrumentos!$D:$D,0)&gt;0,1,0),0))</f>
        <v/>
      </c>
      <c r="T1242" s="5" t="str">
        <f>IF(E1242="","",IFERROR(IF(MATCH(E1242,'Lista de excepciones'!$E:$E,0)&gt;0,1,0),0))</f>
        <v/>
      </c>
      <c r="U1242" s="6" t="str">
        <f t="shared" si="20"/>
        <v/>
      </c>
    </row>
    <row r="1243" spans="1:21" hidden="1" x14ac:dyDescent="0.25">
      <c r="A1243" s="7" t="str">
        <f>IF('Port Bloomberg'!A1243="","",'Port Bloomberg'!A1243)</f>
        <v/>
      </c>
      <c r="B1243" s="7" t="str">
        <f>IF('Port Bloomberg'!B1243="","",'Port Bloomberg'!B1243)</f>
        <v/>
      </c>
      <c r="C1243" s="7" t="str">
        <f>IF('Port Bloomberg'!C1243="","",'Port Bloomberg'!C1243)</f>
        <v/>
      </c>
      <c r="D1243" s="7" t="str">
        <f>IF('Port Bloomberg'!D1243="","",'Port Bloomberg'!D1243)</f>
        <v/>
      </c>
      <c r="E1243" s="7" t="str">
        <f>IF('Port Bloomberg'!E1243="","",'Port Bloomberg'!E1243)</f>
        <v/>
      </c>
      <c r="F1243" s="7" t="str">
        <f>IF('Port Bloomberg'!F1243="","",'Port Bloomberg'!F1243)</f>
        <v/>
      </c>
      <c r="G1243" s="7" t="str">
        <f>IF('Port Bloomberg'!G1243="","",'Port Bloomberg'!G1243)</f>
        <v/>
      </c>
      <c r="H1243" s="7" t="str">
        <f>IF('Port Bloomberg'!H1243="","",'Port Bloomberg'!H1243)</f>
        <v/>
      </c>
      <c r="I1243" s="7" t="str">
        <f>IF('Port Bloomberg'!I1243="","",'Port Bloomberg'!I1243)</f>
        <v/>
      </c>
      <c r="J1243" s="7" t="str">
        <f>IF('Port Bloomberg'!J1243="","",'Port Bloomberg'!J1243)</f>
        <v/>
      </c>
      <c r="K1243" s="7" t="str">
        <f>IF('Port Bloomberg'!K1243="","",'Port Bloomberg'!K1243)</f>
        <v/>
      </c>
      <c r="L1243" s="7" t="str">
        <f>IF('Port Bloomberg'!L1243="","",'Port Bloomberg'!L1243)</f>
        <v/>
      </c>
      <c r="M1243" s="7" t="str">
        <f>IF('Port Bloomberg'!M1243="","",'Port Bloomberg'!M1243)</f>
        <v/>
      </c>
      <c r="N1243" s="7" t="str">
        <f>IF('Port Bloomberg'!N1243="","",'Port Bloomberg'!N1243)</f>
        <v/>
      </c>
      <c r="O1243" s="7" t="str">
        <f>IF('Port Bloomberg'!O1243="","",'Port Bloomberg'!O1243)</f>
        <v/>
      </c>
      <c r="P1243" s="7" t="str">
        <f>IF('Port Bloomberg'!P1243="","",'Port Bloomberg'!P1243)</f>
        <v/>
      </c>
      <c r="Q1243" s="7" t="str">
        <f>IF('Port Bloomberg'!Q1243="","",'Port Bloomberg'!Q1243)</f>
        <v/>
      </c>
      <c r="R1243" s="7" t="str">
        <f>IF('Port Bloomberg'!R1243="","",'Port Bloomberg'!R1243)</f>
        <v/>
      </c>
      <c r="S1243" s="5" t="str">
        <f>IF(E1243="","",IFERROR(IF(MATCH(E1243,[1]Instrumentos!$D:$D,0)&gt;0,1,0),0))</f>
        <v/>
      </c>
      <c r="T1243" s="5" t="str">
        <f>IF(E1243="","",IFERROR(IF(MATCH(E1243,'Lista de excepciones'!$E:$E,0)&gt;0,1,0),0))</f>
        <v/>
      </c>
      <c r="U1243" s="6" t="str">
        <f t="shared" si="20"/>
        <v/>
      </c>
    </row>
    <row r="1244" spans="1:21" hidden="1" x14ac:dyDescent="0.25">
      <c r="A1244" s="7" t="str">
        <f>IF('Port Bloomberg'!A1244="","",'Port Bloomberg'!A1244)</f>
        <v/>
      </c>
      <c r="B1244" s="7" t="str">
        <f>IF('Port Bloomberg'!B1244="","",'Port Bloomberg'!B1244)</f>
        <v/>
      </c>
      <c r="C1244" s="7" t="str">
        <f>IF('Port Bloomberg'!C1244="","",'Port Bloomberg'!C1244)</f>
        <v/>
      </c>
      <c r="D1244" s="7" t="str">
        <f>IF('Port Bloomberg'!D1244="","",'Port Bloomberg'!D1244)</f>
        <v/>
      </c>
      <c r="E1244" s="7" t="str">
        <f>IF('Port Bloomberg'!E1244="","",'Port Bloomberg'!E1244)</f>
        <v/>
      </c>
      <c r="F1244" s="7" t="str">
        <f>IF('Port Bloomberg'!F1244="","",'Port Bloomberg'!F1244)</f>
        <v/>
      </c>
      <c r="G1244" s="7" t="str">
        <f>IF('Port Bloomberg'!G1244="","",'Port Bloomberg'!G1244)</f>
        <v/>
      </c>
      <c r="H1244" s="7" t="str">
        <f>IF('Port Bloomberg'!H1244="","",'Port Bloomberg'!H1244)</f>
        <v/>
      </c>
      <c r="I1244" s="7" t="str">
        <f>IF('Port Bloomberg'!I1244="","",'Port Bloomberg'!I1244)</f>
        <v/>
      </c>
      <c r="J1244" s="7" t="str">
        <f>IF('Port Bloomberg'!J1244="","",'Port Bloomberg'!J1244)</f>
        <v/>
      </c>
      <c r="K1244" s="7" t="str">
        <f>IF('Port Bloomberg'!K1244="","",'Port Bloomberg'!K1244)</f>
        <v/>
      </c>
      <c r="L1244" s="7" t="str">
        <f>IF('Port Bloomberg'!L1244="","",'Port Bloomberg'!L1244)</f>
        <v/>
      </c>
      <c r="M1244" s="7" t="str">
        <f>IF('Port Bloomberg'!M1244="","",'Port Bloomberg'!M1244)</f>
        <v/>
      </c>
      <c r="N1244" s="7" t="str">
        <f>IF('Port Bloomberg'!N1244="","",'Port Bloomberg'!N1244)</f>
        <v/>
      </c>
      <c r="O1244" s="7" t="str">
        <f>IF('Port Bloomberg'!O1244="","",'Port Bloomberg'!O1244)</f>
        <v/>
      </c>
      <c r="P1244" s="7" t="str">
        <f>IF('Port Bloomberg'!P1244="","",'Port Bloomberg'!P1244)</f>
        <v/>
      </c>
      <c r="Q1244" s="7" t="str">
        <f>IF('Port Bloomberg'!Q1244="","",'Port Bloomberg'!Q1244)</f>
        <v/>
      </c>
      <c r="R1244" s="7" t="str">
        <f>IF('Port Bloomberg'!R1244="","",'Port Bloomberg'!R1244)</f>
        <v/>
      </c>
      <c r="S1244" s="5" t="str">
        <f>IF(E1244="","",IFERROR(IF(MATCH(E1244,[1]Instrumentos!$D:$D,0)&gt;0,1,0),0))</f>
        <v/>
      </c>
      <c r="T1244" s="5" t="str">
        <f>IF(E1244="","",IFERROR(IF(MATCH(E1244,'Lista de excepciones'!$E:$E,0)&gt;0,1,0),0))</f>
        <v/>
      </c>
      <c r="U1244" s="6" t="str">
        <f t="shared" si="20"/>
        <v/>
      </c>
    </row>
    <row r="1245" spans="1:21" hidden="1" x14ac:dyDescent="0.25">
      <c r="A1245" s="7" t="str">
        <f>IF('Port Bloomberg'!A1245="","",'Port Bloomberg'!A1245)</f>
        <v/>
      </c>
      <c r="B1245" s="7" t="str">
        <f>IF('Port Bloomberg'!B1245="","",'Port Bloomberg'!B1245)</f>
        <v/>
      </c>
      <c r="C1245" s="7" t="str">
        <f>IF('Port Bloomberg'!C1245="","",'Port Bloomberg'!C1245)</f>
        <v/>
      </c>
      <c r="D1245" s="7" t="str">
        <f>IF('Port Bloomberg'!D1245="","",'Port Bloomberg'!D1245)</f>
        <v/>
      </c>
      <c r="E1245" s="7" t="str">
        <f>IF('Port Bloomberg'!E1245="","",'Port Bloomberg'!E1245)</f>
        <v/>
      </c>
      <c r="F1245" s="7" t="str">
        <f>IF('Port Bloomberg'!F1245="","",'Port Bloomberg'!F1245)</f>
        <v/>
      </c>
      <c r="G1245" s="7" t="str">
        <f>IF('Port Bloomberg'!G1245="","",'Port Bloomberg'!G1245)</f>
        <v/>
      </c>
      <c r="H1245" s="7" t="str">
        <f>IF('Port Bloomberg'!H1245="","",'Port Bloomberg'!H1245)</f>
        <v/>
      </c>
      <c r="I1245" s="7" t="str">
        <f>IF('Port Bloomberg'!I1245="","",'Port Bloomberg'!I1245)</f>
        <v/>
      </c>
      <c r="J1245" s="7" t="str">
        <f>IF('Port Bloomberg'!J1245="","",'Port Bloomberg'!J1245)</f>
        <v/>
      </c>
      <c r="K1245" s="7" t="str">
        <f>IF('Port Bloomberg'!K1245="","",'Port Bloomberg'!K1245)</f>
        <v/>
      </c>
      <c r="L1245" s="7" t="str">
        <f>IF('Port Bloomberg'!L1245="","",'Port Bloomberg'!L1245)</f>
        <v/>
      </c>
      <c r="M1245" s="7" t="str">
        <f>IF('Port Bloomberg'!M1245="","",'Port Bloomberg'!M1245)</f>
        <v/>
      </c>
      <c r="N1245" s="7" t="str">
        <f>IF('Port Bloomberg'!N1245="","",'Port Bloomberg'!N1245)</f>
        <v/>
      </c>
      <c r="O1245" s="7" t="str">
        <f>IF('Port Bloomberg'!O1245="","",'Port Bloomberg'!O1245)</f>
        <v/>
      </c>
      <c r="P1245" s="7" t="str">
        <f>IF('Port Bloomberg'!P1245="","",'Port Bloomberg'!P1245)</f>
        <v/>
      </c>
      <c r="Q1245" s="7" t="str">
        <f>IF('Port Bloomberg'!Q1245="","",'Port Bloomberg'!Q1245)</f>
        <v/>
      </c>
      <c r="R1245" s="7" t="str">
        <f>IF('Port Bloomberg'!R1245="","",'Port Bloomberg'!R1245)</f>
        <v/>
      </c>
      <c r="S1245" s="5" t="str">
        <f>IF(E1245="","",IFERROR(IF(MATCH(E1245,[1]Instrumentos!$D:$D,0)&gt;0,1,0),0))</f>
        <v/>
      </c>
      <c r="T1245" s="5" t="str">
        <f>IF(E1245="","",IFERROR(IF(MATCH(E1245,'Lista de excepciones'!$E:$E,0)&gt;0,1,0),0))</f>
        <v/>
      </c>
      <c r="U1245" s="6" t="str">
        <f t="shared" si="20"/>
        <v/>
      </c>
    </row>
    <row r="1246" spans="1:21" hidden="1" x14ac:dyDescent="0.25">
      <c r="A1246" s="7" t="str">
        <f>IF('Port Bloomberg'!A1246="","",'Port Bloomberg'!A1246)</f>
        <v/>
      </c>
      <c r="B1246" s="7" t="str">
        <f>IF('Port Bloomberg'!B1246="","",'Port Bloomberg'!B1246)</f>
        <v/>
      </c>
      <c r="C1246" s="7" t="str">
        <f>IF('Port Bloomberg'!C1246="","",'Port Bloomberg'!C1246)</f>
        <v/>
      </c>
      <c r="D1246" s="7" t="str">
        <f>IF('Port Bloomberg'!D1246="","",'Port Bloomberg'!D1246)</f>
        <v/>
      </c>
      <c r="E1246" s="7" t="str">
        <f>IF('Port Bloomberg'!E1246="","",'Port Bloomberg'!E1246)</f>
        <v/>
      </c>
      <c r="F1246" s="7" t="str">
        <f>IF('Port Bloomberg'!F1246="","",'Port Bloomberg'!F1246)</f>
        <v/>
      </c>
      <c r="G1246" s="7" t="str">
        <f>IF('Port Bloomberg'!G1246="","",'Port Bloomberg'!G1246)</f>
        <v/>
      </c>
      <c r="H1246" s="7" t="str">
        <f>IF('Port Bloomberg'!H1246="","",'Port Bloomberg'!H1246)</f>
        <v/>
      </c>
      <c r="I1246" s="7" t="str">
        <f>IF('Port Bloomberg'!I1246="","",'Port Bloomberg'!I1246)</f>
        <v/>
      </c>
      <c r="J1246" s="7" t="str">
        <f>IF('Port Bloomberg'!J1246="","",'Port Bloomberg'!J1246)</f>
        <v/>
      </c>
      <c r="K1246" s="7" t="str">
        <f>IF('Port Bloomberg'!K1246="","",'Port Bloomberg'!K1246)</f>
        <v/>
      </c>
      <c r="L1246" s="7" t="str">
        <f>IF('Port Bloomberg'!L1246="","",'Port Bloomberg'!L1246)</f>
        <v/>
      </c>
      <c r="M1246" s="7" t="str">
        <f>IF('Port Bloomberg'!M1246="","",'Port Bloomberg'!M1246)</f>
        <v/>
      </c>
      <c r="N1246" s="7" t="str">
        <f>IF('Port Bloomberg'!N1246="","",'Port Bloomberg'!N1246)</f>
        <v/>
      </c>
      <c r="O1246" s="7" t="str">
        <f>IF('Port Bloomberg'!O1246="","",'Port Bloomberg'!O1246)</f>
        <v/>
      </c>
      <c r="P1246" s="7" t="str">
        <f>IF('Port Bloomberg'!P1246="","",'Port Bloomberg'!P1246)</f>
        <v/>
      </c>
      <c r="Q1246" s="7" t="str">
        <f>IF('Port Bloomberg'!Q1246="","",'Port Bloomberg'!Q1246)</f>
        <v/>
      </c>
      <c r="R1246" s="7" t="str">
        <f>IF('Port Bloomberg'!R1246="","",'Port Bloomberg'!R1246)</f>
        <v/>
      </c>
      <c r="S1246" s="5" t="str">
        <f>IF(E1246="","",IFERROR(IF(MATCH(E1246,[1]Instrumentos!$D:$D,0)&gt;0,1,0),0))</f>
        <v/>
      </c>
      <c r="T1246" s="5" t="str">
        <f>IF(E1246="","",IFERROR(IF(MATCH(E1246,'Lista de excepciones'!$E:$E,0)&gt;0,1,0),0))</f>
        <v/>
      </c>
      <c r="U1246" s="6" t="str">
        <f t="shared" si="20"/>
        <v/>
      </c>
    </row>
    <row r="1247" spans="1:21" hidden="1" x14ac:dyDescent="0.25">
      <c r="A1247" s="7" t="str">
        <f>IF('Port Bloomberg'!A1247="","",'Port Bloomberg'!A1247)</f>
        <v/>
      </c>
      <c r="B1247" s="7" t="str">
        <f>IF('Port Bloomberg'!B1247="","",'Port Bloomberg'!B1247)</f>
        <v/>
      </c>
      <c r="C1247" s="7" t="str">
        <f>IF('Port Bloomberg'!C1247="","",'Port Bloomberg'!C1247)</f>
        <v/>
      </c>
      <c r="D1247" s="7" t="str">
        <f>IF('Port Bloomberg'!D1247="","",'Port Bloomberg'!D1247)</f>
        <v/>
      </c>
      <c r="E1247" s="7" t="str">
        <f>IF('Port Bloomberg'!E1247="","",'Port Bloomberg'!E1247)</f>
        <v/>
      </c>
      <c r="F1247" s="7" t="str">
        <f>IF('Port Bloomberg'!F1247="","",'Port Bloomberg'!F1247)</f>
        <v/>
      </c>
      <c r="G1247" s="7" t="str">
        <f>IF('Port Bloomberg'!G1247="","",'Port Bloomberg'!G1247)</f>
        <v/>
      </c>
      <c r="H1247" s="7" t="str">
        <f>IF('Port Bloomberg'!H1247="","",'Port Bloomberg'!H1247)</f>
        <v/>
      </c>
      <c r="I1247" s="7" t="str">
        <f>IF('Port Bloomberg'!I1247="","",'Port Bloomberg'!I1247)</f>
        <v/>
      </c>
      <c r="J1247" s="7" t="str">
        <f>IF('Port Bloomberg'!J1247="","",'Port Bloomberg'!J1247)</f>
        <v/>
      </c>
      <c r="K1247" s="7" t="str">
        <f>IF('Port Bloomberg'!K1247="","",'Port Bloomberg'!K1247)</f>
        <v/>
      </c>
      <c r="L1247" s="7" t="str">
        <f>IF('Port Bloomberg'!L1247="","",'Port Bloomberg'!L1247)</f>
        <v/>
      </c>
      <c r="M1247" s="7" t="str">
        <f>IF('Port Bloomberg'!M1247="","",'Port Bloomberg'!M1247)</f>
        <v/>
      </c>
      <c r="N1247" s="7" t="str">
        <f>IF('Port Bloomberg'!N1247="","",'Port Bloomberg'!N1247)</f>
        <v/>
      </c>
      <c r="O1247" s="7" t="str">
        <f>IF('Port Bloomberg'!O1247="","",'Port Bloomberg'!O1247)</f>
        <v/>
      </c>
      <c r="P1247" s="7" t="str">
        <f>IF('Port Bloomberg'!P1247="","",'Port Bloomberg'!P1247)</f>
        <v/>
      </c>
      <c r="Q1247" s="7" t="str">
        <f>IF('Port Bloomberg'!Q1247="","",'Port Bloomberg'!Q1247)</f>
        <v/>
      </c>
      <c r="R1247" s="7" t="str">
        <f>IF('Port Bloomberg'!R1247="","",'Port Bloomberg'!R1247)</f>
        <v/>
      </c>
      <c r="S1247" s="5" t="str">
        <f>IF(E1247="","",IFERROR(IF(MATCH(E1247,[1]Instrumentos!$D:$D,0)&gt;0,1,0),0))</f>
        <v/>
      </c>
      <c r="T1247" s="5" t="str">
        <f>IF(E1247="","",IFERROR(IF(MATCH(E1247,'Lista de excepciones'!$E:$E,0)&gt;0,1,0),0))</f>
        <v/>
      </c>
      <c r="U1247" s="6" t="str">
        <f t="shared" si="20"/>
        <v/>
      </c>
    </row>
    <row r="1248" spans="1:21" hidden="1" x14ac:dyDescent="0.25">
      <c r="A1248" s="7" t="str">
        <f>IF('Port Bloomberg'!A1248="","",'Port Bloomberg'!A1248)</f>
        <v/>
      </c>
      <c r="B1248" s="7" t="str">
        <f>IF('Port Bloomberg'!B1248="","",'Port Bloomberg'!B1248)</f>
        <v/>
      </c>
      <c r="C1248" s="7" t="str">
        <f>IF('Port Bloomberg'!C1248="","",'Port Bloomberg'!C1248)</f>
        <v/>
      </c>
      <c r="D1248" s="7" t="str">
        <f>IF('Port Bloomberg'!D1248="","",'Port Bloomberg'!D1248)</f>
        <v/>
      </c>
      <c r="E1248" s="7" t="str">
        <f>IF('Port Bloomberg'!E1248="","",'Port Bloomberg'!E1248)</f>
        <v/>
      </c>
      <c r="F1248" s="7" t="str">
        <f>IF('Port Bloomberg'!F1248="","",'Port Bloomberg'!F1248)</f>
        <v/>
      </c>
      <c r="G1248" s="7" t="str">
        <f>IF('Port Bloomberg'!G1248="","",'Port Bloomberg'!G1248)</f>
        <v/>
      </c>
      <c r="H1248" s="7" t="str">
        <f>IF('Port Bloomberg'!H1248="","",'Port Bloomberg'!H1248)</f>
        <v/>
      </c>
      <c r="I1248" s="7" t="str">
        <f>IF('Port Bloomberg'!I1248="","",'Port Bloomberg'!I1248)</f>
        <v/>
      </c>
      <c r="J1248" s="7" t="str">
        <f>IF('Port Bloomberg'!J1248="","",'Port Bloomberg'!J1248)</f>
        <v/>
      </c>
      <c r="K1248" s="7" t="str">
        <f>IF('Port Bloomberg'!K1248="","",'Port Bloomberg'!K1248)</f>
        <v/>
      </c>
      <c r="L1248" s="7" t="str">
        <f>IF('Port Bloomberg'!L1248="","",'Port Bloomberg'!L1248)</f>
        <v/>
      </c>
      <c r="M1248" s="7" t="str">
        <f>IF('Port Bloomberg'!M1248="","",'Port Bloomberg'!M1248)</f>
        <v/>
      </c>
      <c r="N1248" s="7" t="str">
        <f>IF('Port Bloomberg'!N1248="","",'Port Bloomberg'!N1248)</f>
        <v/>
      </c>
      <c r="O1248" s="7" t="str">
        <f>IF('Port Bloomberg'!O1248="","",'Port Bloomberg'!O1248)</f>
        <v/>
      </c>
      <c r="P1248" s="7" t="str">
        <f>IF('Port Bloomberg'!P1248="","",'Port Bloomberg'!P1248)</f>
        <v/>
      </c>
      <c r="Q1248" s="7" t="str">
        <f>IF('Port Bloomberg'!Q1248="","",'Port Bloomberg'!Q1248)</f>
        <v/>
      </c>
      <c r="R1248" s="7" t="str">
        <f>IF('Port Bloomberg'!R1248="","",'Port Bloomberg'!R1248)</f>
        <v/>
      </c>
      <c r="S1248" s="5" t="str">
        <f>IF(E1248="","",IFERROR(IF(MATCH(E1248,[1]Instrumentos!$D:$D,0)&gt;0,1,0),0))</f>
        <v/>
      </c>
      <c r="T1248" s="5" t="str">
        <f>IF(E1248="","",IFERROR(IF(MATCH(E1248,'Lista de excepciones'!$E:$E,0)&gt;0,1,0),0))</f>
        <v/>
      </c>
      <c r="U1248" s="6" t="str">
        <f t="shared" si="20"/>
        <v/>
      </c>
    </row>
    <row r="1249" spans="1:21" hidden="1" x14ac:dyDescent="0.25">
      <c r="A1249" s="7" t="str">
        <f>IF('Port Bloomberg'!A1249="","",'Port Bloomberg'!A1249)</f>
        <v/>
      </c>
      <c r="B1249" s="7" t="str">
        <f>IF('Port Bloomberg'!B1249="","",'Port Bloomberg'!B1249)</f>
        <v/>
      </c>
      <c r="C1249" s="7" t="str">
        <f>IF('Port Bloomberg'!C1249="","",'Port Bloomberg'!C1249)</f>
        <v/>
      </c>
      <c r="D1249" s="7" t="str">
        <f>IF('Port Bloomberg'!D1249="","",'Port Bloomberg'!D1249)</f>
        <v/>
      </c>
      <c r="E1249" s="7" t="str">
        <f>IF('Port Bloomberg'!E1249="","",'Port Bloomberg'!E1249)</f>
        <v/>
      </c>
      <c r="F1249" s="7" t="str">
        <f>IF('Port Bloomberg'!F1249="","",'Port Bloomberg'!F1249)</f>
        <v/>
      </c>
      <c r="G1249" s="7" t="str">
        <f>IF('Port Bloomberg'!G1249="","",'Port Bloomberg'!G1249)</f>
        <v/>
      </c>
      <c r="H1249" s="7" t="str">
        <f>IF('Port Bloomberg'!H1249="","",'Port Bloomberg'!H1249)</f>
        <v/>
      </c>
      <c r="I1249" s="7" t="str">
        <f>IF('Port Bloomberg'!I1249="","",'Port Bloomberg'!I1249)</f>
        <v/>
      </c>
      <c r="J1249" s="7" t="str">
        <f>IF('Port Bloomberg'!J1249="","",'Port Bloomberg'!J1249)</f>
        <v/>
      </c>
      <c r="K1249" s="7" t="str">
        <f>IF('Port Bloomberg'!K1249="","",'Port Bloomberg'!K1249)</f>
        <v/>
      </c>
      <c r="L1249" s="7" t="str">
        <f>IF('Port Bloomberg'!L1249="","",'Port Bloomberg'!L1249)</f>
        <v/>
      </c>
      <c r="M1249" s="7" t="str">
        <f>IF('Port Bloomberg'!M1249="","",'Port Bloomberg'!M1249)</f>
        <v/>
      </c>
      <c r="N1249" s="7" t="str">
        <f>IF('Port Bloomberg'!N1249="","",'Port Bloomberg'!N1249)</f>
        <v/>
      </c>
      <c r="O1249" s="7" t="str">
        <f>IF('Port Bloomberg'!O1249="","",'Port Bloomberg'!O1249)</f>
        <v/>
      </c>
      <c r="P1249" s="7" t="str">
        <f>IF('Port Bloomberg'!P1249="","",'Port Bloomberg'!P1249)</f>
        <v/>
      </c>
      <c r="Q1249" s="7" t="str">
        <f>IF('Port Bloomberg'!Q1249="","",'Port Bloomberg'!Q1249)</f>
        <v/>
      </c>
      <c r="R1249" s="7" t="str">
        <f>IF('Port Bloomberg'!R1249="","",'Port Bloomberg'!R1249)</f>
        <v/>
      </c>
      <c r="S1249" s="5" t="str">
        <f>IF(E1249="","",IFERROR(IF(MATCH(E1249,[1]Instrumentos!$D:$D,0)&gt;0,1,0),0))</f>
        <v/>
      </c>
      <c r="T1249" s="5" t="str">
        <f>IF(E1249="","",IFERROR(IF(MATCH(E1249,'Lista de excepciones'!$E:$E,0)&gt;0,1,0),0))</f>
        <v/>
      </c>
      <c r="U1249" s="6" t="str">
        <f t="shared" si="20"/>
        <v/>
      </c>
    </row>
    <row r="1250" spans="1:21" hidden="1" x14ac:dyDescent="0.25">
      <c r="A1250" s="7" t="str">
        <f>IF('Port Bloomberg'!A1250="","",'Port Bloomberg'!A1250)</f>
        <v/>
      </c>
      <c r="B1250" s="7" t="str">
        <f>IF('Port Bloomberg'!B1250="","",'Port Bloomberg'!B1250)</f>
        <v/>
      </c>
      <c r="C1250" s="7" t="str">
        <f>IF('Port Bloomberg'!C1250="","",'Port Bloomberg'!C1250)</f>
        <v/>
      </c>
      <c r="D1250" s="7" t="str">
        <f>IF('Port Bloomberg'!D1250="","",'Port Bloomberg'!D1250)</f>
        <v/>
      </c>
      <c r="E1250" s="7" t="str">
        <f>IF('Port Bloomberg'!E1250="","",'Port Bloomberg'!E1250)</f>
        <v/>
      </c>
      <c r="F1250" s="7" t="str">
        <f>IF('Port Bloomberg'!F1250="","",'Port Bloomberg'!F1250)</f>
        <v/>
      </c>
      <c r="G1250" s="7" t="str">
        <f>IF('Port Bloomberg'!G1250="","",'Port Bloomberg'!G1250)</f>
        <v/>
      </c>
      <c r="H1250" s="7" t="str">
        <f>IF('Port Bloomberg'!H1250="","",'Port Bloomberg'!H1250)</f>
        <v/>
      </c>
      <c r="I1250" s="7" t="str">
        <f>IF('Port Bloomberg'!I1250="","",'Port Bloomberg'!I1250)</f>
        <v/>
      </c>
      <c r="J1250" s="7" t="str">
        <f>IF('Port Bloomberg'!J1250="","",'Port Bloomberg'!J1250)</f>
        <v/>
      </c>
      <c r="K1250" s="7" t="str">
        <f>IF('Port Bloomberg'!K1250="","",'Port Bloomberg'!K1250)</f>
        <v/>
      </c>
      <c r="L1250" s="7" t="str">
        <f>IF('Port Bloomberg'!L1250="","",'Port Bloomberg'!L1250)</f>
        <v/>
      </c>
      <c r="M1250" s="7" t="str">
        <f>IF('Port Bloomberg'!M1250="","",'Port Bloomberg'!M1250)</f>
        <v/>
      </c>
      <c r="N1250" s="7" t="str">
        <f>IF('Port Bloomberg'!N1250="","",'Port Bloomberg'!N1250)</f>
        <v/>
      </c>
      <c r="O1250" s="7" t="str">
        <f>IF('Port Bloomberg'!O1250="","",'Port Bloomberg'!O1250)</f>
        <v/>
      </c>
      <c r="P1250" s="7" t="str">
        <f>IF('Port Bloomberg'!P1250="","",'Port Bloomberg'!P1250)</f>
        <v/>
      </c>
      <c r="Q1250" s="7" t="str">
        <f>IF('Port Bloomberg'!Q1250="","",'Port Bloomberg'!Q1250)</f>
        <v/>
      </c>
      <c r="R1250" s="7" t="str">
        <f>IF('Port Bloomberg'!R1250="","",'Port Bloomberg'!R1250)</f>
        <v/>
      </c>
      <c r="S1250" s="5" t="str">
        <f>IF(E1250="","",IFERROR(IF(MATCH(E1250,[1]Instrumentos!$D:$D,0)&gt;0,1,0),0))</f>
        <v/>
      </c>
      <c r="T1250" s="5" t="str">
        <f>IF(E1250="","",IFERROR(IF(MATCH(E1250,'Lista de excepciones'!$E:$E,0)&gt;0,1,0),0))</f>
        <v/>
      </c>
      <c r="U1250" s="6" t="str">
        <f t="shared" si="20"/>
        <v/>
      </c>
    </row>
  </sheetData>
  <autoFilter ref="A1:U1250" xr:uid="{00000000-0001-0000-0000-000000000000}">
    <filterColumn colId="20">
      <filters>
        <filter val="AGREGAR/REVISAR"/>
      </filters>
    </filterColumn>
  </autoFilter>
  <conditionalFormatting sqref="AA713:AA1250">
    <cfRule type="containsText" dxfId="1" priority="1" operator="containsText" text="NO">
      <formula>NOT(ISERROR(SEARCH("NO",AA713)))</formula>
    </cfRule>
    <cfRule type="cellIs" dxfId="0" priority="2" operator="equal">
      <formula>"SI"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88AE-685B-4C3E-88C7-F308AA8C73CE}">
  <sheetPr>
    <tabColor rgb="FFFF0000"/>
  </sheetPr>
  <dimension ref="A1:R124"/>
  <sheetViews>
    <sheetView showGridLines="0" zoomScale="75" zoomScaleNormal="75" workbookViewId="0">
      <pane xSplit="1" ySplit="1" topLeftCell="B98" activePane="bottomRight" state="frozen"/>
      <selection pane="topRight" activeCell="B1" sqref="B1"/>
      <selection pane="bottomLeft" activeCell="A2" sqref="A2"/>
      <selection pane="bottomRight" activeCell="A124" sqref="A124"/>
    </sheetView>
  </sheetViews>
  <sheetFormatPr defaultRowHeight="15" x14ac:dyDescent="0.25"/>
  <cols>
    <col min="1" max="2" width="23.140625" bestFit="1" customWidth="1"/>
    <col min="3" max="3" width="19.7109375" bestFit="1" customWidth="1"/>
    <col min="4" max="4" width="28" bestFit="1" customWidth="1"/>
    <col min="5" max="5" width="15.7109375" bestFit="1" customWidth="1"/>
    <col min="6" max="6" width="9.28515625" bestFit="1" customWidth="1"/>
    <col min="7" max="7" width="14.42578125" bestFit="1" customWidth="1"/>
    <col min="8" max="8" width="25.42578125" bestFit="1" customWidth="1"/>
    <col min="9" max="9" width="25.140625" bestFit="1" customWidth="1"/>
    <col min="10" max="10" width="22.5703125" bestFit="1" customWidth="1"/>
    <col min="11" max="11" width="6" bestFit="1" customWidth="1"/>
    <col min="12" max="12" width="11.140625" bestFit="1" customWidth="1"/>
    <col min="13" max="13" width="6.28515625" bestFit="1" customWidth="1"/>
    <col min="14" max="14" width="9.140625" bestFit="1" customWidth="1"/>
    <col min="15" max="15" width="32.140625" bestFit="1" customWidth="1"/>
  </cols>
  <sheetData>
    <row r="1" spans="1:15" x14ac:dyDescent="0.25">
      <c r="A1" s="3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869</v>
      </c>
      <c r="O1" s="2" t="s">
        <v>552</v>
      </c>
    </row>
    <row r="2" spans="1:15" x14ac:dyDescent="0.25">
      <c r="A2" t="s">
        <v>2126</v>
      </c>
      <c r="B2" t="s">
        <v>2127</v>
      </c>
      <c r="C2" t="s">
        <v>2128</v>
      </c>
      <c r="D2" t="s">
        <v>2129</v>
      </c>
      <c r="E2" t="s">
        <v>2130</v>
      </c>
      <c r="F2" t="s">
        <v>2131</v>
      </c>
      <c r="G2" t="s">
        <v>1061</v>
      </c>
      <c r="H2" t="s">
        <v>1012</v>
      </c>
      <c r="I2" t="s">
        <v>1195</v>
      </c>
      <c r="J2" t="s">
        <v>1012</v>
      </c>
      <c r="K2" t="s">
        <v>1245</v>
      </c>
      <c r="L2" t="s">
        <v>41</v>
      </c>
      <c r="M2" t="s">
        <v>19</v>
      </c>
      <c r="N2" t="s">
        <v>2008</v>
      </c>
      <c r="O2" s="1" t="s">
        <v>2100</v>
      </c>
    </row>
    <row r="3" spans="1:15" x14ac:dyDescent="0.25">
      <c r="A3" t="s">
        <v>2134</v>
      </c>
      <c r="B3" t="s">
        <v>2127</v>
      </c>
      <c r="C3" t="s">
        <v>2128</v>
      </c>
      <c r="D3" t="s">
        <v>2129</v>
      </c>
      <c r="E3" t="s">
        <v>2135</v>
      </c>
      <c r="F3" t="s">
        <v>2131</v>
      </c>
      <c r="G3" t="s">
        <v>1061</v>
      </c>
      <c r="H3" t="s">
        <v>1012</v>
      </c>
      <c r="I3" t="s">
        <v>1195</v>
      </c>
      <c r="J3" t="s">
        <v>1012</v>
      </c>
      <c r="K3" t="s">
        <v>1245</v>
      </c>
      <c r="L3" t="s">
        <v>41</v>
      </c>
      <c r="M3" t="s">
        <v>19</v>
      </c>
      <c r="N3" t="s">
        <v>2008</v>
      </c>
      <c r="O3" s="1" t="s">
        <v>2100</v>
      </c>
    </row>
    <row r="4" spans="1:15" x14ac:dyDescent="0.25">
      <c r="A4" t="s">
        <v>20</v>
      </c>
      <c r="B4" t="s">
        <v>20</v>
      </c>
      <c r="C4" t="s">
        <v>22</v>
      </c>
      <c r="D4" t="s">
        <v>21</v>
      </c>
      <c r="E4" t="s">
        <v>23</v>
      </c>
      <c r="F4" t="s">
        <v>24</v>
      </c>
      <c r="G4" t="s">
        <v>25</v>
      </c>
      <c r="H4" t="s">
        <v>26</v>
      </c>
      <c r="I4" t="s">
        <v>681</v>
      </c>
      <c r="J4" t="s">
        <v>26</v>
      </c>
      <c r="K4" t="s">
        <v>27</v>
      </c>
      <c r="L4" t="s">
        <v>27</v>
      </c>
      <c r="M4" t="s">
        <v>19</v>
      </c>
      <c r="N4" t="s">
        <v>564</v>
      </c>
      <c r="O4" s="1" t="s">
        <v>553</v>
      </c>
    </row>
    <row r="5" spans="1:15" x14ac:dyDescent="0.25">
      <c r="A5" t="s">
        <v>900</v>
      </c>
      <c r="B5" t="s">
        <v>849</v>
      </c>
      <c r="C5" t="s">
        <v>28</v>
      </c>
      <c r="D5" t="s">
        <v>1009</v>
      </c>
      <c r="E5" t="s">
        <v>1028</v>
      </c>
      <c r="F5" t="s">
        <v>29</v>
      </c>
      <c r="G5" t="s">
        <v>29</v>
      </c>
      <c r="H5" t="s">
        <v>1010</v>
      </c>
      <c r="I5" t="s">
        <v>17</v>
      </c>
      <c r="J5" t="s">
        <v>1010</v>
      </c>
      <c r="K5" t="s">
        <v>871</v>
      </c>
      <c r="L5" t="s">
        <v>27</v>
      </c>
      <c r="M5" t="s">
        <v>19</v>
      </c>
      <c r="N5" t="s">
        <v>569</v>
      </c>
      <c r="O5" s="1" t="s">
        <v>553</v>
      </c>
    </row>
    <row r="6" spans="1:15" x14ac:dyDescent="0.25">
      <c r="A6" t="s">
        <v>1129</v>
      </c>
      <c r="B6" t="s">
        <v>906</v>
      </c>
      <c r="C6" t="s">
        <v>907</v>
      </c>
      <c r="D6" t="s">
        <v>1011</v>
      </c>
      <c r="E6" t="s">
        <v>1130</v>
      </c>
      <c r="F6" t="s">
        <v>908</v>
      </c>
      <c r="G6" t="s">
        <v>908</v>
      </c>
      <c r="H6" t="s">
        <v>1012</v>
      </c>
      <c r="I6" t="s">
        <v>1013</v>
      </c>
      <c r="J6" t="s">
        <v>1012</v>
      </c>
      <c r="K6" t="s">
        <v>42</v>
      </c>
      <c r="L6" t="s">
        <v>42</v>
      </c>
      <c r="M6" t="s">
        <v>19</v>
      </c>
      <c r="N6" t="s">
        <v>569</v>
      </c>
      <c r="O6" s="1" t="s">
        <v>1143</v>
      </c>
    </row>
    <row r="7" spans="1:15" x14ac:dyDescent="0.25">
      <c r="A7" t="s">
        <v>1131</v>
      </c>
      <c r="B7" t="s">
        <v>906</v>
      </c>
      <c r="C7" t="s">
        <v>907</v>
      </c>
      <c r="D7" t="s">
        <v>1011</v>
      </c>
      <c r="E7" t="s">
        <v>1132</v>
      </c>
      <c r="F7" t="s">
        <v>908</v>
      </c>
      <c r="G7" t="s">
        <v>908</v>
      </c>
      <c r="H7" t="s">
        <v>1012</v>
      </c>
      <c r="I7" t="s">
        <v>1013</v>
      </c>
      <c r="J7" t="s">
        <v>1012</v>
      </c>
      <c r="K7" t="s">
        <v>42</v>
      </c>
      <c r="L7" t="s">
        <v>42</v>
      </c>
      <c r="M7" t="s">
        <v>19</v>
      </c>
      <c r="N7" t="s">
        <v>569</v>
      </c>
      <c r="O7" s="1" t="s">
        <v>1143</v>
      </c>
    </row>
    <row r="8" spans="1:15" x14ac:dyDescent="0.25">
      <c r="A8" t="s">
        <v>2136</v>
      </c>
      <c r="B8" t="s">
        <v>2137</v>
      </c>
      <c r="C8" t="s">
        <v>2138</v>
      </c>
      <c r="D8" t="s">
        <v>2138</v>
      </c>
      <c r="E8" t="s">
        <v>2139</v>
      </c>
      <c r="F8" t="s">
        <v>1196</v>
      </c>
      <c r="G8" t="s">
        <v>1729</v>
      </c>
      <c r="H8" t="s">
        <v>274</v>
      </c>
      <c r="I8" t="s">
        <v>1890</v>
      </c>
      <c r="J8" t="s">
        <v>274</v>
      </c>
      <c r="K8" t="s">
        <v>31</v>
      </c>
      <c r="L8" t="s">
        <v>31</v>
      </c>
      <c r="M8" t="s">
        <v>19</v>
      </c>
      <c r="N8" t="s">
        <v>1061</v>
      </c>
      <c r="O8" s="1" t="s">
        <v>2100</v>
      </c>
    </row>
    <row r="9" spans="1:15" x14ac:dyDescent="0.25">
      <c r="A9" t="s">
        <v>52</v>
      </c>
      <c r="B9" t="s">
        <v>52</v>
      </c>
      <c r="C9" t="s">
        <v>54</v>
      </c>
      <c r="D9" t="s">
        <v>53</v>
      </c>
      <c r="E9" t="s">
        <v>55</v>
      </c>
      <c r="F9" t="s">
        <v>56</v>
      </c>
      <c r="H9" t="s">
        <v>32</v>
      </c>
      <c r="I9" t="s">
        <v>33</v>
      </c>
      <c r="J9" t="s">
        <v>34</v>
      </c>
      <c r="K9" t="s">
        <v>27</v>
      </c>
      <c r="L9" t="s">
        <v>27</v>
      </c>
      <c r="M9" t="s">
        <v>19</v>
      </c>
      <c r="N9" t="s">
        <v>569</v>
      </c>
      <c r="O9" s="1" t="s">
        <v>553</v>
      </c>
    </row>
    <row r="10" spans="1:15" x14ac:dyDescent="0.25">
      <c r="A10" t="s">
        <v>1685</v>
      </c>
      <c r="B10" t="s">
        <v>1212</v>
      </c>
      <c r="C10" t="s">
        <v>941</v>
      </c>
      <c r="D10" t="s">
        <v>941</v>
      </c>
      <c r="E10" t="s">
        <v>1686</v>
      </c>
      <c r="F10" t="s">
        <v>1213</v>
      </c>
      <c r="G10" t="s">
        <v>1061</v>
      </c>
      <c r="H10" t="s">
        <v>1214</v>
      </c>
      <c r="I10" t="s">
        <v>1195</v>
      </c>
      <c r="J10" t="s">
        <v>1215</v>
      </c>
      <c r="K10" t="s">
        <v>871</v>
      </c>
      <c r="L10" t="s">
        <v>27</v>
      </c>
      <c r="M10" t="s">
        <v>19</v>
      </c>
      <c r="N10" t="s">
        <v>569</v>
      </c>
      <c r="O10" s="1" t="s">
        <v>553</v>
      </c>
    </row>
    <row r="11" spans="1:15" x14ac:dyDescent="0.25">
      <c r="A11" t="s">
        <v>2150</v>
      </c>
      <c r="B11" t="s">
        <v>2151</v>
      </c>
      <c r="C11" t="s">
        <v>2152</v>
      </c>
      <c r="D11" t="s">
        <v>2153</v>
      </c>
      <c r="E11" t="s">
        <v>2154</v>
      </c>
      <c r="F11" t="s">
        <v>2155</v>
      </c>
      <c r="G11" t="s">
        <v>1061</v>
      </c>
      <c r="H11" t="s">
        <v>65</v>
      </c>
      <c r="I11" t="s">
        <v>1195</v>
      </c>
      <c r="J11" t="s">
        <v>66</v>
      </c>
      <c r="K11" t="s">
        <v>871</v>
      </c>
      <c r="L11" t="s">
        <v>27</v>
      </c>
      <c r="M11" t="s">
        <v>19</v>
      </c>
      <c r="N11" t="s">
        <v>2008</v>
      </c>
      <c r="O11" s="1" t="s">
        <v>2008</v>
      </c>
    </row>
    <row r="12" spans="1:15" x14ac:dyDescent="0.25">
      <c r="A12" t="s">
        <v>1233</v>
      </c>
      <c r="B12" t="s">
        <v>1234</v>
      </c>
      <c r="C12" t="s">
        <v>1235</v>
      </c>
      <c r="D12" t="s">
        <v>1236</v>
      </c>
      <c r="E12" t="s">
        <v>1237</v>
      </c>
      <c r="F12" t="s">
        <v>64</v>
      </c>
      <c r="G12" t="s">
        <v>1061</v>
      </c>
      <c r="H12" t="s">
        <v>65</v>
      </c>
      <c r="I12" t="s">
        <v>1195</v>
      </c>
      <c r="J12" t="s">
        <v>66</v>
      </c>
      <c r="K12" t="s">
        <v>872</v>
      </c>
      <c r="L12" t="s">
        <v>31</v>
      </c>
      <c r="M12" t="s">
        <v>19</v>
      </c>
      <c r="N12" t="s">
        <v>569</v>
      </c>
      <c r="O12" s="1" t="s">
        <v>553</v>
      </c>
    </row>
    <row r="13" spans="1:15" x14ac:dyDescent="0.25">
      <c r="A13" t="s">
        <v>1687</v>
      </c>
      <c r="B13" t="s">
        <v>1238</v>
      </c>
      <c r="C13" t="s">
        <v>909</v>
      </c>
      <c r="D13" t="s">
        <v>909</v>
      </c>
      <c r="E13" t="s">
        <v>1186</v>
      </c>
      <c r="F13" t="s">
        <v>1239</v>
      </c>
      <c r="H13" t="s">
        <v>927</v>
      </c>
      <c r="I13" t="s">
        <v>1195</v>
      </c>
      <c r="J13" t="s">
        <v>1240</v>
      </c>
      <c r="K13" t="s">
        <v>871</v>
      </c>
      <c r="L13" t="s">
        <v>18</v>
      </c>
      <c r="M13" t="s">
        <v>19</v>
      </c>
      <c r="N13" t="s">
        <v>576</v>
      </c>
      <c r="O13" s="1" t="s">
        <v>2060</v>
      </c>
    </row>
    <row r="14" spans="1:15" x14ac:dyDescent="0.25">
      <c r="A14" t="s">
        <v>2253</v>
      </c>
      <c r="B14" t="s">
        <v>2254</v>
      </c>
      <c r="C14" t="s">
        <v>2255</v>
      </c>
      <c r="D14" t="s">
        <v>2256</v>
      </c>
      <c r="E14" t="s">
        <v>2257</v>
      </c>
      <c r="F14" t="s">
        <v>2258</v>
      </c>
      <c r="G14" t="s">
        <v>2259</v>
      </c>
      <c r="H14" t="s">
        <v>1012</v>
      </c>
      <c r="I14" t="s">
        <v>1195</v>
      </c>
      <c r="J14" t="s">
        <v>1012</v>
      </c>
      <c r="K14" t="s">
        <v>872</v>
      </c>
      <c r="L14" t="s">
        <v>27</v>
      </c>
      <c r="M14" t="s">
        <v>19</v>
      </c>
      <c r="N14" t="s">
        <v>2008</v>
      </c>
      <c r="O14" s="1" t="s">
        <v>2008</v>
      </c>
    </row>
    <row r="15" spans="1:15" x14ac:dyDescent="0.25">
      <c r="A15" t="s">
        <v>1571</v>
      </c>
      <c r="B15" t="s">
        <v>1578</v>
      </c>
      <c r="C15" t="s">
        <v>1578</v>
      </c>
      <c r="D15" t="s">
        <v>1572</v>
      </c>
      <c r="E15" t="s">
        <v>1573</v>
      </c>
      <c r="F15" t="s">
        <v>1574</v>
      </c>
      <c r="G15" t="s">
        <v>1575</v>
      </c>
      <c r="H15" t="s">
        <v>1243</v>
      </c>
      <c r="I15" t="s">
        <v>1576</v>
      </c>
      <c r="J15" t="s">
        <v>1244</v>
      </c>
      <c r="K15" t="s">
        <v>871</v>
      </c>
      <c r="L15" t="s">
        <v>27</v>
      </c>
      <c r="M15" t="s">
        <v>19</v>
      </c>
      <c r="N15" t="s">
        <v>564</v>
      </c>
      <c r="O15" s="1" t="s">
        <v>553</v>
      </c>
    </row>
    <row r="16" spans="1:15" x14ac:dyDescent="0.25">
      <c r="A16" t="s">
        <v>1923</v>
      </c>
      <c r="B16" t="s">
        <v>1924</v>
      </c>
      <c r="C16" t="s">
        <v>1925</v>
      </c>
      <c r="D16" t="s">
        <v>1926</v>
      </c>
      <c r="E16" t="s">
        <v>1927</v>
      </c>
      <c r="F16" t="s">
        <v>1928</v>
      </c>
      <c r="G16" t="s">
        <v>1061</v>
      </c>
      <c r="H16" t="s">
        <v>1224</v>
      </c>
      <c r="I16" t="s">
        <v>1195</v>
      </c>
      <c r="J16" t="s">
        <v>1231</v>
      </c>
      <c r="K16" t="s">
        <v>1929</v>
      </c>
      <c r="L16" t="s">
        <v>18</v>
      </c>
      <c r="M16" t="s">
        <v>19</v>
      </c>
      <c r="N16" t="s">
        <v>576</v>
      </c>
      <c r="O16" s="1" t="s">
        <v>553</v>
      </c>
    </row>
    <row r="17" spans="1:15" x14ac:dyDescent="0.25">
      <c r="A17" t="s">
        <v>967</v>
      </c>
      <c r="B17" t="s">
        <v>960</v>
      </c>
      <c r="C17" t="s">
        <v>961</v>
      </c>
      <c r="D17" t="s">
        <v>962</v>
      </c>
      <c r="E17" t="s">
        <v>968</v>
      </c>
      <c r="F17" t="s">
        <v>964</v>
      </c>
      <c r="G17" t="s">
        <v>965</v>
      </c>
      <c r="H17" t="s">
        <v>221</v>
      </c>
      <c r="I17" t="s">
        <v>681</v>
      </c>
      <c r="J17" t="s">
        <v>966</v>
      </c>
      <c r="K17" t="s">
        <v>872</v>
      </c>
      <c r="L17" t="s">
        <v>42</v>
      </c>
      <c r="M17" t="s">
        <v>19</v>
      </c>
      <c r="N17" t="s">
        <v>865</v>
      </c>
      <c r="O17" s="1" t="s">
        <v>553</v>
      </c>
    </row>
    <row r="18" spans="1:15" x14ac:dyDescent="0.25">
      <c r="A18" t="s">
        <v>959</v>
      </c>
      <c r="B18" t="s">
        <v>960</v>
      </c>
      <c r="C18" t="s">
        <v>961</v>
      </c>
      <c r="D18" t="s">
        <v>962</v>
      </c>
      <c r="E18" t="s">
        <v>963</v>
      </c>
      <c r="F18" t="s">
        <v>964</v>
      </c>
      <c r="G18" t="s">
        <v>965</v>
      </c>
      <c r="H18" t="s">
        <v>221</v>
      </c>
      <c r="I18" t="s">
        <v>681</v>
      </c>
      <c r="J18" t="s">
        <v>966</v>
      </c>
      <c r="K18" t="s">
        <v>872</v>
      </c>
      <c r="L18" t="s">
        <v>42</v>
      </c>
      <c r="M18" t="s">
        <v>19</v>
      </c>
      <c r="N18" t="s">
        <v>865</v>
      </c>
      <c r="O18" s="1" t="s">
        <v>553</v>
      </c>
    </row>
    <row r="19" spans="1:15" x14ac:dyDescent="0.25">
      <c r="A19" t="s">
        <v>2410</v>
      </c>
      <c r="B19" t="s">
        <v>960</v>
      </c>
      <c r="C19" t="s">
        <v>961</v>
      </c>
      <c r="D19" t="s">
        <v>962</v>
      </c>
      <c r="E19" t="s">
        <v>2411</v>
      </c>
      <c r="F19" t="s">
        <v>964</v>
      </c>
      <c r="G19" t="s">
        <v>2412</v>
      </c>
      <c r="H19" t="s">
        <v>221</v>
      </c>
      <c r="I19" t="s">
        <v>1195</v>
      </c>
      <c r="J19" t="s">
        <v>966</v>
      </c>
      <c r="K19" t="s">
        <v>872</v>
      </c>
      <c r="L19" t="s">
        <v>42</v>
      </c>
      <c r="M19" t="s">
        <v>19</v>
      </c>
      <c r="N19" t="s">
        <v>865</v>
      </c>
      <c r="O19" s="1" t="s">
        <v>553</v>
      </c>
    </row>
    <row r="20" spans="1:15" x14ac:dyDescent="0.25">
      <c r="A20" t="s">
        <v>2314</v>
      </c>
      <c r="B20" t="s">
        <v>2160</v>
      </c>
      <c r="C20" t="s">
        <v>2161</v>
      </c>
      <c r="D20" t="s">
        <v>2162</v>
      </c>
      <c r="E20" t="s">
        <v>2315</v>
      </c>
      <c r="F20" t="s">
        <v>2164</v>
      </c>
      <c r="G20" t="s">
        <v>2165</v>
      </c>
      <c r="H20" t="s">
        <v>1210</v>
      </c>
      <c r="I20" t="s">
        <v>1195</v>
      </c>
      <c r="J20" t="s">
        <v>2166</v>
      </c>
      <c r="K20" t="s">
        <v>873</v>
      </c>
      <c r="L20" t="s">
        <v>27</v>
      </c>
      <c r="M20" t="s">
        <v>19</v>
      </c>
      <c r="N20" t="s">
        <v>2316</v>
      </c>
      <c r="O20" s="1" t="s">
        <v>2316</v>
      </c>
    </row>
    <row r="21" spans="1:15" x14ac:dyDescent="0.25">
      <c r="A21" t="s">
        <v>2159</v>
      </c>
      <c r="B21" t="s">
        <v>2160</v>
      </c>
      <c r="C21" t="s">
        <v>2161</v>
      </c>
      <c r="D21" t="s">
        <v>2162</v>
      </c>
      <c r="E21" t="s">
        <v>2163</v>
      </c>
      <c r="F21" t="s">
        <v>2164</v>
      </c>
      <c r="G21" t="s">
        <v>2165</v>
      </c>
      <c r="H21" t="s">
        <v>1210</v>
      </c>
      <c r="I21" t="s">
        <v>1195</v>
      </c>
      <c r="J21" t="s">
        <v>2166</v>
      </c>
      <c r="K21" t="s">
        <v>873</v>
      </c>
      <c r="L21" t="s">
        <v>27</v>
      </c>
      <c r="M21" t="s">
        <v>19</v>
      </c>
      <c r="N21" t="s">
        <v>2167</v>
      </c>
      <c r="O21" s="1" t="s">
        <v>2167</v>
      </c>
    </row>
    <row r="22" spans="1:15" x14ac:dyDescent="0.25">
      <c r="A22" t="s">
        <v>2168</v>
      </c>
      <c r="B22" t="s">
        <v>2160</v>
      </c>
      <c r="C22" t="s">
        <v>2161</v>
      </c>
      <c r="D22" t="s">
        <v>2162</v>
      </c>
      <c r="E22" t="s">
        <v>2169</v>
      </c>
      <c r="F22" t="s">
        <v>2164</v>
      </c>
      <c r="G22" t="s">
        <v>2165</v>
      </c>
      <c r="H22" t="s">
        <v>1210</v>
      </c>
      <c r="I22" t="s">
        <v>1195</v>
      </c>
      <c r="J22" t="s">
        <v>2166</v>
      </c>
      <c r="K22" t="s">
        <v>873</v>
      </c>
      <c r="L22" t="s">
        <v>27</v>
      </c>
      <c r="M22" t="s">
        <v>19</v>
      </c>
      <c r="N22" t="s">
        <v>2167</v>
      </c>
      <c r="O22" s="1" t="s">
        <v>2167</v>
      </c>
    </row>
    <row r="23" spans="1:15" x14ac:dyDescent="0.25">
      <c r="A23" t="s">
        <v>2174</v>
      </c>
      <c r="B23" t="s">
        <v>2175</v>
      </c>
      <c r="C23" t="s">
        <v>2176</v>
      </c>
      <c r="D23" t="s">
        <v>2177</v>
      </c>
      <c r="E23" t="s">
        <v>2178</v>
      </c>
      <c r="F23" t="s">
        <v>2164</v>
      </c>
      <c r="G23" t="s">
        <v>2165</v>
      </c>
      <c r="H23" t="s">
        <v>1210</v>
      </c>
      <c r="I23" t="s">
        <v>1195</v>
      </c>
      <c r="J23" t="s">
        <v>1211</v>
      </c>
      <c r="K23" t="s">
        <v>872</v>
      </c>
      <c r="L23" t="s">
        <v>27</v>
      </c>
      <c r="M23" t="s">
        <v>19</v>
      </c>
      <c r="N23" t="s">
        <v>2167</v>
      </c>
      <c r="O23" s="1" t="s">
        <v>2167</v>
      </c>
    </row>
    <row r="24" spans="1:15" x14ac:dyDescent="0.25">
      <c r="A24" t="s">
        <v>2171</v>
      </c>
      <c r="B24" t="s">
        <v>2160</v>
      </c>
      <c r="C24" t="s">
        <v>2161</v>
      </c>
      <c r="D24" t="s">
        <v>2162</v>
      </c>
      <c r="E24" t="s">
        <v>2172</v>
      </c>
      <c r="F24" t="s">
        <v>2164</v>
      </c>
      <c r="G24" t="s">
        <v>2165</v>
      </c>
      <c r="H24" t="s">
        <v>1210</v>
      </c>
      <c r="I24" t="s">
        <v>1195</v>
      </c>
      <c r="J24" t="s">
        <v>2166</v>
      </c>
      <c r="K24" t="s">
        <v>873</v>
      </c>
      <c r="L24" t="s">
        <v>27</v>
      </c>
      <c r="M24" t="s">
        <v>19</v>
      </c>
      <c r="N24" t="s">
        <v>2167</v>
      </c>
      <c r="O24" s="1" t="s">
        <v>2167</v>
      </c>
    </row>
    <row r="25" spans="1:15" x14ac:dyDescent="0.25">
      <c r="A25" t="s">
        <v>2183</v>
      </c>
      <c r="B25" t="s">
        <v>2160</v>
      </c>
      <c r="C25" t="s">
        <v>2161</v>
      </c>
      <c r="D25" t="s">
        <v>2162</v>
      </c>
      <c r="E25" t="s">
        <v>2184</v>
      </c>
      <c r="F25" t="s">
        <v>2164</v>
      </c>
      <c r="G25" t="s">
        <v>2165</v>
      </c>
      <c r="H25" t="s">
        <v>1210</v>
      </c>
      <c r="I25" t="s">
        <v>1195</v>
      </c>
      <c r="J25" t="s">
        <v>2166</v>
      </c>
      <c r="K25" t="s">
        <v>873</v>
      </c>
      <c r="L25" t="s">
        <v>27</v>
      </c>
      <c r="M25" t="s">
        <v>19</v>
      </c>
      <c r="N25" t="s">
        <v>2167</v>
      </c>
      <c r="O25" s="1" t="s">
        <v>2167</v>
      </c>
    </row>
    <row r="26" spans="1:15" x14ac:dyDescent="0.25">
      <c r="A26" t="s">
        <v>2180</v>
      </c>
      <c r="B26" t="s">
        <v>2160</v>
      </c>
      <c r="C26" t="s">
        <v>2161</v>
      </c>
      <c r="D26" t="s">
        <v>2162</v>
      </c>
      <c r="E26" t="s">
        <v>2181</v>
      </c>
      <c r="F26" t="s">
        <v>2164</v>
      </c>
      <c r="G26" t="s">
        <v>2165</v>
      </c>
      <c r="H26" t="s">
        <v>1210</v>
      </c>
      <c r="I26" t="s">
        <v>1195</v>
      </c>
      <c r="J26" t="s">
        <v>2166</v>
      </c>
      <c r="K26" t="s">
        <v>873</v>
      </c>
      <c r="L26" t="s">
        <v>27</v>
      </c>
      <c r="M26" t="s">
        <v>19</v>
      </c>
      <c r="N26" t="s">
        <v>2167</v>
      </c>
      <c r="O26" s="1" t="s">
        <v>2167</v>
      </c>
    </row>
    <row r="27" spans="1:15" x14ac:dyDescent="0.25">
      <c r="A27" t="s">
        <v>897</v>
      </c>
      <c r="B27" t="s">
        <v>1296</v>
      </c>
      <c r="C27" t="s">
        <v>136</v>
      </c>
      <c r="D27" t="s">
        <v>1604</v>
      </c>
      <c r="E27" t="s">
        <v>866</v>
      </c>
      <c r="F27" t="s">
        <v>1297</v>
      </c>
      <c r="G27" t="s">
        <v>1758</v>
      </c>
      <c r="H27" t="s">
        <v>1243</v>
      </c>
      <c r="I27" t="s">
        <v>71</v>
      </c>
      <c r="J27" t="s">
        <v>1244</v>
      </c>
      <c r="K27" t="s">
        <v>42</v>
      </c>
      <c r="L27" t="s">
        <v>42</v>
      </c>
      <c r="M27" t="s">
        <v>19</v>
      </c>
      <c r="N27" t="s">
        <v>565</v>
      </c>
      <c r="O27" s="1" t="s">
        <v>1992</v>
      </c>
    </row>
    <row r="28" spans="1:15" x14ac:dyDescent="0.25">
      <c r="A28" t="s">
        <v>2185</v>
      </c>
      <c r="B28" t="s">
        <v>1311</v>
      </c>
      <c r="C28" t="s">
        <v>147</v>
      </c>
      <c r="D28" t="s">
        <v>147</v>
      </c>
      <c r="E28" t="s">
        <v>2186</v>
      </c>
      <c r="F28" t="s">
        <v>1312</v>
      </c>
      <c r="G28" t="s">
        <v>1764</v>
      </c>
      <c r="H28" t="s">
        <v>1224</v>
      </c>
      <c r="I28" t="s">
        <v>1577</v>
      </c>
      <c r="J28" t="s">
        <v>1313</v>
      </c>
      <c r="K28" t="s">
        <v>31</v>
      </c>
      <c r="L28" t="s">
        <v>31</v>
      </c>
      <c r="M28" t="s">
        <v>19</v>
      </c>
      <c r="N28" t="s">
        <v>2008</v>
      </c>
      <c r="O28" s="1" t="s">
        <v>2010</v>
      </c>
    </row>
    <row r="29" spans="1:15" x14ac:dyDescent="0.25">
      <c r="A29" t="s">
        <v>211</v>
      </c>
      <c r="B29" t="s">
        <v>211</v>
      </c>
      <c r="C29" t="s">
        <v>213</v>
      </c>
      <c r="D29" t="s">
        <v>212</v>
      </c>
      <c r="E29" t="s">
        <v>214</v>
      </c>
      <c r="F29" t="s">
        <v>215</v>
      </c>
      <c r="H29" t="s">
        <v>16</v>
      </c>
      <c r="I29" t="s">
        <v>17</v>
      </c>
      <c r="J29" t="s">
        <v>193</v>
      </c>
      <c r="K29" t="s">
        <v>31</v>
      </c>
      <c r="L29" t="s">
        <v>31</v>
      </c>
      <c r="M29" t="s">
        <v>19</v>
      </c>
      <c r="N29" t="s">
        <v>565</v>
      </c>
      <c r="O29" s="1" t="s">
        <v>553</v>
      </c>
    </row>
    <row r="30" spans="1:15" x14ac:dyDescent="0.25">
      <c r="A30" t="s">
        <v>876</v>
      </c>
      <c r="B30" t="s">
        <v>878</v>
      </c>
      <c r="C30" t="s">
        <v>877</v>
      </c>
      <c r="D30" t="s">
        <v>931</v>
      </c>
      <c r="E30" t="s">
        <v>879</v>
      </c>
      <c r="F30" t="s">
        <v>880</v>
      </c>
      <c r="H30" t="s">
        <v>16</v>
      </c>
      <c r="I30" t="s">
        <v>17</v>
      </c>
      <c r="J30" t="s">
        <v>193</v>
      </c>
      <c r="K30" t="s">
        <v>871</v>
      </c>
      <c r="L30" t="s">
        <v>31</v>
      </c>
      <c r="M30" t="s">
        <v>19</v>
      </c>
      <c r="N30" t="s">
        <v>577</v>
      </c>
      <c r="O30" s="1" t="s">
        <v>553</v>
      </c>
    </row>
    <row r="31" spans="1:15" x14ac:dyDescent="0.25">
      <c r="A31" t="s">
        <v>1119</v>
      </c>
      <c r="B31" t="s">
        <v>1120</v>
      </c>
      <c r="C31" t="s">
        <v>1121</v>
      </c>
      <c r="D31" t="s">
        <v>931</v>
      </c>
      <c r="E31" t="s">
        <v>1122</v>
      </c>
      <c r="F31" t="s">
        <v>1123</v>
      </c>
      <c r="G31" t="s">
        <v>1123</v>
      </c>
      <c r="H31" t="s">
        <v>16</v>
      </c>
      <c r="I31" t="s">
        <v>17</v>
      </c>
      <c r="J31" t="s">
        <v>193</v>
      </c>
      <c r="K31" t="s">
        <v>871</v>
      </c>
      <c r="L31" t="s">
        <v>31</v>
      </c>
      <c r="M31" t="s">
        <v>19</v>
      </c>
      <c r="N31" t="s">
        <v>581</v>
      </c>
      <c r="O31" s="1" t="s">
        <v>553</v>
      </c>
    </row>
    <row r="32" spans="1:15" x14ac:dyDescent="0.25">
      <c r="A32" t="s">
        <v>1579</v>
      </c>
      <c r="B32" t="s">
        <v>1120</v>
      </c>
      <c r="C32" t="s">
        <v>1120</v>
      </c>
      <c r="D32" t="s">
        <v>1121</v>
      </c>
      <c r="E32" t="s">
        <v>1580</v>
      </c>
      <c r="F32" t="s">
        <v>1123</v>
      </c>
      <c r="G32" t="s">
        <v>1061</v>
      </c>
      <c r="H32" t="s">
        <v>16</v>
      </c>
      <c r="I32" t="s">
        <v>1577</v>
      </c>
      <c r="J32" t="s">
        <v>193</v>
      </c>
      <c r="K32" t="s">
        <v>871</v>
      </c>
      <c r="L32" t="s">
        <v>31</v>
      </c>
      <c r="M32" t="s">
        <v>19</v>
      </c>
      <c r="N32" t="s">
        <v>581</v>
      </c>
      <c r="O32" s="1" t="s">
        <v>553</v>
      </c>
    </row>
    <row r="33" spans="1:15" x14ac:dyDescent="0.25">
      <c r="A33" t="s">
        <v>1149</v>
      </c>
      <c r="B33" t="s">
        <v>1150</v>
      </c>
      <c r="C33" t="s">
        <v>1151</v>
      </c>
      <c r="D33" t="s">
        <v>1152</v>
      </c>
      <c r="E33" t="s">
        <v>1153</v>
      </c>
      <c r="F33" t="s">
        <v>1154</v>
      </c>
      <c r="G33" t="s">
        <v>1061</v>
      </c>
      <c r="H33" t="s">
        <v>221</v>
      </c>
      <c r="I33" t="s">
        <v>681</v>
      </c>
      <c r="J33" t="s">
        <v>966</v>
      </c>
      <c r="K33" t="s">
        <v>871</v>
      </c>
      <c r="L33" t="s">
        <v>27</v>
      </c>
      <c r="M33" t="s">
        <v>19</v>
      </c>
      <c r="N33" t="s">
        <v>865</v>
      </c>
      <c r="O33" s="1" t="s">
        <v>553</v>
      </c>
    </row>
    <row r="34" spans="1:15" x14ac:dyDescent="0.25">
      <c r="A34" t="s">
        <v>2378</v>
      </c>
      <c r="B34" t="s">
        <v>2372</v>
      </c>
      <c r="C34" t="s">
        <v>2373</v>
      </c>
      <c r="D34" t="s">
        <v>2374</v>
      </c>
      <c r="E34" t="s">
        <v>2379</v>
      </c>
      <c r="F34" t="s">
        <v>2376</v>
      </c>
      <c r="G34" t="s">
        <v>2377</v>
      </c>
      <c r="H34" t="s">
        <v>16</v>
      </c>
      <c r="I34" t="s">
        <v>1890</v>
      </c>
      <c r="J34" t="s">
        <v>30</v>
      </c>
      <c r="K34" t="s">
        <v>42</v>
      </c>
      <c r="L34" t="s">
        <v>42</v>
      </c>
      <c r="M34" t="s">
        <v>19</v>
      </c>
      <c r="N34" t="s">
        <v>2008</v>
      </c>
      <c r="O34" s="1" t="s">
        <v>553</v>
      </c>
    </row>
    <row r="35" spans="1:15" x14ac:dyDescent="0.25">
      <c r="A35" t="s">
        <v>2371</v>
      </c>
      <c r="B35" t="s">
        <v>2372</v>
      </c>
      <c r="C35" t="s">
        <v>2373</v>
      </c>
      <c r="D35" t="s">
        <v>2374</v>
      </c>
      <c r="E35" t="s">
        <v>2375</v>
      </c>
      <c r="F35" t="s">
        <v>2376</v>
      </c>
      <c r="G35" t="s">
        <v>2377</v>
      </c>
      <c r="H35" t="s">
        <v>16</v>
      </c>
      <c r="I35" t="s">
        <v>1890</v>
      </c>
      <c r="J35" t="s">
        <v>30</v>
      </c>
      <c r="K35" t="s">
        <v>42</v>
      </c>
      <c r="L35" t="s">
        <v>42</v>
      </c>
      <c r="M35" t="s">
        <v>19</v>
      </c>
      <c r="N35" t="s">
        <v>2008</v>
      </c>
      <c r="O35" s="1" t="s">
        <v>553</v>
      </c>
    </row>
    <row r="36" spans="1:15" x14ac:dyDescent="0.25">
      <c r="A36" t="s">
        <v>2281</v>
      </c>
      <c r="B36" t="s">
        <v>2282</v>
      </c>
      <c r="C36" t="s">
        <v>2283</v>
      </c>
      <c r="D36" t="s">
        <v>2284</v>
      </c>
      <c r="E36" t="s">
        <v>2285</v>
      </c>
      <c r="F36" t="s">
        <v>2286</v>
      </c>
      <c r="G36" t="s">
        <v>2287</v>
      </c>
      <c r="H36" t="s">
        <v>221</v>
      </c>
      <c r="I36" t="s">
        <v>1195</v>
      </c>
      <c r="J36" t="s">
        <v>228</v>
      </c>
      <c r="K36" t="s">
        <v>1245</v>
      </c>
      <c r="L36" t="s">
        <v>27</v>
      </c>
      <c r="M36" t="s">
        <v>19</v>
      </c>
      <c r="N36" t="s">
        <v>564</v>
      </c>
      <c r="O36" s="1" t="s">
        <v>553</v>
      </c>
    </row>
    <row r="37" spans="1:15" x14ac:dyDescent="0.25">
      <c r="A37" t="s">
        <v>234</v>
      </c>
      <c r="B37" t="s">
        <v>1334</v>
      </c>
      <c r="C37" t="s">
        <v>235</v>
      </c>
      <c r="D37" t="s">
        <v>1617</v>
      </c>
      <c r="E37" t="s">
        <v>236</v>
      </c>
      <c r="F37" t="s">
        <v>1333</v>
      </c>
      <c r="G37" t="s">
        <v>1773</v>
      </c>
      <c r="H37" t="s">
        <v>1260</v>
      </c>
      <c r="I37" t="s">
        <v>1014</v>
      </c>
      <c r="J37" t="s">
        <v>1261</v>
      </c>
      <c r="K37" t="s">
        <v>1245</v>
      </c>
      <c r="L37" t="s">
        <v>27</v>
      </c>
      <c r="M37" t="s">
        <v>19</v>
      </c>
      <c r="N37" t="s">
        <v>569</v>
      </c>
      <c r="O37" s="1" t="s">
        <v>1992</v>
      </c>
    </row>
    <row r="38" spans="1:15" x14ac:dyDescent="0.25">
      <c r="A38" s="10" t="s">
        <v>2044</v>
      </c>
      <c r="B38" s="10" t="s">
        <v>2045</v>
      </c>
      <c r="C38" s="10" t="s">
        <v>2046</v>
      </c>
      <c r="D38" s="10" t="s">
        <v>2047</v>
      </c>
      <c r="E38" s="10" t="s">
        <v>2048</v>
      </c>
      <c r="F38" s="10" t="s">
        <v>2049</v>
      </c>
      <c r="G38" s="10" t="s">
        <v>2050</v>
      </c>
      <c r="H38" s="10" t="s">
        <v>1016</v>
      </c>
      <c r="I38" s="10" t="s">
        <v>1195</v>
      </c>
      <c r="J38" s="10" t="s">
        <v>1017</v>
      </c>
      <c r="K38" s="10" t="s">
        <v>874</v>
      </c>
      <c r="L38" s="10" t="s">
        <v>27</v>
      </c>
      <c r="M38" s="10" t="s">
        <v>19</v>
      </c>
      <c r="N38" s="10" t="s">
        <v>569</v>
      </c>
      <c r="O38" s="1" t="s">
        <v>553</v>
      </c>
    </row>
    <row r="39" spans="1:15" x14ac:dyDescent="0.25">
      <c r="A39" t="s">
        <v>1136</v>
      </c>
      <c r="B39" t="s">
        <v>1137</v>
      </c>
      <c r="C39" t="s">
        <v>1138</v>
      </c>
      <c r="D39" t="s">
        <v>1139</v>
      </c>
      <c r="E39" t="s">
        <v>1140</v>
      </c>
      <c r="F39" t="s">
        <v>1141</v>
      </c>
      <c r="G39" t="s">
        <v>1141</v>
      </c>
      <c r="H39" t="s">
        <v>138</v>
      </c>
      <c r="I39" t="s">
        <v>71</v>
      </c>
      <c r="J39" t="s">
        <v>1015</v>
      </c>
      <c r="K39" t="s">
        <v>871</v>
      </c>
      <c r="L39" t="s">
        <v>42</v>
      </c>
      <c r="M39" t="s">
        <v>19</v>
      </c>
      <c r="N39" t="s">
        <v>564</v>
      </c>
      <c r="O39" s="1" t="s">
        <v>553</v>
      </c>
    </row>
    <row r="40" spans="1:15" x14ac:dyDescent="0.25">
      <c r="A40" t="s">
        <v>736</v>
      </c>
      <c r="B40" t="s">
        <v>1353</v>
      </c>
      <c r="C40" t="s">
        <v>737</v>
      </c>
      <c r="D40" t="s">
        <v>737</v>
      </c>
      <c r="E40" t="s">
        <v>738</v>
      </c>
      <c r="F40" t="s">
        <v>1354</v>
      </c>
      <c r="G40" t="s">
        <v>1779</v>
      </c>
      <c r="H40" t="s">
        <v>16</v>
      </c>
      <c r="I40" t="s">
        <v>17</v>
      </c>
      <c r="J40" t="s">
        <v>1339</v>
      </c>
      <c r="K40" t="s">
        <v>31</v>
      </c>
      <c r="L40" t="s">
        <v>31</v>
      </c>
      <c r="M40" t="s">
        <v>19</v>
      </c>
      <c r="N40" t="s">
        <v>562</v>
      </c>
      <c r="O40" s="1" t="s">
        <v>1992</v>
      </c>
    </row>
    <row r="41" spans="1:15" x14ac:dyDescent="0.25">
      <c r="A41" t="s">
        <v>1969</v>
      </c>
      <c r="B41" t="s">
        <v>1970</v>
      </c>
      <c r="C41" t="s">
        <v>1971</v>
      </c>
      <c r="D41" t="s">
        <v>1971</v>
      </c>
      <c r="E41" t="s">
        <v>1972</v>
      </c>
      <c r="F41" t="s">
        <v>1973</v>
      </c>
      <c r="G41" t="s">
        <v>1061</v>
      </c>
      <c r="H41" t="s">
        <v>1365</v>
      </c>
      <c r="I41" t="s">
        <v>71</v>
      </c>
      <c r="J41" t="s">
        <v>1366</v>
      </c>
      <c r="K41" t="s">
        <v>42</v>
      </c>
      <c r="L41" t="s">
        <v>42</v>
      </c>
      <c r="M41" t="s">
        <v>19</v>
      </c>
      <c r="N41" t="s">
        <v>565</v>
      </c>
      <c r="O41" s="1" t="s">
        <v>553</v>
      </c>
    </row>
    <row r="42" spans="1:15" x14ac:dyDescent="0.25">
      <c r="A42" t="s">
        <v>917</v>
      </c>
      <c r="B42" t="s">
        <v>1359</v>
      </c>
      <c r="C42" t="s">
        <v>918</v>
      </c>
      <c r="D42" t="s">
        <v>1624</v>
      </c>
      <c r="E42" t="s">
        <v>919</v>
      </c>
      <c r="F42" t="s">
        <v>1360</v>
      </c>
      <c r="G42" t="s">
        <v>1781</v>
      </c>
      <c r="H42" t="s">
        <v>221</v>
      </c>
      <c r="I42" t="s">
        <v>681</v>
      </c>
      <c r="J42" t="s">
        <v>222</v>
      </c>
      <c r="K42" t="s">
        <v>1232</v>
      </c>
      <c r="L42" t="s">
        <v>41</v>
      </c>
      <c r="M42" t="s">
        <v>19</v>
      </c>
      <c r="N42" t="s">
        <v>865</v>
      </c>
      <c r="O42" s="1" t="s">
        <v>1992</v>
      </c>
    </row>
    <row r="43" spans="1:15" x14ac:dyDescent="0.25">
      <c r="A43" t="s">
        <v>1081</v>
      </c>
      <c r="B43" t="s">
        <v>1082</v>
      </c>
      <c r="C43" t="s">
        <v>1083</v>
      </c>
      <c r="D43" t="s">
        <v>1084</v>
      </c>
      <c r="E43" t="s">
        <v>1085</v>
      </c>
      <c r="F43" t="s">
        <v>1086</v>
      </c>
      <c r="G43" t="s">
        <v>1086</v>
      </c>
      <c r="H43" t="s">
        <v>16</v>
      </c>
      <c r="I43" t="s">
        <v>17</v>
      </c>
      <c r="J43" t="s">
        <v>1021</v>
      </c>
      <c r="K43" t="s">
        <v>42</v>
      </c>
      <c r="L43" t="s">
        <v>42</v>
      </c>
      <c r="M43" t="s">
        <v>19</v>
      </c>
      <c r="N43" t="s">
        <v>565</v>
      </c>
      <c r="O43" s="1" t="s">
        <v>1126</v>
      </c>
    </row>
    <row r="44" spans="1:15" x14ac:dyDescent="0.25">
      <c r="A44" t="s">
        <v>2413</v>
      </c>
      <c r="B44" t="s">
        <v>2061</v>
      </c>
      <c r="C44" t="s">
        <v>1975</v>
      </c>
      <c r="D44" t="s">
        <v>1976</v>
      </c>
      <c r="E44" t="s">
        <v>2414</v>
      </c>
      <c r="F44" t="s">
        <v>1364</v>
      </c>
      <c r="G44" t="s">
        <v>1785</v>
      </c>
      <c r="H44" t="s">
        <v>1365</v>
      </c>
      <c r="I44" t="s">
        <v>1576</v>
      </c>
      <c r="J44" t="s">
        <v>1366</v>
      </c>
      <c r="K44" t="s">
        <v>42</v>
      </c>
      <c r="L44" t="s">
        <v>42</v>
      </c>
      <c r="M44" t="s">
        <v>19</v>
      </c>
      <c r="N44" t="s">
        <v>2008</v>
      </c>
      <c r="O44" s="1" t="s">
        <v>553</v>
      </c>
    </row>
    <row r="45" spans="1:15" x14ac:dyDescent="0.25">
      <c r="A45" t="s">
        <v>269</v>
      </c>
      <c r="B45" t="s">
        <v>269</v>
      </c>
      <c r="C45" t="s">
        <v>271</v>
      </c>
      <c r="D45" t="s">
        <v>270</v>
      </c>
      <c r="E45" t="s">
        <v>272</v>
      </c>
      <c r="F45" t="s">
        <v>273</v>
      </c>
      <c r="H45" t="s">
        <v>274</v>
      </c>
      <c r="I45" t="s">
        <v>681</v>
      </c>
      <c r="J45" t="s">
        <v>274</v>
      </c>
      <c r="K45" t="s">
        <v>27</v>
      </c>
      <c r="L45" t="s">
        <v>27</v>
      </c>
      <c r="M45" t="s">
        <v>19</v>
      </c>
      <c r="N45" t="s">
        <v>569</v>
      </c>
      <c r="O45" s="1" t="s">
        <v>553</v>
      </c>
    </row>
    <row r="46" spans="1:15" x14ac:dyDescent="0.25">
      <c r="A46" t="s">
        <v>2263</v>
      </c>
      <c r="B46" t="s">
        <v>850</v>
      </c>
      <c r="C46" t="s">
        <v>271</v>
      </c>
      <c r="D46" t="s">
        <v>270</v>
      </c>
      <c r="E46" t="s">
        <v>2264</v>
      </c>
      <c r="F46" t="s">
        <v>273</v>
      </c>
      <c r="G46" t="s">
        <v>947</v>
      </c>
      <c r="H46" t="s">
        <v>274</v>
      </c>
      <c r="I46" t="s">
        <v>1195</v>
      </c>
      <c r="J46" t="s">
        <v>274</v>
      </c>
      <c r="K46" t="s">
        <v>871</v>
      </c>
      <c r="L46" t="s">
        <v>27</v>
      </c>
      <c r="M46" t="s">
        <v>19</v>
      </c>
      <c r="N46" t="s">
        <v>2008</v>
      </c>
      <c r="O46" s="1" t="s">
        <v>2008</v>
      </c>
    </row>
    <row r="47" spans="1:15" x14ac:dyDescent="0.25">
      <c r="A47" t="s">
        <v>1874</v>
      </c>
      <c r="B47" t="s">
        <v>850</v>
      </c>
      <c r="C47" t="s">
        <v>271</v>
      </c>
      <c r="D47" t="s">
        <v>270</v>
      </c>
      <c r="E47" t="s">
        <v>1875</v>
      </c>
      <c r="F47" t="s">
        <v>273</v>
      </c>
      <c r="G47" t="s">
        <v>947</v>
      </c>
      <c r="H47" t="s">
        <v>274</v>
      </c>
      <c r="I47" t="s">
        <v>1195</v>
      </c>
      <c r="J47" t="s">
        <v>274</v>
      </c>
      <c r="K47" t="s">
        <v>871</v>
      </c>
      <c r="L47" t="s">
        <v>27</v>
      </c>
      <c r="M47" t="s">
        <v>19</v>
      </c>
      <c r="N47" t="s">
        <v>569</v>
      </c>
      <c r="O47" s="1" t="s">
        <v>553</v>
      </c>
    </row>
    <row r="48" spans="1:15" x14ac:dyDescent="0.25">
      <c r="A48" t="s">
        <v>945</v>
      </c>
      <c r="B48" t="s">
        <v>850</v>
      </c>
      <c r="C48" t="s">
        <v>271</v>
      </c>
      <c r="D48" t="s">
        <v>270</v>
      </c>
      <c r="E48" t="s">
        <v>946</v>
      </c>
      <c r="F48" t="s">
        <v>273</v>
      </c>
      <c r="G48" t="s">
        <v>947</v>
      </c>
      <c r="H48" t="s">
        <v>274</v>
      </c>
      <c r="I48" t="s">
        <v>681</v>
      </c>
      <c r="J48" t="s">
        <v>274</v>
      </c>
      <c r="K48" t="s">
        <v>871</v>
      </c>
      <c r="L48" t="s">
        <v>27</v>
      </c>
      <c r="M48" t="s">
        <v>19</v>
      </c>
      <c r="N48" t="s">
        <v>569</v>
      </c>
      <c r="O48" s="1" t="s">
        <v>553</v>
      </c>
    </row>
    <row r="49" spans="1:15" x14ac:dyDescent="0.25">
      <c r="A49" t="s">
        <v>300</v>
      </c>
      <c r="B49" t="s">
        <v>300</v>
      </c>
      <c r="C49" t="s">
        <v>301</v>
      </c>
      <c r="D49" t="s">
        <v>301</v>
      </c>
      <c r="E49" t="s">
        <v>302</v>
      </c>
      <c r="F49" t="s">
        <v>303</v>
      </c>
      <c r="G49" t="s">
        <v>304</v>
      </c>
      <c r="H49" t="s">
        <v>305</v>
      </c>
      <c r="I49" t="s">
        <v>681</v>
      </c>
      <c r="J49" t="s">
        <v>306</v>
      </c>
      <c r="K49" t="s">
        <v>27</v>
      </c>
      <c r="L49" t="s">
        <v>27</v>
      </c>
      <c r="M49" t="s">
        <v>19</v>
      </c>
      <c r="N49" t="s">
        <v>566</v>
      </c>
      <c r="O49" s="1" t="s">
        <v>553</v>
      </c>
    </row>
    <row r="50" spans="1:15" x14ac:dyDescent="0.25">
      <c r="A50" t="s">
        <v>2302</v>
      </c>
      <c r="B50" t="s">
        <v>2303</v>
      </c>
      <c r="C50" t="s">
        <v>2304</v>
      </c>
      <c r="D50" t="s">
        <v>2304</v>
      </c>
      <c r="E50" t="s">
        <v>2305</v>
      </c>
      <c r="F50" t="s">
        <v>2204</v>
      </c>
      <c r="G50" t="s">
        <v>2205</v>
      </c>
      <c r="H50" t="s">
        <v>1012</v>
      </c>
      <c r="I50" t="s">
        <v>1195</v>
      </c>
      <c r="J50" t="s">
        <v>1012</v>
      </c>
      <c r="K50" t="s">
        <v>27</v>
      </c>
      <c r="L50" t="s">
        <v>27</v>
      </c>
      <c r="M50" t="s">
        <v>19</v>
      </c>
      <c r="N50" t="s">
        <v>2100</v>
      </c>
      <c r="O50" s="1" t="s">
        <v>2100</v>
      </c>
    </row>
    <row r="51" spans="1:15" x14ac:dyDescent="0.25">
      <c r="A51" t="s">
        <v>2199</v>
      </c>
      <c r="B51" t="s">
        <v>2200</v>
      </c>
      <c r="C51" t="s">
        <v>2201</v>
      </c>
      <c r="D51" t="s">
        <v>2202</v>
      </c>
      <c r="E51" t="s">
        <v>2203</v>
      </c>
      <c r="F51" t="s">
        <v>2204</v>
      </c>
      <c r="G51" t="s">
        <v>2205</v>
      </c>
      <c r="H51" t="s">
        <v>1012</v>
      </c>
      <c r="I51" t="s">
        <v>1195</v>
      </c>
      <c r="J51" t="s">
        <v>1012</v>
      </c>
      <c r="K51" t="s">
        <v>871</v>
      </c>
      <c r="L51" t="s">
        <v>27</v>
      </c>
      <c r="M51" t="s">
        <v>19</v>
      </c>
      <c r="N51" t="s">
        <v>1061</v>
      </c>
      <c r="O51" s="1" t="s">
        <v>2008</v>
      </c>
    </row>
    <row r="52" spans="1:15" x14ac:dyDescent="0.25">
      <c r="A52" t="s">
        <v>312</v>
      </c>
      <c r="B52" t="s">
        <v>1391</v>
      </c>
      <c r="C52" t="s">
        <v>313</v>
      </c>
      <c r="D52" t="s">
        <v>1633</v>
      </c>
      <c r="E52" t="s">
        <v>314</v>
      </c>
      <c r="F52" t="s">
        <v>1392</v>
      </c>
      <c r="G52" t="s">
        <v>1794</v>
      </c>
      <c r="H52" t="s">
        <v>16</v>
      </c>
      <c r="I52" t="s">
        <v>17</v>
      </c>
      <c r="J52" t="s">
        <v>193</v>
      </c>
      <c r="K52" t="s">
        <v>42</v>
      </c>
      <c r="L52" t="s">
        <v>42</v>
      </c>
      <c r="M52" t="s">
        <v>19</v>
      </c>
      <c r="N52" t="s">
        <v>565</v>
      </c>
      <c r="O52" s="1" t="s">
        <v>1992</v>
      </c>
    </row>
    <row r="53" spans="1:15" x14ac:dyDescent="0.25">
      <c r="A53" t="s">
        <v>325</v>
      </c>
      <c r="B53" t="s">
        <v>1397</v>
      </c>
      <c r="C53" t="s">
        <v>326</v>
      </c>
      <c r="D53" t="s">
        <v>1636</v>
      </c>
      <c r="E53" t="s">
        <v>327</v>
      </c>
      <c r="F53" t="s">
        <v>1398</v>
      </c>
      <c r="G53" t="s">
        <v>1797</v>
      </c>
      <c r="H53" t="s">
        <v>1227</v>
      </c>
      <c r="I53" t="s">
        <v>1013</v>
      </c>
      <c r="J53" t="s">
        <v>1399</v>
      </c>
      <c r="K53" t="s">
        <v>18</v>
      </c>
      <c r="L53" t="s">
        <v>18</v>
      </c>
      <c r="M53" t="s">
        <v>19</v>
      </c>
      <c r="N53" t="s">
        <v>566</v>
      </c>
      <c r="O53" s="1" t="s">
        <v>1992</v>
      </c>
    </row>
    <row r="54" spans="1:15" x14ac:dyDescent="0.25">
      <c r="A54" t="s">
        <v>331</v>
      </c>
      <c r="B54" t="s">
        <v>1402</v>
      </c>
      <c r="C54" t="s">
        <v>332</v>
      </c>
      <c r="D54" t="s">
        <v>1638</v>
      </c>
      <c r="E54" t="s">
        <v>333</v>
      </c>
      <c r="F54" t="s">
        <v>1403</v>
      </c>
      <c r="G54" t="s">
        <v>1799</v>
      </c>
      <c r="H54" t="s">
        <v>1404</v>
      </c>
      <c r="I54" t="s">
        <v>1013</v>
      </c>
      <c r="J54" t="s">
        <v>1405</v>
      </c>
      <c r="K54" t="s">
        <v>874</v>
      </c>
      <c r="L54" t="s">
        <v>27</v>
      </c>
      <c r="M54" t="s">
        <v>19</v>
      </c>
      <c r="N54" t="s">
        <v>569</v>
      </c>
      <c r="O54" s="1" t="s">
        <v>1992</v>
      </c>
    </row>
    <row r="55" spans="1:15" x14ac:dyDescent="0.25">
      <c r="A55" t="s">
        <v>992</v>
      </c>
      <c r="B55" t="s">
        <v>993</v>
      </c>
      <c r="C55" t="s">
        <v>994</v>
      </c>
      <c r="D55" t="s">
        <v>995</v>
      </c>
      <c r="E55" t="s">
        <v>996</v>
      </c>
      <c r="F55" t="s">
        <v>997</v>
      </c>
      <c r="G55" t="s">
        <v>997</v>
      </c>
      <c r="H55" t="s">
        <v>221</v>
      </c>
      <c r="I55" t="s">
        <v>681</v>
      </c>
      <c r="J55" t="s">
        <v>222</v>
      </c>
      <c r="K55" t="s">
        <v>998</v>
      </c>
      <c r="L55" t="s">
        <v>27</v>
      </c>
      <c r="M55" t="s">
        <v>19</v>
      </c>
      <c r="N55" t="s">
        <v>576</v>
      </c>
      <c r="O55" s="1" t="s">
        <v>553</v>
      </c>
    </row>
    <row r="56" spans="1:15" x14ac:dyDescent="0.25">
      <c r="A56" t="s">
        <v>351</v>
      </c>
      <c r="B56" t="s">
        <v>351</v>
      </c>
      <c r="C56" t="s">
        <v>353</v>
      </c>
      <c r="D56" t="s">
        <v>352</v>
      </c>
      <c r="E56" t="s">
        <v>354</v>
      </c>
      <c r="F56" t="s">
        <v>355</v>
      </c>
      <c r="H56" t="s">
        <v>101</v>
      </c>
      <c r="I56" t="s">
        <v>102</v>
      </c>
      <c r="J56" t="s">
        <v>67</v>
      </c>
      <c r="K56" t="s">
        <v>18</v>
      </c>
      <c r="L56" t="s">
        <v>18</v>
      </c>
      <c r="M56" t="s">
        <v>19</v>
      </c>
      <c r="N56" t="s">
        <v>565</v>
      </c>
      <c r="O56" s="1" t="s">
        <v>1125</v>
      </c>
    </row>
    <row r="57" spans="1:15" x14ac:dyDescent="0.25">
      <c r="A57" t="s">
        <v>356</v>
      </c>
      <c r="B57" t="s">
        <v>356</v>
      </c>
      <c r="C57" t="s">
        <v>353</v>
      </c>
      <c r="D57" t="s">
        <v>352</v>
      </c>
      <c r="E57" t="s">
        <v>357</v>
      </c>
      <c r="F57" t="s">
        <v>355</v>
      </c>
      <c r="H57" t="s">
        <v>101</v>
      </c>
      <c r="I57" t="s">
        <v>102</v>
      </c>
      <c r="J57" t="s">
        <v>67</v>
      </c>
      <c r="K57" t="s">
        <v>18</v>
      </c>
      <c r="L57" t="s">
        <v>18</v>
      </c>
      <c r="M57" t="s">
        <v>19</v>
      </c>
      <c r="N57" t="s">
        <v>565</v>
      </c>
      <c r="O57" s="1" t="s">
        <v>1125</v>
      </c>
    </row>
    <row r="58" spans="1:15" x14ac:dyDescent="0.25">
      <c r="A58" t="s">
        <v>1094</v>
      </c>
      <c r="B58" t="s">
        <v>1095</v>
      </c>
      <c r="C58" t="s">
        <v>1096</v>
      </c>
      <c r="D58" t="s">
        <v>1097</v>
      </c>
      <c r="E58" t="s">
        <v>1098</v>
      </c>
      <c r="F58" t="s">
        <v>1099</v>
      </c>
      <c r="G58" t="s">
        <v>1099</v>
      </c>
      <c r="H58" t="s">
        <v>1016</v>
      </c>
      <c r="I58" t="s">
        <v>1014</v>
      </c>
      <c r="J58" t="s">
        <v>1017</v>
      </c>
      <c r="K58" t="s">
        <v>874</v>
      </c>
      <c r="L58" t="s">
        <v>27</v>
      </c>
      <c r="M58" t="s">
        <v>19</v>
      </c>
      <c r="N58" t="s">
        <v>569</v>
      </c>
      <c r="O58" s="1" t="s">
        <v>553</v>
      </c>
    </row>
    <row r="59" spans="1:15" x14ac:dyDescent="0.25">
      <c r="A59" t="s">
        <v>359</v>
      </c>
      <c r="B59" t="s">
        <v>1427</v>
      </c>
      <c r="C59" t="s">
        <v>360</v>
      </c>
      <c r="D59" t="s">
        <v>1647</v>
      </c>
      <c r="E59" t="s">
        <v>361</v>
      </c>
      <c r="F59" t="s">
        <v>1428</v>
      </c>
      <c r="G59" t="s">
        <v>1809</v>
      </c>
      <c r="H59" t="s">
        <v>1429</v>
      </c>
      <c r="I59" t="s">
        <v>1013</v>
      </c>
      <c r="J59" t="s">
        <v>1430</v>
      </c>
      <c r="K59" t="s">
        <v>42</v>
      </c>
      <c r="L59" t="s">
        <v>42</v>
      </c>
      <c r="M59" t="s">
        <v>19</v>
      </c>
      <c r="N59" t="s">
        <v>562</v>
      </c>
      <c r="O59" s="1" t="s">
        <v>1992</v>
      </c>
    </row>
    <row r="60" spans="1:15" x14ac:dyDescent="0.25">
      <c r="A60" t="s">
        <v>362</v>
      </c>
      <c r="B60" t="s">
        <v>362</v>
      </c>
      <c r="C60" t="s">
        <v>364</v>
      </c>
      <c r="D60" t="s">
        <v>363</v>
      </c>
      <c r="E60" t="s">
        <v>365</v>
      </c>
      <c r="F60" t="s">
        <v>366</v>
      </c>
      <c r="H60" t="s">
        <v>221</v>
      </c>
      <c r="I60" t="s">
        <v>681</v>
      </c>
      <c r="J60" t="s">
        <v>228</v>
      </c>
      <c r="K60" t="s">
        <v>27</v>
      </c>
      <c r="L60" t="s">
        <v>27</v>
      </c>
      <c r="M60" t="s">
        <v>19</v>
      </c>
      <c r="N60" t="s">
        <v>576</v>
      </c>
      <c r="O60" s="1" t="s">
        <v>553</v>
      </c>
    </row>
    <row r="61" spans="1:15" x14ac:dyDescent="0.25">
      <c r="A61" t="s">
        <v>1906</v>
      </c>
      <c r="B61" t="s">
        <v>1907</v>
      </c>
      <c r="C61" t="s">
        <v>1908</v>
      </c>
      <c r="D61" t="s">
        <v>1909</v>
      </c>
      <c r="E61" t="s">
        <v>1910</v>
      </c>
      <c r="F61" t="s">
        <v>1911</v>
      </c>
      <c r="G61" t="s">
        <v>1061</v>
      </c>
      <c r="H61" t="s">
        <v>1912</v>
      </c>
      <c r="I61" t="s">
        <v>1913</v>
      </c>
      <c r="J61" t="s">
        <v>1912</v>
      </c>
      <c r="K61" t="s">
        <v>871</v>
      </c>
      <c r="L61" t="s">
        <v>42</v>
      </c>
      <c r="M61" t="s">
        <v>19</v>
      </c>
      <c r="N61" t="s">
        <v>562</v>
      </c>
      <c r="O61" s="1" t="s">
        <v>553</v>
      </c>
    </row>
    <row r="62" spans="1:15" x14ac:dyDescent="0.25">
      <c r="A62" t="s">
        <v>370</v>
      </c>
      <c r="B62" t="s">
        <v>1438</v>
      </c>
      <c r="C62" t="s">
        <v>371</v>
      </c>
      <c r="D62" t="s">
        <v>1648</v>
      </c>
      <c r="E62" t="s">
        <v>372</v>
      </c>
      <c r="F62" t="s">
        <v>1439</v>
      </c>
      <c r="G62" t="s">
        <v>1811</v>
      </c>
      <c r="H62" t="s">
        <v>65</v>
      </c>
      <c r="I62" t="s">
        <v>67</v>
      </c>
      <c r="J62" t="s">
        <v>1440</v>
      </c>
      <c r="K62" t="s">
        <v>42</v>
      </c>
      <c r="L62" t="s">
        <v>42</v>
      </c>
      <c r="M62" t="s">
        <v>19</v>
      </c>
      <c r="N62" t="s">
        <v>565</v>
      </c>
      <c r="O62" s="1" t="s">
        <v>1992</v>
      </c>
    </row>
    <row r="63" spans="1:15" x14ac:dyDescent="0.25">
      <c r="A63" t="s">
        <v>1100</v>
      </c>
      <c r="B63" t="s">
        <v>1101</v>
      </c>
      <c r="C63" t="s">
        <v>1102</v>
      </c>
      <c r="D63" t="s">
        <v>1103</v>
      </c>
      <c r="E63" t="s">
        <v>1104</v>
      </c>
      <c r="F63" t="s">
        <v>1105</v>
      </c>
      <c r="G63" t="s">
        <v>1105</v>
      </c>
      <c r="H63" t="s">
        <v>1022</v>
      </c>
      <c r="I63" t="s">
        <v>71</v>
      </c>
      <c r="J63" t="s">
        <v>1023</v>
      </c>
      <c r="K63" t="s">
        <v>42</v>
      </c>
      <c r="L63" t="s">
        <v>564</v>
      </c>
      <c r="M63" t="s">
        <v>19</v>
      </c>
      <c r="N63" t="s">
        <v>564</v>
      </c>
      <c r="O63" s="1" t="s">
        <v>1127</v>
      </c>
    </row>
    <row r="64" spans="1:15" x14ac:dyDescent="0.25">
      <c r="A64" t="s">
        <v>2341</v>
      </c>
      <c r="B64" t="s">
        <v>2342</v>
      </c>
      <c r="C64" t="s">
        <v>2343</v>
      </c>
      <c r="D64" t="s">
        <v>2344</v>
      </c>
      <c r="E64" t="s">
        <v>2345</v>
      </c>
      <c r="F64" t="s">
        <v>2346</v>
      </c>
      <c r="G64" t="s">
        <v>1061</v>
      </c>
      <c r="H64" t="s">
        <v>1218</v>
      </c>
      <c r="I64" t="s">
        <v>1195</v>
      </c>
      <c r="J64" t="s">
        <v>2231</v>
      </c>
      <c r="K64" t="s">
        <v>31</v>
      </c>
      <c r="L64" t="s">
        <v>31</v>
      </c>
      <c r="M64" t="s">
        <v>19</v>
      </c>
      <c r="N64" t="s">
        <v>569</v>
      </c>
      <c r="O64" s="1" t="s">
        <v>553</v>
      </c>
    </row>
    <row r="65" spans="1:18" x14ac:dyDescent="0.25">
      <c r="A65" t="s">
        <v>386</v>
      </c>
      <c r="B65" t="s">
        <v>386</v>
      </c>
      <c r="C65" t="s">
        <v>387</v>
      </c>
      <c r="D65" t="s">
        <v>387</v>
      </c>
      <c r="E65" t="s">
        <v>388</v>
      </c>
      <c r="F65" t="s">
        <v>389</v>
      </c>
      <c r="H65" t="s">
        <v>101</v>
      </c>
      <c r="I65" t="s">
        <v>310</v>
      </c>
      <c r="J65" t="s">
        <v>67</v>
      </c>
      <c r="K65" t="s">
        <v>27</v>
      </c>
      <c r="L65" t="s">
        <v>27</v>
      </c>
      <c r="M65" t="s">
        <v>19</v>
      </c>
      <c r="N65" t="s">
        <v>564</v>
      </c>
      <c r="O65" s="1" t="s">
        <v>553</v>
      </c>
    </row>
    <row r="66" spans="1:18" x14ac:dyDescent="0.25">
      <c r="A66" t="s">
        <v>390</v>
      </c>
      <c r="B66" t="s">
        <v>1450</v>
      </c>
      <c r="C66" t="s">
        <v>393</v>
      </c>
      <c r="D66" t="s">
        <v>1650</v>
      </c>
      <c r="E66" t="s">
        <v>391</v>
      </c>
      <c r="F66" t="s">
        <v>1451</v>
      </c>
      <c r="G66" t="s">
        <v>1814</v>
      </c>
      <c r="H66" t="s">
        <v>1452</v>
      </c>
      <c r="I66" t="s">
        <v>34</v>
      </c>
      <c r="J66" t="s">
        <v>1453</v>
      </c>
      <c r="K66" t="s">
        <v>871</v>
      </c>
      <c r="L66" t="s">
        <v>27</v>
      </c>
      <c r="M66" t="s">
        <v>19</v>
      </c>
      <c r="N66" t="s">
        <v>564</v>
      </c>
      <c r="O66" s="1" t="s">
        <v>1992</v>
      </c>
    </row>
    <row r="67" spans="1:18" x14ac:dyDescent="0.25">
      <c r="A67" t="s">
        <v>2074</v>
      </c>
      <c r="B67" t="s">
        <v>2075</v>
      </c>
      <c r="C67" t="s">
        <v>2076</v>
      </c>
      <c r="D67" t="s">
        <v>2076</v>
      </c>
      <c r="E67" t="s">
        <v>2077</v>
      </c>
      <c r="F67" t="s">
        <v>2078</v>
      </c>
      <c r="G67" t="s">
        <v>1061</v>
      </c>
      <c r="H67" t="s">
        <v>1365</v>
      </c>
      <c r="I67" t="s">
        <v>1576</v>
      </c>
      <c r="J67" t="s">
        <v>1510</v>
      </c>
      <c r="K67" t="s">
        <v>42</v>
      </c>
      <c r="L67" t="s">
        <v>42</v>
      </c>
      <c r="M67" t="s">
        <v>19</v>
      </c>
      <c r="N67" t="s">
        <v>2008</v>
      </c>
      <c r="O67" s="1" t="s">
        <v>553</v>
      </c>
    </row>
    <row r="68" spans="1:18" x14ac:dyDescent="0.25">
      <c r="A68" t="s">
        <v>2085</v>
      </c>
      <c r="B68" t="s">
        <v>2075</v>
      </c>
      <c r="C68" t="s">
        <v>2076</v>
      </c>
      <c r="D68" t="s">
        <v>2076</v>
      </c>
      <c r="E68" t="s">
        <v>2086</v>
      </c>
      <c r="F68" t="s">
        <v>2078</v>
      </c>
      <c r="G68" t="s">
        <v>1061</v>
      </c>
      <c r="H68" t="s">
        <v>1365</v>
      </c>
      <c r="I68" t="s">
        <v>1576</v>
      </c>
      <c r="J68" t="s">
        <v>1510</v>
      </c>
      <c r="K68" t="s">
        <v>42</v>
      </c>
      <c r="L68" t="s">
        <v>42</v>
      </c>
      <c r="M68" t="s">
        <v>19</v>
      </c>
      <c r="N68" t="s">
        <v>565</v>
      </c>
      <c r="O68" s="1" t="s">
        <v>553</v>
      </c>
    </row>
    <row r="69" spans="1:18" x14ac:dyDescent="0.25">
      <c r="A69" t="s">
        <v>2087</v>
      </c>
      <c r="B69" t="s">
        <v>2075</v>
      </c>
      <c r="C69" t="s">
        <v>2076</v>
      </c>
      <c r="D69" t="s">
        <v>2076</v>
      </c>
      <c r="E69" t="s">
        <v>2088</v>
      </c>
      <c r="F69" t="s">
        <v>2078</v>
      </c>
      <c r="G69" t="s">
        <v>1061</v>
      </c>
      <c r="H69" t="s">
        <v>1365</v>
      </c>
      <c r="I69" t="s">
        <v>1576</v>
      </c>
      <c r="J69" t="s">
        <v>1510</v>
      </c>
      <c r="K69" t="s">
        <v>42</v>
      </c>
      <c r="L69" t="s">
        <v>42</v>
      </c>
      <c r="M69" t="s">
        <v>19</v>
      </c>
      <c r="N69" t="s">
        <v>565</v>
      </c>
      <c r="O69" s="1" t="s">
        <v>553</v>
      </c>
    </row>
    <row r="70" spans="1:18" x14ac:dyDescent="0.25">
      <c r="A70" t="s">
        <v>2089</v>
      </c>
      <c r="B70" t="s">
        <v>2075</v>
      </c>
      <c r="C70" t="s">
        <v>2076</v>
      </c>
      <c r="D70" t="s">
        <v>2076</v>
      </c>
      <c r="E70" t="s">
        <v>2090</v>
      </c>
      <c r="F70" t="s">
        <v>2078</v>
      </c>
      <c r="G70" t="s">
        <v>1061</v>
      </c>
      <c r="H70" t="s">
        <v>1365</v>
      </c>
      <c r="I70" t="s">
        <v>1576</v>
      </c>
      <c r="J70" t="s">
        <v>1510</v>
      </c>
      <c r="K70" t="s">
        <v>42</v>
      </c>
      <c r="L70" t="s">
        <v>42</v>
      </c>
      <c r="M70" t="s">
        <v>19</v>
      </c>
      <c r="N70" t="s">
        <v>565</v>
      </c>
      <c r="O70" s="1" t="s">
        <v>553</v>
      </c>
    </row>
    <row r="71" spans="1:18" x14ac:dyDescent="0.25">
      <c r="A71" t="s">
        <v>2091</v>
      </c>
      <c r="B71" t="s">
        <v>2075</v>
      </c>
      <c r="C71" t="s">
        <v>2076</v>
      </c>
      <c r="D71" t="s">
        <v>2076</v>
      </c>
      <c r="E71" t="s">
        <v>2092</v>
      </c>
      <c r="F71" t="s">
        <v>2078</v>
      </c>
      <c r="G71" t="s">
        <v>1061</v>
      </c>
      <c r="H71" t="s">
        <v>1365</v>
      </c>
      <c r="I71" t="s">
        <v>1576</v>
      </c>
      <c r="J71" t="s">
        <v>1510</v>
      </c>
      <c r="K71" t="s">
        <v>42</v>
      </c>
      <c r="L71" t="s">
        <v>42</v>
      </c>
      <c r="M71" t="s">
        <v>19</v>
      </c>
      <c r="N71" t="s">
        <v>565</v>
      </c>
      <c r="O71" s="1" t="s">
        <v>553</v>
      </c>
    </row>
    <row r="72" spans="1:18" x14ac:dyDescent="0.25">
      <c r="A72" t="s">
        <v>2396</v>
      </c>
      <c r="B72" t="s">
        <v>1110</v>
      </c>
      <c r="C72" t="s">
        <v>1111</v>
      </c>
      <c r="D72" t="s">
        <v>1111</v>
      </c>
      <c r="E72" t="s">
        <v>2397</v>
      </c>
      <c r="F72" t="s">
        <v>1113</v>
      </c>
      <c r="G72" t="s">
        <v>2398</v>
      </c>
      <c r="H72" t="s">
        <v>305</v>
      </c>
      <c r="I72" t="s">
        <v>1195</v>
      </c>
      <c r="J72" t="s">
        <v>442</v>
      </c>
      <c r="K72" t="s">
        <v>871</v>
      </c>
      <c r="L72" t="s">
        <v>27</v>
      </c>
      <c r="M72" t="s">
        <v>19</v>
      </c>
      <c r="N72" t="s">
        <v>2008</v>
      </c>
      <c r="O72" s="1" t="s">
        <v>553</v>
      </c>
    </row>
    <row r="73" spans="1:18" x14ac:dyDescent="0.25">
      <c r="A73" t="s">
        <v>1109</v>
      </c>
      <c r="B73" t="s">
        <v>1110</v>
      </c>
      <c r="C73" t="s">
        <v>1111</v>
      </c>
      <c r="D73" t="s">
        <v>1111</v>
      </c>
      <c r="E73" t="s">
        <v>1112</v>
      </c>
      <c r="F73" t="s">
        <v>1113</v>
      </c>
      <c r="G73" t="s">
        <v>1113</v>
      </c>
      <c r="H73" t="s">
        <v>305</v>
      </c>
      <c r="I73" t="s">
        <v>681</v>
      </c>
      <c r="J73" t="s">
        <v>442</v>
      </c>
      <c r="K73" t="s">
        <v>871</v>
      </c>
      <c r="L73" t="s">
        <v>27</v>
      </c>
      <c r="M73" t="s">
        <v>19</v>
      </c>
      <c r="N73" t="s">
        <v>865</v>
      </c>
      <c r="O73" s="1" t="s">
        <v>553</v>
      </c>
    </row>
    <row r="74" spans="1:18" x14ac:dyDescent="0.25">
      <c r="A74" t="s">
        <v>1055</v>
      </c>
      <c r="B74" t="s">
        <v>1056</v>
      </c>
      <c r="C74" t="s">
        <v>1057</v>
      </c>
      <c r="D74" t="s">
        <v>1057</v>
      </c>
      <c r="E74" t="s">
        <v>1058</v>
      </c>
      <c r="F74" t="s">
        <v>1059</v>
      </c>
      <c r="G74" t="s">
        <v>1061</v>
      </c>
      <c r="H74" t="s">
        <v>305</v>
      </c>
      <c r="I74" t="s">
        <v>681</v>
      </c>
      <c r="J74" t="s">
        <v>442</v>
      </c>
      <c r="K74" t="s">
        <v>871</v>
      </c>
      <c r="L74" t="s">
        <v>27</v>
      </c>
      <c r="M74" t="s">
        <v>19</v>
      </c>
      <c r="N74" t="s">
        <v>865</v>
      </c>
      <c r="O74" s="1" t="s">
        <v>553</v>
      </c>
      <c r="P74" s="7"/>
      <c r="Q74" s="7"/>
      <c r="R74" s="7"/>
    </row>
    <row r="75" spans="1:18" x14ac:dyDescent="0.25">
      <c r="A75" t="s">
        <v>408</v>
      </c>
      <c r="B75" t="s">
        <v>1461</v>
      </c>
      <c r="C75" t="s">
        <v>406</v>
      </c>
      <c r="D75" t="s">
        <v>1656</v>
      </c>
      <c r="E75" t="s">
        <v>409</v>
      </c>
      <c r="F75" t="s">
        <v>1462</v>
      </c>
      <c r="G75" t="s">
        <v>1819</v>
      </c>
      <c r="H75" t="s">
        <v>221</v>
      </c>
      <c r="I75" t="s">
        <v>681</v>
      </c>
      <c r="J75" t="s">
        <v>1342</v>
      </c>
      <c r="K75" t="s">
        <v>42</v>
      </c>
      <c r="L75" t="s">
        <v>42</v>
      </c>
      <c r="M75" t="s">
        <v>19</v>
      </c>
      <c r="N75" t="s">
        <v>564</v>
      </c>
      <c r="O75" s="1" t="s">
        <v>1992</v>
      </c>
      <c r="P75" s="7"/>
      <c r="Q75" s="7"/>
      <c r="R75" s="7"/>
    </row>
    <row r="76" spans="1:18" x14ac:dyDescent="0.25">
      <c r="A76" t="s">
        <v>408</v>
      </c>
      <c r="B76" t="s">
        <v>1461</v>
      </c>
      <c r="C76" t="s">
        <v>406</v>
      </c>
      <c r="D76" t="s">
        <v>1656</v>
      </c>
      <c r="E76" t="s">
        <v>760</v>
      </c>
      <c r="F76" t="s">
        <v>1462</v>
      </c>
      <c r="G76" t="s">
        <v>1819</v>
      </c>
      <c r="H76" t="s">
        <v>221</v>
      </c>
      <c r="I76" t="s">
        <v>681</v>
      </c>
      <c r="J76" t="s">
        <v>1342</v>
      </c>
      <c r="K76" t="s">
        <v>42</v>
      </c>
      <c r="L76" t="s">
        <v>42</v>
      </c>
      <c r="M76" t="s">
        <v>19</v>
      </c>
      <c r="N76" t="s">
        <v>564</v>
      </c>
      <c r="O76" s="1" t="s">
        <v>1992</v>
      </c>
    </row>
    <row r="77" spans="1:18" x14ac:dyDescent="0.25">
      <c r="A77" t="s">
        <v>424</v>
      </c>
      <c r="B77" t="s">
        <v>1461</v>
      </c>
      <c r="C77" t="s">
        <v>406</v>
      </c>
      <c r="D77" t="s">
        <v>1656</v>
      </c>
      <c r="E77" t="s">
        <v>1855</v>
      </c>
      <c r="F77" t="s">
        <v>1462</v>
      </c>
      <c r="G77" t="s">
        <v>1819</v>
      </c>
      <c r="H77" t="s">
        <v>221</v>
      </c>
      <c r="I77" t="s">
        <v>1577</v>
      </c>
      <c r="J77" t="s">
        <v>1342</v>
      </c>
      <c r="K77" t="s">
        <v>42</v>
      </c>
      <c r="L77" t="s">
        <v>42</v>
      </c>
      <c r="M77" t="s">
        <v>19</v>
      </c>
      <c r="N77" t="s">
        <v>564</v>
      </c>
      <c r="O77" s="1" t="s">
        <v>1128</v>
      </c>
    </row>
    <row r="78" spans="1:18" x14ac:dyDescent="0.25">
      <c r="A78" t="s">
        <v>434</v>
      </c>
      <c r="B78" t="s">
        <v>1465</v>
      </c>
      <c r="C78" t="s">
        <v>433</v>
      </c>
      <c r="D78" t="s">
        <v>1658</v>
      </c>
      <c r="E78" t="s">
        <v>788</v>
      </c>
      <c r="F78" t="s">
        <v>1466</v>
      </c>
      <c r="G78" t="s">
        <v>1821</v>
      </c>
      <c r="H78" t="s">
        <v>221</v>
      </c>
      <c r="I78" t="s">
        <v>681</v>
      </c>
      <c r="J78" t="s">
        <v>1342</v>
      </c>
      <c r="K78" t="s">
        <v>873</v>
      </c>
      <c r="L78" t="s">
        <v>27</v>
      </c>
      <c r="M78" t="s">
        <v>19</v>
      </c>
      <c r="N78" t="s">
        <v>564</v>
      </c>
      <c r="O78" s="1" t="s">
        <v>1992</v>
      </c>
    </row>
    <row r="79" spans="1:18" x14ac:dyDescent="0.25">
      <c r="A79" t="s">
        <v>434</v>
      </c>
      <c r="B79" t="s">
        <v>1465</v>
      </c>
      <c r="C79" t="s">
        <v>433</v>
      </c>
      <c r="D79" t="s">
        <v>1658</v>
      </c>
      <c r="E79" t="s">
        <v>435</v>
      </c>
      <c r="F79" t="s">
        <v>1466</v>
      </c>
      <c r="G79" t="s">
        <v>1821</v>
      </c>
      <c r="H79" t="s">
        <v>221</v>
      </c>
      <c r="I79" t="s">
        <v>681</v>
      </c>
      <c r="J79" t="s">
        <v>1342</v>
      </c>
      <c r="K79" t="s">
        <v>873</v>
      </c>
      <c r="L79" t="s">
        <v>27</v>
      </c>
      <c r="M79" t="s">
        <v>19</v>
      </c>
      <c r="N79" t="s">
        <v>564</v>
      </c>
      <c r="O79" s="1" t="s">
        <v>1992</v>
      </c>
    </row>
    <row r="80" spans="1:18" x14ac:dyDescent="0.25">
      <c r="A80" t="s">
        <v>2212</v>
      </c>
      <c r="B80" t="s">
        <v>2213</v>
      </c>
      <c r="C80" t="s">
        <v>2214</v>
      </c>
      <c r="D80" t="s">
        <v>2215</v>
      </c>
      <c r="E80" t="s">
        <v>2216</v>
      </c>
      <c r="F80" t="s">
        <v>2217</v>
      </c>
      <c r="G80" t="s">
        <v>2218</v>
      </c>
      <c r="H80" t="s">
        <v>221</v>
      </c>
      <c r="I80" t="s">
        <v>1577</v>
      </c>
      <c r="J80" t="s">
        <v>1342</v>
      </c>
      <c r="K80" t="s">
        <v>18</v>
      </c>
      <c r="L80" t="s">
        <v>18</v>
      </c>
      <c r="M80" t="s">
        <v>19</v>
      </c>
      <c r="N80" t="s">
        <v>2100</v>
      </c>
      <c r="O80" s="1" t="s">
        <v>2100</v>
      </c>
    </row>
    <row r="81" spans="1:15" x14ac:dyDescent="0.25">
      <c r="A81" t="s">
        <v>2220</v>
      </c>
      <c r="B81" t="s">
        <v>2213</v>
      </c>
      <c r="C81" t="s">
        <v>2214</v>
      </c>
      <c r="D81" t="s">
        <v>2215</v>
      </c>
      <c r="E81" t="s">
        <v>2221</v>
      </c>
      <c r="F81" t="s">
        <v>2217</v>
      </c>
      <c r="G81" t="s">
        <v>2218</v>
      </c>
      <c r="H81" t="s">
        <v>221</v>
      </c>
      <c r="I81" t="s">
        <v>1577</v>
      </c>
      <c r="J81" t="s">
        <v>1342</v>
      </c>
      <c r="K81" t="s">
        <v>18</v>
      </c>
      <c r="L81" t="s">
        <v>18</v>
      </c>
      <c r="M81" t="s">
        <v>19</v>
      </c>
      <c r="N81" t="s">
        <v>2100</v>
      </c>
      <c r="O81" s="1" t="s">
        <v>2100</v>
      </c>
    </row>
    <row r="82" spans="1:15" x14ac:dyDescent="0.25">
      <c r="A82" t="s">
        <v>436</v>
      </c>
      <c r="B82" t="s">
        <v>436</v>
      </c>
      <c r="C82" t="s">
        <v>438</v>
      </c>
      <c r="D82" t="s">
        <v>437</v>
      </c>
      <c r="E82" t="s">
        <v>439</v>
      </c>
      <c r="F82" t="s">
        <v>440</v>
      </c>
      <c r="G82" t="s">
        <v>441</v>
      </c>
      <c r="H82" t="s">
        <v>305</v>
      </c>
      <c r="I82" t="s">
        <v>681</v>
      </c>
      <c r="J82" t="s">
        <v>442</v>
      </c>
      <c r="K82" t="s">
        <v>42</v>
      </c>
      <c r="L82" t="s">
        <v>42</v>
      </c>
      <c r="M82" t="s">
        <v>19</v>
      </c>
      <c r="N82" t="s">
        <v>564</v>
      </c>
      <c r="O82" s="1" t="s">
        <v>553</v>
      </c>
    </row>
    <row r="83" spans="1:15" x14ac:dyDescent="0.25">
      <c r="A83" t="s">
        <v>2001</v>
      </c>
      <c r="B83" t="s">
        <v>2002</v>
      </c>
      <c r="C83" t="s">
        <v>2003</v>
      </c>
      <c r="D83" t="s">
        <v>2004</v>
      </c>
      <c r="E83" t="s">
        <v>2005</v>
      </c>
      <c r="F83" t="s">
        <v>2006</v>
      </c>
      <c r="G83" t="s">
        <v>2007</v>
      </c>
      <c r="H83" t="s">
        <v>221</v>
      </c>
      <c r="I83" t="s">
        <v>1195</v>
      </c>
      <c r="J83" t="s">
        <v>222</v>
      </c>
      <c r="K83" t="s">
        <v>871</v>
      </c>
      <c r="L83" t="s">
        <v>27</v>
      </c>
      <c r="M83" t="s">
        <v>19</v>
      </c>
      <c r="N83" t="s">
        <v>2008</v>
      </c>
      <c r="O83" s="1" t="s">
        <v>2010</v>
      </c>
    </row>
    <row r="84" spans="1:15" x14ac:dyDescent="0.25">
      <c r="A84" t="s">
        <v>449</v>
      </c>
      <c r="B84" t="s">
        <v>1471</v>
      </c>
      <c r="C84" t="s">
        <v>447</v>
      </c>
      <c r="D84" t="s">
        <v>1661</v>
      </c>
      <c r="E84" t="s">
        <v>450</v>
      </c>
      <c r="F84" t="s">
        <v>1472</v>
      </c>
      <c r="G84" t="s">
        <v>1823</v>
      </c>
      <c r="H84" t="s">
        <v>101</v>
      </c>
      <c r="I84" t="s">
        <v>67</v>
      </c>
      <c r="J84" t="s">
        <v>102</v>
      </c>
      <c r="K84" t="s">
        <v>871</v>
      </c>
      <c r="L84" t="s">
        <v>27</v>
      </c>
      <c r="M84" t="s">
        <v>19</v>
      </c>
      <c r="N84" t="s">
        <v>564</v>
      </c>
      <c r="O84" s="1" t="s">
        <v>1992</v>
      </c>
    </row>
    <row r="85" spans="1:15" x14ac:dyDescent="0.25">
      <c r="A85" t="s">
        <v>1088</v>
      </c>
      <c r="B85" t="s">
        <v>1473</v>
      </c>
      <c r="C85" t="s">
        <v>451</v>
      </c>
      <c r="D85" t="s">
        <v>1662</v>
      </c>
      <c r="E85" t="s">
        <v>1089</v>
      </c>
      <c r="F85" t="s">
        <v>1474</v>
      </c>
      <c r="G85" t="s">
        <v>1824</v>
      </c>
      <c r="H85" t="s">
        <v>221</v>
      </c>
      <c r="I85" t="s">
        <v>1195</v>
      </c>
      <c r="J85" t="s">
        <v>228</v>
      </c>
      <c r="K85" t="s">
        <v>871</v>
      </c>
      <c r="L85" t="s">
        <v>27</v>
      </c>
      <c r="M85" t="s">
        <v>19</v>
      </c>
      <c r="N85" t="s">
        <v>2298</v>
      </c>
      <c r="O85" s="1" t="s">
        <v>2100</v>
      </c>
    </row>
    <row r="86" spans="1:15" x14ac:dyDescent="0.25">
      <c r="A86" t="s">
        <v>1888</v>
      </c>
      <c r="B86" t="s">
        <v>1473</v>
      </c>
      <c r="C86" t="s">
        <v>451</v>
      </c>
      <c r="D86" t="s">
        <v>1662</v>
      </c>
      <c r="E86" t="s">
        <v>1889</v>
      </c>
      <c r="F86" t="s">
        <v>1474</v>
      </c>
      <c r="G86" t="s">
        <v>1824</v>
      </c>
      <c r="H86" t="s">
        <v>221</v>
      </c>
      <c r="I86" t="s">
        <v>1195</v>
      </c>
      <c r="J86" t="s">
        <v>228</v>
      </c>
      <c r="K86" t="s">
        <v>871</v>
      </c>
      <c r="L86" t="s">
        <v>27</v>
      </c>
      <c r="M86" t="s">
        <v>19</v>
      </c>
      <c r="N86" t="s">
        <v>2298</v>
      </c>
      <c r="O86" s="1" t="s">
        <v>2100</v>
      </c>
    </row>
    <row r="87" spans="1:15" x14ac:dyDescent="0.25">
      <c r="A87" t="s">
        <v>969</v>
      </c>
      <c r="B87" t="s">
        <v>1473</v>
      </c>
      <c r="C87" t="s">
        <v>451</v>
      </c>
      <c r="D87" t="s">
        <v>1662</v>
      </c>
      <c r="E87" t="s">
        <v>970</v>
      </c>
      <c r="F87" t="s">
        <v>1474</v>
      </c>
      <c r="G87" t="s">
        <v>1824</v>
      </c>
      <c r="H87" t="s">
        <v>221</v>
      </c>
      <c r="I87" t="s">
        <v>1195</v>
      </c>
      <c r="J87" t="s">
        <v>228</v>
      </c>
      <c r="K87" t="s">
        <v>871</v>
      </c>
      <c r="L87" t="s">
        <v>27</v>
      </c>
      <c r="M87" t="s">
        <v>19</v>
      </c>
      <c r="N87" t="s">
        <v>2298</v>
      </c>
      <c r="O87" s="1" t="s">
        <v>2100</v>
      </c>
    </row>
    <row r="88" spans="1:15" x14ac:dyDescent="0.25">
      <c r="A88" t="s">
        <v>1565</v>
      </c>
      <c r="B88" t="s">
        <v>1473</v>
      </c>
      <c r="C88" t="s">
        <v>451</v>
      </c>
      <c r="D88" t="s">
        <v>1662</v>
      </c>
      <c r="E88" t="s">
        <v>1566</v>
      </c>
      <c r="F88" t="s">
        <v>1474</v>
      </c>
      <c r="G88" t="s">
        <v>1824</v>
      </c>
      <c r="H88" t="s">
        <v>221</v>
      </c>
      <c r="I88" t="s">
        <v>1195</v>
      </c>
      <c r="J88" t="s">
        <v>228</v>
      </c>
      <c r="K88" t="s">
        <v>871</v>
      </c>
      <c r="L88" t="s">
        <v>27</v>
      </c>
      <c r="M88" t="s">
        <v>19</v>
      </c>
      <c r="N88" t="s">
        <v>2298</v>
      </c>
      <c r="O88" s="1" t="s">
        <v>2100</v>
      </c>
    </row>
    <row r="89" spans="1:15" x14ac:dyDescent="0.25">
      <c r="A89" t="s">
        <v>971</v>
      </c>
      <c r="B89" t="s">
        <v>1473</v>
      </c>
      <c r="C89" t="s">
        <v>451</v>
      </c>
      <c r="D89" t="s">
        <v>1662</v>
      </c>
      <c r="E89" t="s">
        <v>972</v>
      </c>
      <c r="F89" t="s">
        <v>1474</v>
      </c>
      <c r="G89" t="s">
        <v>1824</v>
      </c>
      <c r="H89" t="s">
        <v>221</v>
      </c>
      <c r="I89" t="s">
        <v>1195</v>
      </c>
      <c r="J89" t="s">
        <v>228</v>
      </c>
      <c r="K89" t="s">
        <v>871</v>
      </c>
      <c r="L89" t="s">
        <v>27</v>
      </c>
      <c r="M89" t="s">
        <v>19</v>
      </c>
      <c r="N89" t="s">
        <v>2298</v>
      </c>
      <c r="O89" s="1" t="s">
        <v>2100</v>
      </c>
    </row>
    <row r="90" spans="1:15" x14ac:dyDescent="0.25">
      <c r="A90" t="s">
        <v>1545</v>
      </c>
      <c r="B90" t="s">
        <v>1475</v>
      </c>
      <c r="C90" t="s">
        <v>453</v>
      </c>
      <c r="D90" t="s">
        <v>1663</v>
      </c>
      <c r="E90" t="s">
        <v>1546</v>
      </c>
      <c r="F90" t="s">
        <v>1476</v>
      </c>
      <c r="G90" t="s">
        <v>1825</v>
      </c>
      <c r="H90" t="s">
        <v>927</v>
      </c>
      <c r="I90" t="s">
        <v>34</v>
      </c>
      <c r="J90" t="s">
        <v>1240</v>
      </c>
      <c r="K90" t="s">
        <v>871</v>
      </c>
      <c r="L90" t="s">
        <v>27</v>
      </c>
      <c r="M90" t="s">
        <v>19</v>
      </c>
      <c r="N90" t="s">
        <v>566</v>
      </c>
      <c r="O90" s="1" t="s">
        <v>1992</v>
      </c>
    </row>
    <row r="91" spans="1:15" x14ac:dyDescent="0.25">
      <c r="A91" t="s">
        <v>455</v>
      </c>
      <c r="B91" t="s">
        <v>455</v>
      </c>
      <c r="C91" t="s">
        <v>457</v>
      </c>
      <c r="D91" t="s">
        <v>456</v>
      </c>
      <c r="E91" t="s">
        <v>458</v>
      </c>
      <c r="F91" t="s">
        <v>459</v>
      </c>
      <c r="H91" t="s">
        <v>221</v>
      </c>
      <c r="I91" t="s">
        <v>681</v>
      </c>
      <c r="J91" t="s">
        <v>460</v>
      </c>
      <c r="K91" t="s">
        <v>27</v>
      </c>
      <c r="L91" t="s">
        <v>27</v>
      </c>
      <c r="M91" t="s">
        <v>19</v>
      </c>
      <c r="N91" t="s">
        <v>569</v>
      </c>
      <c r="O91" s="1" t="s">
        <v>553</v>
      </c>
    </row>
    <row r="92" spans="1:15" x14ac:dyDescent="0.25">
      <c r="A92" t="s">
        <v>461</v>
      </c>
      <c r="B92" t="s">
        <v>461</v>
      </c>
      <c r="C92" t="s">
        <v>457</v>
      </c>
      <c r="D92" t="s">
        <v>456</v>
      </c>
      <c r="E92" t="s">
        <v>462</v>
      </c>
      <c r="F92" t="s">
        <v>459</v>
      </c>
      <c r="H92" t="s">
        <v>221</v>
      </c>
      <c r="I92" t="s">
        <v>681</v>
      </c>
      <c r="J92" t="s">
        <v>460</v>
      </c>
      <c r="K92" t="s">
        <v>27</v>
      </c>
      <c r="L92" t="s">
        <v>27</v>
      </c>
      <c r="M92" t="s">
        <v>19</v>
      </c>
      <c r="N92" t="s">
        <v>569</v>
      </c>
      <c r="O92" s="1" t="s">
        <v>553</v>
      </c>
    </row>
    <row r="93" spans="1:15" x14ac:dyDescent="0.25">
      <c r="A93" t="s">
        <v>1477</v>
      </c>
      <c r="B93" t="s">
        <v>1478</v>
      </c>
      <c r="C93" t="s">
        <v>1479</v>
      </c>
      <c r="D93" t="s">
        <v>1480</v>
      </c>
      <c r="E93" t="s">
        <v>1481</v>
      </c>
      <c r="F93" t="s">
        <v>1482</v>
      </c>
      <c r="G93" t="s">
        <v>1061</v>
      </c>
      <c r="H93" t="s">
        <v>16</v>
      </c>
      <c r="I93" t="s">
        <v>1021</v>
      </c>
      <c r="J93" t="s">
        <v>1021</v>
      </c>
      <c r="K93" t="s">
        <v>871</v>
      </c>
      <c r="L93" t="s">
        <v>42</v>
      </c>
      <c r="M93" t="s">
        <v>19</v>
      </c>
      <c r="N93" t="s">
        <v>569</v>
      </c>
      <c r="O93" s="1" t="s">
        <v>553</v>
      </c>
    </row>
    <row r="94" spans="1:15" x14ac:dyDescent="0.25">
      <c r="A94" t="s">
        <v>1914</v>
      </c>
      <c r="B94" t="s">
        <v>1915</v>
      </c>
      <c r="C94" t="s">
        <v>1916</v>
      </c>
      <c r="D94" t="s">
        <v>1916</v>
      </c>
      <c r="E94" t="s">
        <v>1917</v>
      </c>
      <c r="F94" t="s">
        <v>1918</v>
      </c>
      <c r="G94" t="s">
        <v>1061</v>
      </c>
      <c r="H94" t="s">
        <v>1010</v>
      </c>
      <c r="I94" t="s">
        <v>1890</v>
      </c>
      <c r="J94" t="s">
        <v>1010</v>
      </c>
      <c r="K94" t="s">
        <v>871</v>
      </c>
      <c r="L94" t="s">
        <v>27</v>
      </c>
      <c r="M94" t="s">
        <v>19</v>
      </c>
      <c r="N94" t="s">
        <v>564</v>
      </c>
      <c r="O94" s="1" t="s">
        <v>553</v>
      </c>
    </row>
    <row r="95" spans="1:15" x14ac:dyDescent="0.25">
      <c r="A95" t="s">
        <v>1985</v>
      </c>
      <c r="B95" t="s">
        <v>1986</v>
      </c>
      <c r="C95" t="s">
        <v>1987</v>
      </c>
      <c r="D95" t="s">
        <v>1988</v>
      </c>
      <c r="E95" t="s">
        <v>1989</v>
      </c>
      <c r="F95" t="s">
        <v>1990</v>
      </c>
      <c r="G95" t="s">
        <v>1991</v>
      </c>
      <c r="H95" t="s">
        <v>1260</v>
      </c>
      <c r="I95" t="s">
        <v>1014</v>
      </c>
      <c r="J95" t="s">
        <v>1528</v>
      </c>
      <c r="K95" t="s">
        <v>27</v>
      </c>
      <c r="L95" t="s">
        <v>27</v>
      </c>
      <c r="M95" t="s">
        <v>19</v>
      </c>
      <c r="N95" t="s">
        <v>865</v>
      </c>
      <c r="O95" s="1" t="s">
        <v>1993</v>
      </c>
    </row>
    <row r="96" spans="1:15" x14ac:dyDescent="0.25">
      <c r="A96" t="s">
        <v>1985</v>
      </c>
      <c r="B96" t="s">
        <v>1986</v>
      </c>
      <c r="C96" t="s">
        <v>1987</v>
      </c>
      <c r="D96" t="s">
        <v>1988</v>
      </c>
      <c r="E96" t="s">
        <v>2223</v>
      </c>
      <c r="F96" t="s">
        <v>1990</v>
      </c>
      <c r="G96" t="s">
        <v>1991</v>
      </c>
      <c r="H96" t="s">
        <v>1260</v>
      </c>
      <c r="I96" t="s">
        <v>1195</v>
      </c>
      <c r="J96" t="s">
        <v>1528</v>
      </c>
      <c r="K96" t="s">
        <v>27</v>
      </c>
      <c r="L96" t="s">
        <v>27</v>
      </c>
      <c r="M96" t="s">
        <v>19</v>
      </c>
      <c r="N96" t="s">
        <v>2008</v>
      </c>
      <c r="O96" s="1" t="s">
        <v>2008</v>
      </c>
    </row>
    <row r="97" spans="1:15" x14ac:dyDescent="0.25">
      <c r="A97" t="s">
        <v>2271</v>
      </c>
      <c r="B97" t="s">
        <v>2272</v>
      </c>
      <c r="C97" t="s">
        <v>2273</v>
      </c>
      <c r="D97" t="s">
        <v>2274</v>
      </c>
      <c r="E97" t="s">
        <v>2275</v>
      </c>
      <c r="F97" t="s">
        <v>2276</v>
      </c>
      <c r="G97" t="s">
        <v>1061</v>
      </c>
      <c r="H97" t="s">
        <v>1010</v>
      </c>
      <c r="I97" t="s">
        <v>1890</v>
      </c>
      <c r="J97" t="s">
        <v>1010</v>
      </c>
      <c r="K97" t="s">
        <v>871</v>
      </c>
      <c r="L97" t="s">
        <v>27</v>
      </c>
      <c r="M97" t="s">
        <v>19</v>
      </c>
      <c r="N97" t="s">
        <v>2008</v>
      </c>
      <c r="O97" s="1" t="s">
        <v>2008</v>
      </c>
    </row>
    <row r="98" spans="1:15" x14ac:dyDescent="0.25">
      <c r="A98" t="s">
        <v>2277</v>
      </c>
      <c r="B98" t="s">
        <v>2272</v>
      </c>
      <c r="C98" t="s">
        <v>2273</v>
      </c>
      <c r="D98" t="s">
        <v>2274</v>
      </c>
      <c r="E98" t="s">
        <v>2278</v>
      </c>
      <c r="F98" t="s">
        <v>2276</v>
      </c>
      <c r="G98" t="s">
        <v>1061</v>
      </c>
      <c r="H98" t="s">
        <v>1010</v>
      </c>
      <c r="I98" t="s">
        <v>1890</v>
      </c>
      <c r="J98" t="s">
        <v>1010</v>
      </c>
      <c r="K98" t="s">
        <v>871</v>
      </c>
      <c r="L98" t="s">
        <v>27</v>
      </c>
      <c r="M98" t="s">
        <v>19</v>
      </c>
      <c r="N98" t="s">
        <v>2008</v>
      </c>
      <c r="O98" s="1" t="s">
        <v>2008</v>
      </c>
    </row>
    <row r="99" spans="1:15" x14ac:dyDescent="0.25">
      <c r="A99" t="s">
        <v>469</v>
      </c>
      <c r="B99" t="s">
        <v>469</v>
      </c>
      <c r="C99" t="s">
        <v>471</v>
      </c>
      <c r="D99" t="s">
        <v>470</v>
      </c>
      <c r="E99" t="s">
        <v>472</v>
      </c>
      <c r="F99" t="s">
        <v>473</v>
      </c>
      <c r="G99" t="s">
        <v>474</v>
      </c>
      <c r="H99" t="s">
        <v>221</v>
      </c>
      <c r="I99" t="s">
        <v>681</v>
      </c>
      <c r="J99" t="s">
        <v>222</v>
      </c>
      <c r="K99" t="s">
        <v>41</v>
      </c>
      <c r="L99" t="s">
        <v>41</v>
      </c>
      <c r="M99" t="s">
        <v>19</v>
      </c>
      <c r="N99" t="s">
        <v>576</v>
      </c>
      <c r="O99" s="1" t="s">
        <v>553</v>
      </c>
    </row>
    <row r="100" spans="1:15" x14ac:dyDescent="0.25">
      <c r="A100" t="s">
        <v>2051</v>
      </c>
      <c r="B100" t="s">
        <v>2052</v>
      </c>
      <c r="C100" t="s">
        <v>2053</v>
      </c>
      <c r="D100" t="s">
        <v>2054</v>
      </c>
      <c r="E100" t="s">
        <v>2055</v>
      </c>
      <c r="F100" t="s">
        <v>473</v>
      </c>
      <c r="G100" t="s">
        <v>2031</v>
      </c>
      <c r="H100" t="s">
        <v>221</v>
      </c>
      <c r="I100" t="s">
        <v>681</v>
      </c>
      <c r="J100" t="s">
        <v>222</v>
      </c>
      <c r="K100" t="s">
        <v>872</v>
      </c>
      <c r="L100" t="s">
        <v>41</v>
      </c>
      <c r="M100" t="s">
        <v>19</v>
      </c>
      <c r="N100" t="s">
        <v>576</v>
      </c>
      <c r="O100" s="1" t="s">
        <v>553</v>
      </c>
    </row>
    <row r="101" spans="1:15" x14ac:dyDescent="0.25">
      <c r="A101" t="s">
        <v>475</v>
      </c>
      <c r="B101" t="s">
        <v>1489</v>
      </c>
      <c r="C101" t="s">
        <v>476</v>
      </c>
      <c r="D101" t="s">
        <v>1666</v>
      </c>
      <c r="E101" t="s">
        <v>477</v>
      </c>
      <c r="F101" t="s">
        <v>1490</v>
      </c>
      <c r="G101" t="s">
        <v>1827</v>
      </c>
      <c r="H101" t="s">
        <v>1200</v>
      </c>
      <c r="I101" t="s">
        <v>34</v>
      </c>
      <c r="J101" t="s">
        <v>1293</v>
      </c>
      <c r="K101" t="s">
        <v>873</v>
      </c>
      <c r="L101" t="s">
        <v>42</v>
      </c>
      <c r="M101" t="s">
        <v>19</v>
      </c>
      <c r="N101" t="s">
        <v>565</v>
      </c>
      <c r="O101" s="1" t="s">
        <v>1992</v>
      </c>
    </row>
    <row r="102" spans="1:15" x14ac:dyDescent="0.25">
      <c r="A102" t="s">
        <v>481</v>
      </c>
      <c r="B102" t="s">
        <v>1496</v>
      </c>
      <c r="C102" t="s">
        <v>482</v>
      </c>
      <c r="D102" t="s">
        <v>1669</v>
      </c>
      <c r="E102" t="s">
        <v>483</v>
      </c>
      <c r="F102" t="s">
        <v>1497</v>
      </c>
      <c r="G102" t="s">
        <v>1061</v>
      </c>
      <c r="H102" t="s">
        <v>1418</v>
      </c>
      <c r="I102" t="s">
        <v>67</v>
      </c>
      <c r="J102" t="s">
        <v>1419</v>
      </c>
      <c r="K102" t="s">
        <v>18</v>
      </c>
      <c r="L102" t="s">
        <v>18</v>
      </c>
      <c r="M102" t="s">
        <v>19</v>
      </c>
      <c r="N102" t="s">
        <v>564</v>
      </c>
      <c r="O102" s="1" t="s">
        <v>1992</v>
      </c>
    </row>
    <row r="103" spans="1:15" x14ac:dyDescent="0.25">
      <c r="A103" t="s">
        <v>2350</v>
      </c>
      <c r="B103" t="s">
        <v>2351</v>
      </c>
      <c r="C103" t="s">
        <v>2352</v>
      </c>
      <c r="D103" t="s">
        <v>2353</v>
      </c>
      <c r="E103" t="s">
        <v>2354</v>
      </c>
      <c r="F103" t="s">
        <v>2355</v>
      </c>
      <c r="G103" t="s">
        <v>2356</v>
      </c>
      <c r="H103" t="s">
        <v>16</v>
      </c>
      <c r="I103" t="s">
        <v>1890</v>
      </c>
      <c r="J103" t="s">
        <v>1339</v>
      </c>
      <c r="K103" t="s">
        <v>31</v>
      </c>
      <c r="L103" t="s">
        <v>31</v>
      </c>
      <c r="M103" t="s">
        <v>19</v>
      </c>
      <c r="N103" t="s">
        <v>2008</v>
      </c>
      <c r="O103" s="1" t="s">
        <v>553</v>
      </c>
    </row>
    <row r="104" spans="1:15" x14ac:dyDescent="0.25">
      <c r="A104" t="s">
        <v>1069</v>
      </c>
      <c r="B104" t="s">
        <v>1501</v>
      </c>
      <c r="C104" t="s">
        <v>1070</v>
      </c>
      <c r="D104" t="s">
        <v>1672</v>
      </c>
      <c r="E104" t="s">
        <v>1071</v>
      </c>
      <c r="F104" t="s">
        <v>1502</v>
      </c>
      <c r="G104" t="s">
        <v>1832</v>
      </c>
      <c r="H104" t="s">
        <v>138</v>
      </c>
      <c r="I104" t="s">
        <v>71</v>
      </c>
      <c r="J104" t="s">
        <v>1503</v>
      </c>
      <c r="K104" t="s">
        <v>27</v>
      </c>
      <c r="L104" t="s">
        <v>27</v>
      </c>
      <c r="M104" t="s">
        <v>19</v>
      </c>
      <c r="N104" t="s">
        <v>564</v>
      </c>
      <c r="O104" s="1" t="s">
        <v>1992</v>
      </c>
    </row>
    <row r="105" spans="1:15" x14ac:dyDescent="0.25">
      <c r="A105" t="s">
        <v>814</v>
      </c>
      <c r="B105" t="s">
        <v>1504</v>
      </c>
      <c r="C105" t="s">
        <v>495</v>
      </c>
      <c r="D105" t="s">
        <v>1673</v>
      </c>
      <c r="E105" t="s">
        <v>815</v>
      </c>
      <c r="F105" t="s">
        <v>1505</v>
      </c>
      <c r="G105" t="s">
        <v>1834</v>
      </c>
      <c r="H105" t="s">
        <v>1016</v>
      </c>
      <c r="I105" t="s">
        <v>1014</v>
      </c>
      <c r="J105" t="s">
        <v>1017</v>
      </c>
      <c r="K105" t="s">
        <v>27</v>
      </c>
      <c r="L105" t="s">
        <v>27</v>
      </c>
      <c r="M105" t="s">
        <v>19</v>
      </c>
      <c r="N105" t="s">
        <v>565</v>
      </c>
      <c r="O105" s="1" t="s">
        <v>1992</v>
      </c>
    </row>
    <row r="106" spans="1:15" x14ac:dyDescent="0.25">
      <c r="A106" t="s">
        <v>503</v>
      </c>
      <c r="B106" t="s">
        <v>851</v>
      </c>
      <c r="C106" t="s">
        <v>504</v>
      </c>
      <c r="D106" t="s">
        <v>1024</v>
      </c>
      <c r="E106" t="s">
        <v>505</v>
      </c>
      <c r="F106" t="s">
        <v>506</v>
      </c>
      <c r="G106" t="s">
        <v>506</v>
      </c>
      <c r="H106" t="s">
        <v>933</v>
      </c>
      <c r="I106" t="s">
        <v>926</v>
      </c>
      <c r="J106" t="s">
        <v>1025</v>
      </c>
      <c r="K106" t="s">
        <v>42</v>
      </c>
      <c r="L106" t="s">
        <v>42</v>
      </c>
      <c r="M106" t="s">
        <v>19</v>
      </c>
      <c r="N106" t="s">
        <v>565</v>
      </c>
      <c r="O106" s="1" t="s">
        <v>1128</v>
      </c>
    </row>
    <row r="107" spans="1:15" x14ac:dyDescent="0.25">
      <c r="A107" t="s">
        <v>508</v>
      </c>
      <c r="B107" t="s">
        <v>508</v>
      </c>
      <c r="C107" t="s">
        <v>510</v>
      </c>
      <c r="D107" t="s">
        <v>509</v>
      </c>
      <c r="E107" t="s">
        <v>511</v>
      </c>
      <c r="F107" t="s">
        <v>512</v>
      </c>
      <c r="G107" t="s">
        <v>513</v>
      </c>
      <c r="H107" t="s">
        <v>16</v>
      </c>
      <c r="I107" t="s">
        <v>17</v>
      </c>
      <c r="J107" t="s">
        <v>30</v>
      </c>
      <c r="K107" t="s">
        <v>42</v>
      </c>
      <c r="L107" t="s">
        <v>42</v>
      </c>
      <c r="M107" t="s">
        <v>19</v>
      </c>
      <c r="N107" t="s">
        <v>565</v>
      </c>
      <c r="O107" s="1" t="s">
        <v>553</v>
      </c>
    </row>
    <row r="108" spans="1:15" x14ac:dyDescent="0.25">
      <c r="A108" t="s">
        <v>2224</v>
      </c>
      <c r="B108" t="s">
        <v>2225</v>
      </c>
      <c r="C108" t="s">
        <v>2226</v>
      </c>
      <c r="D108" t="s">
        <v>2227</v>
      </c>
      <c r="E108" t="s">
        <v>2228</v>
      </c>
      <c r="F108" t="s">
        <v>2229</v>
      </c>
      <c r="G108" t="s">
        <v>2230</v>
      </c>
      <c r="H108" t="s">
        <v>1218</v>
      </c>
      <c r="I108" t="s">
        <v>1195</v>
      </c>
      <c r="J108" t="s">
        <v>2231</v>
      </c>
      <c r="K108" t="s">
        <v>42</v>
      </c>
      <c r="L108" t="s">
        <v>42</v>
      </c>
      <c r="M108" t="s">
        <v>19</v>
      </c>
      <c r="N108" t="s">
        <v>2195</v>
      </c>
      <c r="O108" s="1" t="s">
        <v>2100</v>
      </c>
    </row>
    <row r="109" spans="1:15" x14ac:dyDescent="0.25">
      <c r="A109" t="s">
        <v>2233</v>
      </c>
      <c r="B109" t="s">
        <v>2225</v>
      </c>
      <c r="C109" t="s">
        <v>2226</v>
      </c>
      <c r="D109" t="s">
        <v>2227</v>
      </c>
      <c r="E109" t="s">
        <v>2234</v>
      </c>
      <c r="F109" t="s">
        <v>2229</v>
      </c>
      <c r="G109" t="s">
        <v>2230</v>
      </c>
      <c r="H109" t="s">
        <v>1218</v>
      </c>
      <c r="I109" t="s">
        <v>1195</v>
      </c>
      <c r="J109" t="s">
        <v>2231</v>
      </c>
      <c r="K109" t="s">
        <v>42</v>
      </c>
      <c r="L109" t="s">
        <v>42</v>
      </c>
      <c r="M109" t="s">
        <v>19</v>
      </c>
      <c r="N109" t="s">
        <v>2100</v>
      </c>
      <c r="O109" s="1" t="s">
        <v>2100</v>
      </c>
    </row>
    <row r="110" spans="1:15" x14ac:dyDescent="0.25">
      <c r="A110" t="s">
        <v>517</v>
      </c>
      <c r="B110" t="s">
        <v>1514</v>
      </c>
      <c r="C110" t="s">
        <v>518</v>
      </c>
      <c r="D110" t="s">
        <v>1676</v>
      </c>
      <c r="E110" t="s">
        <v>519</v>
      </c>
      <c r="F110" t="s">
        <v>1515</v>
      </c>
      <c r="G110" t="s">
        <v>1788</v>
      </c>
      <c r="H110" t="s">
        <v>26</v>
      </c>
      <c r="I110" t="s">
        <v>681</v>
      </c>
      <c r="J110" t="s">
        <v>26</v>
      </c>
      <c r="K110" t="s">
        <v>41</v>
      </c>
      <c r="L110" t="s">
        <v>41</v>
      </c>
      <c r="M110" t="s">
        <v>19</v>
      </c>
      <c r="N110" t="s">
        <v>565</v>
      </c>
      <c r="O110" s="1" t="s">
        <v>1992</v>
      </c>
    </row>
    <row r="111" spans="1:15" x14ac:dyDescent="0.25">
      <c r="A111" t="s">
        <v>1001</v>
      </c>
      <c r="B111" t="s">
        <v>1002</v>
      </c>
      <c r="C111" t="s">
        <v>1003</v>
      </c>
      <c r="D111" t="s">
        <v>1004</v>
      </c>
      <c r="E111" t="s">
        <v>1005</v>
      </c>
      <c r="F111" t="s">
        <v>1006</v>
      </c>
      <c r="G111" t="s">
        <v>1006</v>
      </c>
      <c r="H111" t="s">
        <v>221</v>
      </c>
      <c r="I111" t="s">
        <v>681</v>
      </c>
      <c r="J111" t="s">
        <v>222</v>
      </c>
      <c r="K111" t="s">
        <v>875</v>
      </c>
      <c r="L111" t="s">
        <v>27</v>
      </c>
      <c r="M111" t="s">
        <v>19</v>
      </c>
      <c r="N111" t="s">
        <v>865</v>
      </c>
      <c r="O111" s="1" t="s">
        <v>553</v>
      </c>
    </row>
    <row r="112" spans="1:15" x14ac:dyDescent="0.25">
      <c r="A112" t="s">
        <v>2235</v>
      </c>
      <c r="B112" t="s">
        <v>2236</v>
      </c>
      <c r="C112" t="s">
        <v>2237</v>
      </c>
      <c r="D112" t="s">
        <v>2238</v>
      </c>
      <c r="E112" t="s">
        <v>2239</v>
      </c>
      <c r="F112" t="s">
        <v>2240</v>
      </c>
      <c r="G112" t="s">
        <v>2241</v>
      </c>
      <c r="H112" t="s">
        <v>1210</v>
      </c>
      <c r="I112" t="s">
        <v>1195</v>
      </c>
      <c r="J112" t="s">
        <v>2166</v>
      </c>
      <c r="K112" t="s">
        <v>871</v>
      </c>
      <c r="L112" t="s">
        <v>27</v>
      </c>
      <c r="M112" t="s">
        <v>19</v>
      </c>
      <c r="N112" t="s">
        <v>1061</v>
      </c>
      <c r="O112" s="1" t="s">
        <v>2008</v>
      </c>
    </row>
    <row r="113" spans="1:18" x14ac:dyDescent="0.25">
      <c r="A113" t="s">
        <v>935</v>
      </c>
      <c r="B113" t="s">
        <v>936</v>
      </c>
      <c r="C113" t="s">
        <v>937</v>
      </c>
      <c r="D113" t="s">
        <v>938</v>
      </c>
      <c r="E113" t="s">
        <v>939</v>
      </c>
      <c r="F113" t="s">
        <v>940</v>
      </c>
      <c r="H113" t="s">
        <v>16</v>
      </c>
      <c r="I113" t="s">
        <v>17</v>
      </c>
      <c r="J113" t="s">
        <v>30</v>
      </c>
      <c r="K113" t="s">
        <v>42</v>
      </c>
      <c r="L113" t="s">
        <v>42</v>
      </c>
      <c r="M113" t="s">
        <v>19</v>
      </c>
      <c r="N113" t="s">
        <v>565</v>
      </c>
      <c r="O113" s="1" t="s">
        <v>553</v>
      </c>
      <c r="P113" s="7"/>
      <c r="Q113" s="7"/>
      <c r="R113" s="7"/>
    </row>
    <row r="114" spans="1:18" x14ac:dyDescent="0.25">
      <c r="A114" t="s">
        <v>2021</v>
      </c>
      <c r="B114" t="s">
        <v>2022</v>
      </c>
      <c r="C114" t="s">
        <v>2023</v>
      </c>
      <c r="D114" t="s">
        <v>2023</v>
      </c>
      <c r="E114" t="s">
        <v>2024</v>
      </c>
      <c r="F114" t="s">
        <v>2025</v>
      </c>
      <c r="G114" t="s">
        <v>2026</v>
      </c>
      <c r="H114" t="s">
        <v>2027</v>
      </c>
      <c r="I114" t="s">
        <v>1195</v>
      </c>
      <c r="J114" t="s">
        <v>2027</v>
      </c>
      <c r="K114" t="s">
        <v>871</v>
      </c>
      <c r="L114" t="s">
        <v>27</v>
      </c>
      <c r="M114" t="s">
        <v>19</v>
      </c>
      <c r="N114" t="s">
        <v>569</v>
      </c>
      <c r="O114" s="1" t="s">
        <v>553</v>
      </c>
    </row>
    <row r="115" spans="1:18" x14ac:dyDescent="0.25">
      <c r="A115" t="s">
        <v>2093</v>
      </c>
      <c r="B115" t="s">
        <v>2094</v>
      </c>
      <c r="C115" t="s">
        <v>2095</v>
      </c>
      <c r="D115" t="s">
        <v>2096</v>
      </c>
      <c r="E115" t="s">
        <v>2097</v>
      </c>
      <c r="F115" t="s">
        <v>2098</v>
      </c>
      <c r="G115" t="s">
        <v>2099</v>
      </c>
      <c r="H115" t="s">
        <v>933</v>
      </c>
      <c r="I115" t="s">
        <v>1195</v>
      </c>
      <c r="J115" t="s">
        <v>1025</v>
      </c>
      <c r="K115" t="s">
        <v>31</v>
      </c>
      <c r="L115" t="s">
        <v>31</v>
      </c>
      <c r="M115" t="s">
        <v>19</v>
      </c>
      <c r="N115" t="s">
        <v>2100</v>
      </c>
      <c r="O115" s="1" t="s">
        <v>2100</v>
      </c>
    </row>
    <row r="116" spans="1:18" x14ac:dyDescent="0.25">
      <c r="A116" t="s">
        <v>2242</v>
      </c>
      <c r="B116" t="s">
        <v>2243</v>
      </c>
      <c r="C116" t="s">
        <v>2244</v>
      </c>
      <c r="D116" t="s">
        <v>2245</v>
      </c>
      <c r="E116" t="s">
        <v>2246</v>
      </c>
      <c r="F116" t="s">
        <v>2247</v>
      </c>
      <c r="G116" t="s">
        <v>1061</v>
      </c>
      <c r="H116" t="s">
        <v>138</v>
      </c>
      <c r="I116" t="s">
        <v>1195</v>
      </c>
      <c r="J116" t="s">
        <v>1724</v>
      </c>
      <c r="K116" t="s">
        <v>31</v>
      </c>
      <c r="L116" t="s">
        <v>31</v>
      </c>
      <c r="M116" t="s">
        <v>19</v>
      </c>
      <c r="N116" t="s">
        <v>1061</v>
      </c>
      <c r="O116" s="1" t="s">
        <v>2008</v>
      </c>
    </row>
    <row r="117" spans="1:18" x14ac:dyDescent="0.25">
      <c r="A117" t="s">
        <v>540</v>
      </c>
      <c r="B117" t="s">
        <v>541</v>
      </c>
      <c r="C117" t="s">
        <v>541</v>
      </c>
      <c r="D117" t="s">
        <v>868</v>
      </c>
      <c r="E117" t="s">
        <v>542</v>
      </c>
      <c r="F117" t="s">
        <v>543</v>
      </c>
      <c r="H117" t="s">
        <v>67</v>
      </c>
      <c r="I117" t="s">
        <v>67</v>
      </c>
      <c r="J117" t="s">
        <v>67</v>
      </c>
      <c r="K117" t="s">
        <v>31</v>
      </c>
      <c r="L117" t="s">
        <v>31</v>
      </c>
      <c r="M117" t="s">
        <v>19</v>
      </c>
      <c r="N117" t="s">
        <v>865</v>
      </c>
      <c r="O117" s="1" t="s">
        <v>553</v>
      </c>
    </row>
    <row r="118" spans="1:18" x14ac:dyDescent="0.25">
      <c r="A118" t="s">
        <v>2248</v>
      </c>
      <c r="B118" t="s">
        <v>2249</v>
      </c>
      <c r="C118" t="s">
        <v>2250</v>
      </c>
      <c r="D118" t="s">
        <v>2250</v>
      </c>
      <c r="E118" t="s">
        <v>2251</v>
      </c>
      <c r="F118" t="s">
        <v>2252</v>
      </c>
      <c r="G118" t="s">
        <v>1061</v>
      </c>
      <c r="H118" t="s">
        <v>1218</v>
      </c>
      <c r="I118" t="s">
        <v>1195</v>
      </c>
      <c r="J118" t="s">
        <v>1219</v>
      </c>
      <c r="K118" t="s">
        <v>31</v>
      </c>
      <c r="L118" t="s">
        <v>31</v>
      </c>
      <c r="M118" t="s">
        <v>19</v>
      </c>
      <c r="N118" t="s">
        <v>1061</v>
      </c>
      <c r="O118" s="1" t="s">
        <v>2008</v>
      </c>
    </row>
    <row r="119" spans="1:18" x14ac:dyDescent="0.25">
      <c r="A119" t="s">
        <v>548</v>
      </c>
      <c r="B119" t="s">
        <v>1537</v>
      </c>
      <c r="C119" t="s">
        <v>546</v>
      </c>
      <c r="D119" t="s">
        <v>1684</v>
      </c>
      <c r="E119" t="s">
        <v>549</v>
      </c>
      <c r="F119" t="s">
        <v>1538</v>
      </c>
      <c r="G119" t="s">
        <v>1846</v>
      </c>
      <c r="H119" t="s">
        <v>1210</v>
      </c>
      <c r="I119" t="s">
        <v>1014</v>
      </c>
      <c r="J119" t="s">
        <v>1539</v>
      </c>
      <c r="K119" t="s">
        <v>870</v>
      </c>
      <c r="L119" t="s">
        <v>27</v>
      </c>
      <c r="M119" t="s">
        <v>19</v>
      </c>
      <c r="N119" t="s">
        <v>562</v>
      </c>
      <c r="O119" s="1" t="s">
        <v>1992</v>
      </c>
    </row>
    <row r="120" spans="1:18" x14ac:dyDescent="0.25">
      <c r="A120" t="s">
        <v>1038</v>
      </c>
      <c r="B120" t="s">
        <v>1039</v>
      </c>
      <c r="C120" t="s">
        <v>1040</v>
      </c>
      <c r="D120" t="s">
        <v>1041</v>
      </c>
      <c r="E120" t="s">
        <v>1042</v>
      </c>
      <c r="F120" t="s">
        <v>1043</v>
      </c>
      <c r="G120" t="s">
        <v>1044</v>
      </c>
      <c r="H120" t="s">
        <v>305</v>
      </c>
      <c r="I120" t="s">
        <v>681</v>
      </c>
      <c r="J120" t="s">
        <v>442</v>
      </c>
      <c r="K120" t="s">
        <v>873</v>
      </c>
      <c r="L120" t="s">
        <v>27</v>
      </c>
      <c r="M120" t="s">
        <v>19</v>
      </c>
      <c r="N120" t="s">
        <v>566</v>
      </c>
      <c r="O120" s="1" t="s">
        <v>553</v>
      </c>
    </row>
    <row r="121" spans="1:18" x14ac:dyDescent="0.25">
      <c r="A121" t="s">
        <v>1880</v>
      </c>
      <c r="B121" t="s">
        <v>1881</v>
      </c>
      <c r="C121" t="s">
        <v>1882</v>
      </c>
      <c r="D121" t="s">
        <v>1883</v>
      </c>
      <c r="E121" t="s">
        <v>1884</v>
      </c>
      <c r="F121" t="s">
        <v>1885</v>
      </c>
      <c r="G121" t="s">
        <v>1044</v>
      </c>
      <c r="H121" t="s">
        <v>101</v>
      </c>
      <c r="I121" t="s">
        <v>1195</v>
      </c>
      <c r="J121" t="s">
        <v>310</v>
      </c>
      <c r="K121" t="s">
        <v>873</v>
      </c>
      <c r="L121" t="s">
        <v>27</v>
      </c>
      <c r="M121" t="s">
        <v>19</v>
      </c>
      <c r="N121" t="s">
        <v>566</v>
      </c>
      <c r="O121" s="1" t="s">
        <v>553</v>
      </c>
    </row>
    <row r="122" spans="1:18" x14ac:dyDescent="0.25">
      <c r="A122" t="s">
        <v>264</v>
      </c>
      <c r="B122" t="s">
        <v>2061</v>
      </c>
      <c r="C122" t="s">
        <v>1975</v>
      </c>
      <c r="D122" t="s">
        <v>1976</v>
      </c>
      <c r="E122" t="s">
        <v>265</v>
      </c>
      <c r="F122" t="s">
        <v>1364</v>
      </c>
      <c r="G122" t="s">
        <v>1785</v>
      </c>
      <c r="H122" t="s">
        <v>1365</v>
      </c>
      <c r="I122" t="s">
        <v>1576</v>
      </c>
      <c r="J122" t="s">
        <v>1366</v>
      </c>
      <c r="K122" t="s">
        <v>42</v>
      </c>
      <c r="L122" t="s">
        <v>42</v>
      </c>
      <c r="M122" t="s">
        <v>19</v>
      </c>
      <c r="N122" t="s">
        <v>566</v>
      </c>
      <c r="O122" s="1" t="s">
        <v>553</v>
      </c>
    </row>
    <row r="123" spans="1:18" x14ac:dyDescent="0.25">
      <c r="A123" t="s">
        <v>2443</v>
      </c>
      <c r="B123" t="s">
        <v>960</v>
      </c>
      <c r="C123" t="s">
        <v>961</v>
      </c>
      <c r="D123" t="s">
        <v>962</v>
      </c>
      <c r="E123" t="s">
        <v>2444</v>
      </c>
      <c r="F123" t="s">
        <v>964</v>
      </c>
      <c r="G123" t="s">
        <v>2412</v>
      </c>
      <c r="H123" t="s">
        <v>221</v>
      </c>
      <c r="I123" t="s">
        <v>1195</v>
      </c>
      <c r="J123" t="s">
        <v>966</v>
      </c>
      <c r="K123" t="s">
        <v>872</v>
      </c>
      <c r="L123" t="s">
        <v>42</v>
      </c>
      <c r="M123" t="s">
        <v>19</v>
      </c>
      <c r="N123" t="s">
        <v>2195</v>
      </c>
      <c r="O123" s="1" t="s">
        <v>553</v>
      </c>
    </row>
    <row r="124" spans="1:18" x14ac:dyDescent="0.25">
      <c r="A124" t="s">
        <v>2584</v>
      </c>
      <c r="B124" t="s">
        <v>2585</v>
      </c>
      <c r="C124" t="s">
        <v>2586</v>
      </c>
      <c r="D124" t="s">
        <v>2587</v>
      </c>
      <c r="E124" t="s">
        <v>2588</v>
      </c>
      <c r="F124" t="s">
        <v>2589</v>
      </c>
      <c r="G124" t="s">
        <v>1061</v>
      </c>
      <c r="H124" t="s">
        <v>2590</v>
      </c>
      <c r="I124" t="s">
        <v>2063</v>
      </c>
      <c r="J124" t="s">
        <v>2591</v>
      </c>
      <c r="K124" t="s">
        <v>41</v>
      </c>
      <c r="L124" t="s">
        <v>41</v>
      </c>
      <c r="M124" t="s">
        <v>19</v>
      </c>
      <c r="O124" s="1" t="s">
        <v>2596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 FI</vt:lpstr>
      <vt:lpstr>Port Bloomberg</vt:lpstr>
      <vt:lpstr>Port Filtrado</vt:lpstr>
      <vt:lpstr>Lista de excepciones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Daniel Jordan Castillo</cp:lastModifiedBy>
  <dcterms:created xsi:type="dcterms:W3CDTF">2013-04-03T15:49:21Z</dcterms:created>
  <dcterms:modified xsi:type="dcterms:W3CDTF">2026-07-21T20:44:17Z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{5A2A3218-24D3-4255-B9D9-67A3B0A83294}</vt:lpwstr>
  </property>
</Properties>
</file>