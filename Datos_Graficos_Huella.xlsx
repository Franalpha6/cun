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ella Soberanos" sheetId="1" state="visible" r:id="rId1"/>
    <sheet xmlns:r="http://schemas.openxmlformats.org/officeDocument/2006/relationships" name="Intensidad Soberanos" sheetId="2" state="visible" r:id="rId2"/>
    <sheet xmlns:r="http://schemas.openxmlformats.org/officeDocument/2006/relationships" name="Huella por Sector" sheetId="3" state="visible" r:id="rId3"/>
    <sheet xmlns:r="http://schemas.openxmlformats.org/officeDocument/2006/relationships" name="Intensidad por Sector" sheetId="4" state="visible" r:id="rId4"/>
    <sheet xmlns:r="http://schemas.openxmlformats.org/officeDocument/2006/relationships" name="Intensidad FFMM" sheetId="5" state="visible" r:id="rId5"/>
    <sheet xmlns:r="http://schemas.openxmlformats.org/officeDocument/2006/relationships" name="Intensidad y Benchmarks" sheetId="6" state="visible" r:id="rId6"/>
    <sheet xmlns:r="http://schemas.openxmlformats.org/officeDocument/2006/relationships" name="Mayores contribuyentes" sheetId="7" state="visible" r:id="rId7"/>
    <sheet xmlns:r="http://schemas.openxmlformats.org/officeDocument/2006/relationships" name="Auditorí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%;-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'Huella Soberanos'!J1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Soberanos'!$I$2:$I$3</f>
            </numRef>
          </cat>
          <val>
            <numRef>
              <f>'Huella Soberanos'!$J$2:$J$3</f>
            </numRef>
          </val>
        </ser>
        <ser>
          <idx val="1"/>
          <order val="1"/>
          <tx>
            <strRef>
              <f>'Huella Soberanos'!K1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Soberanos'!$I$2:$I$3</f>
            </numRef>
          </cat>
          <val>
            <numRef>
              <f>'Huella Soberanos'!$K$2:$K$3</f>
            </numRef>
          </val>
        </ser>
        <ser>
          <idx val="2"/>
          <order val="2"/>
          <tx>
            <strRef>
              <f>'Huella Soberanos'!L1</f>
            </strRef>
          </tx>
          <spPr>
            <a:solidFill xmlns:a="http://schemas.openxmlformats.org/drawingml/2006/main">
              <a:srgbClr val="00C9E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Soberanos'!$I$2:$I$3</f>
            </numRef>
          </cat>
          <val>
            <numRef>
              <f>'Huella Soberanos'!$L$2:$L$3</f>
            </numRef>
          </val>
        </ser>
        <ser>
          <idx val="3"/>
          <order val="3"/>
          <tx>
            <strRef>
              <f>'Huella Soberanos'!M1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Soberanos'!$I$2:$I$3</f>
            </numRef>
          </cat>
          <val>
            <numRef>
              <f>'Huella Soberanos'!$M$2:$M$3</f>
            </numRef>
          </val>
        </ser>
        <ser>
          <idx val="4"/>
          <order val="4"/>
          <tx>
            <strRef>
              <f>'Huella Soberanos'!N1</f>
            </strRef>
          </tx>
          <spPr>
            <a:solidFill xmlns:a="http://schemas.openxmlformats.org/drawingml/2006/main">
              <a:srgbClr val="8FD9E8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Soberanos'!$I$2:$I$3</f>
            </numRef>
          </cat>
          <val>
            <numRef>
              <f>'Huella Soberanos'!$N$2:$N$3</f>
            </numRef>
          </val>
        </ser>
        <ser>
          <idx val="5"/>
          <order val="5"/>
          <tx>
            <strRef>
              <f>'Huella Soberanos'!O1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Soberanos'!$I$2:$I$3</f>
            </numRef>
          </cat>
          <val>
            <numRef>
              <f>'Huella Soberanos'!$O$2:$O$3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'Huella Soberanos'!P1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'Huella Soberanos'!$I$2:$I$3</f>
            </numRef>
          </cat>
          <val>
            <numRef>
              <f>'Huella Soberanos'!$P$2:$P$3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'Intensidad Soberanos'!J1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Soberanos'!$I$2:$I$3</f>
            </numRef>
          </cat>
          <val>
            <numRef>
              <f>'Intensidad Soberanos'!$J$2:$J$3</f>
            </numRef>
          </val>
        </ser>
        <ser>
          <idx val="1"/>
          <order val="1"/>
          <tx>
            <strRef>
              <f>'Intensidad Soberanos'!K1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Soberanos'!$I$2:$I$3</f>
            </numRef>
          </cat>
          <val>
            <numRef>
              <f>'Intensidad Soberanos'!$K$2:$K$3</f>
            </numRef>
          </val>
        </ser>
        <ser>
          <idx val="2"/>
          <order val="2"/>
          <tx>
            <strRef>
              <f>'Intensidad Soberanos'!L1</f>
            </strRef>
          </tx>
          <spPr>
            <a:solidFill xmlns:a="http://schemas.openxmlformats.org/drawingml/2006/main">
              <a:srgbClr val="00C9E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Soberanos'!$I$2:$I$3</f>
            </numRef>
          </cat>
          <val>
            <numRef>
              <f>'Intensidad Soberanos'!$L$2:$L$3</f>
            </numRef>
          </val>
        </ser>
        <ser>
          <idx val="3"/>
          <order val="3"/>
          <tx>
            <strRef>
              <f>'Intensidad Soberanos'!M1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Soberanos'!$I$2:$I$3</f>
            </numRef>
          </cat>
          <val>
            <numRef>
              <f>'Intensidad Soberanos'!$M$2:$M$3</f>
            </numRef>
          </val>
        </ser>
        <ser>
          <idx val="4"/>
          <order val="4"/>
          <tx>
            <strRef>
              <f>'Intensidad Soberanos'!N1</f>
            </strRef>
          </tx>
          <spPr>
            <a:solidFill xmlns:a="http://schemas.openxmlformats.org/drawingml/2006/main">
              <a:srgbClr val="8FD9E8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Soberanos'!$I$2:$I$3</f>
            </numRef>
          </cat>
          <val>
            <numRef>
              <f>'Intensidad Soberanos'!$N$2:$N$3</f>
            </numRef>
          </val>
        </ser>
        <ser>
          <idx val="5"/>
          <order val="5"/>
          <tx>
            <strRef>
              <f>'Intensidad Soberanos'!O1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Soberanos'!$I$2:$I$3</f>
            </numRef>
          </cat>
          <val>
            <numRef>
              <f>'Intensidad Soberanos'!$O$2:$O$3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'Intensidad Soberanos'!P1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'Intensidad Soberanos'!$I$2:$I$3</f>
            </numRef>
          </cat>
          <val>
            <numRef>
              <f>'Intensidad Soberanos'!$P$2:$P$3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'Huella por Sector'!J1</f>
            </strRef>
          </tx>
          <spPr>
            <a:solidFill xmlns:a="http://schemas.openxmlformats.org/drawingml/2006/main">
              <a:srgbClr val="E3F2ED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Sector'!$I$2:$I$3</f>
            </numRef>
          </cat>
          <val>
            <numRef>
              <f>'Huella por Sector'!$J$2:$J$3</f>
            </numRef>
          </val>
        </ser>
        <ser>
          <idx val="1"/>
          <order val="1"/>
          <tx>
            <strRef>
              <f>'Huella por Sector'!K1</f>
            </strRef>
          </tx>
          <spPr>
            <a:solidFill xmlns:a="http://schemas.openxmlformats.org/drawingml/2006/main">
              <a:srgbClr val="C8E5DC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Sector'!$I$2:$I$3</f>
            </numRef>
          </cat>
          <val>
            <numRef>
              <f>'Huella por Sector'!$K$2:$K$3</f>
            </numRef>
          </val>
        </ser>
        <ser>
          <idx val="2"/>
          <order val="2"/>
          <tx>
            <strRef>
              <f>'Huella por Sector'!L1</f>
            </strRef>
          </tx>
          <spPr>
            <a:solidFill xmlns:a="http://schemas.openxmlformats.org/drawingml/2006/main">
              <a:srgbClr val="ACD7C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Sector'!$I$2:$I$3</f>
            </numRef>
          </cat>
          <val>
            <numRef>
              <f>'Huella por Sector'!$L$2:$L$3</f>
            </numRef>
          </val>
        </ser>
        <ser>
          <idx val="3"/>
          <order val="3"/>
          <tx>
            <strRef>
              <f>'Huella por Sector'!M1</f>
            </strRef>
          </tx>
          <spPr>
            <a:solidFill xmlns:a="http://schemas.openxmlformats.org/drawingml/2006/main">
              <a:srgbClr val="B7EE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Sector'!$I$2:$I$3</f>
            </numRef>
          </cat>
          <val>
            <numRef>
              <f>'Huella por Sector'!$M$2:$M$3</f>
            </numRef>
          </val>
        </ser>
        <ser>
          <idx val="4"/>
          <order val="4"/>
          <tx>
            <strRef>
              <f>'Huella por Sector'!N1</f>
            </strRef>
          </tx>
          <spPr>
            <a:solidFill xmlns:a="http://schemas.openxmlformats.org/drawingml/2006/main">
              <a:srgbClr val="D4EAF3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Sector'!$I$2:$I$3</f>
            </numRef>
          </cat>
          <val>
            <numRef>
              <f>'Huella por Sector'!$N$2:$N$3</f>
            </numRef>
          </val>
        </ser>
        <ser>
          <idx val="5"/>
          <order val="5"/>
          <tx>
            <strRef>
              <f>'Huella por Sector'!O1</f>
            </strRef>
          </tx>
          <spPr>
            <a:pattFill xmlns:a="http://schemas.openxmlformats.org/drawingml/2006/main" prst="ltUpDiag">
              <a:fgClr>
                <a:srgbClr val="B7EEFF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Sector'!$I$2:$I$3</f>
            </numRef>
          </cat>
          <val>
            <numRef>
              <f>'Huella por Sector'!$O$2:$O$3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'Huella por Sector'!P1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'Huella por Sector'!$I$2:$I$3</f>
            </numRef>
          </cat>
          <val>
            <numRef>
              <f>'Huella por Sector'!$P$2:$P$3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'Intensidad por Sector'!J1</f>
            </strRef>
          </tx>
          <spPr>
            <a:solidFill xmlns:a="http://schemas.openxmlformats.org/drawingml/2006/main">
              <a:srgbClr val="E3F2ED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Sector'!$I$2:$I$3</f>
            </numRef>
          </cat>
          <val>
            <numRef>
              <f>'Intensidad por Sector'!$J$2:$J$3</f>
            </numRef>
          </val>
        </ser>
        <ser>
          <idx val="1"/>
          <order val="1"/>
          <tx>
            <strRef>
              <f>'Intensidad por Sector'!K1</f>
            </strRef>
          </tx>
          <spPr>
            <a:solidFill xmlns:a="http://schemas.openxmlformats.org/drawingml/2006/main">
              <a:srgbClr val="C8E5DC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Sector'!$I$2:$I$3</f>
            </numRef>
          </cat>
          <val>
            <numRef>
              <f>'Intensidad por Sector'!$K$2:$K$3</f>
            </numRef>
          </val>
        </ser>
        <ser>
          <idx val="2"/>
          <order val="2"/>
          <tx>
            <strRef>
              <f>'Intensidad por Sector'!L1</f>
            </strRef>
          </tx>
          <spPr>
            <a:solidFill xmlns:a="http://schemas.openxmlformats.org/drawingml/2006/main">
              <a:srgbClr val="ACD7C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Sector'!$I$2:$I$3</f>
            </numRef>
          </cat>
          <val>
            <numRef>
              <f>'Intensidad por Sector'!$L$2:$L$3</f>
            </numRef>
          </val>
        </ser>
        <ser>
          <idx val="3"/>
          <order val="3"/>
          <tx>
            <strRef>
              <f>'Intensidad por Sector'!M1</f>
            </strRef>
          </tx>
          <spPr>
            <a:solidFill xmlns:a="http://schemas.openxmlformats.org/drawingml/2006/main">
              <a:srgbClr val="B7EE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Sector'!$I$2:$I$3</f>
            </numRef>
          </cat>
          <val>
            <numRef>
              <f>'Intensidad por Sector'!$M$2:$M$3</f>
            </numRef>
          </val>
        </ser>
        <ser>
          <idx val="4"/>
          <order val="4"/>
          <tx>
            <strRef>
              <f>'Intensidad por Sector'!N1</f>
            </strRef>
          </tx>
          <spPr>
            <a:solidFill xmlns:a="http://schemas.openxmlformats.org/drawingml/2006/main">
              <a:srgbClr val="D4EAF3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Sector'!$I$2:$I$3</f>
            </numRef>
          </cat>
          <val>
            <numRef>
              <f>'Intensidad por Sector'!$N$2:$N$3</f>
            </numRef>
          </val>
        </ser>
        <ser>
          <idx val="5"/>
          <order val="5"/>
          <tx>
            <strRef>
              <f>'Intensidad por Sector'!O1</f>
            </strRef>
          </tx>
          <spPr>
            <a:pattFill xmlns:a="http://schemas.openxmlformats.org/drawingml/2006/main" prst="ltUpDiag">
              <a:fgClr>
                <a:srgbClr val="B7EEFF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Sector'!$I$2:$I$3</f>
            </numRef>
          </cat>
          <val>
            <numRef>
              <f>'Intensidad por Sector'!$O$2:$O$3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'Intensidad por Sector'!P1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'Intensidad por Sector'!$I$2:$I$3</f>
            </numRef>
          </cat>
          <val>
            <numRef>
              <f>'Intensidad por Sector'!$P$2:$P$3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Pais</t>
        </is>
      </c>
      <c r="E1" t="inlineStr">
        <is>
          <t>Emisor</t>
        </is>
      </c>
      <c r="F1" t="inlineStr">
        <is>
          <t>Metrica</t>
        </is>
      </c>
      <c r="G1" t="inlineStr">
        <is>
          <t>Valor</t>
        </is>
      </c>
      <c r="I1" t="inlineStr">
        <is>
          <t>Corte</t>
        </is>
      </c>
      <c r="J1" t="inlineStr">
        <is>
          <t>Perú</t>
        </is>
      </c>
      <c r="K1" t="inlineStr">
        <is>
          <t>Brasil</t>
        </is>
      </c>
      <c r="L1" t="inlineStr">
        <is>
          <t>Colombia</t>
        </is>
      </c>
      <c r="M1" t="inlineStr">
        <is>
          <t>México</t>
        </is>
      </c>
      <c r="N1" t="inlineStr">
        <is>
          <t>Chile</t>
        </is>
      </c>
      <c r="O1" t="inlineStr">
        <is>
          <t>Sudáfrica</t>
        </is>
      </c>
      <c r="P1" t="inlineStr">
        <is>
          <t>Total</t>
        </is>
      </c>
      <c r="Q1" t="inlineStr">
        <is>
          <t>Variación %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Brasil</t>
        </is>
      </c>
      <c r="E2" t="inlineStr">
        <is>
          <t>Gobierno de Brasil</t>
        </is>
      </c>
      <c r="F2" t="inlineStr">
        <is>
          <t>Huella</t>
        </is>
      </c>
      <c r="G2" t="n">
        <v>88643.233737</v>
      </c>
      <c r="I2" t="inlineStr">
        <is>
          <t>Dic25</t>
        </is>
      </c>
      <c r="J2">
        <f>SUMIFS($G$2:$G$55,$C$2:$C$55,"Integra",$D$2:$D$55,J$1,$A$2:$A$55,"202512")</f>
        <v/>
      </c>
      <c r="K2">
        <f>SUMIFS($G$2:$G$55,$C$2:$C$55,"Integra",$D$2:$D$55,K$1,$A$2:$A$55,"202512")</f>
        <v/>
      </c>
      <c r="L2">
        <f>SUMIFS($G$2:$G$55,$C$2:$C$55,"Integra",$D$2:$D$55,L$1,$A$2:$A$55,"202512")</f>
        <v/>
      </c>
      <c r="M2">
        <f>SUMIFS($G$2:$G$55,$C$2:$C$55,"Integra",$D$2:$D$55,M$1,$A$2:$A$55,"202512")</f>
        <v/>
      </c>
      <c r="N2">
        <f>SUMIFS($G$2:$G$55,$C$2:$C$55,"Integra",$D$2:$D$55,N$1,$A$2:$A$55,"202512")</f>
        <v/>
      </c>
      <c r="O2">
        <f>SUMIFS($G$2:$G$55,$C$2:$C$55,"Integra",$D$2:$D$55,O$1,$A$2:$A$55,"202512")</f>
        <v/>
      </c>
      <c r="P2">
        <f>SUM(J2:O2)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Chile</t>
        </is>
      </c>
      <c r="E3" t="inlineStr">
        <is>
          <t>Gobierno de Chile</t>
        </is>
      </c>
      <c r="F3" t="inlineStr">
        <is>
          <t>Huella</t>
        </is>
      </c>
      <c r="G3" t="n">
        <v>11349.978322</v>
      </c>
      <c r="I3" t="inlineStr">
        <is>
          <t>Jun26</t>
        </is>
      </c>
      <c r="J3">
        <f>SUMIFS($G$2:$G$55,$C$2:$C$55,"Integra",$D$2:$D$55,J$1,$A$2:$A$55,"202606")</f>
        <v/>
      </c>
      <c r="K3">
        <f>SUMIFS($G$2:$G$55,$C$2:$C$55,"Integra",$D$2:$D$55,K$1,$A$2:$A$55,"202606")</f>
        <v/>
      </c>
      <c r="L3">
        <f>SUMIFS($G$2:$G$55,$C$2:$C$55,"Integra",$D$2:$D$55,L$1,$A$2:$A$55,"202606")</f>
        <v/>
      </c>
      <c r="M3">
        <f>SUMIFS($G$2:$G$55,$C$2:$C$55,"Integra",$D$2:$D$55,M$1,$A$2:$A$55,"202606")</f>
        <v/>
      </c>
      <c r="N3">
        <f>SUMIFS($G$2:$G$55,$C$2:$C$55,"Integra",$D$2:$D$55,N$1,$A$2:$A$55,"202606")</f>
        <v/>
      </c>
      <c r="O3">
        <f>SUMIFS($G$2:$G$55,$C$2:$C$55,"Integra",$D$2:$D$55,O$1,$A$2:$A$55,"202606")</f>
        <v/>
      </c>
      <c r="P3">
        <f>SUM(J3:O3)</f>
        <v/>
      </c>
      <c r="Q3" s="1">
        <f>IFERROR(P3/P2-1,"")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Colombia</t>
        </is>
      </c>
      <c r="E4" t="inlineStr">
        <is>
          <t>Gobierno de Colombia</t>
        </is>
      </c>
      <c r="F4" t="inlineStr">
        <is>
          <t>Huella</t>
        </is>
      </c>
      <c r="G4" t="n">
        <v>46488.095661</v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México</t>
        </is>
      </c>
      <c r="E5" t="inlineStr">
        <is>
          <t>Gobierno de México</t>
        </is>
      </c>
      <c r="F5" t="inlineStr">
        <is>
          <t>Huella</t>
        </is>
      </c>
      <c r="G5" t="n">
        <v>9184.978515999999</v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Ex_Integra</t>
        </is>
      </c>
      <c r="D6" t="inlineStr">
        <is>
          <t>Perú</t>
        </is>
      </c>
      <c r="E6" t="inlineStr">
        <is>
          <t>Gobierno Central</t>
        </is>
      </c>
      <c r="F6" t="inlineStr">
        <is>
          <t>Huella</t>
        </is>
      </c>
      <c r="G6" t="n">
        <v>779539.757219</v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Brasil</t>
        </is>
      </c>
      <c r="E7" t="inlineStr">
        <is>
          <t>Gobierno de Brasil</t>
        </is>
      </c>
      <c r="F7" t="inlineStr">
        <is>
          <t>Huella</t>
        </is>
      </c>
      <c r="G7" t="n">
        <v>8326.47431</v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Chile</t>
        </is>
      </c>
      <c r="E8" t="inlineStr">
        <is>
          <t>Gobierno de Chile</t>
        </is>
      </c>
      <c r="F8" t="inlineStr">
        <is>
          <t>Huella</t>
        </is>
      </c>
      <c r="G8" t="n">
        <v>5140.699401</v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Habitat</t>
        </is>
      </c>
      <c r="D9" t="inlineStr">
        <is>
          <t>Colombia</t>
        </is>
      </c>
      <c r="E9" t="inlineStr">
        <is>
          <t>Gobierno de Colombia</t>
        </is>
      </c>
      <c r="F9" t="inlineStr">
        <is>
          <t>Huella</t>
        </is>
      </c>
      <c r="G9" t="n">
        <v>2174.108404</v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Habitat</t>
        </is>
      </c>
      <c r="D10" t="inlineStr">
        <is>
          <t>México</t>
        </is>
      </c>
      <c r="E10" t="inlineStr">
        <is>
          <t>Gobierno de México</t>
        </is>
      </c>
      <c r="F10" t="inlineStr">
        <is>
          <t>Huella</t>
        </is>
      </c>
      <c r="G10" t="n">
        <v>1759.154356</v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Habitat</t>
        </is>
      </c>
      <c r="D11" t="inlineStr">
        <is>
          <t>Perú</t>
        </is>
      </c>
      <c r="E11" t="inlineStr">
        <is>
          <t>Gobierno Central</t>
        </is>
      </c>
      <c r="F11" t="inlineStr">
        <is>
          <t>Huella</t>
        </is>
      </c>
      <c r="G11" t="n">
        <v>255564.245549</v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Brasil</t>
        </is>
      </c>
      <c r="E12" t="inlineStr">
        <is>
          <t>Gobierno de Brasil</t>
        </is>
      </c>
      <c r="F12" t="inlineStr">
        <is>
          <t>Huella</t>
        </is>
      </c>
      <c r="G12" t="n">
        <v>41389.833315</v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Chile</t>
        </is>
      </c>
      <c r="E13" t="inlineStr">
        <is>
          <t>Gobierno de Chile</t>
        </is>
      </c>
      <c r="F13" t="inlineStr">
        <is>
          <t>Huella</t>
        </is>
      </c>
      <c r="G13" t="n">
        <v>10741.361423</v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Integra</t>
        </is>
      </c>
      <c r="D14" t="inlineStr">
        <is>
          <t>Colombia</t>
        </is>
      </c>
      <c r="E14" t="inlineStr">
        <is>
          <t>Gobierno de Colombia</t>
        </is>
      </c>
      <c r="F14" t="inlineStr">
        <is>
          <t>Huella</t>
        </is>
      </c>
      <c r="G14" t="n">
        <v>10188.761927</v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Integra</t>
        </is>
      </c>
      <c r="D15" t="inlineStr">
        <is>
          <t>México</t>
        </is>
      </c>
      <c r="E15" t="inlineStr">
        <is>
          <t>Gobierno de México</t>
        </is>
      </c>
      <c r="F15" t="inlineStr">
        <is>
          <t>Huella</t>
        </is>
      </c>
      <c r="G15" t="n">
        <v>11998.95235</v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Integra</t>
        </is>
      </c>
      <c r="D16" t="inlineStr">
        <is>
          <t>Perú</t>
        </is>
      </c>
      <c r="E16" t="inlineStr">
        <is>
          <t>Gobierno Central</t>
        </is>
      </c>
      <c r="F16" t="inlineStr">
        <is>
          <t>Huella</t>
        </is>
      </c>
      <c r="G16" t="n">
        <v>455684.130379</v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Brasil</t>
        </is>
      </c>
      <c r="E17" t="inlineStr">
        <is>
          <t>Gobierno de Brasil</t>
        </is>
      </c>
      <c r="F17" t="inlineStr">
        <is>
          <t>Huella</t>
        </is>
      </c>
      <c r="G17" t="n">
        <v>42088.506242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Prima</t>
        </is>
      </c>
      <c r="D18" t="inlineStr">
        <is>
          <t>Colombia</t>
        </is>
      </c>
      <c r="E18" t="inlineStr">
        <is>
          <t>Gobierno de Colombia</t>
        </is>
      </c>
      <c r="F18" t="inlineStr">
        <is>
          <t>Huella</t>
        </is>
      </c>
      <c r="G18" t="n">
        <v>44781.260475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Prima</t>
        </is>
      </c>
      <c r="D19" t="inlineStr">
        <is>
          <t>México</t>
        </is>
      </c>
      <c r="E19" t="inlineStr">
        <is>
          <t>Gobierno de México</t>
        </is>
      </c>
      <c r="F19" t="inlineStr">
        <is>
          <t>Huella</t>
        </is>
      </c>
      <c r="G19" t="n">
        <v>7664.891013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Prima</t>
        </is>
      </c>
      <c r="D20" t="inlineStr">
        <is>
          <t>Perú</t>
        </is>
      </c>
      <c r="E20" t="inlineStr">
        <is>
          <t>Gobierno Central</t>
        </is>
      </c>
      <c r="F20" t="inlineStr">
        <is>
          <t>Huella</t>
        </is>
      </c>
      <c r="G20" t="n">
        <v>339863.52906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Profuturo</t>
        </is>
      </c>
      <c r="D21" t="inlineStr">
        <is>
          <t>Brasil</t>
        </is>
      </c>
      <c r="E21" t="inlineStr">
        <is>
          <t>Gobierno de Brasil</t>
        </is>
      </c>
      <c r="F21" t="inlineStr">
        <is>
          <t>Huella</t>
        </is>
      </c>
      <c r="G21" t="n">
        <v>37305.72858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Profuturo</t>
        </is>
      </c>
      <c r="D22" t="inlineStr">
        <is>
          <t>Chile</t>
        </is>
      </c>
      <c r="E22" t="inlineStr">
        <is>
          <t>Gobierno de Chile</t>
        </is>
      </c>
      <c r="F22" t="inlineStr">
        <is>
          <t>Huella</t>
        </is>
      </c>
      <c r="G22" t="n">
        <v>5883.260294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Profuturo</t>
        </is>
      </c>
      <c r="D23" t="inlineStr">
        <is>
          <t>Colombia</t>
        </is>
      </c>
      <c r="E23" t="inlineStr">
        <is>
          <t>Gobierno de Colombia</t>
        </is>
      </c>
      <c r="F23" t="inlineStr">
        <is>
          <t>Huella</t>
        </is>
      </c>
      <c r="G23" t="n">
        <v>639.65442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Profuturo</t>
        </is>
      </c>
      <c r="D24" t="inlineStr">
        <is>
          <t>Perú</t>
        </is>
      </c>
      <c r="E24" t="inlineStr">
        <is>
          <t>Gobierno Central</t>
        </is>
      </c>
      <c r="F24" t="inlineStr">
        <is>
          <t>Huella</t>
        </is>
      </c>
      <c r="G24" t="n">
        <v>188574.050915</v>
      </c>
    </row>
    <row r="25">
      <c r="A25" t="inlineStr">
        <is>
          <t>202606</t>
        </is>
      </c>
      <c r="B25" t="inlineStr">
        <is>
          <t>Actual</t>
        </is>
      </c>
      <c r="C25" t="inlineStr">
        <is>
          <t>Ex_Integra</t>
        </is>
      </c>
      <c r="D25" t="inlineStr">
        <is>
          <t>Brasil</t>
        </is>
      </c>
      <c r="E25" t="inlineStr">
        <is>
          <t>Gobierno de Brasil</t>
        </is>
      </c>
      <c r="F25" t="inlineStr">
        <is>
          <t>Huella</t>
        </is>
      </c>
      <c r="G25" t="n">
        <v>119557.430028</v>
      </c>
    </row>
    <row r="26">
      <c r="A26" t="inlineStr">
        <is>
          <t>202606</t>
        </is>
      </c>
      <c r="B26" t="inlineStr">
        <is>
          <t>Actual</t>
        </is>
      </c>
      <c r="C26" t="inlineStr">
        <is>
          <t>Ex_Integra</t>
        </is>
      </c>
      <c r="D26" t="inlineStr">
        <is>
          <t>Chile</t>
        </is>
      </c>
      <c r="E26" t="inlineStr">
        <is>
          <t>Gobierno de Chile</t>
        </is>
      </c>
      <c r="F26" t="inlineStr">
        <is>
          <t>Huella</t>
        </is>
      </c>
      <c r="G26" t="n">
        <v>17420.968475</v>
      </c>
    </row>
    <row r="27">
      <c r="A27" t="inlineStr">
        <is>
          <t>202606</t>
        </is>
      </c>
      <c r="B27" t="inlineStr">
        <is>
          <t>Actual</t>
        </is>
      </c>
      <c r="C27" t="inlineStr">
        <is>
          <t>Ex_Integra</t>
        </is>
      </c>
      <c r="D27" t="inlineStr">
        <is>
          <t>Colombia</t>
        </is>
      </c>
      <c r="E27" t="inlineStr">
        <is>
          <t>Gobierno de Colombia</t>
        </is>
      </c>
      <c r="F27" t="inlineStr">
        <is>
          <t>Huella</t>
        </is>
      </c>
      <c r="G27" t="n">
        <v>54008.798379</v>
      </c>
    </row>
    <row r="28">
      <c r="A28" t="inlineStr">
        <is>
          <t>202606</t>
        </is>
      </c>
      <c r="B28" t="inlineStr">
        <is>
          <t>Actual</t>
        </is>
      </c>
      <c r="C28" t="inlineStr">
        <is>
          <t>Ex_Integra</t>
        </is>
      </c>
      <c r="D28" t="inlineStr">
        <is>
          <t>EEUU</t>
        </is>
      </c>
      <c r="E28" t="inlineStr">
        <is>
          <t>Gobierno de los Estados Unidos</t>
        </is>
      </c>
      <c r="F28" t="inlineStr">
        <is>
          <t>Huella</t>
        </is>
      </c>
      <c r="G28" t="n">
        <v>1914.253217</v>
      </c>
    </row>
    <row r="29">
      <c r="A29" t="inlineStr">
        <is>
          <t>202606</t>
        </is>
      </c>
      <c r="B29" t="inlineStr">
        <is>
          <t>Actual</t>
        </is>
      </c>
      <c r="C29" t="inlineStr">
        <is>
          <t>Ex_Integra</t>
        </is>
      </c>
      <c r="D29" t="inlineStr">
        <is>
          <t>México</t>
        </is>
      </c>
      <c r="E29" t="inlineStr">
        <is>
          <t>Gobierno de Mexico</t>
        </is>
      </c>
      <c r="F29" t="inlineStr">
        <is>
          <t>Huella</t>
        </is>
      </c>
      <c r="G29" t="n">
        <v>7914.828404</v>
      </c>
    </row>
    <row r="30">
      <c r="A30" t="inlineStr">
        <is>
          <t>202606</t>
        </is>
      </c>
      <c r="B30" t="inlineStr">
        <is>
          <t>Actual</t>
        </is>
      </c>
      <c r="C30" t="inlineStr">
        <is>
          <t>Ex_Integra</t>
        </is>
      </c>
      <c r="D30" t="inlineStr">
        <is>
          <t>México</t>
        </is>
      </c>
      <c r="E30" t="inlineStr">
        <is>
          <t>Gobierno de México</t>
        </is>
      </c>
      <c r="F30" t="inlineStr">
        <is>
          <t>Huella</t>
        </is>
      </c>
      <c r="G30" t="n">
        <v>14172.259891</v>
      </c>
    </row>
    <row r="31">
      <c r="A31" t="inlineStr">
        <is>
          <t>202606</t>
        </is>
      </c>
      <c r="B31" t="inlineStr">
        <is>
          <t>Actual</t>
        </is>
      </c>
      <c r="C31" t="inlineStr">
        <is>
          <t>Ex_Integra</t>
        </is>
      </c>
      <c r="D31" t="inlineStr">
        <is>
          <t>Perú</t>
        </is>
      </c>
      <c r="E31" t="inlineStr">
        <is>
          <t>Gobierno Central</t>
        </is>
      </c>
      <c r="F31" t="inlineStr">
        <is>
          <t>Huella</t>
        </is>
      </c>
      <c r="G31" t="n">
        <v>686140.786236</v>
      </c>
    </row>
    <row r="32">
      <c r="A32" t="inlineStr">
        <is>
          <t>202606</t>
        </is>
      </c>
      <c r="B32" t="inlineStr">
        <is>
          <t>Actual</t>
        </is>
      </c>
      <c r="C32" t="inlineStr">
        <is>
          <t>Habitat</t>
        </is>
      </c>
      <c r="D32" t="inlineStr">
        <is>
          <t>Brasil</t>
        </is>
      </c>
      <c r="E32" t="inlineStr">
        <is>
          <t>Gobierno de Brasil</t>
        </is>
      </c>
      <c r="F32" t="inlineStr">
        <is>
          <t>Huella</t>
        </is>
      </c>
      <c r="G32" t="n">
        <v>13270.375572</v>
      </c>
    </row>
    <row r="33">
      <c r="A33" t="inlineStr">
        <is>
          <t>202606</t>
        </is>
      </c>
      <c r="B33" t="inlineStr">
        <is>
          <t>Actual</t>
        </is>
      </c>
      <c r="C33" t="inlineStr">
        <is>
          <t>Habitat</t>
        </is>
      </c>
      <c r="D33" t="inlineStr">
        <is>
          <t>Chile</t>
        </is>
      </c>
      <c r="E33" t="inlineStr">
        <is>
          <t>Gobierno de Chile</t>
        </is>
      </c>
      <c r="F33" t="inlineStr">
        <is>
          <t>Huella</t>
        </is>
      </c>
      <c r="G33" t="n">
        <v>1211.115744</v>
      </c>
    </row>
    <row r="34">
      <c r="A34" t="inlineStr">
        <is>
          <t>202606</t>
        </is>
      </c>
      <c r="B34" t="inlineStr">
        <is>
          <t>Actual</t>
        </is>
      </c>
      <c r="C34" t="inlineStr">
        <is>
          <t>Habitat</t>
        </is>
      </c>
      <c r="D34" t="inlineStr">
        <is>
          <t>Colombia</t>
        </is>
      </c>
      <c r="E34" t="inlineStr">
        <is>
          <t>Gobierno de Colombia</t>
        </is>
      </c>
      <c r="F34" t="inlineStr">
        <is>
          <t>Huella</t>
        </is>
      </c>
      <c r="G34" t="n">
        <v>4421.513455</v>
      </c>
    </row>
    <row r="35">
      <c r="A35" t="inlineStr">
        <is>
          <t>202606</t>
        </is>
      </c>
      <c r="B35" t="inlineStr">
        <is>
          <t>Actual</t>
        </is>
      </c>
      <c r="C35" t="inlineStr">
        <is>
          <t>Habitat</t>
        </is>
      </c>
      <c r="D35" t="inlineStr">
        <is>
          <t>México</t>
        </is>
      </c>
      <c r="E35" t="inlineStr">
        <is>
          <t>Gobierno de Mexico</t>
        </is>
      </c>
      <c r="F35" t="inlineStr">
        <is>
          <t>Huella</t>
        </is>
      </c>
      <c r="G35" t="n">
        <v>781.88919</v>
      </c>
    </row>
    <row r="36">
      <c r="A36" t="inlineStr">
        <is>
          <t>202606</t>
        </is>
      </c>
      <c r="B36" t="inlineStr">
        <is>
          <t>Actual</t>
        </is>
      </c>
      <c r="C36" t="inlineStr">
        <is>
          <t>Habitat</t>
        </is>
      </c>
      <c r="D36" t="inlineStr">
        <is>
          <t>México</t>
        </is>
      </c>
      <c r="E36" t="inlineStr">
        <is>
          <t>Gobierno de México</t>
        </is>
      </c>
      <c r="F36" t="inlineStr">
        <is>
          <t>Huella</t>
        </is>
      </c>
      <c r="G36" t="n">
        <v>8545.608227000001</v>
      </c>
    </row>
    <row r="37">
      <c r="A37" t="inlineStr">
        <is>
          <t>202606</t>
        </is>
      </c>
      <c r="B37" t="inlineStr">
        <is>
          <t>Actual</t>
        </is>
      </c>
      <c r="C37" t="inlineStr">
        <is>
          <t>Habitat</t>
        </is>
      </c>
      <c r="D37" t="inlineStr">
        <is>
          <t>Perú</t>
        </is>
      </c>
      <c r="E37" t="inlineStr">
        <is>
          <t>Gobierno Central</t>
        </is>
      </c>
      <c r="F37" t="inlineStr">
        <is>
          <t>Huella</t>
        </is>
      </c>
      <c r="G37" t="n">
        <v>192952.874068</v>
      </c>
    </row>
    <row r="38">
      <c r="A38" t="inlineStr">
        <is>
          <t>202606</t>
        </is>
      </c>
      <c r="B38" t="inlineStr">
        <is>
          <t>Actual</t>
        </is>
      </c>
      <c r="C38" t="inlineStr">
        <is>
          <t>Integra</t>
        </is>
      </c>
      <c r="D38" t="inlineStr">
        <is>
          <t>Brasil</t>
        </is>
      </c>
      <c r="E38" t="inlineStr">
        <is>
          <t>Gobierno de Brasil</t>
        </is>
      </c>
      <c r="F38" t="inlineStr">
        <is>
          <t>Huella</t>
        </is>
      </c>
      <c r="G38" t="n">
        <v>55163.399371</v>
      </c>
    </row>
    <row r="39">
      <c r="A39" t="inlineStr">
        <is>
          <t>202606</t>
        </is>
      </c>
      <c r="B39" t="inlineStr">
        <is>
          <t>Actual</t>
        </is>
      </c>
      <c r="C39" t="inlineStr">
        <is>
          <t>Integra</t>
        </is>
      </c>
      <c r="D39" t="inlineStr">
        <is>
          <t>Chile</t>
        </is>
      </c>
      <c r="E39" t="inlineStr">
        <is>
          <t>Gobierno de Chile</t>
        </is>
      </c>
      <c r="F39" t="inlineStr">
        <is>
          <t>Huella</t>
        </is>
      </c>
      <c r="G39" t="n">
        <v>2842.825749</v>
      </c>
    </row>
    <row r="40">
      <c r="A40" t="inlineStr">
        <is>
          <t>202606</t>
        </is>
      </c>
      <c r="B40" t="inlineStr">
        <is>
          <t>Actual</t>
        </is>
      </c>
      <c r="C40" t="inlineStr">
        <is>
          <t>Integra</t>
        </is>
      </c>
      <c r="D40" t="inlineStr">
        <is>
          <t>Colombia</t>
        </is>
      </c>
      <c r="E40" t="inlineStr">
        <is>
          <t>Gobierno de Colombia</t>
        </is>
      </c>
      <c r="F40" t="inlineStr">
        <is>
          <t>Huella</t>
        </is>
      </c>
      <c r="G40" t="n">
        <v>21946.198959</v>
      </c>
    </row>
    <row r="41">
      <c r="A41" t="inlineStr">
        <is>
          <t>202606</t>
        </is>
      </c>
      <c r="B41" t="inlineStr">
        <is>
          <t>Actual</t>
        </is>
      </c>
      <c r="C41" t="inlineStr">
        <is>
          <t>Integra</t>
        </is>
      </c>
      <c r="D41" t="inlineStr">
        <is>
          <t>México</t>
        </is>
      </c>
      <c r="E41" t="inlineStr">
        <is>
          <t>Gobierno de Mexico</t>
        </is>
      </c>
      <c r="F41" t="inlineStr">
        <is>
          <t>Huella</t>
        </is>
      </c>
      <c r="G41" t="n">
        <v>7226.148627</v>
      </c>
    </row>
    <row r="42">
      <c r="A42" t="inlineStr">
        <is>
          <t>202606</t>
        </is>
      </c>
      <c r="B42" t="inlineStr">
        <is>
          <t>Actual</t>
        </is>
      </c>
      <c r="C42" t="inlineStr">
        <is>
          <t>Integra</t>
        </is>
      </c>
      <c r="D42" t="inlineStr">
        <is>
          <t>México</t>
        </is>
      </c>
      <c r="E42" t="inlineStr">
        <is>
          <t>Gobierno de México</t>
        </is>
      </c>
      <c r="F42" t="inlineStr">
        <is>
          <t>Huella</t>
        </is>
      </c>
      <c r="G42" t="n">
        <v>5965.647398</v>
      </c>
    </row>
    <row r="43">
      <c r="A43" t="inlineStr">
        <is>
          <t>202606</t>
        </is>
      </c>
      <c r="B43" t="inlineStr">
        <is>
          <t>Actual</t>
        </is>
      </c>
      <c r="C43" t="inlineStr">
        <is>
          <t>Integra</t>
        </is>
      </c>
      <c r="D43" t="inlineStr">
        <is>
          <t>Perú</t>
        </is>
      </c>
      <c r="E43" t="inlineStr">
        <is>
          <t>Gobierno Central</t>
        </is>
      </c>
      <c r="F43" t="inlineStr">
        <is>
          <t>Huella</t>
        </is>
      </c>
      <c r="G43" t="n">
        <v>397264.858021</v>
      </c>
    </row>
    <row r="44">
      <c r="A44" t="inlineStr">
        <is>
          <t>202606</t>
        </is>
      </c>
      <c r="B44" t="inlineStr">
        <is>
          <t>Actual</t>
        </is>
      </c>
      <c r="C44" t="inlineStr">
        <is>
          <t>Integra</t>
        </is>
      </c>
      <c r="D44" t="inlineStr">
        <is>
          <t>Sudáfrica</t>
        </is>
      </c>
      <c r="E44" t="inlineStr">
        <is>
          <t>Gobierno de Sudáfrica</t>
        </is>
      </c>
      <c r="F44" t="inlineStr">
        <is>
          <t>Huella</t>
        </is>
      </c>
      <c r="G44" t="n">
        <v>19987.271102</v>
      </c>
    </row>
    <row r="45">
      <c r="A45" t="inlineStr">
        <is>
          <t>202606</t>
        </is>
      </c>
      <c r="B45" t="inlineStr">
        <is>
          <t>Actual</t>
        </is>
      </c>
      <c r="C45" t="inlineStr">
        <is>
          <t>Prima</t>
        </is>
      </c>
      <c r="D45" t="inlineStr">
        <is>
          <t>Brasil</t>
        </is>
      </c>
      <c r="E45" t="inlineStr">
        <is>
          <t>Gobierno de Brasil</t>
        </is>
      </c>
      <c r="F45" t="inlineStr">
        <is>
          <t>Huella</t>
        </is>
      </c>
      <c r="G45" t="n">
        <v>57783.037378</v>
      </c>
    </row>
    <row r="46">
      <c r="A46" t="inlineStr">
        <is>
          <t>202606</t>
        </is>
      </c>
      <c r="B46" t="inlineStr">
        <is>
          <t>Actual</t>
        </is>
      </c>
      <c r="C46" t="inlineStr">
        <is>
          <t>Prima</t>
        </is>
      </c>
      <c r="D46" t="inlineStr">
        <is>
          <t>Chile</t>
        </is>
      </c>
      <c r="E46" t="inlineStr">
        <is>
          <t>Gobierno de Chile</t>
        </is>
      </c>
      <c r="F46" t="inlineStr">
        <is>
          <t>Huella</t>
        </is>
      </c>
      <c r="G46" t="n">
        <v>4918.624442</v>
      </c>
    </row>
    <row r="47">
      <c r="A47" t="inlineStr">
        <is>
          <t>202606</t>
        </is>
      </c>
      <c r="B47" t="inlineStr">
        <is>
          <t>Actual</t>
        </is>
      </c>
      <c r="C47" t="inlineStr">
        <is>
          <t>Prima</t>
        </is>
      </c>
      <c r="D47" t="inlineStr">
        <is>
          <t>Colombia</t>
        </is>
      </c>
      <c r="E47" t="inlineStr">
        <is>
          <t>Gobierno de Colombia</t>
        </is>
      </c>
      <c r="F47" t="inlineStr">
        <is>
          <t>Huella</t>
        </is>
      </c>
      <c r="G47" t="n">
        <v>40735.765175</v>
      </c>
    </row>
    <row r="48">
      <c r="A48" t="inlineStr">
        <is>
          <t>202606</t>
        </is>
      </c>
      <c r="B48" t="inlineStr">
        <is>
          <t>Actual</t>
        </is>
      </c>
      <c r="C48" t="inlineStr">
        <is>
          <t>Prima</t>
        </is>
      </c>
      <c r="D48" t="inlineStr">
        <is>
          <t>EEUU</t>
        </is>
      </c>
      <c r="E48" t="inlineStr">
        <is>
          <t>Gobierno de los Estados Unidos</t>
        </is>
      </c>
      <c r="F48" t="inlineStr">
        <is>
          <t>Huella</t>
        </is>
      </c>
      <c r="G48" t="n">
        <v>1962.516851</v>
      </c>
    </row>
    <row r="49">
      <c r="A49" t="inlineStr">
        <is>
          <t>202606</t>
        </is>
      </c>
      <c r="B49" t="inlineStr">
        <is>
          <t>Actual</t>
        </is>
      </c>
      <c r="C49" t="inlineStr">
        <is>
          <t>Prima</t>
        </is>
      </c>
      <c r="D49" t="inlineStr">
        <is>
          <t>México</t>
        </is>
      </c>
      <c r="E49" t="inlineStr">
        <is>
          <t>Gobierno de Mexico</t>
        </is>
      </c>
      <c r="F49" t="inlineStr">
        <is>
          <t>Huella</t>
        </is>
      </c>
      <c r="G49" t="n">
        <v>7264.164408</v>
      </c>
    </row>
    <row r="50">
      <c r="A50" t="inlineStr">
        <is>
          <t>202606</t>
        </is>
      </c>
      <c r="B50" t="inlineStr">
        <is>
          <t>Actual</t>
        </is>
      </c>
      <c r="C50" t="inlineStr">
        <is>
          <t>Prima</t>
        </is>
      </c>
      <c r="D50" t="inlineStr">
        <is>
          <t>México</t>
        </is>
      </c>
      <c r="E50" t="inlineStr">
        <is>
          <t>Gobierno de México</t>
        </is>
      </c>
      <c r="F50" t="inlineStr">
        <is>
          <t>Huella</t>
        </is>
      </c>
      <c r="G50" t="n">
        <v>5451.897666</v>
      </c>
    </row>
    <row r="51">
      <c r="A51" t="inlineStr">
        <is>
          <t>202606</t>
        </is>
      </c>
      <c r="B51" t="inlineStr">
        <is>
          <t>Actual</t>
        </is>
      </c>
      <c r="C51" t="inlineStr">
        <is>
          <t>Prima</t>
        </is>
      </c>
      <c r="D51" t="inlineStr">
        <is>
          <t>Perú</t>
        </is>
      </c>
      <c r="E51" t="inlineStr">
        <is>
          <t>Gobierno Central</t>
        </is>
      </c>
      <c r="F51" t="inlineStr">
        <is>
          <t>Huella</t>
        </is>
      </c>
      <c r="G51" t="n">
        <v>319312.608592</v>
      </c>
    </row>
    <row r="52">
      <c r="A52" t="inlineStr">
        <is>
          <t>202606</t>
        </is>
      </c>
      <c r="B52" t="inlineStr">
        <is>
          <t>Actual</t>
        </is>
      </c>
      <c r="C52" t="inlineStr">
        <is>
          <t>Profuturo</t>
        </is>
      </c>
      <c r="D52" t="inlineStr">
        <is>
          <t>Brasil</t>
        </is>
      </c>
      <c r="E52" t="inlineStr">
        <is>
          <t>Gobierno de Brasil</t>
        </is>
      </c>
      <c r="F52" t="inlineStr">
        <is>
          <t>Huella</t>
        </is>
      </c>
      <c r="G52" t="n">
        <v>48393.319615</v>
      </c>
    </row>
    <row r="53">
      <c r="A53" t="inlineStr">
        <is>
          <t>202606</t>
        </is>
      </c>
      <c r="B53" t="inlineStr">
        <is>
          <t>Actual</t>
        </is>
      </c>
      <c r="C53" t="inlineStr">
        <is>
          <t>Profuturo</t>
        </is>
      </c>
      <c r="D53" t="inlineStr">
        <is>
          <t>Chile</t>
        </is>
      </c>
      <c r="E53" t="inlineStr">
        <is>
          <t>Gobierno de Chile</t>
        </is>
      </c>
      <c r="F53" t="inlineStr">
        <is>
          <t>Huella</t>
        </is>
      </c>
      <c r="G53" t="n">
        <v>11053.917912</v>
      </c>
    </row>
    <row r="54">
      <c r="A54" t="inlineStr">
        <is>
          <t>202606</t>
        </is>
      </c>
      <c r="B54" t="inlineStr">
        <is>
          <t>Actual</t>
        </is>
      </c>
      <c r="C54" t="inlineStr">
        <is>
          <t>Profuturo</t>
        </is>
      </c>
      <c r="D54" t="inlineStr">
        <is>
          <t>Colombia</t>
        </is>
      </c>
      <c r="E54" t="inlineStr">
        <is>
          <t>Gobierno de Colombia</t>
        </is>
      </c>
      <c r="F54" t="inlineStr">
        <is>
          <t>Huella</t>
        </is>
      </c>
      <c r="G54" t="n">
        <v>9409.079094000001</v>
      </c>
    </row>
    <row r="55">
      <c r="A55" t="inlineStr">
        <is>
          <t>202606</t>
        </is>
      </c>
      <c r="B55" t="inlineStr">
        <is>
          <t>Actual</t>
        </is>
      </c>
      <c r="C55" t="inlineStr">
        <is>
          <t>Profuturo</t>
        </is>
      </c>
      <c r="D55" t="inlineStr">
        <is>
          <t>Perú</t>
        </is>
      </c>
      <c r="E55" t="inlineStr">
        <is>
          <t>Gobierno Central</t>
        </is>
      </c>
      <c r="F55" t="inlineStr">
        <is>
          <t>Huella</t>
        </is>
      </c>
      <c r="G55" t="n">
        <v>175184.409594</v>
      </c>
    </row>
  </sheetData>
  <conditionalFormatting sqref="Q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Pais</t>
        </is>
      </c>
      <c r="E1" t="inlineStr">
        <is>
          <t>Emisor</t>
        </is>
      </c>
      <c r="F1" t="inlineStr">
        <is>
          <t>Metrica</t>
        </is>
      </c>
      <c r="G1" t="inlineStr">
        <is>
          <t>Valor</t>
        </is>
      </c>
      <c r="I1" t="inlineStr">
        <is>
          <t>Corte</t>
        </is>
      </c>
      <c r="J1" t="inlineStr">
        <is>
          <t>Perú</t>
        </is>
      </c>
      <c r="K1" t="inlineStr">
        <is>
          <t>Brasil</t>
        </is>
      </c>
      <c r="L1" t="inlineStr">
        <is>
          <t>Colombia</t>
        </is>
      </c>
      <c r="M1" t="inlineStr">
        <is>
          <t>México</t>
        </is>
      </c>
      <c r="N1" t="inlineStr">
        <is>
          <t>Chile</t>
        </is>
      </c>
      <c r="O1" t="inlineStr">
        <is>
          <t>Sudáfrica</t>
        </is>
      </c>
      <c r="P1" t="inlineStr">
        <is>
          <t>Total</t>
        </is>
      </c>
      <c r="Q1" t="inlineStr">
        <is>
          <t>Variación %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Brasil</t>
        </is>
      </c>
      <c r="E2" t="inlineStr">
        <is>
          <t>Gobierno de Brasil</t>
        </is>
      </c>
      <c r="F2" t="inlineStr">
        <is>
          <t>Intensidad</t>
        </is>
      </c>
      <c r="G2" t="n">
        <v>19.571625</v>
      </c>
      <c r="I2" t="inlineStr">
        <is>
          <t>Dic25</t>
        </is>
      </c>
      <c r="J2">
        <f>SUMIFS($G$2:$G$55,$C$2:$C$55,"Integra",$D$2:$D$55,J$1,$A$2:$A$55,"202512")</f>
        <v/>
      </c>
      <c r="K2">
        <f>SUMIFS($G$2:$G$55,$C$2:$C$55,"Integra",$D$2:$D$55,K$1,$A$2:$A$55,"202512")</f>
        <v/>
      </c>
      <c r="L2">
        <f>SUMIFS($G$2:$G$55,$C$2:$C$55,"Integra",$D$2:$D$55,L$1,$A$2:$A$55,"202512")</f>
        <v/>
      </c>
      <c r="M2">
        <f>SUMIFS($G$2:$G$55,$C$2:$C$55,"Integra",$D$2:$D$55,M$1,$A$2:$A$55,"202512")</f>
        <v/>
      </c>
      <c r="N2">
        <f>SUMIFS($G$2:$G$55,$C$2:$C$55,"Integra",$D$2:$D$55,N$1,$A$2:$A$55,"202512")</f>
        <v/>
      </c>
      <c r="O2">
        <f>SUMIFS($G$2:$G$55,$C$2:$C$55,"Integra",$D$2:$D$55,O$1,$A$2:$A$55,"202512")</f>
        <v/>
      </c>
      <c r="P2">
        <f>SUM(J2:O2)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Chile</t>
        </is>
      </c>
      <c r="E3" t="inlineStr">
        <is>
          <t>Gobierno de Chile</t>
        </is>
      </c>
      <c r="F3" t="inlineStr">
        <is>
          <t>Intensidad</t>
        </is>
      </c>
      <c r="G3" t="n">
        <v>2.90362</v>
      </c>
      <c r="I3" t="inlineStr">
        <is>
          <t>Jun26</t>
        </is>
      </c>
      <c r="J3">
        <f>SUMIFS($G$2:$G$55,$C$2:$C$55,"Integra",$D$2:$D$55,J$1,$A$2:$A$55,"202606")</f>
        <v/>
      </c>
      <c r="K3">
        <f>SUMIFS($G$2:$G$55,$C$2:$C$55,"Integra",$D$2:$D$55,K$1,$A$2:$A$55,"202606")</f>
        <v/>
      </c>
      <c r="L3">
        <f>SUMIFS($G$2:$G$55,$C$2:$C$55,"Integra",$D$2:$D$55,L$1,$A$2:$A$55,"202606")</f>
        <v/>
      </c>
      <c r="M3">
        <f>SUMIFS($G$2:$G$55,$C$2:$C$55,"Integra",$D$2:$D$55,M$1,$A$2:$A$55,"202606")</f>
        <v/>
      </c>
      <c r="N3">
        <f>SUMIFS($G$2:$G$55,$C$2:$C$55,"Integra",$D$2:$D$55,N$1,$A$2:$A$55,"202606")</f>
        <v/>
      </c>
      <c r="O3">
        <f>SUMIFS($G$2:$G$55,$C$2:$C$55,"Integra",$D$2:$D$55,O$1,$A$2:$A$55,"202606")</f>
        <v/>
      </c>
      <c r="P3">
        <f>SUM(J3:O3)</f>
        <v/>
      </c>
      <c r="Q3" s="1">
        <f>IFERROR(P3/P2-1,"")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Colombia</t>
        </is>
      </c>
      <c r="E4" t="inlineStr">
        <is>
          <t>Gobierno de Colombia</t>
        </is>
      </c>
      <c r="F4" t="inlineStr">
        <is>
          <t>Intensidad</t>
        </is>
      </c>
      <c r="G4" t="n">
        <v>6.840991</v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México</t>
        </is>
      </c>
      <c r="E5" t="inlineStr">
        <is>
          <t>Gobierno de México</t>
        </is>
      </c>
      <c r="F5" t="inlineStr">
        <is>
          <t>Intensidad</t>
        </is>
      </c>
      <c r="G5" t="n">
        <v>2.279319</v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Ex_Integra</t>
        </is>
      </c>
      <c r="D6" t="inlineStr">
        <is>
          <t>Perú</t>
        </is>
      </c>
      <c r="E6" t="inlineStr">
        <is>
          <t>Gobierno Central</t>
        </is>
      </c>
      <c r="F6" t="inlineStr">
        <is>
          <t>Intensidad</t>
        </is>
      </c>
      <c r="G6" t="n">
        <v>99.04492500000001</v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Brasil</t>
        </is>
      </c>
      <c r="E7" t="inlineStr">
        <is>
          <t>Gobierno de Brasil</t>
        </is>
      </c>
      <c r="F7" t="inlineStr">
        <is>
          <t>Intensidad</t>
        </is>
      </c>
      <c r="G7" t="n">
        <v>15.1037</v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Chile</t>
        </is>
      </c>
      <c r="E8" t="inlineStr">
        <is>
          <t>Gobierno de Chile</t>
        </is>
      </c>
      <c r="F8" t="inlineStr">
        <is>
          <t>Intensidad</t>
        </is>
      </c>
      <c r="G8" t="n">
        <v>8.754301</v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Habitat</t>
        </is>
      </c>
      <c r="D9" t="inlineStr">
        <is>
          <t>Colombia</t>
        </is>
      </c>
      <c r="E9" t="inlineStr">
        <is>
          <t>Gobierno de Colombia</t>
        </is>
      </c>
      <c r="F9" t="inlineStr">
        <is>
          <t>Intensidad</t>
        </is>
      </c>
      <c r="G9" t="n">
        <v>2.187052</v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Habitat</t>
        </is>
      </c>
      <c r="D10" t="inlineStr">
        <is>
          <t>México</t>
        </is>
      </c>
      <c r="E10" t="inlineStr">
        <is>
          <t>Gobierno de México</t>
        </is>
      </c>
      <c r="F10" t="inlineStr">
        <is>
          <t>Intensidad</t>
        </is>
      </c>
      <c r="G10" t="n">
        <v>3.502723</v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Habitat</t>
        </is>
      </c>
      <c r="D11" t="inlineStr">
        <is>
          <t>Perú</t>
        </is>
      </c>
      <c r="E11" t="inlineStr">
        <is>
          <t>Gobierno Central</t>
        </is>
      </c>
      <c r="F11" t="inlineStr">
        <is>
          <t>Intensidad</t>
        </is>
      </c>
      <c r="G11" t="n">
        <v>110.482723</v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Brasil</t>
        </is>
      </c>
      <c r="E12" t="inlineStr">
        <is>
          <t>Gobierno de Brasil</t>
        </is>
      </c>
      <c r="F12" t="inlineStr">
        <is>
          <t>Intensidad</t>
        </is>
      </c>
      <c r="G12" t="n">
        <v>14.223795</v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Chile</t>
        </is>
      </c>
      <c r="E13" t="inlineStr">
        <is>
          <t>Gobierno de Chile</t>
        </is>
      </c>
      <c r="F13" t="inlineStr">
        <is>
          <t>Intensidad</t>
        </is>
      </c>
      <c r="G13" t="n">
        <v>4.951348</v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Integra</t>
        </is>
      </c>
      <c r="D14" t="inlineStr">
        <is>
          <t>Colombia</t>
        </is>
      </c>
      <c r="E14" t="inlineStr">
        <is>
          <t>Gobierno de Colombia</t>
        </is>
      </c>
      <c r="F14" t="inlineStr">
        <is>
          <t>Intensidad</t>
        </is>
      </c>
      <c r="G14" t="n">
        <v>4.696621</v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Integra</t>
        </is>
      </c>
      <c r="D15" t="inlineStr">
        <is>
          <t>México</t>
        </is>
      </c>
      <c r="E15" t="inlineStr">
        <is>
          <t>Gobierno de México</t>
        </is>
      </c>
      <c r="F15" t="inlineStr">
        <is>
          <t>Intensidad</t>
        </is>
      </c>
      <c r="G15" t="n">
        <v>3.037226</v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Integra</t>
        </is>
      </c>
      <c r="D16" t="inlineStr">
        <is>
          <t>Perú</t>
        </is>
      </c>
      <c r="E16" t="inlineStr">
        <is>
          <t>Gobierno Central</t>
        </is>
      </c>
      <c r="F16" t="inlineStr">
        <is>
          <t>Intensidad</t>
        </is>
      </c>
      <c r="G16" t="n">
        <v>97.22459000000001</v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Brasil</t>
        </is>
      </c>
      <c r="E17" t="inlineStr">
        <is>
          <t>Gobierno de Brasil</t>
        </is>
      </c>
      <c r="F17" t="inlineStr">
        <is>
          <t>Intensidad</t>
        </is>
      </c>
      <c r="G17" t="n">
        <v>19.907414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Prima</t>
        </is>
      </c>
      <c r="D18" t="inlineStr">
        <is>
          <t>Colombia</t>
        </is>
      </c>
      <c r="E18" t="inlineStr">
        <is>
          <t>Gobierno de Colombia</t>
        </is>
      </c>
      <c r="F18" t="inlineStr">
        <is>
          <t>Intensidad</t>
        </is>
      </c>
      <c r="G18" t="n">
        <v>13.316607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Prima</t>
        </is>
      </c>
      <c r="D19" t="inlineStr">
        <is>
          <t>México</t>
        </is>
      </c>
      <c r="E19" t="inlineStr">
        <is>
          <t>Gobierno de México</t>
        </is>
      </c>
      <c r="F19" t="inlineStr">
        <is>
          <t>Intensidad</t>
        </is>
      </c>
      <c r="G19" t="n">
        <v>3.669554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Prima</t>
        </is>
      </c>
      <c r="D20" t="inlineStr">
        <is>
          <t>Perú</t>
        </is>
      </c>
      <c r="E20" t="inlineStr">
        <is>
          <t>Gobierno Central</t>
        </is>
      </c>
      <c r="F20" t="inlineStr">
        <is>
          <t>Intensidad</t>
        </is>
      </c>
      <c r="G20" t="n">
        <v>93.746747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Profuturo</t>
        </is>
      </c>
      <c r="D21" t="inlineStr">
        <is>
          <t>Brasil</t>
        </is>
      </c>
      <c r="E21" t="inlineStr">
        <is>
          <t>Gobierno de Brasil</t>
        </is>
      </c>
      <c r="F21" t="inlineStr">
        <is>
          <t>Intensidad</t>
        </is>
      </c>
      <c r="G21" t="n">
        <v>22.406941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Profuturo</t>
        </is>
      </c>
      <c r="D22" t="inlineStr">
        <is>
          <t>Chile</t>
        </is>
      </c>
      <c r="E22" t="inlineStr">
        <is>
          <t>Gobierno de Chile</t>
        </is>
      </c>
      <c r="F22" t="inlineStr">
        <is>
          <t>Intensidad</t>
        </is>
      </c>
      <c r="G22" t="n">
        <v>4.501684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Profuturo</t>
        </is>
      </c>
      <c r="D23" t="inlineStr">
        <is>
          <t>Colombia</t>
        </is>
      </c>
      <c r="E23" t="inlineStr">
        <is>
          <t>Gobierno de Colombia</t>
        </is>
      </c>
      <c r="F23" t="inlineStr">
        <is>
          <t>Intensidad</t>
        </is>
      </c>
      <c r="G23" t="n">
        <v>0.489441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Profuturo</t>
        </is>
      </c>
      <c r="D24" t="inlineStr">
        <is>
          <t>Perú</t>
        </is>
      </c>
      <c r="E24" t="inlineStr">
        <is>
          <t>Gobierno Central</t>
        </is>
      </c>
      <c r="F24" t="inlineStr">
        <is>
          <t>Intensidad</t>
        </is>
      </c>
      <c r="G24" t="n">
        <v>89.667326</v>
      </c>
    </row>
    <row r="25">
      <c r="A25" t="inlineStr">
        <is>
          <t>202606</t>
        </is>
      </c>
      <c r="B25" t="inlineStr">
        <is>
          <t>Actual</t>
        </is>
      </c>
      <c r="C25" t="inlineStr">
        <is>
          <t>Ex_Integra</t>
        </is>
      </c>
      <c r="D25" t="inlineStr">
        <is>
          <t>Brasil</t>
        </is>
      </c>
      <c r="E25" t="inlineStr">
        <is>
          <t>Gobierno de Brasil</t>
        </is>
      </c>
      <c r="F25" t="inlineStr">
        <is>
          <t>Intensidad</t>
        </is>
      </c>
      <c r="G25" t="n">
        <v>27.142445</v>
      </c>
    </row>
    <row r="26">
      <c r="A26" t="inlineStr">
        <is>
          <t>202606</t>
        </is>
      </c>
      <c r="B26" t="inlineStr">
        <is>
          <t>Actual</t>
        </is>
      </c>
      <c r="C26" t="inlineStr">
        <is>
          <t>Ex_Integra</t>
        </is>
      </c>
      <c r="D26" t="inlineStr">
        <is>
          <t>Chile</t>
        </is>
      </c>
      <c r="E26" t="inlineStr">
        <is>
          <t>Gobierno de Chile</t>
        </is>
      </c>
      <c r="F26" t="inlineStr">
        <is>
          <t>Intensidad</t>
        </is>
      </c>
      <c r="G26" t="n">
        <v>3.456684</v>
      </c>
    </row>
    <row r="27">
      <c r="A27" t="inlineStr">
        <is>
          <t>202606</t>
        </is>
      </c>
      <c r="B27" t="inlineStr">
        <is>
          <t>Actual</t>
        </is>
      </c>
      <c r="C27" t="inlineStr">
        <is>
          <t>Ex_Integra</t>
        </is>
      </c>
      <c r="D27" t="inlineStr">
        <is>
          <t>Colombia</t>
        </is>
      </c>
      <c r="E27" t="inlineStr">
        <is>
          <t>Gobierno de Colombia</t>
        </is>
      </c>
      <c r="F27" t="inlineStr">
        <is>
          <t>Intensidad</t>
        </is>
      </c>
      <c r="G27" t="n">
        <v>11.801642</v>
      </c>
    </row>
    <row r="28">
      <c r="A28" t="inlineStr">
        <is>
          <t>202606</t>
        </is>
      </c>
      <c r="B28" t="inlineStr">
        <is>
          <t>Actual</t>
        </is>
      </c>
      <c r="C28" t="inlineStr">
        <is>
          <t>Ex_Integra</t>
        </is>
      </c>
      <c r="D28" t="inlineStr">
        <is>
          <t>EEUU</t>
        </is>
      </c>
      <c r="E28" t="inlineStr">
        <is>
          <t>Gobierno de los Estados Unidos</t>
        </is>
      </c>
      <c r="F28" t="inlineStr">
        <is>
          <t>Intensidad</t>
        </is>
      </c>
      <c r="G28" t="n">
        <v>0.137077</v>
      </c>
    </row>
    <row r="29">
      <c r="A29" t="inlineStr">
        <is>
          <t>202606</t>
        </is>
      </c>
      <c r="B29" t="inlineStr">
        <is>
          <t>Actual</t>
        </is>
      </c>
      <c r="C29" t="inlineStr">
        <is>
          <t>Ex_Integra</t>
        </is>
      </c>
      <c r="D29" t="inlineStr">
        <is>
          <t>México</t>
        </is>
      </c>
      <c r="E29" t="inlineStr">
        <is>
          <t>Gobierno de Mexico</t>
        </is>
      </c>
      <c r="F29" t="inlineStr">
        <is>
          <t>Intensidad</t>
        </is>
      </c>
      <c r="G29" t="n">
        <v>1.225365</v>
      </c>
    </row>
    <row r="30">
      <c r="A30" t="inlineStr">
        <is>
          <t>202606</t>
        </is>
      </c>
      <c r="B30" t="inlineStr">
        <is>
          <t>Actual</t>
        </is>
      </c>
      <c r="C30" t="inlineStr">
        <is>
          <t>Ex_Integra</t>
        </is>
      </c>
      <c r="D30" t="inlineStr">
        <is>
          <t>México</t>
        </is>
      </c>
      <c r="E30" t="inlineStr">
        <is>
          <t>Gobierno de México</t>
        </is>
      </c>
      <c r="F30" t="inlineStr">
        <is>
          <t>Intensidad</t>
        </is>
      </c>
      <c r="G30" t="n">
        <v>2.474388</v>
      </c>
    </row>
    <row r="31">
      <c r="A31" t="inlineStr">
        <is>
          <t>202606</t>
        </is>
      </c>
      <c r="B31" t="inlineStr">
        <is>
          <t>Actual</t>
        </is>
      </c>
      <c r="C31" t="inlineStr">
        <is>
          <t>Ex_Integra</t>
        </is>
      </c>
      <c r="D31" t="inlineStr">
        <is>
          <t>Perú</t>
        </is>
      </c>
      <c r="E31" t="inlineStr">
        <is>
          <t>Gobierno Central</t>
        </is>
      </c>
      <c r="F31" t="inlineStr">
        <is>
          <t>Intensidad</t>
        </is>
      </c>
      <c r="G31" t="n">
        <v>84.835587</v>
      </c>
    </row>
    <row r="32">
      <c r="A32" t="inlineStr">
        <is>
          <t>202606</t>
        </is>
      </c>
      <c r="B32" t="inlineStr">
        <is>
          <t>Actual</t>
        </is>
      </c>
      <c r="C32" t="inlineStr">
        <is>
          <t>Habitat</t>
        </is>
      </c>
      <c r="D32" t="inlineStr">
        <is>
          <t>Brasil</t>
        </is>
      </c>
      <c r="E32" t="inlineStr">
        <is>
          <t>Gobierno de Brasil</t>
        </is>
      </c>
      <c r="F32" t="inlineStr">
        <is>
          <t>Intensidad</t>
        </is>
      </c>
      <c r="G32" t="n">
        <v>23.792028</v>
      </c>
    </row>
    <row r="33">
      <c r="A33" t="inlineStr">
        <is>
          <t>202606</t>
        </is>
      </c>
      <c r="B33" t="inlineStr">
        <is>
          <t>Actual</t>
        </is>
      </c>
      <c r="C33" t="inlineStr">
        <is>
          <t>Habitat</t>
        </is>
      </c>
      <c r="D33" t="inlineStr">
        <is>
          <t>Chile</t>
        </is>
      </c>
      <c r="E33" t="inlineStr">
        <is>
          <t>Gobierno de Chile</t>
        </is>
      </c>
      <c r="F33" t="inlineStr">
        <is>
          <t>Intensidad</t>
        </is>
      </c>
      <c r="G33" t="n">
        <v>2.411501</v>
      </c>
    </row>
    <row r="34">
      <c r="A34" t="inlineStr">
        <is>
          <t>202606</t>
        </is>
      </c>
      <c r="B34" t="inlineStr">
        <is>
          <t>Actual</t>
        </is>
      </c>
      <c r="C34" t="inlineStr">
        <is>
          <t>Habitat</t>
        </is>
      </c>
      <c r="D34" t="inlineStr">
        <is>
          <t>Colombia</t>
        </is>
      </c>
      <c r="E34" t="inlineStr">
        <is>
          <t>Gobierno de Colombia</t>
        </is>
      </c>
      <c r="F34" t="inlineStr">
        <is>
          <t>Intensidad</t>
        </is>
      </c>
      <c r="G34" t="n">
        <v>8.359317000000001</v>
      </c>
    </row>
    <row r="35">
      <c r="A35" t="inlineStr">
        <is>
          <t>202606</t>
        </is>
      </c>
      <c r="B35" t="inlineStr">
        <is>
          <t>Actual</t>
        </is>
      </c>
      <c r="C35" t="inlineStr">
        <is>
          <t>Habitat</t>
        </is>
      </c>
      <c r="D35" t="inlineStr">
        <is>
          <t>México</t>
        </is>
      </c>
      <c r="E35" t="inlineStr">
        <is>
          <t>Gobierno de Mexico</t>
        </is>
      </c>
      <c r="F35" t="inlineStr">
        <is>
          <t>Intensidad</t>
        </is>
      </c>
      <c r="G35" t="n">
        <v>1.556851</v>
      </c>
    </row>
    <row r="36">
      <c r="A36" t="inlineStr">
        <is>
          <t>202606</t>
        </is>
      </c>
      <c r="B36" t="inlineStr">
        <is>
          <t>Actual</t>
        </is>
      </c>
      <c r="C36" t="inlineStr">
        <is>
          <t>Habitat</t>
        </is>
      </c>
      <c r="D36" t="inlineStr">
        <is>
          <t>México</t>
        </is>
      </c>
      <c r="E36" t="inlineStr">
        <is>
          <t>Gobierno de México</t>
        </is>
      </c>
      <c r="F36" t="inlineStr">
        <is>
          <t>Intensidad</t>
        </is>
      </c>
      <c r="G36" t="n">
        <v>7.759438</v>
      </c>
    </row>
    <row r="37">
      <c r="A37" t="inlineStr">
        <is>
          <t>202606</t>
        </is>
      </c>
      <c r="B37" t="inlineStr">
        <is>
          <t>Actual</t>
        </is>
      </c>
      <c r="C37" t="inlineStr">
        <is>
          <t>Habitat</t>
        </is>
      </c>
      <c r="D37" t="inlineStr">
        <is>
          <t>Perú</t>
        </is>
      </c>
      <c r="E37" t="inlineStr">
        <is>
          <t>Gobierno Central</t>
        </is>
      </c>
      <c r="F37" t="inlineStr">
        <is>
          <t>Intensidad</t>
        </is>
      </c>
      <c r="G37" t="n">
        <v>83.435997</v>
      </c>
    </row>
    <row r="38">
      <c r="A38" t="inlineStr">
        <is>
          <t>202606</t>
        </is>
      </c>
      <c r="B38" t="inlineStr">
        <is>
          <t>Actual</t>
        </is>
      </c>
      <c r="C38" t="inlineStr">
        <is>
          <t>Integra</t>
        </is>
      </c>
      <c r="D38" t="inlineStr">
        <is>
          <t>Brasil</t>
        </is>
      </c>
      <c r="E38" t="inlineStr">
        <is>
          <t>Gobierno de Brasil</t>
        </is>
      </c>
      <c r="F38" t="inlineStr">
        <is>
          <t>Intensidad</t>
        </is>
      </c>
      <c r="G38" t="n">
        <v>27.364061</v>
      </c>
    </row>
    <row r="39">
      <c r="A39" t="inlineStr">
        <is>
          <t>202606</t>
        </is>
      </c>
      <c r="B39" t="inlineStr">
        <is>
          <t>Actual</t>
        </is>
      </c>
      <c r="C39" t="inlineStr">
        <is>
          <t>Integra</t>
        </is>
      </c>
      <c r="D39" t="inlineStr">
        <is>
          <t>Chile</t>
        </is>
      </c>
      <c r="E39" t="inlineStr">
        <is>
          <t>Gobierno de Chile</t>
        </is>
      </c>
      <c r="F39" t="inlineStr">
        <is>
          <t>Intensidad</t>
        </is>
      </c>
      <c r="G39" t="n">
        <v>1.310432</v>
      </c>
    </row>
    <row r="40">
      <c r="A40" t="inlineStr">
        <is>
          <t>202606</t>
        </is>
      </c>
      <c r="B40" t="inlineStr">
        <is>
          <t>Actual</t>
        </is>
      </c>
      <c r="C40" t="inlineStr">
        <is>
          <t>Integra</t>
        </is>
      </c>
      <c r="D40" t="inlineStr">
        <is>
          <t>Colombia</t>
        </is>
      </c>
      <c r="E40" t="inlineStr">
        <is>
          <t>Gobierno de Colombia</t>
        </is>
      </c>
      <c r="F40" t="inlineStr">
        <is>
          <t>Intensidad</t>
        </is>
      </c>
      <c r="G40" t="n">
        <v>9.641954999999999</v>
      </c>
    </row>
    <row r="41">
      <c r="A41" t="inlineStr">
        <is>
          <t>202606</t>
        </is>
      </c>
      <c r="B41" t="inlineStr">
        <is>
          <t>Actual</t>
        </is>
      </c>
      <c r="C41" t="inlineStr">
        <is>
          <t>Integra</t>
        </is>
      </c>
      <c r="D41" t="inlineStr">
        <is>
          <t>México</t>
        </is>
      </c>
      <c r="E41" t="inlineStr">
        <is>
          <t>Gobierno de Mexico</t>
        </is>
      </c>
      <c r="F41" t="inlineStr">
        <is>
          <t>Intensidad</t>
        </is>
      </c>
      <c r="G41" t="n">
        <v>3.330972</v>
      </c>
    </row>
    <row r="42">
      <c r="A42" t="inlineStr">
        <is>
          <t>202606</t>
        </is>
      </c>
      <c r="B42" t="inlineStr">
        <is>
          <t>Actual</t>
        </is>
      </c>
      <c r="C42" t="inlineStr">
        <is>
          <t>Integra</t>
        </is>
      </c>
      <c r="D42" t="inlineStr">
        <is>
          <t>México</t>
        </is>
      </c>
      <c r="E42" t="inlineStr">
        <is>
          <t>Gobierno de México</t>
        </is>
      </c>
      <c r="F42" t="inlineStr">
        <is>
          <t>Intensidad</t>
        </is>
      </c>
      <c r="G42" t="n">
        <v>2.749931</v>
      </c>
    </row>
    <row r="43">
      <c r="A43" t="inlineStr">
        <is>
          <t>202606</t>
        </is>
      </c>
      <c r="B43" t="inlineStr">
        <is>
          <t>Actual</t>
        </is>
      </c>
      <c r="C43" t="inlineStr">
        <is>
          <t>Integra</t>
        </is>
      </c>
      <c r="D43" t="inlineStr">
        <is>
          <t>Perú</t>
        </is>
      </c>
      <c r="E43" t="inlineStr">
        <is>
          <t>Gobierno Central</t>
        </is>
      </c>
      <c r="F43" t="inlineStr">
        <is>
          <t>Intensidad</t>
        </is>
      </c>
      <c r="G43" t="n">
        <v>81.922696</v>
      </c>
    </row>
    <row r="44">
      <c r="A44" t="inlineStr">
        <is>
          <t>202606</t>
        </is>
      </c>
      <c r="B44" t="inlineStr">
        <is>
          <t>Actual</t>
        </is>
      </c>
      <c r="C44" t="inlineStr">
        <is>
          <t>Integra</t>
        </is>
      </c>
      <c r="D44" t="inlineStr">
        <is>
          <t>Sudáfrica</t>
        </is>
      </c>
      <c r="E44" t="inlineStr">
        <is>
          <t>Gobierno de Sudáfrica</t>
        </is>
      </c>
      <c r="F44" t="inlineStr">
        <is>
          <t>Intensidad</t>
        </is>
      </c>
      <c r="G44" t="n">
        <v>9.213352</v>
      </c>
    </row>
    <row r="45">
      <c r="A45" t="inlineStr">
        <is>
          <t>202606</t>
        </is>
      </c>
      <c r="B45" t="inlineStr">
        <is>
          <t>Actual</t>
        </is>
      </c>
      <c r="C45" t="inlineStr">
        <is>
          <t>Prima</t>
        </is>
      </c>
      <c r="D45" t="inlineStr">
        <is>
          <t>Brasil</t>
        </is>
      </c>
      <c r="E45" t="inlineStr">
        <is>
          <t>Gobierno de Brasil</t>
        </is>
      </c>
      <c r="F45" t="inlineStr">
        <is>
          <t>Intensidad</t>
        </is>
      </c>
      <c r="G45" t="n">
        <v>25.309671</v>
      </c>
    </row>
    <row r="46">
      <c r="A46" t="inlineStr">
        <is>
          <t>202606</t>
        </is>
      </c>
      <c r="B46" t="inlineStr">
        <is>
          <t>Actual</t>
        </is>
      </c>
      <c r="C46" t="inlineStr">
        <is>
          <t>Prima</t>
        </is>
      </c>
      <c r="D46" t="inlineStr">
        <is>
          <t>Chile</t>
        </is>
      </c>
      <c r="E46" t="inlineStr">
        <is>
          <t>Gobierno de Chile</t>
        </is>
      </c>
      <c r="F46" t="inlineStr">
        <is>
          <t>Intensidad</t>
        </is>
      </c>
      <c r="G46" t="n">
        <v>2.600499</v>
      </c>
    </row>
    <row r="47">
      <c r="A47" t="inlineStr">
        <is>
          <t>202606</t>
        </is>
      </c>
      <c r="B47" t="inlineStr">
        <is>
          <t>Actual</t>
        </is>
      </c>
      <c r="C47" t="inlineStr">
        <is>
          <t>Prima</t>
        </is>
      </c>
      <c r="D47" t="inlineStr">
        <is>
          <t>Colombia</t>
        </is>
      </c>
      <c r="E47" t="inlineStr">
        <is>
          <t>Gobierno de Colombia</t>
        </is>
      </c>
      <c r="F47" t="inlineStr">
        <is>
          <t>Intensidad</t>
        </is>
      </c>
      <c r="G47" t="n">
        <v>16.273137</v>
      </c>
    </row>
    <row r="48">
      <c r="A48" t="inlineStr">
        <is>
          <t>202606</t>
        </is>
      </c>
      <c r="B48" t="inlineStr">
        <is>
          <t>Actual</t>
        </is>
      </c>
      <c r="C48" t="inlineStr">
        <is>
          <t>Prima</t>
        </is>
      </c>
      <c r="D48" t="inlineStr">
        <is>
          <t>EEUU</t>
        </is>
      </c>
      <c r="E48" t="inlineStr">
        <is>
          <t>Gobierno de los Estados Unidos</t>
        </is>
      </c>
      <c r="F48" t="inlineStr">
        <is>
          <t>Intensidad</t>
        </is>
      </c>
      <c r="G48" t="n">
        <v>0.314275</v>
      </c>
    </row>
    <row r="49">
      <c r="A49" t="inlineStr">
        <is>
          <t>202606</t>
        </is>
      </c>
      <c r="B49" t="inlineStr">
        <is>
          <t>Actual</t>
        </is>
      </c>
      <c r="C49" t="inlineStr">
        <is>
          <t>Prima</t>
        </is>
      </c>
      <c r="D49" t="inlineStr">
        <is>
          <t>México</t>
        </is>
      </c>
      <c r="E49" t="inlineStr">
        <is>
          <t>Gobierno de Mexico</t>
        </is>
      </c>
      <c r="F49" t="inlineStr">
        <is>
          <t>Intensidad</t>
        </is>
      </c>
      <c r="G49" t="n">
        <v>2.102824</v>
      </c>
    </row>
    <row r="50">
      <c r="A50" t="inlineStr">
        <is>
          <t>202606</t>
        </is>
      </c>
      <c r="B50" t="inlineStr">
        <is>
          <t>Actual</t>
        </is>
      </c>
      <c r="C50" t="inlineStr">
        <is>
          <t>Prima</t>
        </is>
      </c>
      <c r="D50" t="inlineStr">
        <is>
          <t>México</t>
        </is>
      </c>
      <c r="E50" t="inlineStr">
        <is>
          <t>Gobierno de México</t>
        </is>
      </c>
      <c r="F50" t="inlineStr">
        <is>
          <t>Intensidad</t>
        </is>
      </c>
      <c r="G50" t="n">
        <v>2.343976</v>
      </c>
    </row>
    <row r="51">
      <c r="A51" t="inlineStr">
        <is>
          <t>202606</t>
        </is>
      </c>
      <c r="B51" t="inlineStr">
        <is>
          <t>Actual</t>
        </is>
      </c>
      <c r="C51" t="inlineStr">
        <is>
          <t>Prima</t>
        </is>
      </c>
      <c r="D51" t="inlineStr">
        <is>
          <t>Perú</t>
        </is>
      </c>
      <c r="E51" t="inlineStr">
        <is>
          <t>Gobierno Central</t>
        </is>
      </c>
      <c r="F51" t="inlineStr">
        <is>
          <t>Intensidad</t>
        </is>
      </c>
      <c r="G51" t="n">
        <v>82.137924</v>
      </c>
    </row>
    <row r="52">
      <c r="A52" t="inlineStr">
        <is>
          <t>202606</t>
        </is>
      </c>
      <c r="B52" t="inlineStr">
        <is>
          <t>Actual</t>
        </is>
      </c>
      <c r="C52" t="inlineStr">
        <is>
          <t>Profuturo</t>
        </is>
      </c>
      <c r="D52" t="inlineStr">
        <is>
          <t>Brasil</t>
        </is>
      </c>
      <c r="E52" t="inlineStr">
        <is>
          <t>Gobierno de Brasil</t>
        </is>
      </c>
      <c r="F52" t="inlineStr">
        <is>
          <t>Intensidad</t>
        </is>
      </c>
      <c r="G52" t="n">
        <v>32.740114</v>
      </c>
    </row>
    <row r="53">
      <c r="A53" t="inlineStr">
        <is>
          <t>202606</t>
        </is>
      </c>
      <c r="B53" t="inlineStr">
        <is>
          <t>Actual</t>
        </is>
      </c>
      <c r="C53" t="inlineStr">
        <is>
          <t>Profuturo</t>
        </is>
      </c>
      <c r="D53" t="inlineStr">
        <is>
          <t>Chile</t>
        </is>
      </c>
      <c r="E53" t="inlineStr">
        <is>
          <t>Gobierno de Chile</t>
        </is>
      </c>
      <c r="F53" t="inlineStr">
        <is>
          <t>Intensidad</t>
        </is>
      </c>
      <c r="G53" t="n">
        <v>6.023292</v>
      </c>
    </row>
    <row r="54">
      <c r="A54" t="inlineStr">
        <is>
          <t>202606</t>
        </is>
      </c>
      <c r="B54" t="inlineStr">
        <is>
          <t>Actual</t>
        </is>
      </c>
      <c r="C54" t="inlineStr">
        <is>
          <t>Profuturo</t>
        </is>
      </c>
      <c r="D54" t="inlineStr">
        <is>
          <t>Colombia</t>
        </is>
      </c>
      <c r="E54" t="inlineStr">
        <is>
          <t>Gobierno de Colombia</t>
        </is>
      </c>
      <c r="F54" t="inlineStr">
        <is>
          <t>Intensidad</t>
        </is>
      </c>
      <c r="G54" t="n">
        <v>7.817877</v>
      </c>
    </row>
    <row r="55">
      <c r="A55" t="inlineStr">
        <is>
          <t>202606</t>
        </is>
      </c>
      <c r="B55" t="inlineStr">
        <is>
          <t>Actual</t>
        </is>
      </c>
      <c r="C55" t="inlineStr">
        <is>
          <t>Profuturo</t>
        </is>
      </c>
      <c r="D55" t="inlineStr">
        <is>
          <t>Perú</t>
        </is>
      </c>
      <c r="E55" t="inlineStr">
        <is>
          <t>Gobierno Central</t>
        </is>
      </c>
      <c r="F55" t="inlineStr">
        <is>
          <t>Intensidad</t>
        </is>
      </c>
      <c r="G55" t="n">
        <v>79.529449</v>
      </c>
    </row>
  </sheetData>
  <conditionalFormatting sqref="Q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Categoria</t>
        </is>
      </c>
      <c r="E1" t="inlineStr">
        <is>
          <t>Tipo_Dato</t>
        </is>
      </c>
      <c r="F1" t="inlineStr">
        <is>
          <t>Metrica</t>
        </is>
      </c>
      <c r="G1" t="inlineStr">
        <is>
          <t>Valor</t>
        </is>
      </c>
      <c r="I1" t="inlineStr">
        <is>
          <t>Corte</t>
        </is>
      </c>
      <c r="J1" t="inlineStr">
        <is>
          <t>Materials</t>
        </is>
      </c>
      <c r="K1" t="inlineStr">
        <is>
          <t>Utilities</t>
        </is>
      </c>
      <c r="L1" t="inlineStr">
        <is>
          <t>Otros</t>
        </is>
      </c>
      <c r="M1" t="inlineStr">
        <is>
          <t>RF</t>
        </is>
      </c>
      <c r="N1" t="inlineStr">
        <is>
          <t>RV</t>
        </is>
      </c>
      <c r="O1" t="inlineStr">
        <is>
          <t>Proxies</t>
        </is>
      </c>
      <c r="P1" t="inlineStr">
        <is>
          <t>Total</t>
        </is>
      </c>
      <c r="Q1" t="inlineStr">
        <is>
          <t>Variación %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Alts</t>
        </is>
      </c>
      <c r="E2" t="inlineStr">
        <is>
          <t>Proxies</t>
        </is>
      </c>
      <c r="F2" t="inlineStr">
        <is>
          <t>Huella</t>
        </is>
      </c>
      <c r="G2" t="n">
        <v>0</v>
      </c>
      <c r="I2" t="inlineStr">
        <is>
          <t>Dic25</t>
        </is>
      </c>
      <c r="J2">
        <f>SUMIFS($G$2:$G$71,$C$2:$C$71,"Integra",$D$2:$D$71,J$1,$E$2:$E$71,"MSCI",$A$2:$A$71,"202512")</f>
        <v/>
      </c>
      <c r="K2">
        <f>SUMIFS($G$2:$G$71,$C$2:$C$71,"Integra",$D$2:$D$71,K$1,$E$2:$E$71,"MSCI",$A$2:$A$71,"202512")</f>
        <v/>
      </c>
      <c r="L2">
        <f>SUMIFS($G$2:$G$71,$C$2:$C$71,"Integra",$D$2:$D$71,L$1,$E$2:$E$71,"MSCI",$A$2:$A$71,"202512")</f>
        <v/>
      </c>
      <c r="M2">
        <f>SUMIFS($G$2:$G$71,$C$2:$C$71,"Integra",$D$2:$D$71,M$1,$E$2:$E$71,"MSCI",$A$2:$A$71,"202512")</f>
        <v/>
      </c>
      <c r="N2">
        <f>SUMIFS($G$2:$G$71,$C$2:$C$71,"Integra",$D$2:$D$71,N$1,$E$2:$E$71,"MSCI",$A$2:$A$71,"202512")</f>
        <v/>
      </c>
      <c r="O2">
        <f>SUMIFS($G$2:$G$71,$C$2:$C$71,"Integra",$D$2:$D$71,O$1,$E$2:$E$71,"Proxies",$A$2:$A$71,"202512")</f>
        <v/>
      </c>
      <c r="P2">
        <f>SUM(J2:O2)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Materials</t>
        </is>
      </c>
      <c r="E3" t="inlineStr">
        <is>
          <t>MSCI</t>
        </is>
      </c>
      <c r="F3" t="inlineStr">
        <is>
          <t>Huella</t>
        </is>
      </c>
      <c r="G3" t="n">
        <v>187737.753618</v>
      </c>
      <c r="I3" t="inlineStr">
        <is>
          <t>Jun26</t>
        </is>
      </c>
      <c r="J3">
        <f>SUMIFS($G$2:$G$71,$C$2:$C$71,"Integra",$D$2:$D$71,J$1,$E$2:$E$71,"MSCI",$A$2:$A$71,"202606")</f>
        <v/>
      </c>
      <c r="K3">
        <f>SUMIFS($G$2:$G$71,$C$2:$C$71,"Integra",$D$2:$D$71,K$1,$E$2:$E$71,"MSCI",$A$2:$A$71,"202606")</f>
        <v/>
      </c>
      <c r="L3">
        <f>SUMIFS($G$2:$G$71,$C$2:$C$71,"Integra",$D$2:$D$71,L$1,$E$2:$E$71,"MSCI",$A$2:$A$71,"202606")</f>
        <v/>
      </c>
      <c r="M3">
        <f>SUMIFS($G$2:$G$71,$C$2:$C$71,"Integra",$D$2:$D$71,M$1,$E$2:$E$71,"MSCI",$A$2:$A$71,"202606")</f>
        <v/>
      </c>
      <c r="N3">
        <f>SUMIFS($G$2:$G$71,$C$2:$C$71,"Integra",$D$2:$D$71,N$1,$E$2:$E$71,"MSCI",$A$2:$A$71,"202606")</f>
        <v/>
      </c>
      <c r="O3">
        <f>SUMIFS($G$2:$G$71,$C$2:$C$71,"Integra",$D$2:$D$71,O$1,$E$2:$E$71,"Proxies",$A$2:$A$71,"202606")</f>
        <v/>
      </c>
      <c r="P3">
        <f>SUM(J3:O3)</f>
        <v/>
      </c>
      <c r="Q3" s="1">
        <f>IFERROR(P3/P2-1,"")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Otros</t>
        </is>
      </c>
      <c r="E4" t="inlineStr">
        <is>
          <t>MSCI</t>
        </is>
      </c>
      <c r="F4" t="inlineStr">
        <is>
          <t>Huella</t>
        </is>
      </c>
      <c r="G4" t="n">
        <v>89766.43393100001</v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Proxies</t>
        </is>
      </c>
      <c r="E5" t="inlineStr">
        <is>
          <t>Proxies</t>
        </is>
      </c>
      <c r="F5" t="inlineStr">
        <is>
          <t>Huella</t>
        </is>
      </c>
      <c r="G5" t="n">
        <v>457105.606877</v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Ex_Integra</t>
        </is>
      </c>
      <c r="D6" t="inlineStr">
        <is>
          <t>RF</t>
        </is>
      </c>
      <c r="E6" t="inlineStr">
        <is>
          <t>MSCI</t>
        </is>
      </c>
      <c r="F6" t="inlineStr">
        <is>
          <t>Huella</t>
        </is>
      </c>
      <c r="G6" t="n">
        <v>163578.468415</v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Ex_Integra</t>
        </is>
      </c>
      <c r="D7" t="inlineStr">
        <is>
          <t>RV</t>
        </is>
      </c>
      <c r="E7" t="inlineStr">
        <is>
          <t>MSCI</t>
        </is>
      </c>
      <c r="F7" t="inlineStr">
        <is>
          <t>Huella</t>
        </is>
      </c>
      <c r="G7" t="n">
        <v>199615.244222</v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Ex_Integra</t>
        </is>
      </c>
      <c r="D8" t="inlineStr">
        <is>
          <t>Utilities</t>
        </is>
      </c>
      <c r="E8" t="inlineStr">
        <is>
          <t>MSCI</t>
        </is>
      </c>
      <c r="F8" t="inlineStr">
        <is>
          <t>Huella</t>
        </is>
      </c>
      <c r="G8" t="n">
        <v>4149.470224</v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Habitat</t>
        </is>
      </c>
      <c r="D9" t="inlineStr">
        <is>
          <t>Alts</t>
        </is>
      </c>
      <c r="E9" t="inlineStr">
        <is>
          <t>Proxies</t>
        </is>
      </c>
      <c r="F9" t="inlineStr">
        <is>
          <t>Huella</t>
        </is>
      </c>
      <c r="G9" t="n">
        <v>0</v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Habitat</t>
        </is>
      </c>
      <c r="D10" t="inlineStr">
        <is>
          <t>Materials</t>
        </is>
      </c>
      <c r="E10" t="inlineStr">
        <is>
          <t>MSCI</t>
        </is>
      </c>
      <c r="F10" t="inlineStr">
        <is>
          <t>Huella</t>
        </is>
      </c>
      <c r="G10" t="n">
        <v>50775.993159</v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Habitat</t>
        </is>
      </c>
      <c r="D11" t="inlineStr">
        <is>
          <t>Otros</t>
        </is>
      </c>
      <c r="E11" t="inlineStr">
        <is>
          <t>MSCI</t>
        </is>
      </c>
      <c r="F11" t="inlineStr">
        <is>
          <t>Huella</t>
        </is>
      </c>
      <c r="G11" t="n">
        <v>14180.87345</v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Habitat</t>
        </is>
      </c>
      <c r="D12" t="inlineStr">
        <is>
          <t>Proxies</t>
        </is>
      </c>
      <c r="E12" t="inlineStr">
        <is>
          <t>Proxies</t>
        </is>
      </c>
      <c r="F12" t="inlineStr">
        <is>
          <t>Huella</t>
        </is>
      </c>
      <c r="G12" t="n">
        <v>156357.080754</v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Habitat</t>
        </is>
      </c>
      <c r="D13" t="inlineStr">
        <is>
          <t>RF</t>
        </is>
      </c>
      <c r="E13" t="inlineStr">
        <is>
          <t>MSCI</t>
        </is>
      </c>
      <c r="F13" t="inlineStr">
        <is>
          <t>Huella</t>
        </is>
      </c>
      <c r="G13" t="n">
        <v>23998.514423</v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Habitat</t>
        </is>
      </c>
      <c r="D14" t="inlineStr">
        <is>
          <t>RV</t>
        </is>
      </c>
      <c r="E14" t="inlineStr">
        <is>
          <t>MSCI</t>
        </is>
      </c>
      <c r="F14" t="inlineStr">
        <is>
          <t>Huella</t>
        </is>
      </c>
      <c r="G14" t="n">
        <v>61368.756946</v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Habitat</t>
        </is>
      </c>
      <c r="D15" t="inlineStr">
        <is>
          <t>Utilities</t>
        </is>
      </c>
      <c r="E15" t="inlineStr">
        <is>
          <t>MSCI</t>
        </is>
      </c>
      <c r="F15" t="inlineStr">
        <is>
          <t>Huella</t>
        </is>
      </c>
      <c r="G15" t="n">
        <v>881.866702</v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Integra</t>
        </is>
      </c>
      <c r="D16" t="inlineStr">
        <is>
          <t>Alts</t>
        </is>
      </c>
      <c r="E16" t="inlineStr">
        <is>
          <t>Proxies</t>
        </is>
      </c>
      <c r="F16" t="inlineStr">
        <is>
          <t>Huella</t>
        </is>
      </c>
      <c r="G16" t="n">
        <v>0</v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Integra</t>
        </is>
      </c>
      <c r="D17" t="inlineStr">
        <is>
          <t>Materials</t>
        </is>
      </c>
      <c r="E17" t="inlineStr">
        <is>
          <t>MSCI</t>
        </is>
      </c>
      <c r="F17" t="inlineStr">
        <is>
          <t>Huella</t>
        </is>
      </c>
      <c r="G17" t="n">
        <v>87653.184781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Integra</t>
        </is>
      </c>
      <c r="D18" t="inlineStr">
        <is>
          <t>Otros</t>
        </is>
      </c>
      <c r="E18" t="inlineStr">
        <is>
          <t>MSCI</t>
        </is>
      </c>
      <c r="F18" t="inlineStr">
        <is>
          <t>Huella</t>
        </is>
      </c>
      <c r="G18" t="n">
        <v>45781.445309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Integra</t>
        </is>
      </c>
      <c r="D19" t="inlineStr">
        <is>
          <t>Proxies</t>
        </is>
      </c>
      <c r="E19" t="inlineStr">
        <is>
          <t>Proxies</t>
        </is>
      </c>
      <c r="F19" t="inlineStr">
        <is>
          <t>Huella</t>
        </is>
      </c>
      <c r="G19" t="n">
        <v>193272.691104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Integra</t>
        </is>
      </c>
      <c r="D20" t="inlineStr">
        <is>
          <t>RF</t>
        </is>
      </c>
      <c r="E20" t="inlineStr">
        <is>
          <t>MSCI</t>
        </is>
      </c>
      <c r="F20" t="inlineStr">
        <is>
          <t>Huella</t>
        </is>
      </c>
      <c r="G20" t="n">
        <v>67701.684824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Integra</t>
        </is>
      </c>
      <c r="D21" t="inlineStr">
        <is>
          <t>RV</t>
        </is>
      </c>
      <c r="E21" t="inlineStr">
        <is>
          <t>MSCI</t>
        </is>
      </c>
      <c r="F21" t="inlineStr">
        <is>
          <t>Huella</t>
        </is>
      </c>
      <c r="G21" t="n">
        <v>106423.033503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Integra</t>
        </is>
      </c>
      <c r="D22" t="inlineStr">
        <is>
          <t>Utilities</t>
        </is>
      </c>
      <c r="E22" t="inlineStr">
        <is>
          <t>MSCI</t>
        </is>
      </c>
      <c r="F22" t="inlineStr">
        <is>
          <t>Huella</t>
        </is>
      </c>
      <c r="G22" t="n">
        <v>1366.469735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Prima</t>
        </is>
      </c>
      <c r="D23" t="inlineStr">
        <is>
          <t>Alts</t>
        </is>
      </c>
      <c r="E23" t="inlineStr">
        <is>
          <t>Proxies</t>
        </is>
      </c>
      <c r="F23" t="inlineStr">
        <is>
          <t>Huella</t>
        </is>
      </c>
      <c r="G23" t="n">
        <v>0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Prima</t>
        </is>
      </c>
      <c r="D24" t="inlineStr">
        <is>
          <t>Materials</t>
        </is>
      </c>
      <c r="E24" t="inlineStr">
        <is>
          <t>MSCI</t>
        </is>
      </c>
      <c r="F24" t="inlineStr">
        <is>
          <t>Huella</t>
        </is>
      </c>
      <c r="G24" t="n">
        <v>108703.16456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Prima</t>
        </is>
      </c>
      <c r="D25" t="inlineStr">
        <is>
          <t>Otros</t>
        </is>
      </c>
      <c r="E25" t="inlineStr">
        <is>
          <t>MSCI</t>
        </is>
      </c>
      <c r="F25" t="inlineStr">
        <is>
          <t>Huella</t>
        </is>
      </c>
      <c r="G25" t="n">
        <v>60424.815884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Prima</t>
        </is>
      </c>
      <c r="D26" t="inlineStr">
        <is>
          <t>Proxies</t>
        </is>
      </c>
      <c r="E26" t="inlineStr">
        <is>
          <t>Proxies</t>
        </is>
      </c>
      <c r="F26" t="inlineStr">
        <is>
          <t>Huella</t>
        </is>
      </c>
      <c r="G26" t="n">
        <v>171221.870562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Prima</t>
        </is>
      </c>
      <c r="D27" t="inlineStr">
        <is>
          <t>RF</t>
        </is>
      </c>
      <c r="E27" t="inlineStr">
        <is>
          <t>MSCI</t>
        </is>
      </c>
      <c r="F27" t="inlineStr">
        <is>
          <t>Huella</t>
        </is>
      </c>
      <c r="G27" t="n">
        <v>90573.621446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Prima</t>
        </is>
      </c>
      <c r="D28" t="inlineStr">
        <is>
          <t>RV</t>
        </is>
      </c>
      <c r="E28" t="inlineStr">
        <is>
          <t>MSCI</t>
        </is>
      </c>
      <c r="F28" t="inlineStr">
        <is>
          <t>Huella</t>
        </is>
      </c>
      <c r="G28" t="n">
        <v>81793.486221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Prima</t>
        </is>
      </c>
      <c r="D29" t="inlineStr">
        <is>
          <t>Utilities</t>
        </is>
      </c>
      <c r="E29" t="inlineStr">
        <is>
          <t>MSCI</t>
        </is>
      </c>
      <c r="F29" t="inlineStr">
        <is>
          <t>Huella</t>
        </is>
      </c>
      <c r="G29" t="n">
        <v>2778.421028</v>
      </c>
    </row>
    <row r="30">
      <c r="A30" t="inlineStr">
        <is>
          <t>202512</t>
        </is>
      </c>
      <c r="B30" t="inlineStr">
        <is>
          <t>Comparación</t>
        </is>
      </c>
      <c r="C30" t="inlineStr">
        <is>
          <t>Profuturo</t>
        </is>
      </c>
      <c r="D30" t="inlineStr">
        <is>
          <t>Alts</t>
        </is>
      </c>
      <c r="E30" t="inlineStr">
        <is>
          <t>Proxies</t>
        </is>
      </c>
      <c r="F30" t="inlineStr">
        <is>
          <t>Huella</t>
        </is>
      </c>
      <c r="G30" t="n">
        <v>0</v>
      </c>
    </row>
    <row r="31">
      <c r="A31" t="inlineStr">
        <is>
          <t>202512</t>
        </is>
      </c>
      <c r="B31" t="inlineStr">
        <is>
          <t>Comparación</t>
        </is>
      </c>
      <c r="C31" t="inlineStr">
        <is>
          <t>Profuturo</t>
        </is>
      </c>
      <c r="D31" t="inlineStr">
        <is>
          <t>Materials</t>
        </is>
      </c>
      <c r="E31" t="inlineStr">
        <is>
          <t>MSCI</t>
        </is>
      </c>
      <c r="F31" t="inlineStr">
        <is>
          <t>Huella</t>
        </is>
      </c>
      <c r="G31" t="n">
        <v>30145.494011</v>
      </c>
    </row>
    <row r="32">
      <c r="A32" t="inlineStr">
        <is>
          <t>202512</t>
        </is>
      </c>
      <c r="B32" t="inlineStr">
        <is>
          <t>Comparación</t>
        </is>
      </c>
      <c r="C32" t="inlineStr">
        <is>
          <t>Profuturo</t>
        </is>
      </c>
      <c r="D32" t="inlineStr">
        <is>
          <t>Otros</t>
        </is>
      </c>
      <c r="E32" t="inlineStr">
        <is>
          <t>MSCI</t>
        </is>
      </c>
      <c r="F32" t="inlineStr">
        <is>
          <t>Huella</t>
        </is>
      </c>
      <c r="G32" t="n">
        <v>15908.520153</v>
      </c>
    </row>
    <row r="33">
      <c r="A33" t="inlineStr">
        <is>
          <t>202512</t>
        </is>
      </c>
      <c r="B33" t="inlineStr">
        <is>
          <t>Comparación</t>
        </is>
      </c>
      <c r="C33" t="inlineStr">
        <is>
          <t>Profuturo</t>
        </is>
      </c>
      <c r="D33" t="inlineStr">
        <is>
          <t>Proxies</t>
        </is>
      </c>
      <c r="E33" t="inlineStr">
        <is>
          <t>Proxies</t>
        </is>
      </c>
      <c r="F33" t="inlineStr">
        <is>
          <t>Huella</t>
        </is>
      </c>
      <c r="G33" t="n">
        <v>132697.81003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Profuturo</t>
        </is>
      </c>
      <c r="D34" t="inlineStr">
        <is>
          <t>RF</t>
        </is>
      </c>
      <c r="E34" t="inlineStr">
        <is>
          <t>MSCI</t>
        </is>
      </c>
      <c r="F34" t="inlineStr">
        <is>
          <t>Huella</t>
        </is>
      </c>
      <c r="G34" t="n">
        <v>49415.064547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Profuturo</t>
        </is>
      </c>
      <c r="D35" t="inlineStr">
        <is>
          <t>RV</t>
        </is>
      </c>
      <c r="E35" t="inlineStr">
        <is>
          <t>MSCI</t>
        </is>
      </c>
      <c r="F35" t="inlineStr">
        <is>
          <t>Huella</t>
        </is>
      </c>
      <c r="G35" t="n">
        <v>56207.949011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Profuturo</t>
        </is>
      </c>
      <c r="D36" t="inlineStr">
        <is>
          <t>Utilities</t>
        </is>
      </c>
      <c r="E36" t="inlineStr">
        <is>
          <t>MSCI</t>
        </is>
      </c>
      <c r="F36" t="inlineStr">
        <is>
          <t>Huella</t>
        </is>
      </c>
      <c r="G36" t="n">
        <v>557.571872</v>
      </c>
    </row>
    <row r="37">
      <c r="A37" t="inlineStr">
        <is>
          <t>202606</t>
        </is>
      </c>
      <c r="B37" t="inlineStr">
        <is>
          <t>Actual</t>
        </is>
      </c>
      <c r="C37" t="inlineStr">
        <is>
          <t>Ex_Integra</t>
        </is>
      </c>
      <c r="D37" t="inlineStr">
        <is>
          <t>Alts</t>
        </is>
      </c>
      <c r="E37" t="inlineStr">
        <is>
          <t>Proxies</t>
        </is>
      </c>
      <c r="F37" t="inlineStr">
        <is>
          <t>Huella</t>
        </is>
      </c>
      <c r="G37" t="n">
        <v>0</v>
      </c>
    </row>
    <row r="38">
      <c r="A38" t="inlineStr">
        <is>
          <t>202606</t>
        </is>
      </c>
      <c r="B38" t="inlineStr">
        <is>
          <t>Actual</t>
        </is>
      </c>
      <c r="C38" t="inlineStr">
        <is>
          <t>Ex_Integra</t>
        </is>
      </c>
      <c r="D38" t="inlineStr">
        <is>
          <t>Materials</t>
        </is>
      </c>
      <c r="E38" t="inlineStr">
        <is>
          <t>MSCI</t>
        </is>
      </c>
      <c r="F38" t="inlineStr">
        <is>
          <t>Huella</t>
        </is>
      </c>
      <c r="G38" t="n">
        <v>144986.702368</v>
      </c>
    </row>
    <row r="39">
      <c r="A39" t="inlineStr">
        <is>
          <t>202606</t>
        </is>
      </c>
      <c r="B39" t="inlineStr">
        <is>
          <t>Actual</t>
        </is>
      </c>
      <c r="C39" t="inlineStr">
        <is>
          <t>Ex_Integra</t>
        </is>
      </c>
      <c r="D39" t="inlineStr">
        <is>
          <t>Otros</t>
        </is>
      </c>
      <c r="E39" t="inlineStr">
        <is>
          <t>MSCI</t>
        </is>
      </c>
      <c r="F39" t="inlineStr">
        <is>
          <t>Huella</t>
        </is>
      </c>
      <c r="G39" t="n">
        <v>67066.268761</v>
      </c>
    </row>
    <row r="40">
      <c r="A40" t="inlineStr">
        <is>
          <t>202606</t>
        </is>
      </c>
      <c r="B40" t="inlineStr">
        <is>
          <t>Actual</t>
        </is>
      </c>
      <c r="C40" t="inlineStr">
        <is>
          <t>Ex_Integra</t>
        </is>
      </c>
      <c r="D40" t="inlineStr">
        <is>
          <t>Proxies</t>
        </is>
      </c>
      <c r="E40" t="inlineStr">
        <is>
          <t>Proxies</t>
        </is>
      </c>
      <c r="F40" t="inlineStr">
        <is>
          <t>Huella</t>
        </is>
      </c>
      <c r="G40" t="n">
        <v>396565.145375</v>
      </c>
    </row>
    <row r="41">
      <c r="A41" t="inlineStr">
        <is>
          <t>202606</t>
        </is>
      </c>
      <c r="B41" t="inlineStr">
        <is>
          <t>Actual</t>
        </is>
      </c>
      <c r="C41" t="inlineStr">
        <is>
          <t>Ex_Integra</t>
        </is>
      </c>
      <c r="D41" t="inlineStr">
        <is>
          <t>RF</t>
        </is>
      </c>
      <c r="E41" t="inlineStr">
        <is>
          <t>MSCI</t>
        </is>
      </c>
      <c r="F41" t="inlineStr">
        <is>
          <t>Huella</t>
        </is>
      </c>
      <c r="G41" t="n">
        <v>194766.377117</v>
      </c>
    </row>
    <row r="42">
      <c r="A42" t="inlineStr">
        <is>
          <t>202606</t>
        </is>
      </c>
      <c r="B42" t="inlineStr">
        <is>
          <t>Actual</t>
        </is>
      </c>
      <c r="C42" t="inlineStr">
        <is>
          <t>Ex_Integra</t>
        </is>
      </c>
      <c r="D42" t="inlineStr">
        <is>
          <t>RV</t>
        </is>
      </c>
      <c r="E42" t="inlineStr">
        <is>
          <t>MSCI</t>
        </is>
      </c>
      <c r="F42" t="inlineStr">
        <is>
          <t>Huella</t>
        </is>
      </c>
      <c r="G42" t="n">
        <v>165780.38378</v>
      </c>
    </row>
    <row r="43">
      <c r="A43" t="inlineStr">
        <is>
          <t>202606</t>
        </is>
      </c>
      <c r="B43" t="inlineStr">
        <is>
          <t>Actual</t>
        </is>
      </c>
      <c r="C43" t="inlineStr">
        <is>
          <t>Ex_Integra</t>
        </is>
      </c>
      <c r="D43" t="inlineStr">
        <is>
          <t>Utilities</t>
        </is>
      </c>
      <c r="E43" t="inlineStr">
        <is>
          <t>MSCI</t>
        </is>
      </c>
      <c r="F43" t="inlineStr">
        <is>
          <t>Huella</t>
        </is>
      </c>
      <c r="G43" t="n">
        <v>3784.712815</v>
      </c>
    </row>
    <row r="44">
      <c r="A44" t="inlineStr">
        <is>
          <t>202606</t>
        </is>
      </c>
      <c r="B44" t="inlineStr">
        <is>
          <t>Actual</t>
        </is>
      </c>
      <c r="C44" t="inlineStr">
        <is>
          <t>Habitat</t>
        </is>
      </c>
      <c r="D44" t="inlineStr">
        <is>
          <t>Alts</t>
        </is>
      </c>
      <c r="E44" t="inlineStr">
        <is>
          <t>Proxies</t>
        </is>
      </c>
      <c r="F44" t="inlineStr">
        <is>
          <t>Huella</t>
        </is>
      </c>
      <c r="G44" t="n">
        <v>0</v>
      </c>
    </row>
    <row r="45">
      <c r="A45" t="inlineStr">
        <is>
          <t>202606</t>
        </is>
      </c>
      <c r="B45" t="inlineStr">
        <is>
          <t>Actual</t>
        </is>
      </c>
      <c r="C45" t="inlineStr">
        <is>
          <t>Habitat</t>
        </is>
      </c>
      <c r="D45" t="inlineStr">
        <is>
          <t>Materials</t>
        </is>
      </c>
      <c r="E45" t="inlineStr">
        <is>
          <t>MSCI</t>
        </is>
      </c>
      <c r="F45" t="inlineStr">
        <is>
          <t>Huella</t>
        </is>
      </c>
      <c r="G45" t="n">
        <v>46326.652771</v>
      </c>
    </row>
    <row r="46">
      <c r="A46" t="inlineStr">
        <is>
          <t>202606</t>
        </is>
      </c>
      <c r="B46" t="inlineStr">
        <is>
          <t>Actual</t>
        </is>
      </c>
      <c r="C46" t="inlineStr">
        <is>
          <t>Habitat</t>
        </is>
      </c>
      <c r="D46" t="inlineStr">
        <is>
          <t>Otros</t>
        </is>
      </c>
      <c r="E46" t="inlineStr">
        <is>
          <t>MSCI</t>
        </is>
      </c>
      <c r="F46" t="inlineStr">
        <is>
          <t>Huella</t>
        </is>
      </c>
      <c r="G46" t="n">
        <v>11529.045271</v>
      </c>
    </row>
    <row r="47">
      <c r="A47" t="inlineStr">
        <is>
          <t>202606</t>
        </is>
      </c>
      <c r="B47" t="inlineStr">
        <is>
          <t>Actual</t>
        </is>
      </c>
      <c r="C47" t="inlineStr">
        <is>
          <t>Habitat</t>
        </is>
      </c>
      <c r="D47" t="inlineStr">
        <is>
          <t>Proxies</t>
        </is>
      </c>
      <c r="E47" t="inlineStr">
        <is>
          <t>Proxies</t>
        </is>
      </c>
      <c r="F47" t="inlineStr">
        <is>
          <t>Huella</t>
        </is>
      </c>
      <c r="G47" t="n">
        <v>129157.509361</v>
      </c>
    </row>
    <row r="48">
      <c r="A48" t="inlineStr">
        <is>
          <t>202606</t>
        </is>
      </c>
      <c r="B48" t="inlineStr">
        <is>
          <t>Actual</t>
        </is>
      </c>
      <c r="C48" t="inlineStr">
        <is>
          <t>Habitat</t>
        </is>
      </c>
      <c r="D48" t="inlineStr">
        <is>
          <t>RF</t>
        </is>
      </c>
      <c r="E48" t="inlineStr">
        <is>
          <t>MSCI</t>
        </is>
      </c>
      <c r="F48" t="inlineStr">
        <is>
          <t>Huella</t>
        </is>
      </c>
      <c r="G48" t="n">
        <v>75088.477853</v>
      </c>
    </row>
    <row r="49">
      <c r="A49" t="inlineStr">
        <is>
          <t>202606</t>
        </is>
      </c>
      <c r="B49" t="inlineStr">
        <is>
          <t>Actual</t>
        </is>
      </c>
      <c r="C49" t="inlineStr">
        <is>
          <t>Habitat</t>
        </is>
      </c>
      <c r="D49" t="inlineStr">
        <is>
          <t>RV</t>
        </is>
      </c>
      <c r="E49" t="inlineStr">
        <is>
          <t>MSCI</t>
        </is>
      </c>
      <c r="F49" t="inlineStr">
        <is>
          <t>Huella</t>
        </is>
      </c>
      <c r="G49" t="n">
        <v>54346.708384</v>
      </c>
    </row>
    <row r="50">
      <c r="A50" t="inlineStr">
        <is>
          <t>202606</t>
        </is>
      </c>
      <c r="B50" t="inlineStr">
        <is>
          <t>Actual</t>
        </is>
      </c>
      <c r="C50" t="inlineStr">
        <is>
          <t>Habitat</t>
        </is>
      </c>
      <c r="D50" t="inlineStr">
        <is>
          <t>Utilities</t>
        </is>
      </c>
      <c r="E50" t="inlineStr">
        <is>
          <t>MSCI</t>
        </is>
      </c>
      <c r="F50" t="inlineStr">
        <is>
          <t>Huella</t>
        </is>
      </c>
      <c r="G50" t="n">
        <v>965.079222</v>
      </c>
    </row>
    <row r="51">
      <c r="A51" t="inlineStr">
        <is>
          <t>202606</t>
        </is>
      </c>
      <c r="B51" t="inlineStr">
        <is>
          <t>Actual</t>
        </is>
      </c>
      <c r="C51" t="inlineStr">
        <is>
          <t>Integra</t>
        </is>
      </c>
      <c r="D51" t="inlineStr">
        <is>
          <t>Alts</t>
        </is>
      </c>
      <c r="E51" t="inlineStr">
        <is>
          <t>Proxies</t>
        </is>
      </c>
      <c r="F51" t="inlineStr">
        <is>
          <t>Huella</t>
        </is>
      </c>
      <c r="G51" t="n">
        <v>0</v>
      </c>
    </row>
    <row r="52">
      <c r="A52" t="inlineStr">
        <is>
          <t>202606</t>
        </is>
      </c>
      <c r="B52" t="inlineStr">
        <is>
          <t>Actual</t>
        </is>
      </c>
      <c r="C52" t="inlineStr">
        <is>
          <t>Integra</t>
        </is>
      </c>
      <c r="D52" t="inlineStr">
        <is>
          <t>Materials</t>
        </is>
      </c>
      <c r="E52" t="inlineStr">
        <is>
          <t>MSCI</t>
        </is>
      </c>
      <c r="F52" t="inlineStr">
        <is>
          <t>Huella</t>
        </is>
      </c>
      <c r="G52" t="n">
        <v>79818.95372200001</v>
      </c>
    </row>
    <row r="53">
      <c r="A53" t="inlineStr">
        <is>
          <t>202606</t>
        </is>
      </c>
      <c r="B53" t="inlineStr">
        <is>
          <t>Actual</t>
        </is>
      </c>
      <c r="C53" t="inlineStr">
        <is>
          <t>Integra</t>
        </is>
      </c>
      <c r="D53" t="inlineStr">
        <is>
          <t>Otros</t>
        </is>
      </c>
      <c r="E53" t="inlineStr">
        <is>
          <t>MSCI</t>
        </is>
      </c>
      <c r="F53" t="inlineStr">
        <is>
          <t>Huella</t>
        </is>
      </c>
      <c r="G53" t="n">
        <v>34300.977187</v>
      </c>
    </row>
    <row r="54">
      <c r="A54" t="inlineStr">
        <is>
          <t>202606</t>
        </is>
      </c>
      <c r="B54" t="inlineStr">
        <is>
          <t>Actual</t>
        </is>
      </c>
      <c r="C54" t="inlineStr">
        <is>
          <t>Integra</t>
        </is>
      </c>
      <c r="D54" t="inlineStr">
        <is>
          <t>Proxies</t>
        </is>
      </c>
      <c r="E54" t="inlineStr">
        <is>
          <t>Proxies</t>
        </is>
      </c>
      <c r="F54" t="inlineStr">
        <is>
          <t>Huella</t>
        </is>
      </c>
      <c r="G54" t="n">
        <v>196042.370178</v>
      </c>
    </row>
    <row r="55">
      <c r="A55" t="inlineStr">
        <is>
          <t>202606</t>
        </is>
      </c>
      <c r="B55" t="inlineStr">
        <is>
          <t>Actual</t>
        </is>
      </c>
      <c r="C55" t="inlineStr">
        <is>
          <t>Integra</t>
        </is>
      </c>
      <c r="D55" t="inlineStr">
        <is>
          <t>RF</t>
        </is>
      </c>
      <c r="E55" t="inlineStr">
        <is>
          <t>MSCI</t>
        </is>
      </c>
      <c r="F55" t="inlineStr">
        <is>
          <t>Huella</t>
        </is>
      </c>
      <c r="G55" t="n">
        <v>39271.100456</v>
      </c>
    </row>
    <row r="56">
      <c r="A56" t="inlineStr">
        <is>
          <t>202606</t>
        </is>
      </c>
      <c r="B56" t="inlineStr">
        <is>
          <t>Actual</t>
        </is>
      </c>
      <c r="C56" t="inlineStr">
        <is>
          <t>Integra</t>
        </is>
      </c>
      <c r="D56" t="inlineStr">
        <is>
          <t>RV</t>
        </is>
      </c>
      <c r="E56" t="inlineStr">
        <is>
          <t>MSCI</t>
        </is>
      </c>
      <c r="F56" t="inlineStr">
        <is>
          <t>Huella</t>
        </is>
      </c>
      <c r="G56" t="n">
        <v>82462.58077</v>
      </c>
    </row>
    <row r="57">
      <c r="A57" t="inlineStr">
        <is>
          <t>202606</t>
        </is>
      </c>
      <c r="B57" t="inlineStr">
        <is>
          <t>Actual</t>
        </is>
      </c>
      <c r="C57" t="inlineStr">
        <is>
          <t>Integra</t>
        </is>
      </c>
      <c r="D57" t="inlineStr">
        <is>
          <t>Utilities</t>
        </is>
      </c>
      <c r="E57" t="inlineStr">
        <is>
          <t>MSCI</t>
        </is>
      </c>
      <c r="F57" t="inlineStr">
        <is>
          <t>Huella</t>
        </is>
      </c>
      <c r="G57" t="n">
        <v>1638.898949</v>
      </c>
    </row>
    <row r="58">
      <c r="A58" t="inlineStr">
        <is>
          <t>202606</t>
        </is>
      </c>
      <c r="B58" t="inlineStr">
        <is>
          <t>Actual</t>
        </is>
      </c>
      <c r="C58" t="inlineStr">
        <is>
          <t>Prima</t>
        </is>
      </c>
      <c r="D58" t="inlineStr">
        <is>
          <t>Alts</t>
        </is>
      </c>
      <c r="E58" t="inlineStr">
        <is>
          <t>Proxies</t>
        </is>
      </c>
      <c r="F58" t="inlineStr">
        <is>
          <t>Huella</t>
        </is>
      </c>
      <c r="G58" t="n">
        <v>0</v>
      </c>
    </row>
    <row r="59">
      <c r="A59" t="inlineStr">
        <is>
          <t>202606</t>
        </is>
      </c>
      <c r="B59" t="inlineStr">
        <is>
          <t>Actual</t>
        </is>
      </c>
      <c r="C59" t="inlineStr">
        <is>
          <t>Prima</t>
        </is>
      </c>
      <c r="D59" t="inlineStr">
        <is>
          <t>Materials</t>
        </is>
      </c>
      <c r="E59" t="inlineStr">
        <is>
          <t>MSCI</t>
        </is>
      </c>
      <c r="F59" t="inlineStr">
        <is>
          <t>Huella</t>
        </is>
      </c>
      <c r="G59" t="n">
        <v>73352.32090999999</v>
      </c>
    </row>
    <row r="60">
      <c r="A60" t="inlineStr">
        <is>
          <t>202606</t>
        </is>
      </c>
      <c r="B60" t="inlineStr">
        <is>
          <t>Actual</t>
        </is>
      </c>
      <c r="C60" t="inlineStr">
        <is>
          <t>Prima</t>
        </is>
      </c>
      <c r="D60" t="inlineStr">
        <is>
          <t>Otros</t>
        </is>
      </c>
      <c r="E60" t="inlineStr">
        <is>
          <t>MSCI</t>
        </is>
      </c>
      <c r="F60" t="inlineStr">
        <is>
          <t>Huella</t>
        </is>
      </c>
      <c r="G60" t="n">
        <v>39168.665821</v>
      </c>
    </row>
    <row r="61">
      <c r="A61" t="inlineStr">
        <is>
          <t>202606</t>
        </is>
      </c>
      <c r="B61" t="inlineStr">
        <is>
          <t>Actual</t>
        </is>
      </c>
      <c r="C61" t="inlineStr">
        <is>
          <t>Prima</t>
        </is>
      </c>
      <c r="D61" t="inlineStr">
        <is>
          <t>Proxies</t>
        </is>
      </c>
      <c r="E61" t="inlineStr">
        <is>
          <t>Proxies</t>
        </is>
      </c>
      <c r="F61" t="inlineStr">
        <is>
          <t>Huella</t>
        </is>
      </c>
      <c r="G61" t="n">
        <v>143355.157492</v>
      </c>
    </row>
    <row r="62">
      <c r="A62" t="inlineStr">
        <is>
          <t>202606</t>
        </is>
      </c>
      <c r="B62" t="inlineStr">
        <is>
          <t>Actual</t>
        </is>
      </c>
      <c r="C62" t="inlineStr">
        <is>
          <t>Prima</t>
        </is>
      </c>
      <c r="D62" t="inlineStr">
        <is>
          <t>RF</t>
        </is>
      </c>
      <c r="E62" t="inlineStr">
        <is>
          <t>MSCI</t>
        </is>
      </c>
      <c r="F62" t="inlineStr">
        <is>
          <t>Huella</t>
        </is>
      </c>
      <c r="G62" t="n">
        <v>76387.611577</v>
      </c>
    </row>
    <row r="63">
      <c r="A63" t="inlineStr">
        <is>
          <t>202606</t>
        </is>
      </c>
      <c r="B63" t="inlineStr">
        <is>
          <t>Actual</t>
        </is>
      </c>
      <c r="C63" t="inlineStr">
        <is>
          <t>Prima</t>
        </is>
      </c>
      <c r="D63" t="inlineStr">
        <is>
          <t>RV</t>
        </is>
      </c>
      <c r="E63" t="inlineStr">
        <is>
          <t>MSCI</t>
        </is>
      </c>
      <c r="F63" t="inlineStr">
        <is>
          <t>Huella</t>
        </is>
      </c>
      <c r="G63" t="n">
        <v>65182.574791</v>
      </c>
    </row>
    <row r="64">
      <c r="A64" t="inlineStr">
        <is>
          <t>202606</t>
        </is>
      </c>
      <c r="B64" t="inlineStr">
        <is>
          <t>Actual</t>
        </is>
      </c>
      <c r="C64" t="inlineStr">
        <is>
          <t>Prima</t>
        </is>
      </c>
      <c r="D64" t="inlineStr">
        <is>
          <t>Utilities</t>
        </is>
      </c>
      <c r="E64" t="inlineStr">
        <is>
          <t>MSCI</t>
        </is>
      </c>
      <c r="F64" t="inlineStr">
        <is>
          <t>Huella</t>
        </is>
      </c>
      <c r="G64" t="n">
        <v>2854.288467</v>
      </c>
    </row>
    <row r="65">
      <c r="A65" t="inlineStr">
        <is>
          <t>202606</t>
        </is>
      </c>
      <c r="B65" t="inlineStr">
        <is>
          <t>Actual</t>
        </is>
      </c>
      <c r="C65" t="inlineStr">
        <is>
          <t>Profuturo</t>
        </is>
      </c>
      <c r="D65" t="inlineStr">
        <is>
          <t>Alts</t>
        </is>
      </c>
      <c r="E65" t="inlineStr">
        <is>
          <t>Proxies</t>
        </is>
      </c>
      <c r="F65" t="inlineStr">
        <is>
          <t>Huella</t>
        </is>
      </c>
      <c r="G65" t="n">
        <v>0</v>
      </c>
    </row>
    <row r="66">
      <c r="A66" t="inlineStr">
        <is>
          <t>202606</t>
        </is>
      </c>
      <c r="B66" t="inlineStr">
        <is>
          <t>Actual</t>
        </is>
      </c>
      <c r="C66" t="inlineStr">
        <is>
          <t>Profuturo</t>
        </is>
      </c>
      <c r="D66" t="inlineStr">
        <is>
          <t>Materials</t>
        </is>
      </c>
      <c r="E66" t="inlineStr">
        <is>
          <t>MSCI</t>
        </is>
      </c>
      <c r="F66" t="inlineStr">
        <is>
          <t>Huella</t>
        </is>
      </c>
      <c r="G66" t="n">
        <v>26159.101737</v>
      </c>
    </row>
    <row r="67">
      <c r="A67" t="inlineStr">
        <is>
          <t>202606</t>
        </is>
      </c>
      <c r="B67" t="inlineStr">
        <is>
          <t>Actual</t>
        </is>
      </c>
      <c r="C67" t="inlineStr">
        <is>
          <t>Profuturo</t>
        </is>
      </c>
      <c r="D67" t="inlineStr">
        <is>
          <t>Otros</t>
        </is>
      </c>
      <c r="E67" t="inlineStr">
        <is>
          <t>MSCI</t>
        </is>
      </c>
      <c r="F67" t="inlineStr">
        <is>
          <t>Huella</t>
        </is>
      </c>
      <c r="G67" t="n">
        <v>16718.645514</v>
      </c>
    </row>
    <row r="68">
      <c r="A68" t="inlineStr">
        <is>
          <t>202606</t>
        </is>
      </c>
      <c r="B68" t="inlineStr">
        <is>
          <t>Actual</t>
        </is>
      </c>
      <c r="C68" t="inlineStr">
        <is>
          <t>Profuturo</t>
        </is>
      </c>
      <c r="D68" t="inlineStr">
        <is>
          <t>Proxies</t>
        </is>
      </c>
      <c r="E68" t="inlineStr">
        <is>
          <t>Proxies</t>
        </is>
      </c>
      <c r="F68" t="inlineStr">
        <is>
          <t>Huella</t>
        </is>
      </c>
      <c r="G68" t="n">
        <v>123478.373491</v>
      </c>
    </row>
    <row r="69">
      <c r="A69" t="inlineStr">
        <is>
          <t>202606</t>
        </is>
      </c>
      <c r="B69" t="inlineStr">
        <is>
          <t>Actual</t>
        </is>
      </c>
      <c r="C69" t="inlineStr">
        <is>
          <t>Profuturo</t>
        </is>
      </c>
      <c r="D69" t="inlineStr">
        <is>
          <t>RF</t>
        </is>
      </c>
      <c r="E69" t="inlineStr">
        <is>
          <t>MSCI</t>
        </is>
      </c>
      <c r="F69" t="inlineStr">
        <is>
          <t>Huella</t>
        </is>
      </c>
      <c r="G69" t="n">
        <v>42259.334464</v>
      </c>
    </row>
    <row r="70">
      <c r="A70" t="inlineStr">
        <is>
          <t>202606</t>
        </is>
      </c>
      <c r="B70" t="inlineStr">
        <is>
          <t>Actual</t>
        </is>
      </c>
      <c r="C70" t="inlineStr">
        <is>
          <t>Profuturo</t>
        </is>
      </c>
      <c r="D70" t="inlineStr">
        <is>
          <t>RV</t>
        </is>
      </c>
      <c r="E70" t="inlineStr">
        <is>
          <t>MSCI</t>
        </is>
      </c>
      <c r="F70" t="inlineStr">
        <is>
          <t>Huella</t>
        </is>
      </c>
      <c r="G70" t="n">
        <v>46408.149414</v>
      </c>
    </row>
    <row r="71">
      <c r="A71" t="inlineStr">
        <is>
          <t>202606</t>
        </is>
      </c>
      <c r="B71" t="inlineStr">
        <is>
          <t>Actual</t>
        </is>
      </c>
      <c r="C71" t="inlineStr">
        <is>
          <t>Profuturo</t>
        </is>
      </c>
      <c r="D71" t="inlineStr">
        <is>
          <t>Utilities</t>
        </is>
      </c>
      <c r="E71" t="inlineStr">
        <is>
          <t>MSCI</t>
        </is>
      </c>
      <c r="F71" t="inlineStr">
        <is>
          <t>Huella</t>
        </is>
      </c>
      <c r="G71" t="n">
        <v>8.888420999999999</v>
      </c>
    </row>
  </sheetData>
  <conditionalFormatting sqref="Q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Categoria</t>
        </is>
      </c>
      <c r="E1" t="inlineStr">
        <is>
          <t>Tipo_Dato</t>
        </is>
      </c>
      <c r="F1" t="inlineStr">
        <is>
          <t>Metrica</t>
        </is>
      </c>
      <c r="G1" t="inlineStr">
        <is>
          <t>Valor</t>
        </is>
      </c>
      <c r="I1" t="inlineStr">
        <is>
          <t>Corte</t>
        </is>
      </c>
      <c r="J1" t="inlineStr">
        <is>
          <t>Materials</t>
        </is>
      </c>
      <c r="K1" t="inlineStr">
        <is>
          <t>Utilities</t>
        </is>
      </c>
      <c r="L1" t="inlineStr">
        <is>
          <t>Otros</t>
        </is>
      </c>
      <c r="M1" t="inlineStr">
        <is>
          <t>RF</t>
        </is>
      </c>
      <c r="N1" t="inlineStr">
        <is>
          <t>RV</t>
        </is>
      </c>
      <c r="O1" t="inlineStr">
        <is>
          <t>Proxies</t>
        </is>
      </c>
      <c r="P1" t="inlineStr">
        <is>
          <t>Total</t>
        </is>
      </c>
      <c r="Q1" t="inlineStr">
        <is>
          <t>Variación %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Alts</t>
        </is>
      </c>
      <c r="E2" t="inlineStr">
        <is>
          <t>Proxies</t>
        </is>
      </c>
      <c r="F2" t="inlineStr">
        <is>
          <t>Intensidad</t>
        </is>
      </c>
      <c r="G2" t="n">
        <v>0</v>
      </c>
      <c r="I2" t="inlineStr">
        <is>
          <t>Dic25</t>
        </is>
      </c>
      <c r="J2">
        <f>SUMIFS($G$2:$G$71,$C$2:$C$71,"Integra",$D$2:$D$71,J$1,$E$2:$E$71,"MSCI",$A$2:$A$71,"202512")</f>
        <v/>
      </c>
      <c r="K2">
        <f>SUMIFS($G$2:$G$71,$C$2:$C$71,"Integra",$D$2:$D$71,K$1,$E$2:$E$71,"MSCI",$A$2:$A$71,"202512")</f>
        <v/>
      </c>
      <c r="L2">
        <f>SUMIFS($G$2:$G$71,$C$2:$C$71,"Integra",$D$2:$D$71,L$1,$E$2:$E$71,"MSCI",$A$2:$A$71,"202512")</f>
        <v/>
      </c>
      <c r="M2">
        <f>SUMIFS($G$2:$G$71,$C$2:$C$71,"Integra",$D$2:$D$71,M$1,$E$2:$E$71,"MSCI",$A$2:$A$71,"202512")</f>
        <v/>
      </c>
      <c r="N2">
        <f>SUMIFS($G$2:$G$71,$C$2:$C$71,"Integra",$D$2:$D$71,N$1,$E$2:$E$71,"MSCI",$A$2:$A$71,"202512")</f>
        <v/>
      </c>
      <c r="O2">
        <f>SUMIFS($G$2:$G$71,$C$2:$C$71,"Integra",$D$2:$D$71,O$1,$E$2:$E$71,"Proxies",$A$2:$A$71,"202512")</f>
        <v/>
      </c>
      <c r="P2">
        <f>SUM(J2:O2)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Materials</t>
        </is>
      </c>
      <c r="E3" t="inlineStr">
        <is>
          <t>MSCI</t>
        </is>
      </c>
      <c r="F3" t="inlineStr">
        <is>
          <t>Intensidad</t>
        </is>
      </c>
      <c r="G3" t="n">
        <v>27.170048</v>
      </c>
      <c r="I3" t="inlineStr">
        <is>
          <t>Jun26</t>
        </is>
      </c>
      <c r="J3">
        <f>SUMIFS($G$2:$G$71,$C$2:$C$71,"Integra",$D$2:$D$71,J$1,$E$2:$E$71,"MSCI",$A$2:$A$71,"202606")</f>
        <v/>
      </c>
      <c r="K3">
        <f>SUMIFS($G$2:$G$71,$C$2:$C$71,"Integra",$D$2:$D$71,K$1,$E$2:$E$71,"MSCI",$A$2:$A$71,"202606")</f>
        <v/>
      </c>
      <c r="L3">
        <f>SUMIFS($G$2:$G$71,$C$2:$C$71,"Integra",$D$2:$D$71,L$1,$E$2:$E$71,"MSCI",$A$2:$A$71,"202606")</f>
        <v/>
      </c>
      <c r="M3">
        <f>SUMIFS($G$2:$G$71,$C$2:$C$71,"Integra",$D$2:$D$71,M$1,$E$2:$E$71,"MSCI",$A$2:$A$71,"202606")</f>
        <v/>
      </c>
      <c r="N3">
        <f>SUMIFS($G$2:$G$71,$C$2:$C$71,"Integra",$D$2:$D$71,N$1,$E$2:$E$71,"MSCI",$A$2:$A$71,"202606")</f>
        <v/>
      </c>
      <c r="O3">
        <f>SUMIFS($G$2:$G$71,$C$2:$C$71,"Integra",$D$2:$D$71,O$1,$E$2:$E$71,"Proxies",$A$2:$A$71,"202606")</f>
        <v/>
      </c>
      <c r="P3">
        <f>SUM(J3:O3)</f>
        <v/>
      </c>
      <c r="Q3" s="1">
        <f>IFERROR(P3/P2-1,"")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Otros</t>
        </is>
      </c>
      <c r="E4" t="inlineStr">
        <is>
          <t>MSCI</t>
        </is>
      </c>
      <c r="F4" t="inlineStr">
        <is>
          <t>Intensidad</t>
        </is>
      </c>
      <c r="G4" t="n">
        <v>14.735821</v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Proxies</t>
        </is>
      </c>
      <c r="E5" t="inlineStr">
        <is>
          <t>Proxies</t>
        </is>
      </c>
      <c r="F5" t="inlineStr">
        <is>
          <t>Intensidad</t>
        </is>
      </c>
      <c r="G5" t="n">
        <v>65.37353</v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Ex_Integra</t>
        </is>
      </c>
      <c r="D6" t="inlineStr">
        <is>
          <t>RF</t>
        </is>
      </c>
      <c r="E6" t="inlineStr">
        <is>
          <t>MSCI</t>
        </is>
      </c>
      <c r="F6" t="inlineStr">
        <is>
          <t>Intensidad</t>
        </is>
      </c>
      <c r="G6" t="n">
        <v>33.09179</v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Ex_Integra</t>
        </is>
      </c>
      <c r="D7" t="inlineStr">
        <is>
          <t>RV</t>
        </is>
      </c>
      <c r="E7" t="inlineStr">
        <is>
          <t>MSCI</t>
        </is>
      </c>
      <c r="F7" t="inlineStr">
        <is>
          <t>Intensidad</t>
        </is>
      </c>
      <c r="G7" t="n">
        <v>29.973142</v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Ex_Integra</t>
        </is>
      </c>
      <c r="D8" t="inlineStr">
        <is>
          <t>Utilities</t>
        </is>
      </c>
      <c r="E8" t="inlineStr">
        <is>
          <t>MSCI</t>
        </is>
      </c>
      <c r="F8" t="inlineStr">
        <is>
          <t>Intensidad</t>
        </is>
      </c>
      <c r="G8" t="n">
        <v>0.730506</v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Habitat</t>
        </is>
      </c>
      <c r="D9" t="inlineStr">
        <is>
          <t>Alts</t>
        </is>
      </c>
      <c r="E9" t="inlineStr">
        <is>
          <t>Proxies</t>
        </is>
      </c>
      <c r="F9" t="inlineStr">
        <is>
          <t>Intensidad</t>
        </is>
      </c>
      <c r="G9" t="n">
        <v>0</v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Habitat</t>
        </is>
      </c>
      <c r="D10" t="inlineStr">
        <is>
          <t>Materials</t>
        </is>
      </c>
      <c r="E10" t="inlineStr">
        <is>
          <t>MSCI</t>
        </is>
      </c>
      <c r="F10" t="inlineStr">
        <is>
          <t>Intensidad</t>
        </is>
      </c>
      <c r="G10" t="n">
        <v>21.110172</v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Habitat</t>
        </is>
      </c>
      <c r="D11" t="inlineStr">
        <is>
          <t>Otros</t>
        </is>
      </c>
      <c r="E11" t="inlineStr">
        <is>
          <t>MSCI</t>
        </is>
      </c>
      <c r="F11" t="inlineStr">
        <is>
          <t>Intensidad</t>
        </is>
      </c>
      <c r="G11" t="n">
        <v>14.30549</v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Habitat</t>
        </is>
      </c>
      <c r="D12" t="inlineStr">
        <is>
          <t>Proxies</t>
        </is>
      </c>
      <c r="E12" t="inlineStr">
        <is>
          <t>Proxies</t>
        </is>
      </c>
      <c r="F12" t="inlineStr">
        <is>
          <t>Intensidad</t>
        </is>
      </c>
      <c r="G12" t="n">
        <v>76.828757</v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Habitat</t>
        </is>
      </c>
      <c r="D13" t="inlineStr">
        <is>
          <t>RF</t>
        </is>
      </c>
      <c r="E13" t="inlineStr">
        <is>
          <t>MSCI</t>
        </is>
      </c>
      <c r="F13" t="inlineStr">
        <is>
          <t>Intensidad</t>
        </is>
      </c>
      <c r="G13" t="n">
        <v>21.719801</v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Habitat</t>
        </is>
      </c>
      <c r="D14" t="inlineStr">
        <is>
          <t>RV</t>
        </is>
      </c>
      <c r="E14" t="inlineStr">
        <is>
          <t>MSCI</t>
        </is>
      </c>
      <c r="F14" t="inlineStr">
        <is>
          <t>Intensidad</t>
        </is>
      </c>
      <c r="G14" t="n">
        <v>27.500445</v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Habitat</t>
        </is>
      </c>
      <c r="D15" t="inlineStr">
        <is>
          <t>Utilities</t>
        </is>
      </c>
      <c r="E15" t="inlineStr">
        <is>
          <t>MSCI</t>
        </is>
      </c>
      <c r="F15" t="inlineStr">
        <is>
          <t>Intensidad</t>
        </is>
      </c>
      <c r="G15" t="n">
        <v>0.592175</v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Integra</t>
        </is>
      </c>
      <c r="D16" t="inlineStr">
        <is>
          <t>Alts</t>
        </is>
      </c>
      <c r="E16" t="inlineStr">
        <is>
          <t>Proxies</t>
        </is>
      </c>
      <c r="F16" t="inlineStr">
        <is>
          <t>Intensidad</t>
        </is>
      </c>
      <c r="G16" t="n">
        <v>0</v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Integra</t>
        </is>
      </c>
      <c r="D17" t="inlineStr">
        <is>
          <t>Materials</t>
        </is>
      </c>
      <c r="E17" t="inlineStr">
        <is>
          <t>MSCI</t>
        </is>
      </c>
      <c r="F17" t="inlineStr">
        <is>
          <t>Intensidad</t>
        </is>
      </c>
      <c r="G17" t="n">
        <v>27.233583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Integra</t>
        </is>
      </c>
      <c r="D18" t="inlineStr">
        <is>
          <t>Otros</t>
        </is>
      </c>
      <c r="E18" t="inlineStr">
        <is>
          <t>MSCI</t>
        </is>
      </c>
      <c r="F18" t="inlineStr">
        <is>
          <t>Intensidad</t>
        </is>
      </c>
      <c r="G18" t="n">
        <v>14.065582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Integra</t>
        </is>
      </c>
      <c r="D19" t="inlineStr">
        <is>
          <t>Proxies</t>
        </is>
      </c>
      <c r="E19" t="inlineStr">
        <is>
          <t>Proxies</t>
        </is>
      </c>
      <c r="F19" t="inlineStr">
        <is>
          <t>Intensidad</t>
        </is>
      </c>
      <c r="G19" t="n">
        <v>58.184171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Integra</t>
        </is>
      </c>
      <c r="D20" t="inlineStr">
        <is>
          <t>RF</t>
        </is>
      </c>
      <c r="E20" t="inlineStr">
        <is>
          <t>MSCI</t>
        </is>
      </c>
      <c r="F20" t="inlineStr">
        <is>
          <t>Intensidad</t>
        </is>
      </c>
      <c r="G20" t="n">
        <v>23.202345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Integra</t>
        </is>
      </c>
      <c r="D21" t="inlineStr">
        <is>
          <t>RV</t>
        </is>
      </c>
      <c r="E21" t="inlineStr">
        <is>
          <t>MSCI</t>
        </is>
      </c>
      <c r="F21" t="inlineStr">
        <is>
          <t>Intensidad</t>
        </is>
      </c>
      <c r="G21" t="n">
        <v>36.157902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Integra</t>
        </is>
      </c>
      <c r="D22" t="inlineStr">
        <is>
          <t>Utilities</t>
        </is>
      </c>
      <c r="E22" t="inlineStr">
        <is>
          <t>MSCI</t>
        </is>
      </c>
      <c r="F22" t="inlineStr">
        <is>
          <t>Intensidad</t>
        </is>
      </c>
      <c r="G22" t="n">
        <v>0.360136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Prima</t>
        </is>
      </c>
      <c r="D23" t="inlineStr">
        <is>
          <t>Alts</t>
        </is>
      </c>
      <c r="E23" t="inlineStr">
        <is>
          <t>Proxies</t>
        </is>
      </c>
      <c r="F23" t="inlineStr">
        <is>
          <t>Intensidad</t>
        </is>
      </c>
      <c r="G23" t="n">
        <v>0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Prima</t>
        </is>
      </c>
      <c r="D24" t="inlineStr">
        <is>
          <t>Materials</t>
        </is>
      </c>
      <c r="E24" t="inlineStr">
        <is>
          <t>MSCI</t>
        </is>
      </c>
      <c r="F24" t="inlineStr">
        <is>
          <t>Intensidad</t>
        </is>
      </c>
      <c r="G24" t="n">
        <v>36.738399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Prima</t>
        </is>
      </c>
      <c r="D25" t="inlineStr">
        <is>
          <t>Otros</t>
        </is>
      </c>
      <c r="E25" t="inlineStr">
        <is>
          <t>MSCI</t>
        </is>
      </c>
      <c r="F25" t="inlineStr">
        <is>
          <t>Intensidad</t>
        </is>
      </c>
      <c r="G25" t="n">
        <v>19.918916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Prima</t>
        </is>
      </c>
      <c r="D26" t="inlineStr">
        <is>
          <t>Proxies</t>
        </is>
      </c>
      <c r="E26" t="inlineStr">
        <is>
          <t>Proxies</t>
        </is>
      </c>
      <c r="F26" t="inlineStr">
        <is>
          <t>Intensidad</t>
        </is>
      </c>
      <c r="G26" t="n">
        <v>53.797709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Prima</t>
        </is>
      </c>
      <c r="D27" t="inlineStr">
        <is>
          <t>RF</t>
        </is>
      </c>
      <c r="E27" t="inlineStr">
        <is>
          <t>MSCI</t>
        </is>
      </c>
      <c r="F27" t="inlineStr">
        <is>
          <t>Intensidad</t>
        </is>
      </c>
      <c r="G27" t="n">
        <v>40.486087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Prima</t>
        </is>
      </c>
      <c r="D28" t="inlineStr">
        <is>
          <t>RV</t>
        </is>
      </c>
      <c r="E28" t="inlineStr">
        <is>
          <t>MSCI</t>
        </is>
      </c>
      <c r="F28" t="inlineStr">
        <is>
          <t>Intensidad</t>
        </is>
      </c>
      <c r="G28" t="n">
        <v>30.214588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Prima</t>
        </is>
      </c>
      <c r="D29" t="inlineStr">
        <is>
          <t>Utilities</t>
        </is>
      </c>
      <c r="E29" t="inlineStr">
        <is>
          <t>MSCI</t>
        </is>
      </c>
      <c r="F29" t="inlineStr">
        <is>
          <t>Intensidad</t>
        </is>
      </c>
      <c r="G29" t="n">
        <v>1.083011</v>
      </c>
    </row>
    <row r="30">
      <c r="A30" t="inlineStr">
        <is>
          <t>202512</t>
        </is>
      </c>
      <c r="B30" t="inlineStr">
        <is>
          <t>Comparación</t>
        </is>
      </c>
      <c r="C30" t="inlineStr">
        <is>
          <t>Profuturo</t>
        </is>
      </c>
      <c r="D30" t="inlineStr">
        <is>
          <t>Alts</t>
        </is>
      </c>
      <c r="E30" t="inlineStr">
        <is>
          <t>Proxies</t>
        </is>
      </c>
      <c r="F30" t="inlineStr">
        <is>
          <t>Intensidad</t>
        </is>
      </c>
      <c r="G30" t="n">
        <v>0</v>
      </c>
    </row>
    <row r="31">
      <c r="A31" t="inlineStr">
        <is>
          <t>202512</t>
        </is>
      </c>
      <c r="B31" t="inlineStr">
        <is>
          <t>Comparación</t>
        </is>
      </c>
      <c r="C31" t="inlineStr">
        <is>
          <t>Profuturo</t>
        </is>
      </c>
      <c r="D31" t="inlineStr">
        <is>
          <t>Materials</t>
        </is>
      </c>
      <c r="E31" t="inlineStr">
        <is>
          <t>MSCI</t>
        </is>
      </c>
      <c r="F31" t="inlineStr">
        <is>
          <t>Intensidad</t>
        </is>
      </c>
      <c r="G31" t="n">
        <v>17.533109</v>
      </c>
    </row>
    <row r="32">
      <c r="A32" t="inlineStr">
        <is>
          <t>202512</t>
        </is>
      </c>
      <c r="B32" t="inlineStr">
        <is>
          <t>Comparación</t>
        </is>
      </c>
      <c r="C32" t="inlineStr">
        <is>
          <t>Profuturo</t>
        </is>
      </c>
      <c r="D32" t="inlineStr">
        <is>
          <t>Otros</t>
        </is>
      </c>
      <c r="E32" t="inlineStr">
        <is>
          <t>MSCI</t>
        </is>
      </c>
      <c r="F32" t="inlineStr">
        <is>
          <t>Intensidad</t>
        </is>
      </c>
      <c r="G32" t="n">
        <v>8.948961000000001</v>
      </c>
    </row>
    <row r="33">
      <c r="A33" t="inlineStr">
        <is>
          <t>202512</t>
        </is>
      </c>
      <c r="B33" t="inlineStr">
        <is>
          <t>Comparación</t>
        </is>
      </c>
      <c r="C33" t="inlineStr">
        <is>
          <t>Profuturo</t>
        </is>
      </c>
      <c r="D33" t="inlineStr">
        <is>
          <t>Proxies</t>
        </is>
      </c>
      <c r="E33" t="inlineStr">
        <is>
          <t>Proxies</t>
        </is>
      </c>
      <c r="F33" t="inlineStr">
        <is>
          <t>Intensidad</t>
        </is>
      </c>
      <c r="G33" t="n">
        <v>62.464277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Profuturo</t>
        </is>
      </c>
      <c r="D34" t="inlineStr">
        <is>
          <t>RF</t>
        </is>
      </c>
      <c r="E34" t="inlineStr">
        <is>
          <t>MSCI</t>
        </is>
      </c>
      <c r="F34" t="inlineStr">
        <is>
          <t>Intensidad</t>
        </is>
      </c>
      <c r="G34" t="n">
        <v>28.365067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Profuturo</t>
        </is>
      </c>
      <c r="D35" t="inlineStr">
        <is>
          <t>RV</t>
        </is>
      </c>
      <c r="E35" t="inlineStr">
        <is>
          <t>MSCI</t>
        </is>
      </c>
      <c r="F35" t="inlineStr">
        <is>
          <t>Intensidad</t>
        </is>
      </c>
      <c r="G35" t="n">
        <v>31.010547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Profuturo</t>
        </is>
      </c>
      <c r="D36" t="inlineStr">
        <is>
          <t>Utilities</t>
        </is>
      </c>
      <c r="E36" t="inlineStr">
        <is>
          <t>MSCI</t>
        </is>
      </c>
      <c r="F36" t="inlineStr">
        <is>
          <t>Intensidad</t>
        </is>
      </c>
      <c r="G36" t="n">
        <v>0.292189</v>
      </c>
    </row>
    <row r="37">
      <c r="A37" t="inlineStr">
        <is>
          <t>202606</t>
        </is>
      </c>
      <c r="B37" t="inlineStr">
        <is>
          <t>Actual</t>
        </is>
      </c>
      <c r="C37" t="inlineStr">
        <is>
          <t>Ex_Integra</t>
        </is>
      </c>
      <c r="D37" t="inlineStr">
        <is>
          <t>Alts</t>
        </is>
      </c>
      <c r="E37" t="inlineStr">
        <is>
          <t>Proxies</t>
        </is>
      </c>
      <c r="F37" t="inlineStr">
        <is>
          <t>Intensidad</t>
        </is>
      </c>
      <c r="G37" t="n">
        <v>0</v>
      </c>
    </row>
    <row r="38">
      <c r="A38" t="inlineStr">
        <is>
          <t>202606</t>
        </is>
      </c>
      <c r="B38" t="inlineStr">
        <is>
          <t>Actual</t>
        </is>
      </c>
      <c r="C38" t="inlineStr">
        <is>
          <t>Ex_Integra</t>
        </is>
      </c>
      <c r="D38" t="inlineStr">
        <is>
          <t>Materials</t>
        </is>
      </c>
      <c r="E38" t="inlineStr">
        <is>
          <t>MSCI</t>
        </is>
      </c>
      <c r="F38" t="inlineStr">
        <is>
          <t>Intensidad</t>
        </is>
      </c>
      <c r="G38" t="n">
        <v>21.408505</v>
      </c>
    </row>
    <row r="39">
      <c r="A39" t="inlineStr">
        <is>
          <t>202606</t>
        </is>
      </c>
      <c r="B39" t="inlineStr">
        <is>
          <t>Actual</t>
        </is>
      </c>
      <c r="C39" t="inlineStr">
        <is>
          <t>Ex_Integra</t>
        </is>
      </c>
      <c r="D39" t="inlineStr">
        <is>
          <t>Otros</t>
        </is>
      </c>
      <c r="E39" t="inlineStr">
        <is>
          <t>MSCI</t>
        </is>
      </c>
      <c r="F39" t="inlineStr">
        <is>
          <t>Intensidad</t>
        </is>
      </c>
      <c r="G39" t="n">
        <v>10.946128</v>
      </c>
    </row>
    <row r="40">
      <c r="A40" t="inlineStr">
        <is>
          <t>202606</t>
        </is>
      </c>
      <c r="B40" t="inlineStr">
        <is>
          <t>Actual</t>
        </is>
      </c>
      <c r="C40" t="inlineStr">
        <is>
          <t>Ex_Integra</t>
        </is>
      </c>
      <c r="D40" t="inlineStr">
        <is>
          <t>Proxies</t>
        </is>
      </c>
      <c r="E40" t="inlineStr">
        <is>
          <t>Proxies</t>
        </is>
      </c>
      <c r="F40" t="inlineStr">
        <is>
          <t>Intensidad</t>
        </is>
      </c>
      <c r="G40" t="n">
        <v>54.949347</v>
      </c>
    </row>
    <row r="41">
      <c r="A41" t="inlineStr">
        <is>
          <t>202606</t>
        </is>
      </c>
      <c r="B41" t="inlineStr">
        <is>
          <t>Actual</t>
        </is>
      </c>
      <c r="C41" t="inlineStr">
        <is>
          <t>Ex_Integra</t>
        </is>
      </c>
      <c r="D41" t="inlineStr">
        <is>
          <t>RF</t>
        </is>
      </c>
      <c r="E41" t="inlineStr">
        <is>
          <t>MSCI</t>
        </is>
      </c>
      <c r="F41" t="inlineStr">
        <is>
          <t>Intensidad</t>
        </is>
      </c>
      <c r="G41" t="n">
        <v>36.478801</v>
      </c>
    </row>
    <row r="42">
      <c r="A42" t="inlineStr">
        <is>
          <t>202606</t>
        </is>
      </c>
      <c r="B42" t="inlineStr">
        <is>
          <t>Actual</t>
        </is>
      </c>
      <c r="C42" t="inlineStr">
        <is>
          <t>Ex_Integra</t>
        </is>
      </c>
      <c r="D42" t="inlineStr">
        <is>
          <t>RV</t>
        </is>
      </c>
      <c r="E42" t="inlineStr">
        <is>
          <t>MSCI</t>
        </is>
      </c>
      <c r="F42" t="inlineStr">
        <is>
          <t>Intensidad</t>
        </is>
      </c>
      <c r="G42" t="n">
        <v>24.90773</v>
      </c>
    </row>
    <row r="43">
      <c r="A43" t="inlineStr">
        <is>
          <t>202606</t>
        </is>
      </c>
      <c r="B43" t="inlineStr">
        <is>
          <t>Actual</t>
        </is>
      </c>
      <c r="C43" t="inlineStr">
        <is>
          <t>Ex_Integra</t>
        </is>
      </c>
      <c r="D43" t="inlineStr">
        <is>
          <t>Utilities</t>
        </is>
      </c>
      <c r="E43" t="inlineStr">
        <is>
          <t>MSCI</t>
        </is>
      </c>
      <c r="F43" t="inlineStr">
        <is>
          <t>Intensidad</t>
        </is>
      </c>
      <c r="G43" t="n">
        <v>0.622838</v>
      </c>
    </row>
    <row r="44">
      <c r="A44" t="inlineStr">
        <is>
          <t>202606</t>
        </is>
      </c>
      <c r="B44" t="inlineStr">
        <is>
          <t>Actual</t>
        </is>
      </c>
      <c r="C44" t="inlineStr">
        <is>
          <t>Habitat</t>
        </is>
      </c>
      <c r="D44" t="inlineStr">
        <is>
          <t>Alts</t>
        </is>
      </c>
      <c r="E44" t="inlineStr">
        <is>
          <t>Proxies</t>
        </is>
      </c>
      <c r="F44" t="inlineStr">
        <is>
          <t>Intensidad</t>
        </is>
      </c>
      <c r="G44" t="n">
        <v>0</v>
      </c>
    </row>
    <row r="45">
      <c r="A45" t="inlineStr">
        <is>
          <t>202606</t>
        </is>
      </c>
      <c r="B45" t="inlineStr">
        <is>
          <t>Actual</t>
        </is>
      </c>
      <c r="C45" t="inlineStr">
        <is>
          <t>Habitat</t>
        </is>
      </c>
      <c r="D45" t="inlineStr">
        <is>
          <t>Materials</t>
        </is>
      </c>
      <c r="E45" t="inlineStr">
        <is>
          <t>MSCI</t>
        </is>
      </c>
      <c r="F45" t="inlineStr">
        <is>
          <t>Intensidad</t>
        </is>
      </c>
      <c r="G45" t="n">
        <v>20.38687</v>
      </c>
    </row>
    <row r="46">
      <c r="A46" t="inlineStr">
        <is>
          <t>202606</t>
        </is>
      </c>
      <c r="B46" t="inlineStr">
        <is>
          <t>Actual</t>
        </is>
      </c>
      <c r="C46" t="inlineStr">
        <is>
          <t>Habitat</t>
        </is>
      </c>
      <c r="D46" t="inlineStr">
        <is>
          <t>Otros</t>
        </is>
      </c>
      <c r="E46" t="inlineStr">
        <is>
          <t>MSCI</t>
        </is>
      </c>
      <c r="F46" t="inlineStr">
        <is>
          <t>Intensidad</t>
        </is>
      </c>
      <c r="G46" t="n">
        <v>10.665688</v>
      </c>
    </row>
    <row r="47">
      <c r="A47" t="inlineStr">
        <is>
          <t>202606</t>
        </is>
      </c>
      <c r="B47" t="inlineStr">
        <is>
          <t>Actual</t>
        </is>
      </c>
      <c r="C47" t="inlineStr">
        <is>
          <t>Habitat</t>
        </is>
      </c>
      <c r="D47" t="inlineStr">
        <is>
          <t>Proxies</t>
        </is>
      </c>
      <c r="E47" t="inlineStr">
        <is>
          <t>Proxies</t>
        </is>
      </c>
      <c r="F47" t="inlineStr">
        <is>
          <t>Intensidad</t>
        </is>
      </c>
      <c r="G47" t="n">
        <v>60.443564</v>
      </c>
    </row>
    <row r="48">
      <c r="A48" t="inlineStr">
        <is>
          <t>202606</t>
        </is>
      </c>
      <c r="B48" t="inlineStr">
        <is>
          <t>Actual</t>
        </is>
      </c>
      <c r="C48" t="inlineStr">
        <is>
          <t>Habitat</t>
        </is>
      </c>
      <c r="D48" t="inlineStr">
        <is>
          <t>RF</t>
        </is>
      </c>
      <c r="E48" t="inlineStr">
        <is>
          <t>MSCI</t>
        </is>
      </c>
      <c r="F48" t="inlineStr">
        <is>
          <t>Intensidad</t>
        </is>
      </c>
      <c r="G48" t="n">
        <v>51.684975</v>
      </c>
    </row>
    <row r="49">
      <c r="A49" t="inlineStr">
        <is>
          <t>202606</t>
        </is>
      </c>
      <c r="B49" t="inlineStr">
        <is>
          <t>Actual</t>
        </is>
      </c>
      <c r="C49" t="inlineStr">
        <is>
          <t>Habitat</t>
        </is>
      </c>
      <c r="D49" t="inlineStr">
        <is>
          <t>RV</t>
        </is>
      </c>
      <c r="E49" t="inlineStr">
        <is>
          <t>MSCI</t>
        </is>
      </c>
      <c r="F49" t="inlineStr">
        <is>
          <t>Intensidad</t>
        </is>
      </c>
      <c r="G49" t="n">
        <v>23.294834</v>
      </c>
    </row>
    <row r="50">
      <c r="A50" t="inlineStr">
        <is>
          <t>202606</t>
        </is>
      </c>
      <c r="B50" t="inlineStr">
        <is>
          <t>Actual</t>
        </is>
      </c>
      <c r="C50" t="inlineStr">
        <is>
          <t>Habitat</t>
        </is>
      </c>
      <c r="D50" t="inlineStr">
        <is>
          <t>Utilities</t>
        </is>
      </c>
      <c r="E50" t="inlineStr">
        <is>
          <t>MSCI</t>
        </is>
      </c>
      <c r="F50" t="inlineStr">
        <is>
          <t>Intensidad</t>
        </is>
      </c>
      <c r="G50" t="n">
        <v>0.638379</v>
      </c>
    </row>
    <row r="51">
      <c r="A51" t="inlineStr">
        <is>
          <t>202606</t>
        </is>
      </c>
      <c r="B51" t="inlineStr">
        <is>
          <t>Actual</t>
        </is>
      </c>
      <c r="C51" t="inlineStr">
        <is>
          <t>Integra</t>
        </is>
      </c>
      <c r="D51" t="inlineStr">
        <is>
          <t>Alts</t>
        </is>
      </c>
      <c r="E51" t="inlineStr">
        <is>
          <t>Proxies</t>
        </is>
      </c>
      <c r="F51" t="inlineStr">
        <is>
          <t>Intensidad</t>
        </is>
      </c>
      <c r="G51" t="n">
        <v>0</v>
      </c>
    </row>
    <row r="52">
      <c r="A52" t="inlineStr">
        <is>
          <t>202606</t>
        </is>
      </c>
      <c r="B52" t="inlineStr">
        <is>
          <t>Actual</t>
        </is>
      </c>
      <c r="C52" t="inlineStr">
        <is>
          <t>Integra</t>
        </is>
      </c>
      <c r="D52" t="inlineStr">
        <is>
          <t>Materials</t>
        </is>
      </c>
      <c r="E52" t="inlineStr">
        <is>
          <t>MSCI</t>
        </is>
      </c>
      <c r="F52" t="inlineStr">
        <is>
          <t>Intensidad</t>
        </is>
      </c>
      <c r="G52" t="n">
        <v>22.923856</v>
      </c>
    </row>
    <row r="53">
      <c r="A53" t="inlineStr">
        <is>
          <t>202606</t>
        </is>
      </c>
      <c r="B53" t="inlineStr">
        <is>
          <t>Actual</t>
        </is>
      </c>
      <c r="C53" t="inlineStr">
        <is>
          <t>Integra</t>
        </is>
      </c>
      <c r="D53" t="inlineStr">
        <is>
          <t>Otros</t>
        </is>
      </c>
      <c r="E53" t="inlineStr">
        <is>
          <t>MSCI</t>
        </is>
      </c>
      <c r="F53" t="inlineStr">
        <is>
          <t>Intensidad</t>
        </is>
      </c>
      <c r="G53" t="n">
        <v>9.228149</v>
      </c>
    </row>
    <row r="54">
      <c r="A54" t="inlineStr">
        <is>
          <t>202606</t>
        </is>
      </c>
      <c r="B54" t="inlineStr">
        <is>
          <t>Actual</t>
        </is>
      </c>
      <c r="C54" t="inlineStr">
        <is>
          <t>Integra</t>
        </is>
      </c>
      <c r="D54" t="inlineStr">
        <is>
          <t>Proxies</t>
        </is>
      </c>
      <c r="E54" t="inlineStr">
        <is>
          <t>Proxies</t>
        </is>
      </c>
      <c r="F54" t="inlineStr">
        <is>
          <t>Intensidad</t>
        </is>
      </c>
      <c r="G54" t="n">
        <v>56.657042</v>
      </c>
    </row>
    <row r="55">
      <c r="A55" t="inlineStr">
        <is>
          <t>202606</t>
        </is>
      </c>
      <c r="B55" t="inlineStr">
        <is>
          <t>Actual</t>
        </is>
      </c>
      <c r="C55" t="inlineStr">
        <is>
          <t>Integra</t>
        </is>
      </c>
      <c r="D55" t="inlineStr">
        <is>
          <t>RF</t>
        </is>
      </c>
      <c r="E55" t="inlineStr">
        <is>
          <t>MSCI</t>
        </is>
      </c>
      <c r="F55" t="inlineStr">
        <is>
          <t>Intensidad</t>
        </is>
      </c>
      <c r="G55" t="n">
        <v>13.115297</v>
      </c>
    </row>
    <row r="56">
      <c r="A56" t="inlineStr">
        <is>
          <t>202606</t>
        </is>
      </c>
      <c r="B56" t="inlineStr">
        <is>
          <t>Actual</t>
        </is>
      </c>
      <c r="C56" t="inlineStr">
        <is>
          <t>Integra</t>
        </is>
      </c>
      <c r="D56" t="inlineStr">
        <is>
          <t>RV</t>
        </is>
      </c>
      <c r="E56" t="inlineStr">
        <is>
          <t>MSCI</t>
        </is>
      </c>
      <c r="F56" t="inlineStr">
        <is>
          <t>Intensidad</t>
        </is>
      </c>
      <c r="G56" t="n">
        <v>26.231119</v>
      </c>
    </row>
    <row r="57">
      <c r="A57" t="inlineStr">
        <is>
          <t>202606</t>
        </is>
      </c>
      <c r="B57" t="inlineStr">
        <is>
          <t>Actual</t>
        </is>
      </c>
      <c r="C57" t="inlineStr">
        <is>
          <t>Integra</t>
        </is>
      </c>
      <c r="D57" t="inlineStr">
        <is>
          <t>Utilities</t>
        </is>
      </c>
      <c r="E57" t="inlineStr">
        <is>
          <t>MSCI</t>
        </is>
      </c>
      <c r="F57" t="inlineStr">
        <is>
          <t>Intensidad</t>
        </is>
      </c>
      <c r="G57" t="n">
        <v>0.428393</v>
      </c>
    </row>
    <row r="58">
      <c r="A58" t="inlineStr">
        <is>
          <t>202606</t>
        </is>
      </c>
      <c r="B58" t="inlineStr">
        <is>
          <t>Actual</t>
        </is>
      </c>
      <c r="C58" t="inlineStr">
        <is>
          <t>Prima</t>
        </is>
      </c>
      <c r="D58" t="inlineStr">
        <is>
          <t>Alts</t>
        </is>
      </c>
      <c r="E58" t="inlineStr">
        <is>
          <t>Proxies</t>
        </is>
      </c>
      <c r="F58" t="inlineStr">
        <is>
          <t>Intensidad</t>
        </is>
      </c>
      <c r="G58" t="n">
        <v>0</v>
      </c>
    </row>
    <row r="59">
      <c r="A59" t="inlineStr">
        <is>
          <t>202606</t>
        </is>
      </c>
      <c r="B59" t="inlineStr">
        <is>
          <t>Actual</t>
        </is>
      </c>
      <c r="C59" t="inlineStr">
        <is>
          <t>Prima</t>
        </is>
      </c>
      <c r="D59" t="inlineStr">
        <is>
          <t>Materials</t>
        </is>
      </c>
      <c r="E59" t="inlineStr">
        <is>
          <t>MSCI</t>
        </is>
      </c>
      <c r="F59" t="inlineStr">
        <is>
          <t>Intensidad</t>
        </is>
      </c>
      <c r="G59" t="n">
        <v>26.832479</v>
      </c>
    </row>
    <row r="60">
      <c r="A60" t="inlineStr">
        <is>
          <t>202606</t>
        </is>
      </c>
      <c r="B60" t="inlineStr">
        <is>
          <t>Actual</t>
        </is>
      </c>
      <c r="C60" t="inlineStr">
        <is>
          <t>Prima</t>
        </is>
      </c>
      <c r="D60" t="inlineStr">
        <is>
          <t>Otros</t>
        </is>
      </c>
      <c r="E60" t="inlineStr">
        <is>
          <t>MSCI</t>
        </is>
      </c>
      <c r="F60" t="inlineStr">
        <is>
          <t>Intensidad</t>
        </is>
      </c>
      <c r="G60" t="n">
        <v>12.643002</v>
      </c>
    </row>
    <row r="61">
      <c r="A61" t="inlineStr">
        <is>
          <t>202606</t>
        </is>
      </c>
      <c r="B61" t="inlineStr">
        <is>
          <t>Actual</t>
        </is>
      </c>
      <c r="C61" t="inlineStr">
        <is>
          <t>Prima</t>
        </is>
      </c>
      <c r="D61" t="inlineStr">
        <is>
          <t>Proxies</t>
        </is>
      </c>
      <c r="E61" t="inlineStr">
        <is>
          <t>Proxies</t>
        </is>
      </c>
      <c r="F61" t="inlineStr">
        <is>
          <t>Intensidad</t>
        </is>
      </c>
      <c r="G61" t="n">
        <v>44.689534</v>
      </c>
    </row>
    <row r="62">
      <c r="A62" t="inlineStr">
        <is>
          <t>202606</t>
        </is>
      </c>
      <c r="B62" t="inlineStr">
        <is>
          <t>Actual</t>
        </is>
      </c>
      <c r="C62" t="inlineStr">
        <is>
          <t>Prima</t>
        </is>
      </c>
      <c r="D62" t="inlineStr">
        <is>
          <t>RF</t>
        </is>
      </c>
      <c r="E62" t="inlineStr">
        <is>
          <t>MSCI</t>
        </is>
      </c>
      <c r="F62" t="inlineStr">
        <is>
          <t>Intensidad</t>
        </is>
      </c>
      <c r="G62" t="n">
        <v>34.482215</v>
      </c>
    </row>
    <row r="63">
      <c r="A63" t="inlineStr">
        <is>
          <t>202606</t>
        </is>
      </c>
      <c r="B63" t="inlineStr">
        <is>
          <t>Actual</t>
        </is>
      </c>
      <c r="C63" t="inlineStr">
        <is>
          <t>Prima</t>
        </is>
      </c>
      <c r="D63" t="inlineStr">
        <is>
          <t>RV</t>
        </is>
      </c>
      <c r="E63" t="inlineStr">
        <is>
          <t>MSCI</t>
        </is>
      </c>
      <c r="F63" t="inlineStr">
        <is>
          <t>Intensidad</t>
        </is>
      </c>
      <c r="G63" t="n">
        <v>26.31261</v>
      </c>
    </row>
    <row r="64">
      <c r="A64" t="inlineStr">
        <is>
          <t>202606</t>
        </is>
      </c>
      <c r="B64" t="inlineStr">
        <is>
          <t>Actual</t>
        </is>
      </c>
      <c r="C64" t="inlineStr">
        <is>
          <t>Prima</t>
        </is>
      </c>
      <c r="D64" t="inlineStr">
        <is>
          <t>Utilities</t>
        </is>
      </c>
      <c r="E64" t="inlineStr">
        <is>
          <t>MSCI</t>
        </is>
      </c>
      <c r="F64" t="inlineStr">
        <is>
          <t>Intensidad</t>
        </is>
      </c>
      <c r="G64" t="n">
        <v>1.032637</v>
      </c>
    </row>
    <row r="65">
      <c r="A65" t="inlineStr">
        <is>
          <t>202606</t>
        </is>
      </c>
      <c r="B65" t="inlineStr">
        <is>
          <t>Actual</t>
        </is>
      </c>
      <c r="C65" t="inlineStr">
        <is>
          <t>Profuturo</t>
        </is>
      </c>
      <c r="D65" t="inlineStr">
        <is>
          <t>Alts</t>
        </is>
      </c>
      <c r="E65" t="inlineStr">
        <is>
          <t>Proxies</t>
        </is>
      </c>
      <c r="F65" t="inlineStr">
        <is>
          <t>Intensidad</t>
        </is>
      </c>
      <c r="G65" t="n">
        <v>0</v>
      </c>
    </row>
    <row r="66">
      <c r="A66" t="inlineStr">
        <is>
          <t>202606</t>
        </is>
      </c>
      <c r="B66" t="inlineStr">
        <is>
          <t>Actual</t>
        </is>
      </c>
      <c r="C66" t="inlineStr">
        <is>
          <t>Profuturo</t>
        </is>
      </c>
      <c r="D66" t="inlineStr">
        <is>
          <t>Materials</t>
        </is>
      </c>
      <c r="E66" t="inlineStr">
        <is>
          <t>MSCI</t>
        </is>
      </c>
      <c r="F66" t="inlineStr">
        <is>
          <t>Intensidad</t>
        </is>
      </c>
      <c r="G66" t="n">
        <v>14.867005</v>
      </c>
    </row>
    <row r="67">
      <c r="A67" t="inlineStr">
        <is>
          <t>202606</t>
        </is>
      </c>
      <c r="B67" t="inlineStr">
        <is>
          <t>Actual</t>
        </is>
      </c>
      <c r="C67" t="inlineStr">
        <is>
          <t>Profuturo</t>
        </is>
      </c>
      <c r="D67" t="inlineStr">
        <is>
          <t>Otros</t>
        </is>
      </c>
      <c r="E67" t="inlineStr">
        <is>
          <t>MSCI</t>
        </is>
      </c>
      <c r="F67" t="inlineStr">
        <is>
          <t>Intensidad</t>
        </is>
      </c>
      <c r="G67" t="n">
        <v>9.799307000000001</v>
      </c>
    </row>
    <row r="68">
      <c r="A68" t="inlineStr">
        <is>
          <t>202606</t>
        </is>
      </c>
      <c r="B68" t="inlineStr">
        <is>
          <t>Actual</t>
        </is>
      </c>
      <c r="C68" t="inlineStr">
        <is>
          <t>Profuturo</t>
        </is>
      </c>
      <c r="D68" t="inlineStr">
        <is>
          <t>Proxies</t>
        </is>
      </c>
      <c r="E68" t="inlineStr">
        <is>
          <t>Proxies</t>
        </is>
      </c>
      <c r="F68" t="inlineStr">
        <is>
          <t>Intensidad</t>
        </is>
      </c>
      <c r="G68" t="n">
        <v>58.498884</v>
      </c>
    </row>
    <row r="69">
      <c r="A69" t="inlineStr">
        <is>
          <t>202606</t>
        </is>
      </c>
      <c r="B69" t="inlineStr">
        <is>
          <t>Actual</t>
        </is>
      </c>
      <c r="C69" t="inlineStr">
        <is>
          <t>Profuturo</t>
        </is>
      </c>
      <c r="D69" t="inlineStr">
        <is>
          <t>RF</t>
        </is>
      </c>
      <c r="E69" t="inlineStr">
        <is>
          <t>MSCI</t>
        </is>
      </c>
      <c r="F69" t="inlineStr">
        <is>
          <t>Intensidad</t>
        </is>
      </c>
      <c r="G69" t="n">
        <v>28.800177</v>
      </c>
    </row>
    <row r="70">
      <c r="A70" t="inlineStr">
        <is>
          <t>202606</t>
        </is>
      </c>
      <c r="B70" t="inlineStr">
        <is>
          <t>Actual</t>
        </is>
      </c>
      <c r="C70" t="inlineStr">
        <is>
          <t>Profuturo</t>
        </is>
      </c>
      <c r="D70" t="inlineStr">
        <is>
          <t>RV</t>
        </is>
      </c>
      <c r="E70" t="inlineStr">
        <is>
          <t>MSCI</t>
        </is>
      </c>
      <c r="F70" t="inlineStr">
        <is>
          <t>Intensidad</t>
        </is>
      </c>
      <c r="G70" t="n">
        <v>24.540651</v>
      </c>
    </row>
    <row r="71">
      <c r="A71" t="inlineStr">
        <is>
          <t>202606</t>
        </is>
      </c>
      <c r="B71" t="inlineStr">
        <is>
          <t>Actual</t>
        </is>
      </c>
      <c r="C71" t="inlineStr">
        <is>
          <t>Profuturo</t>
        </is>
      </c>
      <c r="D71" t="inlineStr">
        <is>
          <t>Utilities</t>
        </is>
      </c>
      <c r="E71" t="inlineStr">
        <is>
          <t>MSCI</t>
        </is>
      </c>
      <c r="F71" t="inlineStr">
        <is>
          <t>Intensidad</t>
        </is>
      </c>
      <c r="G71" t="n">
        <v>0.00487</v>
      </c>
    </row>
  </sheetData>
  <conditionalFormatting sqref="Q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Tipo_Fila</t>
        </is>
      </c>
      <c r="E1" t="inlineStr">
        <is>
          <t>Bloque</t>
        </is>
      </c>
      <c r="F1" t="inlineStr">
        <is>
          <t>Gestion</t>
        </is>
      </c>
      <c r="G1" t="inlineStr">
        <is>
          <t>Instrumento</t>
        </is>
      </c>
      <c r="H1" t="inlineStr">
        <is>
          <t>SubCategoria</t>
        </is>
      </c>
      <c r="I1" t="inlineStr">
        <is>
          <t>Benchmark_Tipo</t>
        </is>
      </c>
      <c r="J1" t="inlineStr">
        <is>
          <t>Benchmark_Nombre</t>
        </is>
      </c>
      <c r="K1" t="inlineStr">
        <is>
          <t>Metrica</t>
        </is>
      </c>
      <c r="L1" t="inlineStr">
        <is>
          <t>Valor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Benchmark</t>
        </is>
      </c>
      <c r="E2" t="inlineStr"/>
      <c r="F2" t="inlineStr"/>
      <c r="G2" t="inlineStr"/>
      <c r="H2" t="inlineStr"/>
      <c r="I2" t="inlineStr">
        <is>
          <t>Escalar_Portafolio</t>
        </is>
      </c>
      <c r="J2" t="inlineStr">
        <is>
          <t>Total_Integra</t>
        </is>
      </c>
      <c r="K2" t="inlineStr">
        <is>
          <t>Intensidad</t>
        </is>
      </c>
      <c r="L2" t="n">
        <v>75.896051</v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Benchmark</t>
        </is>
      </c>
      <c r="E3" t="inlineStr"/>
      <c r="F3" t="inlineStr"/>
      <c r="G3" t="inlineStr"/>
      <c r="H3" t="inlineStr"/>
      <c r="I3" t="inlineStr">
        <is>
          <t>Escalar_Portafolio</t>
        </is>
      </c>
      <c r="J3" t="inlineStr">
        <is>
          <t>F1_Integra</t>
        </is>
      </c>
      <c r="K3" t="inlineStr">
        <is>
          <t>Intensidad</t>
        </is>
      </c>
      <c r="L3" t="n">
        <v>37.747666</v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Benchmark</t>
        </is>
      </c>
      <c r="E4" t="inlineStr"/>
      <c r="F4" t="inlineStr"/>
      <c r="G4" t="inlineStr"/>
      <c r="H4" t="inlineStr"/>
      <c r="I4" t="inlineStr">
        <is>
          <t>Escalar_Portafolio</t>
        </is>
      </c>
      <c r="J4" t="inlineStr">
        <is>
          <t>F2_Integra</t>
        </is>
      </c>
      <c r="K4" t="inlineStr">
        <is>
          <t>Intensidad</t>
        </is>
      </c>
      <c r="L4" t="n">
        <v>16.583562</v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Benchmark</t>
        </is>
      </c>
      <c r="E5" t="inlineStr"/>
      <c r="F5" t="inlineStr"/>
      <c r="G5" t="inlineStr"/>
      <c r="H5" t="inlineStr"/>
      <c r="I5" t="inlineStr">
        <is>
          <t>Escalar_Portafolio</t>
        </is>
      </c>
      <c r="J5" t="inlineStr">
        <is>
          <t>F3_Integra</t>
        </is>
      </c>
      <c r="K5" t="inlineStr">
        <is>
          <t>Intensidad</t>
        </is>
      </c>
      <c r="L5" t="n">
        <v>21.564823</v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Habitat</t>
        </is>
      </c>
      <c r="D6" t="inlineStr">
        <is>
          <t>Benchmark</t>
        </is>
      </c>
      <c r="E6" t="inlineStr"/>
      <c r="F6" t="inlineStr"/>
      <c r="G6" t="inlineStr"/>
      <c r="H6" t="inlineStr"/>
      <c r="I6" t="inlineStr">
        <is>
          <t>Escalar_Portafolio</t>
        </is>
      </c>
      <c r="J6" t="inlineStr">
        <is>
          <t>Total_Integra</t>
        </is>
      </c>
      <c r="K6" t="inlineStr">
        <is>
          <t>Intensidad</t>
        </is>
      </c>
      <c r="L6" t="n">
        <v>63.150033</v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Benchmark</t>
        </is>
      </c>
      <c r="E7" t="inlineStr"/>
      <c r="F7" t="inlineStr"/>
      <c r="G7" t="inlineStr"/>
      <c r="H7" t="inlineStr"/>
      <c r="I7" t="inlineStr">
        <is>
          <t>Escalar_Portafolio</t>
        </is>
      </c>
      <c r="J7" t="inlineStr">
        <is>
          <t>F1_Integra</t>
        </is>
      </c>
      <c r="K7" t="inlineStr">
        <is>
          <t>Intensidad</t>
        </is>
      </c>
      <c r="L7" t="n">
        <v>27.245936</v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Benchmark</t>
        </is>
      </c>
      <c r="E8" t="inlineStr"/>
      <c r="F8" t="inlineStr"/>
      <c r="G8" t="inlineStr"/>
      <c r="H8" t="inlineStr"/>
      <c r="I8" t="inlineStr">
        <is>
          <t>Escalar_Portafolio</t>
        </is>
      </c>
      <c r="J8" t="inlineStr">
        <is>
          <t>F2_Integra</t>
        </is>
      </c>
      <c r="K8" t="inlineStr">
        <is>
          <t>Intensidad</t>
        </is>
      </c>
      <c r="L8" t="n">
        <v>13.075085</v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Habitat</t>
        </is>
      </c>
      <c r="D9" t="inlineStr">
        <is>
          <t>Benchmark</t>
        </is>
      </c>
      <c r="E9" t="inlineStr"/>
      <c r="F9" t="inlineStr"/>
      <c r="G9" t="inlineStr"/>
      <c r="H9" t="inlineStr"/>
      <c r="I9" t="inlineStr">
        <is>
          <t>Escalar_Portafolio</t>
        </is>
      </c>
      <c r="J9" t="inlineStr">
        <is>
          <t>F3_Integra</t>
        </is>
      </c>
      <c r="K9" t="inlineStr">
        <is>
          <t>Intensidad</t>
        </is>
      </c>
      <c r="L9" t="n">
        <v>22.829012</v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Integra</t>
        </is>
      </c>
      <c r="D10" t="inlineStr">
        <is>
          <t>Benchmark</t>
        </is>
      </c>
      <c r="E10" t="inlineStr"/>
      <c r="F10" t="inlineStr"/>
      <c r="G10" t="inlineStr"/>
      <c r="H10" t="inlineStr"/>
      <c r="I10" t="inlineStr">
        <is>
          <t>Escalar_Portafolio</t>
        </is>
      </c>
      <c r="J10" t="inlineStr">
        <is>
          <t>Total_Integra</t>
        </is>
      </c>
      <c r="K10" t="inlineStr">
        <is>
          <t>Intensidad</t>
        </is>
      </c>
      <c r="L10" t="n">
        <v>65.224844</v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Integra</t>
        </is>
      </c>
      <c r="D11" t="inlineStr">
        <is>
          <t>Benchmark</t>
        </is>
      </c>
      <c r="E11" t="inlineStr"/>
      <c r="F11" t="inlineStr"/>
      <c r="G11" t="inlineStr"/>
      <c r="H11" t="inlineStr"/>
      <c r="I11" t="inlineStr">
        <is>
          <t>Escalar_Portafolio</t>
        </is>
      </c>
      <c r="J11" t="inlineStr">
        <is>
          <t>F1_Integra</t>
        </is>
      </c>
      <c r="K11" t="inlineStr">
        <is>
          <t>Intensidad</t>
        </is>
      </c>
      <c r="L11" t="n">
        <v>28.069357</v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Benchmark</t>
        </is>
      </c>
      <c r="E12" t="inlineStr"/>
      <c r="F12" t="inlineStr"/>
      <c r="G12" t="inlineStr"/>
      <c r="H12" t="inlineStr"/>
      <c r="I12" t="inlineStr">
        <is>
          <t>Escalar_Portafolio</t>
        </is>
      </c>
      <c r="J12" t="inlineStr">
        <is>
          <t>F2_Integra</t>
        </is>
      </c>
      <c r="K12" t="inlineStr">
        <is>
          <t>Intensidad</t>
        </is>
      </c>
      <c r="L12" t="n">
        <v>14.076505</v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Benchmark</t>
        </is>
      </c>
      <c r="E13" t="inlineStr"/>
      <c r="F13" t="inlineStr"/>
      <c r="G13" t="inlineStr"/>
      <c r="H13" t="inlineStr"/>
      <c r="I13" t="inlineStr">
        <is>
          <t>Escalar_Portafolio</t>
        </is>
      </c>
      <c r="J13" t="inlineStr">
        <is>
          <t>F3_Integra</t>
        </is>
      </c>
      <c r="K13" t="inlineStr">
        <is>
          <t>Intensidad</t>
        </is>
      </c>
      <c r="L13" t="n">
        <v>23.078982</v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Prima</t>
        </is>
      </c>
      <c r="D14" t="inlineStr">
        <is>
          <t>Benchmark</t>
        </is>
      </c>
      <c r="E14" t="inlineStr"/>
      <c r="F14" t="inlineStr"/>
      <c r="G14" t="inlineStr"/>
      <c r="H14" t="inlineStr"/>
      <c r="I14" t="inlineStr">
        <is>
          <t>Escalar_Portafolio</t>
        </is>
      </c>
      <c r="J14" t="inlineStr">
        <is>
          <t>Total_Integra</t>
        </is>
      </c>
      <c r="K14" t="inlineStr">
        <is>
          <t>Intensidad</t>
        </is>
      </c>
      <c r="L14" t="n">
        <v>79.27783599999999</v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Prima</t>
        </is>
      </c>
      <c r="D15" t="inlineStr">
        <is>
          <t>Benchmark</t>
        </is>
      </c>
      <c r="E15" t="inlineStr"/>
      <c r="F15" t="inlineStr"/>
      <c r="G15" t="inlineStr"/>
      <c r="H15" t="inlineStr"/>
      <c r="I15" t="inlineStr">
        <is>
          <t>Escalar_Portafolio</t>
        </is>
      </c>
      <c r="J15" t="inlineStr">
        <is>
          <t>F1_Integra</t>
        </is>
      </c>
      <c r="K15" t="inlineStr">
        <is>
          <t>Intensidad</t>
        </is>
      </c>
      <c r="L15" t="n">
        <v>43.397454</v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Prima</t>
        </is>
      </c>
      <c r="D16" t="inlineStr">
        <is>
          <t>Benchmark</t>
        </is>
      </c>
      <c r="E16" t="inlineStr"/>
      <c r="F16" t="inlineStr"/>
      <c r="G16" t="inlineStr"/>
      <c r="H16" t="inlineStr"/>
      <c r="I16" t="inlineStr">
        <is>
          <t>Escalar_Portafolio</t>
        </is>
      </c>
      <c r="J16" t="inlineStr">
        <is>
          <t>F2_Integra</t>
        </is>
      </c>
      <c r="K16" t="inlineStr">
        <is>
          <t>Intensidad</t>
        </is>
      </c>
      <c r="L16" t="n">
        <v>16.71005</v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Benchmark</t>
        </is>
      </c>
      <c r="E17" t="inlineStr"/>
      <c r="F17" t="inlineStr"/>
      <c r="G17" t="inlineStr"/>
      <c r="H17" t="inlineStr"/>
      <c r="I17" t="inlineStr">
        <is>
          <t>Escalar_Portafolio</t>
        </is>
      </c>
      <c r="J17" t="inlineStr">
        <is>
          <t>F3_Integra</t>
        </is>
      </c>
      <c r="K17" t="inlineStr">
        <is>
          <t>Intensidad</t>
        </is>
      </c>
      <c r="L17" t="n">
        <v>19.170332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Profuturo</t>
        </is>
      </c>
      <c r="D18" t="inlineStr">
        <is>
          <t>Benchmark</t>
        </is>
      </c>
      <c r="E18" t="inlineStr"/>
      <c r="F18" t="inlineStr"/>
      <c r="G18" t="inlineStr"/>
      <c r="H18" t="inlineStr"/>
      <c r="I18" t="inlineStr">
        <is>
          <t>Escalar_Portafolio</t>
        </is>
      </c>
      <c r="J18" t="inlineStr">
        <is>
          <t>Total_Integra</t>
        </is>
      </c>
      <c r="K18" t="inlineStr">
        <is>
          <t>Intensidad</t>
        </is>
      </c>
      <c r="L18" t="n">
        <v>75.98406300000001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Profuturo</t>
        </is>
      </c>
      <c r="D19" t="inlineStr">
        <is>
          <t>Benchmark</t>
        </is>
      </c>
      <c r="E19" t="inlineStr"/>
      <c r="F19" t="inlineStr"/>
      <c r="G19" t="inlineStr"/>
      <c r="H19" t="inlineStr"/>
      <c r="I19" t="inlineStr">
        <is>
          <t>Escalar_Portafolio</t>
        </is>
      </c>
      <c r="J19" t="inlineStr">
        <is>
          <t>F1_Integra</t>
        </is>
      </c>
      <c r="K19" t="inlineStr">
        <is>
          <t>Intensidad</t>
        </is>
      </c>
      <c r="L19" t="n">
        <v>34.14988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Profuturo</t>
        </is>
      </c>
      <c r="D20" t="inlineStr">
        <is>
          <t>Benchmark</t>
        </is>
      </c>
      <c r="E20" t="inlineStr"/>
      <c r="F20" t="inlineStr"/>
      <c r="G20" t="inlineStr"/>
      <c r="H20" t="inlineStr"/>
      <c r="I20" t="inlineStr">
        <is>
          <t>Escalar_Portafolio</t>
        </is>
      </c>
      <c r="J20" t="inlineStr">
        <is>
          <t>F2_Integra</t>
        </is>
      </c>
      <c r="K20" t="inlineStr">
        <is>
          <t>Intensidad</t>
        </is>
      </c>
      <c r="L20" t="n">
        <v>19.999563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Profuturo</t>
        </is>
      </c>
      <c r="D21" t="inlineStr">
        <is>
          <t>Benchmark</t>
        </is>
      </c>
      <c r="E21" t="inlineStr"/>
      <c r="F21" t="inlineStr"/>
      <c r="G21" t="inlineStr"/>
      <c r="H21" t="inlineStr"/>
      <c r="I21" t="inlineStr">
        <is>
          <t>Escalar_Portafolio</t>
        </is>
      </c>
      <c r="J21" t="inlineStr">
        <is>
          <t>F3_Integra</t>
        </is>
      </c>
      <c r="K21" t="inlineStr">
        <is>
          <t>Intensidad</t>
        </is>
      </c>
      <c r="L21" t="n">
        <v>21.83462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Ex_Integra</t>
        </is>
      </c>
      <c r="D22" t="inlineStr">
        <is>
          <t>Benchmark</t>
        </is>
      </c>
      <c r="E22" t="inlineStr">
        <is>
          <t>Equities</t>
        </is>
      </c>
      <c r="F22" t="inlineStr"/>
      <c r="G22" t="inlineStr"/>
      <c r="H22" t="inlineStr">
        <is>
          <t>DM</t>
        </is>
      </c>
      <c r="I22" t="inlineStr">
        <is>
          <t>Comparables_Subcat_Ajustado (x Weight del instrumento)</t>
        </is>
      </c>
      <c r="J22" t="inlineStr"/>
      <c r="K22" t="inlineStr">
        <is>
          <t>Intensidad</t>
        </is>
      </c>
      <c r="L22" t="n">
        <v>63.45775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Ex_Integra</t>
        </is>
      </c>
      <c r="D23" t="inlineStr">
        <is>
          <t>Benchmark</t>
        </is>
      </c>
      <c r="E23" t="inlineStr">
        <is>
          <t>Equities</t>
        </is>
      </c>
      <c r="F23" t="inlineStr"/>
      <c r="G23" t="inlineStr"/>
      <c r="H23" t="inlineStr">
        <is>
          <t>EM</t>
        </is>
      </c>
      <c r="I23" t="inlineStr">
        <is>
          <t>Comparables_Subcat_Ajustado (x Weight del instrumento)</t>
        </is>
      </c>
      <c r="J23" t="inlineStr"/>
      <c r="K23" t="inlineStr">
        <is>
          <t>Intensidad</t>
        </is>
      </c>
      <c r="L23" t="n">
        <v>71.066596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Ex_Integra</t>
        </is>
      </c>
      <c r="D24" t="inlineStr">
        <is>
          <t>Benchmark</t>
        </is>
      </c>
      <c r="E24" t="inlineStr">
        <is>
          <t>Equities</t>
        </is>
      </c>
      <c r="F24" t="inlineStr"/>
      <c r="G24" t="inlineStr"/>
      <c r="H24" t="inlineStr">
        <is>
          <t>Metales Preciosos</t>
        </is>
      </c>
      <c r="I24" t="inlineStr">
        <is>
          <t>Comparables_Subcat_Ajustado (x Weight del instrumento)</t>
        </is>
      </c>
      <c r="J24" t="inlineStr"/>
      <c r="K24" t="inlineStr">
        <is>
          <t>Intensidad</t>
        </is>
      </c>
      <c r="L24" t="n">
        <v>78.727754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Ex_Integra</t>
        </is>
      </c>
      <c r="D25" t="inlineStr">
        <is>
          <t>Benchmark</t>
        </is>
      </c>
      <c r="E25" t="inlineStr">
        <is>
          <t>Equities</t>
        </is>
      </c>
      <c r="F25" t="inlineStr"/>
      <c r="G25" t="inlineStr"/>
      <c r="H25" t="inlineStr">
        <is>
          <t>Peru</t>
        </is>
      </c>
      <c r="I25" t="inlineStr">
        <is>
          <t>Comparables_Subcat_Ajustado (x Weight del instrumento)</t>
        </is>
      </c>
      <c r="J25" t="inlineStr"/>
      <c r="K25" t="inlineStr">
        <is>
          <t>Intensidad</t>
        </is>
      </c>
      <c r="L25" t="n">
        <v>31.332475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Ex_Integra</t>
        </is>
      </c>
      <c r="D26" t="inlineStr">
        <is>
          <t>Benchmark</t>
        </is>
      </c>
      <c r="E26" t="inlineStr">
        <is>
          <t>Equities</t>
        </is>
      </c>
      <c r="F26" t="inlineStr"/>
      <c r="G26" t="inlineStr"/>
      <c r="H26" t="inlineStr">
        <is>
          <t>DM</t>
        </is>
      </c>
      <c r="I26" t="inlineStr">
        <is>
          <t>Comparables_Subcat_SinAjustar</t>
        </is>
      </c>
      <c r="J26" t="inlineStr"/>
      <c r="K26" t="inlineStr">
        <is>
          <t>Intensidad</t>
        </is>
      </c>
      <c r="L26" t="n">
        <v>1.095698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Ex_Integra</t>
        </is>
      </c>
      <c r="D27" t="inlineStr">
        <is>
          <t>Benchmark</t>
        </is>
      </c>
      <c r="E27" t="inlineStr">
        <is>
          <t>Equities</t>
        </is>
      </c>
      <c r="F27" t="inlineStr"/>
      <c r="G27" t="inlineStr"/>
      <c r="H27" t="inlineStr">
        <is>
          <t>EM</t>
        </is>
      </c>
      <c r="I27" t="inlineStr">
        <is>
          <t>Comparables_Subcat_SinAjustar</t>
        </is>
      </c>
      <c r="J27" t="inlineStr"/>
      <c r="K27" t="inlineStr">
        <is>
          <t>Intensidad</t>
        </is>
      </c>
      <c r="L27" t="n">
        <v>0.861977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Ex_Integra</t>
        </is>
      </c>
      <c r="D28" t="inlineStr">
        <is>
          <t>Benchmark</t>
        </is>
      </c>
      <c r="E28" t="inlineStr">
        <is>
          <t>Equities</t>
        </is>
      </c>
      <c r="F28" t="inlineStr"/>
      <c r="G28" t="inlineStr"/>
      <c r="H28" t="inlineStr">
        <is>
          <t>Metales Preciosos</t>
        </is>
      </c>
      <c r="I28" t="inlineStr">
        <is>
          <t>Comparables_Subcat_SinAjustar</t>
        </is>
      </c>
      <c r="J28" t="inlineStr"/>
      <c r="K28" t="inlineStr">
        <is>
          <t>Intensidad</t>
        </is>
      </c>
      <c r="L28" t="n">
        <v>11.295997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Ex_Integra</t>
        </is>
      </c>
      <c r="D29" t="inlineStr">
        <is>
          <t>Benchmark</t>
        </is>
      </c>
      <c r="E29" t="inlineStr">
        <is>
          <t>Equities</t>
        </is>
      </c>
      <c r="F29" t="inlineStr"/>
      <c r="G29" t="inlineStr"/>
      <c r="H29" t="inlineStr">
        <is>
          <t>Peru</t>
        </is>
      </c>
      <c r="I29" t="inlineStr">
        <is>
          <t>Comparables_Subcat_SinAjustar</t>
        </is>
      </c>
      <c r="J29" t="inlineStr"/>
      <c r="K29" t="inlineStr">
        <is>
          <t>Intensidad</t>
        </is>
      </c>
      <c r="L29" t="n">
        <v>1.337515</v>
      </c>
    </row>
    <row r="30">
      <c r="A30" t="inlineStr">
        <is>
          <t>202512</t>
        </is>
      </c>
      <c r="B30" t="inlineStr">
        <is>
          <t>Comparación</t>
        </is>
      </c>
      <c r="C30" t="inlineStr">
        <is>
          <t>Habitat</t>
        </is>
      </c>
      <c r="D30" t="inlineStr">
        <is>
          <t>Benchmark</t>
        </is>
      </c>
      <c r="E30" t="inlineStr">
        <is>
          <t>Equities</t>
        </is>
      </c>
      <c r="F30" t="inlineStr"/>
      <c r="G30" t="inlineStr"/>
      <c r="H30" t="inlineStr">
        <is>
          <t>DM</t>
        </is>
      </c>
      <c r="I30" t="inlineStr">
        <is>
          <t>Comparables_Subcat_Ajustado (x Weight del instrumento)</t>
        </is>
      </c>
      <c r="J30" t="inlineStr"/>
      <c r="K30" t="inlineStr">
        <is>
          <t>Intensidad</t>
        </is>
      </c>
      <c r="L30" t="n">
        <v>63.45775</v>
      </c>
    </row>
    <row r="31">
      <c r="A31" t="inlineStr">
        <is>
          <t>202512</t>
        </is>
      </c>
      <c r="B31" t="inlineStr">
        <is>
          <t>Comparación</t>
        </is>
      </c>
      <c r="C31" t="inlineStr">
        <is>
          <t>Habitat</t>
        </is>
      </c>
      <c r="D31" t="inlineStr">
        <is>
          <t>Benchmark</t>
        </is>
      </c>
      <c r="E31" t="inlineStr">
        <is>
          <t>Equities</t>
        </is>
      </c>
      <c r="F31" t="inlineStr"/>
      <c r="G31" t="inlineStr"/>
      <c r="H31" t="inlineStr">
        <is>
          <t>EM</t>
        </is>
      </c>
      <c r="I31" t="inlineStr">
        <is>
          <t>Comparables_Subcat_Ajustado (x Weight del instrumento)</t>
        </is>
      </c>
      <c r="J31" t="inlineStr"/>
      <c r="K31" t="inlineStr">
        <is>
          <t>Intensidad</t>
        </is>
      </c>
      <c r="L31" t="n">
        <v>71.066596</v>
      </c>
    </row>
    <row r="32">
      <c r="A32" t="inlineStr">
        <is>
          <t>202512</t>
        </is>
      </c>
      <c r="B32" t="inlineStr">
        <is>
          <t>Comparación</t>
        </is>
      </c>
      <c r="C32" t="inlineStr">
        <is>
          <t>Habitat</t>
        </is>
      </c>
      <c r="D32" t="inlineStr">
        <is>
          <t>Benchmark</t>
        </is>
      </c>
      <c r="E32" t="inlineStr">
        <is>
          <t>Equities</t>
        </is>
      </c>
      <c r="F32" t="inlineStr"/>
      <c r="G32" t="inlineStr"/>
      <c r="H32" t="inlineStr">
        <is>
          <t>Metales Preciosos</t>
        </is>
      </c>
      <c r="I32" t="inlineStr">
        <is>
          <t>Comparables_Subcat_Ajustado (x Weight del instrumento)</t>
        </is>
      </c>
      <c r="J32" t="inlineStr"/>
      <c r="K32" t="inlineStr">
        <is>
          <t>Intensidad</t>
        </is>
      </c>
      <c r="L32" t="n">
        <v>78.727754</v>
      </c>
    </row>
    <row r="33">
      <c r="A33" t="inlineStr">
        <is>
          <t>202512</t>
        </is>
      </c>
      <c r="B33" t="inlineStr">
        <is>
          <t>Comparación</t>
        </is>
      </c>
      <c r="C33" t="inlineStr">
        <is>
          <t>Habitat</t>
        </is>
      </c>
      <c r="D33" t="inlineStr">
        <is>
          <t>Benchmark</t>
        </is>
      </c>
      <c r="E33" t="inlineStr">
        <is>
          <t>Equities</t>
        </is>
      </c>
      <c r="F33" t="inlineStr"/>
      <c r="G33" t="inlineStr"/>
      <c r="H33" t="inlineStr">
        <is>
          <t>Peru</t>
        </is>
      </c>
      <c r="I33" t="inlineStr">
        <is>
          <t>Comparables_Subcat_Ajustado (x Weight del instrumento)</t>
        </is>
      </c>
      <c r="J33" t="inlineStr"/>
      <c r="K33" t="inlineStr">
        <is>
          <t>Intensidad</t>
        </is>
      </c>
      <c r="L33" t="n">
        <v>31.332475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Habitat</t>
        </is>
      </c>
      <c r="D34" t="inlineStr">
        <is>
          <t>Benchmark</t>
        </is>
      </c>
      <c r="E34" t="inlineStr">
        <is>
          <t>Equities</t>
        </is>
      </c>
      <c r="F34" t="inlineStr"/>
      <c r="G34" t="inlineStr"/>
      <c r="H34" t="inlineStr">
        <is>
          <t>DM</t>
        </is>
      </c>
      <c r="I34" t="inlineStr">
        <is>
          <t>Comparables_Subcat_SinAjustar</t>
        </is>
      </c>
      <c r="J34" t="inlineStr"/>
      <c r="K34" t="inlineStr">
        <is>
          <t>Intensidad</t>
        </is>
      </c>
      <c r="L34" t="n">
        <v>1.095698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Habitat</t>
        </is>
      </c>
      <c r="D35" t="inlineStr">
        <is>
          <t>Benchmark</t>
        </is>
      </c>
      <c r="E35" t="inlineStr">
        <is>
          <t>Equities</t>
        </is>
      </c>
      <c r="F35" t="inlineStr"/>
      <c r="G35" t="inlineStr"/>
      <c r="H35" t="inlineStr">
        <is>
          <t>EM</t>
        </is>
      </c>
      <c r="I35" t="inlineStr">
        <is>
          <t>Comparables_Subcat_SinAjustar</t>
        </is>
      </c>
      <c r="J35" t="inlineStr"/>
      <c r="K35" t="inlineStr">
        <is>
          <t>Intensidad</t>
        </is>
      </c>
      <c r="L35" t="n">
        <v>0.861977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Habitat</t>
        </is>
      </c>
      <c r="D36" t="inlineStr">
        <is>
          <t>Benchmark</t>
        </is>
      </c>
      <c r="E36" t="inlineStr">
        <is>
          <t>Equities</t>
        </is>
      </c>
      <c r="F36" t="inlineStr"/>
      <c r="G36" t="inlineStr"/>
      <c r="H36" t="inlineStr">
        <is>
          <t>Metales Preciosos</t>
        </is>
      </c>
      <c r="I36" t="inlineStr">
        <is>
          <t>Comparables_Subcat_SinAjustar</t>
        </is>
      </c>
      <c r="J36" t="inlineStr"/>
      <c r="K36" t="inlineStr">
        <is>
          <t>Intensidad</t>
        </is>
      </c>
      <c r="L36" t="n">
        <v>11.295997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Habitat</t>
        </is>
      </c>
      <c r="D37" t="inlineStr">
        <is>
          <t>Benchmark</t>
        </is>
      </c>
      <c r="E37" t="inlineStr">
        <is>
          <t>Equities</t>
        </is>
      </c>
      <c r="F37" t="inlineStr"/>
      <c r="G37" t="inlineStr"/>
      <c r="H37" t="inlineStr">
        <is>
          <t>Peru</t>
        </is>
      </c>
      <c r="I37" t="inlineStr">
        <is>
          <t>Comparables_Subcat_SinAjustar</t>
        </is>
      </c>
      <c r="J37" t="inlineStr"/>
      <c r="K37" t="inlineStr">
        <is>
          <t>Intensidad</t>
        </is>
      </c>
      <c r="L37" t="n">
        <v>1.337515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Integra</t>
        </is>
      </c>
      <c r="D38" t="inlineStr">
        <is>
          <t>Benchmark</t>
        </is>
      </c>
      <c r="E38" t="inlineStr">
        <is>
          <t>Equities</t>
        </is>
      </c>
      <c r="F38" t="inlineStr"/>
      <c r="G38" t="inlineStr"/>
      <c r="H38" t="inlineStr">
        <is>
          <t>DM</t>
        </is>
      </c>
      <c r="I38" t="inlineStr">
        <is>
          <t>Comparables_Subcat_Ajustado (x Weight del instrumento)</t>
        </is>
      </c>
      <c r="J38" t="inlineStr"/>
      <c r="K38" t="inlineStr">
        <is>
          <t>Intensidad</t>
        </is>
      </c>
      <c r="L38" t="n">
        <v>63.45775</v>
      </c>
    </row>
    <row r="39">
      <c r="A39" t="inlineStr">
        <is>
          <t>202512</t>
        </is>
      </c>
      <c r="B39" t="inlineStr">
        <is>
          <t>Comparación</t>
        </is>
      </c>
      <c r="C39" t="inlineStr">
        <is>
          <t>Integra</t>
        </is>
      </c>
      <c r="D39" t="inlineStr">
        <is>
          <t>Benchmark</t>
        </is>
      </c>
      <c r="E39" t="inlineStr">
        <is>
          <t>Equities</t>
        </is>
      </c>
      <c r="F39" t="inlineStr"/>
      <c r="G39" t="inlineStr"/>
      <c r="H39" t="inlineStr">
        <is>
          <t>EM</t>
        </is>
      </c>
      <c r="I39" t="inlineStr">
        <is>
          <t>Comparables_Subcat_Ajustado (x Weight del instrumento)</t>
        </is>
      </c>
      <c r="J39" t="inlineStr"/>
      <c r="K39" t="inlineStr">
        <is>
          <t>Intensidad</t>
        </is>
      </c>
      <c r="L39" t="n">
        <v>71.066596</v>
      </c>
    </row>
    <row r="40">
      <c r="A40" t="inlineStr">
        <is>
          <t>202512</t>
        </is>
      </c>
      <c r="B40" t="inlineStr">
        <is>
          <t>Comparación</t>
        </is>
      </c>
      <c r="C40" t="inlineStr">
        <is>
          <t>Integra</t>
        </is>
      </c>
      <c r="D40" t="inlineStr">
        <is>
          <t>Benchmark</t>
        </is>
      </c>
      <c r="E40" t="inlineStr">
        <is>
          <t>Equities</t>
        </is>
      </c>
      <c r="F40" t="inlineStr"/>
      <c r="G40" t="inlineStr"/>
      <c r="H40" t="inlineStr">
        <is>
          <t>Metales Preciosos</t>
        </is>
      </c>
      <c r="I40" t="inlineStr">
        <is>
          <t>Comparables_Subcat_Ajustado (x Weight del instrumento)</t>
        </is>
      </c>
      <c r="J40" t="inlineStr"/>
      <c r="K40" t="inlineStr">
        <is>
          <t>Intensidad</t>
        </is>
      </c>
      <c r="L40" t="n">
        <v>78.727754</v>
      </c>
    </row>
    <row r="41">
      <c r="A41" t="inlineStr">
        <is>
          <t>202512</t>
        </is>
      </c>
      <c r="B41" t="inlineStr">
        <is>
          <t>Comparación</t>
        </is>
      </c>
      <c r="C41" t="inlineStr">
        <is>
          <t>Integra</t>
        </is>
      </c>
      <c r="D41" t="inlineStr">
        <is>
          <t>Benchmark</t>
        </is>
      </c>
      <c r="E41" t="inlineStr">
        <is>
          <t>Equities</t>
        </is>
      </c>
      <c r="F41" t="inlineStr"/>
      <c r="G41" t="inlineStr"/>
      <c r="H41" t="inlineStr">
        <is>
          <t>Peru</t>
        </is>
      </c>
      <c r="I41" t="inlineStr">
        <is>
          <t>Comparables_Subcat_Ajustado (x Weight del instrumento)</t>
        </is>
      </c>
      <c r="J41" t="inlineStr"/>
      <c r="K41" t="inlineStr">
        <is>
          <t>Intensidad</t>
        </is>
      </c>
      <c r="L41" t="n">
        <v>31.332475</v>
      </c>
    </row>
    <row r="42">
      <c r="A42" t="inlineStr">
        <is>
          <t>202512</t>
        </is>
      </c>
      <c r="B42" t="inlineStr">
        <is>
          <t>Comparación</t>
        </is>
      </c>
      <c r="C42" t="inlineStr">
        <is>
          <t>Integra</t>
        </is>
      </c>
      <c r="D42" t="inlineStr">
        <is>
          <t>Benchmark</t>
        </is>
      </c>
      <c r="E42" t="inlineStr">
        <is>
          <t>Equities</t>
        </is>
      </c>
      <c r="F42" t="inlineStr"/>
      <c r="G42" t="inlineStr"/>
      <c r="H42" t="inlineStr">
        <is>
          <t>DM</t>
        </is>
      </c>
      <c r="I42" t="inlineStr">
        <is>
          <t>Comparables_Subcat_SinAjustar</t>
        </is>
      </c>
      <c r="J42" t="inlineStr"/>
      <c r="K42" t="inlineStr">
        <is>
          <t>Intensidad</t>
        </is>
      </c>
      <c r="L42" t="n">
        <v>1.095698</v>
      </c>
    </row>
    <row r="43">
      <c r="A43" t="inlineStr">
        <is>
          <t>202512</t>
        </is>
      </c>
      <c r="B43" t="inlineStr">
        <is>
          <t>Comparación</t>
        </is>
      </c>
      <c r="C43" t="inlineStr">
        <is>
          <t>Integra</t>
        </is>
      </c>
      <c r="D43" t="inlineStr">
        <is>
          <t>Benchmark</t>
        </is>
      </c>
      <c r="E43" t="inlineStr">
        <is>
          <t>Equities</t>
        </is>
      </c>
      <c r="F43" t="inlineStr"/>
      <c r="G43" t="inlineStr"/>
      <c r="H43" t="inlineStr">
        <is>
          <t>EM</t>
        </is>
      </c>
      <c r="I43" t="inlineStr">
        <is>
          <t>Comparables_Subcat_SinAjustar</t>
        </is>
      </c>
      <c r="J43" t="inlineStr"/>
      <c r="K43" t="inlineStr">
        <is>
          <t>Intensidad</t>
        </is>
      </c>
      <c r="L43" t="n">
        <v>0.861977</v>
      </c>
    </row>
    <row r="44">
      <c r="A44" t="inlineStr">
        <is>
          <t>202512</t>
        </is>
      </c>
      <c r="B44" t="inlineStr">
        <is>
          <t>Comparación</t>
        </is>
      </c>
      <c r="C44" t="inlineStr">
        <is>
          <t>Integra</t>
        </is>
      </c>
      <c r="D44" t="inlineStr">
        <is>
          <t>Benchmark</t>
        </is>
      </c>
      <c r="E44" t="inlineStr">
        <is>
          <t>Equities</t>
        </is>
      </c>
      <c r="F44" t="inlineStr"/>
      <c r="G44" t="inlineStr"/>
      <c r="H44" t="inlineStr">
        <is>
          <t>Metales Preciosos</t>
        </is>
      </c>
      <c r="I44" t="inlineStr">
        <is>
          <t>Comparables_Subcat_SinAjustar</t>
        </is>
      </c>
      <c r="J44" t="inlineStr"/>
      <c r="K44" t="inlineStr">
        <is>
          <t>Intensidad</t>
        </is>
      </c>
      <c r="L44" t="n">
        <v>11.295997</v>
      </c>
    </row>
    <row r="45">
      <c r="A45" t="inlineStr">
        <is>
          <t>202512</t>
        </is>
      </c>
      <c r="B45" t="inlineStr">
        <is>
          <t>Comparación</t>
        </is>
      </c>
      <c r="C45" t="inlineStr">
        <is>
          <t>Integra</t>
        </is>
      </c>
      <c r="D45" t="inlineStr">
        <is>
          <t>Benchmark</t>
        </is>
      </c>
      <c r="E45" t="inlineStr">
        <is>
          <t>Equities</t>
        </is>
      </c>
      <c r="F45" t="inlineStr"/>
      <c r="G45" t="inlineStr"/>
      <c r="H45" t="inlineStr">
        <is>
          <t>Peru</t>
        </is>
      </c>
      <c r="I45" t="inlineStr">
        <is>
          <t>Comparables_Subcat_SinAjustar</t>
        </is>
      </c>
      <c r="J45" t="inlineStr"/>
      <c r="K45" t="inlineStr">
        <is>
          <t>Intensidad</t>
        </is>
      </c>
      <c r="L45" t="n">
        <v>1.337515</v>
      </c>
    </row>
    <row r="46">
      <c r="A46" t="inlineStr">
        <is>
          <t>202512</t>
        </is>
      </c>
      <c r="B46" t="inlineStr">
        <is>
          <t>Comparación</t>
        </is>
      </c>
      <c r="C46" t="inlineStr">
        <is>
          <t>Prima</t>
        </is>
      </c>
      <c r="D46" t="inlineStr">
        <is>
          <t>Benchmark</t>
        </is>
      </c>
      <c r="E46" t="inlineStr">
        <is>
          <t>Equities</t>
        </is>
      </c>
      <c r="F46" t="inlineStr"/>
      <c r="G46" t="inlineStr"/>
      <c r="H46" t="inlineStr">
        <is>
          <t>DM</t>
        </is>
      </c>
      <c r="I46" t="inlineStr">
        <is>
          <t>Comparables_Subcat_Ajustado (x Weight del instrumento)</t>
        </is>
      </c>
      <c r="J46" t="inlineStr"/>
      <c r="K46" t="inlineStr">
        <is>
          <t>Intensidad</t>
        </is>
      </c>
      <c r="L46" t="n">
        <v>63.45775</v>
      </c>
    </row>
    <row r="47">
      <c r="A47" t="inlineStr">
        <is>
          <t>202512</t>
        </is>
      </c>
      <c r="B47" t="inlineStr">
        <is>
          <t>Comparación</t>
        </is>
      </c>
      <c r="C47" t="inlineStr">
        <is>
          <t>Prima</t>
        </is>
      </c>
      <c r="D47" t="inlineStr">
        <is>
          <t>Benchmark</t>
        </is>
      </c>
      <c r="E47" t="inlineStr">
        <is>
          <t>Equities</t>
        </is>
      </c>
      <c r="F47" t="inlineStr"/>
      <c r="G47" t="inlineStr"/>
      <c r="H47" t="inlineStr">
        <is>
          <t>EM</t>
        </is>
      </c>
      <c r="I47" t="inlineStr">
        <is>
          <t>Comparables_Subcat_Ajustado (x Weight del instrumento)</t>
        </is>
      </c>
      <c r="J47" t="inlineStr"/>
      <c r="K47" t="inlineStr">
        <is>
          <t>Intensidad</t>
        </is>
      </c>
      <c r="L47" t="n">
        <v>71.066596</v>
      </c>
    </row>
    <row r="48">
      <c r="A48" t="inlineStr">
        <is>
          <t>202512</t>
        </is>
      </c>
      <c r="B48" t="inlineStr">
        <is>
          <t>Comparación</t>
        </is>
      </c>
      <c r="C48" t="inlineStr">
        <is>
          <t>Prima</t>
        </is>
      </c>
      <c r="D48" t="inlineStr">
        <is>
          <t>Benchmark</t>
        </is>
      </c>
      <c r="E48" t="inlineStr">
        <is>
          <t>Equities</t>
        </is>
      </c>
      <c r="F48" t="inlineStr"/>
      <c r="G48" t="inlineStr"/>
      <c r="H48" t="inlineStr">
        <is>
          <t>Metales Preciosos</t>
        </is>
      </c>
      <c r="I48" t="inlineStr">
        <is>
          <t>Comparables_Subcat_Ajustado (x Weight del instrumento)</t>
        </is>
      </c>
      <c r="J48" t="inlineStr"/>
      <c r="K48" t="inlineStr">
        <is>
          <t>Intensidad</t>
        </is>
      </c>
      <c r="L48" t="n">
        <v>78.727754</v>
      </c>
    </row>
    <row r="49">
      <c r="A49" t="inlineStr">
        <is>
          <t>202512</t>
        </is>
      </c>
      <c r="B49" t="inlineStr">
        <is>
          <t>Comparación</t>
        </is>
      </c>
      <c r="C49" t="inlineStr">
        <is>
          <t>Prima</t>
        </is>
      </c>
      <c r="D49" t="inlineStr">
        <is>
          <t>Benchmark</t>
        </is>
      </c>
      <c r="E49" t="inlineStr">
        <is>
          <t>Equities</t>
        </is>
      </c>
      <c r="F49" t="inlineStr"/>
      <c r="G49" t="inlineStr"/>
      <c r="H49" t="inlineStr">
        <is>
          <t>Peru</t>
        </is>
      </c>
      <c r="I49" t="inlineStr">
        <is>
          <t>Comparables_Subcat_Ajustado (x Weight del instrumento)</t>
        </is>
      </c>
      <c r="J49" t="inlineStr"/>
      <c r="K49" t="inlineStr">
        <is>
          <t>Intensidad</t>
        </is>
      </c>
      <c r="L49" t="n">
        <v>31.332475</v>
      </c>
    </row>
    <row r="50">
      <c r="A50" t="inlineStr">
        <is>
          <t>202512</t>
        </is>
      </c>
      <c r="B50" t="inlineStr">
        <is>
          <t>Comparación</t>
        </is>
      </c>
      <c r="C50" t="inlineStr">
        <is>
          <t>Prima</t>
        </is>
      </c>
      <c r="D50" t="inlineStr">
        <is>
          <t>Benchmark</t>
        </is>
      </c>
      <c r="E50" t="inlineStr">
        <is>
          <t>Equities</t>
        </is>
      </c>
      <c r="F50" t="inlineStr"/>
      <c r="G50" t="inlineStr"/>
      <c r="H50" t="inlineStr">
        <is>
          <t>DM</t>
        </is>
      </c>
      <c r="I50" t="inlineStr">
        <is>
          <t>Comparables_Subcat_SinAjustar</t>
        </is>
      </c>
      <c r="J50" t="inlineStr"/>
      <c r="K50" t="inlineStr">
        <is>
          <t>Intensidad</t>
        </is>
      </c>
      <c r="L50" t="n">
        <v>1.095698</v>
      </c>
    </row>
    <row r="51">
      <c r="A51" t="inlineStr">
        <is>
          <t>202512</t>
        </is>
      </c>
      <c r="B51" t="inlineStr">
        <is>
          <t>Comparación</t>
        </is>
      </c>
      <c r="C51" t="inlineStr">
        <is>
          <t>Prima</t>
        </is>
      </c>
      <c r="D51" t="inlineStr">
        <is>
          <t>Benchmark</t>
        </is>
      </c>
      <c r="E51" t="inlineStr">
        <is>
          <t>Equities</t>
        </is>
      </c>
      <c r="F51" t="inlineStr"/>
      <c r="G51" t="inlineStr"/>
      <c r="H51" t="inlineStr">
        <is>
          <t>EM</t>
        </is>
      </c>
      <c r="I51" t="inlineStr">
        <is>
          <t>Comparables_Subcat_SinAjustar</t>
        </is>
      </c>
      <c r="J51" t="inlineStr"/>
      <c r="K51" t="inlineStr">
        <is>
          <t>Intensidad</t>
        </is>
      </c>
      <c r="L51" t="n">
        <v>0.861977</v>
      </c>
    </row>
    <row r="52">
      <c r="A52" t="inlineStr">
        <is>
          <t>202512</t>
        </is>
      </c>
      <c r="B52" t="inlineStr">
        <is>
          <t>Comparación</t>
        </is>
      </c>
      <c r="C52" t="inlineStr">
        <is>
          <t>Prima</t>
        </is>
      </c>
      <c r="D52" t="inlineStr">
        <is>
          <t>Benchmark</t>
        </is>
      </c>
      <c r="E52" t="inlineStr">
        <is>
          <t>Equities</t>
        </is>
      </c>
      <c r="F52" t="inlineStr"/>
      <c r="G52" t="inlineStr"/>
      <c r="H52" t="inlineStr">
        <is>
          <t>Metales Preciosos</t>
        </is>
      </c>
      <c r="I52" t="inlineStr">
        <is>
          <t>Comparables_Subcat_SinAjustar</t>
        </is>
      </c>
      <c r="J52" t="inlineStr"/>
      <c r="K52" t="inlineStr">
        <is>
          <t>Intensidad</t>
        </is>
      </c>
      <c r="L52" t="n">
        <v>11.295997</v>
      </c>
    </row>
    <row r="53">
      <c r="A53" t="inlineStr">
        <is>
          <t>202512</t>
        </is>
      </c>
      <c r="B53" t="inlineStr">
        <is>
          <t>Comparación</t>
        </is>
      </c>
      <c r="C53" t="inlineStr">
        <is>
          <t>Prima</t>
        </is>
      </c>
      <c r="D53" t="inlineStr">
        <is>
          <t>Benchmark</t>
        </is>
      </c>
      <c r="E53" t="inlineStr">
        <is>
          <t>Equities</t>
        </is>
      </c>
      <c r="F53" t="inlineStr"/>
      <c r="G53" t="inlineStr"/>
      <c r="H53" t="inlineStr">
        <is>
          <t>Peru</t>
        </is>
      </c>
      <c r="I53" t="inlineStr">
        <is>
          <t>Comparables_Subcat_SinAjustar</t>
        </is>
      </c>
      <c r="J53" t="inlineStr"/>
      <c r="K53" t="inlineStr">
        <is>
          <t>Intensidad</t>
        </is>
      </c>
      <c r="L53" t="n">
        <v>1.337515</v>
      </c>
    </row>
    <row r="54">
      <c r="A54" t="inlineStr">
        <is>
          <t>202512</t>
        </is>
      </c>
      <c r="B54" t="inlineStr">
        <is>
          <t>Comparación</t>
        </is>
      </c>
      <c r="C54" t="inlineStr">
        <is>
          <t>Profuturo</t>
        </is>
      </c>
      <c r="D54" t="inlineStr">
        <is>
          <t>Benchmark</t>
        </is>
      </c>
      <c r="E54" t="inlineStr">
        <is>
          <t>Equities</t>
        </is>
      </c>
      <c r="F54" t="inlineStr"/>
      <c r="G54" t="inlineStr"/>
      <c r="H54" t="inlineStr">
        <is>
          <t>DM</t>
        </is>
      </c>
      <c r="I54" t="inlineStr">
        <is>
          <t>Comparables_Subcat_Ajustado (x Weight del instrumento)</t>
        </is>
      </c>
      <c r="J54" t="inlineStr"/>
      <c r="K54" t="inlineStr">
        <is>
          <t>Intensidad</t>
        </is>
      </c>
      <c r="L54" t="n">
        <v>63.45775</v>
      </c>
    </row>
    <row r="55">
      <c r="A55" t="inlineStr">
        <is>
          <t>202512</t>
        </is>
      </c>
      <c r="B55" t="inlineStr">
        <is>
          <t>Comparación</t>
        </is>
      </c>
      <c r="C55" t="inlineStr">
        <is>
          <t>Profuturo</t>
        </is>
      </c>
      <c r="D55" t="inlineStr">
        <is>
          <t>Benchmark</t>
        </is>
      </c>
      <c r="E55" t="inlineStr">
        <is>
          <t>Equities</t>
        </is>
      </c>
      <c r="F55" t="inlineStr"/>
      <c r="G55" t="inlineStr"/>
      <c r="H55" t="inlineStr">
        <is>
          <t>EM</t>
        </is>
      </c>
      <c r="I55" t="inlineStr">
        <is>
          <t>Comparables_Subcat_Ajustado (x Weight del instrumento)</t>
        </is>
      </c>
      <c r="J55" t="inlineStr"/>
      <c r="K55" t="inlineStr">
        <is>
          <t>Intensidad</t>
        </is>
      </c>
      <c r="L55" t="n">
        <v>71.066596</v>
      </c>
    </row>
    <row r="56">
      <c r="A56" t="inlineStr">
        <is>
          <t>202512</t>
        </is>
      </c>
      <c r="B56" t="inlineStr">
        <is>
          <t>Comparación</t>
        </is>
      </c>
      <c r="C56" t="inlineStr">
        <is>
          <t>Profuturo</t>
        </is>
      </c>
      <c r="D56" t="inlineStr">
        <is>
          <t>Benchmark</t>
        </is>
      </c>
      <c r="E56" t="inlineStr">
        <is>
          <t>Equities</t>
        </is>
      </c>
      <c r="F56" t="inlineStr"/>
      <c r="G56" t="inlineStr"/>
      <c r="H56" t="inlineStr">
        <is>
          <t>Metales Preciosos</t>
        </is>
      </c>
      <c r="I56" t="inlineStr">
        <is>
          <t>Comparables_Subcat_Ajustado (x Weight del instrumento)</t>
        </is>
      </c>
      <c r="J56" t="inlineStr"/>
      <c r="K56" t="inlineStr">
        <is>
          <t>Intensidad</t>
        </is>
      </c>
      <c r="L56" t="n">
        <v>78.727754</v>
      </c>
    </row>
    <row r="57">
      <c r="A57" t="inlineStr">
        <is>
          <t>202512</t>
        </is>
      </c>
      <c r="B57" t="inlineStr">
        <is>
          <t>Comparación</t>
        </is>
      </c>
      <c r="C57" t="inlineStr">
        <is>
          <t>Profuturo</t>
        </is>
      </c>
      <c r="D57" t="inlineStr">
        <is>
          <t>Benchmark</t>
        </is>
      </c>
      <c r="E57" t="inlineStr">
        <is>
          <t>Equities</t>
        </is>
      </c>
      <c r="F57" t="inlineStr"/>
      <c r="G57" t="inlineStr"/>
      <c r="H57" t="inlineStr">
        <is>
          <t>Peru</t>
        </is>
      </c>
      <c r="I57" t="inlineStr">
        <is>
          <t>Comparables_Subcat_Ajustado (x Weight del instrumento)</t>
        </is>
      </c>
      <c r="J57" t="inlineStr"/>
      <c r="K57" t="inlineStr">
        <is>
          <t>Intensidad</t>
        </is>
      </c>
      <c r="L57" t="n">
        <v>31.332475</v>
      </c>
    </row>
    <row r="58">
      <c r="A58" t="inlineStr">
        <is>
          <t>202512</t>
        </is>
      </c>
      <c r="B58" t="inlineStr">
        <is>
          <t>Comparación</t>
        </is>
      </c>
      <c r="C58" t="inlineStr">
        <is>
          <t>Profuturo</t>
        </is>
      </c>
      <c r="D58" t="inlineStr">
        <is>
          <t>Benchmark</t>
        </is>
      </c>
      <c r="E58" t="inlineStr">
        <is>
          <t>Equities</t>
        </is>
      </c>
      <c r="F58" t="inlineStr"/>
      <c r="G58" t="inlineStr"/>
      <c r="H58" t="inlineStr">
        <is>
          <t>DM</t>
        </is>
      </c>
      <c r="I58" t="inlineStr">
        <is>
          <t>Comparables_Subcat_SinAjustar</t>
        </is>
      </c>
      <c r="J58" t="inlineStr"/>
      <c r="K58" t="inlineStr">
        <is>
          <t>Intensidad</t>
        </is>
      </c>
      <c r="L58" t="n">
        <v>1.095698</v>
      </c>
    </row>
    <row r="59">
      <c r="A59" t="inlineStr">
        <is>
          <t>202512</t>
        </is>
      </c>
      <c r="B59" t="inlineStr">
        <is>
          <t>Comparación</t>
        </is>
      </c>
      <c r="C59" t="inlineStr">
        <is>
          <t>Profuturo</t>
        </is>
      </c>
      <c r="D59" t="inlineStr">
        <is>
          <t>Benchmark</t>
        </is>
      </c>
      <c r="E59" t="inlineStr">
        <is>
          <t>Equities</t>
        </is>
      </c>
      <c r="F59" t="inlineStr"/>
      <c r="G59" t="inlineStr"/>
      <c r="H59" t="inlineStr">
        <is>
          <t>EM</t>
        </is>
      </c>
      <c r="I59" t="inlineStr">
        <is>
          <t>Comparables_Subcat_SinAjustar</t>
        </is>
      </c>
      <c r="J59" t="inlineStr"/>
      <c r="K59" t="inlineStr">
        <is>
          <t>Intensidad</t>
        </is>
      </c>
      <c r="L59" t="n">
        <v>0.861977</v>
      </c>
    </row>
    <row r="60">
      <c r="A60" t="inlineStr">
        <is>
          <t>202512</t>
        </is>
      </c>
      <c r="B60" t="inlineStr">
        <is>
          <t>Comparación</t>
        </is>
      </c>
      <c r="C60" t="inlineStr">
        <is>
          <t>Profuturo</t>
        </is>
      </c>
      <c r="D60" t="inlineStr">
        <is>
          <t>Benchmark</t>
        </is>
      </c>
      <c r="E60" t="inlineStr">
        <is>
          <t>Equities</t>
        </is>
      </c>
      <c r="F60" t="inlineStr"/>
      <c r="G60" t="inlineStr"/>
      <c r="H60" t="inlineStr">
        <is>
          <t>Metales Preciosos</t>
        </is>
      </c>
      <c r="I60" t="inlineStr">
        <is>
          <t>Comparables_Subcat_SinAjustar</t>
        </is>
      </c>
      <c r="J60" t="inlineStr"/>
      <c r="K60" t="inlineStr">
        <is>
          <t>Intensidad</t>
        </is>
      </c>
      <c r="L60" t="n">
        <v>11.295997</v>
      </c>
    </row>
    <row r="61">
      <c r="A61" t="inlineStr">
        <is>
          <t>202512</t>
        </is>
      </c>
      <c r="B61" t="inlineStr">
        <is>
          <t>Comparación</t>
        </is>
      </c>
      <c r="C61" t="inlineStr">
        <is>
          <t>Profuturo</t>
        </is>
      </c>
      <c r="D61" t="inlineStr">
        <is>
          <t>Benchmark</t>
        </is>
      </c>
      <c r="E61" t="inlineStr">
        <is>
          <t>Equities</t>
        </is>
      </c>
      <c r="F61" t="inlineStr"/>
      <c r="G61" t="inlineStr"/>
      <c r="H61" t="inlineStr">
        <is>
          <t>Peru</t>
        </is>
      </c>
      <c r="I61" t="inlineStr">
        <is>
          <t>Comparables_Subcat_SinAjustar</t>
        </is>
      </c>
      <c r="J61" t="inlineStr"/>
      <c r="K61" t="inlineStr">
        <is>
          <t>Intensidad</t>
        </is>
      </c>
      <c r="L61" t="n">
        <v>1.337515</v>
      </c>
    </row>
    <row r="62">
      <c r="A62" t="inlineStr">
        <is>
          <t>202512</t>
        </is>
      </c>
      <c r="B62" t="inlineStr">
        <is>
          <t>Comparación</t>
        </is>
      </c>
      <c r="C62" t="inlineStr">
        <is>
          <t>Ex_Integra</t>
        </is>
      </c>
      <c r="D62" t="inlineStr">
        <is>
          <t>Benchmark</t>
        </is>
      </c>
      <c r="E62" t="inlineStr">
        <is>
          <t>Fixed Income</t>
        </is>
      </c>
      <c r="F62" t="inlineStr"/>
      <c r="G62" t="inlineStr"/>
      <c r="H62" t="inlineStr">
        <is>
          <t>DM</t>
        </is>
      </c>
      <c r="I62" t="inlineStr">
        <is>
          <t>Comparables_Subcat_Ajustado (x Weight del instrumento)</t>
        </is>
      </c>
      <c r="J62" t="inlineStr"/>
      <c r="K62" t="inlineStr">
        <is>
          <t>Intensidad</t>
        </is>
      </c>
      <c r="L62" t="n">
        <v>78.58724599999999</v>
      </c>
    </row>
    <row r="63">
      <c r="A63" t="inlineStr">
        <is>
          <t>202512</t>
        </is>
      </c>
      <c r="B63" t="inlineStr">
        <is>
          <t>Comparación</t>
        </is>
      </c>
      <c r="C63" t="inlineStr">
        <is>
          <t>Ex_Integra</t>
        </is>
      </c>
      <c r="D63" t="inlineStr">
        <is>
          <t>Benchmark</t>
        </is>
      </c>
      <c r="E63" t="inlineStr">
        <is>
          <t>Fixed Income</t>
        </is>
      </c>
      <c r="F63" t="inlineStr"/>
      <c r="G63" t="inlineStr"/>
      <c r="H63" t="inlineStr">
        <is>
          <t>EM</t>
        </is>
      </c>
      <c r="I63" t="inlineStr">
        <is>
          <t>Comparables_Subcat_Ajustado (x Weight del instrumento)</t>
        </is>
      </c>
      <c r="J63" t="inlineStr"/>
      <c r="K63" t="inlineStr">
        <is>
          <t>Intensidad</t>
        </is>
      </c>
      <c r="L63" t="n">
        <v>246.820867</v>
      </c>
    </row>
    <row r="64">
      <c r="A64" t="inlineStr">
        <is>
          <t>202512</t>
        </is>
      </c>
      <c r="B64" t="inlineStr">
        <is>
          <t>Comparación</t>
        </is>
      </c>
      <c r="C64" t="inlineStr">
        <is>
          <t>Ex_Integra</t>
        </is>
      </c>
      <c r="D64" t="inlineStr">
        <is>
          <t>Benchmark</t>
        </is>
      </c>
      <c r="E64" t="inlineStr">
        <is>
          <t>Fixed Income</t>
        </is>
      </c>
      <c r="F64" t="inlineStr"/>
      <c r="G64" t="inlineStr"/>
      <c r="H64" t="inlineStr">
        <is>
          <t>HY</t>
        </is>
      </c>
      <c r="I64" t="inlineStr">
        <is>
          <t>Comparables_Subcat_Ajustado (x Weight del instrumento)</t>
        </is>
      </c>
      <c r="J64" t="inlineStr"/>
      <c r="K64" t="inlineStr">
        <is>
          <t>Intensidad</t>
        </is>
      </c>
      <c r="L64" t="n">
        <v>87.00475900000001</v>
      </c>
    </row>
    <row r="65">
      <c r="A65" t="inlineStr">
        <is>
          <t>202512</t>
        </is>
      </c>
      <c r="B65" t="inlineStr">
        <is>
          <t>Comparación</t>
        </is>
      </c>
      <c r="C65" t="inlineStr">
        <is>
          <t>Ex_Integra</t>
        </is>
      </c>
      <c r="D65" t="inlineStr">
        <is>
          <t>Benchmark</t>
        </is>
      </c>
      <c r="E65" t="inlineStr">
        <is>
          <t>Fixed Income</t>
        </is>
      </c>
      <c r="F65" t="inlineStr"/>
      <c r="G65" t="inlineStr"/>
      <c r="H65" t="inlineStr">
        <is>
          <t>IG</t>
        </is>
      </c>
      <c r="I65" t="inlineStr">
        <is>
          <t>Comparables_Subcat_Ajustado (x Weight del instrumento)</t>
        </is>
      </c>
      <c r="J65" t="inlineStr"/>
      <c r="K65" t="inlineStr">
        <is>
          <t>Intensidad</t>
        </is>
      </c>
      <c r="L65" t="n">
        <v>27.085036</v>
      </c>
    </row>
    <row r="66">
      <c r="A66" t="inlineStr">
        <is>
          <t>202512</t>
        </is>
      </c>
      <c r="B66" t="inlineStr">
        <is>
          <t>Comparación</t>
        </is>
      </c>
      <c r="C66" t="inlineStr">
        <is>
          <t>Ex_Integra</t>
        </is>
      </c>
      <c r="D66" t="inlineStr">
        <is>
          <t>Benchmark</t>
        </is>
      </c>
      <c r="E66" t="inlineStr">
        <is>
          <t>Fixed Income</t>
        </is>
      </c>
      <c r="F66" t="inlineStr"/>
      <c r="G66" t="inlineStr"/>
      <c r="H66" t="inlineStr">
        <is>
          <t>DM</t>
        </is>
      </c>
      <c r="I66" t="inlineStr">
        <is>
          <t>Comparables_Subcat_SinAjustar</t>
        </is>
      </c>
      <c r="J66" t="inlineStr"/>
      <c r="K66" t="inlineStr">
        <is>
          <t>Intensidad</t>
        </is>
      </c>
      <c r="L66" t="n">
        <v>2.181691</v>
      </c>
    </row>
    <row r="67">
      <c r="A67" t="inlineStr">
        <is>
          <t>202512</t>
        </is>
      </c>
      <c r="B67" t="inlineStr">
        <is>
          <t>Comparación</t>
        </is>
      </c>
      <c r="C67" t="inlineStr">
        <is>
          <t>Ex_Integra</t>
        </is>
      </c>
      <c r="D67" t="inlineStr">
        <is>
          <t>Benchmark</t>
        </is>
      </c>
      <c r="E67" t="inlineStr">
        <is>
          <t>Fixed Income</t>
        </is>
      </c>
      <c r="F67" t="inlineStr"/>
      <c r="G67" t="inlineStr"/>
      <c r="H67" t="inlineStr">
        <is>
          <t>EM</t>
        </is>
      </c>
      <c r="I67" t="inlineStr">
        <is>
          <t>Comparables_Subcat_SinAjustar</t>
        </is>
      </c>
      <c r="J67" t="inlineStr"/>
      <c r="K67" t="inlineStr">
        <is>
          <t>Intensidad</t>
        </is>
      </c>
      <c r="L67" t="n">
        <v>2.888235</v>
      </c>
    </row>
    <row r="68">
      <c r="A68" t="inlineStr">
        <is>
          <t>202512</t>
        </is>
      </c>
      <c r="B68" t="inlineStr">
        <is>
          <t>Comparación</t>
        </is>
      </c>
      <c r="C68" t="inlineStr">
        <is>
          <t>Ex_Integra</t>
        </is>
      </c>
      <c r="D68" t="inlineStr">
        <is>
          <t>Benchmark</t>
        </is>
      </c>
      <c r="E68" t="inlineStr">
        <is>
          <t>Fixed Income</t>
        </is>
      </c>
      <c r="F68" t="inlineStr"/>
      <c r="G68" t="inlineStr"/>
      <c r="H68" t="inlineStr">
        <is>
          <t>HY</t>
        </is>
      </c>
      <c r="I68" t="inlineStr">
        <is>
          <t>Comparables_Subcat_SinAjustar</t>
        </is>
      </c>
      <c r="J68" t="inlineStr"/>
      <c r="K68" t="inlineStr">
        <is>
          <t>Intensidad</t>
        </is>
      </c>
      <c r="L68" t="n">
        <v>0.606151</v>
      </c>
    </row>
    <row r="69">
      <c r="A69" t="inlineStr">
        <is>
          <t>202512</t>
        </is>
      </c>
      <c r="B69" t="inlineStr">
        <is>
          <t>Comparación</t>
        </is>
      </c>
      <c r="C69" t="inlineStr">
        <is>
          <t>Ex_Integra</t>
        </is>
      </c>
      <c r="D69" t="inlineStr">
        <is>
          <t>Benchmark</t>
        </is>
      </c>
      <c r="E69" t="inlineStr">
        <is>
          <t>Fixed Income</t>
        </is>
      </c>
      <c r="F69" t="inlineStr"/>
      <c r="G69" t="inlineStr"/>
      <c r="H69" t="inlineStr">
        <is>
          <t>IG</t>
        </is>
      </c>
      <c r="I69" t="inlineStr">
        <is>
          <t>Comparables_Subcat_SinAjustar</t>
        </is>
      </c>
      <c r="J69" t="inlineStr"/>
      <c r="K69" t="inlineStr">
        <is>
          <t>Intensidad</t>
        </is>
      </c>
      <c r="L69" t="n">
        <v>0.187061</v>
      </c>
    </row>
    <row r="70">
      <c r="A70" t="inlineStr">
        <is>
          <t>202512</t>
        </is>
      </c>
      <c r="B70" t="inlineStr">
        <is>
          <t>Comparación</t>
        </is>
      </c>
      <c r="C70" t="inlineStr">
        <is>
          <t>Habitat</t>
        </is>
      </c>
      <c r="D70" t="inlineStr">
        <is>
          <t>Benchmark</t>
        </is>
      </c>
      <c r="E70" t="inlineStr">
        <is>
          <t>Fixed Income</t>
        </is>
      </c>
      <c r="F70" t="inlineStr"/>
      <c r="G70" t="inlineStr"/>
      <c r="H70" t="inlineStr">
        <is>
          <t>DM</t>
        </is>
      </c>
      <c r="I70" t="inlineStr">
        <is>
          <t>Comparables_Subcat_Ajustado (x Weight del instrumento)</t>
        </is>
      </c>
      <c r="J70" t="inlineStr"/>
      <c r="K70" t="inlineStr">
        <is>
          <t>Intensidad</t>
        </is>
      </c>
      <c r="L70" t="n">
        <v>78.58724599999999</v>
      </c>
    </row>
    <row r="71">
      <c r="A71" t="inlineStr">
        <is>
          <t>202512</t>
        </is>
      </c>
      <c r="B71" t="inlineStr">
        <is>
          <t>Comparación</t>
        </is>
      </c>
      <c r="C71" t="inlineStr">
        <is>
          <t>Habitat</t>
        </is>
      </c>
      <c r="D71" t="inlineStr">
        <is>
          <t>Benchmark</t>
        </is>
      </c>
      <c r="E71" t="inlineStr">
        <is>
          <t>Fixed Income</t>
        </is>
      </c>
      <c r="F71" t="inlineStr"/>
      <c r="G71" t="inlineStr"/>
      <c r="H71" t="inlineStr">
        <is>
          <t>EM</t>
        </is>
      </c>
      <c r="I71" t="inlineStr">
        <is>
          <t>Comparables_Subcat_Ajustado (x Weight del instrumento)</t>
        </is>
      </c>
      <c r="J71" t="inlineStr"/>
      <c r="K71" t="inlineStr">
        <is>
          <t>Intensidad</t>
        </is>
      </c>
      <c r="L71" t="n">
        <v>246.820867</v>
      </c>
    </row>
    <row r="72">
      <c r="A72" t="inlineStr">
        <is>
          <t>202512</t>
        </is>
      </c>
      <c r="B72" t="inlineStr">
        <is>
          <t>Comparación</t>
        </is>
      </c>
      <c r="C72" t="inlineStr">
        <is>
          <t>Habitat</t>
        </is>
      </c>
      <c r="D72" t="inlineStr">
        <is>
          <t>Benchmark</t>
        </is>
      </c>
      <c r="E72" t="inlineStr">
        <is>
          <t>Fixed Income</t>
        </is>
      </c>
      <c r="F72" t="inlineStr"/>
      <c r="G72" t="inlineStr"/>
      <c r="H72" t="inlineStr">
        <is>
          <t>HY</t>
        </is>
      </c>
      <c r="I72" t="inlineStr">
        <is>
          <t>Comparables_Subcat_Ajustado (x Weight del instrumento)</t>
        </is>
      </c>
      <c r="J72" t="inlineStr"/>
      <c r="K72" t="inlineStr">
        <is>
          <t>Intensidad</t>
        </is>
      </c>
      <c r="L72" t="n">
        <v>87.00475900000001</v>
      </c>
    </row>
    <row r="73">
      <c r="A73" t="inlineStr">
        <is>
          <t>202512</t>
        </is>
      </c>
      <c r="B73" t="inlineStr">
        <is>
          <t>Comparación</t>
        </is>
      </c>
      <c r="C73" t="inlineStr">
        <is>
          <t>Habitat</t>
        </is>
      </c>
      <c r="D73" t="inlineStr">
        <is>
          <t>Benchmark</t>
        </is>
      </c>
      <c r="E73" t="inlineStr">
        <is>
          <t>Fixed Income</t>
        </is>
      </c>
      <c r="F73" t="inlineStr"/>
      <c r="G73" t="inlineStr"/>
      <c r="H73" t="inlineStr">
        <is>
          <t>IG</t>
        </is>
      </c>
      <c r="I73" t="inlineStr">
        <is>
          <t>Comparables_Subcat_Ajustado (x Weight del instrumento)</t>
        </is>
      </c>
      <c r="J73" t="inlineStr"/>
      <c r="K73" t="inlineStr">
        <is>
          <t>Intensidad</t>
        </is>
      </c>
      <c r="L73" t="n">
        <v>27.085036</v>
      </c>
    </row>
    <row r="74">
      <c r="A74" t="inlineStr">
        <is>
          <t>202512</t>
        </is>
      </c>
      <c r="B74" t="inlineStr">
        <is>
          <t>Comparación</t>
        </is>
      </c>
      <c r="C74" t="inlineStr">
        <is>
          <t>Habitat</t>
        </is>
      </c>
      <c r="D74" t="inlineStr">
        <is>
          <t>Benchmark</t>
        </is>
      </c>
      <c r="E74" t="inlineStr">
        <is>
          <t>Fixed Income</t>
        </is>
      </c>
      <c r="F74" t="inlineStr"/>
      <c r="G74" t="inlineStr"/>
      <c r="H74" t="inlineStr">
        <is>
          <t>DM</t>
        </is>
      </c>
      <c r="I74" t="inlineStr">
        <is>
          <t>Comparables_Subcat_SinAjustar</t>
        </is>
      </c>
      <c r="J74" t="inlineStr"/>
      <c r="K74" t="inlineStr">
        <is>
          <t>Intensidad</t>
        </is>
      </c>
      <c r="L74" t="n">
        <v>2.181691</v>
      </c>
    </row>
    <row r="75">
      <c r="A75" t="inlineStr">
        <is>
          <t>202512</t>
        </is>
      </c>
      <c r="B75" t="inlineStr">
        <is>
          <t>Comparación</t>
        </is>
      </c>
      <c r="C75" t="inlineStr">
        <is>
          <t>Habitat</t>
        </is>
      </c>
      <c r="D75" t="inlineStr">
        <is>
          <t>Benchmark</t>
        </is>
      </c>
      <c r="E75" t="inlineStr">
        <is>
          <t>Fixed Income</t>
        </is>
      </c>
      <c r="F75" t="inlineStr"/>
      <c r="G75" t="inlineStr"/>
      <c r="H75" t="inlineStr">
        <is>
          <t>EM</t>
        </is>
      </c>
      <c r="I75" t="inlineStr">
        <is>
          <t>Comparables_Subcat_SinAjustar</t>
        </is>
      </c>
      <c r="J75" t="inlineStr"/>
      <c r="K75" t="inlineStr">
        <is>
          <t>Intensidad</t>
        </is>
      </c>
      <c r="L75" t="n">
        <v>2.888235</v>
      </c>
    </row>
    <row r="76">
      <c r="A76" t="inlineStr">
        <is>
          <t>202512</t>
        </is>
      </c>
      <c r="B76" t="inlineStr">
        <is>
          <t>Comparación</t>
        </is>
      </c>
      <c r="C76" t="inlineStr">
        <is>
          <t>Habitat</t>
        </is>
      </c>
      <c r="D76" t="inlineStr">
        <is>
          <t>Benchmark</t>
        </is>
      </c>
      <c r="E76" t="inlineStr">
        <is>
          <t>Fixed Income</t>
        </is>
      </c>
      <c r="F76" t="inlineStr"/>
      <c r="G76" t="inlineStr"/>
      <c r="H76" t="inlineStr">
        <is>
          <t>HY</t>
        </is>
      </c>
      <c r="I76" t="inlineStr">
        <is>
          <t>Comparables_Subcat_SinAjustar</t>
        </is>
      </c>
      <c r="J76" t="inlineStr"/>
      <c r="K76" t="inlineStr">
        <is>
          <t>Intensidad</t>
        </is>
      </c>
      <c r="L76" t="n">
        <v>0.606151</v>
      </c>
    </row>
    <row r="77">
      <c r="A77" t="inlineStr">
        <is>
          <t>202512</t>
        </is>
      </c>
      <c r="B77" t="inlineStr">
        <is>
          <t>Comparación</t>
        </is>
      </c>
      <c r="C77" t="inlineStr">
        <is>
          <t>Habitat</t>
        </is>
      </c>
      <c r="D77" t="inlineStr">
        <is>
          <t>Benchmark</t>
        </is>
      </c>
      <c r="E77" t="inlineStr">
        <is>
          <t>Fixed Income</t>
        </is>
      </c>
      <c r="F77" t="inlineStr"/>
      <c r="G77" t="inlineStr"/>
      <c r="H77" t="inlineStr">
        <is>
          <t>IG</t>
        </is>
      </c>
      <c r="I77" t="inlineStr">
        <is>
          <t>Comparables_Subcat_SinAjustar</t>
        </is>
      </c>
      <c r="J77" t="inlineStr"/>
      <c r="K77" t="inlineStr">
        <is>
          <t>Intensidad</t>
        </is>
      </c>
      <c r="L77" t="n">
        <v>0.187061</v>
      </c>
    </row>
    <row r="78">
      <c r="A78" t="inlineStr">
        <is>
          <t>202512</t>
        </is>
      </c>
      <c r="B78" t="inlineStr">
        <is>
          <t>Comparación</t>
        </is>
      </c>
      <c r="C78" t="inlineStr">
        <is>
          <t>Integra</t>
        </is>
      </c>
      <c r="D78" t="inlineStr">
        <is>
          <t>Benchmark</t>
        </is>
      </c>
      <c r="E78" t="inlineStr">
        <is>
          <t>Fixed Income</t>
        </is>
      </c>
      <c r="F78" t="inlineStr"/>
      <c r="G78" t="inlineStr"/>
      <c r="H78" t="inlineStr">
        <is>
          <t>DM</t>
        </is>
      </c>
      <c r="I78" t="inlineStr">
        <is>
          <t>Comparables_Subcat_Ajustado (x Weight del instrumento)</t>
        </is>
      </c>
      <c r="J78" t="inlineStr"/>
      <c r="K78" t="inlineStr">
        <is>
          <t>Intensidad</t>
        </is>
      </c>
      <c r="L78" t="n">
        <v>78.58724599999999</v>
      </c>
    </row>
    <row r="79">
      <c r="A79" t="inlineStr">
        <is>
          <t>202512</t>
        </is>
      </c>
      <c r="B79" t="inlineStr">
        <is>
          <t>Comparación</t>
        </is>
      </c>
      <c r="C79" t="inlineStr">
        <is>
          <t>Integra</t>
        </is>
      </c>
      <c r="D79" t="inlineStr">
        <is>
          <t>Benchmark</t>
        </is>
      </c>
      <c r="E79" t="inlineStr">
        <is>
          <t>Fixed Income</t>
        </is>
      </c>
      <c r="F79" t="inlineStr"/>
      <c r="G79" t="inlineStr"/>
      <c r="H79" t="inlineStr">
        <is>
          <t>EM</t>
        </is>
      </c>
      <c r="I79" t="inlineStr">
        <is>
          <t>Comparables_Subcat_Ajustado (x Weight del instrumento)</t>
        </is>
      </c>
      <c r="J79" t="inlineStr"/>
      <c r="K79" t="inlineStr">
        <is>
          <t>Intensidad</t>
        </is>
      </c>
      <c r="L79" t="n">
        <v>246.820867</v>
      </c>
    </row>
    <row r="80">
      <c r="A80" t="inlineStr">
        <is>
          <t>202512</t>
        </is>
      </c>
      <c r="B80" t="inlineStr">
        <is>
          <t>Comparación</t>
        </is>
      </c>
      <c r="C80" t="inlineStr">
        <is>
          <t>Integra</t>
        </is>
      </c>
      <c r="D80" t="inlineStr">
        <is>
          <t>Benchmark</t>
        </is>
      </c>
      <c r="E80" t="inlineStr">
        <is>
          <t>Fixed Income</t>
        </is>
      </c>
      <c r="F80" t="inlineStr"/>
      <c r="G80" t="inlineStr"/>
      <c r="H80" t="inlineStr">
        <is>
          <t>HY</t>
        </is>
      </c>
      <c r="I80" t="inlineStr">
        <is>
          <t>Comparables_Subcat_Ajustado (x Weight del instrumento)</t>
        </is>
      </c>
      <c r="J80" t="inlineStr"/>
      <c r="K80" t="inlineStr">
        <is>
          <t>Intensidad</t>
        </is>
      </c>
      <c r="L80" t="n">
        <v>87.00475900000001</v>
      </c>
    </row>
    <row r="81">
      <c r="A81" t="inlineStr">
        <is>
          <t>202512</t>
        </is>
      </c>
      <c r="B81" t="inlineStr">
        <is>
          <t>Comparación</t>
        </is>
      </c>
      <c r="C81" t="inlineStr">
        <is>
          <t>Integra</t>
        </is>
      </c>
      <c r="D81" t="inlineStr">
        <is>
          <t>Benchmark</t>
        </is>
      </c>
      <c r="E81" t="inlineStr">
        <is>
          <t>Fixed Income</t>
        </is>
      </c>
      <c r="F81" t="inlineStr"/>
      <c r="G81" t="inlineStr"/>
      <c r="H81" t="inlineStr">
        <is>
          <t>IG</t>
        </is>
      </c>
      <c r="I81" t="inlineStr">
        <is>
          <t>Comparables_Subcat_Ajustado (x Weight del instrumento)</t>
        </is>
      </c>
      <c r="J81" t="inlineStr"/>
      <c r="K81" t="inlineStr">
        <is>
          <t>Intensidad</t>
        </is>
      </c>
      <c r="L81" t="n">
        <v>27.085036</v>
      </c>
    </row>
    <row r="82">
      <c r="A82" t="inlineStr">
        <is>
          <t>202512</t>
        </is>
      </c>
      <c r="B82" t="inlineStr">
        <is>
          <t>Comparación</t>
        </is>
      </c>
      <c r="C82" t="inlineStr">
        <is>
          <t>Integra</t>
        </is>
      </c>
      <c r="D82" t="inlineStr">
        <is>
          <t>Benchmark</t>
        </is>
      </c>
      <c r="E82" t="inlineStr">
        <is>
          <t>Fixed Income</t>
        </is>
      </c>
      <c r="F82" t="inlineStr"/>
      <c r="G82" t="inlineStr"/>
      <c r="H82" t="inlineStr">
        <is>
          <t>DM</t>
        </is>
      </c>
      <c r="I82" t="inlineStr">
        <is>
          <t>Comparables_Subcat_SinAjustar</t>
        </is>
      </c>
      <c r="J82" t="inlineStr"/>
      <c r="K82" t="inlineStr">
        <is>
          <t>Intensidad</t>
        </is>
      </c>
      <c r="L82" t="n">
        <v>2.181691</v>
      </c>
    </row>
    <row r="83">
      <c r="A83" t="inlineStr">
        <is>
          <t>202512</t>
        </is>
      </c>
      <c r="B83" t="inlineStr">
        <is>
          <t>Comparación</t>
        </is>
      </c>
      <c r="C83" t="inlineStr">
        <is>
          <t>Integra</t>
        </is>
      </c>
      <c r="D83" t="inlineStr">
        <is>
          <t>Benchmark</t>
        </is>
      </c>
      <c r="E83" t="inlineStr">
        <is>
          <t>Fixed Income</t>
        </is>
      </c>
      <c r="F83" t="inlineStr"/>
      <c r="G83" t="inlineStr"/>
      <c r="H83" t="inlineStr">
        <is>
          <t>EM</t>
        </is>
      </c>
      <c r="I83" t="inlineStr">
        <is>
          <t>Comparables_Subcat_SinAjustar</t>
        </is>
      </c>
      <c r="J83" t="inlineStr"/>
      <c r="K83" t="inlineStr">
        <is>
          <t>Intensidad</t>
        </is>
      </c>
      <c r="L83" t="n">
        <v>2.888235</v>
      </c>
    </row>
    <row r="84">
      <c r="A84" t="inlineStr">
        <is>
          <t>202512</t>
        </is>
      </c>
      <c r="B84" t="inlineStr">
        <is>
          <t>Comparación</t>
        </is>
      </c>
      <c r="C84" t="inlineStr">
        <is>
          <t>Integra</t>
        </is>
      </c>
      <c r="D84" t="inlineStr">
        <is>
          <t>Benchmark</t>
        </is>
      </c>
      <c r="E84" t="inlineStr">
        <is>
          <t>Fixed Income</t>
        </is>
      </c>
      <c r="F84" t="inlineStr"/>
      <c r="G84" t="inlineStr"/>
      <c r="H84" t="inlineStr">
        <is>
          <t>HY</t>
        </is>
      </c>
      <c r="I84" t="inlineStr">
        <is>
          <t>Comparables_Subcat_SinAjustar</t>
        </is>
      </c>
      <c r="J84" t="inlineStr"/>
      <c r="K84" t="inlineStr">
        <is>
          <t>Intensidad</t>
        </is>
      </c>
      <c r="L84" t="n">
        <v>0.606151</v>
      </c>
    </row>
    <row r="85">
      <c r="A85" t="inlineStr">
        <is>
          <t>202512</t>
        </is>
      </c>
      <c r="B85" t="inlineStr">
        <is>
          <t>Comparación</t>
        </is>
      </c>
      <c r="C85" t="inlineStr">
        <is>
          <t>Integra</t>
        </is>
      </c>
      <c r="D85" t="inlineStr">
        <is>
          <t>Benchmark</t>
        </is>
      </c>
      <c r="E85" t="inlineStr">
        <is>
          <t>Fixed Income</t>
        </is>
      </c>
      <c r="F85" t="inlineStr"/>
      <c r="G85" t="inlineStr"/>
      <c r="H85" t="inlineStr">
        <is>
          <t>IG</t>
        </is>
      </c>
      <c r="I85" t="inlineStr">
        <is>
          <t>Comparables_Subcat_SinAjustar</t>
        </is>
      </c>
      <c r="J85" t="inlineStr"/>
      <c r="K85" t="inlineStr">
        <is>
          <t>Intensidad</t>
        </is>
      </c>
      <c r="L85" t="n">
        <v>0.187061</v>
      </c>
    </row>
    <row r="86">
      <c r="A86" t="inlineStr">
        <is>
          <t>202512</t>
        </is>
      </c>
      <c r="B86" t="inlineStr">
        <is>
          <t>Comparación</t>
        </is>
      </c>
      <c r="C86" t="inlineStr">
        <is>
          <t>Prima</t>
        </is>
      </c>
      <c r="D86" t="inlineStr">
        <is>
          <t>Benchmark</t>
        </is>
      </c>
      <c r="E86" t="inlineStr">
        <is>
          <t>Fixed Income</t>
        </is>
      </c>
      <c r="F86" t="inlineStr"/>
      <c r="G86" t="inlineStr"/>
      <c r="H86" t="inlineStr">
        <is>
          <t>DM</t>
        </is>
      </c>
      <c r="I86" t="inlineStr">
        <is>
          <t>Comparables_Subcat_Ajustado (x Weight del instrumento)</t>
        </is>
      </c>
      <c r="J86" t="inlineStr"/>
      <c r="K86" t="inlineStr">
        <is>
          <t>Intensidad</t>
        </is>
      </c>
      <c r="L86" t="n">
        <v>78.58724599999999</v>
      </c>
    </row>
    <row r="87">
      <c r="A87" t="inlineStr">
        <is>
          <t>202512</t>
        </is>
      </c>
      <c r="B87" t="inlineStr">
        <is>
          <t>Comparación</t>
        </is>
      </c>
      <c r="C87" t="inlineStr">
        <is>
          <t>Prima</t>
        </is>
      </c>
      <c r="D87" t="inlineStr">
        <is>
          <t>Benchmark</t>
        </is>
      </c>
      <c r="E87" t="inlineStr">
        <is>
          <t>Fixed Income</t>
        </is>
      </c>
      <c r="F87" t="inlineStr"/>
      <c r="G87" t="inlineStr"/>
      <c r="H87" t="inlineStr">
        <is>
          <t>EM</t>
        </is>
      </c>
      <c r="I87" t="inlineStr">
        <is>
          <t>Comparables_Subcat_Ajustado (x Weight del instrumento)</t>
        </is>
      </c>
      <c r="J87" t="inlineStr"/>
      <c r="K87" t="inlineStr">
        <is>
          <t>Intensidad</t>
        </is>
      </c>
      <c r="L87" t="n">
        <v>246.820867</v>
      </c>
    </row>
    <row r="88">
      <c r="A88" t="inlineStr">
        <is>
          <t>202512</t>
        </is>
      </c>
      <c r="B88" t="inlineStr">
        <is>
          <t>Comparación</t>
        </is>
      </c>
      <c r="C88" t="inlineStr">
        <is>
          <t>Prima</t>
        </is>
      </c>
      <c r="D88" t="inlineStr">
        <is>
          <t>Benchmark</t>
        </is>
      </c>
      <c r="E88" t="inlineStr">
        <is>
          <t>Fixed Income</t>
        </is>
      </c>
      <c r="F88" t="inlineStr"/>
      <c r="G88" t="inlineStr"/>
      <c r="H88" t="inlineStr">
        <is>
          <t>HY</t>
        </is>
      </c>
      <c r="I88" t="inlineStr">
        <is>
          <t>Comparables_Subcat_Ajustado (x Weight del instrumento)</t>
        </is>
      </c>
      <c r="J88" t="inlineStr"/>
      <c r="K88" t="inlineStr">
        <is>
          <t>Intensidad</t>
        </is>
      </c>
      <c r="L88" t="n">
        <v>87.00475900000001</v>
      </c>
    </row>
    <row r="89">
      <c r="A89" t="inlineStr">
        <is>
          <t>202512</t>
        </is>
      </c>
      <c r="B89" t="inlineStr">
        <is>
          <t>Comparación</t>
        </is>
      </c>
      <c r="C89" t="inlineStr">
        <is>
          <t>Prima</t>
        </is>
      </c>
      <c r="D89" t="inlineStr">
        <is>
          <t>Benchmark</t>
        </is>
      </c>
      <c r="E89" t="inlineStr">
        <is>
          <t>Fixed Income</t>
        </is>
      </c>
      <c r="F89" t="inlineStr"/>
      <c r="G89" t="inlineStr"/>
      <c r="H89" t="inlineStr">
        <is>
          <t>IG</t>
        </is>
      </c>
      <c r="I89" t="inlineStr">
        <is>
          <t>Comparables_Subcat_Ajustado (x Weight del instrumento)</t>
        </is>
      </c>
      <c r="J89" t="inlineStr"/>
      <c r="K89" t="inlineStr">
        <is>
          <t>Intensidad</t>
        </is>
      </c>
      <c r="L89" t="n">
        <v>27.085036</v>
      </c>
    </row>
    <row r="90">
      <c r="A90" t="inlineStr">
        <is>
          <t>202512</t>
        </is>
      </c>
      <c r="B90" t="inlineStr">
        <is>
          <t>Comparación</t>
        </is>
      </c>
      <c r="C90" t="inlineStr">
        <is>
          <t>Prima</t>
        </is>
      </c>
      <c r="D90" t="inlineStr">
        <is>
          <t>Benchmark</t>
        </is>
      </c>
      <c r="E90" t="inlineStr">
        <is>
          <t>Fixed Income</t>
        </is>
      </c>
      <c r="F90" t="inlineStr"/>
      <c r="G90" t="inlineStr"/>
      <c r="H90" t="inlineStr">
        <is>
          <t>DM</t>
        </is>
      </c>
      <c r="I90" t="inlineStr">
        <is>
          <t>Comparables_Subcat_SinAjustar</t>
        </is>
      </c>
      <c r="J90" t="inlineStr"/>
      <c r="K90" t="inlineStr">
        <is>
          <t>Intensidad</t>
        </is>
      </c>
      <c r="L90" t="n">
        <v>2.181691</v>
      </c>
    </row>
    <row r="91">
      <c r="A91" t="inlineStr">
        <is>
          <t>202512</t>
        </is>
      </c>
      <c r="B91" t="inlineStr">
        <is>
          <t>Comparación</t>
        </is>
      </c>
      <c r="C91" t="inlineStr">
        <is>
          <t>Prima</t>
        </is>
      </c>
      <c r="D91" t="inlineStr">
        <is>
          <t>Benchmark</t>
        </is>
      </c>
      <c r="E91" t="inlineStr">
        <is>
          <t>Fixed Income</t>
        </is>
      </c>
      <c r="F91" t="inlineStr"/>
      <c r="G91" t="inlineStr"/>
      <c r="H91" t="inlineStr">
        <is>
          <t>EM</t>
        </is>
      </c>
      <c r="I91" t="inlineStr">
        <is>
          <t>Comparables_Subcat_SinAjustar</t>
        </is>
      </c>
      <c r="J91" t="inlineStr"/>
      <c r="K91" t="inlineStr">
        <is>
          <t>Intensidad</t>
        </is>
      </c>
      <c r="L91" t="n">
        <v>2.888235</v>
      </c>
    </row>
    <row r="92">
      <c r="A92" t="inlineStr">
        <is>
          <t>202512</t>
        </is>
      </c>
      <c r="B92" t="inlineStr">
        <is>
          <t>Comparación</t>
        </is>
      </c>
      <c r="C92" t="inlineStr">
        <is>
          <t>Prima</t>
        </is>
      </c>
      <c r="D92" t="inlineStr">
        <is>
          <t>Benchmark</t>
        </is>
      </c>
      <c r="E92" t="inlineStr">
        <is>
          <t>Fixed Income</t>
        </is>
      </c>
      <c r="F92" t="inlineStr"/>
      <c r="G92" t="inlineStr"/>
      <c r="H92" t="inlineStr">
        <is>
          <t>HY</t>
        </is>
      </c>
      <c r="I92" t="inlineStr">
        <is>
          <t>Comparables_Subcat_SinAjustar</t>
        </is>
      </c>
      <c r="J92" t="inlineStr"/>
      <c r="K92" t="inlineStr">
        <is>
          <t>Intensidad</t>
        </is>
      </c>
      <c r="L92" t="n">
        <v>0.606151</v>
      </c>
    </row>
    <row r="93">
      <c r="A93" t="inlineStr">
        <is>
          <t>202512</t>
        </is>
      </c>
      <c r="B93" t="inlineStr">
        <is>
          <t>Comparación</t>
        </is>
      </c>
      <c r="C93" t="inlineStr">
        <is>
          <t>Prima</t>
        </is>
      </c>
      <c r="D93" t="inlineStr">
        <is>
          <t>Benchmark</t>
        </is>
      </c>
      <c r="E93" t="inlineStr">
        <is>
          <t>Fixed Income</t>
        </is>
      </c>
      <c r="F93" t="inlineStr"/>
      <c r="G93" t="inlineStr"/>
      <c r="H93" t="inlineStr">
        <is>
          <t>IG</t>
        </is>
      </c>
      <c r="I93" t="inlineStr">
        <is>
          <t>Comparables_Subcat_SinAjustar</t>
        </is>
      </c>
      <c r="J93" t="inlineStr"/>
      <c r="K93" t="inlineStr">
        <is>
          <t>Intensidad</t>
        </is>
      </c>
      <c r="L93" t="n">
        <v>0.187061</v>
      </c>
    </row>
    <row r="94">
      <c r="A94" t="inlineStr">
        <is>
          <t>202512</t>
        </is>
      </c>
      <c r="B94" t="inlineStr">
        <is>
          <t>Comparación</t>
        </is>
      </c>
      <c r="C94" t="inlineStr">
        <is>
          <t>Profuturo</t>
        </is>
      </c>
      <c r="D94" t="inlineStr">
        <is>
          <t>Benchmark</t>
        </is>
      </c>
      <c r="E94" t="inlineStr">
        <is>
          <t>Fixed Income</t>
        </is>
      </c>
      <c r="F94" t="inlineStr"/>
      <c r="G94" t="inlineStr"/>
      <c r="H94" t="inlineStr">
        <is>
          <t>DM</t>
        </is>
      </c>
      <c r="I94" t="inlineStr">
        <is>
          <t>Comparables_Subcat_Ajustado (x Weight del instrumento)</t>
        </is>
      </c>
      <c r="J94" t="inlineStr"/>
      <c r="K94" t="inlineStr">
        <is>
          <t>Intensidad</t>
        </is>
      </c>
      <c r="L94" t="n">
        <v>78.58724599999999</v>
      </c>
    </row>
    <row r="95">
      <c r="A95" t="inlineStr">
        <is>
          <t>202512</t>
        </is>
      </c>
      <c r="B95" t="inlineStr">
        <is>
          <t>Comparación</t>
        </is>
      </c>
      <c r="C95" t="inlineStr">
        <is>
          <t>Profuturo</t>
        </is>
      </c>
      <c r="D95" t="inlineStr">
        <is>
          <t>Benchmark</t>
        </is>
      </c>
      <c r="E95" t="inlineStr">
        <is>
          <t>Fixed Income</t>
        </is>
      </c>
      <c r="F95" t="inlineStr"/>
      <c r="G95" t="inlineStr"/>
      <c r="H95" t="inlineStr">
        <is>
          <t>EM</t>
        </is>
      </c>
      <c r="I95" t="inlineStr">
        <is>
          <t>Comparables_Subcat_Ajustado (x Weight del instrumento)</t>
        </is>
      </c>
      <c r="J95" t="inlineStr"/>
      <c r="K95" t="inlineStr">
        <is>
          <t>Intensidad</t>
        </is>
      </c>
      <c r="L95" t="n">
        <v>246.820867</v>
      </c>
    </row>
    <row r="96">
      <c r="A96" t="inlineStr">
        <is>
          <t>202512</t>
        </is>
      </c>
      <c r="B96" t="inlineStr">
        <is>
          <t>Comparación</t>
        </is>
      </c>
      <c r="C96" t="inlineStr">
        <is>
          <t>Profuturo</t>
        </is>
      </c>
      <c r="D96" t="inlineStr">
        <is>
          <t>Benchmark</t>
        </is>
      </c>
      <c r="E96" t="inlineStr">
        <is>
          <t>Fixed Income</t>
        </is>
      </c>
      <c r="F96" t="inlineStr"/>
      <c r="G96" t="inlineStr"/>
      <c r="H96" t="inlineStr">
        <is>
          <t>HY</t>
        </is>
      </c>
      <c r="I96" t="inlineStr">
        <is>
          <t>Comparables_Subcat_Ajustado (x Weight del instrumento)</t>
        </is>
      </c>
      <c r="J96" t="inlineStr"/>
      <c r="K96" t="inlineStr">
        <is>
          <t>Intensidad</t>
        </is>
      </c>
      <c r="L96" t="n">
        <v>87.00475900000001</v>
      </c>
    </row>
    <row r="97">
      <c r="A97" t="inlineStr">
        <is>
          <t>202512</t>
        </is>
      </c>
      <c r="B97" t="inlineStr">
        <is>
          <t>Comparación</t>
        </is>
      </c>
      <c r="C97" t="inlineStr">
        <is>
          <t>Profuturo</t>
        </is>
      </c>
      <c r="D97" t="inlineStr">
        <is>
          <t>Benchmark</t>
        </is>
      </c>
      <c r="E97" t="inlineStr">
        <is>
          <t>Fixed Income</t>
        </is>
      </c>
      <c r="F97" t="inlineStr"/>
      <c r="G97" t="inlineStr"/>
      <c r="H97" t="inlineStr">
        <is>
          <t>IG</t>
        </is>
      </c>
      <c r="I97" t="inlineStr">
        <is>
          <t>Comparables_Subcat_Ajustado (x Weight del instrumento)</t>
        </is>
      </c>
      <c r="J97" t="inlineStr"/>
      <c r="K97" t="inlineStr">
        <is>
          <t>Intensidad</t>
        </is>
      </c>
      <c r="L97" t="n">
        <v>27.085036</v>
      </c>
    </row>
    <row r="98">
      <c r="A98" t="inlineStr">
        <is>
          <t>202512</t>
        </is>
      </c>
      <c r="B98" t="inlineStr">
        <is>
          <t>Comparación</t>
        </is>
      </c>
      <c r="C98" t="inlineStr">
        <is>
          <t>Profuturo</t>
        </is>
      </c>
      <c r="D98" t="inlineStr">
        <is>
          <t>Benchmark</t>
        </is>
      </c>
      <c r="E98" t="inlineStr">
        <is>
          <t>Fixed Income</t>
        </is>
      </c>
      <c r="F98" t="inlineStr"/>
      <c r="G98" t="inlineStr"/>
      <c r="H98" t="inlineStr">
        <is>
          <t>DM</t>
        </is>
      </c>
      <c r="I98" t="inlineStr">
        <is>
          <t>Comparables_Subcat_SinAjustar</t>
        </is>
      </c>
      <c r="J98" t="inlineStr"/>
      <c r="K98" t="inlineStr">
        <is>
          <t>Intensidad</t>
        </is>
      </c>
      <c r="L98" t="n">
        <v>2.181691</v>
      </c>
    </row>
    <row r="99">
      <c r="A99" t="inlineStr">
        <is>
          <t>202512</t>
        </is>
      </c>
      <c r="B99" t="inlineStr">
        <is>
          <t>Comparación</t>
        </is>
      </c>
      <c r="C99" t="inlineStr">
        <is>
          <t>Profuturo</t>
        </is>
      </c>
      <c r="D99" t="inlineStr">
        <is>
          <t>Benchmark</t>
        </is>
      </c>
      <c r="E99" t="inlineStr">
        <is>
          <t>Fixed Income</t>
        </is>
      </c>
      <c r="F99" t="inlineStr"/>
      <c r="G99" t="inlineStr"/>
      <c r="H99" t="inlineStr">
        <is>
          <t>EM</t>
        </is>
      </c>
      <c r="I99" t="inlineStr">
        <is>
          <t>Comparables_Subcat_SinAjustar</t>
        </is>
      </c>
      <c r="J99" t="inlineStr"/>
      <c r="K99" t="inlineStr">
        <is>
          <t>Intensidad</t>
        </is>
      </c>
      <c r="L99" t="n">
        <v>2.888235</v>
      </c>
    </row>
    <row r="100">
      <c r="A100" t="inlineStr">
        <is>
          <t>202512</t>
        </is>
      </c>
      <c r="B100" t="inlineStr">
        <is>
          <t>Comparación</t>
        </is>
      </c>
      <c r="C100" t="inlineStr">
        <is>
          <t>Profuturo</t>
        </is>
      </c>
      <c r="D100" t="inlineStr">
        <is>
          <t>Benchmark</t>
        </is>
      </c>
      <c r="E100" t="inlineStr">
        <is>
          <t>Fixed Income</t>
        </is>
      </c>
      <c r="F100" t="inlineStr"/>
      <c r="G100" t="inlineStr"/>
      <c r="H100" t="inlineStr">
        <is>
          <t>HY</t>
        </is>
      </c>
      <c r="I100" t="inlineStr">
        <is>
          <t>Comparables_Subcat_SinAjustar</t>
        </is>
      </c>
      <c r="J100" t="inlineStr"/>
      <c r="K100" t="inlineStr">
        <is>
          <t>Intensidad</t>
        </is>
      </c>
      <c r="L100" t="n">
        <v>0.606151</v>
      </c>
    </row>
    <row r="101">
      <c r="A101" t="inlineStr">
        <is>
          <t>202512</t>
        </is>
      </c>
      <c r="B101" t="inlineStr">
        <is>
          <t>Comparación</t>
        </is>
      </c>
      <c r="C101" t="inlineStr">
        <is>
          <t>Profuturo</t>
        </is>
      </c>
      <c r="D101" t="inlineStr">
        <is>
          <t>Benchmark</t>
        </is>
      </c>
      <c r="E101" t="inlineStr">
        <is>
          <t>Fixed Income</t>
        </is>
      </c>
      <c r="F101" t="inlineStr"/>
      <c r="G101" t="inlineStr"/>
      <c r="H101" t="inlineStr">
        <is>
          <t>IG</t>
        </is>
      </c>
      <c r="I101" t="inlineStr">
        <is>
          <t>Comparables_Subcat_SinAjustar</t>
        </is>
      </c>
      <c r="J101" t="inlineStr"/>
      <c r="K101" t="inlineStr">
        <is>
          <t>Intensidad</t>
        </is>
      </c>
      <c r="L101" t="n">
        <v>0.187061</v>
      </c>
    </row>
    <row r="102">
      <c r="A102" t="inlineStr">
        <is>
          <t>202512</t>
        </is>
      </c>
      <c r="B102" t="inlineStr">
        <is>
          <t>Comparación</t>
        </is>
      </c>
      <c r="C102" t="inlineStr">
        <is>
          <t>Ex_Integra</t>
        </is>
      </c>
      <c r="D102" t="inlineStr">
        <is>
          <t>Instrumento</t>
        </is>
      </c>
      <c r="E102" t="inlineStr">
        <is>
          <t>Equities</t>
        </is>
      </c>
      <c r="F102" t="inlineStr">
        <is>
          <t>Active</t>
        </is>
      </c>
      <c r="G102" t="inlineStr">
        <is>
          <t>BNP Paribas - Japan Small Caps</t>
        </is>
      </c>
      <c r="H102" t="inlineStr">
        <is>
          <t>DM</t>
        </is>
      </c>
      <c r="I102" t="inlineStr"/>
      <c r="J102" t="inlineStr"/>
      <c r="K102" t="inlineStr">
        <is>
          <t>Intensidad</t>
        </is>
      </c>
      <c r="L102" t="n">
        <v>1.621033</v>
      </c>
    </row>
    <row r="103">
      <c r="A103" t="inlineStr">
        <is>
          <t>202512</t>
        </is>
      </c>
      <c r="B103" t="inlineStr">
        <is>
          <t>Comparación</t>
        </is>
      </c>
      <c r="C103" t="inlineStr">
        <is>
          <t>Ex_Integra</t>
        </is>
      </c>
      <c r="D103" t="inlineStr">
        <is>
          <t>Instrumento</t>
        </is>
      </c>
      <c r="E103" t="inlineStr">
        <is>
          <t>Equities</t>
        </is>
      </c>
      <c r="F103" t="inlineStr">
        <is>
          <t>Active</t>
        </is>
      </c>
      <c r="G103" t="inlineStr">
        <is>
          <t>BNP Paribas - Japan Small Caps</t>
        </is>
      </c>
      <c r="H103" t="inlineStr">
        <is>
          <t>DM</t>
        </is>
      </c>
      <c r="I103" t="inlineStr"/>
      <c r="J103" t="inlineStr"/>
      <c r="K103" t="inlineStr">
        <is>
          <t>Weight</t>
        </is>
      </c>
      <c r="L103" t="n">
        <v>0.013354</v>
      </c>
    </row>
    <row r="104">
      <c r="A104" t="inlineStr">
        <is>
          <t>202512</t>
        </is>
      </c>
      <c r="B104" t="inlineStr">
        <is>
          <t>Comparación</t>
        </is>
      </c>
      <c r="C104" t="inlineStr">
        <is>
          <t>Habitat</t>
        </is>
      </c>
      <c r="D104" t="inlineStr">
        <is>
          <t>Instrumento</t>
        </is>
      </c>
      <c r="E104" t="inlineStr">
        <is>
          <t>Equities</t>
        </is>
      </c>
      <c r="F104" t="inlineStr">
        <is>
          <t>Active</t>
        </is>
      </c>
      <c r="G104" t="inlineStr">
        <is>
          <t>BNP Paribas - Japan Small Caps</t>
        </is>
      </c>
      <c r="H104" t="inlineStr">
        <is>
          <t>DM</t>
        </is>
      </c>
      <c r="I104" t="inlineStr"/>
      <c r="J104" t="inlineStr"/>
      <c r="K104" t="inlineStr">
        <is>
          <t>Intensidad</t>
        </is>
      </c>
      <c r="L104" t="n">
        <v>4.450315</v>
      </c>
    </row>
    <row r="105">
      <c r="A105" t="inlineStr">
        <is>
          <t>202512</t>
        </is>
      </c>
      <c r="B105" t="inlineStr">
        <is>
          <t>Comparación</t>
        </is>
      </c>
      <c r="C105" t="inlineStr">
        <is>
          <t>Habitat</t>
        </is>
      </c>
      <c r="D105" t="inlineStr">
        <is>
          <t>Instrumento</t>
        </is>
      </c>
      <c r="E105" t="inlineStr">
        <is>
          <t>Equities</t>
        </is>
      </c>
      <c r="F105" t="inlineStr">
        <is>
          <t>Active</t>
        </is>
      </c>
      <c r="G105" t="inlineStr">
        <is>
          <t>BNP Paribas - Japan Small Caps</t>
        </is>
      </c>
      <c r="H105" t="inlineStr">
        <is>
          <t>DM</t>
        </is>
      </c>
      <c r="I105" t="inlineStr"/>
      <c r="J105" t="inlineStr"/>
      <c r="K105" t="inlineStr">
        <is>
          <t>Weight</t>
        </is>
      </c>
      <c r="L105" t="n">
        <v>0.036662</v>
      </c>
    </row>
    <row r="106">
      <c r="A106" t="inlineStr">
        <is>
          <t>202512</t>
        </is>
      </c>
      <c r="B106" t="inlineStr">
        <is>
          <t>Comparación</t>
        </is>
      </c>
      <c r="C106" t="inlineStr">
        <is>
          <t>Integra</t>
        </is>
      </c>
      <c r="D106" t="inlineStr">
        <is>
          <t>Instrumento</t>
        </is>
      </c>
      <c r="E106" t="inlineStr">
        <is>
          <t>Equities</t>
        </is>
      </c>
      <c r="F106" t="inlineStr">
        <is>
          <t>Active</t>
        </is>
      </c>
      <c r="G106" t="inlineStr">
        <is>
          <t>BNP Paribas - Japan Small Caps</t>
        </is>
      </c>
      <c r="H106" t="inlineStr">
        <is>
          <t>DM</t>
        </is>
      </c>
      <c r="I106" t="inlineStr"/>
      <c r="J106" t="inlineStr"/>
      <c r="K106" t="inlineStr">
        <is>
          <t>Intensidad</t>
        </is>
      </c>
      <c r="L106" t="n">
        <v>3.044707</v>
      </c>
    </row>
    <row r="107">
      <c r="A107" t="inlineStr">
        <is>
          <t>202512</t>
        </is>
      </c>
      <c r="B107" t="inlineStr">
        <is>
          <t>Comparación</t>
        </is>
      </c>
      <c r="C107" t="inlineStr">
        <is>
          <t>Integra</t>
        </is>
      </c>
      <c r="D107" t="inlineStr">
        <is>
          <t>Instrumento</t>
        </is>
      </c>
      <c r="E107" t="inlineStr">
        <is>
          <t>Equities</t>
        </is>
      </c>
      <c r="F107" t="inlineStr">
        <is>
          <t>Active</t>
        </is>
      </c>
      <c r="G107" t="inlineStr">
        <is>
          <t>BNP Paribas - Japan Small Caps</t>
        </is>
      </c>
      <c r="H107" t="inlineStr">
        <is>
          <t>DM</t>
        </is>
      </c>
      <c r="I107" t="inlineStr"/>
      <c r="J107" t="inlineStr"/>
      <c r="K107" t="inlineStr">
        <is>
          <t>Weight</t>
        </is>
      </c>
      <c r="L107" t="n">
        <v>0.025083</v>
      </c>
    </row>
    <row r="108">
      <c r="A108" t="inlineStr">
        <is>
          <t>202512</t>
        </is>
      </c>
      <c r="B108" t="inlineStr">
        <is>
          <t>Comparación</t>
        </is>
      </c>
      <c r="C108" t="inlineStr">
        <is>
          <t>Integra</t>
        </is>
      </c>
      <c r="D108" t="inlineStr">
        <is>
          <t>Instrumento</t>
        </is>
      </c>
      <c r="E108" t="inlineStr">
        <is>
          <t>Equities</t>
        </is>
      </c>
      <c r="F108" t="inlineStr">
        <is>
          <t>Passive</t>
        </is>
      </c>
      <c r="G108" t="inlineStr">
        <is>
          <t>BlackRock - iShares Korea</t>
        </is>
      </c>
      <c r="H108" t="inlineStr">
        <is>
          <t>EM</t>
        </is>
      </c>
      <c r="I108" t="inlineStr"/>
      <c r="J108" t="inlineStr"/>
      <c r="K108" t="inlineStr">
        <is>
          <t>Intensidad</t>
        </is>
      </c>
      <c r="L108" t="n">
        <v>2.909986</v>
      </c>
    </row>
    <row r="109">
      <c r="A109" t="inlineStr">
        <is>
          <t>202512</t>
        </is>
      </c>
      <c r="B109" t="inlineStr">
        <is>
          <t>Comparación</t>
        </is>
      </c>
      <c r="C109" t="inlineStr">
        <is>
          <t>Integra</t>
        </is>
      </c>
      <c r="D109" t="inlineStr">
        <is>
          <t>Instrumento</t>
        </is>
      </c>
      <c r="E109" t="inlineStr">
        <is>
          <t>Equities</t>
        </is>
      </c>
      <c r="F109" t="inlineStr">
        <is>
          <t>Passive</t>
        </is>
      </c>
      <c r="G109" t="inlineStr">
        <is>
          <t>BlackRock - iShares Korea</t>
        </is>
      </c>
      <c r="H109" t="inlineStr">
        <is>
          <t>EM</t>
        </is>
      </c>
      <c r="I109" t="inlineStr"/>
      <c r="J109" t="inlineStr"/>
      <c r="K109" t="inlineStr">
        <is>
          <t>Weight</t>
        </is>
      </c>
      <c r="L109" t="n">
        <v>0.02893</v>
      </c>
    </row>
    <row r="110">
      <c r="A110" t="inlineStr">
        <is>
          <t>202512</t>
        </is>
      </c>
      <c r="B110" t="inlineStr">
        <is>
          <t>Comparación</t>
        </is>
      </c>
      <c r="C110" t="inlineStr">
        <is>
          <t>Ex_Integra</t>
        </is>
      </c>
      <c r="D110" t="inlineStr">
        <is>
          <t>Instrumento</t>
        </is>
      </c>
      <c r="E110" t="inlineStr">
        <is>
          <t>Equities</t>
        </is>
      </c>
      <c r="F110" t="inlineStr">
        <is>
          <t>Passive</t>
        </is>
      </c>
      <c r="G110" t="inlineStr">
        <is>
          <t>BlackRock - iShares MSCI Brazil</t>
        </is>
      </c>
      <c r="H110" t="inlineStr">
        <is>
          <t>EM</t>
        </is>
      </c>
      <c r="I110" t="inlineStr"/>
      <c r="J110" t="inlineStr"/>
      <c r="K110" t="inlineStr">
        <is>
          <t>Intensidad</t>
        </is>
      </c>
      <c r="L110" t="n">
        <v>4.029573</v>
      </c>
    </row>
    <row r="111">
      <c r="A111" t="inlineStr">
        <is>
          <t>202512</t>
        </is>
      </c>
      <c r="B111" t="inlineStr">
        <is>
          <t>Comparación</t>
        </is>
      </c>
      <c r="C111" t="inlineStr">
        <is>
          <t>Ex_Integra</t>
        </is>
      </c>
      <c r="D111" t="inlineStr">
        <is>
          <t>Instrumento</t>
        </is>
      </c>
      <c r="E111" t="inlineStr">
        <is>
          <t>Equities</t>
        </is>
      </c>
      <c r="F111" t="inlineStr">
        <is>
          <t>Passive</t>
        </is>
      </c>
      <c r="G111" t="inlineStr">
        <is>
          <t>BlackRock - iShares MSCI Brazil</t>
        </is>
      </c>
      <c r="H111" t="inlineStr">
        <is>
          <t>EM</t>
        </is>
      </c>
      <c r="I111" t="inlineStr"/>
      <c r="J111" t="inlineStr"/>
      <c r="K111" t="inlineStr">
        <is>
          <t>Weight</t>
        </is>
      </c>
      <c r="L111" t="n">
        <v>0.043945</v>
      </c>
    </row>
    <row r="112">
      <c r="A112" t="inlineStr">
        <is>
          <t>202512</t>
        </is>
      </c>
      <c r="B112" t="inlineStr">
        <is>
          <t>Comparación</t>
        </is>
      </c>
      <c r="C112" t="inlineStr">
        <is>
          <t>Habitat</t>
        </is>
      </c>
      <c r="D112" t="inlineStr">
        <is>
          <t>Instrumento</t>
        </is>
      </c>
      <c r="E112" t="inlineStr">
        <is>
          <t>Equities</t>
        </is>
      </c>
      <c r="F112" t="inlineStr">
        <is>
          <t>Passive</t>
        </is>
      </c>
      <c r="G112" t="inlineStr">
        <is>
          <t>BlackRock - iShares MSCI Brazil</t>
        </is>
      </c>
      <c r="H112" t="inlineStr">
        <is>
          <t>EM</t>
        </is>
      </c>
      <c r="I112" t="inlineStr"/>
      <c r="J112" t="inlineStr"/>
      <c r="K112" t="inlineStr">
        <is>
          <t>Intensidad</t>
        </is>
      </c>
      <c r="L112" t="n">
        <v>2.67897</v>
      </c>
    </row>
    <row r="113">
      <c r="A113" t="inlineStr">
        <is>
          <t>202512</t>
        </is>
      </c>
      <c r="B113" t="inlineStr">
        <is>
          <t>Comparación</t>
        </is>
      </c>
      <c r="C113" t="inlineStr">
        <is>
          <t>Habitat</t>
        </is>
      </c>
      <c r="D113" t="inlineStr">
        <is>
          <t>Instrumento</t>
        </is>
      </c>
      <c r="E113" t="inlineStr">
        <is>
          <t>Equities</t>
        </is>
      </c>
      <c r="F113" t="inlineStr">
        <is>
          <t>Passive</t>
        </is>
      </c>
      <c r="G113" t="inlineStr">
        <is>
          <t>BlackRock - iShares MSCI Brazil</t>
        </is>
      </c>
      <c r="H113" t="inlineStr">
        <is>
          <t>EM</t>
        </is>
      </c>
      <c r="I113" t="inlineStr"/>
      <c r="J113" t="inlineStr"/>
      <c r="K113" t="inlineStr">
        <is>
          <t>Weight</t>
        </is>
      </c>
      <c r="L113" t="n">
        <v>0.029216</v>
      </c>
    </row>
    <row r="114">
      <c r="A114" t="inlineStr">
        <is>
          <t>202512</t>
        </is>
      </c>
      <c r="B114" t="inlineStr">
        <is>
          <t>Comparación</t>
        </is>
      </c>
      <c r="C114" t="inlineStr">
        <is>
          <t>Prima</t>
        </is>
      </c>
      <c r="D114" t="inlineStr">
        <is>
          <t>Instrumento</t>
        </is>
      </c>
      <c r="E114" t="inlineStr">
        <is>
          <t>Equities</t>
        </is>
      </c>
      <c r="F114" t="inlineStr">
        <is>
          <t>Passive</t>
        </is>
      </c>
      <c r="G114" t="inlineStr">
        <is>
          <t>BlackRock - iShares MSCI Brazil</t>
        </is>
      </c>
      <c r="H114" t="inlineStr">
        <is>
          <t>EM</t>
        </is>
      </c>
      <c r="I114" t="inlineStr"/>
      <c r="J114" t="inlineStr"/>
      <c r="K114" t="inlineStr">
        <is>
          <t>Intensidad</t>
        </is>
      </c>
      <c r="L114" t="n">
        <v>6.272324</v>
      </c>
    </row>
    <row r="115">
      <c r="A115" t="inlineStr">
        <is>
          <t>202512</t>
        </is>
      </c>
      <c r="B115" t="inlineStr">
        <is>
          <t>Comparación</t>
        </is>
      </c>
      <c r="C115" t="inlineStr">
        <is>
          <t>Prima</t>
        </is>
      </c>
      <c r="D115" t="inlineStr">
        <is>
          <t>Instrumento</t>
        </is>
      </c>
      <c r="E115" t="inlineStr">
        <is>
          <t>Equities</t>
        </is>
      </c>
      <c r="F115" t="inlineStr">
        <is>
          <t>Passive</t>
        </is>
      </c>
      <c r="G115" t="inlineStr">
        <is>
          <t>BlackRock - iShares MSCI Brazil</t>
        </is>
      </c>
      <c r="H115" t="inlineStr">
        <is>
          <t>EM</t>
        </is>
      </c>
      <c r="I115" t="inlineStr"/>
      <c r="J115" t="inlineStr"/>
      <c r="K115" t="inlineStr">
        <is>
          <t>Weight</t>
        </is>
      </c>
      <c r="L115" t="n">
        <v>0.06840400000000001</v>
      </c>
    </row>
    <row r="116">
      <c r="A116" t="inlineStr">
        <is>
          <t>202512</t>
        </is>
      </c>
      <c r="B116" t="inlineStr">
        <is>
          <t>Comparación</t>
        </is>
      </c>
      <c r="C116" t="inlineStr">
        <is>
          <t>Profuturo</t>
        </is>
      </c>
      <c r="D116" t="inlineStr">
        <is>
          <t>Instrumento</t>
        </is>
      </c>
      <c r="E116" t="inlineStr">
        <is>
          <t>Equities</t>
        </is>
      </c>
      <c r="F116" t="inlineStr">
        <is>
          <t>Passive</t>
        </is>
      </c>
      <c r="G116" t="inlineStr">
        <is>
          <t>BlackRock - iShares MSCI Brazil</t>
        </is>
      </c>
      <c r="H116" t="inlineStr">
        <is>
          <t>EM</t>
        </is>
      </c>
      <c r="I116" t="inlineStr"/>
      <c r="J116" t="inlineStr"/>
      <c r="K116" t="inlineStr">
        <is>
          <t>Intensidad</t>
        </is>
      </c>
      <c r="L116" t="n">
        <v>2.852521</v>
      </c>
    </row>
    <row r="117">
      <c r="A117" t="inlineStr">
        <is>
          <t>202512</t>
        </is>
      </c>
      <c r="B117" t="inlineStr">
        <is>
          <t>Comparación</t>
        </is>
      </c>
      <c r="C117" t="inlineStr">
        <is>
          <t>Profuturo</t>
        </is>
      </c>
      <c r="D117" t="inlineStr">
        <is>
          <t>Instrumento</t>
        </is>
      </c>
      <c r="E117" t="inlineStr">
        <is>
          <t>Equities</t>
        </is>
      </c>
      <c r="F117" t="inlineStr">
        <is>
          <t>Passive</t>
        </is>
      </c>
      <c r="G117" t="inlineStr">
        <is>
          <t>BlackRock - iShares MSCI Brazil</t>
        </is>
      </c>
      <c r="H117" t="inlineStr">
        <is>
          <t>EM</t>
        </is>
      </c>
      <c r="I117" t="inlineStr"/>
      <c r="J117" t="inlineStr"/>
      <c r="K117" t="inlineStr">
        <is>
          <t>Weight</t>
        </is>
      </c>
      <c r="L117" t="n">
        <v>0.031109</v>
      </c>
    </row>
    <row r="118">
      <c r="A118" t="inlineStr">
        <is>
          <t>202512</t>
        </is>
      </c>
      <c r="B118" t="inlineStr">
        <is>
          <t>Comparación</t>
        </is>
      </c>
      <c r="C118" t="inlineStr">
        <is>
          <t>Profuturo</t>
        </is>
      </c>
      <c r="D118" t="inlineStr">
        <is>
          <t>Instrumento</t>
        </is>
      </c>
      <c r="E118" t="inlineStr">
        <is>
          <t>Equities</t>
        </is>
      </c>
      <c r="F118" t="inlineStr">
        <is>
          <t>Passive</t>
        </is>
      </c>
      <c r="G118" t="inlineStr">
        <is>
          <t>Blackrock - iShares MSCI ACWI ex U.S. ETF</t>
        </is>
      </c>
      <c r="H118" t="inlineStr">
        <is>
          <t>DM</t>
        </is>
      </c>
      <c r="I118" t="inlineStr"/>
      <c r="J118" t="inlineStr"/>
      <c r="K118" t="inlineStr">
        <is>
          <t>Intensidad</t>
        </is>
      </c>
      <c r="L118" t="n">
        <v>2.973787</v>
      </c>
    </row>
    <row r="119">
      <c r="A119" t="inlineStr">
        <is>
          <t>202512</t>
        </is>
      </c>
      <c r="B119" t="inlineStr">
        <is>
          <t>Comparación</t>
        </is>
      </c>
      <c r="C119" t="inlineStr">
        <is>
          <t>Profuturo</t>
        </is>
      </c>
      <c r="D119" t="inlineStr">
        <is>
          <t>Instrumento</t>
        </is>
      </c>
      <c r="E119" t="inlineStr">
        <is>
          <t>Equities</t>
        </is>
      </c>
      <c r="F119" t="inlineStr">
        <is>
          <t>Passive</t>
        </is>
      </c>
      <c r="G119" t="inlineStr">
        <is>
          <t>Blackrock - iShares MSCI ACWI ex U.S. ETF</t>
        </is>
      </c>
      <c r="H119" t="inlineStr">
        <is>
          <t>DM</t>
        </is>
      </c>
      <c r="I119" t="inlineStr"/>
      <c r="J119" t="inlineStr"/>
      <c r="K119" t="inlineStr">
        <is>
          <t>Weight</t>
        </is>
      </c>
      <c r="L119" t="n">
        <v>0.0415</v>
      </c>
    </row>
    <row r="120">
      <c r="A120" t="inlineStr">
        <is>
          <t>202512</t>
        </is>
      </c>
      <c r="B120" t="inlineStr">
        <is>
          <t>Comparación</t>
        </is>
      </c>
      <c r="C120" t="inlineStr">
        <is>
          <t>Ex_Integra</t>
        </is>
      </c>
      <c r="D120" t="inlineStr">
        <is>
          <t>Instrumento</t>
        </is>
      </c>
      <c r="E120" t="inlineStr">
        <is>
          <t>Equities</t>
        </is>
      </c>
      <c r="F120" t="inlineStr">
        <is>
          <t>Passive</t>
        </is>
      </c>
      <c r="G120" t="inlineStr">
        <is>
          <t>Global X - Copper Miners ETF</t>
        </is>
      </c>
      <c r="H120" t="inlineStr">
        <is>
          <t>DM</t>
        </is>
      </c>
      <c r="I120" t="inlineStr"/>
      <c r="J120" t="inlineStr"/>
      <c r="K120" t="inlineStr">
        <is>
          <t>Intensidad</t>
        </is>
      </c>
      <c r="L120" t="n">
        <v>3.835337</v>
      </c>
    </row>
    <row r="121">
      <c r="A121" t="inlineStr">
        <is>
          <t>202512</t>
        </is>
      </c>
      <c r="B121" t="inlineStr">
        <is>
          <t>Comparación</t>
        </is>
      </c>
      <c r="C121" t="inlineStr">
        <is>
          <t>Ex_Integra</t>
        </is>
      </c>
      <c r="D121" t="inlineStr">
        <is>
          <t>Instrumento</t>
        </is>
      </c>
      <c r="E121" t="inlineStr">
        <is>
          <t>Equities</t>
        </is>
      </c>
      <c r="F121" t="inlineStr">
        <is>
          <t>Passive</t>
        </is>
      </c>
      <c r="G121" t="inlineStr">
        <is>
          <t>Global X - Copper Miners ETF</t>
        </is>
      </c>
      <c r="H121" t="inlineStr">
        <is>
          <t>DM</t>
        </is>
      </c>
      <c r="I121" t="inlineStr"/>
      <c r="J121" t="inlineStr"/>
      <c r="K121" t="inlineStr">
        <is>
          <t>Weight</t>
        </is>
      </c>
      <c r="L121" t="n">
        <v>0.031794</v>
      </c>
    </row>
    <row r="122">
      <c r="A122" t="inlineStr">
        <is>
          <t>202512</t>
        </is>
      </c>
      <c r="B122" t="inlineStr">
        <is>
          <t>Comparación</t>
        </is>
      </c>
      <c r="C122" t="inlineStr">
        <is>
          <t>Habitat</t>
        </is>
      </c>
      <c r="D122" t="inlineStr">
        <is>
          <t>Instrumento</t>
        </is>
      </c>
      <c r="E122" t="inlineStr">
        <is>
          <t>Equities</t>
        </is>
      </c>
      <c r="F122" t="inlineStr">
        <is>
          <t>Passive</t>
        </is>
      </c>
      <c r="G122" t="inlineStr">
        <is>
          <t>Global X - Copper Miners ETF</t>
        </is>
      </c>
      <c r="H122" t="inlineStr">
        <is>
          <t>DM</t>
        </is>
      </c>
      <c r="I122" t="inlineStr"/>
      <c r="J122" t="inlineStr"/>
      <c r="K122" t="inlineStr">
        <is>
          <t>Intensidad</t>
        </is>
      </c>
      <c r="L122" t="n">
        <v>2.047598</v>
      </c>
    </row>
    <row r="123">
      <c r="A123" t="inlineStr">
        <is>
          <t>202512</t>
        </is>
      </c>
      <c r="B123" t="inlineStr">
        <is>
          <t>Comparación</t>
        </is>
      </c>
      <c r="C123" t="inlineStr">
        <is>
          <t>Habitat</t>
        </is>
      </c>
      <c r="D123" t="inlineStr">
        <is>
          <t>Instrumento</t>
        </is>
      </c>
      <c r="E123" t="inlineStr">
        <is>
          <t>Equities</t>
        </is>
      </c>
      <c r="F123" t="inlineStr">
        <is>
          <t>Passive</t>
        </is>
      </c>
      <c r="G123" t="inlineStr">
        <is>
          <t>Global X - Copper Miners ETF</t>
        </is>
      </c>
      <c r="H123" t="inlineStr">
        <is>
          <t>DM</t>
        </is>
      </c>
      <c r="I123" t="inlineStr"/>
      <c r="J123" t="inlineStr"/>
      <c r="K123" t="inlineStr">
        <is>
          <t>Weight</t>
        </is>
      </c>
      <c r="L123" t="n">
        <v>0.016974</v>
      </c>
    </row>
    <row r="124">
      <c r="A124" t="inlineStr">
        <is>
          <t>202512</t>
        </is>
      </c>
      <c r="B124" t="inlineStr">
        <is>
          <t>Comparación</t>
        </is>
      </c>
      <c r="C124" t="inlineStr">
        <is>
          <t>Integra</t>
        </is>
      </c>
      <c r="D124" t="inlineStr">
        <is>
          <t>Instrumento</t>
        </is>
      </c>
      <c r="E124" t="inlineStr">
        <is>
          <t>Equities</t>
        </is>
      </c>
      <c r="F124" t="inlineStr">
        <is>
          <t>Passive</t>
        </is>
      </c>
      <c r="G124" t="inlineStr">
        <is>
          <t>Global X - Copper Miners ETF</t>
        </is>
      </c>
      <c r="H124" t="inlineStr">
        <is>
          <t>DM</t>
        </is>
      </c>
      <c r="I124" t="inlineStr"/>
      <c r="J124" t="inlineStr"/>
      <c r="K124" t="inlineStr">
        <is>
          <t>Intensidad</t>
        </is>
      </c>
      <c r="L124" t="n">
        <v>4.981033</v>
      </c>
    </row>
    <row r="125">
      <c r="A125" t="inlineStr">
        <is>
          <t>202512</t>
        </is>
      </c>
      <c r="B125" t="inlineStr">
        <is>
          <t>Comparación</t>
        </is>
      </c>
      <c r="C125" t="inlineStr">
        <is>
          <t>Integra</t>
        </is>
      </c>
      <c r="D125" t="inlineStr">
        <is>
          <t>Instrumento</t>
        </is>
      </c>
      <c r="E125" t="inlineStr">
        <is>
          <t>Equities</t>
        </is>
      </c>
      <c r="F125" t="inlineStr">
        <is>
          <t>Passive</t>
        </is>
      </c>
      <c r="G125" t="inlineStr">
        <is>
          <t>Global X - Copper Miners ETF</t>
        </is>
      </c>
      <c r="H125" t="inlineStr">
        <is>
          <t>DM</t>
        </is>
      </c>
      <c r="I125" t="inlineStr"/>
      <c r="J125" t="inlineStr"/>
      <c r="K125" t="inlineStr">
        <is>
          <t>Weight</t>
        </is>
      </c>
      <c r="L125" t="n">
        <v>0.041291</v>
      </c>
    </row>
    <row r="126">
      <c r="A126" t="inlineStr">
        <is>
          <t>202512</t>
        </is>
      </c>
      <c r="B126" t="inlineStr">
        <is>
          <t>Comparación</t>
        </is>
      </c>
      <c r="C126" t="inlineStr">
        <is>
          <t>Prima</t>
        </is>
      </c>
      <c r="D126" t="inlineStr">
        <is>
          <t>Instrumento</t>
        </is>
      </c>
      <c r="E126" t="inlineStr">
        <is>
          <t>Equities</t>
        </is>
      </c>
      <c r="F126" t="inlineStr">
        <is>
          <t>Passive</t>
        </is>
      </c>
      <c r="G126" t="inlineStr">
        <is>
          <t>Global X - Copper Miners ETF</t>
        </is>
      </c>
      <c r="H126" t="inlineStr">
        <is>
          <t>DM</t>
        </is>
      </c>
      <c r="I126" t="inlineStr"/>
      <c r="J126" t="inlineStr"/>
      <c r="K126" t="inlineStr">
        <is>
          <t>Intensidad</t>
        </is>
      </c>
      <c r="L126" t="n">
        <v>5.456066</v>
      </c>
    </row>
    <row r="127">
      <c r="A127" t="inlineStr">
        <is>
          <t>202512</t>
        </is>
      </c>
      <c r="B127" t="inlineStr">
        <is>
          <t>Comparación</t>
        </is>
      </c>
      <c r="C127" t="inlineStr">
        <is>
          <t>Prima</t>
        </is>
      </c>
      <c r="D127" t="inlineStr">
        <is>
          <t>Instrumento</t>
        </is>
      </c>
      <c r="E127" t="inlineStr">
        <is>
          <t>Equities</t>
        </is>
      </c>
      <c r="F127" t="inlineStr">
        <is>
          <t>Passive</t>
        </is>
      </c>
      <c r="G127" t="inlineStr">
        <is>
          <t>Global X - Copper Miners ETF</t>
        </is>
      </c>
      <c r="H127" t="inlineStr">
        <is>
          <t>DM</t>
        </is>
      </c>
      <c r="I127" t="inlineStr"/>
      <c r="J127" t="inlineStr"/>
      <c r="K127" t="inlineStr">
        <is>
          <t>Weight</t>
        </is>
      </c>
      <c r="L127" t="n">
        <v>0.045229</v>
      </c>
    </row>
    <row r="128">
      <c r="A128" t="inlineStr">
        <is>
          <t>202512</t>
        </is>
      </c>
      <c r="B128" t="inlineStr">
        <is>
          <t>Comparación</t>
        </is>
      </c>
      <c r="C128" t="inlineStr">
        <is>
          <t>Profuturo</t>
        </is>
      </c>
      <c r="D128" t="inlineStr">
        <is>
          <t>Instrumento</t>
        </is>
      </c>
      <c r="E128" t="inlineStr">
        <is>
          <t>Equities</t>
        </is>
      </c>
      <c r="F128" t="inlineStr">
        <is>
          <t>Passive</t>
        </is>
      </c>
      <c r="G128" t="inlineStr">
        <is>
          <t>Global X - Copper Miners ETF</t>
        </is>
      </c>
      <c r="H128" t="inlineStr">
        <is>
          <t>DM</t>
        </is>
      </c>
      <c r="I128" t="inlineStr"/>
      <c r="J128" t="inlineStr"/>
      <c r="K128" t="inlineStr">
        <is>
          <t>Intensidad</t>
        </is>
      </c>
      <c r="L128" t="n">
        <v>4.1114</v>
      </c>
    </row>
    <row r="129">
      <c r="A129" t="inlineStr">
        <is>
          <t>202512</t>
        </is>
      </c>
      <c r="B129" t="inlineStr">
        <is>
          <t>Comparación</t>
        </is>
      </c>
      <c r="C129" t="inlineStr">
        <is>
          <t>Profuturo</t>
        </is>
      </c>
      <c r="D129" t="inlineStr">
        <is>
          <t>Instrumento</t>
        </is>
      </c>
      <c r="E129" t="inlineStr">
        <is>
          <t>Equities</t>
        </is>
      </c>
      <c r="F129" t="inlineStr">
        <is>
          <t>Passive</t>
        </is>
      </c>
      <c r="G129" t="inlineStr">
        <is>
          <t>Global X - Copper Miners ETF</t>
        </is>
      </c>
      <c r="H129" t="inlineStr">
        <is>
          <t>DM</t>
        </is>
      </c>
      <c r="I129" t="inlineStr"/>
      <c r="J129" t="inlineStr"/>
      <c r="K129" t="inlineStr">
        <is>
          <t>Weight</t>
        </is>
      </c>
      <c r="L129" t="n">
        <v>0.034082</v>
      </c>
    </row>
    <row r="130">
      <c r="A130" t="inlineStr">
        <is>
          <t>202512</t>
        </is>
      </c>
      <c r="B130" t="inlineStr">
        <is>
          <t>Comparación</t>
        </is>
      </c>
      <c r="C130" t="inlineStr">
        <is>
          <t>Prima</t>
        </is>
      </c>
      <c r="D130" t="inlineStr">
        <is>
          <t>Instrumento</t>
        </is>
      </c>
      <c r="E130" t="inlineStr">
        <is>
          <t>Equities</t>
        </is>
      </c>
      <c r="F130" t="inlineStr">
        <is>
          <t>Passive</t>
        </is>
      </c>
      <c r="G130" t="inlineStr">
        <is>
          <t>JP Morgan - Japan Equity ETF</t>
        </is>
      </c>
      <c r="H130" t="inlineStr">
        <is>
          <t>DM</t>
        </is>
      </c>
      <c r="I130" t="inlineStr"/>
      <c r="J130" t="inlineStr"/>
      <c r="K130" t="inlineStr">
        <is>
          <t>Intensidad</t>
        </is>
      </c>
      <c r="L130" t="n">
        <v>1.298251</v>
      </c>
    </row>
    <row r="131">
      <c r="A131" t="inlineStr">
        <is>
          <t>202512</t>
        </is>
      </c>
      <c r="B131" t="inlineStr">
        <is>
          <t>Comparación</t>
        </is>
      </c>
      <c r="C131" t="inlineStr">
        <is>
          <t>Prima</t>
        </is>
      </c>
      <c r="D131" t="inlineStr">
        <is>
          <t>Instrumento</t>
        </is>
      </c>
      <c r="E131" t="inlineStr">
        <is>
          <t>Equities</t>
        </is>
      </c>
      <c r="F131" t="inlineStr">
        <is>
          <t>Passive</t>
        </is>
      </c>
      <c r="G131" t="inlineStr">
        <is>
          <t>JP Morgan - Japan Equity ETF</t>
        </is>
      </c>
      <c r="H131" t="inlineStr">
        <is>
          <t>DM</t>
        </is>
      </c>
      <c r="I131" t="inlineStr"/>
      <c r="J131" t="inlineStr"/>
      <c r="K131" t="inlineStr">
        <is>
          <t>Weight</t>
        </is>
      </c>
      <c r="L131" t="n">
        <v>0.025873</v>
      </c>
    </row>
    <row r="132">
      <c r="A132" t="inlineStr">
        <is>
          <t>202512</t>
        </is>
      </c>
      <c r="B132" t="inlineStr">
        <is>
          <t>Comparación</t>
        </is>
      </c>
      <c r="C132" t="inlineStr">
        <is>
          <t>Habitat</t>
        </is>
      </c>
      <c r="D132" t="inlineStr">
        <is>
          <t>Instrumento</t>
        </is>
      </c>
      <c r="E132" t="inlineStr">
        <is>
          <t>Equities</t>
        </is>
      </c>
      <c r="F132" t="inlineStr">
        <is>
          <t>Active</t>
        </is>
      </c>
      <c r="G132" t="inlineStr">
        <is>
          <t>Larrainvial - Latin American Equity Fund I</t>
        </is>
      </c>
      <c r="H132" t="inlineStr">
        <is>
          <t>EM</t>
        </is>
      </c>
      <c r="I132" t="inlineStr"/>
      <c r="J132" t="inlineStr"/>
      <c r="K132" t="inlineStr">
        <is>
          <t>Intensidad</t>
        </is>
      </c>
      <c r="L132" t="n">
        <v>2.189914</v>
      </c>
    </row>
    <row r="133">
      <c r="A133" t="inlineStr">
        <is>
          <t>202512</t>
        </is>
      </c>
      <c r="B133" t="inlineStr">
        <is>
          <t>Comparación</t>
        </is>
      </c>
      <c r="C133" t="inlineStr">
        <is>
          <t>Habitat</t>
        </is>
      </c>
      <c r="D133" t="inlineStr">
        <is>
          <t>Instrumento</t>
        </is>
      </c>
      <c r="E133" t="inlineStr">
        <is>
          <t>Equities</t>
        </is>
      </c>
      <c r="F133" t="inlineStr">
        <is>
          <t>Active</t>
        </is>
      </c>
      <c r="G133" t="inlineStr">
        <is>
          <t>Larrainvial - Latin American Equity Fund I</t>
        </is>
      </c>
      <c r="H133" t="inlineStr">
        <is>
          <t>EM</t>
        </is>
      </c>
      <c r="I133" t="inlineStr"/>
      <c r="J133" t="inlineStr"/>
      <c r="K133" t="inlineStr">
        <is>
          <t>Weight</t>
        </is>
      </c>
      <c r="L133" t="n">
        <v>0.019637</v>
      </c>
    </row>
    <row r="134">
      <c r="A134" t="inlineStr">
        <is>
          <t>202512</t>
        </is>
      </c>
      <c r="B134" t="inlineStr">
        <is>
          <t>Comparación</t>
        </is>
      </c>
      <c r="C134" t="inlineStr">
        <is>
          <t>Ex_Integra</t>
        </is>
      </c>
      <c r="D134" t="inlineStr">
        <is>
          <t>Instrumento</t>
        </is>
      </c>
      <c r="E134" t="inlineStr">
        <is>
          <t>Equities</t>
        </is>
      </c>
      <c r="F134" t="inlineStr">
        <is>
          <t>Active</t>
        </is>
      </c>
      <c r="G134" t="inlineStr">
        <is>
          <t>Liontrust - Liontrust European Dynamic Fund S</t>
        </is>
      </c>
      <c r="H134" t="inlineStr">
        <is>
          <t>DM</t>
        </is>
      </c>
      <c r="I134" t="inlineStr"/>
      <c r="J134" t="inlineStr"/>
      <c r="K134" t="inlineStr">
        <is>
          <t>Intensidad</t>
        </is>
      </c>
      <c r="L134" t="n">
        <v>3.14938</v>
      </c>
    </row>
    <row r="135">
      <c r="A135" t="inlineStr">
        <is>
          <t>202512</t>
        </is>
      </c>
      <c r="B135" t="inlineStr">
        <is>
          <t>Comparación</t>
        </is>
      </c>
      <c r="C135" t="inlineStr">
        <is>
          <t>Ex_Integra</t>
        </is>
      </c>
      <c r="D135" t="inlineStr">
        <is>
          <t>Instrumento</t>
        </is>
      </c>
      <c r="E135" t="inlineStr">
        <is>
          <t>Equities</t>
        </is>
      </c>
      <c r="F135" t="inlineStr">
        <is>
          <t>Active</t>
        </is>
      </c>
      <c r="G135" t="inlineStr">
        <is>
          <t>Liontrust - Liontrust European Dynamic Fund S</t>
        </is>
      </c>
      <c r="H135" t="inlineStr">
        <is>
          <t>DM</t>
        </is>
      </c>
      <c r="I135" t="inlineStr"/>
      <c r="J135" t="inlineStr"/>
      <c r="K135" t="inlineStr">
        <is>
          <t>Weight</t>
        </is>
      </c>
      <c r="L135" t="n">
        <v>0.015005</v>
      </c>
    </row>
    <row r="136">
      <c r="A136" t="inlineStr">
        <is>
          <t>202512</t>
        </is>
      </c>
      <c r="B136" t="inlineStr">
        <is>
          <t>Comparación</t>
        </is>
      </c>
      <c r="C136" t="inlineStr">
        <is>
          <t>Prima</t>
        </is>
      </c>
      <c r="D136" t="inlineStr">
        <is>
          <t>Instrumento</t>
        </is>
      </c>
      <c r="E136" t="inlineStr">
        <is>
          <t>Equities</t>
        </is>
      </c>
      <c r="F136" t="inlineStr">
        <is>
          <t>Active</t>
        </is>
      </c>
      <c r="G136" t="inlineStr">
        <is>
          <t>Liontrust - Liontrust European Dynamic Fund S</t>
        </is>
      </c>
      <c r="H136" t="inlineStr">
        <is>
          <t>DM</t>
        </is>
      </c>
      <c r="I136" t="inlineStr"/>
      <c r="J136" t="inlineStr"/>
      <c r="K136" t="inlineStr">
        <is>
          <t>Intensidad</t>
        </is>
      </c>
      <c r="L136" t="n">
        <v>4.368911</v>
      </c>
    </row>
    <row r="137">
      <c r="A137" t="inlineStr">
        <is>
          <t>202512</t>
        </is>
      </c>
      <c r="B137" t="inlineStr">
        <is>
          <t>Comparación</t>
        </is>
      </c>
      <c r="C137" t="inlineStr">
        <is>
          <t>Prima</t>
        </is>
      </c>
      <c r="D137" t="inlineStr">
        <is>
          <t>Instrumento</t>
        </is>
      </c>
      <c r="E137" t="inlineStr">
        <is>
          <t>Equities</t>
        </is>
      </c>
      <c r="F137" t="inlineStr">
        <is>
          <t>Active</t>
        </is>
      </c>
      <c r="G137" t="inlineStr">
        <is>
          <t>Liontrust - Liontrust European Dynamic Fund S</t>
        </is>
      </c>
      <c r="H137" t="inlineStr">
        <is>
          <t>DM</t>
        </is>
      </c>
      <c r="I137" t="inlineStr"/>
      <c r="J137" t="inlineStr"/>
      <c r="K137" t="inlineStr">
        <is>
          <t>Weight</t>
        </is>
      </c>
      <c r="L137" t="n">
        <v>0.020816</v>
      </c>
    </row>
    <row r="138">
      <c r="A138" t="inlineStr">
        <is>
          <t>202512</t>
        </is>
      </c>
      <c r="B138" t="inlineStr">
        <is>
          <t>Comparación</t>
        </is>
      </c>
      <c r="C138" t="inlineStr">
        <is>
          <t>Profuturo</t>
        </is>
      </c>
      <c r="D138" t="inlineStr">
        <is>
          <t>Instrumento</t>
        </is>
      </c>
      <c r="E138" t="inlineStr">
        <is>
          <t>Equities</t>
        </is>
      </c>
      <c r="F138" t="inlineStr">
        <is>
          <t>Active</t>
        </is>
      </c>
      <c r="G138" t="inlineStr">
        <is>
          <t>Liontrust - Liontrust European Dynamic Fund S</t>
        </is>
      </c>
      <c r="H138" t="inlineStr">
        <is>
          <t>DM</t>
        </is>
      </c>
      <c r="I138" t="inlineStr"/>
      <c r="J138" t="inlineStr"/>
      <c r="K138" t="inlineStr">
        <is>
          <t>Intensidad</t>
        </is>
      </c>
      <c r="L138" t="n">
        <v>4.862968</v>
      </c>
    </row>
    <row r="139">
      <c r="A139" t="inlineStr">
        <is>
          <t>202512</t>
        </is>
      </c>
      <c r="B139" t="inlineStr">
        <is>
          <t>Comparación</t>
        </is>
      </c>
      <c r="C139" t="inlineStr">
        <is>
          <t>Profuturo</t>
        </is>
      </c>
      <c r="D139" t="inlineStr">
        <is>
          <t>Instrumento</t>
        </is>
      </c>
      <c r="E139" t="inlineStr">
        <is>
          <t>Equities</t>
        </is>
      </c>
      <c r="F139" t="inlineStr">
        <is>
          <t>Active</t>
        </is>
      </c>
      <c r="G139" t="inlineStr">
        <is>
          <t>Liontrust - Liontrust European Dynamic Fund S</t>
        </is>
      </c>
      <c r="H139" t="inlineStr">
        <is>
          <t>DM</t>
        </is>
      </c>
      <c r="I139" t="inlineStr"/>
      <c r="J139" t="inlineStr"/>
      <c r="K139" t="inlineStr">
        <is>
          <t>Weight</t>
        </is>
      </c>
      <c r="L139" t="n">
        <v>0.02317</v>
      </c>
    </row>
    <row r="140">
      <c r="A140" t="inlineStr">
        <is>
          <t>202512</t>
        </is>
      </c>
      <c r="B140" t="inlineStr">
        <is>
          <t>Comparación</t>
        </is>
      </c>
      <c r="C140" t="inlineStr">
        <is>
          <t>Integra</t>
        </is>
      </c>
      <c r="D140" t="inlineStr">
        <is>
          <t>Instrumento</t>
        </is>
      </c>
      <c r="E140" t="inlineStr">
        <is>
          <t>Equities</t>
        </is>
      </c>
      <c r="F140" t="inlineStr">
        <is>
          <t>Passive</t>
        </is>
      </c>
      <c r="G140" t="inlineStr">
        <is>
          <t>State Street - S&amp;P Metals &amp; Mining ETF</t>
        </is>
      </c>
      <c r="H140" t="inlineStr">
        <is>
          <t>DM</t>
        </is>
      </c>
      <c r="I140" t="inlineStr"/>
      <c r="J140" t="inlineStr"/>
      <c r="K140" t="inlineStr">
        <is>
          <t>Intensidad</t>
        </is>
      </c>
      <c r="L140" t="n">
        <v>12.602626</v>
      </c>
    </row>
    <row r="141">
      <c r="A141" t="inlineStr">
        <is>
          <t>202512</t>
        </is>
      </c>
      <c r="B141" t="inlineStr">
        <is>
          <t>Comparación</t>
        </is>
      </c>
      <c r="C141" t="inlineStr">
        <is>
          <t>Integra</t>
        </is>
      </c>
      <c r="D141" t="inlineStr">
        <is>
          <t>Instrumento</t>
        </is>
      </c>
      <c r="E141" t="inlineStr">
        <is>
          <t>Equities</t>
        </is>
      </c>
      <c r="F141" t="inlineStr">
        <is>
          <t>Passive</t>
        </is>
      </c>
      <c r="G141" t="inlineStr">
        <is>
          <t>State Street - S&amp;P Metals &amp; Mining ETF</t>
        </is>
      </c>
      <c r="H141" t="inlineStr">
        <is>
          <t>DM</t>
        </is>
      </c>
      <c r="I141" t="inlineStr"/>
      <c r="J141" t="inlineStr"/>
      <c r="K141" t="inlineStr">
        <is>
          <t>Weight</t>
        </is>
      </c>
      <c r="L141" t="n">
        <v>0.019395</v>
      </c>
    </row>
    <row r="142">
      <c r="A142" t="inlineStr">
        <is>
          <t>202512</t>
        </is>
      </c>
      <c r="B142" t="inlineStr">
        <is>
          <t>Comparación</t>
        </is>
      </c>
      <c r="C142" t="inlineStr">
        <is>
          <t>Ex_Integra</t>
        </is>
      </c>
      <c r="D142" t="inlineStr">
        <is>
          <t>Instrumento</t>
        </is>
      </c>
      <c r="E142" t="inlineStr">
        <is>
          <t>Equities</t>
        </is>
      </c>
      <c r="F142" t="inlineStr">
        <is>
          <t>Passive</t>
        </is>
      </c>
      <c r="G142" t="inlineStr">
        <is>
          <t>VanEck - Gold Miners ETF</t>
        </is>
      </c>
      <c r="H142" t="inlineStr">
        <is>
          <t>Metales Preciosos</t>
        </is>
      </c>
      <c r="I142" t="inlineStr"/>
      <c r="J142" t="inlineStr"/>
      <c r="K142" t="inlineStr">
        <is>
          <t>Intensidad</t>
        </is>
      </c>
      <c r="L142" t="n">
        <v>6.387966</v>
      </c>
    </row>
    <row r="143">
      <c r="A143" t="inlineStr">
        <is>
          <t>202512</t>
        </is>
      </c>
      <c r="B143" t="inlineStr">
        <is>
          <t>Comparación</t>
        </is>
      </c>
      <c r="C143" t="inlineStr">
        <is>
          <t>Ex_Integra</t>
        </is>
      </c>
      <c r="D143" t="inlineStr">
        <is>
          <t>Instrumento</t>
        </is>
      </c>
      <c r="E143" t="inlineStr">
        <is>
          <t>Equities</t>
        </is>
      </c>
      <c r="F143" t="inlineStr">
        <is>
          <t>Passive</t>
        </is>
      </c>
      <c r="G143" t="inlineStr">
        <is>
          <t>VanEck - Gold Miners ETF</t>
        </is>
      </c>
      <c r="H143" t="inlineStr">
        <is>
          <t>Metales Preciosos</t>
        </is>
      </c>
      <c r="I143" t="inlineStr"/>
      <c r="J143" t="inlineStr"/>
      <c r="K143" t="inlineStr">
        <is>
          <t>Weight</t>
        </is>
      </c>
      <c r="L143" t="n">
        <v>0.078029</v>
      </c>
    </row>
    <row r="144">
      <c r="A144" t="inlineStr">
        <is>
          <t>202512</t>
        </is>
      </c>
      <c r="B144" t="inlineStr">
        <is>
          <t>Comparación</t>
        </is>
      </c>
      <c r="C144" t="inlineStr">
        <is>
          <t>Habitat</t>
        </is>
      </c>
      <c r="D144" t="inlineStr">
        <is>
          <t>Instrumento</t>
        </is>
      </c>
      <c r="E144" t="inlineStr">
        <is>
          <t>Equities</t>
        </is>
      </c>
      <c r="F144" t="inlineStr">
        <is>
          <t>Passive</t>
        </is>
      </c>
      <c r="G144" t="inlineStr">
        <is>
          <t>VanEck - Gold Miners ETF</t>
        </is>
      </c>
      <c r="H144" t="inlineStr">
        <is>
          <t>Metales Preciosos</t>
        </is>
      </c>
      <c r="I144" t="inlineStr"/>
      <c r="J144" t="inlineStr"/>
      <c r="K144" t="inlineStr">
        <is>
          <t>Intensidad</t>
        </is>
      </c>
      <c r="L144" t="n">
        <v>5.833873</v>
      </c>
    </row>
    <row r="145">
      <c r="A145" t="inlineStr">
        <is>
          <t>202512</t>
        </is>
      </c>
      <c r="B145" t="inlineStr">
        <is>
          <t>Comparación</t>
        </is>
      </c>
      <c r="C145" t="inlineStr">
        <is>
          <t>Habitat</t>
        </is>
      </c>
      <c r="D145" t="inlineStr">
        <is>
          <t>Instrumento</t>
        </is>
      </c>
      <c r="E145" t="inlineStr">
        <is>
          <t>Equities</t>
        </is>
      </c>
      <c r="F145" t="inlineStr">
        <is>
          <t>Passive</t>
        </is>
      </c>
      <c r="G145" t="inlineStr">
        <is>
          <t>VanEck - Gold Miners ETF</t>
        </is>
      </c>
      <c r="H145" t="inlineStr">
        <is>
          <t>Metales Preciosos</t>
        </is>
      </c>
      <c r="I145" t="inlineStr"/>
      <c r="J145" t="inlineStr"/>
      <c r="K145" t="inlineStr">
        <is>
          <t>Weight</t>
        </is>
      </c>
      <c r="L145" t="n">
        <v>0.071261</v>
      </c>
    </row>
    <row r="146">
      <c r="A146" t="inlineStr">
        <is>
          <t>202512</t>
        </is>
      </c>
      <c r="B146" t="inlineStr">
        <is>
          <t>Comparación</t>
        </is>
      </c>
      <c r="C146" t="inlineStr">
        <is>
          <t>Integra</t>
        </is>
      </c>
      <c r="D146" t="inlineStr">
        <is>
          <t>Instrumento</t>
        </is>
      </c>
      <c r="E146" t="inlineStr">
        <is>
          <t>Equities</t>
        </is>
      </c>
      <c r="F146" t="inlineStr">
        <is>
          <t>Passive</t>
        </is>
      </c>
      <c r="G146" t="inlineStr">
        <is>
          <t>VanEck - Gold Miners ETF</t>
        </is>
      </c>
      <c r="H146" t="inlineStr">
        <is>
          <t>Metales Preciosos</t>
        </is>
      </c>
      <c r="I146" t="inlineStr"/>
      <c r="J146" t="inlineStr"/>
      <c r="K146" t="inlineStr">
        <is>
          <t>Intensidad</t>
        </is>
      </c>
      <c r="L146" t="n">
        <v>3.461095</v>
      </c>
    </row>
    <row r="147">
      <c r="A147" t="inlineStr">
        <is>
          <t>202512</t>
        </is>
      </c>
      <c r="B147" t="inlineStr">
        <is>
          <t>Comparación</t>
        </is>
      </c>
      <c r="C147" t="inlineStr">
        <is>
          <t>Integra</t>
        </is>
      </c>
      <c r="D147" t="inlineStr">
        <is>
          <t>Instrumento</t>
        </is>
      </c>
      <c r="E147" t="inlineStr">
        <is>
          <t>Equities</t>
        </is>
      </c>
      <c r="F147" t="inlineStr">
        <is>
          <t>Passive</t>
        </is>
      </c>
      <c r="G147" t="inlineStr">
        <is>
          <t>VanEck - Gold Miners ETF</t>
        </is>
      </c>
      <c r="H147" t="inlineStr">
        <is>
          <t>Metales Preciosos</t>
        </is>
      </c>
      <c r="I147" t="inlineStr"/>
      <c r="J147" t="inlineStr"/>
      <c r="K147" t="inlineStr">
        <is>
          <t>Weight</t>
        </is>
      </c>
      <c r="L147" t="n">
        <v>0.042277</v>
      </c>
    </row>
    <row r="148">
      <c r="A148" t="inlineStr">
        <is>
          <t>202512</t>
        </is>
      </c>
      <c r="B148" t="inlineStr">
        <is>
          <t>Comparación</t>
        </is>
      </c>
      <c r="C148" t="inlineStr">
        <is>
          <t>Prima</t>
        </is>
      </c>
      <c r="D148" t="inlineStr">
        <is>
          <t>Instrumento</t>
        </is>
      </c>
      <c r="E148" t="inlineStr">
        <is>
          <t>Equities</t>
        </is>
      </c>
      <c r="F148" t="inlineStr">
        <is>
          <t>Passive</t>
        </is>
      </c>
      <c r="G148" t="inlineStr">
        <is>
          <t>VanEck - Gold Miners ETF</t>
        </is>
      </c>
      <c r="H148" t="inlineStr">
        <is>
          <t>Metales Preciosos</t>
        </is>
      </c>
      <c r="I148" t="inlineStr"/>
      <c r="J148" t="inlineStr"/>
      <c r="K148" t="inlineStr">
        <is>
          <t>Intensidad</t>
        </is>
      </c>
      <c r="L148" t="n">
        <v>7.818757</v>
      </c>
    </row>
    <row r="149">
      <c r="A149" t="inlineStr">
        <is>
          <t>202512</t>
        </is>
      </c>
      <c r="B149" t="inlineStr">
        <is>
          <t>Comparación</t>
        </is>
      </c>
      <c r="C149" t="inlineStr">
        <is>
          <t>Prima</t>
        </is>
      </c>
      <c r="D149" t="inlineStr">
        <is>
          <t>Instrumento</t>
        </is>
      </c>
      <c r="E149" t="inlineStr">
        <is>
          <t>Equities</t>
        </is>
      </c>
      <c r="F149" t="inlineStr">
        <is>
          <t>Passive</t>
        </is>
      </c>
      <c r="G149" t="inlineStr">
        <is>
          <t>VanEck - Gold Miners ETF</t>
        </is>
      </c>
      <c r="H149" t="inlineStr">
        <is>
          <t>Metales Preciosos</t>
        </is>
      </c>
      <c r="I149" t="inlineStr"/>
      <c r="J149" t="inlineStr"/>
      <c r="K149" t="inlineStr">
        <is>
          <t>Weight</t>
        </is>
      </c>
      <c r="L149" t="n">
        <v>0.09550699999999999</v>
      </c>
    </row>
    <row r="150">
      <c r="A150" t="inlineStr">
        <is>
          <t>202512</t>
        </is>
      </c>
      <c r="B150" t="inlineStr">
        <is>
          <t>Comparación</t>
        </is>
      </c>
      <c r="C150" t="inlineStr">
        <is>
          <t>Profuturo</t>
        </is>
      </c>
      <c r="D150" t="inlineStr">
        <is>
          <t>Instrumento</t>
        </is>
      </c>
      <c r="E150" t="inlineStr">
        <is>
          <t>Equities</t>
        </is>
      </c>
      <c r="F150" t="inlineStr">
        <is>
          <t>Passive</t>
        </is>
      </c>
      <c r="G150" t="inlineStr">
        <is>
          <t>VanEck - Gold Miners ETF</t>
        </is>
      </c>
      <c r="H150" t="inlineStr">
        <is>
          <t>Metales Preciosos</t>
        </is>
      </c>
      <c r="I150" t="inlineStr"/>
      <c r="J150" t="inlineStr"/>
      <c r="K150" t="inlineStr">
        <is>
          <t>Intensidad</t>
        </is>
      </c>
      <c r="L150" t="n">
        <v>4.383463</v>
      </c>
    </row>
    <row r="151">
      <c r="A151" t="inlineStr">
        <is>
          <t>202512</t>
        </is>
      </c>
      <c r="B151" t="inlineStr">
        <is>
          <t>Comparación</t>
        </is>
      </c>
      <c r="C151" t="inlineStr">
        <is>
          <t>Profuturo</t>
        </is>
      </c>
      <c r="D151" t="inlineStr">
        <is>
          <t>Instrumento</t>
        </is>
      </c>
      <c r="E151" t="inlineStr">
        <is>
          <t>Equities</t>
        </is>
      </c>
      <c r="F151" t="inlineStr">
        <is>
          <t>Passive</t>
        </is>
      </c>
      <c r="G151" t="inlineStr">
        <is>
          <t>VanEck - Gold Miners ETF</t>
        </is>
      </c>
      <c r="H151" t="inlineStr">
        <is>
          <t>Metales Preciosos</t>
        </is>
      </c>
      <c r="I151" t="inlineStr"/>
      <c r="J151" t="inlineStr"/>
      <c r="K151" t="inlineStr">
        <is>
          <t>Weight</t>
        </is>
      </c>
      <c r="L151" t="n">
        <v>0.053544</v>
      </c>
    </row>
    <row r="152">
      <c r="A152" t="inlineStr">
        <is>
          <t>202512</t>
        </is>
      </c>
      <c r="B152" t="inlineStr">
        <is>
          <t>Comparación</t>
        </is>
      </c>
      <c r="C152" t="inlineStr">
        <is>
          <t>Integra</t>
        </is>
      </c>
      <c r="D152" t="inlineStr">
        <is>
          <t>Instrumento</t>
        </is>
      </c>
      <c r="E152" t="inlineStr">
        <is>
          <t>Fixed Income</t>
        </is>
      </c>
      <c r="F152" t="inlineStr">
        <is>
          <t>Passive</t>
        </is>
      </c>
      <c r="G152" t="inlineStr">
        <is>
          <t>BlackRock - iShares - Tips ETF</t>
        </is>
      </c>
      <c r="H152" t="inlineStr">
        <is>
          <t>DM</t>
        </is>
      </c>
      <c r="I152" t="inlineStr"/>
      <c r="J152" t="inlineStr"/>
      <c r="K152" t="inlineStr">
        <is>
          <t>Intensidad</t>
        </is>
      </c>
      <c r="L152" t="n">
        <v>3.432772</v>
      </c>
    </row>
    <row r="153">
      <c r="A153" t="inlineStr">
        <is>
          <t>202512</t>
        </is>
      </c>
      <c r="B153" t="inlineStr">
        <is>
          <t>Comparación</t>
        </is>
      </c>
      <c r="C153" t="inlineStr">
        <is>
          <t>Integra</t>
        </is>
      </c>
      <c r="D153" t="inlineStr">
        <is>
          <t>Instrumento</t>
        </is>
      </c>
      <c r="E153" t="inlineStr">
        <is>
          <t>Fixed Income</t>
        </is>
      </c>
      <c r="F153" t="inlineStr">
        <is>
          <t>Passive</t>
        </is>
      </c>
      <c r="G153" t="inlineStr">
        <is>
          <t>BlackRock - iShares - Tips ETF</t>
        </is>
      </c>
      <c r="H153" t="inlineStr">
        <is>
          <t>DM</t>
        </is>
      </c>
      <c r="I153" t="inlineStr"/>
      <c r="J153" t="inlineStr"/>
      <c r="K153" t="inlineStr">
        <is>
          <t>Weight</t>
        </is>
      </c>
      <c r="L153" t="n">
        <v>0.016944</v>
      </c>
    </row>
    <row r="154">
      <c r="A154" t="inlineStr">
        <is>
          <t>202512</t>
        </is>
      </c>
      <c r="B154" t="inlineStr">
        <is>
          <t>Comparación</t>
        </is>
      </c>
      <c r="C154" t="inlineStr">
        <is>
          <t>Ex_Integra</t>
        </is>
      </c>
      <c r="D154" t="inlineStr">
        <is>
          <t>Instrumento</t>
        </is>
      </c>
      <c r="E154" t="inlineStr">
        <is>
          <t>Fixed Income</t>
        </is>
      </c>
      <c r="F154" t="inlineStr">
        <is>
          <t>Active</t>
        </is>
      </c>
      <c r="G154" t="inlineStr">
        <is>
          <t>Colchester Local Markets Bond Fund USD Unhedged</t>
        </is>
      </c>
      <c r="H154" t="inlineStr">
        <is>
          <t>EM</t>
        </is>
      </c>
      <c r="I154" t="inlineStr"/>
      <c r="J154" t="inlineStr"/>
      <c r="K154" t="inlineStr">
        <is>
          <t>Intensidad</t>
        </is>
      </c>
      <c r="L154" t="n">
        <v>3.79034</v>
      </c>
    </row>
    <row r="155">
      <c r="A155" t="inlineStr">
        <is>
          <t>202512</t>
        </is>
      </c>
      <c r="B155" t="inlineStr">
        <is>
          <t>Comparación</t>
        </is>
      </c>
      <c r="C155" t="inlineStr">
        <is>
          <t>Ex_Integra</t>
        </is>
      </c>
      <c r="D155" t="inlineStr">
        <is>
          <t>Instrumento</t>
        </is>
      </c>
      <c r="E155" t="inlineStr">
        <is>
          <t>Fixed Income</t>
        </is>
      </c>
      <c r="F155" t="inlineStr">
        <is>
          <t>Active</t>
        </is>
      </c>
      <c r="G155" t="inlineStr">
        <is>
          <t>Colchester Local Markets Bond Fund USD Unhedged</t>
        </is>
      </c>
      <c r="H155" t="inlineStr">
        <is>
          <t>EM</t>
        </is>
      </c>
      <c r="I155" t="inlineStr"/>
      <c r="J155" t="inlineStr"/>
      <c r="K155" t="inlineStr">
        <is>
          <t>Weight</t>
        </is>
      </c>
      <c r="L155" t="n">
        <v>0.005052</v>
      </c>
    </row>
    <row r="156">
      <c r="A156" t="inlineStr">
        <is>
          <t>202512</t>
        </is>
      </c>
      <c r="B156" t="inlineStr">
        <is>
          <t>Comparación</t>
        </is>
      </c>
      <c r="C156" t="inlineStr">
        <is>
          <t>Prima</t>
        </is>
      </c>
      <c r="D156" t="inlineStr">
        <is>
          <t>Instrumento</t>
        </is>
      </c>
      <c r="E156" t="inlineStr">
        <is>
          <t>Fixed Income</t>
        </is>
      </c>
      <c r="F156" t="inlineStr">
        <is>
          <t>Active</t>
        </is>
      </c>
      <c r="G156" t="inlineStr">
        <is>
          <t>Colchester Local Markets Bond Fund USD Unhedged</t>
        </is>
      </c>
      <c r="H156" t="inlineStr">
        <is>
          <t>EM</t>
        </is>
      </c>
      <c r="I156" t="inlineStr"/>
      <c r="J156" t="inlineStr"/>
      <c r="K156" t="inlineStr">
        <is>
          <t>Intensidad</t>
        </is>
      </c>
      <c r="L156" t="n">
        <v>7.704617</v>
      </c>
    </row>
    <row r="157">
      <c r="A157" t="inlineStr">
        <is>
          <t>202512</t>
        </is>
      </c>
      <c r="B157" t="inlineStr">
        <is>
          <t>Comparación</t>
        </is>
      </c>
      <c r="C157" t="inlineStr">
        <is>
          <t>Prima</t>
        </is>
      </c>
      <c r="D157" t="inlineStr">
        <is>
          <t>Instrumento</t>
        </is>
      </c>
      <c r="E157" t="inlineStr">
        <is>
          <t>Fixed Income</t>
        </is>
      </c>
      <c r="F157" t="inlineStr">
        <is>
          <t>Active</t>
        </is>
      </c>
      <c r="G157" t="inlineStr">
        <is>
          <t>Colchester Local Markets Bond Fund USD Unhedged</t>
        </is>
      </c>
      <c r="H157" t="inlineStr">
        <is>
          <t>EM</t>
        </is>
      </c>
      <c r="I157" t="inlineStr"/>
      <c r="J157" t="inlineStr"/>
      <c r="K157" t="inlineStr">
        <is>
          <t>Weight</t>
        </is>
      </c>
      <c r="L157" t="n">
        <v>0.010269</v>
      </c>
    </row>
    <row r="158">
      <c r="A158" t="inlineStr">
        <is>
          <t>202512</t>
        </is>
      </c>
      <c r="B158" t="inlineStr">
        <is>
          <t>Comparación</t>
        </is>
      </c>
      <c r="C158" t="inlineStr">
        <is>
          <t>Ex_Integra</t>
        </is>
      </c>
      <c r="D158" t="inlineStr">
        <is>
          <t>Instrumento</t>
        </is>
      </c>
      <c r="E158" t="inlineStr">
        <is>
          <t>Fixed Income</t>
        </is>
      </c>
      <c r="F158" t="inlineStr">
        <is>
          <t>Active</t>
        </is>
      </c>
      <c r="G158" t="inlineStr">
        <is>
          <t>Edmond de Rothschild - Corp EM Debt USD</t>
        </is>
      </c>
      <c r="H158" t="inlineStr">
        <is>
          <t>EM</t>
        </is>
      </c>
      <c r="I158" t="inlineStr"/>
      <c r="J158" t="inlineStr"/>
      <c r="K158" t="inlineStr">
        <is>
          <t>Intensidad</t>
        </is>
      </c>
      <c r="L158" t="n">
        <v>4.202074</v>
      </c>
    </row>
    <row r="159">
      <c r="A159" t="inlineStr">
        <is>
          <t>202512</t>
        </is>
      </c>
      <c r="B159" t="inlineStr">
        <is>
          <t>Comparación</t>
        </is>
      </c>
      <c r="C159" t="inlineStr">
        <is>
          <t>Ex_Integra</t>
        </is>
      </c>
      <c r="D159" t="inlineStr">
        <is>
          <t>Instrumento</t>
        </is>
      </c>
      <c r="E159" t="inlineStr">
        <is>
          <t>Fixed Income</t>
        </is>
      </c>
      <c r="F159" t="inlineStr">
        <is>
          <t>Active</t>
        </is>
      </c>
      <c r="G159" t="inlineStr">
        <is>
          <t>Edmond de Rothschild - Corp EM Debt USD</t>
        </is>
      </c>
      <c r="H159" t="inlineStr">
        <is>
          <t>EM</t>
        </is>
      </c>
      <c r="I159" t="inlineStr"/>
      <c r="J159" t="inlineStr"/>
      <c r="K159" t="inlineStr">
        <is>
          <t>Weight</t>
        </is>
      </c>
      <c r="L159" t="n">
        <v>0.011009</v>
      </c>
    </row>
    <row r="160">
      <c r="A160" t="inlineStr">
        <is>
          <t>202512</t>
        </is>
      </c>
      <c r="B160" t="inlineStr">
        <is>
          <t>Comparación</t>
        </is>
      </c>
      <c r="C160" t="inlineStr">
        <is>
          <t>Habitat</t>
        </is>
      </c>
      <c r="D160" t="inlineStr">
        <is>
          <t>Instrumento</t>
        </is>
      </c>
      <c r="E160" t="inlineStr">
        <is>
          <t>Fixed Income</t>
        </is>
      </c>
      <c r="F160" t="inlineStr">
        <is>
          <t>Active</t>
        </is>
      </c>
      <c r="G160" t="inlineStr">
        <is>
          <t>Edmond de Rothschild - Corp EM Debt USD</t>
        </is>
      </c>
      <c r="H160" t="inlineStr">
        <is>
          <t>EM</t>
        </is>
      </c>
      <c r="I160" t="inlineStr"/>
      <c r="J160" t="inlineStr"/>
      <c r="K160" t="inlineStr">
        <is>
          <t>Intensidad</t>
        </is>
      </c>
      <c r="L160" t="n">
        <v>8.368468</v>
      </c>
    </row>
    <row r="161">
      <c r="A161" t="inlineStr">
        <is>
          <t>202512</t>
        </is>
      </c>
      <c r="B161" t="inlineStr">
        <is>
          <t>Comparación</t>
        </is>
      </c>
      <c r="C161" t="inlineStr">
        <is>
          <t>Habitat</t>
        </is>
      </c>
      <c r="D161" t="inlineStr">
        <is>
          <t>Instrumento</t>
        </is>
      </c>
      <c r="E161" t="inlineStr">
        <is>
          <t>Fixed Income</t>
        </is>
      </c>
      <c r="F161" t="inlineStr">
        <is>
          <t>Active</t>
        </is>
      </c>
      <c r="G161" t="inlineStr">
        <is>
          <t>Edmond de Rothschild - Corp EM Debt USD</t>
        </is>
      </c>
      <c r="H161" t="inlineStr">
        <is>
          <t>EM</t>
        </is>
      </c>
      <c r="I161" t="inlineStr"/>
      <c r="J161" t="inlineStr"/>
      <c r="K161" t="inlineStr">
        <is>
          <t>Weight</t>
        </is>
      </c>
      <c r="L161" t="n">
        <v>0.021924</v>
      </c>
    </row>
    <row r="162">
      <c r="A162" t="inlineStr">
        <is>
          <t>202512</t>
        </is>
      </c>
      <c r="B162" t="inlineStr">
        <is>
          <t>Comparación</t>
        </is>
      </c>
      <c r="C162" t="inlineStr">
        <is>
          <t>Prima</t>
        </is>
      </c>
      <c r="D162" t="inlineStr">
        <is>
          <t>Instrumento</t>
        </is>
      </c>
      <c r="E162" t="inlineStr">
        <is>
          <t>Fixed Income</t>
        </is>
      </c>
      <c r="F162" t="inlineStr">
        <is>
          <t>Active</t>
        </is>
      </c>
      <c r="G162" t="inlineStr">
        <is>
          <t>Edmond de Rothschild - Corp EM Debt USD</t>
        </is>
      </c>
      <c r="H162" t="inlineStr">
        <is>
          <t>EM</t>
        </is>
      </c>
      <c r="I162" t="inlineStr"/>
      <c r="J162" t="inlineStr"/>
      <c r="K162" t="inlineStr">
        <is>
          <t>Intensidad</t>
        </is>
      </c>
      <c r="L162" t="n">
        <v>5.799756</v>
      </c>
    </row>
    <row r="163">
      <c r="A163" t="inlineStr">
        <is>
          <t>202512</t>
        </is>
      </c>
      <c r="B163" t="inlineStr">
        <is>
          <t>Comparación</t>
        </is>
      </c>
      <c r="C163" t="inlineStr">
        <is>
          <t>Prima</t>
        </is>
      </c>
      <c r="D163" t="inlineStr">
        <is>
          <t>Instrumento</t>
        </is>
      </c>
      <c r="E163" t="inlineStr">
        <is>
          <t>Fixed Income</t>
        </is>
      </c>
      <c r="F163" t="inlineStr">
        <is>
          <t>Active</t>
        </is>
      </c>
      <c r="G163" t="inlineStr">
        <is>
          <t>Edmond de Rothschild - Corp EM Debt USD</t>
        </is>
      </c>
      <c r="H163" t="inlineStr">
        <is>
          <t>EM</t>
        </is>
      </c>
      <c r="I163" t="inlineStr"/>
      <c r="J163" t="inlineStr"/>
      <c r="K163" t="inlineStr">
        <is>
          <t>Weight</t>
        </is>
      </c>
      <c r="L163" t="n">
        <v>0.015195</v>
      </c>
    </row>
    <row r="164">
      <c r="A164" t="inlineStr">
        <is>
          <t>202512</t>
        </is>
      </c>
      <c r="B164" t="inlineStr">
        <is>
          <t>Comparación</t>
        </is>
      </c>
      <c r="C164" t="inlineStr">
        <is>
          <t>Habitat</t>
        </is>
      </c>
      <c r="D164" t="inlineStr">
        <is>
          <t>Instrumento</t>
        </is>
      </c>
      <c r="E164" t="inlineStr">
        <is>
          <t>Fixed Income</t>
        </is>
      </c>
      <c r="F164" t="inlineStr">
        <is>
          <t>Active</t>
        </is>
      </c>
      <c r="G164" t="inlineStr">
        <is>
          <t>Moneda - CLOs</t>
        </is>
      </c>
      <c r="H164" t="inlineStr">
        <is>
          <t>HY</t>
        </is>
      </c>
      <c r="I164" t="inlineStr"/>
      <c r="J164" t="inlineStr"/>
      <c r="K164" t="inlineStr">
        <is>
          <t>Intensidad</t>
        </is>
      </c>
      <c r="L164" t="n">
        <v>2.148741</v>
      </c>
    </row>
    <row r="165">
      <c r="A165" t="inlineStr">
        <is>
          <t>202512</t>
        </is>
      </c>
      <c r="B165" t="inlineStr">
        <is>
          <t>Comparación</t>
        </is>
      </c>
      <c r="C165" t="inlineStr">
        <is>
          <t>Habitat</t>
        </is>
      </c>
      <c r="D165" t="inlineStr">
        <is>
          <t>Instrumento</t>
        </is>
      </c>
      <c r="E165" t="inlineStr">
        <is>
          <t>Fixed Income</t>
        </is>
      </c>
      <c r="F165" t="inlineStr">
        <is>
          <t>Active</t>
        </is>
      </c>
      <c r="G165" t="inlineStr">
        <is>
          <t>Moneda - CLOs</t>
        </is>
      </c>
      <c r="H165" t="inlineStr">
        <is>
          <t>HY</t>
        </is>
      </c>
      <c r="I165" t="inlineStr"/>
      <c r="J165" t="inlineStr"/>
      <c r="K165" t="inlineStr">
        <is>
          <t>Weight</t>
        </is>
      </c>
      <c r="L165" t="n">
        <v>0.022781</v>
      </c>
    </row>
    <row r="166">
      <c r="A166" t="inlineStr">
        <is>
          <t>202512</t>
        </is>
      </c>
      <c r="B166" t="inlineStr">
        <is>
          <t>Comparación</t>
        </is>
      </c>
      <c r="C166" t="inlineStr">
        <is>
          <t>Profuturo</t>
        </is>
      </c>
      <c r="D166" t="inlineStr">
        <is>
          <t>Instrumento</t>
        </is>
      </c>
      <c r="E166" t="inlineStr">
        <is>
          <t>Fixed Income</t>
        </is>
      </c>
      <c r="F166" t="inlineStr">
        <is>
          <t>Active</t>
        </is>
      </c>
      <c r="G166" t="inlineStr">
        <is>
          <t>Moneda - Deuda Latam LCC</t>
        </is>
      </c>
      <c r="H166" t="inlineStr">
        <is>
          <t>EM</t>
        </is>
      </c>
      <c r="I166" t="inlineStr"/>
      <c r="J166" t="inlineStr"/>
      <c r="K166" t="inlineStr">
        <is>
          <t>Intensidad</t>
        </is>
      </c>
      <c r="L166" t="n">
        <v>3.092007</v>
      </c>
    </row>
    <row r="167">
      <c r="A167" t="inlineStr">
        <is>
          <t>202512</t>
        </is>
      </c>
      <c r="B167" t="inlineStr">
        <is>
          <t>Comparación</t>
        </is>
      </c>
      <c r="C167" t="inlineStr">
        <is>
          <t>Profuturo</t>
        </is>
      </c>
      <c r="D167" t="inlineStr">
        <is>
          <t>Instrumento</t>
        </is>
      </c>
      <c r="E167" t="inlineStr">
        <is>
          <t>Fixed Income</t>
        </is>
      </c>
      <c r="F167" t="inlineStr">
        <is>
          <t>Active</t>
        </is>
      </c>
      <c r="G167" t="inlineStr">
        <is>
          <t>Moneda - Deuda Latam LCC</t>
        </is>
      </c>
      <c r="H167" t="inlineStr">
        <is>
          <t>EM</t>
        </is>
      </c>
      <c r="I167" t="inlineStr"/>
      <c r="J167" t="inlineStr"/>
      <c r="K167" t="inlineStr">
        <is>
          <t>Weight</t>
        </is>
      </c>
      <c r="L167" t="n">
        <v>0.027726</v>
      </c>
    </row>
    <row r="168">
      <c r="A168" t="inlineStr">
        <is>
          <t>202512</t>
        </is>
      </c>
      <c r="B168" t="inlineStr">
        <is>
          <t>Comparación</t>
        </is>
      </c>
      <c r="C168" t="inlineStr">
        <is>
          <t>Ex_Integra</t>
        </is>
      </c>
      <c r="D168" t="inlineStr">
        <is>
          <t>Instrumento</t>
        </is>
      </c>
      <c r="E168" t="inlineStr">
        <is>
          <t>Fixed Income</t>
        </is>
      </c>
      <c r="F168" t="inlineStr">
        <is>
          <t>Active</t>
        </is>
      </c>
      <c r="G168" t="inlineStr">
        <is>
          <t>Moneda - Latam High Yield</t>
        </is>
      </c>
      <c r="H168" t="inlineStr">
        <is>
          <t>EM</t>
        </is>
      </c>
      <c r="I168" t="inlineStr"/>
      <c r="J168" t="inlineStr"/>
      <c r="K168" t="inlineStr">
        <is>
          <t>Intensidad</t>
        </is>
      </c>
      <c r="L168" t="n">
        <v>4.869044</v>
      </c>
    </row>
    <row r="169">
      <c r="A169" t="inlineStr">
        <is>
          <t>202512</t>
        </is>
      </c>
      <c r="B169" t="inlineStr">
        <is>
          <t>Comparación</t>
        </is>
      </c>
      <c r="C169" t="inlineStr">
        <is>
          <t>Ex_Integra</t>
        </is>
      </c>
      <c r="D169" t="inlineStr">
        <is>
          <t>Instrumento</t>
        </is>
      </c>
      <c r="E169" t="inlineStr">
        <is>
          <t>Fixed Income</t>
        </is>
      </c>
      <c r="F169" t="inlineStr">
        <is>
          <t>Active</t>
        </is>
      </c>
      <c r="G169" t="inlineStr">
        <is>
          <t>Moneda - Latam High Yield</t>
        </is>
      </c>
      <c r="H169" t="inlineStr">
        <is>
          <t>EM</t>
        </is>
      </c>
      <c r="I169" t="inlineStr"/>
      <c r="J169" t="inlineStr"/>
      <c r="K169" t="inlineStr">
        <is>
          <t>Weight</t>
        </is>
      </c>
      <c r="L169" t="n">
        <v>0.043661</v>
      </c>
    </row>
    <row r="170">
      <c r="A170" t="inlineStr">
        <is>
          <t>202512</t>
        </is>
      </c>
      <c r="B170" t="inlineStr">
        <is>
          <t>Comparación</t>
        </is>
      </c>
      <c r="C170" t="inlineStr">
        <is>
          <t>Habitat</t>
        </is>
      </c>
      <c r="D170" t="inlineStr">
        <is>
          <t>Instrumento</t>
        </is>
      </c>
      <c r="E170" t="inlineStr">
        <is>
          <t>Fixed Income</t>
        </is>
      </c>
      <c r="F170" t="inlineStr">
        <is>
          <t>Active</t>
        </is>
      </c>
      <c r="G170" t="inlineStr">
        <is>
          <t>Moneda - Latam High Yield</t>
        </is>
      </c>
      <c r="H170" t="inlineStr">
        <is>
          <t>EM</t>
        </is>
      </c>
      <c r="I170" t="inlineStr"/>
      <c r="J170" t="inlineStr"/>
      <c r="K170" t="inlineStr">
        <is>
          <t>Intensidad</t>
        </is>
      </c>
      <c r="L170" t="n">
        <v>2.610639</v>
      </c>
    </row>
    <row r="171">
      <c r="A171" t="inlineStr">
        <is>
          <t>202512</t>
        </is>
      </c>
      <c r="B171" t="inlineStr">
        <is>
          <t>Comparación</t>
        </is>
      </c>
      <c r="C171" t="inlineStr">
        <is>
          <t>Habitat</t>
        </is>
      </c>
      <c r="D171" t="inlineStr">
        <is>
          <t>Instrumento</t>
        </is>
      </c>
      <c r="E171" t="inlineStr">
        <is>
          <t>Fixed Income</t>
        </is>
      </c>
      <c r="F171" t="inlineStr">
        <is>
          <t>Active</t>
        </is>
      </c>
      <c r="G171" t="inlineStr">
        <is>
          <t>Moneda - Latam High Yield</t>
        </is>
      </c>
      <c r="H171" t="inlineStr">
        <is>
          <t>EM</t>
        </is>
      </c>
      <c r="I171" t="inlineStr"/>
      <c r="J171" t="inlineStr"/>
      <c r="K171" t="inlineStr">
        <is>
          <t>Weight</t>
        </is>
      </c>
      <c r="L171" t="n">
        <v>0.02341</v>
      </c>
    </row>
    <row r="172">
      <c r="A172" t="inlineStr">
        <is>
          <t>202512</t>
        </is>
      </c>
      <c r="B172" t="inlineStr">
        <is>
          <t>Comparación</t>
        </is>
      </c>
      <c r="C172" t="inlineStr">
        <is>
          <t>Integra</t>
        </is>
      </c>
      <c r="D172" t="inlineStr">
        <is>
          <t>Instrumento</t>
        </is>
      </c>
      <c r="E172" t="inlineStr">
        <is>
          <t>Fixed Income</t>
        </is>
      </c>
      <c r="F172" t="inlineStr">
        <is>
          <t>Active</t>
        </is>
      </c>
      <c r="G172" t="inlineStr">
        <is>
          <t>Moneda - Latam High Yield</t>
        </is>
      </c>
      <c r="H172" t="inlineStr">
        <is>
          <t>EM</t>
        </is>
      </c>
      <c r="I172" t="inlineStr"/>
      <c r="J172" t="inlineStr"/>
      <c r="K172" t="inlineStr">
        <is>
          <t>Intensidad</t>
        </is>
      </c>
      <c r="L172" t="n">
        <v>2.583616</v>
      </c>
    </row>
    <row r="173">
      <c r="A173" t="inlineStr">
        <is>
          <t>202512</t>
        </is>
      </c>
      <c r="B173" t="inlineStr">
        <is>
          <t>Comparación</t>
        </is>
      </c>
      <c r="C173" t="inlineStr">
        <is>
          <t>Integra</t>
        </is>
      </c>
      <c r="D173" t="inlineStr">
        <is>
          <t>Instrumento</t>
        </is>
      </c>
      <c r="E173" t="inlineStr">
        <is>
          <t>Fixed Income</t>
        </is>
      </c>
      <c r="F173" t="inlineStr">
        <is>
          <t>Active</t>
        </is>
      </c>
      <c r="G173" t="inlineStr">
        <is>
          <t>Moneda - Latam High Yield</t>
        </is>
      </c>
      <c r="H173" t="inlineStr">
        <is>
          <t>EM</t>
        </is>
      </c>
      <c r="I173" t="inlineStr"/>
      <c r="J173" t="inlineStr"/>
      <c r="K173" t="inlineStr">
        <is>
          <t>Weight</t>
        </is>
      </c>
      <c r="L173" t="n">
        <v>0.023167</v>
      </c>
    </row>
    <row r="174">
      <c r="A174" t="inlineStr">
        <is>
          <t>202512</t>
        </is>
      </c>
      <c r="B174" t="inlineStr">
        <is>
          <t>Comparación</t>
        </is>
      </c>
      <c r="C174" t="inlineStr">
        <is>
          <t>Prima</t>
        </is>
      </c>
      <c r="D174" t="inlineStr">
        <is>
          <t>Instrumento</t>
        </is>
      </c>
      <c r="E174" t="inlineStr">
        <is>
          <t>Fixed Income</t>
        </is>
      </c>
      <c r="F174" t="inlineStr">
        <is>
          <t>Active</t>
        </is>
      </c>
      <c r="G174" t="inlineStr">
        <is>
          <t>Moneda - Latam High Yield</t>
        </is>
      </c>
      <c r="H174" t="inlineStr">
        <is>
          <t>EM</t>
        </is>
      </c>
      <c r="I174" t="inlineStr"/>
      <c r="J174" t="inlineStr"/>
      <c r="K174" t="inlineStr">
        <is>
          <t>Intensidad</t>
        </is>
      </c>
      <c r="L174" t="n">
        <v>4.529871</v>
      </c>
    </row>
    <row r="175">
      <c r="A175" t="inlineStr">
        <is>
          <t>202512</t>
        </is>
      </c>
      <c r="B175" t="inlineStr">
        <is>
          <t>Comparación</t>
        </is>
      </c>
      <c r="C175" t="inlineStr">
        <is>
          <t>Prima</t>
        </is>
      </c>
      <c r="D175" t="inlineStr">
        <is>
          <t>Instrumento</t>
        </is>
      </c>
      <c r="E175" t="inlineStr">
        <is>
          <t>Fixed Income</t>
        </is>
      </c>
      <c r="F175" t="inlineStr">
        <is>
          <t>Active</t>
        </is>
      </c>
      <c r="G175" t="inlineStr">
        <is>
          <t>Moneda - Latam High Yield</t>
        </is>
      </c>
      <c r="H175" t="inlineStr">
        <is>
          <t>EM</t>
        </is>
      </c>
      <c r="I175" t="inlineStr"/>
      <c r="J175" t="inlineStr"/>
      <c r="K175" t="inlineStr">
        <is>
          <t>Weight</t>
        </is>
      </c>
      <c r="L175" t="n">
        <v>0.04062</v>
      </c>
    </row>
    <row r="176">
      <c r="A176" t="inlineStr">
        <is>
          <t>202512</t>
        </is>
      </c>
      <c r="B176" t="inlineStr">
        <is>
          <t>Comparación</t>
        </is>
      </c>
      <c r="C176" t="inlineStr">
        <is>
          <t>Profuturo</t>
        </is>
      </c>
      <c r="D176" t="inlineStr">
        <is>
          <t>Instrumento</t>
        </is>
      </c>
      <c r="E176" t="inlineStr">
        <is>
          <t>Fixed Income</t>
        </is>
      </c>
      <c r="F176" t="inlineStr">
        <is>
          <t>Active</t>
        </is>
      </c>
      <c r="G176" t="inlineStr">
        <is>
          <t>Moneda - Latam High Yield</t>
        </is>
      </c>
      <c r="H176" t="inlineStr">
        <is>
          <t>EM</t>
        </is>
      </c>
      <c r="I176" t="inlineStr"/>
      <c r="J176" t="inlineStr"/>
      <c r="K176" t="inlineStr">
        <is>
          <t>Intensidad</t>
        </is>
      </c>
      <c r="L176" t="n">
        <v>6.769492</v>
      </c>
    </row>
    <row r="177">
      <c r="A177" t="inlineStr">
        <is>
          <t>202512</t>
        </is>
      </c>
      <c r="B177" t="inlineStr">
        <is>
          <t>Comparación</t>
        </is>
      </c>
      <c r="C177" t="inlineStr">
        <is>
          <t>Profuturo</t>
        </is>
      </c>
      <c r="D177" t="inlineStr">
        <is>
          <t>Instrumento</t>
        </is>
      </c>
      <c r="E177" t="inlineStr">
        <is>
          <t>Fixed Income</t>
        </is>
      </c>
      <c r="F177" t="inlineStr">
        <is>
          <t>Active</t>
        </is>
      </c>
      <c r="G177" t="inlineStr">
        <is>
          <t>Moneda - Latam High Yield</t>
        </is>
      </c>
      <c r="H177" t="inlineStr">
        <is>
          <t>EM</t>
        </is>
      </c>
      <c r="I177" t="inlineStr"/>
      <c r="J177" t="inlineStr"/>
      <c r="K177" t="inlineStr">
        <is>
          <t>Weight</t>
        </is>
      </c>
      <c r="L177" t="n">
        <v>0.060702</v>
      </c>
    </row>
    <row r="178">
      <c r="A178" t="inlineStr">
        <is>
          <t>202512</t>
        </is>
      </c>
      <c r="B178" t="inlineStr">
        <is>
          <t>Comparación</t>
        </is>
      </c>
      <c r="C178" t="inlineStr">
        <is>
          <t>Habitat</t>
        </is>
      </c>
      <c r="D178" t="inlineStr">
        <is>
          <t>Instrumento</t>
        </is>
      </c>
      <c r="E178" t="inlineStr">
        <is>
          <t>Fixed Income</t>
        </is>
      </c>
      <c r="F178" t="inlineStr">
        <is>
          <t>Active</t>
        </is>
      </c>
      <c r="G178" t="inlineStr">
        <is>
          <t>Neuberger Berman - CLO Income Fund</t>
        </is>
      </c>
      <c r="H178" t="inlineStr">
        <is>
          <t>HY</t>
        </is>
      </c>
      <c r="I178" t="inlineStr"/>
      <c r="J178" t="inlineStr"/>
      <c r="K178" t="inlineStr">
        <is>
          <t>Intensidad</t>
        </is>
      </c>
      <c r="L178" t="n">
        <v>2.319183</v>
      </c>
    </row>
    <row r="179">
      <c r="A179" t="inlineStr">
        <is>
          <t>202512</t>
        </is>
      </c>
      <c r="B179" t="inlineStr">
        <is>
          <t>Comparación</t>
        </is>
      </c>
      <c r="C179" t="inlineStr">
        <is>
          <t>Habitat</t>
        </is>
      </c>
      <c r="D179" t="inlineStr">
        <is>
          <t>Instrumento</t>
        </is>
      </c>
      <c r="E179" t="inlineStr">
        <is>
          <t>Fixed Income</t>
        </is>
      </c>
      <c r="F179" t="inlineStr">
        <is>
          <t>Active</t>
        </is>
      </c>
      <c r="G179" t="inlineStr">
        <is>
          <t>Neuberger Berman - CLO Income Fund</t>
        </is>
      </c>
      <c r="H179" t="inlineStr">
        <is>
          <t>HY</t>
        </is>
      </c>
      <c r="I179" t="inlineStr"/>
      <c r="J179" t="inlineStr"/>
      <c r="K179" t="inlineStr">
        <is>
          <t>Weight</t>
        </is>
      </c>
      <c r="L179" t="n">
        <v>0.01635</v>
      </c>
    </row>
    <row r="180">
      <c r="A180" t="inlineStr">
        <is>
          <t>202512</t>
        </is>
      </c>
      <c r="B180" t="inlineStr">
        <is>
          <t>Comparación</t>
        </is>
      </c>
      <c r="C180" t="inlineStr">
        <is>
          <t>Profuturo</t>
        </is>
      </c>
      <c r="D180" t="inlineStr">
        <is>
          <t>Instrumento</t>
        </is>
      </c>
      <c r="E180" t="inlineStr">
        <is>
          <t>Fixed Income</t>
        </is>
      </c>
      <c r="F180" t="inlineStr">
        <is>
          <t>Active</t>
        </is>
      </c>
      <c r="G180" t="inlineStr">
        <is>
          <t>Neuberger Berman - CLO Income Fund</t>
        </is>
      </c>
      <c r="H180" t="inlineStr">
        <is>
          <t>HY</t>
        </is>
      </c>
      <c r="I180" t="inlineStr"/>
      <c r="J180" t="inlineStr"/>
      <c r="K180" t="inlineStr">
        <is>
          <t>Intensidad</t>
        </is>
      </c>
      <c r="L180" t="n">
        <v>8.779170000000001</v>
      </c>
    </row>
    <row r="181">
      <c r="A181" t="inlineStr">
        <is>
          <t>202512</t>
        </is>
      </c>
      <c r="B181" t="inlineStr">
        <is>
          <t>Comparación</t>
        </is>
      </c>
      <c r="C181" t="inlineStr">
        <is>
          <t>Profuturo</t>
        </is>
      </c>
      <c r="D181" t="inlineStr">
        <is>
          <t>Instrumento</t>
        </is>
      </c>
      <c r="E181" t="inlineStr">
        <is>
          <t>Fixed Income</t>
        </is>
      </c>
      <c r="F181" t="inlineStr">
        <is>
          <t>Active</t>
        </is>
      </c>
      <c r="G181" t="inlineStr">
        <is>
          <t>Neuberger Berman - CLO Income Fund</t>
        </is>
      </c>
      <c r="H181" t="inlineStr">
        <is>
          <t>HY</t>
        </is>
      </c>
      <c r="I181" t="inlineStr"/>
      <c r="J181" t="inlineStr"/>
      <c r="K181" t="inlineStr">
        <is>
          <t>Weight</t>
        </is>
      </c>
      <c r="L181" t="n">
        <v>0.061891</v>
      </c>
    </row>
    <row r="182">
      <c r="A182" t="inlineStr">
        <is>
          <t>202512</t>
        </is>
      </c>
      <c r="B182" t="inlineStr">
        <is>
          <t>Comparación</t>
        </is>
      </c>
      <c r="C182" t="inlineStr">
        <is>
          <t>Integra</t>
        </is>
      </c>
      <c r="D182" t="inlineStr">
        <is>
          <t>Instrumento</t>
        </is>
      </c>
      <c r="E182" t="inlineStr">
        <is>
          <t>Fixed Income</t>
        </is>
      </c>
      <c r="F182" t="inlineStr">
        <is>
          <t>Active</t>
        </is>
      </c>
      <c r="G182" t="inlineStr">
        <is>
          <t>PIMCO - Asia High Yield Bond Fund</t>
        </is>
      </c>
      <c r="H182" t="inlineStr">
        <is>
          <t>EM</t>
        </is>
      </c>
      <c r="I182" t="inlineStr"/>
      <c r="J182" t="inlineStr"/>
      <c r="K182" t="inlineStr">
        <is>
          <t>Intensidad</t>
        </is>
      </c>
      <c r="L182" t="n">
        <v>2.362805</v>
      </c>
    </row>
    <row r="183">
      <c r="A183" t="inlineStr">
        <is>
          <t>202512</t>
        </is>
      </c>
      <c r="B183" t="inlineStr">
        <is>
          <t>Comparación</t>
        </is>
      </c>
      <c r="C183" t="inlineStr">
        <is>
          <t>Integra</t>
        </is>
      </c>
      <c r="D183" t="inlineStr">
        <is>
          <t>Instrumento</t>
        </is>
      </c>
      <c r="E183" t="inlineStr">
        <is>
          <t>Fixed Income</t>
        </is>
      </c>
      <c r="F183" t="inlineStr">
        <is>
          <t>Active</t>
        </is>
      </c>
      <c r="G183" t="inlineStr">
        <is>
          <t>PIMCO - Asia High Yield Bond Fund</t>
        </is>
      </c>
      <c r="H183" t="inlineStr">
        <is>
          <t>EM</t>
        </is>
      </c>
      <c r="I183" t="inlineStr"/>
      <c r="J183" t="inlineStr"/>
      <c r="K183" t="inlineStr">
        <is>
          <t>Weight</t>
        </is>
      </c>
      <c r="L183" t="n">
        <v>0.005684</v>
      </c>
    </row>
    <row r="184">
      <c r="A184" t="inlineStr">
        <is>
          <t>202512</t>
        </is>
      </c>
      <c r="B184" t="inlineStr">
        <is>
          <t>Comparación</t>
        </is>
      </c>
      <c r="C184" t="inlineStr">
        <is>
          <t>Prima</t>
        </is>
      </c>
      <c r="D184" t="inlineStr">
        <is>
          <t>Instrumento</t>
        </is>
      </c>
      <c r="E184" t="inlineStr">
        <is>
          <t>Fixed Income</t>
        </is>
      </c>
      <c r="F184" t="inlineStr">
        <is>
          <t>Active</t>
        </is>
      </c>
      <c r="G184" t="inlineStr">
        <is>
          <t>Pimco - Emerging Markets Bond Fund</t>
        </is>
      </c>
      <c r="H184" t="inlineStr">
        <is>
          <t>EM</t>
        </is>
      </c>
      <c r="I184" t="inlineStr"/>
      <c r="J184" t="inlineStr"/>
      <c r="K184" t="inlineStr">
        <is>
          <t>Intensidad</t>
        </is>
      </c>
      <c r="L184" t="n">
        <v>6.234177</v>
      </c>
    </row>
    <row r="185">
      <c r="A185" t="inlineStr">
        <is>
          <t>202512</t>
        </is>
      </c>
      <c r="B185" t="inlineStr">
        <is>
          <t>Comparación</t>
        </is>
      </c>
      <c r="C185" t="inlineStr">
        <is>
          <t>Prima</t>
        </is>
      </c>
      <c r="D185" t="inlineStr">
        <is>
          <t>Instrumento</t>
        </is>
      </c>
      <c r="E185" t="inlineStr">
        <is>
          <t>Fixed Income</t>
        </is>
      </c>
      <c r="F185" t="inlineStr">
        <is>
          <t>Active</t>
        </is>
      </c>
      <c r="G185" t="inlineStr">
        <is>
          <t>Pimco - Emerging Markets Bond Fund</t>
        </is>
      </c>
      <c r="H185" t="inlineStr">
        <is>
          <t>EM</t>
        </is>
      </c>
      <c r="I185" t="inlineStr"/>
      <c r="J185" t="inlineStr"/>
      <c r="K185" t="inlineStr">
        <is>
          <t>Weight</t>
        </is>
      </c>
      <c r="L185" t="n">
        <v>0.011631</v>
      </c>
    </row>
    <row r="186">
      <c r="A186" t="inlineStr">
        <is>
          <t>202512</t>
        </is>
      </c>
      <c r="B186" t="inlineStr">
        <is>
          <t>Comparación</t>
        </is>
      </c>
      <c r="C186" t="inlineStr">
        <is>
          <t>Ex_Integra</t>
        </is>
      </c>
      <c r="D186" t="inlineStr">
        <is>
          <t>Instrumento</t>
        </is>
      </c>
      <c r="E186" t="inlineStr">
        <is>
          <t>Fixed Income</t>
        </is>
      </c>
      <c r="F186" t="inlineStr">
        <is>
          <t>Active</t>
        </is>
      </c>
      <c r="G186" t="inlineStr">
        <is>
          <t>Pimco - Emerging Markets Local Bond Fund</t>
        </is>
      </c>
      <c r="H186" t="inlineStr">
        <is>
          <t>EM</t>
        </is>
      </c>
      <c r="I186" t="inlineStr"/>
      <c r="J186" t="inlineStr"/>
      <c r="K186" t="inlineStr">
        <is>
          <t>Intensidad</t>
        </is>
      </c>
      <c r="L186" t="n">
        <v>5.999918</v>
      </c>
    </row>
    <row r="187">
      <c r="A187" t="inlineStr">
        <is>
          <t>202512</t>
        </is>
      </c>
      <c r="B187" t="inlineStr">
        <is>
          <t>Comparación</t>
        </is>
      </c>
      <c r="C187" t="inlineStr">
        <is>
          <t>Ex_Integra</t>
        </is>
      </c>
      <c r="D187" t="inlineStr">
        <is>
          <t>Instrumento</t>
        </is>
      </c>
      <c r="E187" t="inlineStr">
        <is>
          <t>Fixed Income</t>
        </is>
      </c>
      <c r="F187" t="inlineStr">
        <is>
          <t>Active</t>
        </is>
      </c>
      <c r="G187" t="inlineStr">
        <is>
          <t>Pimco - Emerging Markets Local Bond Fund</t>
        </is>
      </c>
      <c r="H187" t="inlineStr">
        <is>
          <t>EM</t>
        </is>
      </c>
      <c r="I187" t="inlineStr"/>
      <c r="J187" t="inlineStr"/>
      <c r="K187" t="inlineStr">
        <is>
          <t>Weight</t>
        </is>
      </c>
      <c r="L187" t="n">
        <v>0.035355</v>
      </c>
    </row>
    <row r="188">
      <c r="A188" t="inlineStr">
        <is>
          <t>202512</t>
        </is>
      </c>
      <c r="B188" t="inlineStr">
        <is>
          <t>Comparación</t>
        </is>
      </c>
      <c r="C188" t="inlineStr">
        <is>
          <t>Habitat</t>
        </is>
      </c>
      <c r="D188" t="inlineStr">
        <is>
          <t>Instrumento</t>
        </is>
      </c>
      <c r="E188" t="inlineStr">
        <is>
          <t>Fixed Income</t>
        </is>
      </c>
      <c r="F188" t="inlineStr">
        <is>
          <t>Active</t>
        </is>
      </c>
      <c r="G188" t="inlineStr">
        <is>
          <t>Pimco - Emerging Markets Local Bond Fund</t>
        </is>
      </c>
      <c r="H188" t="inlineStr">
        <is>
          <t>EM</t>
        </is>
      </c>
      <c r="I188" t="inlineStr"/>
      <c r="J188" t="inlineStr"/>
      <c r="K188" t="inlineStr">
        <is>
          <t>Intensidad</t>
        </is>
      </c>
      <c r="L188" t="n">
        <v>4.133528</v>
      </c>
    </row>
    <row r="189">
      <c r="A189" t="inlineStr">
        <is>
          <t>202512</t>
        </is>
      </c>
      <c r="B189" t="inlineStr">
        <is>
          <t>Comparación</t>
        </is>
      </c>
      <c r="C189" t="inlineStr">
        <is>
          <t>Habitat</t>
        </is>
      </c>
      <c r="D189" t="inlineStr">
        <is>
          <t>Instrumento</t>
        </is>
      </c>
      <c r="E189" t="inlineStr">
        <is>
          <t>Fixed Income</t>
        </is>
      </c>
      <c r="F189" t="inlineStr">
        <is>
          <t>Active</t>
        </is>
      </c>
      <c r="G189" t="inlineStr">
        <is>
          <t>Pimco - Emerging Markets Local Bond Fund</t>
        </is>
      </c>
      <c r="H189" t="inlineStr">
        <is>
          <t>EM</t>
        </is>
      </c>
      <c r="I189" t="inlineStr"/>
      <c r="J189" t="inlineStr"/>
      <c r="K189" t="inlineStr">
        <is>
          <t>Weight</t>
        </is>
      </c>
      <c r="L189" t="n">
        <v>0.024357</v>
      </c>
    </row>
    <row r="190">
      <c r="A190" t="inlineStr">
        <is>
          <t>202512</t>
        </is>
      </c>
      <c r="B190" t="inlineStr">
        <is>
          <t>Comparación</t>
        </is>
      </c>
      <c r="C190" t="inlineStr">
        <is>
          <t>Integra</t>
        </is>
      </c>
      <c r="D190" t="inlineStr">
        <is>
          <t>Instrumento</t>
        </is>
      </c>
      <c r="E190" t="inlineStr">
        <is>
          <t>Fixed Income</t>
        </is>
      </c>
      <c r="F190" t="inlineStr">
        <is>
          <t>Active</t>
        </is>
      </c>
      <c r="G190" t="inlineStr">
        <is>
          <t>Pimco - Emerging Markets Local Bond Fund</t>
        </is>
      </c>
      <c r="H190" t="inlineStr">
        <is>
          <t>EM</t>
        </is>
      </c>
      <c r="I190" t="inlineStr"/>
      <c r="J190" t="inlineStr"/>
      <c r="K190" t="inlineStr">
        <is>
          <t>Intensidad</t>
        </is>
      </c>
      <c r="L190" t="n">
        <v>8.527498</v>
      </c>
    </row>
    <row r="191">
      <c r="A191" t="inlineStr">
        <is>
          <t>202512</t>
        </is>
      </c>
      <c r="B191" t="inlineStr">
        <is>
          <t>Comparación</t>
        </is>
      </c>
      <c r="C191" t="inlineStr">
        <is>
          <t>Integra</t>
        </is>
      </c>
      <c r="D191" t="inlineStr">
        <is>
          <t>Instrumento</t>
        </is>
      </c>
      <c r="E191" t="inlineStr">
        <is>
          <t>Fixed Income</t>
        </is>
      </c>
      <c r="F191" t="inlineStr">
        <is>
          <t>Active</t>
        </is>
      </c>
      <c r="G191" t="inlineStr">
        <is>
          <t>Pimco - Emerging Markets Local Bond Fund</t>
        </is>
      </c>
      <c r="H191" t="inlineStr">
        <is>
          <t>EM</t>
        </is>
      </c>
      <c r="I191" t="inlineStr"/>
      <c r="J191" t="inlineStr"/>
      <c r="K191" t="inlineStr">
        <is>
          <t>Weight</t>
        </is>
      </c>
      <c r="L191" t="n">
        <v>0.050249</v>
      </c>
    </row>
    <row r="192">
      <c r="A192" t="inlineStr">
        <is>
          <t>202512</t>
        </is>
      </c>
      <c r="B192" t="inlineStr">
        <is>
          <t>Comparación</t>
        </is>
      </c>
      <c r="C192" t="inlineStr">
        <is>
          <t>Prima</t>
        </is>
      </c>
      <c r="D192" t="inlineStr">
        <is>
          <t>Instrumento</t>
        </is>
      </c>
      <c r="E192" t="inlineStr">
        <is>
          <t>Fixed Income</t>
        </is>
      </c>
      <c r="F192" t="inlineStr">
        <is>
          <t>Active</t>
        </is>
      </c>
      <c r="G192" t="inlineStr">
        <is>
          <t>Pimco - Emerging Markets Local Bond Fund</t>
        </is>
      </c>
      <c r="H192" t="inlineStr">
        <is>
          <t>EM</t>
        </is>
      </c>
      <c r="I192" t="inlineStr"/>
      <c r="J192" t="inlineStr"/>
      <c r="K192" t="inlineStr">
        <is>
          <t>Intensidad</t>
        </is>
      </c>
      <c r="L192" t="n">
        <v>4.621744</v>
      </c>
    </row>
    <row r="193">
      <c r="A193" t="inlineStr">
        <is>
          <t>202512</t>
        </is>
      </c>
      <c r="B193" t="inlineStr">
        <is>
          <t>Comparación</t>
        </is>
      </c>
      <c r="C193" t="inlineStr">
        <is>
          <t>Prima</t>
        </is>
      </c>
      <c r="D193" t="inlineStr">
        <is>
          <t>Instrumento</t>
        </is>
      </c>
      <c r="E193" t="inlineStr">
        <is>
          <t>Fixed Income</t>
        </is>
      </c>
      <c r="F193" t="inlineStr">
        <is>
          <t>Active</t>
        </is>
      </c>
      <c r="G193" t="inlineStr">
        <is>
          <t>Pimco - Emerging Markets Local Bond Fund</t>
        </is>
      </c>
      <c r="H193" t="inlineStr">
        <is>
          <t>EM</t>
        </is>
      </c>
      <c r="I193" t="inlineStr"/>
      <c r="J193" t="inlineStr"/>
      <c r="K193" t="inlineStr">
        <is>
          <t>Weight</t>
        </is>
      </c>
      <c r="L193" t="n">
        <v>0.027234</v>
      </c>
    </row>
    <row r="194">
      <c r="A194" t="inlineStr">
        <is>
          <t>202512</t>
        </is>
      </c>
      <c r="B194" t="inlineStr">
        <is>
          <t>Comparación</t>
        </is>
      </c>
      <c r="C194" t="inlineStr">
        <is>
          <t>Profuturo</t>
        </is>
      </c>
      <c r="D194" t="inlineStr">
        <is>
          <t>Instrumento</t>
        </is>
      </c>
      <c r="E194" t="inlineStr">
        <is>
          <t>Fixed Income</t>
        </is>
      </c>
      <c r="F194" t="inlineStr">
        <is>
          <t>Active</t>
        </is>
      </c>
      <c r="G194" t="inlineStr">
        <is>
          <t>Pimco - Emerging Markets Local Bond Fund</t>
        </is>
      </c>
      <c r="H194" t="inlineStr">
        <is>
          <t>EM</t>
        </is>
      </c>
      <c r="I194" t="inlineStr"/>
      <c r="J194" t="inlineStr"/>
      <c r="K194" t="inlineStr">
        <is>
          <t>Intensidad</t>
        </is>
      </c>
      <c r="L194" t="n">
        <v>8.640867999999999</v>
      </c>
    </row>
    <row r="195">
      <c r="A195" t="inlineStr">
        <is>
          <t>202512</t>
        </is>
      </c>
      <c r="B195" t="inlineStr">
        <is>
          <t>Comparación</t>
        </is>
      </c>
      <c r="C195" t="inlineStr">
        <is>
          <t>Profuturo</t>
        </is>
      </c>
      <c r="D195" t="inlineStr">
        <is>
          <t>Instrumento</t>
        </is>
      </c>
      <c r="E195" t="inlineStr">
        <is>
          <t>Fixed Income</t>
        </is>
      </c>
      <c r="F195" t="inlineStr">
        <is>
          <t>Active</t>
        </is>
      </c>
      <c r="G195" t="inlineStr">
        <is>
          <t>Pimco - Emerging Markets Local Bond Fund</t>
        </is>
      </c>
      <c r="H195" t="inlineStr">
        <is>
          <t>EM</t>
        </is>
      </c>
      <c r="I195" t="inlineStr"/>
      <c r="J195" t="inlineStr"/>
      <c r="K195" t="inlineStr">
        <is>
          <t>Weight</t>
        </is>
      </c>
      <c r="L195" t="n">
        <v>0.050917</v>
      </c>
    </row>
    <row r="196">
      <c r="A196" t="inlineStr">
        <is>
          <t>202512</t>
        </is>
      </c>
      <c r="B196" t="inlineStr">
        <is>
          <t>Comparación</t>
        </is>
      </c>
      <c r="C196" t="inlineStr">
        <is>
          <t>Ex_Integra</t>
        </is>
      </c>
      <c r="D196" t="inlineStr">
        <is>
          <t>Instrumento</t>
        </is>
      </c>
      <c r="E196" t="inlineStr">
        <is>
          <t>Fixed Income</t>
        </is>
      </c>
      <c r="F196" t="inlineStr">
        <is>
          <t>Active</t>
        </is>
      </c>
      <c r="G196" t="inlineStr">
        <is>
          <t>Vontobel - Emerging Markets Debt</t>
        </is>
      </c>
      <c r="H196" t="inlineStr">
        <is>
          <t>EM</t>
        </is>
      </c>
      <c r="I196" t="inlineStr"/>
      <c r="J196" t="inlineStr"/>
      <c r="K196" t="inlineStr">
        <is>
          <t>Intensidad</t>
        </is>
      </c>
      <c r="L196" t="n">
        <v>4.372846</v>
      </c>
    </row>
    <row r="197">
      <c r="A197" t="inlineStr">
        <is>
          <t>202512</t>
        </is>
      </c>
      <c r="B197" t="inlineStr">
        <is>
          <t>Comparación</t>
        </is>
      </c>
      <c r="C197" t="inlineStr">
        <is>
          <t>Ex_Integra</t>
        </is>
      </c>
      <c r="D197" t="inlineStr">
        <is>
          <t>Instrumento</t>
        </is>
      </c>
      <c r="E197" t="inlineStr">
        <is>
          <t>Fixed Income</t>
        </is>
      </c>
      <c r="F197" t="inlineStr">
        <is>
          <t>Active</t>
        </is>
      </c>
      <c r="G197" t="inlineStr">
        <is>
          <t>Vontobel - Emerging Markets Debt</t>
        </is>
      </c>
      <c r="H197" t="inlineStr">
        <is>
          <t>EM</t>
        </is>
      </c>
      <c r="I197" t="inlineStr"/>
      <c r="J197" t="inlineStr"/>
      <c r="K197" t="inlineStr">
        <is>
          <t>Weight</t>
        </is>
      </c>
      <c r="L197" t="n">
        <v>0.014314</v>
      </c>
    </row>
    <row r="198">
      <c r="A198" t="inlineStr">
        <is>
          <t>202512</t>
        </is>
      </c>
      <c r="B198" t="inlineStr">
        <is>
          <t>Comparación</t>
        </is>
      </c>
      <c r="C198" t="inlineStr">
        <is>
          <t>Integra</t>
        </is>
      </c>
      <c r="D198" t="inlineStr">
        <is>
          <t>Instrumento</t>
        </is>
      </c>
      <c r="E198" t="inlineStr">
        <is>
          <t>Fixed Income</t>
        </is>
      </c>
      <c r="F198" t="inlineStr">
        <is>
          <t>Active</t>
        </is>
      </c>
      <c r="G198" t="inlineStr">
        <is>
          <t>Vontobel - Emerging Markets Debt</t>
        </is>
      </c>
      <c r="H198" t="inlineStr">
        <is>
          <t>EM</t>
        </is>
      </c>
      <c r="I198" t="inlineStr"/>
      <c r="J198" t="inlineStr"/>
      <c r="K198" t="inlineStr">
        <is>
          <t>Intensidad</t>
        </is>
      </c>
      <c r="L198" t="n">
        <v>3.630067</v>
      </c>
    </row>
    <row r="199">
      <c r="A199" t="inlineStr">
        <is>
          <t>202512</t>
        </is>
      </c>
      <c r="B199" t="inlineStr">
        <is>
          <t>Comparación</t>
        </is>
      </c>
      <c r="C199" t="inlineStr">
        <is>
          <t>Integra</t>
        </is>
      </c>
      <c r="D199" t="inlineStr">
        <is>
          <t>Instrumento</t>
        </is>
      </c>
      <c r="E199" t="inlineStr">
        <is>
          <t>Fixed Income</t>
        </is>
      </c>
      <c r="F199" t="inlineStr">
        <is>
          <t>Active</t>
        </is>
      </c>
      <c r="G199" t="inlineStr">
        <is>
          <t>Vontobel - Emerging Markets Debt</t>
        </is>
      </c>
      <c r="H199" t="inlineStr">
        <is>
          <t>EM</t>
        </is>
      </c>
      <c r="I199" t="inlineStr"/>
      <c r="J199" t="inlineStr"/>
      <c r="K199" t="inlineStr">
        <is>
          <t>Weight</t>
        </is>
      </c>
      <c r="L199" t="n">
        <v>0.011883</v>
      </c>
    </row>
    <row r="200">
      <c r="A200" t="inlineStr">
        <is>
          <t>202512</t>
        </is>
      </c>
      <c r="B200" t="inlineStr">
        <is>
          <t>Comparación</t>
        </is>
      </c>
      <c r="C200" t="inlineStr">
        <is>
          <t>Profuturo</t>
        </is>
      </c>
      <c r="D200" t="inlineStr">
        <is>
          <t>Instrumento</t>
        </is>
      </c>
      <c r="E200" t="inlineStr">
        <is>
          <t>Fixed Income</t>
        </is>
      </c>
      <c r="F200" t="inlineStr">
        <is>
          <t>Active</t>
        </is>
      </c>
      <c r="G200" t="inlineStr">
        <is>
          <t>Vontobel - Emerging Markets Debt</t>
        </is>
      </c>
      <c r="H200" t="inlineStr">
        <is>
          <t>EM</t>
        </is>
      </c>
      <c r="I200" t="inlineStr"/>
      <c r="J200" t="inlineStr"/>
      <c r="K200" t="inlineStr">
        <is>
          <t>Intensidad</t>
        </is>
      </c>
      <c r="L200" t="n">
        <v>10.235005</v>
      </c>
    </row>
    <row r="201">
      <c r="A201" t="inlineStr">
        <is>
          <t>202512</t>
        </is>
      </c>
      <c r="B201" t="inlineStr">
        <is>
          <t>Comparación</t>
        </is>
      </c>
      <c r="C201" t="inlineStr">
        <is>
          <t>Profuturo</t>
        </is>
      </c>
      <c r="D201" t="inlineStr">
        <is>
          <t>Instrumento</t>
        </is>
      </c>
      <c r="E201" t="inlineStr">
        <is>
          <t>Fixed Income</t>
        </is>
      </c>
      <c r="F201" t="inlineStr">
        <is>
          <t>Active</t>
        </is>
      </c>
      <c r="G201" t="inlineStr">
        <is>
          <t>Vontobel - Emerging Markets Debt</t>
        </is>
      </c>
      <c r="H201" t="inlineStr">
        <is>
          <t>EM</t>
        </is>
      </c>
      <c r="I201" t="inlineStr"/>
      <c r="J201" t="inlineStr"/>
      <c r="K201" t="inlineStr">
        <is>
          <t>Weight</t>
        </is>
      </c>
      <c r="L201" t="n">
        <v>0.033504</v>
      </c>
    </row>
    <row r="202">
      <c r="A202" t="inlineStr">
        <is>
          <t>202606</t>
        </is>
      </c>
      <c r="B202" t="inlineStr">
        <is>
          <t>Actual</t>
        </is>
      </c>
      <c r="C202" t="inlineStr">
        <is>
          <t>Ex_Integra</t>
        </is>
      </c>
      <c r="D202" t="inlineStr">
        <is>
          <t>Benchmark</t>
        </is>
      </c>
      <c r="E202" t="inlineStr"/>
      <c r="F202" t="inlineStr"/>
      <c r="G202" t="inlineStr"/>
      <c r="H202" t="inlineStr"/>
      <c r="I202" t="inlineStr">
        <is>
          <t>Escalar_Portafolio</t>
        </is>
      </c>
      <c r="J202" t="inlineStr">
        <is>
          <t>Total_Integra</t>
        </is>
      </c>
      <c r="K202" t="inlineStr">
        <is>
          <t>Intensidad</t>
        </is>
      </c>
      <c r="L202" t="n">
        <v>74.299564</v>
      </c>
    </row>
    <row r="203">
      <c r="A203" t="inlineStr">
        <is>
          <t>202606</t>
        </is>
      </c>
      <c r="B203" t="inlineStr">
        <is>
          <t>Actual</t>
        </is>
      </c>
      <c r="C203" t="inlineStr">
        <is>
          <t>Ex_Integra</t>
        </is>
      </c>
      <c r="D203" t="inlineStr">
        <is>
          <t>Benchmark</t>
        </is>
      </c>
      <c r="E203" t="inlineStr"/>
      <c r="F203" t="inlineStr"/>
      <c r="G203" t="inlineStr"/>
      <c r="H203" t="inlineStr"/>
      <c r="I203" t="inlineStr">
        <is>
          <t>Escalar_Portafolio</t>
        </is>
      </c>
      <c r="J203" t="inlineStr">
        <is>
          <t>F1_Integra</t>
        </is>
      </c>
      <c r="K203" t="inlineStr">
        <is>
          <t>Intensidad</t>
        </is>
      </c>
      <c r="L203" t="n">
        <v>38.489404</v>
      </c>
    </row>
    <row r="204">
      <c r="A204" t="inlineStr">
        <is>
          <t>202606</t>
        </is>
      </c>
      <c r="B204" t="inlineStr">
        <is>
          <t>Actual</t>
        </is>
      </c>
      <c r="C204" t="inlineStr">
        <is>
          <t>Ex_Integra</t>
        </is>
      </c>
      <c r="D204" t="inlineStr">
        <is>
          <t>Benchmark</t>
        </is>
      </c>
      <c r="E204" t="inlineStr"/>
      <c r="F204" t="inlineStr"/>
      <c r="G204" t="inlineStr"/>
      <c r="H204" t="inlineStr"/>
      <c r="I204" t="inlineStr">
        <is>
          <t>Escalar_Portafolio</t>
        </is>
      </c>
      <c r="J204" t="inlineStr">
        <is>
          <t>F2_Integra</t>
        </is>
      </c>
      <c r="K204" t="inlineStr">
        <is>
          <t>Intensidad</t>
        </is>
      </c>
      <c r="L204" t="n">
        <v>16.969317</v>
      </c>
    </row>
    <row r="205">
      <c r="A205" t="inlineStr">
        <is>
          <t>202606</t>
        </is>
      </c>
      <c r="B205" t="inlineStr">
        <is>
          <t>Actual</t>
        </is>
      </c>
      <c r="C205" t="inlineStr">
        <is>
          <t>Ex_Integra</t>
        </is>
      </c>
      <c r="D205" t="inlineStr">
        <is>
          <t>Benchmark</t>
        </is>
      </c>
      <c r="E205" t="inlineStr"/>
      <c r="F205" t="inlineStr"/>
      <c r="G205" t="inlineStr"/>
      <c r="H205" t="inlineStr"/>
      <c r="I205" t="inlineStr">
        <is>
          <t>Escalar_Portafolio</t>
        </is>
      </c>
      <c r="J205" t="inlineStr">
        <is>
          <t>F3_Integra</t>
        </is>
      </c>
      <c r="K205" t="inlineStr">
        <is>
          <t>Intensidad</t>
        </is>
      </c>
      <c r="L205" t="n">
        <v>18.840842</v>
      </c>
    </row>
    <row r="206">
      <c r="A206" t="inlineStr">
        <is>
          <t>202606</t>
        </is>
      </c>
      <c r="B206" t="inlineStr">
        <is>
          <t>Actual</t>
        </is>
      </c>
      <c r="C206" t="inlineStr">
        <is>
          <t>Habitat</t>
        </is>
      </c>
      <c r="D206" t="inlineStr">
        <is>
          <t>Benchmark</t>
        </is>
      </c>
      <c r="E206" t="inlineStr"/>
      <c r="F206" t="inlineStr"/>
      <c r="G206" t="inlineStr"/>
      <c r="H206" t="inlineStr"/>
      <c r="I206" t="inlineStr">
        <is>
          <t>Escalar_Portafolio</t>
        </is>
      </c>
      <c r="J206" t="inlineStr">
        <is>
          <t>Total_Integra</t>
        </is>
      </c>
      <c r="K206" t="inlineStr">
        <is>
          <t>Intensidad</t>
        </is>
      </c>
      <c r="L206" t="n">
        <v>88.61617099999999</v>
      </c>
    </row>
    <row r="207">
      <c r="A207" t="inlineStr">
        <is>
          <t>202606</t>
        </is>
      </c>
      <c r="B207" t="inlineStr">
        <is>
          <t>Actual</t>
        </is>
      </c>
      <c r="C207" t="inlineStr">
        <is>
          <t>Habitat</t>
        </is>
      </c>
      <c r="D207" t="inlineStr">
        <is>
          <t>Benchmark</t>
        </is>
      </c>
      <c r="E207" t="inlineStr"/>
      <c r="F207" t="inlineStr"/>
      <c r="G207" t="inlineStr"/>
      <c r="H207" t="inlineStr"/>
      <c r="I207" t="inlineStr">
        <is>
          <t>Escalar_Portafolio</t>
        </is>
      </c>
      <c r="J207" t="inlineStr">
        <is>
          <t>F1_Integra</t>
        </is>
      </c>
      <c r="K207" t="inlineStr">
        <is>
          <t>Intensidad</t>
        </is>
      </c>
      <c r="L207" t="n">
        <v>46.311571</v>
      </c>
    </row>
    <row r="208">
      <c r="A208" t="inlineStr">
        <is>
          <t>202606</t>
        </is>
      </c>
      <c r="B208" t="inlineStr">
        <is>
          <t>Actual</t>
        </is>
      </c>
      <c r="C208" t="inlineStr">
        <is>
          <t>Habitat</t>
        </is>
      </c>
      <c r="D208" t="inlineStr">
        <is>
          <t>Benchmark</t>
        </is>
      </c>
      <c r="E208" t="inlineStr"/>
      <c r="F208" t="inlineStr"/>
      <c r="G208" t="inlineStr"/>
      <c r="H208" t="inlineStr"/>
      <c r="I208" t="inlineStr">
        <is>
          <t>Escalar_Portafolio</t>
        </is>
      </c>
      <c r="J208" t="inlineStr">
        <is>
          <t>F2_Integra</t>
        </is>
      </c>
      <c r="K208" t="inlineStr">
        <is>
          <t>Intensidad</t>
        </is>
      </c>
      <c r="L208" t="n">
        <v>23.78561</v>
      </c>
    </row>
    <row r="209">
      <c r="A209" t="inlineStr">
        <is>
          <t>202606</t>
        </is>
      </c>
      <c r="B209" t="inlineStr">
        <is>
          <t>Actual</t>
        </is>
      </c>
      <c r="C209" t="inlineStr">
        <is>
          <t>Habitat</t>
        </is>
      </c>
      <c r="D209" t="inlineStr">
        <is>
          <t>Benchmark</t>
        </is>
      </c>
      <c r="E209" t="inlineStr"/>
      <c r="F209" t="inlineStr"/>
      <c r="G209" t="inlineStr"/>
      <c r="H209" t="inlineStr"/>
      <c r="I209" t="inlineStr">
        <is>
          <t>Escalar_Portafolio</t>
        </is>
      </c>
      <c r="J209" t="inlineStr">
        <is>
          <t>F3_Integra</t>
        </is>
      </c>
      <c r="K209" t="inlineStr">
        <is>
          <t>Intensidad</t>
        </is>
      </c>
      <c r="L209" t="n">
        <v>18.51899</v>
      </c>
    </row>
    <row r="210">
      <c r="A210" t="inlineStr">
        <is>
          <t>202606</t>
        </is>
      </c>
      <c r="B210" t="inlineStr">
        <is>
          <t>Actual</t>
        </is>
      </c>
      <c r="C210" t="inlineStr">
        <is>
          <t>Integra</t>
        </is>
      </c>
      <c r="D210" t="inlineStr">
        <is>
          <t>Benchmark</t>
        </is>
      </c>
      <c r="E210" t="inlineStr"/>
      <c r="F210" t="inlineStr"/>
      <c r="G210" t="inlineStr"/>
      <c r="H210" t="inlineStr"/>
      <c r="I210" t="inlineStr">
        <is>
          <t>Escalar_Portafolio</t>
        </is>
      </c>
      <c r="J210" t="inlineStr">
        <is>
          <t>Total_Integra</t>
        </is>
      </c>
      <c r="K210" t="inlineStr">
        <is>
          <t>Intensidad</t>
        </is>
      </c>
      <c r="L210" t="n">
        <v>50.676744</v>
      </c>
    </row>
    <row r="211">
      <c r="A211" t="inlineStr">
        <is>
          <t>202606</t>
        </is>
      </c>
      <c r="B211" t="inlineStr">
        <is>
          <t>Actual</t>
        </is>
      </c>
      <c r="C211" t="inlineStr">
        <is>
          <t>Integra</t>
        </is>
      </c>
      <c r="D211" t="inlineStr">
        <is>
          <t>Benchmark</t>
        </is>
      </c>
      <c r="E211" t="inlineStr"/>
      <c r="F211" t="inlineStr"/>
      <c r="G211" t="inlineStr"/>
      <c r="H211" t="inlineStr"/>
      <c r="I211" t="inlineStr">
        <is>
          <t>Escalar_Portafolio</t>
        </is>
      </c>
      <c r="J211" t="inlineStr">
        <is>
          <t>F1_Integra</t>
        </is>
      </c>
      <c r="K211" t="inlineStr">
        <is>
          <t>Intensidad</t>
        </is>
      </c>
      <c r="L211" t="n">
        <v>22.661121</v>
      </c>
    </row>
    <row r="212">
      <c r="A212" t="inlineStr">
        <is>
          <t>202606</t>
        </is>
      </c>
      <c r="B212" t="inlineStr">
        <is>
          <t>Actual</t>
        </is>
      </c>
      <c r="C212" t="inlineStr">
        <is>
          <t>Integra</t>
        </is>
      </c>
      <c r="D212" t="inlineStr">
        <is>
          <t>Benchmark</t>
        </is>
      </c>
      <c r="E212" t="inlineStr"/>
      <c r="F212" t="inlineStr"/>
      <c r="G212" t="inlineStr"/>
      <c r="H212" t="inlineStr"/>
      <c r="I212" t="inlineStr">
        <is>
          <t>Escalar_Portafolio</t>
        </is>
      </c>
      <c r="J212" t="inlineStr">
        <is>
          <t>F2_Integra</t>
        </is>
      </c>
      <c r="K212" t="inlineStr">
        <is>
          <t>Intensidad</t>
        </is>
      </c>
      <c r="L212" t="n">
        <v>11.408378</v>
      </c>
    </row>
    <row r="213">
      <c r="A213" t="inlineStr">
        <is>
          <t>202606</t>
        </is>
      </c>
      <c r="B213" t="inlineStr">
        <is>
          <t>Actual</t>
        </is>
      </c>
      <c r="C213" t="inlineStr">
        <is>
          <t>Integra</t>
        </is>
      </c>
      <c r="D213" t="inlineStr">
        <is>
          <t>Benchmark</t>
        </is>
      </c>
      <c r="E213" t="inlineStr"/>
      <c r="F213" t="inlineStr"/>
      <c r="G213" t="inlineStr"/>
      <c r="H213" t="inlineStr"/>
      <c r="I213" t="inlineStr">
        <is>
          <t>Escalar_Portafolio</t>
        </is>
      </c>
      <c r="J213" t="inlineStr">
        <is>
          <t>F3_Integra</t>
        </is>
      </c>
      <c r="K213" t="inlineStr">
        <is>
          <t>Intensidad</t>
        </is>
      </c>
      <c r="L213" t="n">
        <v>16.607245</v>
      </c>
    </row>
    <row r="214">
      <c r="A214" t="inlineStr">
        <is>
          <t>202606</t>
        </is>
      </c>
      <c r="B214" t="inlineStr">
        <is>
          <t>Actual</t>
        </is>
      </c>
      <c r="C214" t="inlineStr">
        <is>
          <t>Prima</t>
        </is>
      </c>
      <c r="D214" t="inlineStr">
        <is>
          <t>Benchmark</t>
        </is>
      </c>
      <c r="E214" t="inlineStr"/>
      <c r="F214" t="inlineStr"/>
      <c r="G214" t="inlineStr"/>
      <c r="H214" t="inlineStr"/>
      <c r="I214" t="inlineStr">
        <is>
          <t>Escalar_Portafolio</t>
        </is>
      </c>
      <c r="J214" t="inlineStr">
        <is>
          <t>Total_Integra</t>
        </is>
      </c>
      <c r="K214" t="inlineStr">
        <is>
          <t>Intensidad</t>
        </is>
      </c>
      <c r="L214" t="n">
        <v>73.06264</v>
      </c>
    </row>
    <row r="215">
      <c r="A215" t="inlineStr">
        <is>
          <t>202606</t>
        </is>
      </c>
      <c r="B215" t="inlineStr">
        <is>
          <t>Actual</t>
        </is>
      </c>
      <c r="C215" t="inlineStr">
        <is>
          <t>Prima</t>
        </is>
      </c>
      <c r="D215" t="inlineStr">
        <is>
          <t>Benchmark</t>
        </is>
      </c>
      <c r="E215" t="inlineStr"/>
      <c r="F215" t="inlineStr"/>
      <c r="G215" t="inlineStr"/>
      <c r="H215" t="inlineStr"/>
      <c r="I215" t="inlineStr">
        <is>
          <t>Escalar_Portafolio</t>
        </is>
      </c>
      <c r="J215" t="inlineStr">
        <is>
          <t>F1_Integra</t>
        </is>
      </c>
      <c r="K215" t="inlineStr">
        <is>
          <t>Intensidad</t>
        </is>
      </c>
      <c r="L215" t="n">
        <v>40.573592</v>
      </c>
    </row>
    <row r="216">
      <c r="A216" t="inlineStr">
        <is>
          <t>202606</t>
        </is>
      </c>
      <c r="B216" t="inlineStr">
        <is>
          <t>Actual</t>
        </is>
      </c>
      <c r="C216" t="inlineStr">
        <is>
          <t>Prima</t>
        </is>
      </c>
      <c r="D216" t="inlineStr">
        <is>
          <t>Benchmark</t>
        </is>
      </c>
      <c r="E216" t="inlineStr"/>
      <c r="F216" t="inlineStr"/>
      <c r="G216" t="inlineStr"/>
      <c r="H216" t="inlineStr"/>
      <c r="I216" t="inlineStr">
        <is>
          <t>Escalar_Portafolio</t>
        </is>
      </c>
      <c r="J216" t="inlineStr">
        <is>
          <t>F2_Integra</t>
        </is>
      </c>
      <c r="K216" t="inlineStr">
        <is>
          <t>Intensidad</t>
        </is>
      </c>
      <c r="L216" t="n">
        <v>13.805432</v>
      </c>
    </row>
    <row r="217">
      <c r="A217" t="inlineStr">
        <is>
          <t>202606</t>
        </is>
      </c>
      <c r="B217" t="inlineStr">
        <is>
          <t>Actual</t>
        </is>
      </c>
      <c r="C217" t="inlineStr">
        <is>
          <t>Prima</t>
        </is>
      </c>
      <c r="D217" t="inlineStr">
        <is>
          <t>Benchmark</t>
        </is>
      </c>
      <c r="E217" t="inlineStr"/>
      <c r="F217" t="inlineStr"/>
      <c r="G217" t="inlineStr"/>
      <c r="H217" t="inlineStr"/>
      <c r="I217" t="inlineStr">
        <is>
          <t>Escalar_Portafolio</t>
        </is>
      </c>
      <c r="J217" t="inlineStr">
        <is>
          <t>F3_Integra</t>
        </is>
      </c>
      <c r="K217" t="inlineStr">
        <is>
          <t>Intensidad</t>
        </is>
      </c>
      <c r="L217" t="n">
        <v>18.683616</v>
      </c>
    </row>
    <row r="218">
      <c r="A218" t="inlineStr">
        <is>
          <t>202606</t>
        </is>
      </c>
      <c r="B218" t="inlineStr">
        <is>
          <t>Actual</t>
        </is>
      </c>
      <c r="C218" t="inlineStr">
        <is>
          <t>Profuturo</t>
        </is>
      </c>
      <c r="D218" t="inlineStr">
        <is>
          <t>Benchmark</t>
        </is>
      </c>
      <c r="E218" t="inlineStr"/>
      <c r="F218" t="inlineStr"/>
      <c r="G218" t="inlineStr"/>
      <c r="H218" t="inlineStr"/>
      <c r="I218" t="inlineStr">
        <is>
          <t>Escalar_Portafolio</t>
        </is>
      </c>
      <c r="J218" t="inlineStr">
        <is>
          <t>Total_Integra</t>
        </is>
      </c>
      <c r="K218" t="inlineStr">
        <is>
          <t>Intensidad</t>
        </is>
      </c>
      <c r="L218" t="n">
        <v>66.431877</v>
      </c>
    </row>
    <row r="219">
      <c r="A219" t="inlineStr">
        <is>
          <t>202606</t>
        </is>
      </c>
      <c r="B219" t="inlineStr">
        <is>
          <t>Actual</t>
        </is>
      </c>
      <c r="C219" t="inlineStr">
        <is>
          <t>Profuturo</t>
        </is>
      </c>
      <c r="D219" t="inlineStr">
        <is>
          <t>Benchmark</t>
        </is>
      </c>
      <c r="E219" t="inlineStr"/>
      <c r="F219" t="inlineStr"/>
      <c r="G219" t="inlineStr"/>
      <c r="H219" t="inlineStr"/>
      <c r="I219" t="inlineStr">
        <is>
          <t>Escalar_Portafolio</t>
        </is>
      </c>
      <c r="J219" t="inlineStr">
        <is>
          <t>F1_Integra</t>
        </is>
      </c>
      <c r="K219" t="inlineStr">
        <is>
          <t>Intensidad</t>
        </is>
      </c>
      <c r="L219" t="n">
        <v>32.423787</v>
      </c>
    </row>
    <row r="220">
      <c r="A220" t="inlineStr">
        <is>
          <t>202606</t>
        </is>
      </c>
      <c r="B220" t="inlineStr">
        <is>
          <t>Actual</t>
        </is>
      </c>
      <c r="C220" t="inlineStr">
        <is>
          <t>Profuturo</t>
        </is>
      </c>
      <c r="D220" t="inlineStr">
        <is>
          <t>Benchmark</t>
        </is>
      </c>
      <c r="E220" t="inlineStr"/>
      <c r="F220" t="inlineStr"/>
      <c r="G220" t="inlineStr"/>
      <c r="H220" t="inlineStr"/>
      <c r="I220" t="inlineStr">
        <is>
          <t>Escalar_Portafolio</t>
        </is>
      </c>
      <c r="J220" t="inlineStr">
        <is>
          <t>F2_Integra</t>
        </is>
      </c>
      <c r="K220" t="inlineStr">
        <is>
          <t>Intensidad</t>
        </is>
      </c>
      <c r="L220" t="n">
        <v>14.491505</v>
      </c>
    </row>
    <row r="221">
      <c r="A221" t="inlineStr">
        <is>
          <t>202606</t>
        </is>
      </c>
      <c r="B221" t="inlineStr">
        <is>
          <t>Actual</t>
        </is>
      </c>
      <c r="C221" t="inlineStr">
        <is>
          <t>Profuturo</t>
        </is>
      </c>
      <c r="D221" t="inlineStr">
        <is>
          <t>Benchmark</t>
        </is>
      </c>
      <c r="E221" t="inlineStr"/>
      <c r="F221" t="inlineStr"/>
      <c r="G221" t="inlineStr"/>
      <c r="H221" t="inlineStr"/>
      <c r="I221" t="inlineStr">
        <is>
          <t>Escalar_Portafolio</t>
        </is>
      </c>
      <c r="J221" t="inlineStr">
        <is>
          <t>F3_Integra</t>
        </is>
      </c>
      <c r="K221" t="inlineStr">
        <is>
          <t>Intensidad</t>
        </is>
      </c>
      <c r="L221" t="n">
        <v>19.516585</v>
      </c>
    </row>
    <row r="222">
      <c r="A222" t="inlineStr">
        <is>
          <t>202606</t>
        </is>
      </c>
      <c r="B222" t="inlineStr">
        <is>
          <t>Actual</t>
        </is>
      </c>
      <c r="C222" t="inlineStr"/>
      <c r="D222" t="inlineStr">
        <is>
          <t>Benchmark</t>
        </is>
      </c>
      <c r="E222" t="inlineStr"/>
      <c r="F222" t="inlineStr"/>
      <c r="G222" t="inlineStr"/>
      <c r="H222" t="inlineStr"/>
      <c r="I222" t="inlineStr">
        <is>
          <t>FFMM (x Weight del instrumento)</t>
        </is>
      </c>
      <c r="J222" t="inlineStr">
        <is>
          <t>iShares Core S&amp;P 500 ETF</t>
        </is>
      </c>
      <c r="K222" t="inlineStr">
        <is>
          <t>Intensidad</t>
        </is>
      </c>
      <c r="L222" t="n">
        <v>22.27245681</v>
      </c>
    </row>
    <row r="223">
      <c r="A223" t="inlineStr">
        <is>
          <t>202606</t>
        </is>
      </c>
      <c r="B223" t="inlineStr">
        <is>
          <t>Actual</t>
        </is>
      </c>
      <c r="C223" t="inlineStr"/>
      <c r="D223" t="inlineStr">
        <is>
          <t>Benchmark</t>
        </is>
      </c>
      <c r="E223" t="inlineStr"/>
      <c r="F223" t="inlineStr"/>
      <c r="G223" t="inlineStr"/>
      <c r="H223" t="inlineStr"/>
      <c r="I223" t="inlineStr">
        <is>
          <t>FFMM (x Weight del instrumento)</t>
        </is>
      </c>
      <c r="J223" t="inlineStr">
        <is>
          <t>iShares US Real Estate ETF</t>
        </is>
      </c>
      <c r="K223" t="inlineStr">
        <is>
          <t>Intensidad</t>
        </is>
      </c>
      <c r="L223" t="n">
        <v>6.75846593</v>
      </c>
    </row>
    <row r="224">
      <c r="A224" t="inlineStr">
        <is>
          <t>202606</t>
        </is>
      </c>
      <c r="B224" t="inlineStr">
        <is>
          <t>Actual</t>
        </is>
      </c>
      <c r="C224" t="inlineStr"/>
      <c r="D224" t="inlineStr">
        <is>
          <t>Benchmark</t>
        </is>
      </c>
      <c r="E224" t="inlineStr"/>
      <c r="F224" t="inlineStr"/>
      <c r="G224" t="inlineStr"/>
      <c r="H224" t="inlineStr"/>
      <c r="I224" t="inlineStr">
        <is>
          <t>FFMM (x Weight del instrumento)</t>
        </is>
      </c>
      <c r="J224" t="inlineStr">
        <is>
          <t>iShares MSCI Eurozone ETF</t>
        </is>
      </c>
      <c r="K224" t="inlineStr">
        <is>
          <t>Intensidad</t>
        </is>
      </c>
      <c r="L224" t="n">
        <v>43.23201465</v>
      </c>
    </row>
    <row r="225">
      <c r="A225" t="inlineStr">
        <is>
          <t>202606</t>
        </is>
      </c>
      <c r="B225" t="inlineStr">
        <is>
          <t>Actual</t>
        </is>
      </c>
      <c r="C225" t="inlineStr"/>
      <c r="D225" t="inlineStr">
        <is>
          <t>Benchmark</t>
        </is>
      </c>
      <c r="E225" t="inlineStr"/>
      <c r="F225" t="inlineStr"/>
      <c r="G225" t="inlineStr"/>
      <c r="H225" t="inlineStr"/>
      <c r="I225" t="inlineStr">
        <is>
          <t>FFMM (x Weight del instrumento)</t>
        </is>
      </c>
      <c r="J225" t="inlineStr">
        <is>
          <t>iShares Latin America 40 ETF</t>
        </is>
      </c>
      <c r="K225" t="inlineStr">
        <is>
          <t>Intensidad</t>
        </is>
      </c>
      <c r="L225" t="n">
        <v>109.30923404</v>
      </c>
    </row>
    <row r="226">
      <c r="A226" t="inlineStr">
        <is>
          <t>202606</t>
        </is>
      </c>
      <c r="B226" t="inlineStr">
        <is>
          <t>Actual</t>
        </is>
      </c>
      <c r="C226" t="inlineStr"/>
      <c r="D226" t="inlineStr">
        <is>
          <t>Benchmark</t>
        </is>
      </c>
      <c r="E226" t="inlineStr"/>
      <c r="F226" t="inlineStr"/>
      <c r="G226" t="inlineStr"/>
      <c r="H226" t="inlineStr"/>
      <c r="I226" t="inlineStr">
        <is>
          <t>FFMM (x Weight del instrumento)</t>
        </is>
      </c>
      <c r="J226" t="inlineStr">
        <is>
          <t>iShares Global Energy ETF</t>
        </is>
      </c>
      <c r="K226" t="inlineStr">
        <is>
          <t>Intensidad</t>
        </is>
      </c>
      <c r="L226" t="n">
        <v>208.75900278</v>
      </c>
    </row>
    <row r="227">
      <c r="A227" t="inlineStr">
        <is>
          <t>202606</t>
        </is>
      </c>
      <c r="B227" t="inlineStr">
        <is>
          <t>Actual</t>
        </is>
      </c>
      <c r="C227" t="inlineStr"/>
      <c r="D227" t="inlineStr">
        <is>
          <t>Benchmark</t>
        </is>
      </c>
      <c r="E227" t="inlineStr"/>
      <c r="F227" t="inlineStr"/>
      <c r="G227" t="inlineStr"/>
      <c r="H227" t="inlineStr"/>
      <c r="I227" t="inlineStr">
        <is>
          <t>FFMM (x Weight del instrumento)</t>
        </is>
      </c>
      <c r="J227" t="inlineStr">
        <is>
          <t>iShares Global Financials ETF</t>
        </is>
      </c>
      <c r="K227" t="inlineStr">
        <is>
          <t>Intensidad</t>
        </is>
      </c>
      <c r="L227" t="n">
        <v>3.53389202</v>
      </c>
    </row>
    <row r="228">
      <c r="A228" t="inlineStr">
        <is>
          <t>202606</t>
        </is>
      </c>
      <c r="B228" t="inlineStr">
        <is>
          <t>Actual</t>
        </is>
      </c>
      <c r="C228" t="inlineStr"/>
      <c r="D228" t="inlineStr">
        <is>
          <t>Benchmark</t>
        </is>
      </c>
      <c r="E228" t="inlineStr"/>
      <c r="F228" t="inlineStr"/>
      <c r="G228" t="inlineStr"/>
      <c r="H228" t="inlineStr"/>
      <c r="I228" t="inlineStr">
        <is>
          <t>FFMM (x Weight del instrumento)</t>
        </is>
      </c>
      <c r="J228" t="inlineStr">
        <is>
          <t>iShares Global Healthcare ETF</t>
        </is>
      </c>
      <c r="K228" t="inlineStr">
        <is>
          <t>Intensidad</t>
        </is>
      </c>
      <c r="L228" t="n">
        <v>2.75111708</v>
      </c>
    </row>
    <row r="229">
      <c r="A229" t="inlineStr">
        <is>
          <t>202606</t>
        </is>
      </c>
      <c r="B229" t="inlineStr">
        <is>
          <t>Actual</t>
        </is>
      </c>
      <c r="C229" t="inlineStr"/>
      <c r="D229" t="inlineStr">
        <is>
          <t>Benchmark</t>
        </is>
      </c>
      <c r="E229" t="inlineStr"/>
      <c r="F229" t="inlineStr"/>
      <c r="G229" t="inlineStr"/>
      <c r="H229" t="inlineStr"/>
      <c r="I229" t="inlineStr">
        <is>
          <t>FFMM (x Weight del instrumento)</t>
        </is>
      </c>
      <c r="J229" t="inlineStr">
        <is>
          <t>iShares Global Tech ETF</t>
        </is>
      </c>
      <c r="K229" t="inlineStr">
        <is>
          <t>Intensidad</t>
        </is>
      </c>
      <c r="L229" t="n">
        <v>7.91255858</v>
      </c>
    </row>
    <row r="230">
      <c r="A230" t="inlineStr">
        <is>
          <t>202606</t>
        </is>
      </c>
      <c r="B230" t="inlineStr">
        <is>
          <t>Actual</t>
        </is>
      </c>
      <c r="C230" t="inlineStr"/>
      <c r="D230" t="inlineStr">
        <is>
          <t>Benchmark</t>
        </is>
      </c>
      <c r="E230" t="inlineStr"/>
      <c r="F230" t="inlineStr"/>
      <c r="G230" t="inlineStr"/>
      <c r="H230" t="inlineStr"/>
      <c r="I230" t="inlineStr">
        <is>
          <t>FFMM (x Weight del instrumento)</t>
        </is>
      </c>
      <c r="J230" t="inlineStr">
        <is>
          <t>iShares Global Comm Services ETF</t>
        </is>
      </c>
      <c r="K230" t="inlineStr">
        <is>
          <t>Intensidad</t>
        </is>
      </c>
      <c r="L230" t="n">
        <v>3.96682774</v>
      </c>
    </row>
    <row r="231">
      <c r="A231" t="inlineStr">
        <is>
          <t>202606</t>
        </is>
      </c>
      <c r="B231" t="inlineStr">
        <is>
          <t>Actual</t>
        </is>
      </c>
      <c r="C231" t="inlineStr"/>
      <c r="D231" t="inlineStr">
        <is>
          <t>Benchmark</t>
        </is>
      </c>
      <c r="E231" t="inlineStr"/>
      <c r="F231" t="inlineStr"/>
      <c r="G231" t="inlineStr"/>
      <c r="H231" t="inlineStr"/>
      <c r="I231" t="inlineStr">
        <is>
          <t>FFMM (x Weight del instrumento)</t>
        </is>
      </c>
      <c r="J231" t="inlineStr">
        <is>
          <t>iShares Global Consumer Discretionary ETF</t>
        </is>
      </c>
      <c r="K231" t="inlineStr">
        <is>
          <t>Intensidad</t>
        </is>
      </c>
      <c r="L231" t="n">
        <v>11.68097501</v>
      </c>
    </row>
    <row r="232">
      <c r="A232" t="inlineStr">
        <is>
          <t>202606</t>
        </is>
      </c>
      <c r="B232" t="inlineStr">
        <is>
          <t>Actual</t>
        </is>
      </c>
      <c r="C232" t="inlineStr"/>
      <c r="D232" t="inlineStr">
        <is>
          <t>Benchmark</t>
        </is>
      </c>
      <c r="E232" t="inlineStr"/>
      <c r="F232" t="inlineStr"/>
      <c r="G232" t="inlineStr"/>
      <c r="H232" t="inlineStr"/>
      <c r="I232" t="inlineStr">
        <is>
          <t>FFMM (x Weight del instrumento)</t>
        </is>
      </c>
      <c r="J232" t="inlineStr">
        <is>
          <t>iShares Global Consumer Staples ETF</t>
        </is>
      </c>
      <c r="K232" t="inlineStr">
        <is>
          <t>Intensidad</t>
        </is>
      </c>
      <c r="L232" t="n">
        <v>20.59952601</v>
      </c>
    </row>
    <row r="233">
      <c r="A233" t="inlineStr">
        <is>
          <t>202606</t>
        </is>
      </c>
      <c r="B233" t="inlineStr">
        <is>
          <t>Actual</t>
        </is>
      </c>
      <c r="C233" t="inlineStr"/>
      <c r="D233" t="inlineStr">
        <is>
          <t>Benchmark</t>
        </is>
      </c>
      <c r="E233" t="inlineStr"/>
      <c r="F233" t="inlineStr"/>
      <c r="G233" t="inlineStr"/>
      <c r="H233" t="inlineStr"/>
      <c r="I233" t="inlineStr">
        <is>
          <t>FFMM (x Weight del instrumento)</t>
        </is>
      </c>
      <c r="J233" t="inlineStr">
        <is>
          <t>iShares Global Industrials ETF</t>
        </is>
      </c>
      <c r="K233" t="inlineStr">
        <is>
          <t>Intensidad</t>
        </is>
      </c>
      <c r="L233" t="n">
        <v>29.22582011</v>
      </c>
    </row>
    <row r="234">
      <c r="A234" t="inlineStr">
        <is>
          <t>202606</t>
        </is>
      </c>
      <c r="B234" t="inlineStr">
        <is>
          <t>Actual</t>
        </is>
      </c>
      <c r="C234" t="inlineStr"/>
      <c r="D234" t="inlineStr">
        <is>
          <t>Benchmark</t>
        </is>
      </c>
      <c r="E234" t="inlineStr"/>
      <c r="F234" t="inlineStr"/>
      <c r="G234" t="inlineStr"/>
      <c r="H234" t="inlineStr"/>
      <c r="I234" t="inlineStr">
        <is>
          <t>FFMM (x Weight del instrumento)</t>
        </is>
      </c>
      <c r="J234" t="inlineStr">
        <is>
          <t>iShares Global Utilities ETF</t>
        </is>
      </c>
      <c r="K234" t="inlineStr">
        <is>
          <t>Intensidad</t>
        </is>
      </c>
      <c r="L234" t="n">
        <v>250.7564833</v>
      </c>
    </row>
    <row r="235">
      <c r="A235" t="inlineStr">
        <is>
          <t>202606</t>
        </is>
      </c>
      <c r="B235" t="inlineStr">
        <is>
          <t>Actual</t>
        </is>
      </c>
      <c r="C235" t="inlineStr"/>
      <c r="D235" t="inlineStr">
        <is>
          <t>Benchmark</t>
        </is>
      </c>
      <c r="E235" t="inlineStr"/>
      <c r="F235" t="inlineStr"/>
      <c r="G235" t="inlineStr"/>
      <c r="H235" t="inlineStr"/>
      <c r="I235" t="inlineStr">
        <is>
          <t>FFMM (x Weight del instrumento)</t>
        </is>
      </c>
      <c r="J235" t="inlineStr">
        <is>
          <t>iShares Global Materials ETF</t>
        </is>
      </c>
      <c r="K235" t="inlineStr">
        <is>
          <t>Intensidad</t>
        </is>
      </c>
      <c r="L235" t="n">
        <v>207.42773632</v>
      </c>
    </row>
    <row r="236">
      <c r="A236" t="inlineStr">
        <is>
          <t>202606</t>
        </is>
      </c>
      <c r="B236" t="inlineStr">
        <is>
          <t>Actual</t>
        </is>
      </c>
      <c r="C236" t="inlineStr"/>
      <c r="D236" t="inlineStr">
        <is>
          <t>Benchmark</t>
        </is>
      </c>
      <c r="E236" t="inlineStr"/>
      <c r="F236" t="inlineStr"/>
      <c r="G236" t="inlineStr"/>
      <c r="H236" t="inlineStr"/>
      <c r="I236" t="inlineStr">
        <is>
          <t>FFMM (x Weight del instrumento)</t>
        </is>
      </c>
      <c r="J236" t="inlineStr">
        <is>
          <t>iShares iBoxx $ High Yield Corporate Bond ETF</t>
        </is>
      </c>
      <c r="K236" t="inlineStr">
        <is>
          <t>Intensidad</t>
        </is>
      </c>
      <c r="L236" t="n">
        <v>95.74007526</v>
      </c>
    </row>
    <row r="237">
      <c r="A237" t="inlineStr">
        <is>
          <t>202606</t>
        </is>
      </c>
      <c r="B237" t="inlineStr">
        <is>
          <t>Actual</t>
        </is>
      </c>
      <c r="C237" t="inlineStr"/>
      <c r="D237" t="inlineStr">
        <is>
          <t>Benchmark</t>
        </is>
      </c>
      <c r="E237" t="inlineStr"/>
      <c r="F237" t="inlineStr"/>
      <c r="G237" t="inlineStr"/>
      <c r="H237" t="inlineStr"/>
      <c r="I237" t="inlineStr">
        <is>
          <t>FFMM (x Weight del instrumento)</t>
        </is>
      </c>
      <c r="J237" t="inlineStr">
        <is>
          <t>iShares Global Infrastructure ETF</t>
        </is>
      </c>
      <c r="K237" t="inlineStr">
        <is>
          <t>Intensidad</t>
        </is>
      </c>
      <c r="L237" t="n">
        <v>138.31438081</v>
      </c>
    </row>
    <row r="238">
      <c r="A238" t="inlineStr">
        <is>
          <t>202606</t>
        </is>
      </c>
      <c r="B238" t="inlineStr">
        <is>
          <t>Actual</t>
        </is>
      </c>
      <c r="C238" t="inlineStr"/>
      <c r="D238" t="inlineStr">
        <is>
          <t>Benchmark</t>
        </is>
      </c>
      <c r="E238" t="inlineStr"/>
      <c r="F238" t="inlineStr"/>
      <c r="G238" t="inlineStr"/>
      <c r="H238" t="inlineStr"/>
      <c r="I238" t="inlineStr">
        <is>
          <t>FFMM (x Weight del instrumento)</t>
        </is>
      </c>
      <c r="J238" t="inlineStr">
        <is>
          <t>iShares MSCI ACWI ETF</t>
        </is>
      </c>
      <c r="K238" t="inlineStr">
        <is>
          <t>Intensidad</t>
        </is>
      </c>
      <c r="L238" t="n">
        <v>33.91793054</v>
      </c>
    </row>
    <row r="239">
      <c r="A239" t="inlineStr">
        <is>
          <t>202606</t>
        </is>
      </c>
      <c r="B239" t="inlineStr">
        <is>
          <t>Actual</t>
        </is>
      </c>
      <c r="C239" t="inlineStr"/>
      <c r="D239" t="inlineStr">
        <is>
          <t>Benchmark</t>
        </is>
      </c>
      <c r="E239" t="inlineStr"/>
      <c r="F239" t="inlineStr"/>
      <c r="G239" t="inlineStr"/>
      <c r="H239" t="inlineStr"/>
      <c r="I239" t="inlineStr">
        <is>
          <t>FFMM (x Weight del instrumento)</t>
        </is>
      </c>
      <c r="J239" t="inlineStr">
        <is>
          <t>iShares MSCI All Country Asia ex Japan ETF</t>
        </is>
      </c>
      <c r="K239" t="inlineStr">
        <is>
          <t>Intensidad</t>
        </is>
      </c>
      <c r="L239" t="n">
        <v>74.31494612</v>
      </c>
    </row>
    <row r="240">
      <c r="A240" t="inlineStr">
        <is>
          <t>202606</t>
        </is>
      </c>
      <c r="B240" t="inlineStr">
        <is>
          <t>Actual</t>
        </is>
      </c>
      <c r="C240" t="inlineStr"/>
      <c r="D240" t="inlineStr">
        <is>
          <t>Benchmark</t>
        </is>
      </c>
      <c r="E240" t="inlineStr"/>
      <c r="F240" t="inlineStr"/>
      <c r="G240" t="inlineStr"/>
      <c r="H240" t="inlineStr"/>
      <c r="I240" t="inlineStr">
        <is>
          <t>FFMM (x Weight del instrumento)</t>
        </is>
      </c>
      <c r="J240" t="inlineStr">
        <is>
          <t>iShares MSCI Peru and Global Exposure ETF</t>
        </is>
      </c>
      <c r="K240" t="inlineStr">
        <is>
          <t>Intensidad</t>
        </is>
      </c>
      <c r="L240" t="n">
        <v>19.59103873</v>
      </c>
    </row>
    <row r="241">
      <c r="A241" t="inlineStr">
        <is>
          <t>202606</t>
        </is>
      </c>
      <c r="B241" t="inlineStr">
        <is>
          <t>Actual</t>
        </is>
      </c>
      <c r="C241" t="inlineStr"/>
      <c r="D241" t="inlineStr">
        <is>
          <t>Benchmark</t>
        </is>
      </c>
      <c r="E241" t="inlineStr"/>
      <c r="F241" t="inlineStr"/>
      <c r="G241" t="inlineStr"/>
      <c r="H241" t="inlineStr"/>
      <c r="I241" t="inlineStr">
        <is>
          <t>FFMM (x Weight del instrumento)</t>
        </is>
      </c>
      <c r="J241" t="inlineStr">
        <is>
          <t>VanEck JP Morgan EM Local Currency Bond ETF</t>
        </is>
      </c>
      <c r="K241" t="inlineStr">
        <is>
          <t>Intensidad</t>
        </is>
      </c>
      <c r="L241" t="n">
        <v>10.13004703</v>
      </c>
    </row>
    <row r="242">
      <c r="A242" t="inlineStr">
        <is>
          <t>202606</t>
        </is>
      </c>
      <c r="B242" t="inlineStr">
        <is>
          <t>Actual</t>
        </is>
      </c>
      <c r="C242" t="inlineStr"/>
      <c r="D242" t="inlineStr">
        <is>
          <t>Benchmark</t>
        </is>
      </c>
      <c r="E242" t="inlineStr"/>
      <c r="F242" t="inlineStr"/>
      <c r="G242" t="inlineStr"/>
      <c r="H242" t="inlineStr"/>
      <c r="I242" t="inlineStr">
        <is>
          <t>FFMM (x Weight del instrumento)</t>
        </is>
      </c>
      <c r="J242" t="inlineStr">
        <is>
          <t>iShares US &amp; Intl High Yield Corp Bond ETF</t>
        </is>
      </c>
      <c r="K242" t="inlineStr">
        <is>
          <t>Intensidad</t>
        </is>
      </c>
      <c r="L242" t="n">
        <v>92.30910041999999</v>
      </c>
    </row>
    <row r="243">
      <c r="A243" t="inlineStr">
        <is>
          <t>202606</t>
        </is>
      </c>
      <c r="B243" t="inlineStr">
        <is>
          <t>Actual</t>
        </is>
      </c>
      <c r="C243" t="inlineStr"/>
      <c r="D243" t="inlineStr">
        <is>
          <t>Benchmark</t>
        </is>
      </c>
      <c r="E243" t="inlineStr"/>
      <c r="F243" t="inlineStr"/>
      <c r="G243" t="inlineStr"/>
      <c r="H243" t="inlineStr"/>
      <c r="I243" t="inlineStr">
        <is>
          <t>FFMM (x Weight del instrumento)</t>
        </is>
      </c>
      <c r="J243" t="inlineStr">
        <is>
          <t>State Street SPDR Blackstone Senior Loan ETF</t>
        </is>
      </c>
      <c r="K243" t="inlineStr">
        <is>
          <t>Intensidad</t>
        </is>
      </c>
      <c r="L243" t="n">
        <v>112.69892905</v>
      </c>
    </row>
    <row r="244">
      <c r="A244" t="inlineStr">
        <is>
          <t>202606</t>
        </is>
      </c>
      <c r="B244" t="inlineStr">
        <is>
          <t>Actual</t>
        </is>
      </c>
      <c r="C244" t="inlineStr"/>
      <c r="D244" t="inlineStr">
        <is>
          <t>Benchmark</t>
        </is>
      </c>
      <c r="E244" t="inlineStr"/>
      <c r="F244" t="inlineStr"/>
      <c r="G244" t="inlineStr"/>
      <c r="H244" t="inlineStr"/>
      <c r="I244" t="inlineStr">
        <is>
          <t>FFMM (x Weight del instrumento)</t>
        </is>
      </c>
      <c r="J244" t="inlineStr">
        <is>
          <t>iShares Global REIT ETF</t>
        </is>
      </c>
      <c r="K244" t="inlineStr">
        <is>
          <t>Intensidad</t>
        </is>
      </c>
      <c r="L244" t="n">
        <v>7.07812133</v>
      </c>
    </row>
    <row r="245">
      <c r="A245" t="inlineStr">
        <is>
          <t>202606</t>
        </is>
      </c>
      <c r="B245" t="inlineStr">
        <is>
          <t>Actual</t>
        </is>
      </c>
      <c r="C245" t="inlineStr"/>
      <c r="D245" t="inlineStr">
        <is>
          <t>Benchmark</t>
        </is>
      </c>
      <c r="E245" t="inlineStr"/>
      <c r="F245" t="inlineStr"/>
      <c r="G245" t="inlineStr"/>
      <c r="H245" t="inlineStr"/>
      <c r="I245" t="inlineStr">
        <is>
          <t>FFMM (x Weight del instrumento)</t>
        </is>
      </c>
      <c r="J245" t="inlineStr">
        <is>
          <t>iShares US Infrastructure ETF</t>
        </is>
      </c>
      <c r="K245" t="inlineStr">
        <is>
          <t>Intensidad</t>
        </is>
      </c>
      <c r="L245" t="n">
        <v>178.63028558</v>
      </c>
    </row>
    <row r="246">
      <c r="A246" t="inlineStr">
        <is>
          <t>202606</t>
        </is>
      </c>
      <c r="B246" t="inlineStr">
        <is>
          <t>Actual</t>
        </is>
      </c>
      <c r="C246" t="inlineStr"/>
      <c r="D246" t="inlineStr">
        <is>
          <t>Benchmark</t>
        </is>
      </c>
      <c r="E246" t="inlineStr"/>
      <c r="F246" t="inlineStr"/>
      <c r="G246" t="inlineStr"/>
      <c r="H246" t="inlineStr"/>
      <c r="I246" t="inlineStr">
        <is>
          <t>FFMM (x Weight del instrumento)</t>
        </is>
      </c>
      <c r="J246" t="inlineStr">
        <is>
          <t>iShares ? High Yield Corp Bond UCITS ETF EUR D</t>
        </is>
      </c>
      <c r="K246" t="inlineStr">
        <is>
          <t>Intensidad</t>
        </is>
      </c>
      <c r="L246" t="n">
        <v>99.28022263</v>
      </c>
    </row>
    <row r="247">
      <c r="A247" t="inlineStr">
        <is>
          <t>202606</t>
        </is>
      </c>
      <c r="B247" t="inlineStr">
        <is>
          <t>Actual</t>
        </is>
      </c>
      <c r="C247" t="inlineStr">
        <is>
          <t>Ex_Integra</t>
        </is>
      </c>
      <c r="D247" t="inlineStr">
        <is>
          <t>Benchmark</t>
        </is>
      </c>
      <c r="E247" t="inlineStr">
        <is>
          <t>Equities</t>
        </is>
      </c>
      <c r="F247" t="inlineStr"/>
      <c r="G247" t="inlineStr"/>
      <c r="H247" t="inlineStr">
        <is>
          <t>Commodities</t>
        </is>
      </c>
      <c r="I247" t="inlineStr">
        <is>
          <t>Comparables_Subcat_Ajustado (x Weight del instrumento)</t>
        </is>
      </c>
      <c r="J247" t="inlineStr"/>
      <c r="K247" t="inlineStr">
        <is>
          <t>Intensidad</t>
        </is>
      </c>
      <c r="L247" t="n">
        <v>110.648831</v>
      </c>
    </row>
    <row r="248">
      <c r="A248" t="inlineStr">
        <is>
          <t>202606</t>
        </is>
      </c>
      <c r="B248" t="inlineStr">
        <is>
          <t>Actual</t>
        </is>
      </c>
      <c r="C248" t="inlineStr">
        <is>
          <t>Ex_Integra</t>
        </is>
      </c>
      <c r="D248" t="inlineStr">
        <is>
          <t>Benchmark</t>
        </is>
      </c>
      <c r="E248" t="inlineStr">
        <is>
          <t>Equities</t>
        </is>
      </c>
      <c r="F248" t="inlineStr"/>
      <c r="G248" t="inlineStr"/>
      <c r="H248" t="inlineStr">
        <is>
          <t>DM</t>
        </is>
      </c>
      <c r="I248" t="inlineStr">
        <is>
          <t>Comparables_Subcat_Ajustado (x Weight del instrumento)</t>
        </is>
      </c>
      <c r="J248" t="inlineStr"/>
      <c r="K248" t="inlineStr">
        <is>
          <t>Intensidad</t>
        </is>
      </c>
      <c r="L248" t="n">
        <v>46.196599</v>
      </c>
    </row>
    <row r="249">
      <c r="A249" t="inlineStr">
        <is>
          <t>202606</t>
        </is>
      </c>
      <c r="B249" t="inlineStr">
        <is>
          <t>Actual</t>
        </is>
      </c>
      <c r="C249" t="inlineStr">
        <is>
          <t>Ex_Integra</t>
        </is>
      </c>
      <c r="D249" t="inlineStr">
        <is>
          <t>Benchmark</t>
        </is>
      </c>
      <c r="E249" t="inlineStr">
        <is>
          <t>Equities</t>
        </is>
      </c>
      <c r="F249" t="inlineStr"/>
      <c r="G249" t="inlineStr"/>
      <c r="H249" t="inlineStr">
        <is>
          <t>EM</t>
        </is>
      </c>
      <c r="I249" t="inlineStr">
        <is>
          <t>Comparables_Subcat_Ajustado (x Weight del instrumento)</t>
        </is>
      </c>
      <c r="J249" t="inlineStr"/>
      <c r="K249" t="inlineStr">
        <is>
          <t>Intensidad</t>
        </is>
      </c>
      <c r="L249" t="n">
        <v>63.629768</v>
      </c>
    </row>
    <row r="250">
      <c r="A250" t="inlineStr">
        <is>
          <t>202606</t>
        </is>
      </c>
      <c r="B250" t="inlineStr">
        <is>
          <t>Actual</t>
        </is>
      </c>
      <c r="C250" t="inlineStr">
        <is>
          <t>Ex_Integra</t>
        </is>
      </c>
      <c r="D250" t="inlineStr">
        <is>
          <t>Benchmark</t>
        </is>
      </c>
      <c r="E250" t="inlineStr">
        <is>
          <t>Equities</t>
        </is>
      </c>
      <c r="F250" t="inlineStr"/>
      <c r="G250" t="inlineStr"/>
      <c r="H250" t="inlineStr">
        <is>
          <t>Peru</t>
        </is>
      </c>
      <c r="I250" t="inlineStr">
        <is>
          <t>Comparables_Subcat_Ajustado (x Weight del instrumento)</t>
        </is>
      </c>
      <c r="J250" t="inlineStr"/>
      <c r="K250" t="inlineStr">
        <is>
          <t>Intensidad</t>
        </is>
      </c>
      <c r="L250" t="n">
        <v>20.496116</v>
      </c>
    </row>
    <row r="251">
      <c r="A251" t="inlineStr">
        <is>
          <t>202606</t>
        </is>
      </c>
      <c r="B251" t="inlineStr">
        <is>
          <t>Actual</t>
        </is>
      </c>
      <c r="C251" t="inlineStr">
        <is>
          <t>Ex_Integra</t>
        </is>
      </c>
      <c r="D251" t="inlineStr">
        <is>
          <t>Benchmark</t>
        </is>
      </c>
      <c r="E251" t="inlineStr">
        <is>
          <t>Equities</t>
        </is>
      </c>
      <c r="F251" t="inlineStr"/>
      <c r="G251" t="inlineStr"/>
      <c r="H251" t="inlineStr">
        <is>
          <t>Commodities</t>
        </is>
      </c>
      <c r="I251" t="inlineStr">
        <is>
          <t>Comparables_Subcat_SinAjustar</t>
        </is>
      </c>
      <c r="J251" t="inlineStr"/>
      <c r="K251" t="inlineStr">
        <is>
          <t>Intensidad</t>
        </is>
      </c>
      <c r="L251" t="n">
        <v>3.634762</v>
      </c>
    </row>
    <row r="252">
      <c r="A252" t="inlineStr">
        <is>
          <t>202606</t>
        </is>
      </c>
      <c r="B252" t="inlineStr">
        <is>
          <t>Actual</t>
        </is>
      </c>
      <c r="C252" t="inlineStr">
        <is>
          <t>Ex_Integra</t>
        </is>
      </c>
      <c r="D252" t="inlineStr">
        <is>
          <t>Benchmark</t>
        </is>
      </c>
      <c r="E252" t="inlineStr">
        <is>
          <t>Equities</t>
        </is>
      </c>
      <c r="F252" t="inlineStr"/>
      <c r="G252" t="inlineStr"/>
      <c r="H252" t="inlineStr">
        <is>
          <t>DM</t>
        </is>
      </c>
      <c r="I252" t="inlineStr">
        <is>
          <t>Comparables_Subcat_SinAjustar</t>
        </is>
      </c>
      <c r="J252" t="inlineStr"/>
      <c r="K252" t="inlineStr">
        <is>
          <t>Intensidad</t>
        </is>
      </c>
      <c r="L252" t="n">
        <v>0.474217</v>
      </c>
    </row>
    <row r="253">
      <c r="A253" t="inlineStr">
        <is>
          <t>202606</t>
        </is>
      </c>
      <c r="B253" t="inlineStr">
        <is>
          <t>Actual</t>
        </is>
      </c>
      <c r="C253" t="inlineStr">
        <is>
          <t>Ex_Integra</t>
        </is>
      </c>
      <c r="D253" t="inlineStr">
        <is>
          <t>Benchmark</t>
        </is>
      </c>
      <c r="E253" t="inlineStr">
        <is>
          <t>Equities</t>
        </is>
      </c>
      <c r="F253" t="inlineStr"/>
      <c r="G253" t="inlineStr"/>
      <c r="H253" t="inlineStr">
        <is>
          <t>EM</t>
        </is>
      </c>
      <c r="I253" t="inlineStr">
        <is>
          <t>Comparables_Subcat_SinAjustar</t>
        </is>
      </c>
      <c r="J253" t="inlineStr"/>
      <c r="K253" t="inlineStr">
        <is>
          <t>Intensidad</t>
        </is>
      </c>
      <c r="L253" t="n">
        <v>1.409431</v>
      </c>
    </row>
    <row r="254">
      <c r="A254" t="inlineStr">
        <is>
          <t>202606</t>
        </is>
      </c>
      <c r="B254" t="inlineStr">
        <is>
          <t>Actual</t>
        </is>
      </c>
      <c r="C254" t="inlineStr">
        <is>
          <t>Ex_Integra</t>
        </is>
      </c>
      <c r="D254" t="inlineStr">
        <is>
          <t>Benchmark</t>
        </is>
      </c>
      <c r="E254" t="inlineStr">
        <is>
          <t>Equities</t>
        </is>
      </c>
      <c r="F254" t="inlineStr"/>
      <c r="G254" t="inlineStr"/>
      <c r="H254" t="inlineStr">
        <is>
          <t>Peru</t>
        </is>
      </c>
      <c r="I254" t="inlineStr">
        <is>
          <t>Comparables_Subcat_SinAjustar</t>
        </is>
      </c>
      <c r="J254" t="inlineStr"/>
      <c r="K254" t="inlineStr">
        <is>
          <t>Intensidad</t>
        </is>
      </c>
      <c r="L254" t="n">
        <v>3.317613</v>
      </c>
    </row>
    <row r="255">
      <c r="A255" t="inlineStr">
        <is>
          <t>202606</t>
        </is>
      </c>
      <c r="B255" t="inlineStr">
        <is>
          <t>Actual</t>
        </is>
      </c>
      <c r="C255" t="inlineStr">
        <is>
          <t>Habitat</t>
        </is>
      </c>
      <c r="D255" t="inlineStr">
        <is>
          <t>Benchmark</t>
        </is>
      </c>
      <c r="E255" t="inlineStr">
        <is>
          <t>Equities</t>
        </is>
      </c>
      <c r="F255" t="inlineStr"/>
      <c r="G255" t="inlineStr"/>
      <c r="H255" t="inlineStr">
        <is>
          <t>Commodities</t>
        </is>
      </c>
      <c r="I255" t="inlineStr">
        <is>
          <t>Comparables_Subcat_Ajustado (x Weight del instrumento)</t>
        </is>
      </c>
      <c r="J255" t="inlineStr"/>
      <c r="K255" t="inlineStr">
        <is>
          <t>Intensidad</t>
        </is>
      </c>
      <c r="L255" t="n">
        <v>110.648831</v>
      </c>
    </row>
    <row r="256">
      <c r="A256" t="inlineStr">
        <is>
          <t>202606</t>
        </is>
      </c>
      <c r="B256" t="inlineStr">
        <is>
          <t>Actual</t>
        </is>
      </c>
      <c r="C256" t="inlineStr">
        <is>
          <t>Habitat</t>
        </is>
      </c>
      <c r="D256" t="inlineStr">
        <is>
          <t>Benchmark</t>
        </is>
      </c>
      <c r="E256" t="inlineStr">
        <is>
          <t>Equities</t>
        </is>
      </c>
      <c r="F256" t="inlineStr"/>
      <c r="G256" t="inlineStr"/>
      <c r="H256" t="inlineStr">
        <is>
          <t>DM</t>
        </is>
      </c>
      <c r="I256" t="inlineStr">
        <is>
          <t>Comparables_Subcat_Ajustado (x Weight del instrumento)</t>
        </is>
      </c>
      <c r="J256" t="inlineStr"/>
      <c r="K256" t="inlineStr">
        <is>
          <t>Intensidad</t>
        </is>
      </c>
      <c r="L256" t="n">
        <v>46.196599</v>
      </c>
    </row>
    <row r="257">
      <c r="A257" t="inlineStr">
        <is>
          <t>202606</t>
        </is>
      </c>
      <c r="B257" t="inlineStr">
        <is>
          <t>Actual</t>
        </is>
      </c>
      <c r="C257" t="inlineStr">
        <is>
          <t>Habitat</t>
        </is>
      </c>
      <c r="D257" t="inlineStr">
        <is>
          <t>Benchmark</t>
        </is>
      </c>
      <c r="E257" t="inlineStr">
        <is>
          <t>Equities</t>
        </is>
      </c>
      <c r="F257" t="inlineStr"/>
      <c r="G257" t="inlineStr"/>
      <c r="H257" t="inlineStr">
        <is>
          <t>EM</t>
        </is>
      </c>
      <c r="I257" t="inlineStr">
        <is>
          <t>Comparables_Subcat_Ajustado (x Weight del instrumento)</t>
        </is>
      </c>
      <c r="J257" t="inlineStr"/>
      <c r="K257" t="inlineStr">
        <is>
          <t>Intensidad</t>
        </is>
      </c>
      <c r="L257" t="n">
        <v>63.629768</v>
      </c>
    </row>
    <row r="258">
      <c r="A258" t="inlineStr">
        <is>
          <t>202606</t>
        </is>
      </c>
      <c r="B258" t="inlineStr">
        <is>
          <t>Actual</t>
        </is>
      </c>
      <c r="C258" t="inlineStr">
        <is>
          <t>Habitat</t>
        </is>
      </c>
      <c r="D258" t="inlineStr">
        <is>
          <t>Benchmark</t>
        </is>
      </c>
      <c r="E258" t="inlineStr">
        <is>
          <t>Equities</t>
        </is>
      </c>
      <c r="F258" t="inlineStr"/>
      <c r="G258" t="inlineStr"/>
      <c r="H258" t="inlineStr">
        <is>
          <t>Peru</t>
        </is>
      </c>
      <c r="I258" t="inlineStr">
        <is>
          <t>Comparables_Subcat_Ajustado (x Weight del instrumento)</t>
        </is>
      </c>
      <c r="J258" t="inlineStr"/>
      <c r="K258" t="inlineStr">
        <is>
          <t>Intensidad</t>
        </is>
      </c>
      <c r="L258" t="n">
        <v>20.496116</v>
      </c>
    </row>
    <row r="259">
      <c r="A259" t="inlineStr">
        <is>
          <t>202606</t>
        </is>
      </c>
      <c r="B259" t="inlineStr">
        <is>
          <t>Actual</t>
        </is>
      </c>
      <c r="C259" t="inlineStr">
        <is>
          <t>Habitat</t>
        </is>
      </c>
      <c r="D259" t="inlineStr">
        <is>
          <t>Benchmark</t>
        </is>
      </c>
      <c r="E259" t="inlineStr">
        <is>
          <t>Equities</t>
        </is>
      </c>
      <c r="F259" t="inlineStr"/>
      <c r="G259" t="inlineStr"/>
      <c r="H259" t="inlineStr">
        <is>
          <t>Commodities</t>
        </is>
      </c>
      <c r="I259" t="inlineStr">
        <is>
          <t>Comparables_Subcat_SinAjustar</t>
        </is>
      </c>
      <c r="J259" t="inlineStr"/>
      <c r="K259" t="inlineStr">
        <is>
          <t>Intensidad</t>
        </is>
      </c>
      <c r="L259" t="n">
        <v>3.634762</v>
      </c>
    </row>
    <row r="260">
      <c r="A260" t="inlineStr">
        <is>
          <t>202606</t>
        </is>
      </c>
      <c r="B260" t="inlineStr">
        <is>
          <t>Actual</t>
        </is>
      </c>
      <c r="C260" t="inlineStr">
        <is>
          <t>Habitat</t>
        </is>
      </c>
      <c r="D260" t="inlineStr">
        <is>
          <t>Benchmark</t>
        </is>
      </c>
      <c r="E260" t="inlineStr">
        <is>
          <t>Equities</t>
        </is>
      </c>
      <c r="F260" t="inlineStr"/>
      <c r="G260" t="inlineStr"/>
      <c r="H260" t="inlineStr">
        <is>
          <t>DM</t>
        </is>
      </c>
      <c r="I260" t="inlineStr">
        <is>
          <t>Comparables_Subcat_SinAjustar</t>
        </is>
      </c>
      <c r="J260" t="inlineStr"/>
      <c r="K260" t="inlineStr">
        <is>
          <t>Intensidad</t>
        </is>
      </c>
      <c r="L260" t="n">
        <v>0.474217</v>
      </c>
    </row>
    <row r="261">
      <c r="A261" t="inlineStr">
        <is>
          <t>202606</t>
        </is>
      </c>
      <c r="B261" t="inlineStr">
        <is>
          <t>Actual</t>
        </is>
      </c>
      <c r="C261" t="inlineStr">
        <is>
          <t>Habitat</t>
        </is>
      </c>
      <c r="D261" t="inlineStr">
        <is>
          <t>Benchmark</t>
        </is>
      </c>
      <c r="E261" t="inlineStr">
        <is>
          <t>Equities</t>
        </is>
      </c>
      <c r="F261" t="inlineStr"/>
      <c r="G261" t="inlineStr"/>
      <c r="H261" t="inlineStr">
        <is>
          <t>EM</t>
        </is>
      </c>
      <c r="I261" t="inlineStr">
        <is>
          <t>Comparables_Subcat_SinAjustar</t>
        </is>
      </c>
      <c r="J261" t="inlineStr"/>
      <c r="K261" t="inlineStr">
        <is>
          <t>Intensidad</t>
        </is>
      </c>
      <c r="L261" t="n">
        <v>1.409431</v>
      </c>
    </row>
    <row r="262">
      <c r="A262" t="inlineStr">
        <is>
          <t>202606</t>
        </is>
      </c>
      <c r="B262" t="inlineStr">
        <is>
          <t>Actual</t>
        </is>
      </c>
      <c r="C262" t="inlineStr">
        <is>
          <t>Habitat</t>
        </is>
      </c>
      <c r="D262" t="inlineStr">
        <is>
          <t>Benchmark</t>
        </is>
      </c>
      <c r="E262" t="inlineStr">
        <is>
          <t>Equities</t>
        </is>
      </c>
      <c r="F262" t="inlineStr"/>
      <c r="G262" t="inlineStr"/>
      <c r="H262" t="inlineStr">
        <is>
          <t>Peru</t>
        </is>
      </c>
      <c r="I262" t="inlineStr">
        <is>
          <t>Comparables_Subcat_SinAjustar</t>
        </is>
      </c>
      <c r="J262" t="inlineStr"/>
      <c r="K262" t="inlineStr">
        <is>
          <t>Intensidad</t>
        </is>
      </c>
      <c r="L262" t="n">
        <v>3.317613</v>
      </c>
    </row>
    <row r="263">
      <c r="A263" t="inlineStr">
        <is>
          <t>202606</t>
        </is>
      </c>
      <c r="B263" t="inlineStr">
        <is>
          <t>Actual</t>
        </is>
      </c>
      <c r="C263" t="inlineStr">
        <is>
          <t>Integra</t>
        </is>
      </c>
      <c r="D263" t="inlineStr">
        <is>
          <t>Benchmark</t>
        </is>
      </c>
      <c r="E263" t="inlineStr">
        <is>
          <t>Equities</t>
        </is>
      </c>
      <c r="F263" t="inlineStr"/>
      <c r="G263" t="inlineStr"/>
      <c r="H263" t="inlineStr">
        <is>
          <t>Commodities</t>
        </is>
      </c>
      <c r="I263" t="inlineStr">
        <is>
          <t>Comparables_Subcat_Ajustado (x Weight del instrumento)</t>
        </is>
      </c>
      <c r="J263" t="inlineStr"/>
      <c r="K263" t="inlineStr">
        <is>
          <t>Intensidad</t>
        </is>
      </c>
      <c r="L263" t="n">
        <v>110.648831</v>
      </c>
    </row>
    <row r="264">
      <c r="A264" t="inlineStr">
        <is>
          <t>202606</t>
        </is>
      </c>
      <c r="B264" t="inlineStr">
        <is>
          <t>Actual</t>
        </is>
      </c>
      <c r="C264" t="inlineStr">
        <is>
          <t>Integra</t>
        </is>
      </c>
      <c r="D264" t="inlineStr">
        <is>
          <t>Benchmark</t>
        </is>
      </c>
      <c r="E264" t="inlineStr">
        <is>
          <t>Equities</t>
        </is>
      </c>
      <c r="F264" t="inlineStr"/>
      <c r="G264" t="inlineStr"/>
      <c r="H264" t="inlineStr">
        <is>
          <t>DM</t>
        </is>
      </c>
      <c r="I264" t="inlineStr">
        <is>
          <t>Comparables_Subcat_Ajustado (x Weight del instrumento)</t>
        </is>
      </c>
      <c r="J264" t="inlineStr"/>
      <c r="K264" t="inlineStr">
        <is>
          <t>Intensidad</t>
        </is>
      </c>
      <c r="L264" t="n">
        <v>46.196599</v>
      </c>
    </row>
    <row r="265">
      <c r="A265" t="inlineStr">
        <is>
          <t>202606</t>
        </is>
      </c>
      <c r="B265" t="inlineStr">
        <is>
          <t>Actual</t>
        </is>
      </c>
      <c r="C265" t="inlineStr">
        <is>
          <t>Integra</t>
        </is>
      </c>
      <c r="D265" t="inlineStr">
        <is>
          <t>Benchmark</t>
        </is>
      </c>
      <c r="E265" t="inlineStr">
        <is>
          <t>Equities</t>
        </is>
      </c>
      <c r="F265" t="inlineStr"/>
      <c r="G265" t="inlineStr"/>
      <c r="H265" t="inlineStr">
        <is>
          <t>EM</t>
        </is>
      </c>
      <c r="I265" t="inlineStr">
        <is>
          <t>Comparables_Subcat_Ajustado (x Weight del instrumento)</t>
        </is>
      </c>
      <c r="J265" t="inlineStr"/>
      <c r="K265" t="inlineStr">
        <is>
          <t>Intensidad</t>
        </is>
      </c>
      <c r="L265" t="n">
        <v>63.629768</v>
      </c>
    </row>
    <row r="266">
      <c r="A266" t="inlineStr">
        <is>
          <t>202606</t>
        </is>
      </c>
      <c r="B266" t="inlineStr">
        <is>
          <t>Actual</t>
        </is>
      </c>
      <c r="C266" t="inlineStr">
        <is>
          <t>Integra</t>
        </is>
      </c>
      <c r="D266" t="inlineStr">
        <is>
          <t>Benchmark</t>
        </is>
      </c>
      <c r="E266" t="inlineStr">
        <is>
          <t>Equities</t>
        </is>
      </c>
      <c r="F266" t="inlineStr"/>
      <c r="G266" t="inlineStr"/>
      <c r="H266" t="inlineStr">
        <is>
          <t>Peru</t>
        </is>
      </c>
      <c r="I266" t="inlineStr">
        <is>
          <t>Comparables_Subcat_Ajustado (x Weight del instrumento)</t>
        </is>
      </c>
      <c r="J266" t="inlineStr"/>
      <c r="K266" t="inlineStr">
        <is>
          <t>Intensidad</t>
        </is>
      </c>
      <c r="L266" t="n">
        <v>20.496116</v>
      </c>
    </row>
    <row r="267">
      <c r="A267" t="inlineStr">
        <is>
          <t>202606</t>
        </is>
      </c>
      <c r="B267" t="inlineStr">
        <is>
          <t>Actual</t>
        </is>
      </c>
      <c r="C267" t="inlineStr">
        <is>
          <t>Integra</t>
        </is>
      </c>
      <c r="D267" t="inlineStr">
        <is>
          <t>Benchmark</t>
        </is>
      </c>
      <c r="E267" t="inlineStr">
        <is>
          <t>Equities</t>
        </is>
      </c>
      <c r="F267" t="inlineStr"/>
      <c r="G267" t="inlineStr"/>
      <c r="H267" t="inlineStr">
        <is>
          <t>Commodities</t>
        </is>
      </c>
      <c r="I267" t="inlineStr">
        <is>
          <t>Comparables_Subcat_SinAjustar</t>
        </is>
      </c>
      <c r="J267" t="inlineStr"/>
      <c r="K267" t="inlineStr">
        <is>
          <t>Intensidad</t>
        </is>
      </c>
      <c r="L267" t="n">
        <v>3.634762</v>
      </c>
    </row>
    <row r="268">
      <c r="A268" t="inlineStr">
        <is>
          <t>202606</t>
        </is>
      </c>
      <c r="B268" t="inlineStr">
        <is>
          <t>Actual</t>
        </is>
      </c>
      <c r="C268" t="inlineStr">
        <is>
          <t>Integra</t>
        </is>
      </c>
      <c r="D268" t="inlineStr">
        <is>
          <t>Benchmark</t>
        </is>
      </c>
      <c r="E268" t="inlineStr">
        <is>
          <t>Equities</t>
        </is>
      </c>
      <c r="F268" t="inlineStr"/>
      <c r="G268" t="inlineStr"/>
      <c r="H268" t="inlineStr">
        <is>
          <t>DM</t>
        </is>
      </c>
      <c r="I268" t="inlineStr">
        <is>
          <t>Comparables_Subcat_SinAjustar</t>
        </is>
      </c>
      <c r="J268" t="inlineStr"/>
      <c r="K268" t="inlineStr">
        <is>
          <t>Intensidad</t>
        </is>
      </c>
      <c r="L268" t="n">
        <v>0.474217</v>
      </c>
    </row>
    <row r="269">
      <c r="A269" t="inlineStr">
        <is>
          <t>202606</t>
        </is>
      </c>
      <c r="B269" t="inlineStr">
        <is>
          <t>Actual</t>
        </is>
      </c>
      <c r="C269" t="inlineStr">
        <is>
          <t>Integra</t>
        </is>
      </c>
      <c r="D269" t="inlineStr">
        <is>
          <t>Benchmark</t>
        </is>
      </c>
      <c r="E269" t="inlineStr">
        <is>
          <t>Equities</t>
        </is>
      </c>
      <c r="F269" t="inlineStr"/>
      <c r="G269" t="inlineStr"/>
      <c r="H269" t="inlineStr">
        <is>
          <t>EM</t>
        </is>
      </c>
      <c r="I269" t="inlineStr">
        <is>
          <t>Comparables_Subcat_SinAjustar</t>
        </is>
      </c>
      <c r="J269" t="inlineStr"/>
      <c r="K269" t="inlineStr">
        <is>
          <t>Intensidad</t>
        </is>
      </c>
      <c r="L269" t="n">
        <v>1.409431</v>
      </c>
    </row>
    <row r="270">
      <c r="A270" t="inlineStr">
        <is>
          <t>202606</t>
        </is>
      </c>
      <c r="B270" t="inlineStr">
        <is>
          <t>Actual</t>
        </is>
      </c>
      <c r="C270" t="inlineStr">
        <is>
          <t>Integra</t>
        </is>
      </c>
      <c r="D270" t="inlineStr">
        <is>
          <t>Benchmark</t>
        </is>
      </c>
      <c r="E270" t="inlineStr">
        <is>
          <t>Equities</t>
        </is>
      </c>
      <c r="F270" t="inlineStr"/>
      <c r="G270" t="inlineStr"/>
      <c r="H270" t="inlineStr">
        <is>
          <t>Peru</t>
        </is>
      </c>
      <c r="I270" t="inlineStr">
        <is>
          <t>Comparables_Subcat_SinAjustar</t>
        </is>
      </c>
      <c r="J270" t="inlineStr"/>
      <c r="K270" t="inlineStr">
        <is>
          <t>Intensidad</t>
        </is>
      </c>
      <c r="L270" t="n">
        <v>3.317613</v>
      </c>
    </row>
    <row r="271">
      <c r="A271" t="inlineStr">
        <is>
          <t>202606</t>
        </is>
      </c>
      <c r="B271" t="inlineStr">
        <is>
          <t>Actual</t>
        </is>
      </c>
      <c r="C271" t="inlineStr">
        <is>
          <t>Prima</t>
        </is>
      </c>
      <c r="D271" t="inlineStr">
        <is>
          <t>Benchmark</t>
        </is>
      </c>
      <c r="E271" t="inlineStr">
        <is>
          <t>Equities</t>
        </is>
      </c>
      <c r="F271" t="inlineStr"/>
      <c r="G271" t="inlineStr"/>
      <c r="H271" t="inlineStr">
        <is>
          <t>Commodities</t>
        </is>
      </c>
      <c r="I271" t="inlineStr">
        <is>
          <t>Comparables_Subcat_Ajustado (x Weight del instrumento)</t>
        </is>
      </c>
      <c r="J271" t="inlineStr"/>
      <c r="K271" t="inlineStr">
        <is>
          <t>Intensidad</t>
        </is>
      </c>
      <c r="L271" t="n">
        <v>110.648831</v>
      </c>
    </row>
    <row r="272">
      <c r="A272" t="inlineStr">
        <is>
          <t>202606</t>
        </is>
      </c>
      <c r="B272" t="inlineStr">
        <is>
          <t>Actual</t>
        </is>
      </c>
      <c r="C272" t="inlineStr">
        <is>
          <t>Prima</t>
        </is>
      </c>
      <c r="D272" t="inlineStr">
        <is>
          <t>Benchmark</t>
        </is>
      </c>
      <c r="E272" t="inlineStr">
        <is>
          <t>Equities</t>
        </is>
      </c>
      <c r="F272" t="inlineStr"/>
      <c r="G272" t="inlineStr"/>
      <c r="H272" t="inlineStr">
        <is>
          <t>DM</t>
        </is>
      </c>
      <c r="I272" t="inlineStr">
        <is>
          <t>Comparables_Subcat_Ajustado (x Weight del instrumento)</t>
        </is>
      </c>
      <c r="J272" t="inlineStr"/>
      <c r="K272" t="inlineStr">
        <is>
          <t>Intensidad</t>
        </is>
      </c>
      <c r="L272" t="n">
        <v>46.196599</v>
      </c>
    </row>
    <row r="273">
      <c r="A273" t="inlineStr">
        <is>
          <t>202606</t>
        </is>
      </c>
      <c r="B273" t="inlineStr">
        <is>
          <t>Actual</t>
        </is>
      </c>
      <c r="C273" t="inlineStr">
        <is>
          <t>Prima</t>
        </is>
      </c>
      <c r="D273" t="inlineStr">
        <is>
          <t>Benchmark</t>
        </is>
      </c>
      <c r="E273" t="inlineStr">
        <is>
          <t>Equities</t>
        </is>
      </c>
      <c r="F273" t="inlineStr"/>
      <c r="G273" t="inlineStr"/>
      <c r="H273" t="inlineStr">
        <is>
          <t>EM</t>
        </is>
      </c>
      <c r="I273" t="inlineStr">
        <is>
          <t>Comparables_Subcat_Ajustado (x Weight del instrumento)</t>
        </is>
      </c>
      <c r="J273" t="inlineStr"/>
      <c r="K273" t="inlineStr">
        <is>
          <t>Intensidad</t>
        </is>
      </c>
      <c r="L273" t="n">
        <v>63.629768</v>
      </c>
    </row>
    <row r="274">
      <c r="A274" t="inlineStr">
        <is>
          <t>202606</t>
        </is>
      </c>
      <c r="B274" t="inlineStr">
        <is>
          <t>Actual</t>
        </is>
      </c>
      <c r="C274" t="inlineStr">
        <is>
          <t>Prima</t>
        </is>
      </c>
      <c r="D274" t="inlineStr">
        <is>
          <t>Benchmark</t>
        </is>
      </c>
      <c r="E274" t="inlineStr">
        <is>
          <t>Equities</t>
        </is>
      </c>
      <c r="F274" t="inlineStr"/>
      <c r="G274" t="inlineStr"/>
      <c r="H274" t="inlineStr">
        <is>
          <t>Peru</t>
        </is>
      </c>
      <c r="I274" t="inlineStr">
        <is>
          <t>Comparables_Subcat_Ajustado (x Weight del instrumento)</t>
        </is>
      </c>
      <c r="J274" t="inlineStr"/>
      <c r="K274" t="inlineStr">
        <is>
          <t>Intensidad</t>
        </is>
      </c>
      <c r="L274" t="n">
        <v>20.496116</v>
      </c>
    </row>
    <row r="275">
      <c r="A275" t="inlineStr">
        <is>
          <t>202606</t>
        </is>
      </c>
      <c r="B275" t="inlineStr">
        <is>
          <t>Actual</t>
        </is>
      </c>
      <c r="C275" t="inlineStr">
        <is>
          <t>Prima</t>
        </is>
      </c>
      <c r="D275" t="inlineStr">
        <is>
          <t>Benchmark</t>
        </is>
      </c>
      <c r="E275" t="inlineStr">
        <is>
          <t>Equities</t>
        </is>
      </c>
      <c r="F275" t="inlineStr"/>
      <c r="G275" t="inlineStr"/>
      <c r="H275" t="inlineStr">
        <is>
          <t>Commodities</t>
        </is>
      </c>
      <c r="I275" t="inlineStr">
        <is>
          <t>Comparables_Subcat_SinAjustar</t>
        </is>
      </c>
      <c r="J275" t="inlineStr"/>
      <c r="K275" t="inlineStr">
        <is>
          <t>Intensidad</t>
        </is>
      </c>
      <c r="L275" t="n">
        <v>3.634762</v>
      </c>
    </row>
    <row r="276">
      <c r="A276" t="inlineStr">
        <is>
          <t>202606</t>
        </is>
      </c>
      <c r="B276" t="inlineStr">
        <is>
          <t>Actual</t>
        </is>
      </c>
      <c r="C276" t="inlineStr">
        <is>
          <t>Prima</t>
        </is>
      </c>
      <c r="D276" t="inlineStr">
        <is>
          <t>Benchmark</t>
        </is>
      </c>
      <c r="E276" t="inlineStr">
        <is>
          <t>Equities</t>
        </is>
      </c>
      <c r="F276" t="inlineStr"/>
      <c r="G276" t="inlineStr"/>
      <c r="H276" t="inlineStr">
        <is>
          <t>DM</t>
        </is>
      </c>
      <c r="I276" t="inlineStr">
        <is>
          <t>Comparables_Subcat_SinAjustar</t>
        </is>
      </c>
      <c r="J276" t="inlineStr"/>
      <c r="K276" t="inlineStr">
        <is>
          <t>Intensidad</t>
        </is>
      </c>
      <c r="L276" t="n">
        <v>0.474217</v>
      </c>
    </row>
    <row r="277">
      <c r="A277" t="inlineStr">
        <is>
          <t>202606</t>
        </is>
      </c>
      <c r="B277" t="inlineStr">
        <is>
          <t>Actual</t>
        </is>
      </c>
      <c r="C277" t="inlineStr">
        <is>
          <t>Prima</t>
        </is>
      </c>
      <c r="D277" t="inlineStr">
        <is>
          <t>Benchmark</t>
        </is>
      </c>
      <c r="E277" t="inlineStr">
        <is>
          <t>Equities</t>
        </is>
      </c>
      <c r="F277" t="inlineStr"/>
      <c r="G277" t="inlineStr"/>
      <c r="H277" t="inlineStr">
        <is>
          <t>EM</t>
        </is>
      </c>
      <c r="I277" t="inlineStr">
        <is>
          <t>Comparables_Subcat_SinAjustar</t>
        </is>
      </c>
      <c r="J277" t="inlineStr"/>
      <c r="K277" t="inlineStr">
        <is>
          <t>Intensidad</t>
        </is>
      </c>
      <c r="L277" t="n">
        <v>1.409431</v>
      </c>
    </row>
    <row r="278">
      <c r="A278" t="inlineStr">
        <is>
          <t>202606</t>
        </is>
      </c>
      <c r="B278" t="inlineStr">
        <is>
          <t>Actual</t>
        </is>
      </c>
      <c r="C278" t="inlineStr">
        <is>
          <t>Prima</t>
        </is>
      </c>
      <c r="D278" t="inlineStr">
        <is>
          <t>Benchmark</t>
        </is>
      </c>
      <c r="E278" t="inlineStr">
        <is>
          <t>Equities</t>
        </is>
      </c>
      <c r="F278" t="inlineStr"/>
      <c r="G278" t="inlineStr"/>
      <c r="H278" t="inlineStr">
        <is>
          <t>Peru</t>
        </is>
      </c>
      <c r="I278" t="inlineStr">
        <is>
          <t>Comparables_Subcat_SinAjustar</t>
        </is>
      </c>
      <c r="J278" t="inlineStr"/>
      <c r="K278" t="inlineStr">
        <is>
          <t>Intensidad</t>
        </is>
      </c>
      <c r="L278" t="n">
        <v>3.317613</v>
      </c>
    </row>
    <row r="279">
      <c r="A279" t="inlineStr">
        <is>
          <t>202606</t>
        </is>
      </c>
      <c r="B279" t="inlineStr">
        <is>
          <t>Actual</t>
        </is>
      </c>
      <c r="C279" t="inlineStr">
        <is>
          <t>Profuturo</t>
        </is>
      </c>
      <c r="D279" t="inlineStr">
        <is>
          <t>Benchmark</t>
        </is>
      </c>
      <c r="E279" t="inlineStr">
        <is>
          <t>Equities</t>
        </is>
      </c>
      <c r="F279" t="inlineStr"/>
      <c r="G279" t="inlineStr"/>
      <c r="H279" t="inlineStr">
        <is>
          <t>Commodities</t>
        </is>
      </c>
      <c r="I279" t="inlineStr">
        <is>
          <t>Comparables_Subcat_Ajustado (x Weight del instrumento)</t>
        </is>
      </c>
      <c r="J279" t="inlineStr"/>
      <c r="K279" t="inlineStr">
        <is>
          <t>Intensidad</t>
        </is>
      </c>
      <c r="L279" t="n">
        <v>110.648831</v>
      </c>
    </row>
    <row r="280">
      <c r="A280" t="inlineStr">
        <is>
          <t>202606</t>
        </is>
      </c>
      <c r="B280" t="inlineStr">
        <is>
          <t>Actual</t>
        </is>
      </c>
      <c r="C280" t="inlineStr">
        <is>
          <t>Profuturo</t>
        </is>
      </c>
      <c r="D280" t="inlineStr">
        <is>
          <t>Benchmark</t>
        </is>
      </c>
      <c r="E280" t="inlineStr">
        <is>
          <t>Equities</t>
        </is>
      </c>
      <c r="F280" t="inlineStr"/>
      <c r="G280" t="inlineStr"/>
      <c r="H280" t="inlineStr">
        <is>
          <t>DM</t>
        </is>
      </c>
      <c r="I280" t="inlineStr">
        <is>
          <t>Comparables_Subcat_Ajustado (x Weight del instrumento)</t>
        </is>
      </c>
      <c r="J280" t="inlineStr"/>
      <c r="K280" t="inlineStr">
        <is>
          <t>Intensidad</t>
        </is>
      </c>
      <c r="L280" t="n">
        <v>46.196599</v>
      </c>
    </row>
    <row r="281">
      <c r="A281" t="inlineStr">
        <is>
          <t>202606</t>
        </is>
      </c>
      <c r="B281" t="inlineStr">
        <is>
          <t>Actual</t>
        </is>
      </c>
      <c r="C281" t="inlineStr">
        <is>
          <t>Profuturo</t>
        </is>
      </c>
      <c r="D281" t="inlineStr">
        <is>
          <t>Benchmark</t>
        </is>
      </c>
      <c r="E281" t="inlineStr">
        <is>
          <t>Equities</t>
        </is>
      </c>
      <c r="F281" t="inlineStr"/>
      <c r="G281" t="inlineStr"/>
      <c r="H281" t="inlineStr">
        <is>
          <t>EM</t>
        </is>
      </c>
      <c r="I281" t="inlineStr">
        <is>
          <t>Comparables_Subcat_Ajustado (x Weight del instrumento)</t>
        </is>
      </c>
      <c r="J281" t="inlineStr"/>
      <c r="K281" t="inlineStr">
        <is>
          <t>Intensidad</t>
        </is>
      </c>
      <c r="L281" t="n">
        <v>63.629768</v>
      </c>
    </row>
    <row r="282">
      <c r="A282" t="inlineStr">
        <is>
          <t>202606</t>
        </is>
      </c>
      <c r="B282" t="inlineStr">
        <is>
          <t>Actual</t>
        </is>
      </c>
      <c r="C282" t="inlineStr">
        <is>
          <t>Profuturo</t>
        </is>
      </c>
      <c r="D282" t="inlineStr">
        <is>
          <t>Benchmark</t>
        </is>
      </c>
      <c r="E282" t="inlineStr">
        <is>
          <t>Equities</t>
        </is>
      </c>
      <c r="F282" t="inlineStr"/>
      <c r="G282" t="inlineStr"/>
      <c r="H282" t="inlineStr">
        <is>
          <t>Peru</t>
        </is>
      </c>
      <c r="I282" t="inlineStr">
        <is>
          <t>Comparables_Subcat_Ajustado (x Weight del instrumento)</t>
        </is>
      </c>
      <c r="J282" t="inlineStr"/>
      <c r="K282" t="inlineStr">
        <is>
          <t>Intensidad</t>
        </is>
      </c>
      <c r="L282" t="n">
        <v>20.496116</v>
      </c>
    </row>
    <row r="283">
      <c r="A283" t="inlineStr">
        <is>
          <t>202606</t>
        </is>
      </c>
      <c r="B283" t="inlineStr">
        <is>
          <t>Actual</t>
        </is>
      </c>
      <c r="C283" t="inlineStr">
        <is>
          <t>Profuturo</t>
        </is>
      </c>
      <c r="D283" t="inlineStr">
        <is>
          <t>Benchmark</t>
        </is>
      </c>
      <c r="E283" t="inlineStr">
        <is>
          <t>Equities</t>
        </is>
      </c>
      <c r="F283" t="inlineStr"/>
      <c r="G283" t="inlineStr"/>
      <c r="H283" t="inlineStr">
        <is>
          <t>Commodities</t>
        </is>
      </c>
      <c r="I283" t="inlineStr">
        <is>
          <t>Comparables_Subcat_SinAjustar</t>
        </is>
      </c>
      <c r="J283" t="inlineStr"/>
      <c r="K283" t="inlineStr">
        <is>
          <t>Intensidad</t>
        </is>
      </c>
      <c r="L283" t="n">
        <v>3.634762</v>
      </c>
    </row>
    <row r="284">
      <c r="A284" t="inlineStr">
        <is>
          <t>202606</t>
        </is>
      </c>
      <c r="B284" t="inlineStr">
        <is>
          <t>Actual</t>
        </is>
      </c>
      <c r="C284" t="inlineStr">
        <is>
          <t>Profuturo</t>
        </is>
      </c>
      <c r="D284" t="inlineStr">
        <is>
          <t>Benchmark</t>
        </is>
      </c>
      <c r="E284" t="inlineStr">
        <is>
          <t>Equities</t>
        </is>
      </c>
      <c r="F284" t="inlineStr"/>
      <c r="G284" t="inlineStr"/>
      <c r="H284" t="inlineStr">
        <is>
          <t>DM</t>
        </is>
      </c>
      <c r="I284" t="inlineStr">
        <is>
          <t>Comparables_Subcat_SinAjustar</t>
        </is>
      </c>
      <c r="J284" t="inlineStr"/>
      <c r="K284" t="inlineStr">
        <is>
          <t>Intensidad</t>
        </is>
      </c>
      <c r="L284" t="n">
        <v>0.474217</v>
      </c>
    </row>
    <row r="285">
      <c r="A285" t="inlineStr">
        <is>
          <t>202606</t>
        </is>
      </c>
      <c r="B285" t="inlineStr">
        <is>
          <t>Actual</t>
        </is>
      </c>
      <c r="C285" t="inlineStr">
        <is>
          <t>Profuturo</t>
        </is>
      </c>
      <c r="D285" t="inlineStr">
        <is>
          <t>Benchmark</t>
        </is>
      </c>
      <c r="E285" t="inlineStr">
        <is>
          <t>Equities</t>
        </is>
      </c>
      <c r="F285" t="inlineStr"/>
      <c r="G285" t="inlineStr"/>
      <c r="H285" t="inlineStr">
        <is>
          <t>EM</t>
        </is>
      </c>
      <c r="I285" t="inlineStr">
        <is>
          <t>Comparables_Subcat_SinAjustar</t>
        </is>
      </c>
      <c r="J285" t="inlineStr"/>
      <c r="K285" t="inlineStr">
        <is>
          <t>Intensidad</t>
        </is>
      </c>
      <c r="L285" t="n">
        <v>1.409431</v>
      </c>
    </row>
    <row r="286">
      <c r="A286" t="inlineStr">
        <is>
          <t>202606</t>
        </is>
      </c>
      <c r="B286" t="inlineStr">
        <is>
          <t>Actual</t>
        </is>
      </c>
      <c r="C286" t="inlineStr">
        <is>
          <t>Profuturo</t>
        </is>
      </c>
      <c r="D286" t="inlineStr">
        <is>
          <t>Benchmark</t>
        </is>
      </c>
      <c r="E286" t="inlineStr">
        <is>
          <t>Equities</t>
        </is>
      </c>
      <c r="F286" t="inlineStr"/>
      <c r="G286" t="inlineStr"/>
      <c r="H286" t="inlineStr">
        <is>
          <t>Peru</t>
        </is>
      </c>
      <c r="I286" t="inlineStr">
        <is>
          <t>Comparables_Subcat_SinAjustar</t>
        </is>
      </c>
      <c r="J286" t="inlineStr"/>
      <c r="K286" t="inlineStr">
        <is>
          <t>Intensidad</t>
        </is>
      </c>
      <c r="L286" t="n">
        <v>3.317613</v>
      </c>
    </row>
    <row r="287">
      <c r="A287" t="inlineStr">
        <is>
          <t>202606</t>
        </is>
      </c>
      <c r="B287" t="inlineStr">
        <is>
          <t>Actual</t>
        </is>
      </c>
      <c r="C287" t="inlineStr">
        <is>
          <t>Ex_Integra</t>
        </is>
      </c>
      <c r="D287" t="inlineStr">
        <is>
          <t>Benchmark</t>
        </is>
      </c>
      <c r="E287" t="inlineStr">
        <is>
          <t>Fixed Income</t>
        </is>
      </c>
      <c r="F287" t="inlineStr"/>
      <c r="G287" t="inlineStr"/>
      <c r="H287" t="inlineStr">
        <is>
          <t>DM</t>
        </is>
      </c>
      <c r="I287" t="inlineStr">
        <is>
          <t>Comparables_Subcat_Ajustado (x Weight del instrumento)</t>
        </is>
      </c>
      <c r="J287" t="inlineStr"/>
      <c r="K287" t="inlineStr">
        <is>
          <t>Intensidad</t>
        </is>
      </c>
      <c r="L287" t="n">
        <v>92.93871799999999</v>
      </c>
    </row>
    <row r="288">
      <c r="A288" t="inlineStr">
        <is>
          <t>202606</t>
        </is>
      </c>
      <c r="B288" t="inlineStr">
        <is>
          <t>Actual</t>
        </is>
      </c>
      <c r="C288" t="inlineStr">
        <is>
          <t>Ex_Integra</t>
        </is>
      </c>
      <c r="D288" t="inlineStr">
        <is>
          <t>Benchmark</t>
        </is>
      </c>
      <c r="E288" t="inlineStr">
        <is>
          <t>Fixed Income</t>
        </is>
      </c>
      <c r="F288" t="inlineStr"/>
      <c r="G288" t="inlineStr"/>
      <c r="H288" t="inlineStr">
        <is>
          <t>EM</t>
        </is>
      </c>
      <c r="I288" t="inlineStr">
        <is>
          <t>Comparables_Subcat_Ajustado (x Weight del instrumento)</t>
        </is>
      </c>
      <c r="J288" t="inlineStr"/>
      <c r="K288" t="inlineStr">
        <is>
          <t>Intensidad</t>
        </is>
      </c>
      <c r="L288" t="n">
        <v>214.286747</v>
      </c>
    </row>
    <row r="289">
      <c r="A289" t="inlineStr">
        <is>
          <t>202606</t>
        </is>
      </c>
      <c r="B289" t="inlineStr">
        <is>
          <t>Actual</t>
        </is>
      </c>
      <c r="C289" t="inlineStr">
        <is>
          <t>Ex_Integra</t>
        </is>
      </c>
      <c r="D289" t="inlineStr">
        <is>
          <t>Benchmark</t>
        </is>
      </c>
      <c r="E289" t="inlineStr">
        <is>
          <t>Fixed Income</t>
        </is>
      </c>
      <c r="F289" t="inlineStr"/>
      <c r="G289" t="inlineStr"/>
      <c r="H289" t="inlineStr">
        <is>
          <t>HY</t>
        </is>
      </c>
      <c r="I289" t="inlineStr">
        <is>
          <t>Comparables_Subcat_Ajustado (x Weight del instrumento)</t>
        </is>
      </c>
      <c r="J289" t="inlineStr"/>
      <c r="K289" t="inlineStr">
        <is>
          <t>Intensidad</t>
        </is>
      </c>
      <c r="L289" t="n">
        <v>78.259507</v>
      </c>
    </row>
    <row r="290">
      <c r="A290" t="inlineStr">
        <is>
          <t>202606</t>
        </is>
      </c>
      <c r="B290" t="inlineStr">
        <is>
          <t>Actual</t>
        </is>
      </c>
      <c r="C290" t="inlineStr">
        <is>
          <t>Ex_Integra</t>
        </is>
      </c>
      <c r="D290" t="inlineStr">
        <is>
          <t>Benchmark</t>
        </is>
      </c>
      <c r="E290" t="inlineStr">
        <is>
          <t>Fixed Income</t>
        </is>
      </c>
      <c r="F290" t="inlineStr"/>
      <c r="G290" t="inlineStr"/>
      <c r="H290" t="inlineStr">
        <is>
          <t>IG</t>
        </is>
      </c>
      <c r="I290" t="inlineStr">
        <is>
          <t>Comparables_Subcat_Ajustado (x Weight del instrumento)</t>
        </is>
      </c>
      <c r="J290" t="inlineStr"/>
      <c r="K290" t="inlineStr">
        <is>
          <t>Intensidad</t>
        </is>
      </c>
      <c r="L290" t="n">
        <v>48.960831</v>
      </c>
    </row>
    <row r="291">
      <c r="A291" t="inlineStr">
        <is>
          <t>202606</t>
        </is>
      </c>
      <c r="B291" t="inlineStr">
        <is>
          <t>Actual</t>
        </is>
      </c>
      <c r="C291" t="inlineStr">
        <is>
          <t>Ex_Integra</t>
        </is>
      </c>
      <c r="D291" t="inlineStr">
        <is>
          <t>Benchmark</t>
        </is>
      </c>
      <c r="E291" t="inlineStr">
        <is>
          <t>Fixed Income</t>
        </is>
      </c>
      <c r="F291" t="inlineStr"/>
      <c r="G291" t="inlineStr"/>
      <c r="H291" t="inlineStr">
        <is>
          <t>DM</t>
        </is>
      </c>
      <c r="I291" t="inlineStr">
        <is>
          <t>Comparables_Subcat_SinAjustar</t>
        </is>
      </c>
      <c r="J291" t="inlineStr"/>
      <c r="K291" t="inlineStr">
        <is>
          <t>Intensidad</t>
        </is>
      </c>
      <c r="L291" t="n">
        <v>1.560196</v>
      </c>
    </row>
    <row r="292">
      <c r="A292" t="inlineStr">
        <is>
          <t>202606</t>
        </is>
      </c>
      <c r="B292" t="inlineStr">
        <is>
          <t>Actual</t>
        </is>
      </c>
      <c r="C292" t="inlineStr">
        <is>
          <t>Ex_Integra</t>
        </is>
      </c>
      <c r="D292" t="inlineStr">
        <is>
          <t>Benchmark</t>
        </is>
      </c>
      <c r="E292" t="inlineStr">
        <is>
          <t>Fixed Income</t>
        </is>
      </c>
      <c r="F292" t="inlineStr"/>
      <c r="G292" t="inlineStr"/>
      <c r="H292" t="inlineStr">
        <is>
          <t>EM</t>
        </is>
      </c>
      <c r="I292" t="inlineStr">
        <is>
          <t>Comparables_Subcat_SinAjustar</t>
        </is>
      </c>
      <c r="J292" t="inlineStr"/>
      <c r="K292" t="inlineStr">
        <is>
          <t>Intensidad</t>
        </is>
      </c>
      <c r="L292" t="n">
        <v>2.647084</v>
      </c>
    </row>
    <row r="293">
      <c r="A293" t="inlineStr">
        <is>
          <t>202606</t>
        </is>
      </c>
      <c r="B293" t="inlineStr">
        <is>
          <t>Actual</t>
        </is>
      </c>
      <c r="C293" t="inlineStr">
        <is>
          <t>Ex_Integra</t>
        </is>
      </c>
      <c r="D293" t="inlineStr">
        <is>
          <t>Benchmark</t>
        </is>
      </c>
      <c r="E293" t="inlineStr">
        <is>
          <t>Fixed Income</t>
        </is>
      </c>
      <c r="F293" t="inlineStr"/>
      <c r="G293" t="inlineStr"/>
      <c r="H293" t="inlineStr">
        <is>
          <t>HY</t>
        </is>
      </c>
      <c r="I293" t="inlineStr">
        <is>
          <t>Comparables_Subcat_SinAjustar</t>
        </is>
      </c>
      <c r="J293" t="inlineStr"/>
      <c r="K293" t="inlineStr">
        <is>
          <t>Intensidad</t>
        </is>
      </c>
      <c r="L293" t="n">
        <v>1.9546</v>
      </c>
    </row>
    <row r="294">
      <c r="A294" t="inlineStr">
        <is>
          <t>202606</t>
        </is>
      </c>
      <c r="B294" t="inlineStr">
        <is>
          <t>Actual</t>
        </is>
      </c>
      <c r="C294" t="inlineStr">
        <is>
          <t>Ex_Integra</t>
        </is>
      </c>
      <c r="D294" t="inlineStr">
        <is>
          <t>Benchmark</t>
        </is>
      </c>
      <c r="E294" t="inlineStr">
        <is>
          <t>Fixed Income</t>
        </is>
      </c>
      <c r="F294" t="inlineStr"/>
      <c r="G294" t="inlineStr"/>
      <c r="H294" t="inlineStr">
        <is>
          <t>IG</t>
        </is>
      </c>
      <c r="I294" t="inlineStr">
        <is>
          <t>Comparables_Subcat_SinAjustar</t>
        </is>
      </c>
      <c r="J294" t="inlineStr"/>
      <c r="K294" t="inlineStr">
        <is>
          <t>Intensidad</t>
        </is>
      </c>
      <c r="L294" t="n">
        <v>0.233551</v>
      </c>
    </row>
    <row r="295">
      <c r="A295" t="inlineStr">
        <is>
          <t>202606</t>
        </is>
      </c>
      <c r="B295" t="inlineStr">
        <is>
          <t>Actual</t>
        </is>
      </c>
      <c r="C295" t="inlineStr">
        <is>
          <t>Habitat</t>
        </is>
      </c>
      <c r="D295" t="inlineStr">
        <is>
          <t>Benchmark</t>
        </is>
      </c>
      <c r="E295" t="inlineStr">
        <is>
          <t>Fixed Income</t>
        </is>
      </c>
      <c r="F295" t="inlineStr"/>
      <c r="G295" t="inlineStr"/>
      <c r="H295" t="inlineStr">
        <is>
          <t>DM</t>
        </is>
      </c>
      <c r="I295" t="inlineStr">
        <is>
          <t>Comparables_Subcat_Ajustado (x Weight del instrumento)</t>
        </is>
      </c>
      <c r="J295" t="inlineStr"/>
      <c r="K295" t="inlineStr">
        <is>
          <t>Intensidad</t>
        </is>
      </c>
      <c r="L295" t="n">
        <v>92.93871799999999</v>
      </c>
    </row>
    <row r="296">
      <c r="A296" t="inlineStr">
        <is>
          <t>202606</t>
        </is>
      </c>
      <c r="B296" t="inlineStr">
        <is>
          <t>Actual</t>
        </is>
      </c>
      <c r="C296" t="inlineStr">
        <is>
          <t>Habitat</t>
        </is>
      </c>
      <c r="D296" t="inlineStr">
        <is>
          <t>Benchmark</t>
        </is>
      </c>
      <c r="E296" t="inlineStr">
        <is>
          <t>Fixed Income</t>
        </is>
      </c>
      <c r="F296" t="inlineStr"/>
      <c r="G296" t="inlineStr"/>
      <c r="H296" t="inlineStr">
        <is>
          <t>EM</t>
        </is>
      </c>
      <c r="I296" t="inlineStr">
        <is>
          <t>Comparables_Subcat_Ajustado (x Weight del instrumento)</t>
        </is>
      </c>
      <c r="J296" t="inlineStr"/>
      <c r="K296" t="inlineStr">
        <is>
          <t>Intensidad</t>
        </is>
      </c>
      <c r="L296" t="n">
        <v>214.286747</v>
      </c>
    </row>
    <row r="297">
      <c r="A297" t="inlineStr">
        <is>
          <t>202606</t>
        </is>
      </c>
      <c r="B297" t="inlineStr">
        <is>
          <t>Actual</t>
        </is>
      </c>
      <c r="C297" t="inlineStr">
        <is>
          <t>Habitat</t>
        </is>
      </c>
      <c r="D297" t="inlineStr">
        <is>
          <t>Benchmark</t>
        </is>
      </c>
      <c r="E297" t="inlineStr">
        <is>
          <t>Fixed Income</t>
        </is>
      </c>
      <c r="F297" t="inlineStr"/>
      <c r="G297" t="inlineStr"/>
      <c r="H297" t="inlineStr">
        <is>
          <t>HY</t>
        </is>
      </c>
      <c r="I297" t="inlineStr">
        <is>
          <t>Comparables_Subcat_Ajustado (x Weight del instrumento)</t>
        </is>
      </c>
      <c r="J297" t="inlineStr"/>
      <c r="K297" t="inlineStr">
        <is>
          <t>Intensidad</t>
        </is>
      </c>
      <c r="L297" t="n">
        <v>78.259507</v>
      </c>
    </row>
    <row r="298">
      <c r="A298" t="inlineStr">
        <is>
          <t>202606</t>
        </is>
      </c>
      <c r="B298" t="inlineStr">
        <is>
          <t>Actual</t>
        </is>
      </c>
      <c r="C298" t="inlineStr">
        <is>
          <t>Habitat</t>
        </is>
      </c>
      <c r="D298" t="inlineStr">
        <is>
          <t>Benchmark</t>
        </is>
      </c>
      <c r="E298" t="inlineStr">
        <is>
          <t>Fixed Income</t>
        </is>
      </c>
      <c r="F298" t="inlineStr"/>
      <c r="G298" t="inlineStr"/>
      <c r="H298" t="inlineStr">
        <is>
          <t>IG</t>
        </is>
      </c>
      <c r="I298" t="inlineStr">
        <is>
          <t>Comparables_Subcat_Ajustado (x Weight del instrumento)</t>
        </is>
      </c>
      <c r="J298" t="inlineStr"/>
      <c r="K298" t="inlineStr">
        <is>
          <t>Intensidad</t>
        </is>
      </c>
      <c r="L298" t="n">
        <v>48.960831</v>
      </c>
    </row>
    <row r="299">
      <c r="A299" t="inlineStr">
        <is>
          <t>202606</t>
        </is>
      </c>
      <c r="B299" t="inlineStr">
        <is>
          <t>Actual</t>
        </is>
      </c>
      <c r="C299" t="inlineStr">
        <is>
          <t>Habitat</t>
        </is>
      </c>
      <c r="D299" t="inlineStr">
        <is>
          <t>Benchmark</t>
        </is>
      </c>
      <c r="E299" t="inlineStr">
        <is>
          <t>Fixed Income</t>
        </is>
      </c>
      <c r="F299" t="inlineStr"/>
      <c r="G299" t="inlineStr"/>
      <c r="H299" t="inlineStr">
        <is>
          <t>DM</t>
        </is>
      </c>
      <c r="I299" t="inlineStr">
        <is>
          <t>Comparables_Subcat_SinAjustar</t>
        </is>
      </c>
      <c r="J299" t="inlineStr"/>
      <c r="K299" t="inlineStr">
        <is>
          <t>Intensidad</t>
        </is>
      </c>
      <c r="L299" t="n">
        <v>1.560196</v>
      </c>
    </row>
    <row r="300">
      <c r="A300" t="inlineStr">
        <is>
          <t>202606</t>
        </is>
      </c>
      <c r="B300" t="inlineStr">
        <is>
          <t>Actual</t>
        </is>
      </c>
      <c r="C300" t="inlineStr">
        <is>
          <t>Habitat</t>
        </is>
      </c>
      <c r="D300" t="inlineStr">
        <is>
          <t>Benchmark</t>
        </is>
      </c>
      <c r="E300" t="inlineStr">
        <is>
          <t>Fixed Income</t>
        </is>
      </c>
      <c r="F300" t="inlineStr"/>
      <c r="G300" t="inlineStr"/>
      <c r="H300" t="inlineStr">
        <is>
          <t>EM</t>
        </is>
      </c>
      <c r="I300" t="inlineStr">
        <is>
          <t>Comparables_Subcat_SinAjustar</t>
        </is>
      </c>
      <c r="J300" t="inlineStr"/>
      <c r="K300" t="inlineStr">
        <is>
          <t>Intensidad</t>
        </is>
      </c>
      <c r="L300" t="n">
        <v>2.647084</v>
      </c>
    </row>
    <row r="301">
      <c r="A301" t="inlineStr">
        <is>
          <t>202606</t>
        </is>
      </c>
      <c r="B301" t="inlineStr">
        <is>
          <t>Actual</t>
        </is>
      </c>
      <c r="C301" t="inlineStr">
        <is>
          <t>Habitat</t>
        </is>
      </c>
      <c r="D301" t="inlineStr">
        <is>
          <t>Benchmark</t>
        </is>
      </c>
      <c r="E301" t="inlineStr">
        <is>
          <t>Fixed Income</t>
        </is>
      </c>
      <c r="F301" t="inlineStr"/>
      <c r="G301" t="inlineStr"/>
      <c r="H301" t="inlineStr">
        <is>
          <t>HY</t>
        </is>
      </c>
      <c r="I301" t="inlineStr">
        <is>
          <t>Comparables_Subcat_SinAjustar</t>
        </is>
      </c>
      <c r="J301" t="inlineStr"/>
      <c r="K301" t="inlineStr">
        <is>
          <t>Intensidad</t>
        </is>
      </c>
      <c r="L301" t="n">
        <v>1.9546</v>
      </c>
    </row>
    <row r="302">
      <c r="A302" t="inlineStr">
        <is>
          <t>202606</t>
        </is>
      </c>
      <c r="B302" t="inlineStr">
        <is>
          <t>Actual</t>
        </is>
      </c>
      <c r="C302" t="inlineStr">
        <is>
          <t>Habitat</t>
        </is>
      </c>
      <c r="D302" t="inlineStr">
        <is>
          <t>Benchmark</t>
        </is>
      </c>
      <c r="E302" t="inlineStr">
        <is>
          <t>Fixed Income</t>
        </is>
      </c>
      <c r="F302" t="inlineStr"/>
      <c r="G302" t="inlineStr"/>
      <c r="H302" t="inlineStr">
        <is>
          <t>IG</t>
        </is>
      </c>
      <c r="I302" t="inlineStr">
        <is>
          <t>Comparables_Subcat_SinAjustar</t>
        </is>
      </c>
      <c r="J302" t="inlineStr"/>
      <c r="K302" t="inlineStr">
        <is>
          <t>Intensidad</t>
        </is>
      </c>
      <c r="L302" t="n">
        <v>0.233551</v>
      </c>
    </row>
    <row r="303">
      <c r="A303" t="inlineStr">
        <is>
          <t>202606</t>
        </is>
      </c>
      <c r="B303" t="inlineStr">
        <is>
          <t>Actual</t>
        </is>
      </c>
      <c r="C303" t="inlineStr">
        <is>
          <t>Integra</t>
        </is>
      </c>
      <c r="D303" t="inlineStr">
        <is>
          <t>Benchmark</t>
        </is>
      </c>
      <c r="E303" t="inlineStr">
        <is>
          <t>Fixed Income</t>
        </is>
      </c>
      <c r="F303" t="inlineStr"/>
      <c r="G303" t="inlineStr"/>
      <c r="H303" t="inlineStr">
        <is>
          <t>DM</t>
        </is>
      </c>
      <c r="I303" t="inlineStr">
        <is>
          <t>Comparables_Subcat_Ajustado (x Weight del instrumento)</t>
        </is>
      </c>
      <c r="J303" t="inlineStr"/>
      <c r="K303" t="inlineStr">
        <is>
          <t>Intensidad</t>
        </is>
      </c>
      <c r="L303" t="n">
        <v>92.93871799999999</v>
      </c>
    </row>
    <row r="304">
      <c r="A304" t="inlineStr">
        <is>
          <t>202606</t>
        </is>
      </c>
      <c r="B304" t="inlineStr">
        <is>
          <t>Actual</t>
        </is>
      </c>
      <c r="C304" t="inlineStr">
        <is>
          <t>Integra</t>
        </is>
      </c>
      <c r="D304" t="inlineStr">
        <is>
          <t>Benchmark</t>
        </is>
      </c>
      <c r="E304" t="inlineStr">
        <is>
          <t>Fixed Income</t>
        </is>
      </c>
      <c r="F304" t="inlineStr"/>
      <c r="G304" t="inlineStr"/>
      <c r="H304" t="inlineStr">
        <is>
          <t>EM</t>
        </is>
      </c>
      <c r="I304" t="inlineStr">
        <is>
          <t>Comparables_Subcat_Ajustado (x Weight del instrumento)</t>
        </is>
      </c>
      <c r="J304" t="inlineStr"/>
      <c r="K304" t="inlineStr">
        <is>
          <t>Intensidad</t>
        </is>
      </c>
      <c r="L304" t="n">
        <v>214.286747</v>
      </c>
    </row>
    <row r="305">
      <c r="A305" t="inlineStr">
        <is>
          <t>202606</t>
        </is>
      </c>
      <c r="B305" t="inlineStr">
        <is>
          <t>Actual</t>
        </is>
      </c>
      <c r="C305" t="inlineStr">
        <is>
          <t>Integra</t>
        </is>
      </c>
      <c r="D305" t="inlineStr">
        <is>
          <t>Benchmark</t>
        </is>
      </c>
      <c r="E305" t="inlineStr">
        <is>
          <t>Fixed Income</t>
        </is>
      </c>
      <c r="F305" t="inlineStr"/>
      <c r="G305" t="inlineStr"/>
      <c r="H305" t="inlineStr">
        <is>
          <t>HY</t>
        </is>
      </c>
      <c r="I305" t="inlineStr">
        <is>
          <t>Comparables_Subcat_Ajustado (x Weight del instrumento)</t>
        </is>
      </c>
      <c r="J305" t="inlineStr"/>
      <c r="K305" t="inlineStr">
        <is>
          <t>Intensidad</t>
        </is>
      </c>
      <c r="L305" t="n">
        <v>78.259507</v>
      </c>
    </row>
    <row r="306">
      <c r="A306" t="inlineStr">
        <is>
          <t>202606</t>
        </is>
      </c>
      <c r="B306" t="inlineStr">
        <is>
          <t>Actual</t>
        </is>
      </c>
      <c r="C306" t="inlineStr">
        <is>
          <t>Integra</t>
        </is>
      </c>
      <c r="D306" t="inlineStr">
        <is>
          <t>Benchmark</t>
        </is>
      </c>
      <c r="E306" t="inlineStr">
        <is>
          <t>Fixed Income</t>
        </is>
      </c>
      <c r="F306" t="inlineStr"/>
      <c r="G306" t="inlineStr"/>
      <c r="H306" t="inlineStr">
        <is>
          <t>IG</t>
        </is>
      </c>
      <c r="I306" t="inlineStr">
        <is>
          <t>Comparables_Subcat_Ajustado (x Weight del instrumento)</t>
        </is>
      </c>
      <c r="J306" t="inlineStr"/>
      <c r="K306" t="inlineStr">
        <is>
          <t>Intensidad</t>
        </is>
      </c>
      <c r="L306" t="n">
        <v>48.960831</v>
      </c>
    </row>
    <row r="307">
      <c r="A307" t="inlineStr">
        <is>
          <t>202606</t>
        </is>
      </c>
      <c r="B307" t="inlineStr">
        <is>
          <t>Actual</t>
        </is>
      </c>
      <c r="C307" t="inlineStr">
        <is>
          <t>Integra</t>
        </is>
      </c>
      <c r="D307" t="inlineStr">
        <is>
          <t>Benchmark</t>
        </is>
      </c>
      <c r="E307" t="inlineStr">
        <is>
          <t>Fixed Income</t>
        </is>
      </c>
      <c r="F307" t="inlineStr"/>
      <c r="G307" t="inlineStr"/>
      <c r="H307" t="inlineStr">
        <is>
          <t>DM</t>
        </is>
      </c>
      <c r="I307" t="inlineStr">
        <is>
          <t>Comparables_Subcat_SinAjustar</t>
        </is>
      </c>
      <c r="J307" t="inlineStr"/>
      <c r="K307" t="inlineStr">
        <is>
          <t>Intensidad</t>
        </is>
      </c>
      <c r="L307" t="n">
        <v>1.560196</v>
      </c>
    </row>
    <row r="308">
      <c r="A308" t="inlineStr">
        <is>
          <t>202606</t>
        </is>
      </c>
      <c r="B308" t="inlineStr">
        <is>
          <t>Actual</t>
        </is>
      </c>
      <c r="C308" t="inlineStr">
        <is>
          <t>Integra</t>
        </is>
      </c>
      <c r="D308" t="inlineStr">
        <is>
          <t>Benchmark</t>
        </is>
      </c>
      <c r="E308" t="inlineStr">
        <is>
          <t>Fixed Income</t>
        </is>
      </c>
      <c r="F308" t="inlineStr"/>
      <c r="G308" t="inlineStr"/>
      <c r="H308" t="inlineStr">
        <is>
          <t>EM</t>
        </is>
      </c>
      <c r="I308" t="inlineStr">
        <is>
          <t>Comparables_Subcat_SinAjustar</t>
        </is>
      </c>
      <c r="J308" t="inlineStr"/>
      <c r="K308" t="inlineStr">
        <is>
          <t>Intensidad</t>
        </is>
      </c>
      <c r="L308" t="n">
        <v>2.647084</v>
      </c>
    </row>
    <row r="309">
      <c r="A309" t="inlineStr">
        <is>
          <t>202606</t>
        </is>
      </c>
      <c r="B309" t="inlineStr">
        <is>
          <t>Actual</t>
        </is>
      </c>
      <c r="C309" t="inlineStr">
        <is>
          <t>Integra</t>
        </is>
      </c>
      <c r="D309" t="inlineStr">
        <is>
          <t>Benchmark</t>
        </is>
      </c>
      <c r="E309" t="inlineStr">
        <is>
          <t>Fixed Income</t>
        </is>
      </c>
      <c r="F309" t="inlineStr"/>
      <c r="G309" t="inlineStr"/>
      <c r="H309" t="inlineStr">
        <is>
          <t>HY</t>
        </is>
      </c>
      <c r="I309" t="inlineStr">
        <is>
          <t>Comparables_Subcat_SinAjustar</t>
        </is>
      </c>
      <c r="J309" t="inlineStr"/>
      <c r="K309" t="inlineStr">
        <is>
          <t>Intensidad</t>
        </is>
      </c>
      <c r="L309" t="n">
        <v>1.9546</v>
      </c>
    </row>
    <row r="310">
      <c r="A310" t="inlineStr">
        <is>
          <t>202606</t>
        </is>
      </c>
      <c r="B310" t="inlineStr">
        <is>
          <t>Actual</t>
        </is>
      </c>
      <c r="C310" t="inlineStr">
        <is>
          <t>Integra</t>
        </is>
      </c>
      <c r="D310" t="inlineStr">
        <is>
          <t>Benchmark</t>
        </is>
      </c>
      <c r="E310" t="inlineStr">
        <is>
          <t>Fixed Income</t>
        </is>
      </c>
      <c r="F310" t="inlineStr"/>
      <c r="G310" t="inlineStr"/>
      <c r="H310" t="inlineStr">
        <is>
          <t>IG</t>
        </is>
      </c>
      <c r="I310" t="inlineStr">
        <is>
          <t>Comparables_Subcat_SinAjustar</t>
        </is>
      </c>
      <c r="J310" t="inlineStr"/>
      <c r="K310" t="inlineStr">
        <is>
          <t>Intensidad</t>
        </is>
      </c>
      <c r="L310" t="n">
        <v>0.233551</v>
      </c>
    </row>
    <row r="311">
      <c r="A311" t="inlineStr">
        <is>
          <t>202606</t>
        </is>
      </c>
      <c r="B311" t="inlineStr">
        <is>
          <t>Actual</t>
        </is>
      </c>
      <c r="C311" t="inlineStr">
        <is>
          <t>Prima</t>
        </is>
      </c>
      <c r="D311" t="inlineStr">
        <is>
          <t>Benchmark</t>
        </is>
      </c>
      <c r="E311" t="inlineStr">
        <is>
          <t>Fixed Income</t>
        </is>
      </c>
      <c r="F311" t="inlineStr"/>
      <c r="G311" t="inlineStr"/>
      <c r="H311" t="inlineStr">
        <is>
          <t>DM</t>
        </is>
      </c>
      <c r="I311" t="inlineStr">
        <is>
          <t>Comparables_Subcat_Ajustado (x Weight del instrumento)</t>
        </is>
      </c>
      <c r="J311" t="inlineStr"/>
      <c r="K311" t="inlineStr">
        <is>
          <t>Intensidad</t>
        </is>
      </c>
      <c r="L311" t="n">
        <v>92.93871799999999</v>
      </c>
    </row>
    <row r="312">
      <c r="A312" t="inlineStr">
        <is>
          <t>202606</t>
        </is>
      </c>
      <c r="B312" t="inlineStr">
        <is>
          <t>Actual</t>
        </is>
      </c>
      <c r="C312" t="inlineStr">
        <is>
          <t>Prima</t>
        </is>
      </c>
      <c r="D312" t="inlineStr">
        <is>
          <t>Benchmark</t>
        </is>
      </c>
      <c r="E312" t="inlineStr">
        <is>
          <t>Fixed Income</t>
        </is>
      </c>
      <c r="F312" t="inlineStr"/>
      <c r="G312" t="inlineStr"/>
      <c r="H312" t="inlineStr">
        <is>
          <t>EM</t>
        </is>
      </c>
      <c r="I312" t="inlineStr">
        <is>
          <t>Comparables_Subcat_Ajustado (x Weight del instrumento)</t>
        </is>
      </c>
      <c r="J312" t="inlineStr"/>
      <c r="K312" t="inlineStr">
        <is>
          <t>Intensidad</t>
        </is>
      </c>
      <c r="L312" t="n">
        <v>214.286747</v>
      </c>
    </row>
    <row r="313">
      <c r="A313" t="inlineStr">
        <is>
          <t>202606</t>
        </is>
      </c>
      <c r="B313" t="inlineStr">
        <is>
          <t>Actual</t>
        </is>
      </c>
      <c r="C313" t="inlineStr">
        <is>
          <t>Prima</t>
        </is>
      </c>
      <c r="D313" t="inlineStr">
        <is>
          <t>Benchmark</t>
        </is>
      </c>
      <c r="E313" t="inlineStr">
        <is>
          <t>Fixed Income</t>
        </is>
      </c>
      <c r="F313" t="inlineStr"/>
      <c r="G313" t="inlineStr"/>
      <c r="H313" t="inlineStr">
        <is>
          <t>HY</t>
        </is>
      </c>
      <c r="I313" t="inlineStr">
        <is>
          <t>Comparables_Subcat_Ajustado (x Weight del instrumento)</t>
        </is>
      </c>
      <c r="J313" t="inlineStr"/>
      <c r="K313" t="inlineStr">
        <is>
          <t>Intensidad</t>
        </is>
      </c>
      <c r="L313" t="n">
        <v>78.259507</v>
      </c>
    </row>
    <row r="314">
      <c r="A314" t="inlineStr">
        <is>
          <t>202606</t>
        </is>
      </c>
      <c r="B314" t="inlineStr">
        <is>
          <t>Actual</t>
        </is>
      </c>
      <c r="C314" t="inlineStr">
        <is>
          <t>Prima</t>
        </is>
      </c>
      <c r="D314" t="inlineStr">
        <is>
          <t>Benchmark</t>
        </is>
      </c>
      <c r="E314" t="inlineStr">
        <is>
          <t>Fixed Income</t>
        </is>
      </c>
      <c r="F314" t="inlineStr"/>
      <c r="G314" t="inlineStr"/>
      <c r="H314" t="inlineStr">
        <is>
          <t>IG</t>
        </is>
      </c>
      <c r="I314" t="inlineStr">
        <is>
          <t>Comparables_Subcat_Ajustado (x Weight del instrumento)</t>
        </is>
      </c>
      <c r="J314" t="inlineStr"/>
      <c r="K314" t="inlineStr">
        <is>
          <t>Intensidad</t>
        </is>
      </c>
      <c r="L314" t="n">
        <v>48.960831</v>
      </c>
    </row>
    <row r="315">
      <c r="A315" t="inlineStr">
        <is>
          <t>202606</t>
        </is>
      </c>
      <c r="B315" t="inlineStr">
        <is>
          <t>Actual</t>
        </is>
      </c>
      <c r="C315" t="inlineStr">
        <is>
          <t>Prima</t>
        </is>
      </c>
      <c r="D315" t="inlineStr">
        <is>
          <t>Benchmark</t>
        </is>
      </c>
      <c r="E315" t="inlineStr">
        <is>
          <t>Fixed Income</t>
        </is>
      </c>
      <c r="F315" t="inlineStr"/>
      <c r="G315" t="inlineStr"/>
      <c r="H315" t="inlineStr">
        <is>
          <t>DM</t>
        </is>
      </c>
      <c r="I315" t="inlineStr">
        <is>
          <t>Comparables_Subcat_SinAjustar</t>
        </is>
      </c>
      <c r="J315" t="inlineStr"/>
      <c r="K315" t="inlineStr">
        <is>
          <t>Intensidad</t>
        </is>
      </c>
      <c r="L315" t="n">
        <v>1.560196</v>
      </c>
    </row>
    <row r="316">
      <c r="A316" t="inlineStr">
        <is>
          <t>202606</t>
        </is>
      </c>
      <c r="B316" t="inlineStr">
        <is>
          <t>Actual</t>
        </is>
      </c>
      <c r="C316" t="inlineStr">
        <is>
          <t>Prima</t>
        </is>
      </c>
      <c r="D316" t="inlineStr">
        <is>
          <t>Benchmark</t>
        </is>
      </c>
      <c r="E316" t="inlineStr">
        <is>
          <t>Fixed Income</t>
        </is>
      </c>
      <c r="F316" t="inlineStr"/>
      <c r="G316" t="inlineStr"/>
      <c r="H316" t="inlineStr">
        <is>
          <t>EM</t>
        </is>
      </c>
      <c r="I316" t="inlineStr">
        <is>
          <t>Comparables_Subcat_SinAjustar</t>
        </is>
      </c>
      <c r="J316" t="inlineStr"/>
      <c r="K316" t="inlineStr">
        <is>
          <t>Intensidad</t>
        </is>
      </c>
      <c r="L316" t="n">
        <v>2.647084</v>
      </c>
    </row>
    <row r="317">
      <c r="A317" t="inlineStr">
        <is>
          <t>202606</t>
        </is>
      </c>
      <c r="B317" t="inlineStr">
        <is>
          <t>Actual</t>
        </is>
      </c>
      <c r="C317" t="inlineStr">
        <is>
          <t>Prima</t>
        </is>
      </c>
      <c r="D317" t="inlineStr">
        <is>
          <t>Benchmark</t>
        </is>
      </c>
      <c r="E317" t="inlineStr">
        <is>
          <t>Fixed Income</t>
        </is>
      </c>
      <c r="F317" t="inlineStr"/>
      <c r="G317" t="inlineStr"/>
      <c r="H317" t="inlineStr">
        <is>
          <t>HY</t>
        </is>
      </c>
      <c r="I317" t="inlineStr">
        <is>
          <t>Comparables_Subcat_SinAjustar</t>
        </is>
      </c>
      <c r="J317" t="inlineStr"/>
      <c r="K317" t="inlineStr">
        <is>
          <t>Intensidad</t>
        </is>
      </c>
      <c r="L317" t="n">
        <v>1.9546</v>
      </c>
    </row>
    <row r="318">
      <c r="A318" t="inlineStr">
        <is>
          <t>202606</t>
        </is>
      </c>
      <c r="B318" t="inlineStr">
        <is>
          <t>Actual</t>
        </is>
      </c>
      <c r="C318" t="inlineStr">
        <is>
          <t>Prima</t>
        </is>
      </c>
      <c r="D318" t="inlineStr">
        <is>
          <t>Benchmark</t>
        </is>
      </c>
      <c r="E318" t="inlineStr">
        <is>
          <t>Fixed Income</t>
        </is>
      </c>
      <c r="F318" t="inlineStr"/>
      <c r="G318" t="inlineStr"/>
      <c r="H318" t="inlineStr">
        <is>
          <t>IG</t>
        </is>
      </c>
      <c r="I318" t="inlineStr">
        <is>
          <t>Comparables_Subcat_SinAjustar</t>
        </is>
      </c>
      <c r="J318" t="inlineStr"/>
      <c r="K318" t="inlineStr">
        <is>
          <t>Intensidad</t>
        </is>
      </c>
      <c r="L318" t="n">
        <v>0.233551</v>
      </c>
    </row>
    <row r="319">
      <c r="A319" t="inlineStr">
        <is>
          <t>202606</t>
        </is>
      </c>
      <c r="B319" t="inlineStr">
        <is>
          <t>Actual</t>
        </is>
      </c>
      <c r="C319" t="inlineStr">
        <is>
          <t>Profuturo</t>
        </is>
      </c>
      <c r="D319" t="inlineStr">
        <is>
          <t>Benchmark</t>
        </is>
      </c>
      <c r="E319" t="inlineStr">
        <is>
          <t>Fixed Income</t>
        </is>
      </c>
      <c r="F319" t="inlineStr"/>
      <c r="G319" t="inlineStr"/>
      <c r="H319" t="inlineStr">
        <is>
          <t>DM</t>
        </is>
      </c>
      <c r="I319" t="inlineStr">
        <is>
          <t>Comparables_Subcat_Ajustado (x Weight del instrumento)</t>
        </is>
      </c>
      <c r="J319" t="inlineStr"/>
      <c r="K319" t="inlineStr">
        <is>
          <t>Intensidad</t>
        </is>
      </c>
      <c r="L319" t="n">
        <v>92.93871799999999</v>
      </c>
    </row>
    <row r="320">
      <c r="A320" t="inlineStr">
        <is>
          <t>202606</t>
        </is>
      </c>
      <c r="B320" t="inlineStr">
        <is>
          <t>Actual</t>
        </is>
      </c>
      <c r="C320" t="inlineStr">
        <is>
          <t>Profuturo</t>
        </is>
      </c>
      <c r="D320" t="inlineStr">
        <is>
          <t>Benchmark</t>
        </is>
      </c>
      <c r="E320" t="inlineStr">
        <is>
          <t>Fixed Income</t>
        </is>
      </c>
      <c r="F320" t="inlineStr"/>
      <c r="G320" t="inlineStr"/>
      <c r="H320" t="inlineStr">
        <is>
          <t>EM</t>
        </is>
      </c>
      <c r="I320" t="inlineStr">
        <is>
          <t>Comparables_Subcat_Ajustado (x Weight del instrumento)</t>
        </is>
      </c>
      <c r="J320" t="inlineStr"/>
      <c r="K320" t="inlineStr">
        <is>
          <t>Intensidad</t>
        </is>
      </c>
      <c r="L320" t="n">
        <v>214.286747</v>
      </c>
    </row>
    <row r="321">
      <c r="A321" t="inlineStr">
        <is>
          <t>202606</t>
        </is>
      </c>
      <c r="B321" t="inlineStr">
        <is>
          <t>Actual</t>
        </is>
      </c>
      <c r="C321" t="inlineStr">
        <is>
          <t>Profuturo</t>
        </is>
      </c>
      <c r="D321" t="inlineStr">
        <is>
          <t>Benchmark</t>
        </is>
      </c>
      <c r="E321" t="inlineStr">
        <is>
          <t>Fixed Income</t>
        </is>
      </c>
      <c r="F321" t="inlineStr"/>
      <c r="G321" t="inlineStr"/>
      <c r="H321" t="inlineStr">
        <is>
          <t>HY</t>
        </is>
      </c>
      <c r="I321" t="inlineStr">
        <is>
          <t>Comparables_Subcat_Ajustado (x Weight del instrumento)</t>
        </is>
      </c>
      <c r="J321" t="inlineStr"/>
      <c r="K321" t="inlineStr">
        <is>
          <t>Intensidad</t>
        </is>
      </c>
      <c r="L321" t="n">
        <v>78.259507</v>
      </c>
    </row>
    <row r="322">
      <c r="A322" t="inlineStr">
        <is>
          <t>202606</t>
        </is>
      </c>
      <c r="B322" t="inlineStr">
        <is>
          <t>Actual</t>
        </is>
      </c>
      <c r="C322" t="inlineStr">
        <is>
          <t>Profuturo</t>
        </is>
      </c>
      <c r="D322" t="inlineStr">
        <is>
          <t>Benchmark</t>
        </is>
      </c>
      <c r="E322" t="inlineStr">
        <is>
          <t>Fixed Income</t>
        </is>
      </c>
      <c r="F322" t="inlineStr"/>
      <c r="G322" t="inlineStr"/>
      <c r="H322" t="inlineStr">
        <is>
          <t>IG</t>
        </is>
      </c>
      <c r="I322" t="inlineStr">
        <is>
          <t>Comparables_Subcat_Ajustado (x Weight del instrumento)</t>
        </is>
      </c>
      <c r="J322" t="inlineStr"/>
      <c r="K322" t="inlineStr">
        <is>
          <t>Intensidad</t>
        </is>
      </c>
      <c r="L322" t="n">
        <v>48.960831</v>
      </c>
    </row>
    <row r="323">
      <c r="A323" t="inlineStr">
        <is>
          <t>202606</t>
        </is>
      </c>
      <c r="B323" t="inlineStr">
        <is>
          <t>Actual</t>
        </is>
      </c>
      <c r="C323" t="inlineStr">
        <is>
          <t>Profuturo</t>
        </is>
      </c>
      <c r="D323" t="inlineStr">
        <is>
          <t>Benchmark</t>
        </is>
      </c>
      <c r="E323" t="inlineStr">
        <is>
          <t>Fixed Income</t>
        </is>
      </c>
      <c r="F323" t="inlineStr"/>
      <c r="G323" t="inlineStr"/>
      <c r="H323" t="inlineStr">
        <is>
          <t>DM</t>
        </is>
      </c>
      <c r="I323" t="inlineStr">
        <is>
          <t>Comparables_Subcat_SinAjustar</t>
        </is>
      </c>
      <c r="J323" t="inlineStr"/>
      <c r="K323" t="inlineStr">
        <is>
          <t>Intensidad</t>
        </is>
      </c>
      <c r="L323" t="n">
        <v>1.560196</v>
      </c>
    </row>
    <row r="324">
      <c r="A324" t="inlineStr">
        <is>
          <t>202606</t>
        </is>
      </c>
      <c r="B324" t="inlineStr">
        <is>
          <t>Actual</t>
        </is>
      </c>
      <c r="C324" t="inlineStr">
        <is>
          <t>Profuturo</t>
        </is>
      </c>
      <c r="D324" t="inlineStr">
        <is>
          <t>Benchmark</t>
        </is>
      </c>
      <c r="E324" t="inlineStr">
        <is>
          <t>Fixed Income</t>
        </is>
      </c>
      <c r="F324" t="inlineStr"/>
      <c r="G324" t="inlineStr"/>
      <c r="H324" t="inlineStr">
        <is>
          <t>EM</t>
        </is>
      </c>
      <c r="I324" t="inlineStr">
        <is>
          <t>Comparables_Subcat_SinAjustar</t>
        </is>
      </c>
      <c r="J324" t="inlineStr"/>
      <c r="K324" t="inlineStr">
        <is>
          <t>Intensidad</t>
        </is>
      </c>
      <c r="L324" t="n">
        <v>2.647084</v>
      </c>
    </row>
    <row r="325">
      <c r="A325" t="inlineStr">
        <is>
          <t>202606</t>
        </is>
      </c>
      <c r="B325" t="inlineStr">
        <is>
          <t>Actual</t>
        </is>
      </c>
      <c r="C325" t="inlineStr">
        <is>
          <t>Profuturo</t>
        </is>
      </c>
      <c r="D325" t="inlineStr">
        <is>
          <t>Benchmark</t>
        </is>
      </c>
      <c r="E325" t="inlineStr">
        <is>
          <t>Fixed Income</t>
        </is>
      </c>
      <c r="F325" t="inlineStr"/>
      <c r="G325" t="inlineStr"/>
      <c r="H325" t="inlineStr">
        <is>
          <t>HY</t>
        </is>
      </c>
      <c r="I325" t="inlineStr">
        <is>
          <t>Comparables_Subcat_SinAjustar</t>
        </is>
      </c>
      <c r="J325" t="inlineStr"/>
      <c r="K325" t="inlineStr">
        <is>
          <t>Intensidad</t>
        </is>
      </c>
      <c r="L325" t="n">
        <v>1.9546</v>
      </c>
    </row>
    <row r="326">
      <c r="A326" t="inlineStr">
        <is>
          <t>202606</t>
        </is>
      </c>
      <c r="B326" t="inlineStr">
        <is>
          <t>Actual</t>
        </is>
      </c>
      <c r="C326" t="inlineStr">
        <is>
          <t>Profuturo</t>
        </is>
      </c>
      <c r="D326" t="inlineStr">
        <is>
          <t>Benchmark</t>
        </is>
      </c>
      <c r="E326" t="inlineStr">
        <is>
          <t>Fixed Income</t>
        </is>
      </c>
      <c r="F326" t="inlineStr"/>
      <c r="G326" t="inlineStr"/>
      <c r="H326" t="inlineStr">
        <is>
          <t>IG</t>
        </is>
      </c>
      <c r="I326" t="inlineStr">
        <is>
          <t>Comparables_Subcat_SinAjustar</t>
        </is>
      </c>
      <c r="J326" t="inlineStr"/>
      <c r="K326" t="inlineStr">
        <is>
          <t>Intensidad</t>
        </is>
      </c>
      <c r="L326" t="n">
        <v>0.233551</v>
      </c>
    </row>
    <row r="327">
      <c r="A327" t="inlineStr">
        <is>
          <t>202606</t>
        </is>
      </c>
      <c r="B327" t="inlineStr">
        <is>
          <t>Actual</t>
        </is>
      </c>
      <c r="C327" t="inlineStr">
        <is>
          <t>Habitat</t>
        </is>
      </c>
      <c r="D327" t="inlineStr">
        <is>
          <t>Instrumento</t>
        </is>
      </c>
      <c r="E327" t="inlineStr">
        <is>
          <t>Equities</t>
        </is>
      </c>
      <c r="F327" t="inlineStr">
        <is>
          <t>Active</t>
        </is>
      </c>
      <c r="G327" t="inlineStr">
        <is>
          <t>BNP Paribas - Japan Small Caps</t>
        </is>
      </c>
      <c r="H327" t="inlineStr">
        <is>
          <t>DM</t>
        </is>
      </c>
      <c r="I327" t="inlineStr"/>
      <c r="J327" t="inlineStr"/>
      <c r="K327" t="inlineStr">
        <is>
          <t>Intensidad</t>
        </is>
      </c>
      <c r="L327" t="n">
        <v>3.189379</v>
      </c>
    </row>
    <row r="328">
      <c r="A328" t="inlineStr">
        <is>
          <t>202606</t>
        </is>
      </c>
      <c r="B328" t="inlineStr">
        <is>
          <t>Actual</t>
        </is>
      </c>
      <c r="C328" t="inlineStr">
        <is>
          <t>Habitat</t>
        </is>
      </c>
      <c r="D328" t="inlineStr">
        <is>
          <t>Instrumento</t>
        </is>
      </c>
      <c r="E328" t="inlineStr">
        <is>
          <t>Equities</t>
        </is>
      </c>
      <c r="F328" t="inlineStr">
        <is>
          <t>Active</t>
        </is>
      </c>
      <c r="G328" t="inlineStr">
        <is>
          <t>BNP Paribas - Japan Small Caps</t>
        </is>
      </c>
      <c r="H328" t="inlineStr">
        <is>
          <t>DM</t>
        </is>
      </c>
      <c r="I328" t="inlineStr"/>
      <c r="J328" t="inlineStr"/>
      <c r="K328" t="inlineStr">
        <is>
          <t>Weight</t>
        </is>
      </c>
      <c r="L328" t="n">
        <v>0.030021</v>
      </c>
    </row>
    <row r="329">
      <c r="A329" t="inlineStr">
        <is>
          <t>202606</t>
        </is>
      </c>
      <c r="B329" t="inlineStr">
        <is>
          <t>Actual</t>
        </is>
      </c>
      <c r="C329" t="inlineStr">
        <is>
          <t>Integra</t>
        </is>
      </c>
      <c r="D329" t="inlineStr">
        <is>
          <t>Instrumento</t>
        </is>
      </c>
      <c r="E329" t="inlineStr">
        <is>
          <t>Equities</t>
        </is>
      </c>
      <c r="F329" t="inlineStr">
        <is>
          <t>Active</t>
        </is>
      </c>
      <c r="G329" t="inlineStr">
        <is>
          <t>BNP Paribas - Japan Small Caps</t>
        </is>
      </c>
      <c r="H329" t="inlineStr">
        <is>
          <t>DM</t>
        </is>
      </c>
      <c r="I329" t="inlineStr"/>
      <c r="J329" t="inlineStr"/>
      <c r="K329" t="inlineStr">
        <is>
          <t>Intensidad</t>
        </is>
      </c>
      <c r="L329" t="n">
        <v>3.252364</v>
      </c>
    </row>
    <row r="330">
      <c r="A330" t="inlineStr">
        <is>
          <t>202606</t>
        </is>
      </c>
      <c r="B330" t="inlineStr">
        <is>
          <t>Actual</t>
        </is>
      </c>
      <c r="C330" t="inlineStr">
        <is>
          <t>Integra</t>
        </is>
      </c>
      <c r="D330" t="inlineStr">
        <is>
          <t>Instrumento</t>
        </is>
      </c>
      <c r="E330" t="inlineStr">
        <is>
          <t>Equities</t>
        </is>
      </c>
      <c r="F330" t="inlineStr">
        <is>
          <t>Active</t>
        </is>
      </c>
      <c r="G330" t="inlineStr">
        <is>
          <t>BNP Paribas - Japan Small Caps</t>
        </is>
      </c>
      <c r="H330" t="inlineStr">
        <is>
          <t>DM</t>
        </is>
      </c>
      <c r="I330" t="inlineStr"/>
      <c r="J330" t="inlineStr"/>
      <c r="K330" t="inlineStr">
        <is>
          <t>Weight</t>
        </is>
      </c>
      <c r="L330" t="n">
        <v>0.030614</v>
      </c>
    </row>
    <row r="331">
      <c r="A331" t="inlineStr">
        <is>
          <t>202606</t>
        </is>
      </c>
      <c r="B331" t="inlineStr">
        <is>
          <t>Actual</t>
        </is>
      </c>
      <c r="C331" t="inlineStr">
        <is>
          <t>Habitat</t>
        </is>
      </c>
      <c r="D331" t="inlineStr">
        <is>
          <t>Instrumento</t>
        </is>
      </c>
      <c r="E331" t="inlineStr">
        <is>
          <t>Equities</t>
        </is>
      </c>
      <c r="F331" t="inlineStr">
        <is>
          <t>Passive</t>
        </is>
      </c>
      <c r="G331" t="inlineStr">
        <is>
          <t>BlackRock - iShares Core S&amp;P 500</t>
        </is>
      </c>
      <c r="H331" t="inlineStr">
        <is>
          <t>DM</t>
        </is>
      </c>
      <c r="I331" t="inlineStr"/>
      <c r="J331" t="inlineStr"/>
      <c r="K331" t="inlineStr">
        <is>
          <t>Intensidad</t>
        </is>
      </c>
      <c r="L331" t="n">
        <v>1.525922</v>
      </c>
    </row>
    <row r="332">
      <c r="A332" t="inlineStr">
        <is>
          <t>202606</t>
        </is>
      </c>
      <c r="B332" t="inlineStr">
        <is>
          <t>Actual</t>
        </is>
      </c>
      <c r="C332" t="inlineStr">
        <is>
          <t>Habitat</t>
        </is>
      </c>
      <c r="D332" t="inlineStr">
        <is>
          <t>Instrumento</t>
        </is>
      </c>
      <c r="E332" t="inlineStr">
        <is>
          <t>Equities</t>
        </is>
      </c>
      <c r="F332" t="inlineStr">
        <is>
          <t>Passive</t>
        </is>
      </c>
      <c r="G332" t="inlineStr">
        <is>
          <t>BlackRock - iShares Core S&amp;P 500</t>
        </is>
      </c>
      <c r="H332" t="inlineStr">
        <is>
          <t>DM</t>
        </is>
      </c>
      <c r="I332" t="inlineStr"/>
      <c r="J332" t="inlineStr"/>
      <c r="K332" t="inlineStr">
        <is>
          <t>Weight</t>
        </is>
      </c>
      <c r="L332" t="n">
        <v>0.069895</v>
      </c>
    </row>
    <row r="333">
      <c r="A333" t="inlineStr">
        <is>
          <t>202606</t>
        </is>
      </c>
      <c r="B333" t="inlineStr">
        <is>
          <t>Actual</t>
        </is>
      </c>
      <c r="C333" t="inlineStr">
        <is>
          <t>Ex_Integra</t>
        </is>
      </c>
      <c r="D333" t="inlineStr">
        <is>
          <t>Instrumento</t>
        </is>
      </c>
      <c r="E333" t="inlineStr">
        <is>
          <t>Equities</t>
        </is>
      </c>
      <c r="F333" t="inlineStr">
        <is>
          <t>Passive</t>
        </is>
      </c>
      <c r="G333" t="inlineStr">
        <is>
          <t>BlackRock - iShares Korea</t>
        </is>
      </c>
      <c r="H333" t="inlineStr">
        <is>
          <t>EM</t>
        </is>
      </c>
      <c r="I333" t="inlineStr"/>
      <c r="J333" t="inlineStr"/>
      <c r="K333" t="inlineStr">
        <is>
          <t>Intensidad</t>
        </is>
      </c>
      <c r="L333" t="n">
        <v>8.283403</v>
      </c>
    </row>
    <row r="334">
      <c r="A334" t="inlineStr">
        <is>
          <t>202606</t>
        </is>
      </c>
      <c r="B334" t="inlineStr">
        <is>
          <t>Actual</t>
        </is>
      </c>
      <c r="C334" t="inlineStr">
        <is>
          <t>Ex_Integra</t>
        </is>
      </c>
      <c r="D334" t="inlineStr">
        <is>
          <t>Instrumento</t>
        </is>
      </c>
      <c r="E334" t="inlineStr">
        <is>
          <t>Equities</t>
        </is>
      </c>
      <c r="F334" t="inlineStr">
        <is>
          <t>Passive</t>
        </is>
      </c>
      <c r="G334" t="inlineStr">
        <is>
          <t>BlackRock - iShares Korea</t>
        </is>
      </c>
      <c r="H334" t="inlineStr">
        <is>
          <t>EM</t>
        </is>
      </c>
      <c r="I334" t="inlineStr"/>
      <c r="J334" t="inlineStr"/>
      <c r="K334" t="inlineStr">
        <is>
          <t>Weight</t>
        </is>
      </c>
      <c r="L334" t="n">
        <v>0.142106</v>
      </c>
    </row>
    <row r="335">
      <c r="A335" t="inlineStr">
        <is>
          <t>202606</t>
        </is>
      </c>
      <c r="B335" t="inlineStr">
        <is>
          <t>Actual</t>
        </is>
      </c>
      <c r="C335" t="inlineStr">
        <is>
          <t>Habitat</t>
        </is>
      </c>
      <c r="D335" t="inlineStr">
        <is>
          <t>Instrumento</t>
        </is>
      </c>
      <c r="E335" t="inlineStr">
        <is>
          <t>Equities</t>
        </is>
      </c>
      <c r="F335" t="inlineStr">
        <is>
          <t>Passive</t>
        </is>
      </c>
      <c r="G335" t="inlineStr">
        <is>
          <t>BlackRock - iShares Korea</t>
        </is>
      </c>
      <c r="H335" t="inlineStr">
        <is>
          <t>EM</t>
        </is>
      </c>
      <c r="I335" t="inlineStr"/>
      <c r="J335" t="inlineStr"/>
      <c r="K335" t="inlineStr">
        <is>
          <t>Intensidad</t>
        </is>
      </c>
      <c r="L335" t="n">
        <v>5.389704</v>
      </c>
    </row>
    <row r="336">
      <c r="A336" t="inlineStr">
        <is>
          <t>202606</t>
        </is>
      </c>
      <c r="B336" t="inlineStr">
        <is>
          <t>Actual</t>
        </is>
      </c>
      <c r="C336" t="inlineStr">
        <is>
          <t>Habitat</t>
        </is>
      </c>
      <c r="D336" t="inlineStr">
        <is>
          <t>Instrumento</t>
        </is>
      </c>
      <c r="E336" t="inlineStr">
        <is>
          <t>Equities</t>
        </is>
      </c>
      <c r="F336" t="inlineStr">
        <is>
          <t>Passive</t>
        </is>
      </c>
      <c r="G336" t="inlineStr">
        <is>
          <t>BlackRock - iShares Korea</t>
        </is>
      </c>
      <c r="H336" t="inlineStr">
        <is>
          <t>EM</t>
        </is>
      </c>
      <c r="I336" t="inlineStr"/>
      <c r="J336" t="inlineStr"/>
      <c r="K336" t="inlineStr">
        <is>
          <t>Weight</t>
        </is>
      </c>
      <c r="L336" t="n">
        <v>0.092463</v>
      </c>
    </row>
    <row r="337">
      <c r="A337" t="inlineStr">
        <is>
          <t>202606</t>
        </is>
      </c>
      <c r="B337" t="inlineStr">
        <is>
          <t>Actual</t>
        </is>
      </c>
      <c r="C337" t="inlineStr">
        <is>
          <t>Integra</t>
        </is>
      </c>
      <c r="D337" t="inlineStr">
        <is>
          <t>Instrumento</t>
        </is>
      </c>
      <c r="E337" t="inlineStr">
        <is>
          <t>Equities</t>
        </is>
      </c>
      <c r="F337" t="inlineStr">
        <is>
          <t>Passive</t>
        </is>
      </c>
      <c r="G337" t="inlineStr">
        <is>
          <t>BlackRock - iShares Korea</t>
        </is>
      </c>
      <c r="H337" t="inlineStr">
        <is>
          <t>EM</t>
        </is>
      </c>
      <c r="I337" t="inlineStr"/>
      <c r="J337" t="inlineStr"/>
      <c r="K337" t="inlineStr">
        <is>
          <t>Intensidad</t>
        </is>
      </c>
      <c r="L337" t="n">
        <v>8.9528</v>
      </c>
    </row>
    <row r="338">
      <c r="A338" t="inlineStr">
        <is>
          <t>202606</t>
        </is>
      </c>
      <c r="B338" t="inlineStr">
        <is>
          <t>Actual</t>
        </is>
      </c>
      <c r="C338" t="inlineStr">
        <is>
          <t>Integra</t>
        </is>
      </c>
      <c r="D338" t="inlineStr">
        <is>
          <t>Instrumento</t>
        </is>
      </c>
      <c r="E338" t="inlineStr">
        <is>
          <t>Equities</t>
        </is>
      </c>
      <c r="F338" t="inlineStr">
        <is>
          <t>Passive</t>
        </is>
      </c>
      <c r="G338" t="inlineStr">
        <is>
          <t>BlackRock - iShares Korea</t>
        </is>
      </c>
      <c r="H338" t="inlineStr">
        <is>
          <t>EM</t>
        </is>
      </c>
      <c r="I338" t="inlineStr"/>
      <c r="J338" t="inlineStr"/>
      <c r="K338" t="inlineStr">
        <is>
          <t>Weight</t>
        </is>
      </c>
      <c r="L338" t="n">
        <v>0.15359</v>
      </c>
    </row>
    <row r="339">
      <c r="A339" t="inlineStr">
        <is>
          <t>202606</t>
        </is>
      </c>
      <c r="B339" t="inlineStr">
        <is>
          <t>Actual</t>
        </is>
      </c>
      <c r="C339" t="inlineStr">
        <is>
          <t>Prima</t>
        </is>
      </c>
      <c r="D339" t="inlineStr">
        <is>
          <t>Instrumento</t>
        </is>
      </c>
      <c r="E339" t="inlineStr">
        <is>
          <t>Equities</t>
        </is>
      </c>
      <c r="F339" t="inlineStr">
        <is>
          <t>Passive</t>
        </is>
      </c>
      <c r="G339" t="inlineStr">
        <is>
          <t>BlackRock - iShares Korea</t>
        </is>
      </c>
      <c r="H339" t="inlineStr">
        <is>
          <t>EM</t>
        </is>
      </c>
      <c r="I339" t="inlineStr"/>
      <c r="J339" t="inlineStr"/>
      <c r="K339" t="inlineStr">
        <is>
          <t>Intensidad</t>
        </is>
      </c>
      <c r="L339" t="n">
        <v>10.402756</v>
      </c>
    </row>
    <row r="340">
      <c r="A340" t="inlineStr">
        <is>
          <t>202606</t>
        </is>
      </c>
      <c r="B340" t="inlineStr">
        <is>
          <t>Actual</t>
        </is>
      </c>
      <c r="C340" t="inlineStr">
        <is>
          <t>Prima</t>
        </is>
      </c>
      <c r="D340" t="inlineStr">
        <is>
          <t>Instrumento</t>
        </is>
      </c>
      <c r="E340" t="inlineStr">
        <is>
          <t>Equities</t>
        </is>
      </c>
      <c r="F340" t="inlineStr">
        <is>
          <t>Passive</t>
        </is>
      </c>
      <c r="G340" t="inlineStr">
        <is>
          <t>BlackRock - iShares Korea</t>
        </is>
      </c>
      <c r="H340" t="inlineStr">
        <is>
          <t>EM</t>
        </is>
      </c>
      <c r="I340" t="inlineStr"/>
      <c r="J340" t="inlineStr"/>
      <c r="K340" t="inlineStr">
        <is>
          <t>Weight</t>
        </is>
      </c>
      <c r="L340" t="n">
        <v>0.178465</v>
      </c>
    </row>
    <row r="341">
      <c r="A341" t="inlineStr">
        <is>
          <t>202606</t>
        </is>
      </c>
      <c r="B341" t="inlineStr">
        <is>
          <t>Actual</t>
        </is>
      </c>
      <c r="C341" t="inlineStr">
        <is>
          <t>Profuturo</t>
        </is>
      </c>
      <c r="D341" t="inlineStr">
        <is>
          <t>Instrumento</t>
        </is>
      </c>
      <c r="E341" t="inlineStr">
        <is>
          <t>Equities</t>
        </is>
      </c>
      <c r="F341" t="inlineStr">
        <is>
          <t>Passive</t>
        </is>
      </c>
      <c r="G341" t="inlineStr">
        <is>
          <t>BlackRock - iShares Korea</t>
        </is>
      </c>
      <c r="H341" t="inlineStr">
        <is>
          <t>EM</t>
        </is>
      </c>
      <c r="I341" t="inlineStr"/>
      <c r="J341" t="inlineStr"/>
      <c r="K341" t="inlineStr">
        <is>
          <t>Intensidad</t>
        </is>
      </c>
      <c r="L341" t="n">
        <v>9.112333</v>
      </c>
    </row>
    <row r="342">
      <c r="A342" t="inlineStr">
        <is>
          <t>202606</t>
        </is>
      </c>
      <c r="B342" t="inlineStr">
        <is>
          <t>Actual</t>
        </is>
      </c>
      <c r="C342" t="inlineStr">
        <is>
          <t>Profuturo</t>
        </is>
      </c>
      <c r="D342" t="inlineStr">
        <is>
          <t>Instrumento</t>
        </is>
      </c>
      <c r="E342" t="inlineStr">
        <is>
          <t>Equities</t>
        </is>
      </c>
      <c r="F342" t="inlineStr">
        <is>
          <t>Passive</t>
        </is>
      </c>
      <c r="G342" t="inlineStr">
        <is>
          <t>BlackRock - iShares Korea</t>
        </is>
      </c>
      <c r="H342" t="inlineStr">
        <is>
          <t>EM</t>
        </is>
      </c>
      <c r="I342" t="inlineStr"/>
      <c r="J342" t="inlineStr"/>
      <c r="K342" t="inlineStr">
        <is>
          <t>Weight</t>
        </is>
      </c>
      <c r="L342" t="n">
        <v>0.156327</v>
      </c>
    </row>
    <row r="343">
      <c r="A343" t="inlineStr">
        <is>
          <t>202606</t>
        </is>
      </c>
      <c r="B343" t="inlineStr">
        <is>
          <t>Actual</t>
        </is>
      </c>
      <c r="C343" t="inlineStr">
        <is>
          <t>Profuturo</t>
        </is>
      </c>
      <c r="D343" t="inlineStr">
        <is>
          <t>Instrumento</t>
        </is>
      </c>
      <c r="E343" t="inlineStr">
        <is>
          <t>Equities</t>
        </is>
      </c>
      <c r="F343" t="inlineStr">
        <is>
          <t>Passive</t>
        </is>
      </c>
      <c r="G343" t="inlineStr">
        <is>
          <t>BlackRock - iShares MSCI Peru</t>
        </is>
      </c>
      <c r="H343" t="inlineStr">
        <is>
          <t>Peru</t>
        </is>
      </c>
      <c r="I343" t="inlineStr"/>
      <c r="J343" t="inlineStr"/>
      <c r="K343" t="inlineStr">
        <is>
          <t>Intensidad</t>
        </is>
      </c>
      <c r="L343" t="n">
        <v>2.688016</v>
      </c>
    </row>
    <row r="344">
      <c r="A344" t="inlineStr">
        <is>
          <t>202606</t>
        </is>
      </c>
      <c r="B344" t="inlineStr">
        <is>
          <t>Actual</t>
        </is>
      </c>
      <c r="C344" t="inlineStr">
        <is>
          <t>Profuturo</t>
        </is>
      </c>
      <c r="D344" t="inlineStr">
        <is>
          <t>Instrumento</t>
        </is>
      </c>
      <c r="E344" t="inlineStr">
        <is>
          <t>Equities</t>
        </is>
      </c>
      <c r="F344" t="inlineStr">
        <is>
          <t>Passive</t>
        </is>
      </c>
      <c r="G344" t="inlineStr">
        <is>
          <t>BlackRock - iShares MSCI Peru</t>
        </is>
      </c>
      <c r="H344" t="inlineStr">
        <is>
          <t>Peru</t>
        </is>
      </c>
      <c r="I344" t="inlineStr"/>
      <c r="J344" t="inlineStr"/>
      <c r="K344" t="inlineStr">
        <is>
          <t>Weight</t>
        </is>
      </c>
      <c r="L344" t="n">
        <v>0.131148</v>
      </c>
    </row>
    <row r="345">
      <c r="A345" t="inlineStr">
        <is>
          <t>202606</t>
        </is>
      </c>
      <c r="B345" t="inlineStr">
        <is>
          <t>Actual</t>
        </is>
      </c>
      <c r="C345" t="inlineStr">
        <is>
          <t>Ex_Integra</t>
        </is>
      </c>
      <c r="D345" t="inlineStr">
        <is>
          <t>Instrumento</t>
        </is>
      </c>
      <c r="E345" t="inlineStr">
        <is>
          <t>Equities</t>
        </is>
      </c>
      <c r="F345" t="inlineStr">
        <is>
          <t>Passive</t>
        </is>
      </c>
      <c r="G345" t="inlineStr">
        <is>
          <t>BlackRock - iShares PHLX Semiconductor ETF</t>
        </is>
      </c>
      <c r="H345" t="inlineStr">
        <is>
          <t>DM</t>
        </is>
      </c>
      <c r="I345" t="inlineStr"/>
      <c r="J345" t="inlineStr"/>
      <c r="K345" t="inlineStr">
        <is>
          <t>Intensidad</t>
        </is>
      </c>
      <c r="L345" t="n">
        <v>1.489467</v>
      </c>
    </row>
    <row r="346">
      <c r="A346" t="inlineStr">
        <is>
          <t>202606</t>
        </is>
      </c>
      <c r="B346" t="inlineStr">
        <is>
          <t>Actual</t>
        </is>
      </c>
      <c r="C346" t="inlineStr">
        <is>
          <t>Ex_Integra</t>
        </is>
      </c>
      <c r="D346" t="inlineStr">
        <is>
          <t>Instrumento</t>
        </is>
      </c>
      <c r="E346" t="inlineStr">
        <is>
          <t>Equities</t>
        </is>
      </c>
      <c r="F346" t="inlineStr">
        <is>
          <t>Passive</t>
        </is>
      </c>
      <c r="G346" t="inlineStr">
        <is>
          <t>BlackRock - iShares PHLX Semiconductor ETF</t>
        </is>
      </c>
      <c r="H346" t="inlineStr">
        <is>
          <t>DM</t>
        </is>
      </c>
      <c r="I346" t="inlineStr"/>
      <c r="J346" t="inlineStr"/>
      <c r="K346" t="inlineStr">
        <is>
          <t>Weight</t>
        </is>
      </c>
      <c r="L346" t="n">
        <v>0.149435</v>
      </c>
    </row>
    <row r="347">
      <c r="A347" t="inlineStr">
        <is>
          <t>202606</t>
        </is>
      </c>
      <c r="B347" t="inlineStr">
        <is>
          <t>Actual</t>
        </is>
      </c>
      <c r="C347" t="inlineStr">
        <is>
          <t>Integra</t>
        </is>
      </c>
      <c r="D347" t="inlineStr">
        <is>
          <t>Instrumento</t>
        </is>
      </c>
      <c r="E347" t="inlineStr">
        <is>
          <t>Equities</t>
        </is>
      </c>
      <c r="F347" t="inlineStr">
        <is>
          <t>Passive</t>
        </is>
      </c>
      <c r="G347" t="inlineStr">
        <is>
          <t>BlackRock - iShares PHLX Semiconductor ETF</t>
        </is>
      </c>
      <c r="H347" t="inlineStr">
        <is>
          <t>DM</t>
        </is>
      </c>
      <c r="I347" t="inlineStr"/>
      <c r="J347" t="inlineStr"/>
      <c r="K347" t="inlineStr">
        <is>
          <t>Intensidad</t>
        </is>
      </c>
      <c r="L347" t="n">
        <v>1.567853</v>
      </c>
    </row>
    <row r="348">
      <c r="A348" t="inlineStr">
        <is>
          <t>202606</t>
        </is>
      </c>
      <c r="B348" t="inlineStr">
        <is>
          <t>Actual</t>
        </is>
      </c>
      <c r="C348" t="inlineStr">
        <is>
          <t>Integra</t>
        </is>
      </c>
      <c r="D348" t="inlineStr">
        <is>
          <t>Instrumento</t>
        </is>
      </c>
      <c r="E348" t="inlineStr">
        <is>
          <t>Equities</t>
        </is>
      </c>
      <c r="F348" t="inlineStr">
        <is>
          <t>Passive</t>
        </is>
      </c>
      <c r="G348" t="inlineStr">
        <is>
          <t>BlackRock - iShares PHLX Semiconductor ETF</t>
        </is>
      </c>
      <c r="H348" t="inlineStr">
        <is>
          <t>DM</t>
        </is>
      </c>
      <c r="I348" t="inlineStr"/>
      <c r="J348" t="inlineStr"/>
      <c r="K348" t="inlineStr">
        <is>
          <t>Weight</t>
        </is>
      </c>
      <c r="L348" t="n">
        <v>0.157299</v>
      </c>
    </row>
    <row r="349">
      <c r="A349" t="inlineStr">
        <is>
          <t>202606</t>
        </is>
      </c>
      <c r="B349" t="inlineStr">
        <is>
          <t>Actual</t>
        </is>
      </c>
      <c r="C349" t="inlineStr">
        <is>
          <t>Prima</t>
        </is>
      </c>
      <c r="D349" t="inlineStr">
        <is>
          <t>Instrumento</t>
        </is>
      </c>
      <c r="E349" t="inlineStr">
        <is>
          <t>Equities</t>
        </is>
      </c>
      <c r="F349" t="inlineStr">
        <is>
          <t>Passive</t>
        </is>
      </c>
      <c r="G349" t="inlineStr">
        <is>
          <t>BlackRock - iShares PHLX Semiconductor ETF</t>
        </is>
      </c>
      <c r="H349" t="inlineStr">
        <is>
          <t>DM</t>
        </is>
      </c>
      <c r="I349" t="inlineStr"/>
      <c r="J349" t="inlineStr"/>
      <c r="K349" t="inlineStr">
        <is>
          <t>Intensidad</t>
        </is>
      </c>
      <c r="L349" t="n">
        <v>2.021661</v>
      </c>
    </row>
    <row r="350">
      <c r="A350" t="inlineStr">
        <is>
          <t>202606</t>
        </is>
      </c>
      <c r="B350" t="inlineStr">
        <is>
          <t>Actual</t>
        </is>
      </c>
      <c r="C350" t="inlineStr">
        <is>
          <t>Prima</t>
        </is>
      </c>
      <c r="D350" t="inlineStr">
        <is>
          <t>Instrumento</t>
        </is>
      </c>
      <c r="E350" t="inlineStr">
        <is>
          <t>Equities</t>
        </is>
      </c>
      <c r="F350" t="inlineStr">
        <is>
          <t>Passive</t>
        </is>
      </c>
      <c r="G350" t="inlineStr">
        <is>
          <t>BlackRock - iShares PHLX Semiconductor ETF</t>
        </is>
      </c>
      <c r="H350" t="inlineStr">
        <is>
          <t>DM</t>
        </is>
      </c>
      <c r="I350" t="inlineStr"/>
      <c r="J350" t="inlineStr"/>
      <c r="K350" t="inlineStr">
        <is>
          <t>Weight</t>
        </is>
      </c>
      <c r="L350" t="n">
        <v>0.202829</v>
      </c>
    </row>
    <row r="351">
      <c r="A351" t="inlineStr">
        <is>
          <t>202606</t>
        </is>
      </c>
      <c r="B351" t="inlineStr">
        <is>
          <t>Actual</t>
        </is>
      </c>
      <c r="C351" t="inlineStr">
        <is>
          <t>Ex_Integra</t>
        </is>
      </c>
      <c r="D351" t="inlineStr">
        <is>
          <t>Instrumento</t>
        </is>
      </c>
      <c r="E351" t="inlineStr">
        <is>
          <t>Equities</t>
        </is>
      </c>
      <c r="F351" t="inlineStr">
        <is>
          <t>Passive</t>
        </is>
      </c>
      <c r="G351" t="inlineStr">
        <is>
          <t>Global X - Copper Miners ETF</t>
        </is>
      </c>
      <c r="H351" t="inlineStr">
        <is>
          <t>Commodities</t>
        </is>
      </c>
      <c r="I351" t="inlineStr"/>
      <c r="J351" t="inlineStr"/>
      <c r="K351" t="inlineStr">
        <is>
          <t>Intensidad</t>
        </is>
      </c>
      <c r="L351" t="n">
        <v>2.412239</v>
      </c>
    </row>
    <row r="352">
      <c r="A352" t="inlineStr">
        <is>
          <t>202606</t>
        </is>
      </c>
      <c r="B352" t="inlineStr">
        <is>
          <t>Actual</t>
        </is>
      </c>
      <c r="C352" t="inlineStr">
        <is>
          <t>Ex_Integra</t>
        </is>
      </c>
      <c r="D352" t="inlineStr">
        <is>
          <t>Instrumento</t>
        </is>
      </c>
      <c r="E352" t="inlineStr">
        <is>
          <t>Equities</t>
        </is>
      </c>
      <c r="F352" t="inlineStr">
        <is>
          <t>Passive</t>
        </is>
      </c>
      <c r="G352" t="inlineStr">
        <is>
          <t>Global X - Copper Miners ETF</t>
        </is>
      </c>
      <c r="H352" t="inlineStr">
        <is>
          <t>Commodities</t>
        </is>
      </c>
      <c r="I352" t="inlineStr"/>
      <c r="J352" t="inlineStr"/>
      <c r="K352" t="inlineStr">
        <is>
          <t>Weight</t>
        </is>
      </c>
      <c r="L352" t="n">
        <v>0.032827</v>
      </c>
    </row>
    <row r="353">
      <c r="A353" t="inlineStr">
        <is>
          <t>202606</t>
        </is>
      </c>
      <c r="B353" t="inlineStr">
        <is>
          <t>Actual</t>
        </is>
      </c>
      <c r="C353" t="inlineStr">
        <is>
          <t>Integra</t>
        </is>
      </c>
      <c r="D353" t="inlineStr">
        <is>
          <t>Instrumento</t>
        </is>
      </c>
      <c r="E353" t="inlineStr">
        <is>
          <t>Equities</t>
        </is>
      </c>
      <c r="F353" t="inlineStr">
        <is>
          <t>Passive</t>
        </is>
      </c>
      <c r="G353" t="inlineStr">
        <is>
          <t>Global X - Copper Miners ETF</t>
        </is>
      </c>
      <c r="H353" t="inlineStr">
        <is>
          <t>Commodities</t>
        </is>
      </c>
      <c r="I353" t="inlineStr"/>
      <c r="J353" t="inlineStr"/>
      <c r="K353" t="inlineStr">
        <is>
          <t>Intensidad</t>
        </is>
      </c>
      <c r="L353" t="n">
        <v>3.824247</v>
      </c>
    </row>
    <row r="354">
      <c r="A354" t="inlineStr">
        <is>
          <t>202606</t>
        </is>
      </c>
      <c r="B354" t="inlineStr">
        <is>
          <t>Actual</t>
        </is>
      </c>
      <c r="C354" t="inlineStr">
        <is>
          <t>Integra</t>
        </is>
      </c>
      <c r="D354" t="inlineStr">
        <is>
          <t>Instrumento</t>
        </is>
      </c>
      <c r="E354" t="inlineStr">
        <is>
          <t>Equities</t>
        </is>
      </c>
      <c r="F354" t="inlineStr">
        <is>
          <t>Passive</t>
        </is>
      </c>
      <c r="G354" t="inlineStr">
        <is>
          <t>Global X - Copper Miners ETF</t>
        </is>
      </c>
      <c r="H354" t="inlineStr">
        <is>
          <t>Commodities</t>
        </is>
      </c>
      <c r="I354" t="inlineStr"/>
      <c r="J354" t="inlineStr"/>
      <c r="K354" t="inlineStr">
        <is>
          <t>Weight</t>
        </is>
      </c>
      <c r="L354" t="n">
        <v>0.052043</v>
      </c>
    </row>
    <row r="355">
      <c r="A355" t="inlineStr">
        <is>
          <t>202606</t>
        </is>
      </c>
      <c r="B355" t="inlineStr">
        <is>
          <t>Actual</t>
        </is>
      </c>
      <c r="C355" t="inlineStr">
        <is>
          <t>Prima</t>
        </is>
      </c>
      <c r="D355" t="inlineStr">
        <is>
          <t>Instrumento</t>
        </is>
      </c>
      <c r="E355" t="inlineStr">
        <is>
          <t>Equities</t>
        </is>
      </c>
      <c r="F355" t="inlineStr">
        <is>
          <t>Passive</t>
        </is>
      </c>
      <c r="G355" t="inlineStr">
        <is>
          <t>Global X - Copper Miners ETF</t>
        </is>
      </c>
      <c r="H355" t="inlineStr">
        <is>
          <t>Commodities</t>
        </is>
      </c>
      <c r="I355" t="inlineStr"/>
      <c r="J355" t="inlineStr"/>
      <c r="K355" t="inlineStr">
        <is>
          <t>Intensidad</t>
        </is>
      </c>
      <c r="L355" t="n">
        <v>3.680209</v>
      </c>
    </row>
    <row r="356">
      <c r="A356" t="inlineStr">
        <is>
          <t>202606</t>
        </is>
      </c>
      <c r="B356" t="inlineStr">
        <is>
          <t>Actual</t>
        </is>
      </c>
      <c r="C356" t="inlineStr">
        <is>
          <t>Prima</t>
        </is>
      </c>
      <c r="D356" t="inlineStr">
        <is>
          <t>Instrumento</t>
        </is>
      </c>
      <c r="E356" t="inlineStr">
        <is>
          <t>Equities</t>
        </is>
      </c>
      <c r="F356" t="inlineStr">
        <is>
          <t>Passive</t>
        </is>
      </c>
      <c r="G356" t="inlineStr">
        <is>
          <t>Global X - Copper Miners ETF</t>
        </is>
      </c>
      <c r="H356" t="inlineStr">
        <is>
          <t>Commodities</t>
        </is>
      </c>
      <c r="I356" t="inlineStr"/>
      <c r="J356" t="inlineStr"/>
      <c r="K356" t="inlineStr">
        <is>
          <t>Weight</t>
        </is>
      </c>
      <c r="L356" t="n">
        <v>0.050083</v>
      </c>
    </row>
    <row r="357">
      <c r="A357" t="inlineStr">
        <is>
          <t>202606</t>
        </is>
      </c>
      <c r="B357" t="inlineStr">
        <is>
          <t>Actual</t>
        </is>
      </c>
      <c r="C357" t="inlineStr">
        <is>
          <t>Profuturo</t>
        </is>
      </c>
      <c r="D357" t="inlineStr">
        <is>
          <t>Instrumento</t>
        </is>
      </c>
      <c r="E357" t="inlineStr">
        <is>
          <t>Equities</t>
        </is>
      </c>
      <c r="F357" t="inlineStr">
        <is>
          <t>Passive</t>
        </is>
      </c>
      <c r="G357" t="inlineStr">
        <is>
          <t>Global X - Silvers Miners ETF</t>
        </is>
      </c>
      <c r="H357" t="inlineStr">
        <is>
          <t>Commodities</t>
        </is>
      </c>
      <c r="I357" t="inlineStr"/>
      <c r="J357" t="inlineStr"/>
      <c r="K357" t="inlineStr">
        <is>
          <t>Intensidad</t>
        </is>
      </c>
      <c r="L357" t="n">
        <v>2.027337</v>
      </c>
    </row>
    <row r="358">
      <c r="A358" t="inlineStr">
        <is>
          <t>202606</t>
        </is>
      </c>
      <c r="B358" t="inlineStr">
        <is>
          <t>Actual</t>
        </is>
      </c>
      <c r="C358" t="inlineStr">
        <is>
          <t>Profuturo</t>
        </is>
      </c>
      <c r="D358" t="inlineStr">
        <is>
          <t>Instrumento</t>
        </is>
      </c>
      <c r="E358" t="inlineStr">
        <is>
          <t>Equities</t>
        </is>
      </c>
      <c r="F358" t="inlineStr">
        <is>
          <t>Passive</t>
        </is>
      </c>
      <c r="G358" t="inlineStr">
        <is>
          <t>Global X - Silvers Miners ETF</t>
        </is>
      </c>
      <c r="H358" t="inlineStr">
        <is>
          <t>Commodities</t>
        </is>
      </c>
      <c r="I358" t="inlineStr"/>
      <c r="J358" t="inlineStr"/>
      <c r="K358" t="inlineStr">
        <is>
          <t>Weight</t>
        </is>
      </c>
      <c r="L358" t="n">
        <v>0.07943</v>
      </c>
    </row>
    <row r="359">
      <c r="A359" t="inlineStr">
        <is>
          <t>202606</t>
        </is>
      </c>
      <c r="B359" t="inlineStr">
        <is>
          <t>Actual</t>
        </is>
      </c>
      <c r="C359" t="inlineStr">
        <is>
          <t>Integra</t>
        </is>
      </c>
      <c r="D359" t="inlineStr">
        <is>
          <t>Instrumento</t>
        </is>
      </c>
      <c r="E359" t="inlineStr">
        <is>
          <t>Equities</t>
        </is>
      </c>
      <c r="F359" t="inlineStr">
        <is>
          <t>Active</t>
        </is>
      </c>
      <c r="G359" t="inlineStr">
        <is>
          <t>JP Morgan - Korea Equity Fund</t>
        </is>
      </c>
      <c r="H359" t="inlineStr">
        <is>
          <t>EM</t>
        </is>
      </c>
      <c r="I359" t="inlineStr"/>
      <c r="J359" t="inlineStr"/>
      <c r="K359" t="inlineStr">
        <is>
          <t>Intensidad</t>
        </is>
      </c>
      <c r="L359" t="n">
        <v>1.602555</v>
      </c>
    </row>
    <row r="360">
      <c r="A360" t="inlineStr">
        <is>
          <t>202606</t>
        </is>
      </c>
      <c r="B360" t="inlineStr">
        <is>
          <t>Actual</t>
        </is>
      </c>
      <c r="C360" t="inlineStr">
        <is>
          <t>Integra</t>
        </is>
      </c>
      <c r="D360" t="inlineStr">
        <is>
          <t>Instrumento</t>
        </is>
      </c>
      <c r="E360" t="inlineStr">
        <is>
          <t>Equities</t>
        </is>
      </c>
      <c r="F360" t="inlineStr">
        <is>
          <t>Active</t>
        </is>
      </c>
      <c r="G360" t="inlineStr">
        <is>
          <t>JP Morgan - Korea Equity Fund</t>
        </is>
      </c>
      <c r="H360" t="inlineStr">
        <is>
          <t>EM</t>
        </is>
      </c>
      <c r="I360" t="inlineStr"/>
      <c r="J360" t="inlineStr"/>
      <c r="K360" t="inlineStr">
        <is>
          <t>Weight</t>
        </is>
      </c>
      <c r="L360" t="n">
        <v>0.020987</v>
      </c>
    </row>
    <row r="361">
      <c r="A361" t="inlineStr">
        <is>
          <t>202606</t>
        </is>
      </c>
      <c r="B361" t="inlineStr">
        <is>
          <t>Actual</t>
        </is>
      </c>
      <c r="C361" t="inlineStr">
        <is>
          <t>Ex_Integra</t>
        </is>
      </c>
      <c r="D361" t="inlineStr">
        <is>
          <t>Instrumento</t>
        </is>
      </c>
      <c r="E361" t="inlineStr">
        <is>
          <t>Equities</t>
        </is>
      </c>
      <c r="F361" t="inlineStr">
        <is>
          <t>Active</t>
        </is>
      </c>
      <c r="G361" t="inlineStr">
        <is>
          <t>Larrainvial - Latin American Equity Fund I</t>
        </is>
      </c>
      <c r="H361" t="inlineStr">
        <is>
          <t>EM</t>
        </is>
      </c>
      <c r="I361" t="inlineStr"/>
      <c r="J361" t="inlineStr"/>
      <c r="K361" t="inlineStr">
        <is>
          <t>Intensidad</t>
        </is>
      </c>
      <c r="L361" t="n">
        <v>1.681417</v>
      </c>
    </row>
    <row r="362">
      <c r="A362" t="inlineStr">
        <is>
          <t>202606</t>
        </is>
      </c>
      <c r="B362" t="inlineStr">
        <is>
          <t>Actual</t>
        </is>
      </c>
      <c r="C362" t="inlineStr">
        <is>
          <t>Ex_Integra</t>
        </is>
      </c>
      <c r="D362" t="inlineStr">
        <is>
          <t>Instrumento</t>
        </is>
      </c>
      <c r="E362" t="inlineStr">
        <is>
          <t>Equities</t>
        </is>
      </c>
      <c r="F362" t="inlineStr">
        <is>
          <t>Active</t>
        </is>
      </c>
      <c r="G362" t="inlineStr">
        <is>
          <t>Larrainvial - Latin American Equity Fund I</t>
        </is>
      </c>
      <c r="H362" t="inlineStr">
        <is>
          <t>EM</t>
        </is>
      </c>
      <c r="I362" t="inlineStr"/>
      <c r="J362" t="inlineStr"/>
      <c r="K362" t="inlineStr">
        <is>
          <t>Weight</t>
        </is>
      </c>
      <c r="L362" t="n">
        <v>0.015077</v>
      </c>
    </row>
    <row r="363">
      <c r="A363" t="inlineStr">
        <is>
          <t>202606</t>
        </is>
      </c>
      <c r="B363" t="inlineStr">
        <is>
          <t>Actual</t>
        </is>
      </c>
      <c r="C363" t="inlineStr">
        <is>
          <t>Habitat</t>
        </is>
      </c>
      <c r="D363" t="inlineStr">
        <is>
          <t>Instrumento</t>
        </is>
      </c>
      <c r="E363" t="inlineStr">
        <is>
          <t>Equities</t>
        </is>
      </c>
      <c r="F363" t="inlineStr">
        <is>
          <t>Active</t>
        </is>
      </c>
      <c r="G363" t="inlineStr">
        <is>
          <t>Larrainvial - Latin American Equity Fund I</t>
        </is>
      </c>
      <c r="H363" t="inlineStr">
        <is>
          <t>EM</t>
        </is>
      </c>
      <c r="I363" t="inlineStr"/>
      <c r="J363" t="inlineStr"/>
      <c r="K363" t="inlineStr">
        <is>
          <t>Intensidad</t>
        </is>
      </c>
      <c r="L363" t="n">
        <v>1.92257</v>
      </c>
    </row>
    <row r="364">
      <c r="A364" t="inlineStr">
        <is>
          <t>202606</t>
        </is>
      </c>
      <c r="B364" t="inlineStr">
        <is>
          <t>Actual</t>
        </is>
      </c>
      <c r="C364" t="inlineStr">
        <is>
          <t>Habitat</t>
        </is>
      </c>
      <c r="D364" t="inlineStr">
        <is>
          <t>Instrumento</t>
        </is>
      </c>
      <c r="E364" t="inlineStr">
        <is>
          <t>Equities</t>
        </is>
      </c>
      <c r="F364" t="inlineStr">
        <is>
          <t>Active</t>
        </is>
      </c>
      <c r="G364" t="inlineStr">
        <is>
          <t>Larrainvial - Latin American Equity Fund I</t>
        </is>
      </c>
      <c r="H364" t="inlineStr">
        <is>
          <t>EM</t>
        </is>
      </c>
      <c r="I364" t="inlineStr"/>
      <c r="J364" t="inlineStr"/>
      <c r="K364" t="inlineStr">
        <is>
          <t>Weight</t>
        </is>
      </c>
      <c r="L364" t="n">
        <v>0.01724</v>
      </c>
    </row>
    <row r="365">
      <c r="A365" t="inlineStr">
        <is>
          <t>202606</t>
        </is>
      </c>
      <c r="B365" t="inlineStr">
        <is>
          <t>Actual</t>
        </is>
      </c>
      <c r="C365" t="inlineStr">
        <is>
          <t>Profuturo</t>
        </is>
      </c>
      <c r="D365" t="inlineStr">
        <is>
          <t>Instrumento</t>
        </is>
      </c>
      <c r="E365" t="inlineStr">
        <is>
          <t>Equities</t>
        </is>
      </c>
      <c r="F365" t="inlineStr">
        <is>
          <t>Active</t>
        </is>
      </c>
      <c r="G365" t="inlineStr">
        <is>
          <t>Larrainvial - Latin American Equity Fund I</t>
        </is>
      </c>
      <c r="H365" t="inlineStr">
        <is>
          <t>EM</t>
        </is>
      </c>
      <c r="I365" t="inlineStr"/>
      <c r="J365" t="inlineStr"/>
      <c r="K365" t="inlineStr">
        <is>
          <t>Intensidad</t>
        </is>
      </c>
      <c r="L365" t="n">
        <v>3.683262</v>
      </c>
    </row>
    <row r="366">
      <c r="A366" t="inlineStr">
        <is>
          <t>202606</t>
        </is>
      </c>
      <c r="B366" t="inlineStr">
        <is>
          <t>Actual</t>
        </is>
      </c>
      <c r="C366" t="inlineStr">
        <is>
          <t>Profuturo</t>
        </is>
      </c>
      <c r="D366" t="inlineStr">
        <is>
          <t>Instrumento</t>
        </is>
      </c>
      <c r="E366" t="inlineStr">
        <is>
          <t>Equities</t>
        </is>
      </c>
      <c r="F366" t="inlineStr">
        <is>
          <t>Active</t>
        </is>
      </c>
      <c r="G366" t="inlineStr">
        <is>
          <t>Larrainvial - Latin American Equity Fund I</t>
        </is>
      </c>
      <c r="H366" t="inlineStr">
        <is>
          <t>EM</t>
        </is>
      </c>
      <c r="I366" t="inlineStr"/>
      <c r="J366" t="inlineStr"/>
      <c r="K366" t="inlineStr">
        <is>
          <t>Weight</t>
        </is>
      </c>
      <c r="L366" t="n">
        <v>0.033028</v>
      </c>
    </row>
    <row r="367">
      <c r="A367" t="inlineStr">
        <is>
          <t>202606</t>
        </is>
      </c>
      <c r="B367" t="inlineStr">
        <is>
          <t>Actual</t>
        </is>
      </c>
      <c r="C367" t="inlineStr">
        <is>
          <t>Prima</t>
        </is>
      </c>
      <c r="D367" t="inlineStr">
        <is>
          <t>Instrumento</t>
        </is>
      </c>
      <c r="E367" t="inlineStr">
        <is>
          <t>Equities</t>
        </is>
      </c>
      <c r="F367" t="inlineStr">
        <is>
          <t>Passive</t>
        </is>
      </c>
      <c r="G367" t="inlineStr">
        <is>
          <t>State Street - S&amp;P Metals &amp; Mining ETF</t>
        </is>
      </c>
      <c r="H367" t="inlineStr">
        <is>
          <t>Commodities</t>
        </is>
      </c>
      <c r="I367" t="inlineStr"/>
      <c r="J367" t="inlineStr"/>
      <c r="K367" t="inlineStr">
        <is>
          <t>Intensidad</t>
        </is>
      </c>
      <c r="L367" t="n">
        <v>3.913665</v>
      </c>
    </row>
    <row r="368">
      <c r="A368" t="inlineStr">
        <is>
          <t>202606</t>
        </is>
      </c>
      <c r="B368" t="inlineStr">
        <is>
          <t>Actual</t>
        </is>
      </c>
      <c r="C368" t="inlineStr">
        <is>
          <t>Prima</t>
        </is>
      </c>
      <c r="D368" t="inlineStr">
        <is>
          <t>Instrumento</t>
        </is>
      </c>
      <c r="E368" t="inlineStr">
        <is>
          <t>Equities</t>
        </is>
      </c>
      <c r="F368" t="inlineStr">
        <is>
          <t>Passive</t>
        </is>
      </c>
      <c r="G368" t="inlineStr">
        <is>
          <t>State Street - S&amp;P Metals &amp; Mining ETF</t>
        </is>
      </c>
      <c r="H368" t="inlineStr">
        <is>
          <t>Commodities</t>
        </is>
      </c>
      <c r="I368" t="inlineStr"/>
      <c r="J368" t="inlineStr"/>
      <c r="K368" t="inlineStr">
        <is>
          <t>Weight</t>
        </is>
      </c>
      <c r="L368" t="n">
        <v>0.008378</v>
      </c>
    </row>
    <row r="369">
      <c r="A369" t="inlineStr">
        <is>
          <t>202606</t>
        </is>
      </c>
      <c r="B369" t="inlineStr">
        <is>
          <t>Actual</t>
        </is>
      </c>
      <c r="C369" t="inlineStr">
        <is>
          <t>Ex_Integra</t>
        </is>
      </c>
      <c r="D369" t="inlineStr">
        <is>
          <t>Instrumento</t>
        </is>
      </c>
      <c r="E369" t="inlineStr">
        <is>
          <t>Equities</t>
        </is>
      </c>
      <c r="F369" t="inlineStr">
        <is>
          <t>Passive</t>
        </is>
      </c>
      <c r="G369" t="inlineStr">
        <is>
          <t>VanEck - Gold Miners ETF</t>
        </is>
      </c>
      <c r="H369" t="inlineStr">
        <is>
          <t>Commodities</t>
        </is>
      </c>
      <c r="I369" t="inlineStr"/>
      <c r="J369" t="inlineStr"/>
      <c r="K369" t="inlineStr">
        <is>
          <t>Intensidad</t>
        </is>
      </c>
      <c r="L369" t="n">
        <v>2.512221</v>
      </c>
    </row>
    <row r="370">
      <c r="A370" t="inlineStr">
        <is>
          <t>202606</t>
        </is>
      </c>
      <c r="B370" t="inlineStr">
        <is>
          <t>Actual</t>
        </is>
      </c>
      <c r="C370" t="inlineStr">
        <is>
          <t>Ex_Integra</t>
        </is>
      </c>
      <c r="D370" t="inlineStr">
        <is>
          <t>Instrumento</t>
        </is>
      </c>
      <c r="E370" t="inlineStr">
        <is>
          <t>Equities</t>
        </is>
      </c>
      <c r="F370" t="inlineStr">
        <is>
          <t>Passive</t>
        </is>
      </c>
      <c r="G370" t="inlineStr">
        <is>
          <t>VanEck - Gold Miners ETF</t>
        </is>
      </c>
      <c r="H370" t="inlineStr">
        <is>
          <t>Commodities</t>
        </is>
      </c>
      <c r="I370" t="inlineStr"/>
      <c r="J370" t="inlineStr"/>
      <c r="K370" t="inlineStr">
        <is>
          <t>Weight</t>
        </is>
      </c>
      <c r="L370" t="n">
        <v>0.057348</v>
      </c>
    </row>
    <row r="371">
      <c r="A371" t="inlineStr">
        <is>
          <t>202606</t>
        </is>
      </c>
      <c r="B371" t="inlineStr">
        <is>
          <t>Actual</t>
        </is>
      </c>
      <c r="C371" t="inlineStr">
        <is>
          <t>Habitat</t>
        </is>
      </c>
      <c r="D371" t="inlineStr">
        <is>
          <t>Instrumento</t>
        </is>
      </c>
      <c r="E371" t="inlineStr">
        <is>
          <t>Equities</t>
        </is>
      </c>
      <c r="F371" t="inlineStr">
        <is>
          <t>Passive</t>
        </is>
      </c>
      <c r="G371" t="inlineStr">
        <is>
          <t>VanEck - Gold Miners ETF</t>
        </is>
      </c>
      <c r="H371" t="inlineStr">
        <is>
          <t>Commodities</t>
        </is>
      </c>
      <c r="I371" t="inlineStr"/>
      <c r="J371" t="inlineStr"/>
      <c r="K371" t="inlineStr">
        <is>
          <t>Intensidad</t>
        </is>
      </c>
      <c r="L371" t="n">
        <v>1.746844</v>
      </c>
    </row>
    <row r="372">
      <c r="A372" t="inlineStr">
        <is>
          <t>202606</t>
        </is>
      </c>
      <c r="B372" t="inlineStr">
        <is>
          <t>Actual</t>
        </is>
      </c>
      <c r="C372" t="inlineStr">
        <is>
          <t>Habitat</t>
        </is>
      </c>
      <c r="D372" t="inlineStr">
        <is>
          <t>Instrumento</t>
        </is>
      </c>
      <c r="E372" t="inlineStr">
        <is>
          <t>Equities</t>
        </is>
      </c>
      <c r="F372" t="inlineStr">
        <is>
          <t>Passive</t>
        </is>
      </c>
      <c r="G372" t="inlineStr">
        <is>
          <t>VanEck - Gold Miners ETF</t>
        </is>
      </c>
      <c r="H372" t="inlineStr">
        <is>
          <t>Commodities</t>
        </is>
      </c>
      <c r="I372" t="inlineStr"/>
      <c r="J372" t="inlineStr"/>
      <c r="K372" t="inlineStr">
        <is>
          <t>Weight</t>
        </is>
      </c>
      <c r="L372" t="n">
        <v>0.039877</v>
      </c>
    </row>
    <row r="373">
      <c r="A373" t="inlineStr">
        <is>
          <t>202606</t>
        </is>
      </c>
      <c r="B373" t="inlineStr">
        <is>
          <t>Actual</t>
        </is>
      </c>
      <c r="C373" t="inlineStr">
        <is>
          <t>Prima</t>
        </is>
      </c>
      <c r="D373" t="inlineStr">
        <is>
          <t>Instrumento</t>
        </is>
      </c>
      <c r="E373" t="inlineStr">
        <is>
          <t>Equities</t>
        </is>
      </c>
      <c r="F373" t="inlineStr">
        <is>
          <t>Passive</t>
        </is>
      </c>
      <c r="G373" t="inlineStr">
        <is>
          <t>VanEck - Gold Miners ETF</t>
        </is>
      </c>
      <c r="H373" t="inlineStr">
        <is>
          <t>Commodities</t>
        </is>
      </c>
      <c r="I373" t="inlineStr"/>
      <c r="J373" t="inlineStr"/>
      <c r="K373" t="inlineStr">
        <is>
          <t>Intensidad</t>
        </is>
      </c>
      <c r="L373" t="n">
        <v>1.340828</v>
      </c>
    </row>
    <row r="374">
      <c r="A374" t="inlineStr">
        <is>
          <t>202606</t>
        </is>
      </c>
      <c r="B374" t="inlineStr">
        <is>
          <t>Actual</t>
        </is>
      </c>
      <c r="C374" t="inlineStr">
        <is>
          <t>Prima</t>
        </is>
      </c>
      <c r="D374" t="inlineStr">
        <is>
          <t>Instrumento</t>
        </is>
      </c>
      <c r="E374" t="inlineStr">
        <is>
          <t>Equities</t>
        </is>
      </c>
      <c r="F374" t="inlineStr">
        <is>
          <t>Passive</t>
        </is>
      </c>
      <c r="G374" t="inlineStr">
        <is>
          <t>VanEck - Gold Miners ETF</t>
        </is>
      </c>
      <c r="H374" t="inlineStr">
        <is>
          <t>Commodities</t>
        </is>
      </c>
      <c r="I374" t="inlineStr"/>
      <c r="J374" t="inlineStr"/>
      <c r="K374" t="inlineStr">
        <is>
          <t>Weight</t>
        </is>
      </c>
      <c r="L374" t="n">
        <v>0.030608</v>
      </c>
    </row>
    <row r="375">
      <c r="A375" t="inlineStr">
        <is>
          <t>202606</t>
        </is>
      </c>
      <c r="B375" t="inlineStr">
        <is>
          <t>Actual</t>
        </is>
      </c>
      <c r="C375" t="inlineStr">
        <is>
          <t>Profuturo</t>
        </is>
      </c>
      <c r="D375" t="inlineStr">
        <is>
          <t>Instrumento</t>
        </is>
      </c>
      <c r="E375" t="inlineStr">
        <is>
          <t>Equities</t>
        </is>
      </c>
      <c r="F375" t="inlineStr">
        <is>
          <t>Passive</t>
        </is>
      </c>
      <c r="G375" t="inlineStr">
        <is>
          <t>VanEck - Gold Miners ETF</t>
        </is>
      </c>
      <c r="H375" t="inlineStr">
        <is>
          <t>Commodities</t>
        </is>
      </c>
      <c r="I375" t="inlineStr"/>
      <c r="J375" t="inlineStr"/>
      <c r="K375" t="inlineStr">
        <is>
          <t>Intensidad</t>
        </is>
      </c>
      <c r="L375" t="n">
        <v>4.537427</v>
      </c>
    </row>
    <row r="376">
      <c r="A376" t="inlineStr">
        <is>
          <t>202606</t>
        </is>
      </c>
      <c r="B376" t="inlineStr">
        <is>
          <t>Actual</t>
        </is>
      </c>
      <c r="C376" t="inlineStr">
        <is>
          <t>Profuturo</t>
        </is>
      </c>
      <c r="D376" t="inlineStr">
        <is>
          <t>Instrumento</t>
        </is>
      </c>
      <c r="E376" t="inlineStr">
        <is>
          <t>Equities</t>
        </is>
      </c>
      <c r="F376" t="inlineStr">
        <is>
          <t>Passive</t>
        </is>
      </c>
      <c r="G376" t="inlineStr">
        <is>
          <t>VanEck - Gold Miners ETF</t>
        </is>
      </c>
      <c r="H376" t="inlineStr">
        <is>
          <t>Commodities</t>
        </is>
      </c>
      <c r="I376" t="inlineStr"/>
      <c r="J376" t="inlineStr"/>
      <c r="K376" t="inlineStr">
        <is>
          <t>Weight</t>
        </is>
      </c>
      <c r="L376" t="n">
        <v>0.103579</v>
      </c>
    </row>
    <row r="377">
      <c r="A377" t="inlineStr">
        <is>
          <t>202606</t>
        </is>
      </c>
      <c r="B377" t="inlineStr">
        <is>
          <t>Actual</t>
        </is>
      </c>
      <c r="C377" t="inlineStr">
        <is>
          <t>Habitat</t>
        </is>
      </c>
      <c r="D377" t="inlineStr">
        <is>
          <t>Instrumento</t>
        </is>
      </c>
      <c r="E377" t="inlineStr">
        <is>
          <t>Fixed Income</t>
        </is>
      </c>
      <c r="F377" t="inlineStr">
        <is>
          <t>Passive</t>
        </is>
      </c>
      <c r="G377" t="inlineStr">
        <is>
          <t>BlackRock - iShares JP Morgan USD EM Bond ETF</t>
        </is>
      </c>
      <c r="H377" t="inlineStr">
        <is>
          <t>EM</t>
        </is>
      </c>
      <c r="I377" t="inlineStr"/>
      <c r="J377" t="inlineStr"/>
      <c r="K377" t="inlineStr">
        <is>
          <t>Intensidad</t>
        </is>
      </c>
      <c r="L377" t="n">
        <v>5.147365</v>
      </c>
    </row>
    <row r="378">
      <c r="A378" t="inlineStr">
        <is>
          <t>202606</t>
        </is>
      </c>
      <c r="B378" t="inlineStr">
        <is>
          <t>Actual</t>
        </is>
      </c>
      <c r="C378" t="inlineStr">
        <is>
          <t>Habitat</t>
        </is>
      </c>
      <c r="D378" t="inlineStr">
        <is>
          <t>Instrumento</t>
        </is>
      </c>
      <c r="E378" t="inlineStr">
        <is>
          <t>Fixed Income</t>
        </is>
      </c>
      <c r="F378" t="inlineStr">
        <is>
          <t>Passive</t>
        </is>
      </c>
      <c r="G378" t="inlineStr">
        <is>
          <t>BlackRock - iShares JP Morgan USD EM Bond ETF</t>
        </is>
      </c>
      <c r="H378" t="inlineStr">
        <is>
          <t>EM</t>
        </is>
      </c>
      <c r="I378" t="inlineStr"/>
      <c r="J378" t="inlineStr"/>
      <c r="K378" t="inlineStr">
        <is>
          <t>Weight</t>
        </is>
      </c>
      <c r="L378" t="n">
        <v>0.013421</v>
      </c>
    </row>
    <row r="379">
      <c r="A379" t="inlineStr">
        <is>
          <t>202606</t>
        </is>
      </c>
      <c r="B379" t="inlineStr">
        <is>
          <t>Actual</t>
        </is>
      </c>
      <c r="C379" t="inlineStr">
        <is>
          <t>Habitat</t>
        </is>
      </c>
      <c r="D379" t="inlineStr">
        <is>
          <t>Instrumento</t>
        </is>
      </c>
      <c r="E379" t="inlineStr">
        <is>
          <t>Fixed Income</t>
        </is>
      </c>
      <c r="F379" t="inlineStr">
        <is>
          <t>Passive</t>
        </is>
      </c>
      <c r="G379" t="inlineStr">
        <is>
          <t>BlackRock - iShares iBoxx High Yield Corporate Bond</t>
        </is>
      </c>
      <c r="H379" t="inlineStr">
        <is>
          <t>HY</t>
        </is>
      </c>
      <c r="I379" t="inlineStr"/>
      <c r="J379" t="inlineStr"/>
      <c r="K379" t="inlineStr">
        <is>
          <t>Intensidad</t>
        </is>
      </c>
      <c r="L379" t="n">
        <v>5.543094</v>
      </c>
    </row>
    <row r="380">
      <c r="A380" t="inlineStr">
        <is>
          <t>202606</t>
        </is>
      </c>
      <c r="B380" t="inlineStr">
        <is>
          <t>Actual</t>
        </is>
      </c>
      <c r="C380" t="inlineStr">
        <is>
          <t>Habitat</t>
        </is>
      </c>
      <c r="D380" t="inlineStr">
        <is>
          <t>Instrumento</t>
        </is>
      </c>
      <c r="E380" t="inlineStr">
        <is>
          <t>Fixed Income</t>
        </is>
      </c>
      <c r="F380" t="inlineStr">
        <is>
          <t>Passive</t>
        </is>
      </c>
      <c r="G380" t="inlineStr">
        <is>
          <t>BlackRock - iShares iBoxx High Yield Corporate Bond</t>
        </is>
      </c>
      <c r="H380" t="inlineStr">
        <is>
          <t>HY</t>
        </is>
      </c>
      <c r="I380" t="inlineStr"/>
      <c r="J380" t="inlineStr"/>
      <c r="K380" t="inlineStr">
        <is>
          <t>Weight</t>
        </is>
      </c>
      <c r="L380" t="n">
        <v>0.057687</v>
      </c>
    </row>
    <row r="381">
      <c r="A381" t="inlineStr">
        <is>
          <t>202606</t>
        </is>
      </c>
      <c r="B381" t="inlineStr">
        <is>
          <t>Actual</t>
        </is>
      </c>
      <c r="C381" t="inlineStr">
        <is>
          <t>Profuturo</t>
        </is>
      </c>
      <c r="D381" t="inlineStr">
        <is>
          <t>Instrumento</t>
        </is>
      </c>
      <c r="E381" t="inlineStr">
        <is>
          <t>Fixed Income</t>
        </is>
      </c>
      <c r="F381" t="inlineStr">
        <is>
          <t>Passive</t>
        </is>
      </c>
      <c r="G381" t="inlineStr">
        <is>
          <t>BlackRock - iShares iBoxx High Yield Corporate Bond</t>
        </is>
      </c>
      <c r="H381" t="inlineStr">
        <is>
          <t>HY</t>
        </is>
      </c>
      <c r="I381" t="inlineStr"/>
      <c r="J381" t="inlineStr"/>
      <c r="K381" t="inlineStr">
        <is>
          <t>Intensidad</t>
        </is>
      </c>
      <c r="L381" t="n">
        <v>4.814501</v>
      </c>
    </row>
    <row r="382">
      <c r="A382" t="inlineStr">
        <is>
          <t>202606</t>
        </is>
      </c>
      <c r="B382" t="inlineStr">
        <is>
          <t>Actual</t>
        </is>
      </c>
      <c r="C382" t="inlineStr">
        <is>
          <t>Profuturo</t>
        </is>
      </c>
      <c r="D382" t="inlineStr">
        <is>
          <t>Instrumento</t>
        </is>
      </c>
      <c r="E382" t="inlineStr">
        <is>
          <t>Fixed Income</t>
        </is>
      </c>
      <c r="F382" t="inlineStr">
        <is>
          <t>Passive</t>
        </is>
      </c>
      <c r="G382" t="inlineStr">
        <is>
          <t>BlackRock - iShares iBoxx High Yield Corporate Bond</t>
        </is>
      </c>
      <c r="H382" t="inlineStr">
        <is>
          <t>HY</t>
        </is>
      </c>
      <c r="I382" t="inlineStr"/>
      <c r="J382" t="inlineStr"/>
      <c r="K382" t="inlineStr">
        <is>
          <t>Weight</t>
        </is>
      </c>
      <c r="L382" t="n">
        <v>0.050105</v>
      </c>
    </row>
    <row r="383">
      <c r="A383" t="inlineStr">
        <is>
          <t>202606</t>
        </is>
      </c>
      <c r="B383" t="inlineStr">
        <is>
          <t>Actual</t>
        </is>
      </c>
      <c r="C383" t="inlineStr">
        <is>
          <t>Habitat</t>
        </is>
      </c>
      <c r="D383" t="inlineStr">
        <is>
          <t>Instrumento</t>
        </is>
      </c>
      <c r="E383" t="inlineStr">
        <is>
          <t>Fixed Income</t>
        </is>
      </c>
      <c r="F383" t="inlineStr">
        <is>
          <t>Active</t>
        </is>
      </c>
      <c r="G383" t="inlineStr">
        <is>
          <t>BlueBay - EM Debt Unconstrained</t>
        </is>
      </c>
      <c r="H383" t="inlineStr">
        <is>
          <t>EM</t>
        </is>
      </c>
      <c r="I383" t="inlineStr"/>
      <c r="J383" t="inlineStr"/>
      <c r="K383" t="inlineStr">
        <is>
          <t>Intensidad</t>
        </is>
      </c>
      <c r="L383" t="n">
        <v>5.135871</v>
      </c>
    </row>
    <row r="384">
      <c r="A384" t="inlineStr">
        <is>
          <t>202606</t>
        </is>
      </c>
      <c r="B384" t="inlineStr">
        <is>
          <t>Actual</t>
        </is>
      </c>
      <c r="C384" t="inlineStr">
        <is>
          <t>Habitat</t>
        </is>
      </c>
      <c r="D384" t="inlineStr">
        <is>
          <t>Instrumento</t>
        </is>
      </c>
      <c r="E384" t="inlineStr">
        <is>
          <t>Fixed Income</t>
        </is>
      </c>
      <c r="F384" t="inlineStr">
        <is>
          <t>Active</t>
        </is>
      </c>
      <c r="G384" t="inlineStr">
        <is>
          <t>BlueBay - EM Debt Unconstrained</t>
        </is>
      </c>
      <c r="H384" t="inlineStr">
        <is>
          <t>EM</t>
        </is>
      </c>
      <c r="I384" t="inlineStr"/>
      <c r="J384" t="inlineStr"/>
      <c r="K384" t="inlineStr">
        <is>
          <t>Weight</t>
        </is>
      </c>
      <c r="L384" t="n">
        <v>0.018826</v>
      </c>
    </row>
    <row r="385">
      <c r="A385" t="inlineStr">
        <is>
          <t>202606</t>
        </is>
      </c>
      <c r="B385" t="inlineStr">
        <is>
          <t>Actual</t>
        </is>
      </c>
      <c r="C385" t="inlineStr">
        <is>
          <t>Profuturo</t>
        </is>
      </c>
      <c r="D385" t="inlineStr">
        <is>
          <t>Instrumento</t>
        </is>
      </c>
      <c r="E385" t="inlineStr">
        <is>
          <t>Fixed Income</t>
        </is>
      </c>
      <c r="F385" t="inlineStr">
        <is>
          <t>Active</t>
        </is>
      </c>
      <c r="G385" t="inlineStr">
        <is>
          <t>BlueBay - EM Debt Unconstrained</t>
        </is>
      </c>
      <c r="H385" t="inlineStr">
        <is>
          <t>EM</t>
        </is>
      </c>
      <c r="I385" t="inlineStr"/>
      <c r="J385" t="inlineStr"/>
      <c r="K385" t="inlineStr">
        <is>
          <t>Intensidad</t>
        </is>
      </c>
      <c r="L385" t="n">
        <v>3.646452</v>
      </c>
    </row>
    <row r="386">
      <c r="A386" t="inlineStr">
        <is>
          <t>202606</t>
        </is>
      </c>
      <c r="B386" t="inlineStr">
        <is>
          <t>Actual</t>
        </is>
      </c>
      <c r="C386" t="inlineStr">
        <is>
          <t>Profuturo</t>
        </is>
      </c>
      <c r="D386" t="inlineStr">
        <is>
          <t>Instrumento</t>
        </is>
      </c>
      <c r="E386" t="inlineStr">
        <is>
          <t>Fixed Income</t>
        </is>
      </c>
      <c r="F386" t="inlineStr">
        <is>
          <t>Active</t>
        </is>
      </c>
      <c r="G386" t="inlineStr">
        <is>
          <t>BlueBay - EM Debt Unconstrained</t>
        </is>
      </c>
      <c r="H386" t="inlineStr">
        <is>
          <t>EM</t>
        </is>
      </c>
      <c r="I386" t="inlineStr"/>
      <c r="J386" t="inlineStr"/>
      <c r="K386" t="inlineStr">
        <is>
          <t>Weight</t>
        </is>
      </c>
      <c r="L386" t="n">
        <v>0.013367</v>
      </c>
    </row>
    <row r="387">
      <c r="A387" t="inlineStr">
        <is>
          <t>202606</t>
        </is>
      </c>
      <c r="B387" t="inlineStr">
        <is>
          <t>Actual</t>
        </is>
      </c>
      <c r="C387" t="inlineStr">
        <is>
          <t>Ex_Integra</t>
        </is>
      </c>
      <c r="D387" t="inlineStr">
        <is>
          <t>Instrumento</t>
        </is>
      </c>
      <c r="E387" t="inlineStr">
        <is>
          <t>Fixed Income</t>
        </is>
      </c>
      <c r="F387" t="inlineStr">
        <is>
          <t>Active</t>
        </is>
      </c>
      <c r="G387" t="inlineStr">
        <is>
          <t>Colchester Local Markets Bond Fund USD Unhedged</t>
        </is>
      </c>
      <c r="H387" t="inlineStr">
        <is>
          <t>EM</t>
        </is>
      </c>
      <c r="I387" t="inlineStr"/>
      <c r="J387" t="inlineStr"/>
      <c r="K387" t="inlineStr">
        <is>
          <t>Intensidad</t>
        </is>
      </c>
      <c r="L387" t="n">
        <v>3.798712</v>
      </c>
    </row>
    <row r="388">
      <c r="A388" t="inlineStr">
        <is>
          <t>202606</t>
        </is>
      </c>
      <c r="B388" t="inlineStr">
        <is>
          <t>Actual</t>
        </is>
      </c>
      <c r="C388" t="inlineStr">
        <is>
          <t>Ex_Integra</t>
        </is>
      </c>
      <c r="D388" t="inlineStr">
        <is>
          <t>Instrumento</t>
        </is>
      </c>
      <c r="E388" t="inlineStr">
        <is>
          <t>Fixed Income</t>
        </is>
      </c>
      <c r="F388" t="inlineStr">
        <is>
          <t>Active</t>
        </is>
      </c>
      <c r="G388" t="inlineStr">
        <is>
          <t>Colchester Local Markets Bond Fund USD Unhedged</t>
        </is>
      </c>
      <c r="H388" t="inlineStr">
        <is>
          <t>EM</t>
        </is>
      </c>
      <c r="I388" t="inlineStr"/>
      <c r="J388" t="inlineStr"/>
      <c r="K388" t="inlineStr">
        <is>
          <t>Weight</t>
        </is>
      </c>
      <c r="L388" t="n">
        <v>0.005073</v>
      </c>
    </row>
    <row r="389">
      <c r="A389" t="inlineStr">
        <is>
          <t>202606</t>
        </is>
      </c>
      <c r="B389" t="inlineStr">
        <is>
          <t>Actual</t>
        </is>
      </c>
      <c r="C389" t="inlineStr">
        <is>
          <t>Prima</t>
        </is>
      </c>
      <c r="D389" t="inlineStr">
        <is>
          <t>Instrumento</t>
        </is>
      </c>
      <c r="E389" t="inlineStr">
        <is>
          <t>Fixed Income</t>
        </is>
      </c>
      <c r="F389" t="inlineStr">
        <is>
          <t>Active</t>
        </is>
      </c>
      <c r="G389" t="inlineStr">
        <is>
          <t>Colchester Local Markets Bond Fund USD Unhedged</t>
        </is>
      </c>
      <c r="H389" t="inlineStr">
        <is>
          <t>EM</t>
        </is>
      </c>
      <c r="I389" t="inlineStr"/>
      <c r="J389" t="inlineStr"/>
      <c r="K389" t="inlineStr">
        <is>
          <t>Intensidad</t>
        </is>
      </c>
      <c r="L389" t="n">
        <v>7.633096</v>
      </c>
    </row>
    <row r="390">
      <c r="A390" t="inlineStr">
        <is>
          <t>202606</t>
        </is>
      </c>
      <c r="B390" t="inlineStr">
        <is>
          <t>Actual</t>
        </is>
      </c>
      <c r="C390" t="inlineStr">
        <is>
          <t>Prima</t>
        </is>
      </c>
      <c r="D390" t="inlineStr">
        <is>
          <t>Instrumento</t>
        </is>
      </c>
      <c r="E390" t="inlineStr">
        <is>
          <t>Fixed Income</t>
        </is>
      </c>
      <c r="F390" t="inlineStr">
        <is>
          <t>Active</t>
        </is>
      </c>
      <c r="G390" t="inlineStr">
        <is>
          <t>Colchester Local Markets Bond Fund USD Unhedged</t>
        </is>
      </c>
      <c r="H390" t="inlineStr">
        <is>
          <t>EM</t>
        </is>
      </c>
      <c r="I390" t="inlineStr"/>
      <c r="J390" t="inlineStr"/>
      <c r="K390" t="inlineStr">
        <is>
          <t>Weight</t>
        </is>
      </c>
      <c r="L390" t="n">
        <v>0.010193</v>
      </c>
    </row>
    <row r="391">
      <c r="A391" t="inlineStr">
        <is>
          <t>202606</t>
        </is>
      </c>
      <c r="B391" t="inlineStr">
        <is>
          <t>Actual</t>
        </is>
      </c>
      <c r="C391" t="inlineStr">
        <is>
          <t>Ex_Integra</t>
        </is>
      </c>
      <c r="D391" t="inlineStr">
        <is>
          <t>Instrumento</t>
        </is>
      </c>
      <c r="E391" t="inlineStr">
        <is>
          <t>Fixed Income</t>
        </is>
      </c>
      <c r="F391" t="inlineStr">
        <is>
          <t>Active</t>
        </is>
      </c>
      <c r="G391" t="inlineStr">
        <is>
          <t>Edmond de Rothschild - Corp EM Debt USD</t>
        </is>
      </c>
      <c r="H391" t="inlineStr">
        <is>
          <t>EM</t>
        </is>
      </c>
      <c r="I391" t="inlineStr"/>
      <c r="J391" t="inlineStr"/>
      <c r="K391" t="inlineStr">
        <is>
          <t>Intensidad</t>
        </is>
      </c>
      <c r="L391" t="n">
        <v>3.489183</v>
      </c>
    </row>
    <row r="392">
      <c r="A392" t="inlineStr">
        <is>
          <t>202606</t>
        </is>
      </c>
      <c r="B392" t="inlineStr">
        <is>
          <t>Actual</t>
        </is>
      </c>
      <c r="C392" t="inlineStr">
        <is>
          <t>Ex_Integra</t>
        </is>
      </c>
      <c r="D392" t="inlineStr">
        <is>
          <t>Instrumento</t>
        </is>
      </c>
      <c r="E392" t="inlineStr">
        <is>
          <t>Fixed Income</t>
        </is>
      </c>
      <c r="F392" t="inlineStr">
        <is>
          <t>Active</t>
        </is>
      </c>
      <c r="G392" t="inlineStr">
        <is>
          <t>Edmond de Rothschild - Corp EM Debt USD</t>
        </is>
      </c>
      <c r="H392" t="inlineStr">
        <is>
          <t>EM</t>
        </is>
      </c>
      <c r="I392" t="inlineStr"/>
      <c r="J392" t="inlineStr"/>
      <c r="K392" t="inlineStr">
        <is>
          <t>Weight</t>
        </is>
      </c>
      <c r="L392" t="n">
        <v>0.01007</v>
      </c>
    </row>
    <row r="393">
      <c r="A393" t="inlineStr">
        <is>
          <t>202606</t>
        </is>
      </c>
      <c r="B393" t="inlineStr">
        <is>
          <t>Actual</t>
        </is>
      </c>
      <c r="C393" t="inlineStr">
        <is>
          <t>Habitat</t>
        </is>
      </c>
      <c r="D393" t="inlineStr">
        <is>
          <t>Instrumento</t>
        </is>
      </c>
      <c r="E393" t="inlineStr">
        <is>
          <t>Fixed Income</t>
        </is>
      </c>
      <c r="F393" t="inlineStr">
        <is>
          <t>Active</t>
        </is>
      </c>
      <c r="G393" t="inlineStr">
        <is>
          <t>Edmond de Rothschild - Corp EM Debt USD</t>
        </is>
      </c>
      <c r="H393" t="inlineStr">
        <is>
          <t>EM</t>
        </is>
      </c>
      <c r="I393" t="inlineStr"/>
      <c r="J393" t="inlineStr"/>
      <c r="K393" t="inlineStr">
        <is>
          <t>Intensidad</t>
        </is>
      </c>
      <c r="L393" t="n">
        <v>6.001644</v>
      </c>
    </row>
    <row r="394">
      <c r="A394" t="inlineStr">
        <is>
          <t>202606</t>
        </is>
      </c>
      <c r="B394" t="inlineStr">
        <is>
          <t>Actual</t>
        </is>
      </c>
      <c r="C394" t="inlineStr">
        <is>
          <t>Habitat</t>
        </is>
      </c>
      <c r="D394" t="inlineStr">
        <is>
          <t>Instrumento</t>
        </is>
      </c>
      <c r="E394" t="inlineStr">
        <is>
          <t>Fixed Income</t>
        </is>
      </c>
      <c r="F394" t="inlineStr">
        <is>
          <t>Active</t>
        </is>
      </c>
      <c r="G394" t="inlineStr">
        <is>
          <t>Edmond de Rothschild - Corp EM Debt USD</t>
        </is>
      </c>
      <c r="H394" t="inlineStr">
        <is>
          <t>EM</t>
        </is>
      </c>
      <c r="I394" t="inlineStr"/>
      <c r="J394" t="inlineStr"/>
      <c r="K394" t="inlineStr">
        <is>
          <t>Weight</t>
        </is>
      </c>
      <c r="L394" t="n">
        <v>0.017321</v>
      </c>
    </row>
    <row r="395">
      <c r="A395" t="inlineStr">
        <is>
          <t>202606</t>
        </is>
      </c>
      <c r="B395" t="inlineStr">
        <is>
          <t>Actual</t>
        </is>
      </c>
      <c r="C395" t="inlineStr">
        <is>
          <t>Prima</t>
        </is>
      </c>
      <c r="D395" t="inlineStr">
        <is>
          <t>Instrumento</t>
        </is>
      </c>
      <c r="E395" t="inlineStr">
        <is>
          <t>Fixed Income</t>
        </is>
      </c>
      <c r="F395" t="inlineStr">
        <is>
          <t>Active</t>
        </is>
      </c>
      <c r="G395" t="inlineStr">
        <is>
          <t>Edmond de Rothschild - Corp EM Debt USD</t>
        </is>
      </c>
      <c r="H395" t="inlineStr">
        <is>
          <t>EM</t>
        </is>
      </c>
      <c r="I395" t="inlineStr"/>
      <c r="J395" t="inlineStr"/>
      <c r="K395" t="inlineStr">
        <is>
          <t>Intensidad</t>
        </is>
      </c>
      <c r="L395" t="n">
        <v>5.348499</v>
      </c>
    </row>
    <row r="396">
      <c r="A396" t="inlineStr">
        <is>
          <t>202606</t>
        </is>
      </c>
      <c r="B396" t="inlineStr">
        <is>
          <t>Actual</t>
        </is>
      </c>
      <c r="C396" t="inlineStr">
        <is>
          <t>Prima</t>
        </is>
      </c>
      <c r="D396" t="inlineStr">
        <is>
          <t>Instrumento</t>
        </is>
      </c>
      <c r="E396" t="inlineStr">
        <is>
          <t>Fixed Income</t>
        </is>
      </c>
      <c r="F396" t="inlineStr">
        <is>
          <t>Active</t>
        </is>
      </c>
      <c r="G396" t="inlineStr">
        <is>
          <t>Edmond de Rothschild - Corp EM Debt USD</t>
        </is>
      </c>
      <c r="H396" t="inlineStr">
        <is>
          <t>EM</t>
        </is>
      </c>
      <c r="I396" t="inlineStr"/>
      <c r="J396" t="inlineStr"/>
      <c r="K396" t="inlineStr">
        <is>
          <t>Weight</t>
        </is>
      </c>
      <c r="L396" t="n">
        <v>0.015436</v>
      </c>
    </row>
    <row r="397">
      <c r="A397" t="inlineStr">
        <is>
          <t>202606</t>
        </is>
      </c>
      <c r="B397" t="inlineStr">
        <is>
          <t>Actual</t>
        </is>
      </c>
      <c r="C397" t="inlineStr">
        <is>
          <t>Ex_Integra</t>
        </is>
      </c>
      <c r="D397" t="inlineStr">
        <is>
          <t>Instrumento</t>
        </is>
      </c>
      <c r="E397" t="inlineStr">
        <is>
          <t>Fixed Income</t>
        </is>
      </c>
      <c r="F397" t="inlineStr">
        <is>
          <t>Active</t>
        </is>
      </c>
      <c r="G397" t="inlineStr">
        <is>
          <t>Jupiter - Bonds Global High Yield</t>
        </is>
      </c>
      <c r="H397" t="inlineStr">
        <is>
          <t>HY</t>
        </is>
      </c>
      <c r="I397" t="inlineStr"/>
      <c r="J397" t="inlineStr"/>
      <c r="K397" t="inlineStr">
        <is>
          <t>Intensidad</t>
        </is>
      </c>
      <c r="L397" t="n">
        <v>4.113034</v>
      </c>
    </row>
    <row r="398">
      <c r="A398" t="inlineStr">
        <is>
          <t>202606</t>
        </is>
      </c>
      <c r="B398" t="inlineStr">
        <is>
          <t>Actual</t>
        </is>
      </c>
      <c r="C398" t="inlineStr">
        <is>
          <t>Ex_Integra</t>
        </is>
      </c>
      <c r="D398" t="inlineStr">
        <is>
          <t>Instrumento</t>
        </is>
      </c>
      <c r="E398" t="inlineStr">
        <is>
          <t>Fixed Income</t>
        </is>
      </c>
      <c r="F398" t="inlineStr">
        <is>
          <t>Active</t>
        </is>
      </c>
      <c r="G398" t="inlineStr">
        <is>
          <t>Jupiter - Bonds Global High Yield</t>
        </is>
      </c>
      <c r="H398" t="inlineStr">
        <is>
          <t>HY</t>
        </is>
      </c>
      <c r="I398" t="inlineStr"/>
      <c r="J398" t="inlineStr"/>
      <c r="K398" t="inlineStr">
        <is>
          <t>Weight</t>
        </is>
      </c>
      <c r="L398" t="n">
        <v>0.01447</v>
      </c>
    </row>
    <row r="399">
      <c r="A399" t="inlineStr">
        <is>
          <t>202606</t>
        </is>
      </c>
      <c r="B399" t="inlineStr">
        <is>
          <t>Actual</t>
        </is>
      </c>
      <c r="C399" t="inlineStr">
        <is>
          <t>Habitat</t>
        </is>
      </c>
      <c r="D399" t="inlineStr">
        <is>
          <t>Instrumento</t>
        </is>
      </c>
      <c r="E399" t="inlineStr">
        <is>
          <t>Fixed Income</t>
        </is>
      </c>
      <c r="F399" t="inlineStr">
        <is>
          <t>Active</t>
        </is>
      </c>
      <c r="G399" t="inlineStr">
        <is>
          <t>Jupiter - Bonds Global High Yield</t>
        </is>
      </c>
      <c r="H399" t="inlineStr">
        <is>
          <t>HY</t>
        </is>
      </c>
      <c r="I399" t="inlineStr"/>
      <c r="J399" t="inlineStr"/>
      <c r="K399" t="inlineStr">
        <is>
          <t>Intensidad</t>
        </is>
      </c>
      <c r="L399" t="n">
        <v>16.47913</v>
      </c>
    </row>
    <row r="400">
      <c r="A400" t="inlineStr">
        <is>
          <t>202606</t>
        </is>
      </c>
      <c r="B400" t="inlineStr">
        <is>
          <t>Actual</t>
        </is>
      </c>
      <c r="C400" t="inlineStr">
        <is>
          <t>Habitat</t>
        </is>
      </c>
      <c r="D400" t="inlineStr">
        <is>
          <t>Instrumento</t>
        </is>
      </c>
      <c r="E400" t="inlineStr">
        <is>
          <t>Fixed Income</t>
        </is>
      </c>
      <c r="F400" t="inlineStr">
        <is>
          <t>Active</t>
        </is>
      </c>
      <c r="G400" t="inlineStr">
        <is>
          <t>Jupiter - Bonds Global High Yield</t>
        </is>
      </c>
      <c r="H400" t="inlineStr">
        <is>
          <t>HY</t>
        </is>
      </c>
      <c r="I400" t="inlineStr"/>
      <c r="J400" t="inlineStr"/>
      <c r="K400" t="inlineStr">
        <is>
          <t>Weight</t>
        </is>
      </c>
      <c r="L400" t="n">
        <v>0.057977</v>
      </c>
    </row>
    <row r="401">
      <c r="A401" t="inlineStr">
        <is>
          <t>202606</t>
        </is>
      </c>
      <c r="B401" t="inlineStr">
        <is>
          <t>Actual</t>
        </is>
      </c>
      <c r="C401" t="inlineStr">
        <is>
          <t>Prima</t>
        </is>
      </c>
      <c r="D401" t="inlineStr">
        <is>
          <t>Instrumento</t>
        </is>
      </c>
      <c r="E401" t="inlineStr">
        <is>
          <t>Fixed Income</t>
        </is>
      </c>
      <c r="F401" t="inlineStr">
        <is>
          <t>Active</t>
        </is>
      </c>
      <c r="G401" t="inlineStr">
        <is>
          <t>Lemaik - Local Bonds</t>
        </is>
      </c>
      <c r="H401" t="inlineStr">
        <is>
          <t>EM</t>
        </is>
      </c>
      <c r="I401" t="inlineStr"/>
      <c r="J401" t="inlineStr"/>
      <c r="K401" t="inlineStr">
        <is>
          <t>Intensidad</t>
        </is>
      </c>
      <c r="L401" t="n">
        <v>3.750202</v>
      </c>
    </row>
    <row r="402">
      <c r="A402" t="inlineStr">
        <is>
          <t>202606</t>
        </is>
      </c>
      <c r="B402" t="inlineStr">
        <is>
          <t>Actual</t>
        </is>
      </c>
      <c r="C402" t="inlineStr">
        <is>
          <t>Prima</t>
        </is>
      </c>
      <c r="D402" t="inlineStr">
        <is>
          <t>Instrumento</t>
        </is>
      </c>
      <c r="E402" t="inlineStr">
        <is>
          <t>Fixed Income</t>
        </is>
      </c>
      <c r="F402" t="inlineStr">
        <is>
          <t>Active</t>
        </is>
      </c>
      <c r="G402" t="inlineStr">
        <is>
          <t>Lemaik - Local Bonds</t>
        </is>
      </c>
      <c r="H402" t="inlineStr">
        <is>
          <t>EM</t>
        </is>
      </c>
      <c r="I402" t="inlineStr"/>
      <c r="J402" t="inlineStr"/>
      <c r="K402" t="inlineStr">
        <is>
          <t>Weight</t>
        </is>
      </c>
      <c r="L402" t="n">
        <v>0.033628</v>
      </c>
    </row>
    <row r="403">
      <c r="A403" t="inlineStr">
        <is>
          <t>202606</t>
        </is>
      </c>
      <c r="B403" t="inlineStr">
        <is>
          <t>Actual</t>
        </is>
      </c>
      <c r="C403" t="inlineStr">
        <is>
          <t>Profuturo</t>
        </is>
      </c>
      <c r="D403" t="inlineStr">
        <is>
          <t>Instrumento</t>
        </is>
      </c>
      <c r="E403" t="inlineStr">
        <is>
          <t>Fixed Income</t>
        </is>
      </c>
      <c r="F403" t="inlineStr">
        <is>
          <t>Active</t>
        </is>
      </c>
      <c r="G403" t="inlineStr">
        <is>
          <t>Lemaik - Local Bonds</t>
        </is>
      </c>
      <c r="H403" t="inlineStr">
        <is>
          <t>EM</t>
        </is>
      </c>
      <c r="I403" t="inlineStr"/>
      <c r="J403" t="inlineStr"/>
      <c r="K403" t="inlineStr">
        <is>
          <t>Intensidad</t>
        </is>
      </c>
      <c r="L403" t="n">
        <v>3.480675</v>
      </c>
    </row>
    <row r="404">
      <c r="A404" t="inlineStr">
        <is>
          <t>202606</t>
        </is>
      </c>
      <c r="B404" t="inlineStr">
        <is>
          <t>Actual</t>
        </is>
      </c>
      <c r="C404" t="inlineStr">
        <is>
          <t>Profuturo</t>
        </is>
      </c>
      <c r="D404" t="inlineStr">
        <is>
          <t>Instrumento</t>
        </is>
      </c>
      <c r="E404" t="inlineStr">
        <is>
          <t>Fixed Income</t>
        </is>
      </c>
      <c r="F404" t="inlineStr">
        <is>
          <t>Active</t>
        </is>
      </c>
      <c r="G404" t="inlineStr">
        <is>
          <t>Lemaik - Local Bonds</t>
        </is>
      </c>
      <c r="H404" t="inlineStr">
        <is>
          <t>EM</t>
        </is>
      </c>
      <c r="I404" t="inlineStr"/>
      <c r="J404" t="inlineStr"/>
      <c r="K404" t="inlineStr">
        <is>
          <t>Weight</t>
        </is>
      </c>
      <c r="L404" t="n">
        <v>0.031211</v>
      </c>
    </row>
    <row r="405">
      <c r="A405" t="inlineStr">
        <is>
          <t>202606</t>
        </is>
      </c>
      <c r="B405" t="inlineStr">
        <is>
          <t>Actual</t>
        </is>
      </c>
      <c r="C405" t="inlineStr">
        <is>
          <t>Integra</t>
        </is>
      </c>
      <c r="D405" t="inlineStr">
        <is>
          <t>Instrumento</t>
        </is>
      </c>
      <c r="E405" t="inlineStr">
        <is>
          <t>Fixed Income</t>
        </is>
      </c>
      <c r="F405" t="inlineStr">
        <is>
          <t>Active</t>
        </is>
      </c>
      <c r="G405" t="inlineStr">
        <is>
          <t>Moneda - Deuda Latam LCC</t>
        </is>
      </c>
      <c r="H405" t="inlineStr">
        <is>
          <t>EM</t>
        </is>
      </c>
      <c r="I405" t="inlineStr"/>
      <c r="J405" t="inlineStr"/>
      <c r="K405" t="inlineStr">
        <is>
          <t>Intensidad</t>
        </is>
      </c>
      <c r="L405" t="n">
        <v>3.018557</v>
      </c>
    </row>
    <row r="406">
      <c r="A406" t="inlineStr">
        <is>
          <t>202606</t>
        </is>
      </c>
      <c r="B406" t="inlineStr">
        <is>
          <t>Actual</t>
        </is>
      </c>
      <c r="C406" t="inlineStr">
        <is>
          <t>Integra</t>
        </is>
      </c>
      <c r="D406" t="inlineStr">
        <is>
          <t>Instrumento</t>
        </is>
      </c>
      <c r="E406" t="inlineStr">
        <is>
          <t>Fixed Income</t>
        </is>
      </c>
      <c r="F406" t="inlineStr">
        <is>
          <t>Active</t>
        </is>
      </c>
      <c r="G406" t="inlineStr">
        <is>
          <t>Moneda - Deuda Latam LCC</t>
        </is>
      </c>
      <c r="H406" t="inlineStr">
        <is>
          <t>EM</t>
        </is>
      </c>
      <c r="I406" t="inlineStr"/>
      <c r="J406" t="inlineStr"/>
      <c r="K406" t="inlineStr">
        <is>
          <t>Weight</t>
        </is>
      </c>
      <c r="L406" t="n">
        <v>0.027068</v>
      </c>
    </row>
    <row r="407">
      <c r="A407" t="inlineStr">
        <is>
          <t>202606</t>
        </is>
      </c>
      <c r="B407" t="inlineStr">
        <is>
          <t>Actual</t>
        </is>
      </c>
      <c r="C407" t="inlineStr">
        <is>
          <t>Ex_Integra</t>
        </is>
      </c>
      <c r="D407" t="inlineStr">
        <is>
          <t>Instrumento</t>
        </is>
      </c>
      <c r="E407" t="inlineStr">
        <is>
          <t>Fixed Income</t>
        </is>
      </c>
      <c r="F407" t="inlineStr">
        <is>
          <t>Active</t>
        </is>
      </c>
      <c r="G407" t="inlineStr">
        <is>
          <t>Moneda - Latam High Yield</t>
        </is>
      </c>
      <c r="H407" t="inlineStr">
        <is>
          <t>EM</t>
        </is>
      </c>
      <c r="I407" t="inlineStr"/>
      <c r="J407" t="inlineStr"/>
      <c r="K407" t="inlineStr">
        <is>
          <t>Intensidad</t>
        </is>
      </c>
      <c r="L407" t="n">
        <v>4.308719</v>
      </c>
    </row>
    <row r="408">
      <c r="A408" t="inlineStr">
        <is>
          <t>202606</t>
        </is>
      </c>
      <c r="B408" t="inlineStr">
        <is>
          <t>Actual</t>
        </is>
      </c>
      <c r="C408" t="inlineStr">
        <is>
          <t>Ex_Integra</t>
        </is>
      </c>
      <c r="D408" t="inlineStr">
        <is>
          <t>Instrumento</t>
        </is>
      </c>
      <c r="E408" t="inlineStr">
        <is>
          <t>Fixed Income</t>
        </is>
      </c>
      <c r="F408" t="inlineStr">
        <is>
          <t>Active</t>
        </is>
      </c>
      <c r="G408" t="inlineStr">
        <is>
          <t>Moneda - Latam High Yield</t>
        </is>
      </c>
      <c r="H408" t="inlineStr">
        <is>
          <t>EM</t>
        </is>
      </c>
      <c r="I408" t="inlineStr"/>
      <c r="J408" t="inlineStr"/>
      <c r="K408" t="inlineStr">
        <is>
          <t>Weight</t>
        </is>
      </c>
      <c r="L408" t="n">
        <v>0.038637</v>
      </c>
    </row>
    <row r="409">
      <c r="A409" t="inlineStr">
        <is>
          <t>202606</t>
        </is>
      </c>
      <c r="B409" t="inlineStr">
        <is>
          <t>Actual</t>
        </is>
      </c>
      <c r="C409" t="inlineStr">
        <is>
          <t>Integra</t>
        </is>
      </c>
      <c r="D409" t="inlineStr">
        <is>
          <t>Instrumento</t>
        </is>
      </c>
      <c r="E409" t="inlineStr">
        <is>
          <t>Fixed Income</t>
        </is>
      </c>
      <c r="F409" t="inlineStr">
        <is>
          <t>Active</t>
        </is>
      </c>
      <c r="G409" t="inlineStr">
        <is>
          <t>Moneda - Latam High Yield</t>
        </is>
      </c>
      <c r="H409" t="inlineStr">
        <is>
          <t>EM</t>
        </is>
      </c>
      <c r="I409" t="inlineStr"/>
      <c r="J409" t="inlineStr"/>
      <c r="K409" t="inlineStr">
        <is>
          <t>Intensidad</t>
        </is>
      </c>
      <c r="L409" t="n">
        <v>5.348475</v>
      </c>
    </row>
    <row r="410">
      <c r="A410" t="inlineStr">
        <is>
          <t>202606</t>
        </is>
      </c>
      <c r="B410" t="inlineStr">
        <is>
          <t>Actual</t>
        </is>
      </c>
      <c r="C410" t="inlineStr">
        <is>
          <t>Integra</t>
        </is>
      </c>
      <c r="D410" t="inlineStr">
        <is>
          <t>Instrumento</t>
        </is>
      </c>
      <c r="E410" t="inlineStr">
        <is>
          <t>Fixed Income</t>
        </is>
      </c>
      <c r="F410" t="inlineStr">
        <is>
          <t>Active</t>
        </is>
      </c>
      <c r="G410" t="inlineStr">
        <is>
          <t>Moneda - Latam High Yield</t>
        </is>
      </c>
      <c r="H410" t="inlineStr">
        <is>
          <t>EM</t>
        </is>
      </c>
      <c r="I410" t="inlineStr"/>
      <c r="J410" t="inlineStr"/>
      <c r="K410" t="inlineStr">
        <is>
          <t>Weight</t>
        </is>
      </c>
      <c r="L410" t="n">
        <v>0.04796</v>
      </c>
    </row>
    <row r="411">
      <c r="A411" t="inlineStr">
        <is>
          <t>202606</t>
        </is>
      </c>
      <c r="B411" t="inlineStr">
        <is>
          <t>Actual</t>
        </is>
      </c>
      <c r="C411" t="inlineStr">
        <is>
          <t>Prima</t>
        </is>
      </c>
      <c r="D411" t="inlineStr">
        <is>
          <t>Instrumento</t>
        </is>
      </c>
      <c r="E411" t="inlineStr">
        <is>
          <t>Fixed Income</t>
        </is>
      </c>
      <c r="F411" t="inlineStr">
        <is>
          <t>Active</t>
        </is>
      </c>
      <c r="G411" t="inlineStr">
        <is>
          <t>Moneda - Latam High Yield</t>
        </is>
      </c>
      <c r="H411" t="inlineStr">
        <is>
          <t>EM</t>
        </is>
      </c>
      <c r="I411" t="inlineStr"/>
      <c r="J411" t="inlineStr"/>
      <c r="K411" t="inlineStr">
        <is>
          <t>Intensidad</t>
        </is>
      </c>
      <c r="L411" t="n">
        <v>4.78078</v>
      </c>
    </row>
    <row r="412">
      <c r="A412" t="inlineStr">
        <is>
          <t>202606</t>
        </is>
      </c>
      <c r="B412" t="inlineStr">
        <is>
          <t>Actual</t>
        </is>
      </c>
      <c r="C412" t="inlineStr">
        <is>
          <t>Prima</t>
        </is>
      </c>
      <c r="D412" t="inlineStr">
        <is>
          <t>Instrumento</t>
        </is>
      </c>
      <c r="E412" t="inlineStr">
        <is>
          <t>Fixed Income</t>
        </is>
      </c>
      <c r="F412" t="inlineStr">
        <is>
          <t>Active</t>
        </is>
      </c>
      <c r="G412" t="inlineStr">
        <is>
          <t>Moneda - Latam High Yield</t>
        </is>
      </c>
      <c r="H412" t="inlineStr">
        <is>
          <t>EM</t>
        </is>
      </c>
      <c r="I412" t="inlineStr"/>
      <c r="J412" t="inlineStr"/>
      <c r="K412" t="inlineStr">
        <is>
          <t>Weight</t>
        </is>
      </c>
      <c r="L412" t="n">
        <v>0.04287</v>
      </c>
    </row>
    <row r="413">
      <c r="A413" t="inlineStr">
        <is>
          <t>202606</t>
        </is>
      </c>
      <c r="B413" t="inlineStr">
        <is>
          <t>Actual</t>
        </is>
      </c>
      <c r="C413" t="inlineStr">
        <is>
          <t>Profuturo</t>
        </is>
      </c>
      <c r="D413" t="inlineStr">
        <is>
          <t>Instrumento</t>
        </is>
      </c>
      <c r="E413" t="inlineStr">
        <is>
          <t>Fixed Income</t>
        </is>
      </c>
      <c r="F413" t="inlineStr">
        <is>
          <t>Active</t>
        </is>
      </c>
      <c r="G413" t="inlineStr">
        <is>
          <t>Moneda - Latam High Yield</t>
        </is>
      </c>
      <c r="H413" t="inlineStr">
        <is>
          <t>EM</t>
        </is>
      </c>
      <c r="I413" t="inlineStr"/>
      <c r="J413" t="inlineStr"/>
      <c r="K413" t="inlineStr">
        <is>
          <t>Intensidad</t>
        </is>
      </c>
      <c r="L413" t="n">
        <v>4.916592</v>
      </c>
    </row>
    <row r="414">
      <c r="A414" t="inlineStr">
        <is>
          <t>202606</t>
        </is>
      </c>
      <c r="B414" t="inlineStr">
        <is>
          <t>Actual</t>
        </is>
      </c>
      <c r="C414" t="inlineStr">
        <is>
          <t>Profuturo</t>
        </is>
      </c>
      <c r="D414" t="inlineStr">
        <is>
          <t>Instrumento</t>
        </is>
      </c>
      <c r="E414" t="inlineStr">
        <is>
          <t>Fixed Income</t>
        </is>
      </c>
      <c r="F414" t="inlineStr">
        <is>
          <t>Active</t>
        </is>
      </c>
      <c r="G414" t="inlineStr">
        <is>
          <t>Moneda - Latam High Yield</t>
        </is>
      </c>
      <c r="H414" t="inlineStr">
        <is>
          <t>EM</t>
        </is>
      </c>
      <c r="I414" t="inlineStr"/>
      <c r="J414" t="inlineStr"/>
      <c r="K414" t="inlineStr">
        <is>
          <t>Weight</t>
        </is>
      </c>
      <c r="L414" t="n">
        <v>0.044087</v>
      </c>
    </row>
    <row r="415">
      <c r="A415" t="inlineStr">
        <is>
          <t>202606</t>
        </is>
      </c>
      <c r="B415" t="inlineStr">
        <is>
          <t>Actual</t>
        </is>
      </c>
      <c r="C415" t="inlineStr">
        <is>
          <t>Prima</t>
        </is>
      </c>
      <c r="D415" t="inlineStr">
        <is>
          <t>Instrumento</t>
        </is>
      </c>
      <c r="E415" t="inlineStr">
        <is>
          <t>Fixed Income</t>
        </is>
      </c>
      <c r="F415" t="inlineStr">
        <is>
          <t>Active</t>
        </is>
      </c>
      <c r="G415" t="inlineStr">
        <is>
          <t>Pimco - Emerging Markets Bond Fund</t>
        </is>
      </c>
      <c r="H415" t="inlineStr">
        <is>
          <t>EM</t>
        </is>
      </c>
      <c r="I415" t="inlineStr"/>
      <c r="J415" t="inlineStr"/>
      <c r="K415" t="inlineStr">
        <is>
          <t>Intensidad</t>
        </is>
      </c>
      <c r="L415" t="n">
        <v>5.249049</v>
      </c>
    </row>
    <row r="416">
      <c r="A416" t="inlineStr">
        <is>
          <t>202606</t>
        </is>
      </c>
      <c r="B416" t="inlineStr">
        <is>
          <t>Actual</t>
        </is>
      </c>
      <c r="C416" t="inlineStr">
        <is>
          <t>Prima</t>
        </is>
      </c>
      <c r="D416" t="inlineStr">
        <is>
          <t>Instrumento</t>
        </is>
      </c>
      <c r="E416" t="inlineStr">
        <is>
          <t>Fixed Income</t>
        </is>
      </c>
      <c r="F416" t="inlineStr">
        <is>
          <t>Active</t>
        </is>
      </c>
      <c r="G416" t="inlineStr">
        <is>
          <t>Pimco - Emerging Markets Bond Fund</t>
        </is>
      </c>
      <c r="H416" t="inlineStr">
        <is>
          <t>EM</t>
        </is>
      </c>
      <c r="I416" t="inlineStr"/>
      <c r="J416" t="inlineStr"/>
      <c r="K416" t="inlineStr">
        <is>
          <t>Weight</t>
        </is>
      </c>
      <c r="L416" t="n">
        <v>0.011625</v>
      </c>
    </row>
    <row r="417">
      <c r="A417" t="inlineStr">
        <is>
          <t>202606</t>
        </is>
      </c>
      <c r="B417" t="inlineStr">
        <is>
          <t>Actual</t>
        </is>
      </c>
      <c r="C417" t="inlineStr">
        <is>
          <t>Integra</t>
        </is>
      </c>
      <c r="D417" t="inlineStr">
        <is>
          <t>Instrumento</t>
        </is>
      </c>
      <c r="E417" t="inlineStr">
        <is>
          <t>Fixed Income</t>
        </is>
      </c>
      <c r="F417" t="inlineStr">
        <is>
          <t>Active</t>
        </is>
      </c>
      <c r="G417" t="inlineStr">
        <is>
          <t>Pimco - Emerging Markets Local Bond Fund</t>
        </is>
      </c>
      <c r="H417" t="inlineStr">
        <is>
          <t>EM</t>
        </is>
      </c>
      <c r="I417" t="inlineStr"/>
      <c r="J417" t="inlineStr"/>
      <c r="K417" t="inlineStr">
        <is>
          <t>Intensidad</t>
        </is>
      </c>
      <c r="L417" t="n">
        <v>3.685793</v>
      </c>
    </row>
    <row r="418">
      <c r="A418" t="inlineStr">
        <is>
          <t>202606</t>
        </is>
      </c>
      <c r="B418" t="inlineStr">
        <is>
          <t>Actual</t>
        </is>
      </c>
      <c r="C418" t="inlineStr">
        <is>
          <t>Integra</t>
        </is>
      </c>
      <c r="D418" t="inlineStr">
        <is>
          <t>Instrumento</t>
        </is>
      </c>
      <c r="E418" t="inlineStr">
        <is>
          <t>Fixed Income</t>
        </is>
      </c>
      <c r="F418" t="inlineStr">
        <is>
          <t>Active</t>
        </is>
      </c>
      <c r="G418" t="inlineStr">
        <is>
          <t>Pimco - Emerging Markets Local Bond Fund</t>
        </is>
      </c>
      <c r="H418" t="inlineStr">
        <is>
          <t>EM</t>
        </is>
      </c>
      <c r="I418" t="inlineStr"/>
      <c r="J418" t="inlineStr"/>
      <c r="K418" t="inlineStr">
        <is>
          <t>Weight</t>
        </is>
      </c>
      <c r="L418" t="n">
        <v>0.040387</v>
      </c>
    </row>
    <row r="419">
      <c r="A419" t="inlineStr">
        <is>
          <t>202606</t>
        </is>
      </c>
      <c r="B419" t="inlineStr">
        <is>
          <t>Actual</t>
        </is>
      </c>
      <c r="C419" t="inlineStr">
        <is>
          <t>Integra</t>
        </is>
      </c>
      <c r="D419" t="inlineStr">
        <is>
          <t>Instrumento</t>
        </is>
      </c>
      <c r="E419" t="inlineStr">
        <is>
          <t>Fixed Income</t>
        </is>
      </c>
      <c r="F419" t="inlineStr">
        <is>
          <t>Active</t>
        </is>
      </c>
      <c r="G419" t="inlineStr">
        <is>
          <t>Vontobel - Credit Opportunities</t>
        </is>
      </c>
      <c r="H419" t="inlineStr">
        <is>
          <t>HY</t>
        </is>
      </c>
      <c r="I419" t="inlineStr"/>
      <c r="J419" t="inlineStr"/>
      <c r="K419" t="inlineStr">
        <is>
          <t>Intensidad</t>
        </is>
      </c>
      <c r="L419" t="n">
        <v>2.436753</v>
      </c>
    </row>
    <row r="420">
      <c r="A420" t="inlineStr">
        <is>
          <t>202606</t>
        </is>
      </c>
      <c r="B420" t="inlineStr">
        <is>
          <t>Actual</t>
        </is>
      </c>
      <c r="C420" t="inlineStr">
        <is>
          <t>Integra</t>
        </is>
      </c>
      <c r="D420" t="inlineStr">
        <is>
          <t>Instrumento</t>
        </is>
      </c>
      <c r="E420" t="inlineStr">
        <is>
          <t>Fixed Income</t>
        </is>
      </c>
      <c r="F420" t="inlineStr">
        <is>
          <t>Active</t>
        </is>
      </c>
      <c r="G420" t="inlineStr">
        <is>
          <t>Vontobel - Credit Opportunities</t>
        </is>
      </c>
      <c r="H420" t="inlineStr">
        <is>
          <t>HY</t>
        </is>
      </c>
      <c r="I420" t="inlineStr"/>
      <c r="J420" t="inlineStr"/>
      <c r="K420" t="inlineStr">
        <is>
          <t>Weight</t>
        </is>
      </c>
      <c r="L420" t="n">
        <v>0.057931</v>
      </c>
    </row>
    <row r="421">
      <c r="A421" t="inlineStr">
        <is>
          <t>202606</t>
        </is>
      </c>
      <c r="B421" t="inlineStr">
        <is>
          <t>Actual</t>
        </is>
      </c>
      <c r="C421" t="inlineStr">
        <is>
          <t>Ex_Integra</t>
        </is>
      </c>
      <c r="D421" t="inlineStr">
        <is>
          <t>Instrumento</t>
        </is>
      </c>
      <c r="E421" t="inlineStr">
        <is>
          <t>Fixed Income</t>
        </is>
      </c>
      <c r="F421" t="inlineStr">
        <is>
          <t>Active</t>
        </is>
      </c>
      <c r="G421" t="inlineStr">
        <is>
          <t>Vontobel - Emerging Markets Debt</t>
        </is>
      </c>
      <c r="H421" t="inlineStr">
        <is>
          <t>EM</t>
        </is>
      </c>
      <c r="I421" t="inlineStr"/>
      <c r="J421" t="inlineStr"/>
      <c r="K421" t="inlineStr">
        <is>
          <t>Intensidad</t>
        </is>
      </c>
      <c r="L421" t="n">
        <v>5.996738</v>
      </c>
    </row>
    <row r="422">
      <c r="A422" t="inlineStr">
        <is>
          <t>202606</t>
        </is>
      </c>
      <c r="B422" t="inlineStr">
        <is>
          <t>Actual</t>
        </is>
      </c>
      <c r="C422" t="inlineStr">
        <is>
          <t>Ex_Integra</t>
        </is>
      </c>
      <c r="D422" t="inlineStr">
        <is>
          <t>Instrumento</t>
        </is>
      </c>
      <c r="E422" t="inlineStr">
        <is>
          <t>Fixed Income</t>
        </is>
      </c>
      <c r="F422" t="inlineStr">
        <is>
          <t>Active</t>
        </is>
      </c>
      <c r="G422" t="inlineStr">
        <is>
          <t>Vontobel - Emerging Markets Debt</t>
        </is>
      </c>
      <c r="H422" t="inlineStr">
        <is>
          <t>EM</t>
        </is>
      </c>
      <c r="I422" t="inlineStr"/>
      <c r="J422" t="inlineStr"/>
      <c r="K422" t="inlineStr">
        <is>
          <t>Weight</t>
        </is>
      </c>
      <c r="L422" t="n">
        <v>0.015004</v>
      </c>
    </row>
    <row r="423">
      <c r="A423" t="inlineStr">
        <is>
          <t>202606</t>
        </is>
      </c>
      <c r="B423" t="inlineStr">
        <is>
          <t>Actual</t>
        </is>
      </c>
      <c r="C423" t="inlineStr">
        <is>
          <t>Integra</t>
        </is>
      </c>
      <c r="D423" t="inlineStr">
        <is>
          <t>Instrumento</t>
        </is>
      </c>
      <c r="E423" t="inlineStr">
        <is>
          <t>Fixed Income</t>
        </is>
      </c>
      <c r="F423" t="inlineStr">
        <is>
          <t>Active</t>
        </is>
      </c>
      <c r="G423" t="inlineStr">
        <is>
          <t>Vontobel - Emerging Markets Debt</t>
        </is>
      </c>
      <c r="H423" t="inlineStr">
        <is>
          <t>EM</t>
        </is>
      </c>
      <c r="I423" t="inlineStr"/>
      <c r="J423" t="inlineStr"/>
      <c r="K423" t="inlineStr">
        <is>
          <t>Intensidad</t>
        </is>
      </c>
      <c r="L423" t="n">
        <v>4.852209</v>
      </c>
    </row>
    <row r="424">
      <c r="A424" t="inlineStr">
        <is>
          <t>202606</t>
        </is>
      </c>
      <c r="B424" t="inlineStr">
        <is>
          <t>Actual</t>
        </is>
      </c>
      <c r="C424" t="inlineStr">
        <is>
          <t>Integra</t>
        </is>
      </c>
      <c r="D424" t="inlineStr">
        <is>
          <t>Instrumento</t>
        </is>
      </c>
      <c r="E424" t="inlineStr">
        <is>
          <t>Fixed Income</t>
        </is>
      </c>
      <c r="F424" t="inlineStr">
        <is>
          <t>Active</t>
        </is>
      </c>
      <c r="G424" t="inlineStr">
        <is>
          <t>Vontobel - Emerging Markets Debt</t>
        </is>
      </c>
      <c r="H424" t="inlineStr">
        <is>
          <t>EM</t>
        </is>
      </c>
      <c r="I424" t="inlineStr"/>
      <c r="J424" t="inlineStr"/>
      <c r="K424" t="inlineStr">
        <is>
          <t>Weight</t>
        </is>
      </c>
      <c r="L424" t="n">
        <v>0.01214</v>
      </c>
    </row>
    <row r="425">
      <c r="A425" t="inlineStr">
        <is>
          <t>202606</t>
        </is>
      </c>
      <c r="B425" t="inlineStr">
        <is>
          <t>Actual</t>
        </is>
      </c>
      <c r="C425" t="inlineStr">
        <is>
          <t>Profuturo</t>
        </is>
      </c>
      <c r="D425" t="inlineStr">
        <is>
          <t>Instrumento</t>
        </is>
      </c>
      <c r="E425" t="inlineStr">
        <is>
          <t>Fixed Income</t>
        </is>
      </c>
      <c r="F425" t="inlineStr">
        <is>
          <t>Active</t>
        </is>
      </c>
      <c r="G425" t="inlineStr">
        <is>
          <t>Vontobel - Emerging Markets Debt</t>
        </is>
      </c>
      <c r="H425" t="inlineStr">
        <is>
          <t>EM</t>
        </is>
      </c>
      <c r="I425" t="inlineStr"/>
      <c r="J425" t="inlineStr"/>
      <c r="K425" t="inlineStr">
        <is>
          <t>Intensidad</t>
        </is>
      </c>
      <c r="L425" t="n">
        <v>12.754701</v>
      </c>
    </row>
    <row r="426">
      <c r="A426" t="inlineStr">
        <is>
          <t>202606</t>
        </is>
      </c>
      <c r="B426" t="inlineStr">
        <is>
          <t>Actual</t>
        </is>
      </c>
      <c r="C426" t="inlineStr">
        <is>
          <t>Profuturo</t>
        </is>
      </c>
      <c r="D426" t="inlineStr">
        <is>
          <t>Instrumento</t>
        </is>
      </c>
      <c r="E426" t="inlineStr">
        <is>
          <t>Fixed Income</t>
        </is>
      </c>
      <c r="F426" t="inlineStr">
        <is>
          <t>Active</t>
        </is>
      </c>
      <c r="G426" t="inlineStr">
        <is>
          <t>Vontobel - Emerging Markets Debt</t>
        </is>
      </c>
      <c r="H426" t="inlineStr">
        <is>
          <t>EM</t>
        </is>
      </c>
      <c r="I426" t="inlineStr"/>
      <c r="J426" t="inlineStr"/>
      <c r="K426" t="inlineStr">
        <is>
          <t>Weight</t>
        </is>
      </c>
      <c r="L426" t="n">
        <v>0.031912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Segmento</t>
        </is>
      </c>
      <c r="E1" t="inlineStr">
        <is>
          <t>Categoria</t>
        </is>
      </c>
      <c r="F1" t="inlineStr">
        <is>
          <t>Tipo_Dato</t>
        </is>
      </c>
      <c r="G1" t="inlineStr">
        <is>
          <t>Pais</t>
        </is>
      </c>
      <c r="H1" t="inlineStr">
        <is>
          <t>Emisor</t>
        </is>
      </c>
      <c r="I1" t="inlineStr">
        <is>
          <t>Benchmark_Nombre</t>
        </is>
      </c>
      <c r="J1" t="inlineStr">
        <is>
          <t>Metrica</t>
        </is>
      </c>
      <c r="K1" t="inlineStr">
        <is>
          <t>Valor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Habitat</t>
        </is>
      </c>
      <c r="D2" t="inlineStr">
        <is>
          <t>AFP_Categoria</t>
        </is>
      </c>
      <c r="E2" t="inlineStr">
        <is>
          <t>Materials</t>
        </is>
      </c>
      <c r="F2" t="inlineStr">
        <is>
          <t>MSCI</t>
        </is>
      </c>
      <c r="G2" t="inlineStr"/>
      <c r="H2" t="inlineStr"/>
      <c r="I2" t="inlineStr"/>
      <c r="J2" t="inlineStr">
        <is>
          <t>Intensidad</t>
        </is>
      </c>
      <c r="K2" t="n">
        <v>21.110172</v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Habitat</t>
        </is>
      </c>
      <c r="D3" t="inlineStr">
        <is>
          <t>AFP_Categoria</t>
        </is>
      </c>
      <c r="E3" t="inlineStr">
        <is>
          <t>Utilities</t>
        </is>
      </c>
      <c r="F3" t="inlineStr">
        <is>
          <t>MSCI</t>
        </is>
      </c>
      <c r="G3" t="inlineStr"/>
      <c r="H3" t="inlineStr"/>
      <c r="I3" t="inlineStr"/>
      <c r="J3" t="inlineStr">
        <is>
          <t>Intensidad</t>
        </is>
      </c>
      <c r="K3" t="n">
        <v>0.592175</v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Habitat</t>
        </is>
      </c>
      <c r="D4" t="inlineStr">
        <is>
          <t>AFP_Categoria</t>
        </is>
      </c>
      <c r="E4" t="inlineStr">
        <is>
          <t>Otros</t>
        </is>
      </c>
      <c r="F4" t="inlineStr">
        <is>
          <t>MSCI</t>
        </is>
      </c>
      <c r="G4" t="inlineStr"/>
      <c r="H4" t="inlineStr"/>
      <c r="I4" t="inlineStr"/>
      <c r="J4" t="inlineStr">
        <is>
          <t>Intensidad</t>
        </is>
      </c>
      <c r="K4" t="n">
        <v>14.30549</v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Habitat</t>
        </is>
      </c>
      <c r="D5" t="inlineStr">
        <is>
          <t>AFP_Categoria</t>
        </is>
      </c>
      <c r="E5" t="inlineStr">
        <is>
          <t>RF</t>
        </is>
      </c>
      <c r="F5" t="inlineStr">
        <is>
          <t>MSCI</t>
        </is>
      </c>
      <c r="G5" t="inlineStr"/>
      <c r="H5" t="inlineStr"/>
      <c r="I5" t="inlineStr"/>
      <c r="J5" t="inlineStr">
        <is>
          <t>Intensidad</t>
        </is>
      </c>
      <c r="K5" t="n">
        <v>21.719801</v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Habitat</t>
        </is>
      </c>
      <c r="D6" t="inlineStr">
        <is>
          <t>AFP_Categoria</t>
        </is>
      </c>
      <c r="E6" t="inlineStr">
        <is>
          <t>RV</t>
        </is>
      </c>
      <c r="F6" t="inlineStr">
        <is>
          <t>MSCI</t>
        </is>
      </c>
      <c r="G6" t="inlineStr"/>
      <c r="H6" t="inlineStr"/>
      <c r="I6" t="inlineStr"/>
      <c r="J6" t="inlineStr">
        <is>
          <t>Intensidad</t>
        </is>
      </c>
      <c r="K6" t="n">
        <v>27.500445</v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AFP_Categoria</t>
        </is>
      </c>
      <c r="E7" t="inlineStr">
        <is>
          <t>Proxies</t>
        </is>
      </c>
      <c r="F7" t="inlineStr">
        <is>
          <t>Proxies</t>
        </is>
      </c>
      <c r="G7" t="inlineStr"/>
      <c r="H7" t="inlineStr"/>
      <c r="I7" t="inlineStr"/>
      <c r="J7" t="inlineStr">
        <is>
          <t>Intensidad</t>
        </is>
      </c>
      <c r="K7" t="n">
        <v>76.828757</v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AFP_Categoria</t>
        </is>
      </c>
      <c r="E8" t="inlineStr">
        <is>
          <t>Alts</t>
        </is>
      </c>
      <c r="F8" t="inlineStr">
        <is>
          <t>Proxies</t>
        </is>
      </c>
      <c r="G8" t="inlineStr"/>
      <c r="H8" t="inlineStr"/>
      <c r="I8" t="inlineStr"/>
      <c r="J8" t="inlineStr">
        <is>
          <t>Intensidad</t>
        </is>
      </c>
      <c r="K8" t="n">
        <v>0</v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Integra</t>
        </is>
      </c>
      <c r="D9" t="inlineStr">
        <is>
          <t>AFP_Categoria</t>
        </is>
      </c>
      <c r="E9" t="inlineStr">
        <is>
          <t>Materials</t>
        </is>
      </c>
      <c r="F9" t="inlineStr">
        <is>
          <t>MSCI</t>
        </is>
      </c>
      <c r="G9" t="inlineStr"/>
      <c r="H9" t="inlineStr"/>
      <c r="I9" t="inlineStr"/>
      <c r="J9" t="inlineStr">
        <is>
          <t>Intensidad</t>
        </is>
      </c>
      <c r="K9" t="n">
        <v>27.233583</v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Integra</t>
        </is>
      </c>
      <c r="D10" t="inlineStr">
        <is>
          <t>AFP_Categoria</t>
        </is>
      </c>
      <c r="E10" t="inlineStr">
        <is>
          <t>Utilities</t>
        </is>
      </c>
      <c r="F10" t="inlineStr">
        <is>
          <t>MSCI</t>
        </is>
      </c>
      <c r="G10" t="inlineStr"/>
      <c r="H10" t="inlineStr"/>
      <c r="I10" t="inlineStr"/>
      <c r="J10" t="inlineStr">
        <is>
          <t>Intensidad</t>
        </is>
      </c>
      <c r="K10" t="n">
        <v>0.360136</v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Integra</t>
        </is>
      </c>
      <c r="D11" t="inlineStr">
        <is>
          <t>AFP_Categoria</t>
        </is>
      </c>
      <c r="E11" t="inlineStr">
        <is>
          <t>Otros</t>
        </is>
      </c>
      <c r="F11" t="inlineStr">
        <is>
          <t>MSCI</t>
        </is>
      </c>
      <c r="G11" t="inlineStr"/>
      <c r="H11" t="inlineStr"/>
      <c r="I11" t="inlineStr"/>
      <c r="J11" t="inlineStr">
        <is>
          <t>Intensidad</t>
        </is>
      </c>
      <c r="K11" t="n">
        <v>14.065582</v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AFP_Categoria</t>
        </is>
      </c>
      <c r="E12" t="inlineStr">
        <is>
          <t>RF</t>
        </is>
      </c>
      <c r="F12" t="inlineStr">
        <is>
          <t>MSCI</t>
        </is>
      </c>
      <c r="G12" t="inlineStr"/>
      <c r="H12" t="inlineStr"/>
      <c r="I12" t="inlineStr"/>
      <c r="J12" t="inlineStr">
        <is>
          <t>Intensidad</t>
        </is>
      </c>
      <c r="K12" t="n">
        <v>23.202345</v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AFP_Categoria</t>
        </is>
      </c>
      <c r="E13" t="inlineStr">
        <is>
          <t>RV</t>
        </is>
      </c>
      <c r="F13" t="inlineStr">
        <is>
          <t>MSCI</t>
        </is>
      </c>
      <c r="G13" t="inlineStr"/>
      <c r="H13" t="inlineStr"/>
      <c r="I13" t="inlineStr"/>
      <c r="J13" t="inlineStr">
        <is>
          <t>Intensidad</t>
        </is>
      </c>
      <c r="K13" t="n">
        <v>36.157902</v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Integra</t>
        </is>
      </c>
      <c r="D14" t="inlineStr">
        <is>
          <t>AFP_Categoria</t>
        </is>
      </c>
      <c r="E14" t="inlineStr">
        <is>
          <t>Proxies</t>
        </is>
      </c>
      <c r="F14" t="inlineStr">
        <is>
          <t>Proxies</t>
        </is>
      </c>
      <c r="G14" t="inlineStr"/>
      <c r="H14" t="inlineStr"/>
      <c r="I14" t="inlineStr"/>
      <c r="J14" t="inlineStr">
        <is>
          <t>Intensidad</t>
        </is>
      </c>
      <c r="K14" t="n">
        <v>58.184171</v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Integra</t>
        </is>
      </c>
      <c r="D15" t="inlineStr">
        <is>
          <t>AFP_Categoria</t>
        </is>
      </c>
      <c r="E15" t="inlineStr">
        <is>
          <t>Alts</t>
        </is>
      </c>
      <c r="F15" t="inlineStr">
        <is>
          <t>Proxies</t>
        </is>
      </c>
      <c r="G15" t="inlineStr"/>
      <c r="H15" t="inlineStr"/>
      <c r="I15" t="inlineStr"/>
      <c r="J15" t="inlineStr">
        <is>
          <t>Intensidad</t>
        </is>
      </c>
      <c r="K15" t="n">
        <v>0</v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Prima</t>
        </is>
      </c>
      <c r="D16" t="inlineStr">
        <is>
          <t>AFP_Categoria</t>
        </is>
      </c>
      <c r="E16" t="inlineStr">
        <is>
          <t>Materials</t>
        </is>
      </c>
      <c r="F16" t="inlineStr">
        <is>
          <t>MSCI</t>
        </is>
      </c>
      <c r="G16" t="inlineStr"/>
      <c r="H16" t="inlineStr"/>
      <c r="I16" t="inlineStr"/>
      <c r="J16" t="inlineStr">
        <is>
          <t>Intensidad</t>
        </is>
      </c>
      <c r="K16" t="n">
        <v>36.738399</v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AFP_Categoria</t>
        </is>
      </c>
      <c r="E17" t="inlineStr">
        <is>
          <t>Utilities</t>
        </is>
      </c>
      <c r="F17" t="inlineStr">
        <is>
          <t>MSCI</t>
        </is>
      </c>
      <c r="G17" t="inlineStr"/>
      <c r="H17" t="inlineStr"/>
      <c r="I17" t="inlineStr"/>
      <c r="J17" t="inlineStr">
        <is>
          <t>Intensidad</t>
        </is>
      </c>
      <c r="K17" t="n">
        <v>1.083011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Prima</t>
        </is>
      </c>
      <c r="D18" t="inlineStr">
        <is>
          <t>AFP_Categoria</t>
        </is>
      </c>
      <c r="E18" t="inlineStr">
        <is>
          <t>Otros</t>
        </is>
      </c>
      <c r="F18" t="inlineStr">
        <is>
          <t>MSCI</t>
        </is>
      </c>
      <c r="G18" t="inlineStr"/>
      <c r="H18" t="inlineStr"/>
      <c r="I18" t="inlineStr"/>
      <c r="J18" t="inlineStr">
        <is>
          <t>Intensidad</t>
        </is>
      </c>
      <c r="K18" t="n">
        <v>19.918916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Prima</t>
        </is>
      </c>
      <c r="D19" t="inlineStr">
        <is>
          <t>AFP_Categoria</t>
        </is>
      </c>
      <c r="E19" t="inlineStr">
        <is>
          <t>RF</t>
        </is>
      </c>
      <c r="F19" t="inlineStr">
        <is>
          <t>MSCI</t>
        </is>
      </c>
      <c r="G19" t="inlineStr"/>
      <c r="H19" t="inlineStr"/>
      <c r="I19" t="inlineStr"/>
      <c r="J19" t="inlineStr">
        <is>
          <t>Intensidad</t>
        </is>
      </c>
      <c r="K19" t="n">
        <v>40.486087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Prima</t>
        </is>
      </c>
      <c r="D20" t="inlineStr">
        <is>
          <t>AFP_Categoria</t>
        </is>
      </c>
      <c r="E20" t="inlineStr">
        <is>
          <t>RV</t>
        </is>
      </c>
      <c r="F20" t="inlineStr">
        <is>
          <t>MSCI</t>
        </is>
      </c>
      <c r="G20" t="inlineStr"/>
      <c r="H20" t="inlineStr"/>
      <c r="I20" t="inlineStr"/>
      <c r="J20" t="inlineStr">
        <is>
          <t>Intensidad</t>
        </is>
      </c>
      <c r="K20" t="n">
        <v>30.214588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Prima</t>
        </is>
      </c>
      <c r="D21" t="inlineStr">
        <is>
          <t>AFP_Categoria</t>
        </is>
      </c>
      <c r="E21" t="inlineStr">
        <is>
          <t>Proxies</t>
        </is>
      </c>
      <c r="F21" t="inlineStr">
        <is>
          <t>Proxies</t>
        </is>
      </c>
      <c r="G21" t="inlineStr"/>
      <c r="H21" t="inlineStr"/>
      <c r="I21" t="inlineStr"/>
      <c r="J21" t="inlineStr">
        <is>
          <t>Intensidad</t>
        </is>
      </c>
      <c r="K21" t="n">
        <v>53.797709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Prima</t>
        </is>
      </c>
      <c r="D22" t="inlineStr">
        <is>
          <t>AFP_Categoria</t>
        </is>
      </c>
      <c r="E22" t="inlineStr">
        <is>
          <t>Alts</t>
        </is>
      </c>
      <c r="F22" t="inlineStr">
        <is>
          <t>Proxies</t>
        </is>
      </c>
      <c r="G22" t="inlineStr"/>
      <c r="H22" t="inlineStr"/>
      <c r="I22" t="inlineStr"/>
      <c r="J22" t="inlineStr">
        <is>
          <t>Intensidad</t>
        </is>
      </c>
      <c r="K22" t="n">
        <v>0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Profuturo</t>
        </is>
      </c>
      <c r="D23" t="inlineStr">
        <is>
          <t>AFP_Categoria</t>
        </is>
      </c>
      <c r="E23" t="inlineStr">
        <is>
          <t>Materials</t>
        </is>
      </c>
      <c r="F23" t="inlineStr">
        <is>
          <t>MSCI</t>
        </is>
      </c>
      <c r="G23" t="inlineStr"/>
      <c r="H23" t="inlineStr"/>
      <c r="I23" t="inlineStr"/>
      <c r="J23" t="inlineStr">
        <is>
          <t>Intensidad</t>
        </is>
      </c>
      <c r="K23" t="n">
        <v>17.533109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Profuturo</t>
        </is>
      </c>
      <c r="D24" t="inlineStr">
        <is>
          <t>AFP_Categoria</t>
        </is>
      </c>
      <c r="E24" t="inlineStr">
        <is>
          <t>Utilities</t>
        </is>
      </c>
      <c r="F24" t="inlineStr">
        <is>
          <t>MSCI</t>
        </is>
      </c>
      <c r="G24" t="inlineStr"/>
      <c r="H24" t="inlineStr"/>
      <c r="I24" t="inlineStr"/>
      <c r="J24" t="inlineStr">
        <is>
          <t>Intensidad</t>
        </is>
      </c>
      <c r="K24" t="n">
        <v>0.292189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Profuturo</t>
        </is>
      </c>
      <c r="D25" t="inlineStr">
        <is>
          <t>AFP_Categoria</t>
        </is>
      </c>
      <c r="E25" t="inlineStr">
        <is>
          <t>Otros</t>
        </is>
      </c>
      <c r="F25" t="inlineStr">
        <is>
          <t>MSCI</t>
        </is>
      </c>
      <c r="G25" t="inlineStr"/>
      <c r="H25" t="inlineStr"/>
      <c r="I25" t="inlineStr"/>
      <c r="J25" t="inlineStr">
        <is>
          <t>Intensidad</t>
        </is>
      </c>
      <c r="K25" t="n">
        <v>8.948961000000001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Profuturo</t>
        </is>
      </c>
      <c r="D26" t="inlineStr">
        <is>
          <t>AFP_Categoria</t>
        </is>
      </c>
      <c r="E26" t="inlineStr">
        <is>
          <t>RF</t>
        </is>
      </c>
      <c r="F26" t="inlineStr">
        <is>
          <t>MSCI</t>
        </is>
      </c>
      <c r="G26" t="inlineStr"/>
      <c r="H26" t="inlineStr"/>
      <c r="I26" t="inlineStr"/>
      <c r="J26" t="inlineStr">
        <is>
          <t>Intensidad</t>
        </is>
      </c>
      <c r="K26" t="n">
        <v>28.365067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Profuturo</t>
        </is>
      </c>
      <c r="D27" t="inlineStr">
        <is>
          <t>AFP_Categoria</t>
        </is>
      </c>
      <c r="E27" t="inlineStr">
        <is>
          <t>RV</t>
        </is>
      </c>
      <c r="F27" t="inlineStr">
        <is>
          <t>MSCI</t>
        </is>
      </c>
      <c r="G27" t="inlineStr"/>
      <c r="H27" t="inlineStr"/>
      <c r="I27" t="inlineStr"/>
      <c r="J27" t="inlineStr">
        <is>
          <t>Intensidad</t>
        </is>
      </c>
      <c r="K27" t="n">
        <v>31.010547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Profuturo</t>
        </is>
      </c>
      <c r="D28" t="inlineStr">
        <is>
          <t>AFP_Categoria</t>
        </is>
      </c>
      <c r="E28" t="inlineStr">
        <is>
          <t>Proxies</t>
        </is>
      </c>
      <c r="F28" t="inlineStr">
        <is>
          <t>Proxies</t>
        </is>
      </c>
      <c r="G28" t="inlineStr"/>
      <c r="H28" t="inlineStr"/>
      <c r="I28" t="inlineStr"/>
      <c r="J28" t="inlineStr">
        <is>
          <t>Intensidad</t>
        </is>
      </c>
      <c r="K28" t="n">
        <v>62.464277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Profuturo</t>
        </is>
      </c>
      <c r="D29" t="inlineStr">
        <is>
          <t>AFP_Categoria</t>
        </is>
      </c>
      <c r="E29" t="inlineStr">
        <is>
          <t>Alts</t>
        </is>
      </c>
      <c r="F29" t="inlineStr">
        <is>
          <t>Proxies</t>
        </is>
      </c>
      <c r="G29" t="inlineStr"/>
      <c r="H29" t="inlineStr"/>
      <c r="I29" t="inlineStr"/>
      <c r="J29" t="inlineStr">
        <is>
          <t>Intensidad</t>
        </is>
      </c>
      <c r="K29" t="n">
        <v>0</v>
      </c>
    </row>
    <row r="30">
      <c r="A30" t="inlineStr">
        <is>
          <t>202512</t>
        </is>
      </c>
      <c r="B30" t="inlineStr">
        <is>
          <t>Comparación</t>
        </is>
      </c>
      <c r="C30" t="inlineStr"/>
      <c r="D30" t="inlineStr">
        <is>
          <t>Benchmark_Mercado</t>
        </is>
      </c>
      <c r="E30" t="inlineStr"/>
      <c r="F30" t="inlineStr"/>
      <c r="G30" t="inlineStr"/>
      <c r="H30" t="inlineStr"/>
      <c r="I30" t="inlineStr">
        <is>
          <t>ACWI</t>
        </is>
      </c>
      <c r="J30" t="inlineStr">
        <is>
          <t>Intensidad</t>
        </is>
      </c>
      <c r="K30" t="n">
        <v>39.567477</v>
      </c>
    </row>
    <row r="31">
      <c r="A31" t="inlineStr">
        <is>
          <t>202512</t>
        </is>
      </c>
      <c r="B31" t="inlineStr">
        <is>
          <t>Comparación</t>
        </is>
      </c>
      <c r="C31" t="inlineStr"/>
      <c r="D31" t="inlineStr">
        <is>
          <t>Benchmark_Mercado</t>
        </is>
      </c>
      <c r="E31" t="inlineStr"/>
      <c r="F31" t="inlineStr"/>
      <c r="G31" t="inlineStr"/>
      <c r="H31" t="inlineStr"/>
      <c r="I31" t="inlineStr">
        <is>
          <t>ILF</t>
        </is>
      </c>
      <c r="J31" t="inlineStr">
        <is>
          <t>Intensidad</t>
        </is>
      </c>
      <c r="K31" t="n">
        <v>145.753316</v>
      </c>
    </row>
    <row r="32">
      <c r="A32" t="inlineStr">
        <is>
          <t>202512</t>
        </is>
      </c>
      <c r="B32" t="inlineStr">
        <is>
          <t>Comparación</t>
        </is>
      </c>
      <c r="C32" t="inlineStr"/>
      <c r="D32" t="inlineStr">
        <is>
          <t>Benchmark_Mercado</t>
        </is>
      </c>
      <c r="E32" t="inlineStr"/>
      <c r="F32" t="inlineStr"/>
      <c r="G32" t="inlineStr"/>
      <c r="H32" t="inlineStr"/>
      <c r="I32" t="inlineStr">
        <is>
          <t>CEMB</t>
        </is>
      </c>
      <c r="J32" t="inlineStr">
        <is>
          <t>Intensidad</t>
        </is>
      </c>
      <c r="K32" t="n">
        <v>202.575065</v>
      </c>
    </row>
    <row r="33">
      <c r="A33" t="inlineStr">
        <is>
          <t>202512</t>
        </is>
      </c>
      <c r="B33" t="inlineStr">
        <is>
          <t>Comparación</t>
        </is>
      </c>
      <c r="C33" t="inlineStr"/>
      <c r="D33" t="inlineStr">
        <is>
          <t>Benchmark_Mercado</t>
        </is>
      </c>
      <c r="E33" t="inlineStr"/>
      <c r="F33" t="inlineStr"/>
      <c r="G33" t="inlineStr"/>
      <c r="H33" t="inlineStr"/>
      <c r="I33" t="inlineStr">
        <is>
          <t>EMB</t>
        </is>
      </c>
      <c r="J33" t="inlineStr">
        <is>
          <t>Intensidad</t>
        </is>
      </c>
      <c r="K33" t="n">
        <v>388.101959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Integra</t>
        </is>
      </c>
      <c r="D34" t="inlineStr">
        <is>
          <t>Soberano_GOB</t>
        </is>
      </c>
      <c r="E34" t="inlineStr"/>
      <c r="F34" t="inlineStr"/>
      <c r="G34" t="inlineStr">
        <is>
          <t>Perú</t>
        </is>
      </c>
      <c r="H34" t="inlineStr">
        <is>
          <t>Gobierno Central</t>
        </is>
      </c>
      <c r="I34" t="inlineStr"/>
      <c r="J34" t="inlineStr">
        <is>
          <t>Intensidad</t>
        </is>
      </c>
      <c r="K34" t="n">
        <v>97.22459000000001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Integra</t>
        </is>
      </c>
      <c r="D35" t="inlineStr">
        <is>
          <t>Soberano_GOB</t>
        </is>
      </c>
      <c r="E35" t="inlineStr"/>
      <c r="F35" t="inlineStr"/>
      <c r="G35" t="inlineStr">
        <is>
          <t>Brasil</t>
        </is>
      </c>
      <c r="H35" t="inlineStr">
        <is>
          <t>Gobierno de Brasil</t>
        </is>
      </c>
      <c r="I35" t="inlineStr"/>
      <c r="J35" t="inlineStr">
        <is>
          <t>Intensidad</t>
        </is>
      </c>
      <c r="K35" t="n">
        <v>14.223795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Integra</t>
        </is>
      </c>
      <c r="D36" t="inlineStr">
        <is>
          <t>Soberano_GOB</t>
        </is>
      </c>
      <c r="E36" t="inlineStr"/>
      <c r="F36" t="inlineStr"/>
      <c r="G36" t="inlineStr">
        <is>
          <t>México</t>
        </is>
      </c>
      <c r="H36" t="inlineStr">
        <is>
          <t>Gobierno de México</t>
        </is>
      </c>
      <c r="I36" t="inlineStr"/>
      <c r="J36" t="inlineStr">
        <is>
          <t>Intensidad</t>
        </is>
      </c>
      <c r="K36" t="n">
        <v>3.037226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Integra</t>
        </is>
      </c>
      <c r="D37" t="inlineStr">
        <is>
          <t>Soberano_GOB</t>
        </is>
      </c>
      <c r="E37" t="inlineStr"/>
      <c r="F37" t="inlineStr"/>
      <c r="G37" t="inlineStr">
        <is>
          <t>Chile</t>
        </is>
      </c>
      <c r="H37" t="inlineStr">
        <is>
          <t>Gobierno de Chile</t>
        </is>
      </c>
      <c r="I37" t="inlineStr"/>
      <c r="J37" t="inlineStr">
        <is>
          <t>Intensidad</t>
        </is>
      </c>
      <c r="K37" t="n">
        <v>4.951348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Integra</t>
        </is>
      </c>
      <c r="D38" t="inlineStr">
        <is>
          <t>Soberano_GOB</t>
        </is>
      </c>
      <c r="E38" t="inlineStr"/>
      <c r="F38" t="inlineStr"/>
      <c r="G38" t="inlineStr">
        <is>
          <t>Colombia</t>
        </is>
      </c>
      <c r="H38" t="inlineStr">
        <is>
          <t>Gobierno de Colombia</t>
        </is>
      </c>
      <c r="I38" t="inlineStr"/>
      <c r="J38" t="inlineStr">
        <is>
          <t>Intensidad</t>
        </is>
      </c>
      <c r="K38" t="n">
        <v>4.696621</v>
      </c>
    </row>
    <row r="39">
      <c r="A39" t="inlineStr">
        <is>
          <t>202606</t>
        </is>
      </c>
      <c r="B39" t="inlineStr">
        <is>
          <t>Actual</t>
        </is>
      </c>
      <c r="C39" t="inlineStr">
        <is>
          <t>Habitat</t>
        </is>
      </c>
      <c r="D39" t="inlineStr">
        <is>
          <t>AFP_Categoria</t>
        </is>
      </c>
      <c r="E39" t="inlineStr">
        <is>
          <t>Materials</t>
        </is>
      </c>
      <c r="F39" t="inlineStr">
        <is>
          <t>MSCI</t>
        </is>
      </c>
      <c r="G39" t="inlineStr"/>
      <c r="H39" t="inlineStr"/>
      <c r="I39" t="inlineStr"/>
      <c r="J39" t="inlineStr">
        <is>
          <t>Intensidad</t>
        </is>
      </c>
      <c r="K39" t="n">
        <v>20.38687</v>
      </c>
    </row>
    <row r="40">
      <c r="A40" t="inlineStr">
        <is>
          <t>202606</t>
        </is>
      </c>
      <c r="B40" t="inlineStr">
        <is>
          <t>Actual</t>
        </is>
      </c>
      <c r="C40" t="inlineStr">
        <is>
          <t>Habitat</t>
        </is>
      </c>
      <c r="D40" t="inlineStr">
        <is>
          <t>AFP_Categoria</t>
        </is>
      </c>
      <c r="E40" t="inlineStr">
        <is>
          <t>Utilities</t>
        </is>
      </c>
      <c r="F40" t="inlineStr">
        <is>
          <t>MSCI</t>
        </is>
      </c>
      <c r="G40" t="inlineStr"/>
      <c r="H40" t="inlineStr"/>
      <c r="I40" t="inlineStr"/>
      <c r="J40" t="inlineStr">
        <is>
          <t>Intensidad</t>
        </is>
      </c>
      <c r="K40" t="n">
        <v>0.638379</v>
      </c>
    </row>
    <row r="41">
      <c r="A41" t="inlineStr">
        <is>
          <t>202606</t>
        </is>
      </c>
      <c r="B41" t="inlineStr">
        <is>
          <t>Actual</t>
        </is>
      </c>
      <c r="C41" t="inlineStr">
        <is>
          <t>Habitat</t>
        </is>
      </c>
      <c r="D41" t="inlineStr">
        <is>
          <t>AFP_Categoria</t>
        </is>
      </c>
      <c r="E41" t="inlineStr">
        <is>
          <t>Otros</t>
        </is>
      </c>
      <c r="F41" t="inlineStr">
        <is>
          <t>MSCI</t>
        </is>
      </c>
      <c r="G41" t="inlineStr"/>
      <c r="H41" t="inlineStr"/>
      <c r="I41" t="inlineStr"/>
      <c r="J41" t="inlineStr">
        <is>
          <t>Intensidad</t>
        </is>
      </c>
      <c r="K41" t="n">
        <v>10.665688</v>
      </c>
    </row>
    <row r="42">
      <c r="A42" t="inlineStr">
        <is>
          <t>202606</t>
        </is>
      </c>
      <c r="B42" t="inlineStr">
        <is>
          <t>Actual</t>
        </is>
      </c>
      <c r="C42" t="inlineStr">
        <is>
          <t>Habitat</t>
        </is>
      </c>
      <c r="D42" t="inlineStr">
        <is>
          <t>AFP_Categoria</t>
        </is>
      </c>
      <c r="E42" t="inlineStr">
        <is>
          <t>RF</t>
        </is>
      </c>
      <c r="F42" t="inlineStr">
        <is>
          <t>MSCI</t>
        </is>
      </c>
      <c r="G42" t="inlineStr"/>
      <c r="H42" t="inlineStr"/>
      <c r="I42" t="inlineStr"/>
      <c r="J42" t="inlineStr">
        <is>
          <t>Intensidad</t>
        </is>
      </c>
      <c r="K42" t="n">
        <v>51.684975</v>
      </c>
    </row>
    <row r="43">
      <c r="A43" t="inlineStr">
        <is>
          <t>202606</t>
        </is>
      </c>
      <c r="B43" t="inlineStr">
        <is>
          <t>Actual</t>
        </is>
      </c>
      <c r="C43" t="inlineStr">
        <is>
          <t>Habitat</t>
        </is>
      </c>
      <c r="D43" t="inlineStr">
        <is>
          <t>AFP_Categoria</t>
        </is>
      </c>
      <c r="E43" t="inlineStr">
        <is>
          <t>RV</t>
        </is>
      </c>
      <c r="F43" t="inlineStr">
        <is>
          <t>MSCI</t>
        </is>
      </c>
      <c r="G43" t="inlineStr"/>
      <c r="H43" t="inlineStr"/>
      <c r="I43" t="inlineStr"/>
      <c r="J43" t="inlineStr">
        <is>
          <t>Intensidad</t>
        </is>
      </c>
      <c r="K43" t="n">
        <v>23.294834</v>
      </c>
    </row>
    <row r="44">
      <c r="A44" t="inlineStr">
        <is>
          <t>202606</t>
        </is>
      </c>
      <c r="B44" t="inlineStr">
        <is>
          <t>Actual</t>
        </is>
      </c>
      <c r="C44" t="inlineStr">
        <is>
          <t>Habitat</t>
        </is>
      </c>
      <c r="D44" t="inlineStr">
        <is>
          <t>AFP_Categoria</t>
        </is>
      </c>
      <c r="E44" t="inlineStr">
        <is>
          <t>Proxies</t>
        </is>
      </c>
      <c r="F44" t="inlineStr">
        <is>
          <t>Proxies</t>
        </is>
      </c>
      <c r="G44" t="inlineStr"/>
      <c r="H44" t="inlineStr"/>
      <c r="I44" t="inlineStr"/>
      <c r="J44" t="inlineStr">
        <is>
          <t>Intensidad</t>
        </is>
      </c>
      <c r="K44" t="n">
        <v>60.443564</v>
      </c>
    </row>
    <row r="45">
      <c r="A45" t="inlineStr">
        <is>
          <t>202606</t>
        </is>
      </c>
      <c r="B45" t="inlineStr">
        <is>
          <t>Actual</t>
        </is>
      </c>
      <c r="C45" t="inlineStr">
        <is>
          <t>Habitat</t>
        </is>
      </c>
      <c r="D45" t="inlineStr">
        <is>
          <t>AFP_Categoria</t>
        </is>
      </c>
      <c r="E45" t="inlineStr">
        <is>
          <t>Alts</t>
        </is>
      </c>
      <c r="F45" t="inlineStr">
        <is>
          <t>Proxies</t>
        </is>
      </c>
      <c r="G45" t="inlineStr"/>
      <c r="H45" t="inlineStr"/>
      <c r="I45" t="inlineStr"/>
      <c r="J45" t="inlineStr">
        <is>
          <t>Intensidad</t>
        </is>
      </c>
      <c r="K45" t="n">
        <v>0</v>
      </c>
    </row>
    <row r="46">
      <c r="A46" t="inlineStr">
        <is>
          <t>202606</t>
        </is>
      </c>
      <c r="B46" t="inlineStr">
        <is>
          <t>Actual</t>
        </is>
      </c>
      <c r="C46" t="inlineStr">
        <is>
          <t>Integra</t>
        </is>
      </c>
      <c r="D46" t="inlineStr">
        <is>
          <t>AFP_Categoria</t>
        </is>
      </c>
      <c r="E46" t="inlineStr">
        <is>
          <t>Materials</t>
        </is>
      </c>
      <c r="F46" t="inlineStr">
        <is>
          <t>MSCI</t>
        </is>
      </c>
      <c r="G46" t="inlineStr"/>
      <c r="H46" t="inlineStr"/>
      <c r="I46" t="inlineStr"/>
      <c r="J46" t="inlineStr">
        <is>
          <t>Intensidad</t>
        </is>
      </c>
      <c r="K46" t="n">
        <v>22.923856</v>
      </c>
    </row>
    <row r="47">
      <c r="A47" t="inlineStr">
        <is>
          <t>202606</t>
        </is>
      </c>
      <c r="B47" t="inlineStr">
        <is>
          <t>Actual</t>
        </is>
      </c>
      <c r="C47" t="inlineStr">
        <is>
          <t>Integra</t>
        </is>
      </c>
      <c r="D47" t="inlineStr">
        <is>
          <t>AFP_Categoria</t>
        </is>
      </c>
      <c r="E47" t="inlineStr">
        <is>
          <t>Utilities</t>
        </is>
      </c>
      <c r="F47" t="inlineStr">
        <is>
          <t>MSCI</t>
        </is>
      </c>
      <c r="G47" t="inlineStr"/>
      <c r="H47" t="inlineStr"/>
      <c r="I47" t="inlineStr"/>
      <c r="J47" t="inlineStr">
        <is>
          <t>Intensidad</t>
        </is>
      </c>
      <c r="K47" t="n">
        <v>0.428393</v>
      </c>
    </row>
    <row r="48">
      <c r="A48" t="inlineStr">
        <is>
          <t>202606</t>
        </is>
      </c>
      <c r="B48" t="inlineStr">
        <is>
          <t>Actual</t>
        </is>
      </c>
      <c r="C48" t="inlineStr">
        <is>
          <t>Integra</t>
        </is>
      </c>
      <c r="D48" t="inlineStr">
        <is>
          <t>AFP_Categoria</t>
        </is>
      </c>
      <c r="E48" t="inlineStr">
        <is>
          <t>Otros</t>
        </is>
      </c>
      <c r="F48" t="inlineStr">
        <is>
          <t>MSCI</t>
        </is>
      </c>
      <c r="G48" t="inlineStr"/>
      <c r="H48" t="inlineStr"/>
      <c r="I48" t="inlineStr"/>
      <c r="J48" t="inlineStr">
        <is>
          <t>Intensidad</t>
        </is>
      </c>
      <c r="K48" t="n">
        <v>9.228149</v>
      </c>
    </row>
    <row r="49">
      <c r="A49" t="inlineStr">
        <is>
          <t>202606</t>
        </is>
      </c>
      <c r="B49" t="inlineStr">
        <is>
          <t>Actual</t>
        </is>
      </c>
      <c r="C49" t="inlineStr">
        <is>
          <t>Integra</t>
        </is>
      </c>
      <c r="D49" t="inlineStr">
        <is>
          <t>AFP_Categoria</t>
        </is>
      </c>
      <c r="E49" t="inlineStr">
        <is>
          <t>RF</t>
        </is>
      </c>
      <c r="F49" t="inlineStr">
        <is>
          <t>MSCI</t>
        </is>
      </c>
      <c r="G49" t="inlineStr"/>
      <c r="H49" t="inlineStr"/>
      <c r="I49" t="inlineStr"/>
      <c r="J49" t="inlineStr">
        <is>
          <t>Intensidad</t>
        </is>
      </c>
      <c r="K49" t="n">
        <v>13.115297</v>
      </c>
    </row>
    <row r="50">
      <c r="A50" t="inlineStr">
        <is>
          <t>202606</t>
        </is>
      </c>
      <c r="B50" t="inlineStr">
        <is>
          <t>Actual</t>
        </is>
      </c>
      <c r="C50" t="inlineStr">
        <is>
          <t>Integra</t>
        </is>
      </c>
      <c r="D50" t="inlineStr">
        <is>
          <t>AFP_Categoria</t>
        </is>
      </c>
      <c r="E50" t="inlineStr">
        <is>
          <t>RV</t>
        </is>
      </c>
      <c r="F50" t="inlineStr">
        <is>
          <t>MSCI</t>
        </is>
      </c>
      <c r="G50" t="inlineStr"/>
      <c r="H50" t="inlineStr"/>
      <c r="I50" t="inlineStr"/>
      <c r="J50" t="inlineStr">
        <is>
          <t>Intensidad</t>
        </is>
      </c>
      <c r="K50" t="n">
        <v>26.231119</v>
      </c>
    </row>
    <row r="51">
      <c r="A51" t="inlineStr">
        <is>
          <t>202606</t>
        </is>
      </c>
      <c r="B51" t="inlineStr">
        <is>
          <t>Actual</t>
        </is>
      </c>
      <c r="C51" t="inlineStr">
        <is>
          <t>Integra</t>
        </is>
      </c>
      <c r="D51" t="inlineStr">
        <is>
          <t>AFP_Categoria</t>
        </is>
      </c>
      <c r="E51" t="inlineStr">
        <is>
          <t>Proxies</t>
        </is>
      </c>
      <c r="F51" t="inlineStr">
        <is>
          <t>Proxies</t>
        </is>
      </c>
      <c r="G51" t="inlineStr"/>
      <c r="H51" t="inlineStr"/>
      <c r="I51" t="inlineStr"/>
      <c r="J51" t="inlineStr">
        <is>
          <t>Intensidad</t>
        </is>
      </c>
      <c r="K51" t="n">
        <v>56.657042</v>
      </c>
    </row>
    <row r="52">
      <c r="A52" t="inlineStr">
        <is>
          <t>202606</t>
        </is>
      </c>
      <c r="B52" t="inlineStr">
        <is>
          <t>Actual</t>
        </is>
      </c>
      <c r="C52" t="inlineStr">
        <is>
          <t>Integra</t>
        </is>
      </c>
      <c r="D52" t="inlineStr">
        <is>
          <t>AFP_Categoria</t>
        </is>
      </c>
      <c r="E52" t="inlineStr">
        <is>
          <t>Alts</t>
        </is>
      </c>
      <c r="F52" t="inlineStr">
        <is>
          <t>Proxies</t>
        </is>
      </c>
      <c r="G52" t="inlineStr"/>
      <c r="H52" t="inlineStr"/>
      <c r="I52" t="inlineStr"/>
      <c r="J52" t="inlineStr">
        <is>
          <t>Intensidad</t>
        </is>
      </c>
      <c r="K52" t="n">
        <v>0</v>
      </c>
    </row>
    <row r="53">
      <c r="A53" t="inlineStr">
        <is>
          <t>202606</t>
        </is>
      </c>
      <c r="B53" t="inlineStr">
        <is>
          <t>Actual</t>
        </is>
      </c>
      <c r="C53" t="inlineStr">
        <is>
          <t>Prima</t>
        </is>
      </c>
      <c r="D53" t="inlineStr">
        <is>
          <t>AFP_Categoria</t>
        </is>
      </c>
      <c r="E53" t="inlineStr">
        <is>
          <t>Materials</t>
        </is>
      </c>
      <c r="F53" t="inlineStr">
        <is>
          <t>MSCI</t>
        </is>
      </c>
      <c r="G53" t="inlineStr"/>
      <c r="H53" t="inlineStr"/>
      <c r="I53" t="inlineStr"/>
      <c r="J53" t="inlineStr">
        <is>
          <t>Intensidad</t>
        </is>
      </c>
      <c r="K53" t="n">
        <v>26.832479</v>
      </c>
    </row>
    <row r="54">
      <c r="A54" t="inlineStr">
        <is>
          <t>202606</t>
        </is>
      </c>
      <c r="B54" t="inlineStr">
        <is>
          <t>Actual</t>
        </is>
      </c>
      <c r="C54" t="inlineStr">
        <is>
          <t>Prima</t>
        </is>
      </c>
      <c r="D54" t="inlineStr">
        <is>
          <t>AFP_Categoria</t>
        </is>
      </c>
      <c r="E54" t="inlineStr">
        <is>
          <t>Utilities</t>
        </is>
      </c>
      <c r="F54" t="inlineStr">
        <is>
          <t>MSCI</t>
        </is>
      </c>
      <c r="G54" t="inlineStr"/>
      <c r="H54" t="inlineStr"/>
      <c r="I54" t="inlineStr"/>
      <c r="J54" t="inlineStr">
        <is>
          <t>Intensidad</t>
        </is>
      </c>
      <c r="K54" t="n">
        <v>1.032637</v>
      </c>
    </row>
    <row r="55">
      <c r="A55" t="inlineStr">
        <is>
          <t>202606</t>
        </is>
      </c>
      <c r="B55" t="inlineStr">
        <is>
          <t>Actual</t>
        </is>
      </c>
      <c r="C55" t="inlineStr">
        <is>
          <t>Prima</t>
        </is>
      </c>
      <c r="D55" t="inlineStr">
        <is>
          <t>AFP_Categoria</t>
        </is>
      </c>
      <c r="E55" t="inlineStr">
        <is>
          <t>Otros</t>
        </is>
      </c>
      <c r="F55" t="inlineStr">
        <is>
          <t>MSCI</t>
        </is>
      </c>
      <c r="G55" t="inlineStr"/>
      <c r="H55" t="inlineStr"/>
      <c r="I55" t="inlineStr"/>
      <c r="J55" t="inlineStr">
        <is>
          <t>Intensidad</t>
        </is>
      </c>
      <c r="K55" t="n">
        <v>12.643002</v>
      </c>
    </row>
    <row r="56">
      <c r="A56" t="inlineStr">
        <is>
          <t>202606</t>
        </is>
      </c>
      <c r="B56" t="inlineStr">
        <is>
          <t>Actual</t>
        </is>
      </c>
      <c r="C56" t="inlineStr">
        <is>
          <t>Prima</t>
        </is>
      </c>
      <c r="D56" t="inlineStr">
        <is>
          <t>AFP_Categoria</t>
        </is>
      </c>
      <c r="E56" t="inlineStr">
        <is>
          <t>RF</t>
        </is>
      </c>
      <c r="F56" t="inlineStr">
        <is>
          <t>MSCI</t>
        </is>
      </c>
      <c r="G56" t="inlineStr"/>
      <c r="H56" t="inlineStr"/>
      <c r="I56" t="inlineStr"/>
      <c r="J56" t="inlineStr">
        <is>
          <t>Intensidad</t>
        </is>
      </c>
      <c r="K56" t="n">
        <v>34.482215</v>
      </c>
    </row>
    <row r="57">
      <c r="A57" t="inlineStr">
        <is>
          <t>202606</t>
        </is>
      </c>
      <c r="B57" t="inlineStr">
        <is>
          <t>Actual</t>
        </is>
      </c>
      <c r="C57" t="inlineStr">
        <is>
          <t>Prima</t>
        </is>
      </c>
      <c r="D57" t="inlineStr">
        <is>
          <t>AFP_Categoria</t>
        </is>
      </c>
      <c r="E57" t="inlineStr">
        <is>
          <t>RV</t>
        </is>
      </c>
      <c r="F57" t="inlineStr">
        <is>
          <t>MSCI</t>
        </is>
      </c>
      <c r="G57" t="inlineStr"/>
      <c r="H57" t="inlineStr"/>
      <c r="I57" t="inlineStr"/>
      <c r="J57" t="inlineStr">
        <is>
          <t>Intensidad</t>
        </is>
      </c>
      <c r="K57" t="n">
        <v>26.31261</v>
      </c>
    </row>
    <row r="58">
      <c r="A58" t="inlineStr">
        <is>
          <t>202606</t>
        </is>
      </c>
      <c r="B58" t="inlineStr">
        <is>
          <t>Actual</t>
        </is>
      </c>
      <c r="C58" t="inlineStr">
        <is>
          <t>Prima</t>
        </is>
      </c>
      <c r="D58" t="inlineStr">
        <is>
          <t>AFP_Categoria</t>
        </is>
      </c>
      <c r="E58" t="inlineStr">
        <is>
          <t>Proxies</t>
        </is>
      </c>
      <c r="F58" t="inlineStr">
        <is>
          <t>Proxies</t>
        </is>
      </c>
      <c r="G58" t="inlineStr"/>
      <c r="H58" t="inlineStr"/>
      <c r="I58" t="inlineStr"/>
      <c r="J58" t="inlineStr">
        <is>
          <t>Intensidad</t>
        </is>
      </c>
      <c r="K58" t="n">
        <v>44.689534</v>
      </c>
    </row>
    <row r="59">
      <c r="A59" t="inlineStr">
        <is>
          <t>202606</t>
        </is>
      </c>
      <c r="B59" t="inlineStr">
        <is>
          <t>Actual</t>
        </is>
      </c>
      <c r="C59" t="inlineStr">
        <is>
          <t>Prima</t>
        </is>
      </c>
      <c r="D59" t="inlineStr">
        <is>
          <t>AFP_Categoria</t>
        </is>
      </c>
      <c r="E59" t="inlineStr">
        <is>
          <t>Alts</t>
        </is>
      </c>
      <c r="F59" t="inlineStr">
        <is>
          <t>Proxies</t>
        </is>
      </c>
      <c r="G59" t="inlineStr"/>
      <c r="H59" t="inlineStr"/>
      <c r="I59" t="inlineStr"/>
      <c r="J59" t="inlineStr">
        <is>
          <t>Intensidad</t>
        </is>
      </c>
      <c r="K59" t="n">
        <v>0</v>
      </c>
    </row>
    <row r="60">
      <c r="A60" t="inlineStr">
        <is>
          <t>202606</t>
        </is>
      </c>
      <c r="B60" t="inlineStr">
        <is>
          <t>Actual</t>
        </is>
      </c>
      <c r="C60" t="inlineStr">
        <is>
          <t>Profuturo</t>
        </is>
      </c>
      <c r="D60" t="inlineStr">
        <is>
          <t>AFP_Categoria</t>
        </is>
      </c>
      <c r="E60" t="inlineStr">
        <is>
          <t>Materials</t>
        </is>
      </c>
      <c r="F60" t="inlineStr">
        <is>
          <t>MSCI</t>
        </is>
      </c>
      <c r="G60" t="inlineStr"/>
      <c r="H60" t="inlineStr"/>
      <c r="I60" t="inlineStr"/>
      <c r="J60" t="inlineStr">
        <is>
          <t>Intensidad</t>
        </is>
      </c>
      <c r="K60" t="n">
        <v>14.867005</v>
      </c>
    </row>
    <row r="61">
      <c r="A61" t="inlineStr">
        <is>
          <t>202606</t>
        </is>
      </c>
      <c r="B61" t="inlineStr">
        <is>
          <t>Actual</t>
        </is>
      </c>
      <c r="C61" t="inlineStr">
        <is>
          <t>Profuturo</t>
        </is>
      </c>
      <c r="D61" t="inlineStr">
        <is>
          <t>AFP_Categoria</t>
        </is>
      </c>
      <c r="E61" t="inlineStr">
        <is>
          <t>Utilities</t>
        </is>
      </c>
      <c r="F61" t="inlineStr">
        <is>
          <t>MSCI</t>
        </is>
      </c>
      <c r="G61" t="inlineStr"/>
      <c r="H61" t="inlineStr"/>
      <c r="I61" t="inlineStr"/>
      <c r="J61" t="inlineStr">
        <is>
          <t>Intensidad</t>
        </is>
      </c>
      <c r="K61" t="n">
        <v>0.00487</v>
      </c>
    </row>
    <row r="62">
      <c r="A62" t="inlineStr">
        <is>
          <t>202606</t>
        </is>
      </c>
      <c r="B62" t="inlineStr">
        <is>
          <t>Actual</t>
        </is>
      </c>
      <c r="C62" t="inlineStr">
        <is>
          <t>Profuturo</t>
        </is>
      </c>
      <c r="D62" t="inlineStr">
        <is>
          <t>AFP_Categoria</t>
        </is>
      </c>
      <c r="E62" t="inlineStr">
        <is>
          <t>Otros</t>
        </is>
      </c>
      <c r="F62" t="inlineStr">
        <is>
          <t>MSCI</t>
        </is>
      </c>
      <c r="G62" t="inlineStr"/>
      <c r="H62" t="inlineStr"/>
      <c r="I62" t="inlineStr"/>
      <c r="J62" t="inlineStr">
        <is>
          <t>Intensidad</t>
        </is>
      </c>
      <c r="K62" t="n">
        <v>9.799307000000001</v>
      </c>
    </row>
    <row r="63">
      <c r="A63" t="inlineStr">
        <is>
          <t>202606</t>
        </is>
      </c>
      <c r="B63" t="inlineStr">
        <is>
          <t>Actual</t>
        </is>
      </c>
      <c r="C63" t="inlineStr">
        <is>
          <t>Profuturo</t>
        </is>
      </c>
      <c r="D63" t="inlineStr">
        <is>
          <t>AFP_Categoria</t>
        </is>
      </c>
      <c r="E63" t="inlineStr">
        <is>
          <t>RF</t>
        </is>
      </c>
      <c r="F63" t="inlineStr">
        <is>
          <t>MSCI</t>
        </is>
      </c>
      <c r="G63" t="inlineStr"/>
      <c r="H63" t="inlineStr"/>
      <c r="I63" t="inlineStr"/>
      <c r="J63" t="inlineStr">
        <is>
          <t>Intensidad</t>
        </is>
      </c>
      <c r="K63" t="n">
        <v>28.800177</v>
      </c>
    </row>
    <row r="64">
      <c r="A64" t="inlineStr">
        <is>
          <t>202606</t>
        </is>
      </c>
      <c r="B64" t="inlineStr">
        <is>
          <t>Actual</t>
        </is>
      </c>
      <c r="C64" t="inlineStr">
        <is>
          <t>Profuturo</t>
        </is>
      </c>
      <c r="D64" t="inlineStr">
        <is>
          <t>AFP_Categoria</t>
        </is>
      </c>
      <c r="E64" t="inlineStr">
        <is>
          <t>RV</t>
        </is>
      </c>
      <c r="F64" t="inlineStr">
        <is>
          <t>MSCI</t>
        </is>
      </c>
      <c r="G64" t="inlineStr"/>
      <c r="H64" t="inlineStr"/>
      <c r="I64" t="inlineStr"/>
      <c r="J64" t="inlineStr">
        <is>
          <t>Intensidad</t>
        </is>
      </c>
      <c r="K64" t="n">
        <v>24.540651</v>
      </c>
    </row>
    <row r="65">
      <c r="A65" t="inlineStr">
        <is>
          <t>202606</t>
        </is>
      </c>
      <c r="B65" t="inlineStr">
        <is>
          <t>Actual</t>
        </is>
      </c>
      <c r="C65" t="inlineStr">
        <is>
          <t>Profuturo</t>
        </is>
      </c>
      <c r="D65" t="inlineStr">
        <is>
          <t>AFP_Categoria</t>
        </is>
      </c>
      <c r="E65" t="inlineStr">
        <is>
          <t>Proxies</t>
        </is>
      </c>
      <c r="F65" t="inlineStr">
        <is>
          <t>Proxies</t>
        </is>
      </c>
      <c r="G65" t="inlineStr"/>
      <c r="H65" t="inlineStr"/>
      <c r="I65" t="inlineStr"/>
      <c r="J65" t="inlineStr">
        <is>
          <t>Intensidad</t>
        </is>
      </c>
      <c r="K65" t="n">
        <v>58.498884</v>
      </c>
    </row>
    <row r="66">
      <c r="A66" t="inlineStr">
        <is>
          <t>202606</t>
        </is>
      </c>
      <c r="B66" t="inlineStr">
        <is>
          <t>Actual</t>
        </is>
      </c>
      <c r="C66" t="inlineStr">
        <is>
          <t>Profuturo</t>
        </is>
      </c>
      <c r="D66" t="inlineStr">
        <is>
          <t>AFP_Categoria</t>
        </is>
      </c>
      <c r="E66" t="inlineStr">
        <is>
          <t>Alts</t>
        </is>
      </c>
      <c r="F66" t="inlineStr">
        <is>
          <t>Proxies</t>
        </is>
      </c>
      <c r="G66" t="inlineStr"/>
      <c r="H66" t="inlineStr"/>
      <c r="I66" t="inlineStr"/>
      <c r="J66" t="inlineStr">
        <is>
          <t>Intensidad</t>
        </is>
      </c>
      <c r="K66" t="n">
        <v>0</v>
      </c>
    </row>
    <row r="67">
      <c r="A67" t="inlineStr">
        <is>
          <t>202606</t>
        </is>
      </c>
      <c r="B67" t="inlineStr">
        <is>
          <t>Actual</t>
        </is>
      </c>
      <c r="C67" t="inlineStr"/>
      <c r="D67" t="inlineStr">
        <is>
          <t>Benchmark_Mercado</t>
        </is>
      </c>
      <c r="E67" t="inlineStr"/>
      <c r="F67" t="inlineStr"/>
      <c r="G67" t="inlineStr"/>
      <c r="H67" t="inlineStr"/>
      <c r="I67" t="inlineStr">
        <is>
          <t>ACWI</t>
        </is>
      </c>
      <c r="J67" t="inlineStr">
        <is>
          <t>Intensidad</t>
        </is>
      </c>
      <c r="K67" t="n">
        <v>33.985581</v>
      </c>
    </row>
    <row r="68">
      <c r="A68" t="inlineStr">
        <is>
          <t>202606</t>
        </is>
      </c>
      <c r="B68" t="inlineStr">
        <is>
          <t>Actual</t>
        </is>
      </c>
      <c r="C68" t="inlineStr"/>
      <c r="D68" t="inlineStr">
        <is>
          <t>Benchmark_Mercado</t>
        </is>
      </c>
      <c r="E68" t="inlineStr"/>
      <c r="F68" t="inlineStr"/>
      <c r="G68" t="inlineStr"/>
      <c r="H68" t="inlineStr"/>
      <c r="I68" t="inlineStr">
        <is>
          <t>ILF</t>
        </is>
      </c>
      <c r="J68" t="inlineStr">
        <is>
          <t>Intensidad</t>
        </is>
      </c>
      <c r="K68" t="n">
        <v>109.309234</v>
      </c>
    </row>
    <row r="69">
      <c r="A69" t="inlineStr">
        <is>
          <t>202606</t>
        </is>
      </c>
      <c r="B69" t="inlineStr">
        <is>
          <t>Actual</t>
        </is>
      </c>
      <c r="C69" t="inlineStr"/>
      <c r="D69" t="inlineStr">
        <is>
          <t>Benchmark_Mercado</t>
        </is>
      </c>
      <c r="E69" t="inlineStr"/>
      <c r="F69" t="inlineStr"/>
      <c r="G69" t="inlineStr"/>
      <c r="H69" t="inlineStr"/>
      <c r="I69" t="inlineStr">
        <is>
          <t>CEMB</t>
        </is>
      </c>
      <c r="J69" t="inlineStr">
        <is>
          <t>Intensidad</t>
        </is>
      </c>
      <c r="K69" t="n">
        <v>186.252214</v>
      </c>
    </row>
    <row r="70">
      <c r="A70" t="inlineStr">
        <is>
          <t>202606</t>
        </is>
      </c>
      <c r="B70" t="inlineStr">
        <is>
          <t>Actual</t>
        </is>
      </c>
      <c r="C70" t="inlineStr"/>
      <c r="D70" t="inlineStr">
        <is>
          <t>Benchmark_Mercado</t>
        </is>
      </c>
      <c r="E70" t="inlineStr"/>
      <c r="F70" t="inlineStr"/>
      <c r="G70" t="inlineStr"/>
      <c r="H70" t="inlineStr"/>
      <c r="I70" t="inlineStr">
        <is>
          <t>EMB</t>
        </is>
      </c>
      <c r="J70" t="inlineStr">
        <is>
          <t>Intensidad</t>
        </is>
      </c>
      <c r="K70" t="n">
        <v>388.101959</v>
      </c>
    </row>
    <row r="71">
      <c r="A71" t="inlineStr">
        <is>
          <t>202606</t>
        </is>
      </c>
      <c r="B71" t="inlineStr">
        <is>
          <t>Actual</t>
        </is>
      </c>
      <c r="C71" t="inlineStr">
        <is>
          <t>Integra</t>
        </is>
      </c>
      <c r="D71" t="inlineStr">
        <is>
          <t>Soberano_GOB</t>
        </is>
      </c>
      <c r="E71" t="inlineStr"/>
      <c r="F71" t="inlineStr"/>
      <c r="G71" t="inlineStr">
        <is>
          <t>Perú</t>
        </is>
      </c>
      <c r="H71" t="inlineStr">
        <is>
          <t>Gobierno Central</t>
        </is>
      </c>
      <c r="I71" t="inlineStr"/>
      <c r="J71" t="inlineStr">
        <is>
          <t>Intensidad</t>
        </is>
      </c>
      <c r="K71" t="n">
        <v>81.922696</v>
      </c>
    </row>
    <row r="72">
      <c r="A72" t="inlineStr">
        <is>
          <t>202606</t>
        </is>
      </c>
      <c r="B72" t="inlineStr">
        <is>
          <t>Actual</t>
        </is>
      </c>
      <c r="C72" t="inlineStr">
        <is>
          <t>Integra</t>
        </is>
      </c>
      <c r="D72" t="inlineStr">
        <is>
          <t>Soberano_GOB</t>
        </is>
      </c>
      <c r="E72" t="inlineStr"/>
      <c r="F72" t="inlineStr"/>
      <c r="G72" t="inlineStr">
        <is>
          <t>Brasil</t>
        </is>
      </c>
      <c r="H72" t="inlineStr">
        <is>
          <t>Gobierno de Brasil</t>
        </is>
      </c>
      <c r="I72" t="inlineStr"/>
      <c r="J72" t="inlineStr">
        <is>
          <t>Intensidad</t>
        </is>
      </c>
      <c r="K72" t="n">
        <v>27.364061</v>
      </c>
    </row>
    <row r="73">
      <c r="A73" t="inlineStr">
        <is>
          <t>202606</t>
        </is>
      </c>
      <c r="B73" t="inlineStr">
        <is>
          <t>Actual</t>
        </is>
      </c>
      <c r="C73" t="inlineStr">
        <is>
          <t>Integra</t>
        </is>
      </c>
      <c r="D73" t="inlineStr">
        <is>
          <t>Soberano_GOB</t>
        </is>
      </c>
      <c r="E73" t="inlineStr"/>
      <c r="F73" t="inlineStr"/>
      <c r="G73" t="inlineStr">
        <is>
          <t>Colombia</t>
        </is>
      </c>
      <c r="H73" t="inlineStr">
        <is>
          <t>Gobierno de Colombia</t>
        </is>
      </c>
      <c r="I73" t="inlineStr"/>
      <c r="J73" t="inlineStr">
        <is>
          <t>Intensidad</t>
        </is>
      </c>
      <c r="K73" t="n">
        <v>9.641954999999999</v>
      </c>
    </row>
    <row r="74">
      <c r="A74" t="inlineStr">
        <is>
          <t>202606</t>
        </is>
      </c>
      <c r="B74" t="inlineStr">
        <is>
          <t>Actual</t>
        </is>
      </c>
      <c r="C74" t="inlineStr">
        <is>
          <t>Integra</t>
        </is>
      </c>
      <c r="D74" t="inlineStr">
        <is>
          <t>Soberano_GOB</t>
        </is>
      </c>
      <c r="E74" t="inlineStr"/>
      <c r="F74" t="inlineStr"/>
      <c r="G74" t="inlineStr">
        <is>
          <t>Sudáfrica</t>
        </is>
      </c>
      <c r="H74" t="inlineStr">
        <is>
          <t>Gobierno de Sudáfrica</t>
        </is>
      </c>
      <c r="I74" t="inlineStr"/>
      <c r="J74" t="inlineStr">
        <is>
          <t>Intensidad</t>
        </is>
      </c>
      <c r="K74" t="n">
        <v>9.213352</v>
      </c>
    </row>
    <row r="75">
      <c r="A75" t="inlineStr">
        <is>
          <t>202606</t>
        </is>
      </c>
      <c r="B75" t="inlineStr">
        <is>
          <t>Actual</t>
        </is>
      </c>
      <c r="C75" t="inlineStr">
        <is>
          <t>Integra</t>
        </is>
      </c>
      <c r="D75" t="inlineStr">
        <is>
          <t>Soberano_GOB</t>
        </is>
      </c>
      <c r="E75" t="inlineStr"/>
      <c r="F75" t="inlineStr"/>
      <c r="G75" t="inlineStr">
        <is>
          <t>México</t>
        </is>
      </c>
      <c r="H75" t="inlineStr">
        <is>
          <t>Gobierno de Mexico</t>
        </is>
      </c>
      <c r="I75" t="inlineStr"/>
      <c r="J75" t="inlineStr">
        <is>
          <t>Intensidad</t>
        </is>
      </c>
      <c r="K75" t="n">
        <v>3.330972</v>
      </c>
    </row>
    <row r="76">
      <c r="A76" t="inlineStr">
        <is>
          <t>202606</t>
        </is>
      </c>
      <c r="B76" t="inlineStr">
        <is>
          <t>Actual</t>
        </is>
      </c>
      <c r="C76" t="inlineStr">
        <is>
          <t>Integra</t>
        </is>
      </c>
      <c r="D76" t="inlineStr">
        <is>
          <t>Soberano_GOB</t>
        </is>
      </c>
      <c r="E76" t="inlineStr"/>
      <c r="F76" t="inlineStr"/>
      <c r="G76" t="inlineStr">
        <is>
          <t>México</t>
        </is>
      </c>
      <c r="H76" t="inlineStr">
        <is>
          <t>Gobierno de México</t>
        </is>
      </c>
      <c r="I76" t="inlineStr"/>
      <c r="J76" t="inlineStr">
        <is>
          <t>Intensidad</t>
        </is>
      </c>
      <c r="K76" t="n">
        <v>2.749931</v>
      </c>
    </row>
    <row r="77">
      <c r="A77" t="inlineStr">
        <is>
          <t>202606</t>
        </is>
      </c>
      <c r="B77" t="inlineStr">
        <is>
          <t>Actual</t>
        </is>
      </c>
      <c r="C77" t="inlineStr">
        <is>
          <t>Integra</t>
        </is>
      </c>
      <c r="D77" t="inlineStr">
        <is>
          <t>Soberano_GOB</t>
        </is>
      </c>
      <c r="E77" t="inlineStr"/>
      <c r="F77" t="inlineStr"/>
      <c r="G77" t="inlineStr">
        <is>
          <t>Chile</t>
        </is>
      </c>
      <c r="H77" t="inlineStr">
        <is>
          <t>Gobierno de Chile</t>
        </is>
      </c>
      <c r="I77" t="inlineStr"/>
      <c r="J77" t="inlineStr">
        <is>
          <t>Intensidad</t>
        </is>
      </c>
      <c r="K77" t="n">
        <v>1.310432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Emisor</t>
        </is>
      </c>
      <c r="E1" t="inlineStr">
        <is>
          <t>Metrica</t>
        </is>
      </c>
      <c r="F1" t="inlineStr">
        <is>
          <t>Valor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AXA - World Funds Framligton Digital Economy</t>
        </is>
      </c>
      <c r="E2" t="inlineStr">
        <is>
          <t>Huella</t>
        </is>
      </c>
      <c r="F2" t="n">
        <v>0.09615700000000001</v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AXA - World Funds Framligton Digital Economy</t>
        </is>
      </c>
      <c r="E3" t="inlineStr">
        <is>
          <t>Intensidad</t>
        </is>
      </c>
      <c r="F3" t="n">
        <v>2.7e-05</v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AXA - World Funds Framligton Digital Economy</t>
        </is>
      </c>
      <c r="E4" t="inlineStr">
        <is>
          <t>Inv MM$</t>
        </is>
      </c>
      <c r="F4" t="n">
        <v>0.070143</v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AXA World Funds - US Dynamic High Yield</t>
        </is>
      </c>
      <c r="E5" t="inlineStr">
        <is>
          <t>Huella</t>
        </is>
      </c>
      <c r="F5" t="n">
        <v>0.117442</v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Ex_Integra</t>
        </is>
      </c>
      <c r="D6" t="inlineStr">
        <is>
          <t>AXA World Funds - US Dynamic High Yield</t>
        </is>
      </c>
      <c r="E6" t="inlineStr">
        <is>
          <t>Intensidad</t>
        </is>
      </c>
      <c r="F6" t="n">
        <v>3.2e-05</v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Ex_Integra</t>
        </is>
      </c>
      <c r="D7" t="inlineStr">
        <is>
          <t>AXA World Funds - US Dynamic High Yield</t>
        </is>
      </c>
      <c r="E7" t="inlineStr">
        <is>
          <t>Inv MM$</t>
        </is>
      </c>
      <c r="F7" t="n">
        <v>0.001041</v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Ex_Integra</t>
        </is>
      </c>
      <c r="D8" t="inlineStr">
        <is>
          <t>Aberdeen - Select Emerging Markets Bond</t>
        </is>
      </c>
      <c r="E8" t="inlineStr">
        <is>
          <t>Huella</t>
        </is>
      </c>
      <c r="F8" t="n">
        <v>2.6e-05</v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Ex_Integra</t>
        </is>
      </c>
      <c r="D9" t="inlineStr">
        <is>
          <t>Aberdeen - Select Emerging Markets Bond</t>
        </is>
      </c>
      <c r="E9" t="inlineStr">
        <is>
          <t>Intensidad</t>
        </is>
      </c>
      <c r="F9" t="n">
        <v>0</v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Ex_Integra</t>
        </is>
      </c>
      <c r="D10" t="inlineStr">
        <is>
          <t>Aberdeen - Select Emerging Markets Bond</t>
        </is>
      </c>
      <c r="E10" t="inlineStr">
        <is>
          <t>Inv MM$</t>
        </is>
      </c>
      <c r="F10" t="n">
        <v>0</v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Ex_Integra</t>
        </is>
      </c>
      <c r="D11" t="inlineStr">
        <is>
          <t>Aegon High Yield Global Bond Fund</t>
        </is>
      </c>
      <c r="E11" t="inlineStr">
        <is>
          <t>Huella</t>
        </is>
      </c>
      <c r="F11" t="n">
        <v>2598.66482</v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Ex_Integra</t>
        </is>
      </c>
      <c r="D12" t="inlineStr">
        <is>
          <t>Aegon High Yield Global Bond Fund</t>
        </is>
      </c>
      <c r="E12" t="inlineStr">
        <is>
          <t>Intensidad</t>
        </is>
      </c>
      <c r="F12" t="n">
        <v>0.461637</v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Ex_Integra</t>
        </is>
      </c>
      <c r="D13" t="inlineStr">
        <is>
          <t>Aegon High Yield Global Bond Fund</t>
        </is>
      </c>
      <c r="E13" t="inlineStr">
        <is>
          <t>Inv MM$</t>
        </is>
      </c>
      <c r="F13" t="n">
        <v>38.74936</v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Ex_Integra</t>
        </is>
      </c>
      <c r="D14" t="inlineStr">
        <is>
          <t>Aenza</t>
        </is>
      </c>
      <c r="E14" t="inlineStr">
        <is>
          <t>Huella</t>
        </is>
      </c>
      <c r="F14" t="n">
        <v>7988.283426</v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Ex_Integra</t>
        </is>
      </c>
      <c r="D15" t="inlineStr">
        <is>
          <t>Aenza</t>
        </is>
      </c>
      <c r="E15" t="inlineStr">
        <is>
          <t>Intensidad</t>
        </is>
      </c>
      <c r="F15" t="n">
        <v>1.651909</v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Ex_Integra</t>
        </is>
      </c>
      <c r="D16" t="inlineStr">
        <is>
          <t>Aenza</t>
        </is>
      </c>
      <c r="E16" t="inlineStr">
        <is>
          <t>Inv MM$</t>
        </is>
      </c>
      <c r="F16" t="n">
        <v>62.281954</v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Ex_Integra</t>
        </is>
      </c>
      <c r="D17" t="inlineStr">
        <is>
          <t>Alicorp</t>
        </is>
      </c>
      <c r="E17" t="inlineStr">
        <is>
          <t>Huella</t>
        </is>
      </c>
      <c r="F17" t="n">
        <v>74.45043699999999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Ex_Integra</t>
        </is>
      </c>
      <c r="D18" t="inlineStr">
        <is>
          <t>Alicorp</t>
        </is>
      </c>
      <c r="E18" t="inlineStr">
        <is>
          <t>Intensidad</t>
        </is>
      </c>
      <c r="F18" t="n">
        <v>0.018426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Ex_Integra</t>
        </is>
      </c>
      <c r="D19" t="inlineStr">
        <is>
          <t>Alicorp</t>
        </is>
      </c>
      <c r="E19" t="inlineStr">
        <is>
          <t>Inv MM$</t>
        </is>
      </c>
      <c r="F19" t="n">
        <v>2.034165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Ex_Integra</t>
        </is>
      </c>
      <c r="D20" t="inlineStr">
        <is>
          <t>Alliance Bernstein - Emerging Markets Growth</t>
        </is>
      </c>
      <c r="E20" t="inlineStr">
        <is>
          <t>Huella</t>
        </is>
      </c>
      <c r="F20" t="n">
        <v>348.614542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Ex_Integra</t>
        </is>
      </c>
      <c r="D21" t="inlineStr">
        <is>
          <t>Alliance Bernstein - Emerging Markets Growth</t>
        </is>
      </c>
      <c r="E21" t="inlineStr">
        <is>
          <t>Intensidad</t>
        </is>
      </c>
      <c r="F21" t="n">
        <v>0.091332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Ex_Integra</t>
        </is>
      </c>
      <c r="D22" t="inlineStr">
        <is>
          <t>Alliance Bernstein - Emerging Markets Growth</t>
        </is>
      </c>
      <c r="E22" t="inlineStr">
        <is>
          <t>Inv MM$</t>
        </is>
      </c>
      <c r="F22" t="n">
        <v>3.849484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Ex_Integra</t>
        </is>
      </c>
      <c r="D23" t="inlineStr">
        <is>
          <t>Allianz - Artificial Intelligence</t>
        </is>
      </c>
      <c r="E23" t="inlineStr">
        <is>
          <t>Huella</t>
        </is>
      </c>
      <c r="F23" t="n">
        <v>34.740787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Ex_Integra</t>
        </is>
      </c>
      <c r="D24" t="inlineStr">
        <is>
          <t>Allianz - Artificial Intelligence</t>
        </is>
      </c>
      <c r="E24" t="inlineStr">
        <is>
          <t>Intensidad</t>
        </is>
      </c>
      <c r="F24" t="n">
        <v>0.009767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Ex_Integra</t>
        </is>
      </c>
      <c r="D25" t="inlineStr">
        <is>
          <t>Allianz - Artificial Intelligence</t>
        </is>
      </c>
      <c r="E25" t="inlineStr">
        <is>
          <t>Inv MM$</t>
        </is>
      </c>
      <c r="F25" t="n">
        <v>4.297153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Ex_Integra</t>
        </is>
      </c>
      <c r="D26" t="inlineStr">
        <is>
          <t>Allianz - China-A</t>
        </is>
      </c>
      <c r="E26" t="inlineStr">
        <is>
          <t>Huella</t>
        </is>
      </c>
      <c r="F26" t="n">
        <v>59.193733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Ex_Integra</t>
        </is>
      </c>
      <c r="D27" t="inlineStr">
        <is>
          <t>Allianz - China-A</t>
        </is>
      </c>
      <c r="E27" t="inlineStr">
        <is>
          <t>Intensidad</t>
        </is>
      </c>
      <c r="F27" t="n">
        <v>0.014008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Ex_Integra</t>
        </is>
      </c>
      <c r="D28" t="inlineStr">
        <is>
          <t>Allianz - China-A</t>
        </is>
      </c>
      <c r="E28" t="inlineStr">
        <is>
          <t>Inv MM$</t>
        </is>
      </c>
      <c r="F28" t="n">
        <v>1.652254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Ex_Integra</t>
        </is>
      </c>
      <c r="D29" t="inlineStr">
        <is>
          <t>Allianz - Euroland Equity Growth</t>
        </is>
      </c>
      <c r="E29" t="inlineStr">
        <is>
          <t>Huella</t>
        </is>
      </c>
      <c r="F29" t="n">
        <v>20.458282</v>
      </c>
    </row>
    <row r="30">
      <c r="A30" t="inlineStr">
        <is>
          <t>202512</t>
        </is>
      </c>
      <c r="B30" t="inlineStr">
        <is>
          <t>Comparación</t>
        </is>
      </c>
      <c r="C30" t="inlineStr">
        <is>
          <t>Ex_Integra</t>
        </is>
      </c>
      <c r="D30" t="inlineStr">
        <is>
          <t>Allianz - Euroland Equity Growth</t>
        </is>
      </c>
      <c r="E30" t="inlineStr">
        <is>
          <t>Intensidad</t>
        </is>
      </c>
      <c r="F30" t="n">
        <v>0.005707</v>
      </c>
    </row>
    <row r="31">
      <c r="A31" t="inlineStr">
        <is>
          <t>202512</t>
        </is>
      </c>
      <c r="B31" t="inlineStr">
        <is>
          <t>Comparación</t>
        </is>
      </c>
      <c r="C31" t="inlineStr">
        <is>
          <t>Ex_Integra</t>
        </is>
      </c>
      <c r="D31" t="inlineStr">
        <is>
          <t>Allianz - Euroland Equity Growth</t>
        </is>
      </c>
      <c r="E31" t="inlineStr">
        <is>
          <t>Inv MM$</t>
        </is>
      </c>
      <c r="F31" t="n">
        <v>0.62096</v>
      </c>
    </row>
    <row r="32">
      <c r="A32" t="inlineStr">
        <is>
          <t>202512</t>
        </is>
      </c>
      <c r="B32" t="inlineStr">
        <is>
          <t>Comparación</t>
        </is>
      </c>
      <c r="C32" t="inlineStr">
        <is>
          <t>Ex_Integra</t>
        </is>
      </c>
      <c r="D32" t="inlineStr">
        <is>
          <t>Amundi / Pioneer - Global Subordinated</t>
        </is>
      </c>
      <c r="E32" t="inlineStr">
        <is>
          <t>Huella</t>
        </is>
      </c>
      <c r="F32" t="n">
        <v>7.073778</v>
      </c>
    </row>
    <row r="33">
      <c r="A33" t="inlineStr">
        <is>
          <t>202512</t>
        </is>
      </c>
      <c r="B33" t="inlineStr">
        <is>
          <t>Comparación</t>
        </is>
      </c>
      <c r="C33" t="inlineStr">
        <is>
          <t>Ex_Integra</t>
        </is>
      </c>
      <c r="D33" t="inlineStr">
        <is>
          <t>Amundi / Pioneer - Global Subordinated</t>
        </is>
      </c>
      <c r="E33" t="inlineStr">
        <is>
          <t>Intensidad</t>
        </is>
      </c>
      <c r="F33" t="n">
        <v>0.001912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Ex_Integra</t>
        </is>
      </c>
      <c r="D34" t="inlineStr">
        <is>
          <t>Amundi / Pioneer - Global Subordinated</t>
        </is>
      </c>
      <c r="E34" t="inlineStr">
        <is>
          <t>Inv MM$</t>
        </is>
      </c>
      <c r="F34" t="n">
        <v>0.142119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Ex_Integra</t>
        </is>
      </c>
      <c r="D35" t="inlineStr">
        <is>
          <t>Ashmore - Emerging Markets Frontier Equities</t>
        </is>
      </c>
      <c r="E35" t="inlineStr">
        <is>
          <t>Huella</t>
        </is>
      </c>
      <c r="F35" t="n">
        <v>0.083496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Ex_Integra</t>
        </is>
      </c>
      <c r="D36" t="inlineStr">
        <is>
          <t>Ashmore - Emerging Markets Frontier Equities</t>
        </is>
      </c>
      <c r="E36" t="inlineStr">
        <is>
          <t>Intensidad</t>
        </is>
      </c>
      <c r="F36" t="n">
        <v>1.9e-05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Ex_Integra</t>
        </is>
      </c>
      <c r="D37" t="inlineStr">
        <is>
          <t>Ashmore - Emerging Markets Frontier Equities</t>
        </is>
      </c>
      <c r="E37" t="inlineStr">
        <is>
          <t>Inv MM$</t>
        </is>
      </c>
      <c r="F37" t="n">
        <v>0.00144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Ex_Integra</t>
        </is>
      </c>
      <c r="D38" t="inlineStr">
        <is>
          <t>Azimut Investments SA - AZ Fund 3, AZ Bond Frontier Markets Debt</t>
        </is>
      </c>
      <c r="E38" t="inlineStr">
        <is>
          <t>Huella</t>
        </is>
      </c>
      <c r="F38" t="n">
        <v>17.641939</v>
      </c>
    </row>
    <row r="39">
      <c r="A39" t="inlineStr">
        <is>
          <t>202512</t>
        </is>
      </c>
      <c r="B39" t="inlineStr">
        <is>
          <t>Comparación</t>
        </is>
      </c>
      <c r="C39" t="inlineStr">
        <is>
          <t>Ex_Integra</t>
        </is>
      </c>
      <c r="D39" t="inlineStr">
        <is>
          <t>Azimut Investments SA - AZ Fund 3, AZ Bond Frontier Markets Debt</t>
        </is>
      </c>
      <c r="E39" t="inlineStr">
        <is>
          <t>Intensidad</t>
        </is>
      </c>
      <c r="F39" t="n">
        <v>0.003185</v>
      </c>
    </row>
    <row r="40">
      <c r="A40" t="inlineStr">
        <is>
          <t>202512</t>
        </is>
      </c>
      <c r="B40" t="inlineStr">
        <is>
          <t>Comparación</t>
        </is>
      </c>
      <c r="C40" t="inlineStr">
        <is>
          <t>Ex_Integra</t>
        </is>
      </c>
      <c r="D40" t="inlineStr">
        <is>
          <t>Azimut Investments SA - AZ Fund 3, AZ Bond Frontier Markets Debt</t>
        </is>
      </c>
      <c r="E40" t="inlineStr">
        <is>
          <t>Inv MM$</t>
        </is>
      </c>
      <c r="F40" t="n">
        <v>11.64011</v>
      </c>
    </row>
    <row r="41">
      <c r="A41" t="inlineStr">
        <is>
          <t>202512</t>
        </is>
      </c>
      <c r="B41" t="inlineStr">
        <is>
          <t>Comparación</t>
        </is>
      </c>
      <c r="C41" t="inlineStr">
        <is>
          <t>Ex_Integra</t>
        </is>
      </c>
      <c r="D41" t="inlineStr">
        <is>
          <t>BBVA Bancomer</t>
        </is>
      </c>
      <c r="E41" t="inlineStr">
        <is>
          <t>Huella</t>
        </is>
      </c>
      <c r="F41" t="n">
        <v>16.639344</v>
      </c>
    </row>
    <row r="42">
      <c r="A42" t="inlineStr">
        <is>
          <t>202512</t>
        </is>
      </c>
      <c r="B42" t="inlineStr">
        <is>
          <t>Comparación</t>
        </is>
      </c>
      <c r="C42" t="inlineStr">
        <is>
          <t>Ex_Integra</t>
        </is>
      </c>
      <c r="D42" t="inlineStr">
        <is>
          <t>BBVA Bancomer</t>
        </is>
      </c>
      <c r="E42" t="inlineStr">
        <is>
          <t>Intensidad</t>
        </is>
      </c>
      <c r="F42" t="n">
        <v>0.004496</v>
      </c>
    </row>
    <row r="43">
      <c r="A43" t="inlineStr">
        <is>
          <t>202512</t>
        </is>
      </c>
      <c r="B43" t="inlineStr">
        <is>
          <t>Comparación</t>
        </is>
      </c>
      <c r="C43" t="inlineStr">
        <is>
          <t>Ex_Integra</t>
        </is>
      </c>
      <c r="D43" t="inlineStr">
        <is>
          <t>BBVA Bancomer</t>
        </is>
      </c>
      <c r="E43" t="inlineStr">
        <is>
          <t>Inv MM$</t>
        </is>
      </c>
      <c r="F43" t="n">
        <v>13.86612</v>
      </c>
    </row>
    <row r="44">
      <c r="A44" t="inlineStr">
        <is>
          <t>202512</t>
        </is>
      </c>
      <c r="B44" t="inlineStr">
        <is>
          <t>Comparación</t>
        </is>
      </c>
      <c r="C44" t="inlineStr">
        <is>
          <t>Ex_Integra</t>
        </is>
      </c>
      <c r="D44" t="inlineStr">
        <is>
          <t>BD Capital - Senior Loans 2</t>
        </is>
      </c>
      <c r="E44" t="inlineStr">
        <is>
          <t>Huella</t>
        </is>
      </c>
      <c r="F44" t="n">
        <v>8870.484012000001</v>
      </c>
    </row>
    <row r="45">
      <c r="A45" t="inlineStr">
        <is>
          <t>202512</t>
        </is>
      </c>
      <c r="B45" t="inlineStr">
        <is>
          <t>Comparación</t>
        </is>
      </c>
      <c r="C45" t="inlineStr">
        <is>
          <t>Ex_Integra</t>
        </is>
      </c>
      <c r="D45" t="inlineStr">
        <is>
          <t>BD Capital - Senior Loans 2</t>
        </is>
      </c>
      <c r="E45" t="inlineStr">
        <is>
          <t>Intensidad</t>
        </is>
      </c>
      <c r="F45" t="n">
        <v>1.564235</v>
      </c>
    </row>
    <row r="46">
      <c r="A46" t="inlineStr">
        <is>
          <t>202512</t>
        </is>
      </c>
      <c r="B46" t="inlineStr">
        <is>
          <t>Comparación</t>
        </is>
      </c>
      <c r="C46" t="inlineStr">
        <is>
          <t>Ex_Integra</t>
        </is>
      </c>
      <c r="D46" t="inlineStr">
        <is>
          <t>BD Capital - Senior Loans 2</t>
        </is>
      </c>
      <c r="E46" t="inlineStr">
        <is>
          <t>Inv MM$</t>
        </is>
      </c>
      <c r="F46" t="n">
        <v>72.573753</v>
      </c>
    </row>
    <row r="47">
      <c r="A47" t="inlineStr">
        <is>
          <t>202512</t>
        </is>
      </c>
      <c r="B47" t="inlineStr">
        <is>
          <t>Comparación</t>
        </is>
      </c>
      <c r="C47" t="inlineStr">
        <is>
          <t>Ex_Integra</t>
        </is>
      </c>
      <c r="D47" t="inlineStr">
        <is>
          <t>BNP Paribas - Japan Small Caps</t>
        </is>
      </c>
      <c r="E47" t="inlineStr">
        <is>
          <t>Huella</t>
        </is>
      </c>
      <c r="F47" t="n">
        <v>10109.248968</v>
      </c>
    </row>
    <row r="48">
      <c r="A48" t="inlineStr">
        <is>
          <t>202512</t>
        </is>
      </c>
      <c r="B48" t="inlineStr">
        <is>
          <t>Comparación</t>
        </is>
      </c>
      <c r="C48" t="inlineStr">
        <is>
          <t>Ex_Integra</t>
        </is>
      </c>
      <c r="D48" t="inlineStr">
        <is>
          <t>BNP Paribas - Japan Small Caps</t>
        </is>
      </c>
      <c r="E48" t="inlineStr">
        <is>
          <t>Intensidad</t>
        </is>
      </c>
      <c r="F48" t="n">
        <v>1.621033</v>
      </c>
    </row>
    <row r="49">
      <c r="A49" t="inlineStr">
        <is>
          <t>202512</t>
        </is>
      </c>
      <c r="B49" t="inlineStr">
        <is>
          <t>Comparación</t>
        </is>
      </c>
      <c r="C49" t="inlineStr">
        <is>
          <t>Ex_Integra</t>
        </is>
      </c>
      <c r="D49" t="inlineStr">
        <is>
          <t>BNP Paribas - Japan Small Caps</t>
        </is>
      </c>
      <c r="E49" t="inlineStr">
        <is>
          <t>Inv MM$</t>
        </is>
      </c>
      <c r="F49" t="n">
        <v>83.28086399999999</v>
      </c>
    </row>
    <row r="50">
      <c r="A50" t="inlineStr">
        <is>
          <t>202512</t>
        </is>
      </c>
      <c r="B50" t="inlineStr">
        <is>
          <t>Comparación</t>
        </is>
      </c>
      <c r="C50" t="inlineStr">
        <is>
          <t>Ex_Integra</t>
        </is>
      </c>
      <c r="D50" t="inlineStr">
        <is>
          <t>Baillie Gifford &amp; Co Ltd - Overseas Growth Funds ICVC - Pacific Fund</t>
        </is>
      </c>
      <c r="E50" t="inlineStr">
        <is>
          <t>Huella</t>
        </is>
      </c>
      <c r="F50" t="n">
        <v>499.245657</v>
      </c>
    </row>
    <row r="51">
      <c r="A51" t="inlineStr">
        <is>
          <t>202512</t>
        </is>
      </c>
      <c r="B51" t="inlineStr">
        <is>
          <t>Comparación</t>
        </is>
      </c>
      <c r="C51" t="inlineStr">
        <is>
          <t>Ex_Integra</t>
        </is>
      </c>
      <c r="D51" t="inlineStr">
        <is>
          <t>Baillie Gifford &amp; Co Ltd - Overseas Growth Funds ICVC - Pacific Fund</t>
        </is>
      </c>
      <c r="E51" t="inlineStr">
        <is>
          <t>Intensidad</t>
        </is>
      </c>
      <c r="F51" t="n">
        <v>0.03575</v>
      </c>
    </row>
    <row r="52">
      <c r="A52" t="inlineStr">
        <is>
          <t>202512</t>
        </is>
      </c>
      <c r="B52" t="inlineStr">
        <is>
          <t>Comparación</t>
        </is>
      </c>
      <c r="C52" t="inlineStr">
        <is>
          <t>Ex_Integra</t>
        </is>
      </c>
      <c r="D52" t="inlineStr">
        <is>
          <t>Baillie Gifford &amp; Co Ltd - Overseas Growth Funds ICVC - Pacific Fund</t>
        </is>
      </c>
      <c r="E52" t="inlineStr">
        <is>
          <t>Inv MM$</t>
        </is>
      </c>
      <c r="F52" t="n">
        <v>19.084912</v>
      </c>
    </row>
    <row r="53">
      <c r="A53" t="inlineStr">
        <is>
          <t>202512</t>
        </is>
      </c>
      <c r="B53" t="inlineStr">
        <is>
          <t>Comparación</t>
        </is>
      </c>
      <c r="C53" t="inlineStr">
        <is>
          <t>Ex_Integra</t>
        </is>
      </c>
      <c r="D53" t="inlineStr">
        <is>
          <t>Barings - Emerging Markets Local Debt Fund</t>
        </is>
      </c>
      <c r="E53" t="inlineStr">
        <is>
          <t>Huella</t>
        </is>
      </c>
      <c r="F53" t="n">
        <v>42.13222</v>
      </c>
    </row>
    <row r="54">
      <c r="A54" t="inlineStr">
        <is>
          <t>202512</t>
        </is>
      </c>
      <c r="B54" t="inlineStr">
        <is>
          <t>Comparación</t>
        </is>
      </c>
      <c r="C54" t="inlineStr">
        <is>
          <t>Ex_Integra</t>
        </is>
      </c>
      <c r="D54" t="inlineStr">
        <is>
          <t>Barings - Emerging Markets Local Debt Fund</t>
        </is>
      </c>
      <c r="E54" t="inlineStr">
        <is>
          <t>Intensidad</t>
        </is>
      </c>
      <c r="F54" t="n">
        <v>0.011228</v>
      </c>
    </row>
    <row r="55">
      <c r="A55" t="inlineStr">
        <is>
          <t>202512</t>
        </is>
      </c>
      <c r="B55" t="inlineStr">
        <is>
          <t>Comparación</t>
        </is>
      </c>
      <c r="C55" t="inlineStr">
        <is>
          <t>Ex_Integra</t>
        </is>
      </c>
      <c r="D55" t="inlineStr">
        <is>
          <t>Barings - Emerging Markets Local Debt Fund</t>
        </is>
      </c>
      <c r="E55" t="inlineStr">
        <is>
          <t>Inv MM$</t>
        </is>
      </c>
      <c r="F55" t="n">
        <v>17.305361</v>
      </c>
    </row>
    <row r="56">
      <c r="A56" t="inlineStr">
        <is>
          <t>202512</t>
        </is>
      </c>
      <c r="B56" t="inlineStr">
        <is>
          <t>Comparación</t>
        </is>
      </c>
      <c r="C56" t="inlineStr">
        <is>
          <t>Ex_Integra</t>
        </is>
      </c>
      <c r="D56" t="inlineStr">
        <is>
          <t>Black Rock - World Technology Fund</t>
        </is>
      </c>
      <c r="E56" t="inlineStr">
        <is>
          <t>Huella</t>
        </is>
      </c>
      <c r="F56" t="n">
        <v>57.730393</v>
      </c>
    </row>
    <row r="57">
      <c r="A57" t="inlineStr">
        <is>
          <t>202512</t>
        </is>
      </c>
      <c r="B57" t="inlineStr">
        <is>
          <t>Comparación</t>
        </is>
      </c>
      <c r="C57" t="inlineStr">
        <is>
          <t>Ex_Integra</t>
        </is>
      </c>
      <c r="D57" t="inlineStr">
        <is>
          <t>Black Rock - World Technology Fund</t>
        </is>
      </c>
      <c r="E57" t="inlineStr">
        <is>
          <t>Intensidad</t>
        </is>
      </c>
      <c r="F57" t="n">
        <v>0.011389</v>
      </c>
    </row>
    <row r="58">
      <c r="A58" t="inlineStr">
        <is>
          <t>202512</t>
        </is>
      </c>
      <c r="B58" t="inlineStr">
        <is>
          <t>Comparación</t>
        </is>
      </c>
      <c r="C58" t="inlineStr">
        <is>
          <t>Ex_Integra</t>
        </is>
      </c>
      <c r="D58" t="inlineStr">
        <is>
          <t>Black Rock - World Technology Fund</t>
        </is>
      </c>
      <c r="E58" t="inlineStr">
        <is>
          <t>Inv MM$</t>
        </is>
      </c>
      <c r="F58" t="n">
        <v>21.548866</v>
      </c>
    </row>
    <row r="59">
      <c r="A59" t="inlineStr">
        <is>
          <t>202512</t>
        </is>
      </c>
      <c r="B59" t="inlineStr">
        <is>
          <t>Comparación</t>
        </is>
      </c>
      <c r="C59" t="inlineStr">
        <is>
          <t>Ex_Integra</t>
        </is>
      </c>
      <c r="D59" t="inlineStr">
        <is>
          <t>BlackRock - Global Unconstrained Equity Fund</t>
        </is>
      </c>
      <c r="E59" t="inlineStr">
        <is>
          <t>Huella</t>
        </is>
      </c>
      <c r="F59" t="n">
        <v>350.216752</v>
      </c>
    </row>
    <row r="60">
      <c r="A60" t="inlineStr">
        <is>
          <t>202512</t>
        </is>
      </c>
      <c r="B60" t="inlineStr">
        <is>
          <t>Comparación</t>
        </is>
      </c>
      <c r="C60" t="inlineStr">
        <is>
          <t>Ex_Integra</t>
        </is>
      </c>
      <c r="D60" t="inlineStr">
        <is>
          <t>BlackRock - Global Unconstrained Equity Fund</t>
        </is>
      </c>
      <c r="E60" t="inlineStr">
        <is>
          <t>Intensidad</t>
        </is>
      </c>
      <c r="F60" t="n">
        <v>0.056714</v>
      </c>
    </row>
    <row r="61">
      <c r="A61" t="inlineStr">
        <is>
          <t>202512</t>
        </is>
      </c>
      <c r="B61" t="inlineStr">
        <is>
          <t>Comparación</t>
        </is>
      </c>
      <c r="C61" t="inlineStr">
        <is>
          <t>Ex_Integra</t>
        </is>
      </c>
      <c r="D61" t="inlineStr">
        <is>
          <t>BlackRock - Global Unconstrained Equity Fund</t>
        </is>
      </c>
      <c r="E61" t="inlineStr">
        <is>
          <t>Inv MM$</t>
        </is>
      </c>
      <c r="F61" t="n">
        <v>90.46273600000001</v>
      </c>
    </row>
    <row r="62">
      <c r="A62" t="inlineStr">
        <is>
          <t>202512</t>
        </is>
      </c>
      <c r="B62" t="inlineStr">
        <is>
          <t>Comparación</t>
        </is>
      </c>
      <c r="C62" t="inlineStr">
        <is>
          <t>Ex_Integra</t>
        </is>
      </c>
      <c r="D62" t="inlineStr">
        <is>
          <t>BlackRock - iShares Convertible Bond ETF</t>
        </is>
      </c>
      <c r="E62" t="inlineStr">
        <is>
          <t>Huella</t>
        </is>
      </c>
      <c r="F62" t="n">
        <v>7961.734187</v>
      </c>
    </row>
    <row r="63">
      <c r="A63" t="inlineStr">
        <is>
          <t>202512</t>
        </is>
      </c>
      <c r="B63" t="inlineStr">
        <is>
          <t>Comparación</t>
        </is>
      </c>
      <c r="C63" t="inlineStr">
        <is>
          <t>Ex_Integra</t>
        </is>
      </c>
      <c r="D63" t="inlineStr">
        <is>
          <t>BlackRock - iShares Convertible Bond ETF</t>
        </is>
      </c>
      <c r="E63" t="inlineStr">
        <is>
          <t>Intensidad</t>
        </is>
      </c>
      <c r="F63" t="n">
        <v>1.587759</v>
      </c>
    </row>
    <row r="64">
      <c r="A64" t="inlineStr">
        <is>
          <t>202512</t>
        </is>
      </c>
      <c r="B64" t="inlineStr">
        <is>
          <t>Comparación</t>
        </is>
      </c>
      <c r="C64" t="inlineStr">
        <is>
          <t>Ex_Integra</t>
        </is>
      </c>
      <c r="D64" t="inlineStr">
        <is>
          <t>BlackRock - iShares Convertible Bond ETF</t>
        </is>
      </c>
      <c r="E64" t="inlineStr">
        <is>
          <t>Inv MM$</t>
        </is>
      </c>
      <c r="F64" t="n">
        <v>143.302385</v>
      </c>
    </row>
    <row r="65">
      <c r="A65" t="inlineStr">
        <is>
          <t>202512</t>
        </is>
      </c>
      <c r="B65" t="inlineStr">
        <is>
          <t>Comparación</t>
        </is>
      </c>
      <c r="C65" t="inlineStr">
        <is>
          <t>Ex_Integra</t>
        </is>
      </c>
      <c r="D65" t="inlineStr">
        <is>
          <t>BlackRock - iShares Core S&amp;P 500</t>
        </is>
      </c>
      <c r="E65" t="inlineStr">
        <is>
          <t>Huella</t>
        </is>
      </c>
      <c r="F65" t="n">
        <v>4171.321878</v>
      </c>
    </row>
    <row r="66">
      <c r="A66" t="inlineStr">
        <is>
          <t>202512</t>
        </is>
      </c>
      <c r="B66" t="inlineStr">
        <is>
          <t>Comparación</t>
        </is>
      </c>
      <c r="C66" t="inlineStr">
        <is>
          <t>Ex_Integra</t>
        </is>
      </c>
      <c r="D66" t="inlineStr">
        <is>
          <t>BlackRock - iShares Core S&amp;P 500</t>
        </is>
      </c>
      <c r="E66" t="inlineStr">
        <is>
          <t>Intensidad</t>
        </is>
      </c>
      <c r="F66" t="n">
        <v>0.48932</v>
      </c>
    </row>
    <row r="67">
      <c r="A67" t="inlineStr">
        <is>
          <t>202512</t>
        </is>
      </c>
      <c r="B67" t="inlineStr">
        <is>
          <t>Comparación</t>
        </is>
      </c>
      <c r="C67" t="inlineStr">
        <is>
          <t>Ex_Integra</t>
        </is>
      </c>
      <c r="D67" t="inlineStr">
        <is>
          <t>BlackRock - iShares Core S&amp;P 500</t>
        </is>
      </c>
      <c r="E67" t="inlineStr">
        <is>
          <t>Inv MM$</t>
        </is>
      </c>
      <c r="F67" t="n">
        <v>183.709332</v>
      </c>
    </row>
    <row r="68">
      <c r="A68" t="inlineStr">
        <is>
          <t>202512</t>
        </is>
      </c>
      <c r="B68" t="inlineStr">
        <is>
          <t>Comparación</t>
        </is>
      </c>
      <c r="C68" t="inlineStr">
        <is>
          <t>Ex_Integra</t>
        </is>
      </c>
      <c r="D68" t="inlineStr">
        <is>
          <t>BlackRock - iShares Core S&amp;P Small Cap</t>
        </is>
      </c>
      <c r="E68" t="inlineStr">
        <is>
          <t>Huella</t>
        </is>
      </c>
      <c r="F68" t="n">
        <v>0.181274</v>
      </c>
    </row>
    <row r="69">
      <c r="A69" t="inlineStr">
        <is>
          <t>202512</t>
        </is>
      </c>
      <c r="B69" t="inlineStr">
        <is>
          <t>Comparación</t>
        </is>
      </c>
      <c r="C69" t="inlineStr">
        <is>
          <t>Ex_Integra</t>
        </is>
      </c>
      <c r="D69" t="inlineStr">
        <is>
          <t>BlackRock - iShares Core S&amp;P Small Cap</t>
        </is>
      </c>
      <c r="E69" t="inlineStr">
        <is>
          <t>Intensidad</t>
        </is>
      </c>
      <c r="F69" t="n">
        <v>5.1e-05</v>
      </c>
    </row>
    <row r="70">
      <c r="A70" t="inlineStr">
        <is>
          <t>202512</t>
        </is>
      </c>
      <c r="B70" t="inlineStr">
        <is>
          <t>Comparación</t>
        </is>
      </c>
      <c r="C70" t="inlineStr">
        <is>
          <t>Ex_Integra</t>
        </is>
      </c>
      <c r="D70" t="inlineStr">
        <is>
          <t>BlackRock - iShares Core S&amp;P Small Cap</t>
        </is>
      </c>
      <c r="E70" t="inlineStr">
        <is>
          <t>Inv MM$</t>
        </is>
      </c>
      <c r="F70" t="n">
        <v>0.002956</v>
      </c>
    </row>
    <row r="71">
      <c r="A71" t="inlineStr">
        <is>
          <t>202512</t>
        </is>
      </c>
      <c r="B71" t="inlineStr">
        <is>
          <t>Comparación</t>
        </is>
      </c>
      <c r="C71" t="inlineStr">
        <is>
          <t>Ex_Integra</t>
        </is>
      </c>
      <c r="D71" t="inlineStr">
        <is>
          <t>BlackRock - iShares Euro Stoxx Banks 30-15 UCITS</t>
        </is>
      </c>
      <c r="E71" t="inlineStr">
        <is>
          <t>Huella</t>
        </is>
      </c>
      <c r="F71" t="n">
        <v>20.531012</v>
      </c>
    </row>
    <row r="72">
      <c r="A72" t="inlineStr">
        <is>
          <t>202512</t>
        </is>
      </c>
      <c r="B72" t="inlineStr">
        <is>
          <t>Comparación</t>
        </is>
      </c>
      <c r="C72" t="inlineStr">
        <is>
          <t>Ex_Integra</t>
        </is>
      </c>
      <c r="D72" t="inlineStr">
        <is>
          <t>BlackRock - iShares Euro Stoxx Banks 30-15 UCITS</t>
        </is>
      </c>
      <c r="E72" t="inlineStr">
        <is>
          <t>Intensidad</t>
        </is>
      </c>
      <c r="F72" t="n">
        <v>0.002921</v>
      </c>
    </row>
    <row r="73">
      <c r="A73" t="inlineStr">
        <is>
          <t>202512</t>
        </is>
      </c>
      <c r="B73" t="inlineStr">
        <is>
          <t>Comparación</t>
        </is>
      </c>
      <c r="C73" t="inlineStr">
        <is>
          <t>Ex_Integra</t>
        </is>
      </c>
      <c r="D73" t="inlineStr">
        <is>
          <t>BlackRock - iShares Euro Stoxx Banks 30-15 UCITS</t>
        </is>
      </c>
      <c r="E73" t="inlineStr">
        <is>
          <t>Inv MM$</t>
        </is>
      </c>
      <c r="F73" t="n">
        <v>48.876034</v>
      </c>
    </row>
    <row r="74">
      <c r="A74" t="inlineStr">
        <is>
          <t>202512</t>
        </is>
      </c>
      <c r="B74" t="inlineStr">
        <is>
          <t>Comparación</t>
        </is>
      </c>
      <c r="C74" t="inlineStr">
        <is>
          <t>Ex_Integra</t>
        </is>
      </c>
      <c r="D74" t="inlineStr">
        <is>
          <t>BlackRock - iShares Global Energy ETF</t>
        </is>
      </c>
      <c r="E74" t="inlineStr">
        <is>
          <t>Huella</t>
        </is>
      </c>
      <c r="F74" t="n">
        <v>0.018229</v>
      </c>
    </row>
    <row r="75">
      <c r="A75" t="inlineStr">
        <is>
          <t>202512</t>
        </is>
      </c>
      <c r="B75" t="inlineStr">
        <is>
          <t>Comparación</t>
        </is>
      </c>
      <c r="C75" t="inlineStr">
        <is>
          <t>Ex_Integra</t>
        </is>
      </c>
      <c r="D75" t="inlineStr">
        <is>
          <t>BlackRock - iShares Global Energy ETF</t>
        </is>
      </c>
      <c r="E75" t="inlineStr">
        <is>
          <t>Intensidad</t>
        </is>
      </c>
      <c r="F75" t="n">
        <v>1e-06</v>
      </c>
    </row>
    <row r="76">
      <c r="A76" t="inlineStr">
        <is>
          <t>202512</t>
        </is>
      </c>
      <c r="B76" t="inlineStr">
        <is>
          <t>Comparación</t>
        </is>
      </c>
      <c r="C76" t="inlineStr">
        <is>
          <t>Ex_Integra</t>
        </is>
      </c>
      <c r="D76" t="inlineStr">
        <is>
          <t>BlackRock - iShares Global Energy ETF</t>
        </is>
      </c>
      <c r="E76" t="inlineStr">
        <is>
          <t>Inv MM$</t>
        </is>
      </c>
      <c r="F76" t="n">
        <v>8.000000000000001e-05</v>
      </c>
    </row>
    <row r="77">
      <c r="A77" t="inlineStr">
        <is>
          <t>202512</t>
        </is>
      </c>
      <c r="B77" t="inlineStr">
        <is>
          <t>Comparación</t>
        </is>
      </c>
      <c r="C77" t="inlineStr">
        <is>
          <t>Ex_Integra</t>
        </is>
      </c>
      <c r="D77" t="inlineStr">
        <is>
          <t>BlackRock - iShares JPM EM Local Government Bond</t>
        </is>
      </c>
      <c r="E77" t="inlineStr">
        <is>
          <t>Huella</t>
        </is>
      </c>
      <c r="F77" t="n">
        <v>0.032942</v>
      </c>
    </row>
    <row r="78">
      <c r="A78" t="inlineStr">
        <is>
          <t>202512</t>
        </is>
      </c>
      <c r="B78" t="inlineStr">
        <is>
          <t>Comparación</t>
        </is>
      </c>
      <c r="C78" t="inlineStr">
        <is>
          <t>Ex_Integra</t>
        </is>
      </c>
      <c r="D78" t="inlineStr">
        <is>
          <t>BlackRock - iShares JPM EM Local Government Bond</t>
        </is>
      </c>
      <c r="E78" t="inlineStr">
        <is>
          <t>Intensidad</t>
        </is>
      </c>
      <c r="F78" t="n">
        <v>9e-06</v>
      </c>
    </row>
    <row r="79">
      <c r="A79" t="inlineStr">
        <is>
          <t>202512</t>
        </is>
      </c>
      <c r="B79" t="inlineStr">
        <is>
          <t>Comparación</t>
        </is>
      </c>
      <c r="C79" t="inlineStr">
        <is>
          <t>Ex_Integra</t>
        </is>
      </c>
      <c r="D79" t="inlineStr">
        <is>
          <t>BlackRock - iShares JPM EM Local Government Bond</t>
        </is>
      </c>
      <c r="E79" t="inlineStr">
        <is>
          <t>Inv MM$</t>
        </is>
      </c>
      <c r="F79" t="n">
        <v>4.6e-05</v>
      </c>
    </row>
    <row r="80">
      <c r="A80" t="inlineStr">
        <is>
          <t>202512</t>
        </is>
      </c>
      <c r="B80" t="inlineStr">
        <is>
          <t>Comparación</t>
        </is>
      </c>
      <c r="C80" t="inlineStr">
        <is>
          <t>Ex_Integra</t>
        </is>
      </c>
      <c r="D80" t="inlineStr">
        <is>
          <t>BlackRock - iShares Korea</t>
        </is>
      </c>
      <c r="E80" t="inlineStr">
        <is>
          <t>Huella</t>
        </is>
      </c>
      <c r="F80" t="n">
        <v>2077.082153</v>
      </c>
    </row>
    <row r="81">
      <c r="A81" t="inlineStr">
        <is>
          <t>202512</t>
        </is>
      </c>
      <c r="B81" t="inlineStr">
        <is>
          <t>Comparación</t>
        </is>
      </c>
      <c r="C81" t="inlineStr">
        <is>
          <t>Ex_Integra</t>
        </is>
      </c>
      <c r="D81" t="inlineStr">
        <is>
          <t>BlackRock - iShares Korea</t>
        </is>
      </c>
      <c r="E81" t="inlineStr">
        <is>
          <t>Intensidad</t>
        </is>
      </c>
      <c r="F81" t="n">
        <v>0.5842889999999999</v>
      </c>
    </row>
    <row r="82">
      <c r="A82" t="inlineStr">
        <is>
          <t>202512</t>
        </is>
      </c>
      <c r="B82" t="inlineStr">
        <is>
          <t>Comparación</t>
        </is>
      </c>
      <c r="C82" t="inlineStr">
        <is>
          <t>Ex_Integra</t>
        </is>
      </c>
      <c r="D82" t="inlineStr">
        <is>
          <t>BlackRock - iShares Korea</t>
        </is>
      </c>
      <c r="E82" t="inlineStr">
        <is>
          <t>Inv MM$</t>
        </is>
      </c>
      <c r="F82" t="n">
        <v>20.649489</v>
      </c>
    </row>
    <row r="83">
      <c r="A83" t="inlineStr">
        <is>
          <t>202512</t>
        </is>
      </c>
      <c r="B83" t="inlineStr">
        <is>
          <t>Comparación</t>
        </is>
      </c>
      <c r="C83" t="inlineStr">
        <is>
          <t>Ex_Integra</t>
        </is>
      </c>
      <c r="D83" t="inlineStr">
        <is>
          <t>BlackRock - iShares MSCI ACWI</t>
        </is>
      </c>
      <c r="E83" t="inlineStr">
        <is>
          <t>Huella</t>
        </is>
      </c>
      <c r="F83" t="n">
        <v>1249.805847</v>
      </c>
    </row>
    <row r="84">
      <c r="A84" t="inlineStr">
        <is>
          <t>202512</t>
        </is>
      </c>
      <c r="B84" t="inlineStr">
        <is>
          <t>Comparación</t>
        </is>
      </c>
      <c r="C84" t="inlineStr">
        <is>
          <t>Ex_Integra</t>
        </is>
      </c>
      <c r="D84" t="inlineStr">
        <is>
          <t>BlackRock - iShares MSCI ACWI</t>
        </is>
      </c>
      <c r="E84" t="inlineStr">
        <is>
          <t>Intensidad</t>
        </is>
      </c>
      <c r="F84" t="n">
        <v>0.351574</v>
      </c>
    </row>
    <row r="85">
      <c r="A85" t="inlineStr">
        <is>
          <t>202512</t>
        </is>
      </c>
      <c r="B85" t="inlineStr">
        <is>
          <t>Comparación</t>
        </is>
      </c>
      <c r="C85" t="inlineStr">
        <is>
          <t>Ex_Integra</t>
        </is>
      </c>
      <c r="D85" t="inlineStr">
        <is>
          <t>BlackRock - iShares MSCI ACWI</t>
        </is>
      </c>
      <c r="E85" t="inlineStr">
        <is>
          <t>Inv MM$</t>
        </is>
      </c>
      <c r="F85" t="n">
        <v>31.634125</v>
      </c>
    </row>
    <row r="86">
      <c r="A86" t="inlineStr">
        <is>
          <t>202512</t>
        </is>
      </c>
      <c r="B86" t="inlineStr">
        <is>
          <t>Comparación</t>
        </is>
      </c>
      <c r="C86" t="inlineStr">
        <is>
          <t>Ex_Integra</t>
        </is>
      </c>
      <c r="D86" t="inlineStr">
        <is>
          <t>BlackRock - iShares MSCI Brazil</t>
        </is>
      </c>
      <c r="E86" t="inlineStr">
        <is>
          <t>Huella</t>
        </is>
      </c>
      <c r="F86" t="n">
        <v>30154.266676</v>
      </c>
    </row>
    <row r="87">
      <c r="A87" t="inlineStr">
        <is>
          <t>202512</t>
        </is>
      </c>
      <c r="B87" t="inlineStr">
        <is>
          <t>Comparación</t>
        </is>
      </c>
      <c r="C87" t="inlineStr">
        <is>
          <t>Ex_Integra</t>
        </is>
      </c>
      <c r="D87" t="inlineStr">
        <is>
          <t>BlackRock - iShares MSCI Brazil</t>
        </is>
      </c>
      <c r="E87" t="inlineStr">
        <is>
          <t>Intensidad</t>
        </is>
      </c>
      <c r="F87" t="n">
        <v>4.029573</v>
      </c>
    </row>
    <row r="88">
      <c r="A88" t="inlineStr">
        <is>
          <t>202512</t>
        </is>
      </c>
      <c r="B88" t="inlineStr">
        <is>
          <t>Comparación</t>
        </is>
      </c>
      <c r="C88" t="inlineStr">
        <is>
          <t>Ex_Integra</t>
        </is>
      </c>
      <c r="D88" t="inlineStr">
        <is>
          <t>BlackRock - iShares MSCI Brazil</t>
        </is>
      </c>
      <c r="E88" t="inlineStr">
        <is>
          <t>Inv MM$</t>
        </is>
      </c>
      <c r="F88" t="n">
        <v>328.851124</v>
      </c>
    </row>
    <row r="89">
      <c r="A89" t="inlineStr">
        <is>
          <t>202512</t>
        </is>
      </c>
      <c r="B89" t="inlineStr">
        <is>
          <t>Comparación</t>
        </is>
      </c>
      <c r="C89" t="inlineStr">
        <is>
          <t>Ex_Integra</t>
        </is>
      </c>
      <c r="D89" t="inlineStr">
        <is>
          <t>BlackRock - iShares MSCI Canada</t>
        </is>
      </c>
      <c r="E89" t="inlineStr">
        <is>
          <t>Huella</t>
        </is>
      </c>
      <c r="F89" t="n">
        <v>2.992257</v>
      </c>
    </row>
    <row r="90">
      <c r="A90" t="inlineStr">
        <is>
          <t>202512</t>
        </is>
      </c>
      <c r="B90" t="inlineStr">
        <is>
          <t>Comparación</t>
        </is>
      </c>
      <c r="C90" t="inlineStr">
        <is>
          <t>Ex_Integra</t>
        </is>
      </c>
      <c r="D90" t="inlineStr">
        <is>
          <t>BlackRock - iShares MSCI Canada</t>
        </is>
      </c>
      <c r="E90" t="inlineStr">
        <is>
          <t>Intensidad</t>
        </is>
      </c>
      <c r="F90" t="n">
        <v>0.000214</v>
      </c>
    </row>
    <row r="91">
      <c r="A91" t="inlineStr">
        <is>
          <t>202512</t>
        </is>
      </c>
      <c r="B91" t="inlineStr">
        <is>
          <t>Comparación</t>
        </is>
      </c>
      <c r="C91" t="inlineStr">
        <is>
          <t>Ex_Integra</t>
        </is>
      </c>
      <c r="D91" t="inlineStr">
        <is>
          <t>BlackRock - iShares MSCI Canada</t>
        </is>
      </c>
      <c r="E91" t="inlineStr">
        <is>
          <t>Inv MM$</t>
        </is>
      </c>
      <c r="F91" t="n">
        <v>0.046197</v>
      </c>
    </row>
    <row r="92">
      <c r="A92" t="inlineStr">
        <is>
          <t>202512</t>
        </is>
      </c>
      <c r="B92" t="inlineStr">
        <is>
          <t>Comparación</t>
        </is>
      </c>
      <c r="C92" t="inlineStr">
        <is>
          <t>Ex_Integra</t>
        </is>
      </c>
      <c r="D92" t="inlineStr">
        <is>
          <t>BlackRock - iShares MSCI Europe Financials</t>
        </is>
      </c>
      <c r="E92" t="inlineStr">
        <is>
          <t>Huella</t>
        </is>
      </c>
      <c r="F92" t="n">
        <v>2e-06</v>
      </c>
    </row>
    <row r="93">
      <c r="A93" t="inlineStr">
        <is>
          <t>202512</t>
        </is>
      </c>
      <c r="B93" t="inlineStr">
        <is>
          <t>Comparación</t>
        </is>
      </c>
      <c r="C93" t="inlineStr">
        <is>
          <t>Ex_Integra</t>
        </is>
      </c>
      <c r="D93" t="inlineStr">
        <is>
          <t>BlackRock - iShares MSCI Europe Financials</t>
        </is>
      </c>
      <c r="E93" t="inlineStr">
        <is>
          <t>Intensidad</t>
        </is>
      </c>
      <c r="F93" t="n">
        <v>0</v>
      </c>
    </row>
    <row r="94">
      <c r="A94" t="inlineStr">
        <is>
          <t>202512</t>
        </is>
      </c>
      <c r="B94" t="inlineStr">
        <is>
          <t>Comparación</t>
        </is>
      </c>
      <c r="C94" t="inlineStr">
        <is>
          <t>Ex_Integra</t>
        </is>
      </c>
      <c r="D94" t="inlineStr">
        <is>
          <t>BlackRock - iShares MSCI Europe Financials</t>
        </is>
      </c>
      <c r="E94" t="inlineStr">
        <is>
          <t>Inv MM$</t>
        </is>
      </c>
      <c r="F94" t="n">
        <v>4e-06</v>
      </c>
    </row>
    <row r="95">
      <c r="A95" t="inlineStr">
        <is>
          <t>202512</t>
        </is>
      </c>
      <c r="B95" t="inlineStr">
        <is>
          <t>Comparación</t>
        </is>
      </c>
      <c r="C95" t="inlineStr">
        <is>
          <t>Ex_Integra</t>
        </is>
      </c>
      <c r="D95" t="inlineStr">
        <is>
          <t>BlackRock - iShares MSCI Peru</t>
        </is>
      </c>
      <c r="E95" t="inlineStr">
        <is>
          <t>Huella</t>
        </is>
      </c>
      <c r="F95" t="n">
        <v>2992.20957</v>
      </c>
    </row>
    <row r="96">
      <c r="A96" t="inlineStr">
        <is>
          <t>202512</t>
        </is>
      </c>
      <c r="B96" t="inlineStr">
        <is>
          <t>Comparación</t>
        </is>
      </c>
      <c r="C96" t="inlineStr">
        <is>
          <t>Ex_Integra</t>
        </is>
      </c>
      <c r="D96" t="inlineStr">
        <is>
          <t>BlackRock - iShares MSCI Peru</t>
        </is>
      </c>
      <c r="E96" t="inlineStr">
        <is>
          <t>Intensidad</t>
        </is>
      </c>
      <c r="F96" t="n">
        <v>0.320967</v>
      </c>
    </row>
    <row r="97">
      <c r="A97" t="inlineStr">
        <is>
          <t>202512</t>
        </is>
      </c>
      <c r="B97" t="inlineStr">
        <is>
          <t>Comparación</t>
        </is>
      </c>
      <c r="C97" t="inlineStr">
        <is>
          <t>Ex_Integra</t>
        </is>
      </c>
      <c r="D97" t="inlineStr">
        <is>
          <t>BlackRock - iShares MSCI Peru</t>
        </is>
      </c>
      <c r="E97" t="inlineStr">
        <is>
          <t>Inv MM$</t>
        </is>
      </c>
      <c r="F97" t="n">
        <v>95.498665</v>
      </c>
    </row>
    <row r="98">
      <c r="A98" t="inlineStr">
        <is>
          <t>202512</t>
        </is>
      </c>
      <c r="B98" t="inlineStr">
        <is>
          <t>Comparación</t>
        </is>
      </c>
      <c r="C98" t="inlineStr">
        <is>
          <t>Ex_Integra</t>
        </is>
      </c>
      <c r="D98" t="inlineStr">
        <is>
          <t>BlackRock - iShares PHLX Semiconductor ETF</t>
        </is>
      </c>
      <c r="E98" t="inlineStr">
        <is>
          <t>Huella</t>
        </is>
      </c>
      <c r="F98" t="n">
        <v>3785.616371</v>
      </c>
    </row>
    <row r="99">
      <c r="A99" t="inlineStr">
        <is>
          <t>202512</t>
        </is>
      </c>
      <c r="B99" t="inlineStr">
        <is>
          <t>Comparación</t>
        </is>
      </c>
      <c r="C99" t="inlineStr">
        <is>
          <t>Ex_Integra</t>
        </is>
      </c>
      <c r="D99" t="inlineStr">
        <is>
          <t>BlackRock - iShares PHLX Semiconductor ETF</t>
        </is>
      </c>
      <c r="E99" t="inlineStr">
        <is>
          <t>Intensidad</t>
        </is>
      </c>
      <c r="F99" t="n">
        <v>0.648485</v>
      </c>
    </row>
    <row r="100">
      <c r="A100" t="inlineStr">
        <is>
          <t>202512</t>
        </is>
      </c>
      <c r="B100" t="inlineStr">
        <is>
          <t>Comparación</t>
        </is>
      </c>
      <c r="C100" t="inlineStr">
        <is>
          <t>Ex_Integra</t>
        </is>
      </c>
      <c r="D100" t="inlineStr">
        <is>
          <t>BlackRock - iShares PHLX Semiconductor ETF</t>
        </is>
      </c>
      <c r="E100" t="inlineStr">
        <is>
          <t>Inv MM$</t>
        </is>
      </c>
      <c r="F100" t="n">
        <v>447.553803</v>
      </c>
    </row>
    <row r="101">
      <c r="A101" t="inlineStr">
        <is>
          <t>202512</t>
        </is>
      </c>
      <c r="B101" t="inlineStr">
        <is>
          <t>Comparación</t>
        </is>
      </c>
      <c r="C101" t="inlineStr">
        <is>
          <t>Ex_Integra</t>
        </is>
      </c>
      <c r="D101" t="inlineStr">
        <is>
          <t>BlackRock - iShares US Oil &amp; Gas Exploration and Production</t>
        </is>
      </c>
      <c r="E101" t="inlineStr">
        <is>
          <t>Huella</t>
        </is>
      </c>
      <c r="F101" t="n">
        <v>0.019222</v>
      </c>
    </row>
    <row r="102">
      <c r="A102" t="inlineStr">
        <is>
          <t>202512</t>
        </is>
      </c>
      <c r="B102" t="inlineStr">
        <is>
          <t>Comparación</t>
        </is>
      </c>
      <c r="C102" t="inlineStr">
        <is>
          <t>Ex_Integra</t>
        </is>
      </c>
      <c r="D102" t="inlineStr">
        <is>
          <t>BlackRock - iShares US Oil &amp; Gas Exploration and Production</t>
        </is>
      </c>
      <c r="E102" t="inlineStr">
        <is>
          <t>Intensidad</t>
        </is>
      </c>
      <c r="F102" t="n">
        <v>1e-06</v>
      </c>
    </row>
    <row r="103">
      <c r="A103" t="inlineStr">
        <is>
          <t>202512</t>
        </is>
      </c>
      <c r="B103" t="inlineStr">
        <is>
          <t>Comparación</t>
        </is>
      </c>
      <c r="C103" t="inlineStr">
        <is>
          <t>Ex_Integra</t>
        </is>
      </c>
      <c r="D103" t="inlineStr">
        <is>
          <t>BlackRock - iShares US Oil &amp; Gas Exploration and Production</t>
        </is>
      </c>
      <c r="E103" t="inlineStr">
        <is>
          <t>Inv MM$</t>
        </is>
      </c>
      <c r="F103" t="n">
        <v>8.500000000000001e-05</v>
      </c>
    </row>
    <row r="104">
      <c r="A104" t="inlineStr">
        <is>
          <t>202512</t>
        </is>
      </c>
      <c r="B104" t="inlineStr">
        <is>
          <t>Comparación</t>
        </is>
      </c>
      <c r="C104" t="inlineStr">
        <is>
          <t>Ex_Integra</t>
        </is>
      </c>
      <c r="D104" t="inlineStr">
        <is>
          <t>BlackRock - iShares iBoxx High Yield Corporate Bond</t>
        </is>
      </c>
      <c r="E104" t="inlineStr">
        <is>
          <t>Huella</t>
        </is>
      </c>
      <c r="F104" t="n">
        <v>7125.95915</v>
      </c>
    </row>
    <row r="105">
      <c r="A105" t="inlineStr">
        <is>
          <t>202512</t>
        </is>
      </c>
      <c r="B105" t="inlineStr">
        <is>
          <t>Comparación</t>
        </is>
      </c>
      <c r="C105" t="inlineStr">
        <is>
          <t>Ex_Integra</t>
        </is>
      </c>
      <c r="D105" t="inlineStr">
        <is>
          <t>BlackRock - iShares iBoxx High Yield Corporate Bond</t>
        </is>
      </c>
      <c r="E105" t="inlineStr">
        <is>
          <t>Intensidad</t>
        </is>
      </c>
      <c r="F105" t="n">
        <v>1.638536</v>
      </c>
    </row>
    <row r="106">
      <c r="A106" t="inlineStr">
        <is>
          <t>202512</t>
        </is>
      </c>
      <c r="B106" t="inlineStr">
        <is>
          <t>Comparación</t>
        </is>
      </c>
      <c r="C106" t="inlineStr">
        <is>
          <t>Ex_Integra</t>
        </is>
      </c>
      <c r="D106" t="inlineStr">
        <is>
          <t>BlackRock - iShares iBoxx High Yield Corporate Bond</t>
        </is>
      </c>
      <c r="E106" t="inlineStr">
        <is>
          <t>Inv MM$</t>
        </is>
      </c>
      <c r="F106" t="n">
        <v>58.300945</v>
      </c>
    </row>
    <row r="107">
      <c r="A107" t="inlineStr">
        <is>
          <t>202512</t>
        </is>
      </c>
      <c r="B107" t="inlineStr">
        <is>
          <t>Comparación</t>
        </is>
      </c>
      <c r="C107" t="inlineStr">
        <is>
          <t>Ex_Integra</t>
        </is>
      </c>
      <c r="D107" t="inlineStr">
        <is>
          <t>Blackrock - iShares MSCI ACWI ex U.S. ETF</t>
        </is>
      </c>
      <c r="E107" t="inlineStr">
        <is>
          <t>Huella</t>
        </is>
      </c>
      <c r="F107" t="n">
        <v>5894.659443</v>
      </c>
    </row>
    <row r="108">
      <c r="A108" t="inlineStr">
        <is>
          <t>202512</t>
        </is>
      </c>
      <c r="B108" t="inlineStr">
        <is>
          <t>Comparación</t>
        </is>
      </c>
      <c r="C108" t="inlineStr">
        <is>
          <t>Ex_Integra</t>
        </is>
      </c>
      <c r="D108" t="inlineStr">
        <is>
          <t>Blackrock - iShares MSCI ACWI ex U.S. ETF</t>
        </is>
      </c>
      <c r="E108" t="inlineStr">
        <is>
          <t>Intensidad</t>
        </is>
      </c>
      <c r="F108" t="n">
        <v>0.928741</v>
      </c>
    </row>
    <row r="109">
      <c r="A109" t="inlineStr">
        <is>
          <t>202512</t>
        </is>
      </c>
      <c r="B109" t="inlineStr">
        <is>
          <t>Comparación</t>
        </is>
      </c>
      <c r="C109" t="inlineStr">
        <is>
          <t>Ex_Integra</t>
        </is>
      </c>
      <c r="D109" t="inlineStr">
        <is>
          <t>Blackrock - iShares MSCI ACWI ex U.S. ETF</t>
        </is>
      </c>
      <c r="E109" t="inlineStr">
        <is>
          <t>Inv MM$</t>
        </is>
      </c>
      <c r="F109" t="n">
        <v>82.261415</v>
      </c>
    </row>
    <row r="110">
      <c r="A110" t="inlineStr">
        <is>
          <t>202512</t>
        </is>
      </c>
      <c r="B110" t="inlineStr">
        <is>
          <t>Comparación</t>
        </is>
      </c>
      <c r="C110" t="inlineStr">
        <is>
          <t>Ex_Integra</t>
        </is>
      </c>
      <c r="D110" t="inlineStr">
        <is>
          <t>BlueBay - EM Debt Unconstrained</t>
        </is>
      </c>
      <c r="E110" t="inlineStr">
        <is>
          <t>Huella</t>
        </is>
      </c>
      <c r="F110" t="n">
        <v>4229.951551</v>
      </c>
    </row>
    <row r="111">
      <c r="A111" t="inlineStr">
        <is>
          <t>202512</t>
        </is>
      </c>
      <c r="B111" t="inlineStr">
        <is>
          <t>Comparación</t>
        </is>
      </c>
      <c r="C111" t="inlineStr">
        <is>
          <t>Ex_Integra</t>
        </is>
      </c>
      <c r="D111" t="inlineStr">
        <is>
          <t>BlueBay - EM Debt Unconstrained</t>
        </is>
      </c>
      <c r="E111" t="inlineStr">
        <is>
          <t>Intensidad</t>
        </is>
      </c>
      <c r="F111" t="n">
        <v>0.8440879999999999</v>
      </c>
    </row>
    <row r="112">
      <c r="A112" t="inlineStr">
        <is>
          <t>202512</t>
        </is>
      </c>
      <c r="B112" t="inlineStr">
        <is>
          <t>Comparación</t>
        </is>
      </c>
      <c r="C112" t="inlineStr">
        <is>
          <t>Ex_Integra</t>
        </is>
      </c>
      <c r="D112" t="inlineStr">
        <is>
          <t>BlueBay - EM Debt Unconstrained</t>
        </is>
      </c>
      <c r="E112" t="inlineStr">
        <is>
          <t>Inv MM$</t>
        </is>
      </c>
      <c r="F112" t="n">
        <v>41.473986</v>
      </c>
    </row>
    <row r="113">
      <c r="A113" t="inlineStr">
        <is>
          <t>202512</t>
        </is>
      </c>
      <c r="B113" t="inlineStr">
        <is>
          <t>Comparación</t>
        </is>
      </c>
      <c r="C113" t="inlineStr">
        <is>
          <t>Ex_Integra</t>
        </is>
      </c>
      <c r="D113" t="inlineStr">
        <is>
          <t>BlueBay - Emerging Market Bond Fund</t>
        </is>
      </c>
      <c r="E113" t="inlineStr">
        <is>
          <t>Huella</t>
        </is>
      </c>
      <c r="F113" t="n">
        <v>1019.249089</v>
      </c>
    </row>
    <row r="114">
      <c r="A114" t="inlineStr">
        <is>
          <t>202512</t>
        </is>
      </c>
      <c r="B114" t="inlineStr">
        <is>
          <t>Comparación</t>
        </is>
      </c>
      <c r="C114" t="inlineStr">
        <is>
          <t>Ex_Integra</t>
        </is>
      </c>
      <c r="D114" t="inlineStr">
        <is>
          <t>BlueBay - Emerging Market Bond Fund</t>
        </is>
      </c>
      <c r="E114" t="inlineStr">
        <is>
          <t>Intensidad</t>
        </is>
      </c>
      <c r="F114" t="n">
        <v>0.07299799999999999</v>
      </c>
    </row>
    <row r="115">
      <c r="A115" t="inlineStr">
        <is>
          <t>202512</t>
        </is>
      </c>
      <c r="B115" t="inlineStr">
        <is>
          <t>Comparación</t>
        </is>
      </c>
      <c r="C115" t="inlineStr">
        <is>
          <t>Ex_Integra</t>
        </is>
      </c>
      <c r="D115" t="inlineStr">
        <is>
          <t>BlueBay - Emerging Market Bond Fund</t>
        </is>
      </c>
      <c r="E115" t="inlineStr">
        <is>
          <t>Inv MM$</t>
        </is>
      </c>
      <c r="F115" t="n">
        <v>2.67176</v>
      </c>
    </row>
    <row r="116">
      <c r="A116" t="inlineStr">
        <is>
          <t>202512</t>
        </is>
      </c>
      <c r="B116" t="inlineStr">
        <is>
          <t>Comparación</t>
        </is>
      </c>
      <c r="C116" t="inlineStr">
        <is>
          <t>Ex_Integra</t>
        </is>
      </c>
      <c r="D116" t="inlineStr">
        <is>
          <t>BlueBay - Financial Capital Bond - U</t>
        </is>
      </c>
      <c r="E116" t="inlineStr">
        <is>
          <t>Huella</t>
        </is>
      </c>
      <c r="F116" t="n">
        <v>1.045666</v>
      </c>
    </row>
    <row r="117">
      <c r="A117" t="inlineStr">
        <is>
          <t>202512</t>
        </is>
      </c>
      <c r="B117" t="inlineStr">
        <is>
          <t>Comparación</t>
        </is>
      </c>
      <c r="C117" t="inlineStr">
        <is>
          <t>Ex_Integra</t>
        </is>
      </c>
      <c r="D117" t="inlineStr">
        <is>
          <t>BlueBay - Financial Capital Bond - U</t>
        </is>
      </c>
      <c r="E117" t="inlineStr">
        <is>
          <t>Intensidad</t>
        </is>
      </c>
      <c r="F117" t="n">
        <v>0.000283</v>
      </c>
    </row>
    <row r="118">
      <c r="A118" t="inlineStr">
        <is>
          <t>202512</t>
        </is>
      </c>
      <c r="B118" t="inlineStr">
        <is>
          <t>Comparación</t>
        </is>
      </c>
      <c r="C118" t="inlineStr">
        <is>
          <t>Ex_Integra</t>
        </is>
      </c>
      <c r="D118" t="inlineStr">
        <is>
          <t>BlueBay - Financial Capital Bond - U</t>
        </is>
      </c>
      <c r="E118" t="inlineStr">
        <is>
          <t>Inv MM$</t>
        </is>
      </c>
      <c r="F118" t="n">
        <v>2.037013</v>
      </c>
    </row>
    <row r="119">
      <c r="A119" t="inlineStr">
        <is>
          <t>202512</t>
        </is>
      </c>
      <c r="B119" t="inlineStr">
        <is>
          <t>Comparación</t>
        </is>
      </c>
      <c r="C119" t="inlineStr">
        <is>
          <t>Ex_Integra</t>
        </is>
      </c>
      <c r="D119" t="inlineStr">
        <is>
          <t>Buenaventura*</t>
        </is>
      </c>
      <c r="E119" t="inlineStr">
        <is>
          <t>Huella</t>
        </is>
      </c>
      <c r="F119" t="n">
        <v>31806.714705</v>
      </c>
    </row>
    <row r="120">
      <c r="A120" t="inlineStr">
        <is>
          <t>202512</t>
        </is>
      </c>
      <c r="B120" t="inlineStr">
        <is>
          <t>Comparación</t>
        </is>
      </c>
      <c r="C120" t="inlineStr">
        <is>
          <t>Ex_Integra</t>
        </is>
      </c>
      <c r="D120" t="inlineStr">
        <is>
          <t>Buenaventura*</t>
        </is>
      </c>
      <c r="E120" t="inlineStr">
        <is>
          <t>Intensidad</t>
        </is>
      </c>
      <c r="F120" t="n">
        <v>4.36507</v>
      </c>
    </row>
    <row r="121">
      <c r="A121" t="inlineStr">
        <is>
          <t>202512</t>
        </is>
      </c>
      <c r="B121" t="inlineStr">
        <is>
          <t>Comparación</t>
        </is>
      </c>
      <c r="C121" t="inlineStr">
        <is>
          <t>Ex_Integra</t>
        </is>
      </c>
      <c r="D121" t="inlineStr">
        <is>
          <t>Buenaventura*</t>
        </is>
      </c>
      <c r="E121" t="inlineStr">
        <is>
          <t>Inv MM$</t>
        </is>
      </c>
      <c r="F121" t="n">
        <v>544.635526</v>
      </c>
    </row>
    <row r="122">
      <c r="A122" t="inlineStr">
        <is>
          <t>202512</t>
        </is>
      </c>
      <c r="B122" t="inlineStr">
        <is>
          <t>Comparación</t>
        </is>
      </c>
      <c r="C122" t="inlineStr">
        <is>
          <t>Ex_Integra</t>
        </is>
      </c>
      <c r="D122" t="inlineStr">
        <is>
          <t>COFIDE**</t>
        </is>
      </c>
      <c r="E122" t="inlineStr">
        <is>
          <t>Huella</t>
        </is>
      </c>
      <c r="F122" t="n">
        <v>0.004181</v>
      </c>
    </row>
    <row r="123">
      <c r="A123" t="inlineStr">
        <is>
          <t>202512</t>
        </is>
      </c>
      <c r="B123" t="inlineStr">
        <is>
          <t>Comparación</t>
        </is>
      </c>
      <c r="C123" t="inlineStr">
        <is>
          <t>Ex_Integra</t>
        </is>
      </c>
      <c r="D123" t="inlineStr">
        <is>
          <t>COFIDE**</t>
        </is>
      </c>
      <c r="E123" t="inlineStr">
        <is>
          <t>Intensidad</t>
        </is>
      </c>
      <c r="F123" t="n">
        <v>1e-06</v>
      </c>
    </row>
    <row r="124">
      <c r="A124" t="inlineStr">
        <is>
          <t>202512</t>
        </is>
      </c>
      <c r="B124" t="inlineStr">
        <is>
          <t>Comparación</t>
        </is>
      </c>
      <c r="C124" t="inlineStr">
        <is>
          <t>Ex_Integra</t>
        </is>
      </c>
      <c r="D124" t="inlineStr">
        <is>
          <t>COFIDE**</t>
        </is>
      </c>
      <c r="E124" t="inlineStr">
        <is>
          <t>Inv MM$</t>
        </is>
      </c>
      <c r="F124" t="n">
        <v>0.059735</v>
      </c>
    </row>
    <row r="125">
      <c r="A125" t="inlineStr">
        <is>
          <t>202512</t>
        </is>
      </c>
      <c r="B125" t="inlineStr">
        <is>
          <t>Comparación</t>
        </is>
      </c>
      <c r="C125" t="inlineStr">
        <is>
          <t>Ex_Integra</t>
        </is>
      </c>
      <c r="D125" t="inlineStr">
        <is>
          <t>Calidda*</t>
        </is>
      </c>
      <c r="E125" t="inlineStr">
        <is>
          <t>Huella</t>
        </is>
      </c>
      <c r="F125" t="n">
        <v>0.8223279999999999</v>
      </c>
    </row>
    <row r="126">
      <c r="A126" t="inlineStr">
        <is>
          <t>202512</t>
        </is>
      </c>
      <c r="B126" t="inlineStr">
        <is>
          <t>Comparación</t>
        </is>
      </c>
      <c r="C126" t="inlineStr">
        <is>
          <t>Ex_Integra</t>
        </is>
      </c>
      <c r="D126" t="inlineStr">
        <is>
          <t>Calidda*</t>
        </is>
      </c>
      <c r="E126" t="inlineStr">
        <is>
          <t>Intensidad</t>
        </is>
      </c>
      <c r="F126" t="n">
        <v>5.9e-05</v>
      </c>
    </row>
    <row r="127">
      <c r="A127" t="inlineStr">
        <is>
          <t>202512</t>
        </is>
      </c>
      <c r="B127" t="inlineStr">
        <is>
          <t>Comparación</t>
        </is>
      </c>
      <c r="C127" t="inlineStr">
        <is>
          <t>Ex_Integra</t>
        </is>
      </c>
      <c r="D127" t="inlineStr">
        <is>
          <t>Calidda*</t>
        </is>
      </c>
      <c r="E127" t="inlineStr">
        <is>
          <t>Inv MM$</t>
        </is>
      </c>
      <c r="F127" t="n">
        <v>0.025381</v>
      </c>
    </row>
    <row r="128">
      <c r="A128" t="inlineStr">
        <is>
          <t>202512</t>
        </is>
      </c>
      <c r="B128" t="inlineStr">
        <is>
          <t>Comparación</t>
        </is>
      </c>
      <c r="C128" t="inlineStr">
        <is>
          <t>Ex_Integra</t>
        </is>
      </c>
      <c r="D128" t="inlineStr">
        <is>
          <t>Candriam - Bonds Emerging Markets</t>
        </is>
      </c>
      <c r="E128" t="inlineStr">
        <is>
          <t>Huella</t>
        </is>
      </c>
      <c r="F128" t="n">
        <v>0.667535</v>
      </c>
    </row>
    <row r="129">
      <c r="A129" t="inlineStr">
        <is>
          <t>202512</t>
        </is>
      </c>
      <c r="B129" t="inlineStr">
        <is>
          <t>Comparación</t>
        </is>
      </c>
      <c r="C129" t="inlineStr">
        <is>
          <t>Ex_Integra</t>
        </is>
      </c>
      <c r="D129" t="inlineStr">
        <is>
          <t>Candriam - Bonds Emerging Markets</t>
        </is>
      </c>
      <c r="E129" t="inlineStr">
        <is>
          <t>Intensidad</t>
        </is>
      </c>
      <c r="F129" t="n">
        <v>0.00012</v>
      </c>
    </row>
    <row r="130">
      <c r="A130" t="inlineStr">
        <is>
          <t>202512</t>
        </is>
      </c>
      <c r="B130" t="inlineStr">
        <is>
          <t>Comparación</t>
        </is>
      </c>
      <c r="C130" t="inlineStr">
        <is>
          <t>Ex_Integra</t>
        </is>
      </c>
      <c r="D130" t="inlineStr">
        <is>
          <t>Candriam - Bonds Emerging Markets</t>
        </is>
      </c>
      <c r="E130" t="inlineStr">
        <is>
          <t>Inv MM$</t>
        </is>
      </c>
      <c r="F130" t="n">
        <v>0.005683</v>
      </c>
    </row>
    <row r="131">
      <c r="A131" t="inlineStr">
        <is>
          <t>202512</t>
        </is>
      </c>
      <c r="B131" t="inlineStr">
        <is>
          <t>Comparación</t>
        </is>
      </c>
      <c r="C131" t="inlineStr">
        <is>
          <t>Ex_Integra</t>
        </is>
      </c>
      <c r="D131" t="inlineStr">
        <is>
          <t>Candriam Bonds - Global High Yield</t>
        </is>
      </c>
      <c r="E131" t="inlineStr">
        <is>
          <t>Huella</t>
        </is>
      </c>
      <c r="F131" t="n">
        <v>5044.060438</v>
      </c>
    </row>
    <row r="132">
      <c r="A132" t="inlineStr">
        <is>
          <t>202512</t>
        </is>
      </c>
      <c r="B132" t="inlineStr">
        <is>
          <t>Comparación</t>
        </is>
      </c>
      <c r="C132" t="inlineStr">
        <is>
          <t>Ex_Integra</t>
        </is>
      </c>
      <c r="D132" t="inlineStr">
        <is>
          <t>Candriam Bonds - Global High Yield</t>
        </is>
      </c>
      <c r="E132" t="inlineStr">
        <is>
          <t>Intensidad</t>
        </is>
      </c>
      <c r="F132" t="n">
        <v>0.8622379999999999</v>
      </c>
    </row>
    <row r="133">
      <c r="A133" t="inlineStr">
        <is>
          <t>202512</t>
        </is>
      </c>
      <c r="B133" t="inlineStr">
        <is>
          <t>Comparación</t>
        </is>
      </c>
      <c r="C133" t="inlineStr">
        <is>
          <t>Ex_Integra</t>
        </is>
      </c>
      <c r="D133" t="inlineStr">
        <is>
          <t>Candriam Bonds - Global High Yield</t>
        </is>
      </c>
      <c r="E133" t="inlineStr">
        <is>
          <t>Inv MM$</t>
        </is>
      </c>
      <c r="F133" t="n">
        <v>35.301635</v>
      </c>
    </row>
    <row r="134">
      <c r="A134" t="inlineStr">
        <is>
          <t>202512</t>
        </is>
      </c>
      <c r="B134" t="inlineStr">
        <is>
          <t>Comparación</t>
        </is>
      </c>
      <c r="C134" t="inlineStr">
        <is>
          <t>Ex_Integra</t>
        </is>
      </c>
      <c r="D134" t="inlineStr">
        <is>
          <t>Colchester Local Markets Bond Fund USD Unhedged</t>
        </is>
      </c>
      <c r="E134" t="inlineStr">
        <is>
          <t>Huella</t>
        </is>
      </c>
      <c r="F134" t="n">
        <v>14026.314202</v>
      </c>
    </row>
    <row r="135">
      <c r="A135" t="inlineStr">
        <is>
          <t>202512</t>
        </is>
      </c>
      <c r="B135" t="inlineStr">
        <is>
          <t>Comparación</t>
        </is>
      </c>
      <c r="C135" t="inlineStr">
        <is>
          <t>Ex_Integra</t>
        </is>
      </c>
      <c r="D135" t="inlineStr">
        <is>
          <t>Colchester Local Markets Bond Fund USD Unhedged</t>
        </is>
      </c>
      <c r="E135" t="inlineStr">
        <is>
          <t>Intensidad</t>
        </is>
      </c>
      <c r="F135" t="n">
        <v>3.79034</v>
      </c>
    </row>
    <row r="136">
      <c r="A136" t="inlineStr">
        <is>
          <t>202512</t>
        </is>
      </c>
      <c r="B136" t="inlineStr">
        <is>
          <t>Comparación</t>
        </is>
      </c>
      <c r="C136" t="inlineStr">
        <is>
          <t>Ex_Integra</t>
        </is>
      </c>
      <c r="D136" t="inlineStr">
        <is>
          <t>Colchester Local Markets Bond Fund USD Unhedged</t>
        </is>
      </c>
      <c r="E136" t="inlineStr">
        <is>
          <t>Inv MM$</t>
        </is>
      </c>
      <c r="F136" t="n">
        <v>18.694242</v>
      </c>
    </row>
    <row r="137">
      <c r="A137" t="inlineStr">
        <is>
          <t>202512</t>
        </is>
      </c>
      <c r="B137" t="inlineStr">
        <is>
          <t>Comparación</t>
        </is>
      </c>
      <c r="C137" t="inlineStr">
        <is>
          <t>Ex_Integra</t>
        </is>
      </c>
      <c r="D137" t="inlineStr">
        <is>
          <t>Comgest - Japan Growth</t>
        </is>
      </c>
      <c r="E137" t="inlineStr">
        <is>
          <t>Huella</t>
        </is>
      </c>
      <c r="F137" t="n">
        <v>13.89197</v>
      </c>
    </row>
    <row r="138">
      <c r="A138" t="inlineStr">
        <is>
          <t>202512</t>
        </is>
      </c>
      <c r="B138" t="inlineStr">
        <is>
          <t>Comparación</t>
        </is>
      </c>
      <c r="C138" t="inlineStr">
        <is>
          <t>Ex_Integra</t>
        </is>
      </c>
      <c r="D138" t="inlineStr">
        <is>
          <t>Comgest - Japan Growth</t>
        </is>
      </c>
      <c r="E138" t="inlineStr">
        <is>
          <t>Intensidad</t>
        </is>
      </c>
      <c r="F138" t="n">
        <v>0.000995</v>
      </c>
    </row>
    <row r="139">
      <c r="A139" t="inlineStr">
        <is>
          <t>202512</t>
        </is>
      </c>
      <c r="B139" t="inlineStr">
        <is>
          <t>Comparación</t>
        </is>
      </c>
      <c r="C139" t="inlineStr">
        <is>
          <t>Ex_Integra</t>
        </is>
      </c>
      <c r="D139" t="inlineStr">
        <is>
          <t>Comgest - Japan Growth</t>
        </is>
      </c>
      <c r="E139" t="inlineStr">
        <is>
          <t>Inv MM$</t>
        </is>
      </c>
      <c r="F139" t="n">
        <v>1.063224</v>
      </c>
    </row>
    <row r="140">
      <c r="A140" t="inlineStr">
        <is>
          <t>202512</t>
        </is>
      </c>
      <c r="B140" t="inlineStr">
        <is>
          <t>Comparación</t>
        </is>
      </c>
      <c r="C140" t="inlineStr">
        <is>
          <t>Ex_Integra</t>
        </is>
      </c>
      <c r="D140" t="inlineStr">
        <is>
          <t>Comgest- Europe Opportunities Fund</t>
        </is>
      </c>
      <c r="E140" t="inlineStr">
        <is>
          <t>Huella</t>
        </is>
      </c>
      <c r="F140" t="n">
        <v>0.232646</v>
      </c>
    </row>
    <row r="141">
      <c r="A141" t="inlineStr">
        <is>
          <t>202512</t>
        </is>
      </c>
      <c r="B141" t="inlineStr">
        <is>
          <t>Comparación</t>
        </is>
      </c>
      <c r="C141" t="inlineStr">
        <is>
          <t>Ex_Integra</t>
        </is>
      </c>
      <c r="D141" t="inlineStr">
        <is>
          <t>Comgest- Europe Opportunities Fund</t>
        </is>
      </c>
      <c r="E141" t="inlineStr">
        <is>
          <t>Intensidad</t>
        </is>
      </c>
      <c r="F141" t="n">
        <v>1.7e-05</v>
      </c>
    </row>
    <row r="142">
      <c r="A142" t="inlineStr">
        <is>
          <t>202512</t>
        </is>
      </c>
      <c r="B142" t="inlineStr">
        <is>
          <t>Comparación</t>
        </is>
      </c>
      <c r="C142" t="inlineStr">
        <is>
          <t>Ex_Integra</t>
        </is>
      </c>
      <c r="D142" t="inlineStr">
        <is>
          <t>Comgest- Europe Opportunities Fund</t>
        </is>
      </c>
      <c r="E142" t="inlineStr">
        <is>
          <t>Inv MM$</t>
        </is>
      </c>
      <c r="F142" t="n">
        <v>0.024775</v>
      </c>
    </row>
    <row r="143">
      <c r="A143" t="inlineStr">
        <is>
          <t>202512</t>
        </is>
      </c>
      <c r="B143" t="inlineStr">
        <is>
          <t>Comparación</t>
        </is>
      </c>
      <c r="C143" t="inlineStr">
        <is>
          <t>Ex_Integra</t>
        </is>
      </c>
      <c r="D143" t="inlineStr">
        <is>
          <t>Comisión Federal de Electricidad</t>
        </is>
      </c>
      <c r="E143" t="inlineStr">
        <is>
          <t>Huella</t>
        </is>
      </c>
      <c r="F143" t="n">
        <v>0.155467</v>
      </c>
    </row>
    <row r="144">
      <c r="A144" t="inlineStr">
        <is>
          <t>202512</t>
        </is>
      </c>
      <c r="B144" t="inlineStr">
        <is>
          <t>Comparación</t>
        </is>
      </c>
      <c r="C144" t="inlineStr">
        <is>
          <t>Ex_Integra</t>
        </is>
      </c>
      <c r="D144" t="inlineStr">
        <is>
          <t>Comisión Federal de Electricidad</t>
        </is>
      </c>
      <c r="E144" t="inlineStr">
        <is>
          <t>Intensidad</t>
        </is>
      </c>
      <c r="F144" t="n">
        <v>1.1e-05</v>
      </c>
    </row>
    <row r="145">
      <c r="A145" t="inlineStr">
        <is>
          <t>202512</t>
        </is>
      </c>
      <c r="B145" t="inlineStr">
        <is>
          <t>Comparación</t>
        </is>
      </c>
      <c r="C145" t="inlineStr">
        <is>
          <t>Ex_Integra</t>
        </is>
      </c>
      <c r="D145" t="inlineStr">
        <is>
          <t>Comisión Federal de Electricidad</t>
        </is>
      </c>
      <c r="E145" t="inlineStr">
        <is>
          <t>Inv MM$</t>
        </is>
      </c>
      <c r="F145" t="n">
        <v>0.000173</v>
      </c>
    </row>
    <row r="146">
      <c r="A146" t="inlineStr">
        <is>
          <t>202512</t>
        </is>
      </c>
      <c r="B146" t="inlineStr">
        <is>
          <t>Comparación</t>
        </is>
      </c>
      <c r="C146" t="inlineStr">
        <is>
          <t>Ex_Integra</t>
        </is>
      </c>
      <c r="D146" t="inlineStr">
        <is>
          <t>Credicorp*</t>
        </is>
      </c>
      <c r="E146" t="inlineStr">
        <is>
          <t>Huella</t>
        </is>
      </c>
      <c r="F146" t="n">
        <v>591.2513729999999</v>
      </c>
    </row>
    <row r="147">
      <c r="A147" t="inlineStr">
        <is>
          <t>202512</t>
        </is>
      </c>
      <c r="B147" t="inlineStr">
        <is>
          <t>Comparación</t>
        </is>
      </c>
      <c r="C147" t="inlineStr">
        <is>
          <t>Ex_Integra</t>
        </is>
      </c>
      <c r="D147" t="inlineStr">
        <is>
          <t>Credicorp*</t>
        </is>
      </c>
      <c r="E147" t="inlineStr">
        <is>
          <t>Intensidad</t>
        </is>
      </c>
      <c r="F147" t="n">
        <v>0.07545</v>
      </c>
    </row>
    <row r="148">
      <c r="A148" t="inlineStr">
        <is>
          <t>202512</t>
        </is>
      </c>
      <c r="B148" t="inlineStr">
        <is>
          <t>Comparación</t>
        </is>
      </c>
      <c r="C148" t="inlineStr">
        <is>
          <t>Ex_Integra</t>
        </is>
      </c>
      <c r="D148" t="inlineStr">
        <is>
          <t>Credicorp*</t>
        </is>
      </c>
      <c r="E148" t="inlineStr">
        <is>
          <t>Inv MM$</t>
        </is>
      </c>
      <c r="F148" t="n">
        <v>809.933388</v>
      </c>
    </row>
    <row r="149">
      <c r="A149" t="inlineStr">
        <is>
          <t>202512</t>
        </is>
      </c>
      <c r="B149" t="inlineStr">
        <is>
          <t>Comparación</t>
        </is>
      </c>
      <c r="C149" t="inlineStr">
        <is>
          <t>Ex_Integra</t>
        </is>
      </c>
      <c r="D149" t="inlineStr">
        <is>
          <t>DWS - Brazilian Equities</t>
        </is>
      </c>
      <c r="E149" t="inlineStr">
        <is>
          <t>Huella</t>
        </is>
      </c>
      <c r="F149" t="n">
        <v>1978.027851</v>
      </c>
    </row>
    <row r="150">
      <c r="A150" t="inlineStr">
        <is>
          <t>202512</t>
        </is>
      </c>
      <c r="B150" t="inlineStr">
        <is>
          <t>Comparación</t>
        </is>
      </c>
      <c r="C150" t="inlineStr">
        <is>
          <t>Ex_Integra</t>
        </is>
      </c>
      <c r="D150" t="inlineStr">
        <is>
          <t>DWS - Brazilian Equities</t>
        </is>
      </c>
      <c r="E150" t="inlineStr">
        <is>
          <t>Intensidad</t>
        </is>
      </c>
      <c r="F150" t="n">
        <v>0.352</v>
      </c>
    </row>
    <row r="151">
      <c r="A151" t="inlineStr">
        <is>
          <t>202512</t>
        </is>
      </c>
      <c r="B151" t="inlineStr">
        <is>
          <t>Comparación</t>
        </is>
      </c>
      <c r="C151" t="inlineStr">
        <is>
          <t>Ex_Integra</t>
        </is>
      </c>
      <c r="D151" t="inlineStr">
        <is>
          <t>DWS - Brazilian Equities</t>
        </is>
      </c>
      <c r="E151" t="inlineStr">
        <is>
          <t>Inv MM$</t>
        </is>
      </c>
      <c r="F151" t="n">
        <v>20.093313</v>
      </c>
    </row>
    <row r="152">
      <c r="A152" t="inlineStr">
        <is>
          <t>202512</t>
        </is>
      </c>
      <c r="B152" t="inlineStr">
        <is>
          <t>Comparación</t>
        </is>
      </c>
      <c r="C152" t="inlineStr">
        <is>
          <t>Ex_Integra</t>
        </is>
      </c>
      <c r="D152" t="inlineStr">
        <is>
          <t>DWS - Invest Global Agribusiness</t>
        </is>
      </c>
      <c r="E152" t="inlineStr">
        <is>
          <t>Huella</t>
        </is>
      </c>
      <c r="F152" t="n">
        <v>0.065084</v>
      </c>
    </row>
    <row r="153">
      <c r="A153" t="inlineStr">
        <is>
          <t>202512</t>
        </is>
      </c>
      <c r="B153" t="inlineStr">
        <is>
          <t>Comparación</t>
        </is>
      </c>
      <c r="C153" t="inlineStr">
        <is>
          <t>Ex_Integra</t>
        </is>
      </c>
      <c r="D153" t="inlineStr">
        <is>
          <t>DWS - Invest Global Agribusiness</t>
        </is>
      </c>
      <c r="E153" t="inlineStr">
        <is>
          <t>Intensidad</t>
        </is>
      </c>
      <c r="F153" t="n">
        <v>1.4e-05</v>
      </c>
    </row>
    <row r="154">
      <c r="A154" t="inlineStr">
        <is>
          <t>202512</t>
        </is>
      </c>
      <c r="B154" t="inlineStr">
        <is>
          <t>Comparación</t>
        </is>
      </c>
      <c r="C154" t="inlineStr">
        <is>
          <t>Ex_Integra</t>
        </is>
      </c>
      <c r="D154" t="inlineStr">
        <is>
          <t>DWS - Invest Global Agribusiness</t>
        </is>
      </c>
      <c r="E154" t="inlineStr">
        <is>
          <t>Inv MM$</t>
        </is>
      </c>
      <c r="F154" t="n">
        <v>0.00041</v>
      </c>
    </row>
    <row r="155">
      <c r="A155" t="inlineStr">
        <is>
          <t>202512</t>
        </is>
      </c>
      <c r="B155" t="inlineStr">
        <is>
          <t>Comparación</t>
        </is>
      </c>
      <c r="C155" t="inlineStr">
        <is>
          <t>Ex_Integra</t>
        </is>
      </c>
      <c r="D155" t="inlineStr">
        <is>
          <t>DWS - Invest Latin American Equities - FC50</t>
        </is>
      </c>
      <c r="E155" t="inlineStr">
        <is>
          <t>Huella</t>
        </is>
      </c>
      <c r="F155" t="n">
        <v>3388.080859</v>
      </c>
    </row>
    <row r="156">
      <c r="A156" t="inlineStr">
        <is>
          <t>202512</t>
        </is>
      </c>
      <c r="B156" t="inlineStr">
        <is>
          <t>Comparación</t>
        </is>
      </c>
      <c r="C156" t="inlineStr">
        <is>
          <t>Ex_Integra</t>
        </is>
      </c>
      <c r="D156" t="inlineStr">
        <is>
          <t>DWS - Invest Latin American Equities - FC50</t>
        </is>
      </c>
      <c r="E156" t="inlineStr">
        <is>
          <t>Intensidad</t>
        </is>
      </c>
      <c r="F156" t="n">
        <v>0.544409</v>
      </c>
    </row>
    <row r="157">
      <c r="A157" t="inlineStr">
        <is>
          <t>202512</t>
        </is>
      </c>
      <c r="B157" t="inlineStr">
        <is>
          <t>Comparación</t>
        </is>
      </c>
      <c r="C157" t="inlineStr">
        <is>
          <t>Ex_Integra</t>
        </is>
      </c>
      <c r="D157" t="inlineStr">
        <is>
          <t>DWS - Invest Latin American Equities - FC50</t>
        </is>
      </c>
      <c r="E157" t="inlineStr">
        <is>
          <t>Inv MM$</t>
        </is>
      </c>
      <c r="F157" t="n">
        <v>21.832421</v>
      </c>
    </row>
    <row r="158">
      <c r="A158" t="inlineStr">
        <is>
          <t>202512</t>
        </is>
      </c>
      <c r="B158" t="inlineStr">
        <is>
          <t>Comparación</t>
        </is>
      </c>
      <c r="C158" t="inlineStr">
        <is>
          <t>Ex_Integra</t>
        </is>
      </c>
      <c r="D158" t="inlineStr">
        <is>
          <t>DWS - Invest Latin American Equities - IC</t>
        </is>
      </c>
      <c r="E158" t="inlineStr">
        <is>
          <t>Huella</t>
        </is>
      </c>
      <c r="F158" t="n">
        <v>2582.595295</v>
      </c>
    </row>
    <row r="159">
      <c r="A159" t="inlineStr">
        <is>
          <t>202512</t>
        </is>
      </c>
      <c r="B159" t="inlineStr">
        <is>
          <t>Comparación</t>
        </is>
      </c>
      <c r="C159" t="inlineStr">
        <is>
          <t>Ex_Integra</t>
        </is>
      </c>
      <c r="D159" t="inlineStr">
        <is>
          <t>DWS - Invest Latin American Equities - IC</t>
        </is>
      </c>
      <c r="E159" t="inlineStr">
        <is>
          <t>Intensidad</t>
        </is>
      </c>
      <c r="F159" t="n">
        <v>0.382319</v>
      </c>
    </row>
    <row r="160">
      <c r="A160" t="inlineStr">
        <is>
          <t>202512</t>
        </is>
      </c>
      <c r="B160" t="inlineStr">
        <is>
          <t>Comparación</t>
        </is>
      </c>
      <c r="C160" t="inlineStr">
        <is>
          <t>Ex_Integra</t>
        </is>
      </c>
      <c r="D160" t="inlineStr">
        <is>
          <t>DWS - Invest Latin American Equities - IC</t>
        </is>
      </c>
      <c r="E160" t="inlineStr">
        <is>
          <t>Inv MM$</t>
        </is>
      </c>
      <c r="F160" t="n">
        <v>16.641961</v>
      </c>
    </row>
    <row r="161">
      <c r="A161" t="inlineStr">
        <is>
          <t>202512</t>
        </is>
      </c>
      <c r="B161" t="inlineStr">
        <is>
          <t>Comparación</t>
        </is>
      </c>
      <c r="C161" t="inlineStr">
        <is>
          <t>Ex_Integra</t>
        </is>
      </c>
      <c r="D161" t="inlineStr">
        <is>
          <t>DWS Invest - Euro High Yield Corporates</t>
        </is>
      </c>
      <c r="E161" t="inlineStr">
        <is>
          <t>Huella</t>
        </is>
      </c>
      <c r="F161" t="n">
        <v>0.018259</v>
      </c>
    </row>
    <row r="162">
      <c r="A162" t="inlineStr">
        <is>
          <t>202512</t>
        </is>
      </c>
      <c r="B162" t="inlineStr">
        <is>
          <t>Comparación</t>
        </is>
      </c>
      <c r="C162" t="inlineStr">
        <is>
          <t>Ex_Integra</t>
        </is>
      </c>
      <c r="D162" t="inlineStr">
        <is>
          <t>DWS Invest - Euro High Yield Corporates</t>
        </is>
      </c>
      <c r="E162" t="inlineStr">
        <is>
          <t>Intensidad</t>
        </is>
      </c>
      <c r="F162" t="n">
        <v>5e-06</v>
      </c>
    </row>
    <row r="163">
      <c r="A163" t="inlineStr">
        <is>
          <t>202512</t>
        </is>
      </c>
      <c r="B163" t="inlineStr">
        <is>
          <t>Comparación</t>
        </is>
      </c>
      <c r="C163" t="inlineStr">
        <is>
          <t>Ex_Integra</t>
        </is>
      </c>
      <c r="D163" t="inlineStr">
        <is>
          <t>DWS Invest - Euro High Yield Corporates</t>
        </is>
      </c>
      <c r="E163" t="inlineStr">
        <is>
          <t>Inv MM$</t>
        </is>
      </c>
      <c r="F163" t="n">
        <v>0.000184</v>
      </c>
    </row>
    <row r="164">
      <c r="A164" t="inlineStr">
        <is>
          <t>202512</t>
        </is>
      </c>
      <c r="B164" t="inlineStr">
        <is>
          <t>Comparación</t>
        </is>
      </c>
      <c r="C164" t="inlineStr">
        <is>
          <t>Ex_Integra</t>
        </is>
      </c>
      <c r="D164" t="inlineStr">
        <is>
          <t>Degroof - EM  Sustainable Debt</t>
        </is>
      </c>
      <c r="E164" t="inlineStr">
        <is>
          <t>Huella</t>
        </is>
      </c>
      <c r="F164" t="n">
        <v>2.852732</v>
      </c>
    </row>
    <row r="165">
      <c r="A165" t="inlineStr">
        <is>
          <t>202512</t>
        </is>
      </c>
      <c r="B165" t="inlineStr">
        <is>
          <t>Comparación</t>
        </is>
      </c>
      <c r="C165" t="inlineStr">
        <is>
          <t>Ex_Integra</t>
        </is>
      </c>
      <c r="D165" t="inlineStr">
        <is>
          <t>Degroof - EM  Sustainable Debt</t>
        </is>
      </c>
      <c r="E165" t="inlineStr">
        <is>
          <t>Intensidad</t>
        </is>
      </c>
      <c r="F165" t="n">
        <v>0.000468</v>
      </c>
    </row>
    <row r="166">
      <c r="A166" t="inlineStr">
        <is>
          <t>202512</t>
        </is>
      </c>
      <c r="B166" t="inlineStr">
        <is>
          <t>Comparación</t>
        </is>
      </c>
      <c r="C166" t="inlineStr">
        <is>
          <t>Ex_Integra</t>
        </is>
      </c>
      <c r="D166" t="inlineStr">
        <is>
          <t>Degroof - EM  Sustainable Debt</t>
        </is>
      </c>
      <c r="E166" t="inlineStr">
        <is>
          <t>Inv MM$</t>
        </is>
      </c>
      <c r="F166" t="n">
        <v>46.451741</v>
      </c>
    </row>
    <row r="167">
      <c r="A167" t="inlineStr">
        <is>
          <t>202512</t>
        </is>
      </c>
      <c r="B167" t="inlineStr">
        <is>
          <t>Comparación</t>
        </is>
      </c>
      <c r="C167" t="inlineStr">
        <is>
          <t>Ex_Integra</t>
        </is>
      </c>
      <c r="D167" t="inlineStr">
        <is>
          <t>Ecopetrol</t>
        </is>
      </c>
      <c r="E167" t="inlineStr">
        <is>
          <t>Huella</t>
        </is>
      </c>
      <c r="F167" t="n">
        <v>41123.18737</v>
      </c>
    </row>
    <row r="168">
      <c r="A168" t="inlineStr">
        <is>
          <t>202512</t>
        </is>
      </c>
      <c r="B168" t="inlineStr">
        <is>
          <t>Comparación</t>
        </is>
      </c>
      <c r="C168" t="inlineStr">
        <is>
          <t>Ex_Integra</t>
        </is>
      </c>
      <c r="D168" t="inlineStr">
        <is>
          <t>Ecopetrol</t>
        </is>
      </c>
      <c r="E168" t="inlineStr">
        <is>
          <t>Intensidad</t>
        </is>
      </c>
      <c r="F168" t="n">
        <v>7.209865</v>
      </c>
    </row>
    <row r="169">
      <c r="A169" t="inlineStr">
        <is>
          <t>202512</t>
        </is>
      </c>
      <c r="B169" t="inlineStr">
        <is>
          <t>Comparación</t>
        </is>
      </c>
      <c r="C169" t="inlineStr">
        <is>
          <t>Ex_Integra</t>
        </is>
      </c>
      <c r="D169" t="inlineStr">
        <is>
          <t>Ecopetrol</t>
        </is>
      </c>
      <c r="E169" t="inlineStr">
        <is>
          <t>Inv MM$</t>
        </is>
      </c>
      <c r="F169" t="n">
        <v>158.391509</v>
      </c>
    </row>
    <row r="170">
      <c r="A170" t="inlineStr">
        <is>
          <t>202512</t>
        </is>
      </c>
      <c r="B170" t="inlineStr">
        <is>
          <t>Comparación</t>
        </is>
      </c>
      <c r="C170" t="inlineStr">
        <is>
          <t>Ex_Integra</t>
        </is>
      </c>
      <c r="D170" t="inlineStr">
        <is>
          <t>Edmond de Rothschild - Big Data</t>
        </is>
      </c>
      <c r="E170" t="inlineStr">
        <is>
          <t>Huella</t>
        </is>
      </c>
      <c r="F170" t="n">
        <v>250.038068</v>
      </c>
    </row>
    <row r="171">
      <c r="A171" t="inlineStr">
        <is>
          <t>202512</t>
        </is>
      </c>
      <c r="B171" t="inlineStr">
        <is>
          <t>Comparación</t>
        </is>
      </c>
      <c r="C171" t="inlineStr">
        <is>
          <t>Ex_Integra</t>
        </is>
      </c>
      <c r="D171" t="inlineStr">
        <is>
          <t>Edmond de Rothschild - Big Data</t>
        </is>
      </c>
      <c r="E171" t="inlineStr">
        <is>
          <t>Intensidad</t>
        </is>
      </c>
      <c r="F171" t="n">
        <v>0.037469</v>
      </c>
    </row>
    <row r="172">
      <c r="A172" t="inlineStr">
        <is>
          <t>202512</t>
        </is>
      </c>
      <c r="B172" t="inlineStr">
        <is>
          <t>Comparación</t>
        </is>
      </c>
      <c r="C172" t="inlineStr">
        <is>
          <t>Ex_Integra</t>
        </is>
      </c>
      <c r="D172" t="inlineStr">
        <is>
          <t>Edmond de Rothschild - Big Data</t>
        </is>
      </c>
      <c r="E172" t="inlineStr">
        <is>
          <t>Inv MM$</t>
        </is>
      </c>
      <c r="F172" t="n">
        <v>30.88406</v>
      </c>
    </row>
    <row r="173">
      <c r="A173" t="inlineStr">
        <is>
          <t>202512</t>
        </is>
      </c>
      <c r="B173" t="inlineStr">
        <is>
          <t>Comparación</t>
        </is>
      </c>
      <c r="C173" t="inlineStr">
        <is>
          <t>Ex_Integra</t>
        </is>
      </c>
      <c r="D173" t="inlineStr">
        <is>
          <t>Edmond de Rothschild - Corp EM Debt USD</t>
        </is>
      </c>
      <c r="E173" t="inlineStr">
        <is>
          <t>Huella</t>
        </is>
      </c>
      <c r="F173" t="n">
        <v>23295.393978</v>
      </c>
    </row>
    <row r="174">
      <c r="A174" t="inlineStr">
        <is>
          <t>202512</t>
        </is>
      </c>
      <c r="B174" t="inlineStr">
        <is>
          <t>Comparación</t>
        </is>
      </c>
      <c r="C174" t="inlineStr">
        <is>
          <t>Ex_Integra</t>
        </is>
      </c>
      <c r="D174" t="inlineStr">
        <is>
          <t>Edmond de Rothschild - Corp EM Debt USD</t>
        </is>
      </c>
      <c r="E174" t="inlineStr">
        <is>
          <t>Intensidad</t>
        </is>
      </c>
      <c r="F174" t="n">
        <v>4.202074</v>
      </c>
    </row>
    <row r="175">
      <c r="A175" t="inlineStr">
        <is>
          <t>202512</t>
        </is>
      </c>
      <c r="B175" t="inlineStr">
        <is>
          <t>Comparación</t>
        </is>
      </c>
      <c r="C175" t="inlineStr">
        <is>
          <t>Ex_Integra</t>
        </is>
      </c>
      <c r="D175" t="inlineStr">
        <is>
          <t>Edmond de Rothschild - Corp EM Debt USD</t>
        </is>
      </c>
      <c r="E175" t="inlineStr">
        <is>
          <t>Inv MM$</t>
        </is>
      </c>
      <c r="F175" t="n">
        <v>61.031348</v>
      </c>
    </row>
    <row r="176">
      <c r="A176" t="inlineStr">
        <is>
          <t>202512</t>
        </is>
      </c>
      <c r="B176" t="inlineStr">
        <is>
          <t>Comparación</t>
        </is>
      </c>
      <c r="C176" t="inlineStr">
        <is>
          <t>Ex_Integra</t>
        </is>
      </c>
      <c r="D176" t="inlineStr">
        <is>
          <t>Emp. Públicas Medellin</t>
        </is>
      </c>
      <c r="E176" t="inlineStr">
        <is>
          <t>Huella</t>
        </is>
      </c>
      <c r="F176" t="n">
        <v>3516.846096</v>
      </c>
    </row>
    <row r="177">
      <c r="A177" t="inlineStr">
        <is>
          <t>202512</t>
        </is>
      </c>
      <c r="B177" t="inlineStr">
        <is>
          <t>Comparación</t>
        </is>
      </c>
      <c r="C177" t="inlineStr">
        <is>
          <t>Ex_Integra</t>
        </is>
      </c>
      <c r="D177" t="inlineStr">
        <is>
          <t>Emp. Públicas Medellin</t>
        </is>
      </c>
      <c r="E177" t="inlineStr">
        <is>
          <t>Intensidad</t>
        </is>
      </c>
      <c r="F177" t="n">
        <v>0.6221139999999999</v>
      </c>
    </row>
    <row r="178">
      <c r="A178" t="inlineStr">
        <is>
          <t>202512</t>
        </is>
      </c>
      <c r="B178" t="inlineStr">
        <is>
          <t>Comparación</t>
        </is>
      </c>
      <c r="C178" t="inlineStr">
        <is>
          <t>Ex_Integra</t>
        </is>
      </c>
      <c r="D178" t="inlineStr">
        <is>
          <t>Emp. Públicas Medellin</t>
        </is>
      </c>
      <c r="E178" t="inlineStr">
        <is>
          <t>Inv MM$</t>
        </is>
      </c>
      <c r="F178" t="n">
        <v>107.779531</v>
      </c>
    </row>
    <row r="179">
      <c r="A179" t="inlineStr">
        <is>
          <t>202512</t>
        </is>
      </c>
      <c r="B179" t="inlineStr">
        <is>
          <t>Comparación</t>
        </is>
      </c>
      <c r="C179" t="inlineStr">
        <is>
          <t>Ex_Integra</t>
        </is>
      </c>
      <c r="D179" t="inlineStr">
        <is>
          <t>Ferreyros</t>
        </is>
      </c>
      <c r="E179" t="inlineStr">
        <is>
          <t>Huella</t>
        </is>
      </c>
      <c r="F179" t="n">
        <v>2274.438867</v>
      </c>
    </row>
    <row r="180">
      <c r="A180" t="inlineStr">
        <is>
          <t>202512</t>
        </is>
      </c>
      <c r="B180" t="inlineStr">
        <is>
          <t>Comparación</t>
        </is>
      </c>
      <c r="C180" t="inlineStr">
        <is>
          <t>Ex_Integra</t>
        </is>
      </c>
      <c r="D180" t="inlineStr">
        <is>
          <t>Ferreyros</t>
        </is>
      </c>
      <c r="E180" t="inlineStr">
        <is>
          <t>Intensidad</t>
        </is>
      </c>
      <c r="F180" t="n">
        <v>0.368206</v>
      </c>
    </row>
    <row r="181">
      <c r="A181" t="inlineStr">
        <is>
          <t>202512</t>
        </is>
      </c>
      <c r="B181" t="inlineStr">
        <is>
          <t>Comparación</t>
        </is>
      </c>
      <c r="C181" t="inlineStr">
        <is>
          <t>Ex_Integra</t>
        </is>
      </c>
      <c r="D181" t="inlineStr">
        <is>
          <t>Ferreyros</t>
        </is>
      </c>
      <c r="E181" t="inlineStr">
        <is>
          <t>Inv MM$</t>
        </is>
      </c>
      <c r="F181" t="n">
        <v>286.092939</v>
      </c>
    </row>
    <row r="182">
      <c r="A182" t="inlineStr">
        <is>
          <t>202512</t>
        </is>
      </c>
      <c r="B182" t="inlineStr">
        <is>
          <t>Comparación</t>
        </is>
      </c>
      <c r="C182" t="inlineStr">
        <is>
          <t>Ex_Integra</t>
        </is>
      </c>
      <c r="D182" t="inlineStr">
        <is>
          <t>Fidelity - Emerging Markets -Retail</t>
        </is>
      </c>
      <c r="E182" t="inlineStr">
        <is>
          <t>Huella</t>
        </is>
      </c>
      <c r="F182" t="n">
        <v>19.6452</v>
      </c>
    </row>
    <row r="183">
      <c r="A183" t="inlineStr">
        <is>
          <t>202512</t>
        </is>
      </c>
      <c r="B183" t="inlineStr">
        <is>
          <t>Comparación</t>
        </is>
      </c>
      <c r="C183" t="inlineStr">
        <is>
          <t>Ex_Integra</t>
        </is>
      </c>
      <c r="D183" t="inlineStr">
        <is>
          <t>Fidelity - Emerging Markets -Retail</t>
        </is>
      </c>
      <c r="E183" t="inlineStr">
        <is>
          <t>Intensidad</t>
        </is>
      </c>
      <c r="F183" t="n">
        <v>0.005526</v>
      </c>
    </row>
    <row r="184">
      <c r="A184" t="inlineStr">
        <is>
          <t>202512</t>
        </is>
      </c>
      <c r="B184" t="inlineStr">
        <is>
          <t>Comparación</t>
        </is>
      </c>
      <c r="C184" t="inlineStr">
        <is>
          <t>Ex_Integra</t>
        </is>
      </c>
      <c r="D184" t="inlineStr">
        <is>
          <t>Fidelity - Emerging Markets -Retail</t>
        </is>
      </c>
      <c r="E184" t="inlineStr">
        <is>
          <t>Inv MM$</t>
        </is>
      </c>
      <c r="F184" t="n">
        <v>0.642286</v>
      </c>
    </row>
    <row r="185">
      <c r="A185" t="inlineStr">
        <is>
          <t>202512</t>
        </is>
      </c>
      <c r="B185" t="inlineStr">
        <is>
          <t>Comparación</t>
        </is>
      </c>
      <c r="C185" t="inlineStr">
        <is>
          <t>Ex_Integra</t>
        </is>
      </c>
      <c r="D185" t="inlineStr">
        <is>
          <t>Fidelity - European Dynamic Growth</t>
        </is>
      </c>
      <c r="E185" t="inlineStr">
        <is>
          <t>Huella</t>
        </is>
      </c>
      <c r="F185" t="n">
        <v>0.409625</v>
      </c>
    </row>
    <row r="186">
      <c r="A186" t="inlineStr">
        <is>
          <t>202512</t>
        </is>
      </c>
      <c r="B186" t="inlineStr">
        <is>
          <t>Comparación</t>
        </is>
      </c>
      <c r="C186" t="inlineStr">
        <is>
          <t>Ex_Integra</t>
        </is>
      </c>
      <c r="D186" t="inlineStr">
        <is>
          <t>Fidelity - European Dynamic Growth</t>
        </is>
      </c>
      <c r="E186" t="inlineStr">
        <is>
          <t>Intensidad</t>
        </is>
      </c>
      <c r="F186" t="n">
        <v>2.9e-05</v>
      </c>
    </row>
    <row r="187">
      <c r="A187" t="inlineStr">
        <is>
          <t>202512</t>
        </is>
      </c>
      <c r="B187" t="inlineStr">
        <is>
          <t>Comparación</t>
        </is>
      </c>
      <c r="C187" t="inlineStr">
        <is>
          <t>Ex_Integra</t>
        </is>
      </c>
      <c r="D187" t="inlineStr">
        <is>
          <t>Fidelity - European Dynamic Growth</t>
        </is>
      </c>
      <c r="E187" t="inlineStr">
        <is>
          <t>Inv MM$</t>
        </is>
      </c>
      <c r="F187" t="n">
        <v>0.02216</v>
      </c>
    </row>
    <row r="188">
      <c r="A188" t="inlineStr">
        <is>
          <t>202512</t>
        </is>
      </c>
      <c r="B188" t="inlineStr">
        <is>
          <t>Comparación</t>
        </is>
      </c>
      <c r="C188" t="inlineStr">
        <is>
          <t>Ex_Integra</t>
        </is>
      </c>
      <c r="D188" t="inlineStr">
        <is>
          <t>Fondo Credicorp Deuda Soles II</t>
        </is>
      </c>
      <c r="E188" t="inlineStr">
        <is>
          <t>Huella</t>
        </is>
      </c>
      <c r="F188" t="n">
        <v>834.079158</v>
      </c>
    </row>
    <row r="189">
      <c r="A189" t="inlineStr">
        <is>
          <t>202512</t>
        </is>
      </c>
      <c r="B189" t="inlineStr">
        <is>
          <t>Comparación</t>
        </is>
      </c>
      <c r="C189" t="inlineStr">
        <is>
          <t>Ex_Integra</t>
        </is>
      </c>
      <c r="D189" t="inlineStr">
        <is>
          <t>Fondo Credicorp Deuda Soles II</t>
        </is>
      </c>
      <c r="E189" t="inlineStr">
        <is>
          <t>Intensidad</t>
        </is>
      </c>
      <c r="F189" t="n">
        <v>0.128441</v>
      </c>
    </row>
    <row r="190">
      <c r="A190" t="inlineStr">
        <is>
          <t>202512</t>
        </is>
      </c>
      <c r="B190" t="inlineStr">
        <is>
          <t>Comparación</t>
        </is>
      </c>
      <c r="C190" t="inlineStr">
        <is>
          <t>Ex_Integra</t>
        </is>
      </c>
      <c r="D190" t="inlineStr">
        <is>
          <t>Fondo Credicorp Deuda Soles II</t>
        </is>
      </c>
      <c r="E190" t="inlineStr">
        <is>
          <t>Inv MM$</t>
        </is>
      </c>
      <c r="F190" t="n">
        <v>26.620277</v>
      </c>
    </row>
    <row r="191">
      <c r="A191" t="inlineStr">
        <is>
          <t>202512</t>
        </is>
      </c>
      <c r="B191" t="inlineStr">
        <is>
          <t>Comparación</t>
        </is>
      </c>
      <c r="C191" t="inlineStr">
        <is>
          <t>Ex_Integra</t>
        </is>
      </c>
      <c r="D191" t="inlineStr">
        <is>
          <t>Franklin Templeton - FTGF ClearBridge Infrastructure Value Fund</t>
        </is>
      </c>
      <c r="E191" t="inlineStr">
        <is>
          <t>Huella</t>
        </is>
      </c>
      <c r="F191" t="n">
        <v>0.011344</v>
      </c>
    </row>
    <row r="192">
      <c r="A192" t="inlineStr">
        <is>
          <t>202512</t>
        </is>
      </c>
      <c r="B192" t="inlineStr">
        <is>
          <t>Comparación</t>
        </is>
      </c>
      <c r="C192" t="inlineStr">
        <is>
          <t>Ex_Integra</t>
        </is>
      </c>
      <c r="D192" t="inlineStr">
        <is>
          <t>Franklin Templeton - FTGF ClearBridge Infrastructure Value Fund</t>
        </is>
      </c>
      <c r="E192" t="inlineStr">
        <is>
          <t>Intensidad</t>
        </is>
      </c>
      <c r="F192" t="n">
        <v>2e-06</v>
      </c>
    </row>
    <row r="193">
      <c r="A193" t="inlineStr">
        <is>
          <t>202512</t>
        </is>
      </c>
      <c r="B193" t="inlineStr">
        <is>
          <t>Comparación</t>
        </is>
      </c>
      <c r="C193" t="inlineStr">
        <is>
          <t>Ex_Integra</t>
        </is>
      </c>
      <c r="D193" t="inlineStr">
        <is>
          <t>Franklin Templeton - FTGF ClearBridge Infrastructure Value Fund</t>
        </is>
      </c>
      <c r="E193" t="inlineStr">
        <is>
          <t>Inv MM$</t>
        </is>
      </c>
      <c r="F193" t="n">
        <v>6.7e-05</v>
      </c>
    </row>
    <row r="194">
      <c r="A194" t="inlineStr">
        <is>
          <t>202512</t>
        </is>
      </c>
      <c r="B194" t="inlineStr">
        <is>
          <t>Comparación</t>
        </is>
      </c>
      <c r="C194" t="inlineStr">
        <is>
          <t>Ex_Integra</t>
        </is>
      </c>
      <c r="D194" t="inlineStr">
        <is>
          <t>Franklin Templeton - Global Convertibles</t>
        </is>
      </c>
      <c r="E194" t="inlineStr">
        <is>
          <t>Huella</t>
        </is>
      </c>
      <c r="F194" t="n">
        <v>752.234334</v>
      </c>
    </row>
    <row r="195">
      <c r="A195" t="inlineStr">
        <is>
          <t>202512</t>
        </is>
      </c>
      <c r="B195" t="inlineStr">
        <is>
          <t>Comparación</t>
        </is>
      </c>
      <c r="C195" t="inlineStr">
        <is>
          <t>Ex_Integra</t>
        </is>
      </c>
      <c r="D195" t="inlineStr">
        <is>
          <t>Franklin Templeton - Global Convertibles</t>
        </is>
      </c>
      <c r="E195" t="inlineStr">
        <is>
          <t>Intensidad</t>
        </is>
      </c>
      <c r="F195" t="n">
        <v>0.109702</v>
      </c>
    </row>
    <row r="196">
      <c r="A196" t="inlineStr">
        <is>
          <t>202512</t>
        </is>
      </c>
      <c r="B196" t="inlineStr">
        <is>
          <t>Comparación</t>
        </is>
      </c>
      <c r="C196" t="inlineStr">
        <is>
          <t>Ex_Integra</t>
        </is>
      </c>
      <c r="D196" t="inlineStr">
        <is>
          <t>Franklin Templeton - Global Convertibles</t>
        </is>
      </c>
      <c r="E196" t="inlineStr">
        <is>
          <t>Inv MM$</t>
        </is>
      </c>
      <c r="F196" t="n">
        <v>14.644475</v>
      </c>
    </row>
    <row r="197">
      <c r="A197" t="inlineStr">
        <is>
          <t>202512</t>
        </is>
      </c>
      <c r="B197" t="inlineStr">
        <is>
          <t>Comparación</t>
        </is>
      </c>
      <c r="C197" t="inlineStr">
        <is>
          <t>Ex_Integra</t>
        </is>
      </c>
      <c r="D197" t="inlineStr">
        <is>
          <t>GAM - Continental Europe</t>
        </is>
      </c>
      <c r="E197" t="inlineStr">
        <is>
          <t>Huella</t>
        </is>
      </c>
      <c r="F197" t="n">
        <v>0.002768</v>
      </c>
    </row>
    <row r="198">
      <c r="A198" t="inlineStr">
        <is>
          <t>202512</t>
        </is>
      </c>
      <c r="B198" t="inlineStr">
        <is>
          <t>Comparación</t>
        </is>
      </c>
      <c r="C198" t="inlineStr">
        <is>
          <t>Ex_Integra</t>
        </is>
      </c>
      <c r="D198" t="inlineStr">
        <is>
          <t>GAM - Continental Europe</t>
        </is>
      </c>
      <c r="E198" t="inlineStr">
        <is>
          <t>Intensidad</t>
        </is>
      </c>
      <c r="F198" t="n">
        <v>1e-06</v>
      </c>
    </row>
    <row r="199">
      <c r="A199" t="inlineStr">
        <is>
          <t>202512</t>
        </is>
      </c>
      <c r="B199" t="inlineStr">
        <is>
          <t>Comparación</t>
        </is>
      </c>
      <c r="C199" t="inlineStr">
        <is>
          <t>Ex_Integra</t>
        </is>
      </c>
      <c r="D199" t="inlineStr">
        <is>
          <t>GAM - Continental Europe</t>
        </is>
      </c>
      <c r="E199" t="inlineStr">
        <is>
          <t>Inv MM$</t>
        </is>
      </c>
      <c r="F199" t="n">
        <v>5.2e-05</v>
      </c>
    </row>
    <row r="200">
      <c r="A200" t="inlineStr">
        <is>
          <t>202512</t>
        </is>
      </c>
      <c r="B200" t="inlineStr">
        <is>
          <t>Comparación</t>
        </is>
      </c>
      <c r="C200" t="inlineStr">
        <is>
          <t>Ex_Integra</t>
        </is>
      </c>
      <c r="D200" t="inlineStr">
        <is>
          <t>GAM - Local Emerging Bond Fund</t>
        </is>
      </c>
      <c r="E200" t="inlineStr">
        <is>
          <t>Huella</t>
        </is>
      </c>
      <c r="F200" t="n">
        <v>5.440018</v>
      </c>
    </row>
    <row r="201">
      <c r="A201" t="inlineStr">
        <is>
          <t>202512</t>
        </is>
      </c>
      <c r="B201" t="inlineStr">
        <is>
          <t>Comparación</t>
        </is>
      </c>
      <c r="C201" t="inlineStr">
        <is>
          <t>Ex_Integra</t>
        </is>
      </c>
      <c r="D201" t="inlineStr">
        <is>
          <t>GAM - Local Emerging Bond Fund</t>
        </is>
      </c>
      <c r="E201" t="inlineStr">
        <is>
          <t>Intensidad</t>
        </is>
      </c>
      <c r="F201" t="n">
        <v>0.00147</v>
      </c>
    </row>
    <row r="202">
      <c r="A202" t="inlineStr">
        <is>
          <t>202512</t>
        </is>
      </c>
      <c r="B202" t="inlineStr">
        <is>
          <t>Comparación</t>
        </is>
      </c>
      <c r="C202" t="inlineStr">
        <is>
          <t>Ex_Integra</t>
        </is>
      </c>
      <c r="D202" t="inlineStr">
        <is>
          <t>GAM - Local Emerging Bond Fund</t>
        </is>
      </c>
      <c r="E202" t="inlineStr">
        <is>
          <t>Inv MM$</t>
        </is>
      </c>
      <c r="F202" t="n">
        <v>0.007939999999999999</v>
      </c>
    </row>
    <row r="203">
      <c r="A203" t="inlineStr">
        <is>
          <t>202512</t>
        </is>
      </c>
      <c r="B203" t="inlineStr">
        <is>
          <t>Comparación</t>
        </is>
      </c>
      <c r="C203" t="inlineStr">
        <is>
          <t>Ex_Integra</t>
        </is>
      </c>
      <c r="D203" t="inlineStr">
        <is>
          <t>Gam - Star Credit Opportunities</t>
        </is>
      </c>
      <c r="E203" t="inlineStr">
        <is>
          <t>Huella</t>
        </is>
      </c>
      <c r="F203" t="n">
        <v>5.7e-05</v>
      </c>
    </row>
    <row r="204">
      <c r="A204" t="inlineStr">
        <is>
          <t>202512</t>
        </is>
      </c>
      <c r="B204" t="inlineStr">
        <is>
          <t>Comparación</t>
        </is>
      </c>
      <c r="C204" t="inlineStr">
        <is>
          <t>Ex_Integra</t>
        </is>
      </c>
      <c r="D204" t="inlineStr">
        <is>
          <t>Gam - Star Credit Opportunities</t>
        </is>
      </c>
      <c r="E204" t="inlineStr">
        <is>
          <t>Intensidad</t>
        </is>
      </c>
      <c r="F204" t="n">
        <v>0</v>
      </c>
    </row>
    <row r="205">
      <c r="A205" t="inlineStr">
        <is>
          <t>202512</t>
        </is>
      </c>
      <c r="B205" t="inlineStr">
        <is>
          <t>Comparación</t>
        </is>
      </c>
      <c r="C205" t="inlineStr">
        <is>
          <t>Ex_Integra</t>
        </is>
      </c>
      <c r="D205" t="inlineStr">
        <is>
          <t>Gam - Star Credit Opportunities</t>
        </is>
      </c>
      <c r="E205" t="inlineStr">
        <is>
          <t>Inv MM$</t>
        </is>
      </c>
      <c r="F205" t="n">
        <v>0.000143</v>
      </c>
    </row>
    <row r="206">
      <c r="A206" t="inlineStr">
        <is>
          <t>202512</t>
        </is>
      </c>
      <c r="B206" t="inlineStr">
        <is>
          <t>Comparación</t>
        </is>
      </c>
      <c r="C206" t="inlineStr">
        <is>
          <t>Ex_Integra</t>
        </is>
      </c>
      <c r="D206" t="inlineStr">
        <is>
          <t>Global Evolution Funds - Frontier Markets Fund</t>
        </is>
      </c>
      <c r="E206" t="inlineStr">
        <is>
          <t>Huella</t>
        </is>
      </c>
      <c r="F206" t="n">
        <v>80.450288</v>
      </c>
    </row>
    <row r="207">
      <c r="A207" t="inlineStr">
        <is>
          <t>202512</t>
        </is>
      </c>
      <c r="B207" t="inlineStr">
        <is>
          <t>Comparación</t>
        </is>
      </c>
      <c r="C207" t="inlineStr">
        <is>
          <t>Ex_Integra</t>
        </is>
      </c>
      <c r="D207" t="inlineStr">
        <is>
          <t>Global Evolution Funds - Frontier Markets Fund</t>
        </is>
      </c>
      <c r="E207" t="inlineStr">
        <is>
          <t>Intensidad</t>
        </is>
      </c>
      <c r="F207" t="n">
        <v>0.01223</v>
      </c>
    </row>
    <row r="208">
      <c r="A208" t="inlineStr">
        <is>
          <t>202512</t>
        </is>
      </c>
      <c r="B208" t="inlineStr">
        <is>
          <t>Comparación</t>
        </is>
      </c>
      <c r="C208" t="inlineStr">
        <is>
          <t>Ex_Integra</t>
        </is>
      </c>
      <c r="D208" t="inlineStr">
        <is>
          <t>Global Evolution Funds - Frontier Markets Fund</t>
        </is>
      </c>
      <c r="E208" t="inlineStr">
        <is>
          <t>Inv MM$</t>
        </is>
      </c>
      <c r="F208" t="n">
        <v>125.363312</v>
      </c>
    </row>
    <row r="209">
      <c r="A209" t="inlineStr">
        <is>
          <t>202512</t>
        </is>
      </c>
      <c r="B209" t="inlineStr">
        <is>
          <t>Comparación</t>
        </is>
      </c>
      <c r="C209" t="inlineStr">
        <is>
          <t>Ex_Integra</t>
        </is>
      </c>
      <c r="D209" t="inlineStr">
        <is>
          <t>Global X - Copper Miners ETF</t>
        </is>
      </c>
      <c r="E209" t="inlineStr">
        <is>
          <t>Huella</t>
        </is>
      </c>
      <c r="F209" t="n">
        <v>23808.300247</v>
      </c>
    </row>
    <row r="210">
      <c r="A210" t="inlineStr">
        <is>
          <t>202512</t>
        </is>
      </c>
      <c r="B210" t="inlineStr">
        <is>
          <t>Comparación</t>
        </is>
      </c>
      <c r="C210" t="inlineStr">
        <is>
          <t>Ex_Integra</t>
        </is>
      </c>
      <c r="D210" t="inlineStr">
        <is>
          <t>Global X - Copper Miners ETF</t>
        </is>
      </c>
      <c r="E210" t="inlineStr">
        <is>
          <t>Intensidad</t>
        </is>
      </c>
      <c r="F210" t="n">
        <v>3.835337</v>
      </c>
    </row>
    <row r="211">
      <c r="A211" t="inlineStr">
        <is>
          <t>202512</t>
        </is>
      </c>
      <c r="B211" t="inlineStr">
        <is>
          <t>Comparación</t>
        </is>
      </c>
      <c r="C211" t="inlineStr">
        <is>
          <t>Ex_Integra</t>
        </is>
      </c>
      <c r="D211" t="inlineStr">
        <is>
          <t>Global X - Copper Miners ETF</t>
        </is>
      </c>
      <c r="E211" t="inlineStr">
        <is>
          <t>Inv MM$</t>
        </is>
      </c>
      <c r="F211" t="n">
        <v>197.363288</v>
      </c>
    </row>
    <row r="212">
      <c r="A212" t="inlineStr">
        <is>
          <t>202512</t>
        </is>
      </c>
      <c r="B212" t="inlineStr">
        <is>
          <t>Comparación</t>
        </is>
      </c>
      <c r="C212" t="inlineStr">
        <is>
          <t>Ex_Integra</t>
        </is>
      </c>
      <c r="D212" t="inlineStr">
        <is>
          <t>Groupama - Avenir Euro (Mid Small Caps)</t>
        </is>
      </c>
      <c r="E212" t="inlineStr">
        <is>
          <t>Huella</t>
        </is>
      </c>
      <c r="F212" t="n">
        <v>0.290874</v>
      </c>
    </row>
    <row r="213">
      <c r="A213" t="inlineStr">
        <is>
          <t>202512</t>
        </is>
      </c>
      <c r="B213" t="inlineStr">
        <is>
          <t>Comparación</t>
        </is>
      </c>
      <c r="C213" t="inlineStr">
        <is>
          <t>Ex_Integra</t>
        </is>
      </c>
      <c r="D213" t="inlineStr">
        <is>
          <t>Groupama - Avenir Euro (Mid Small Caps)</t>
        </is>
      </c>
      <c r="E213" t="inlineStr">
        <is>
          <t>Intensidad</t>
        </is>
      </c>
      <c r="F213" t="n">
        <v>2.1e-05</v>
      </c>
    </row>
    <row r="214">
      <c r="A214" t="inlineStr">
        <is>
          <t>202512</t>
        </is>
      </c>
      <c r="B214" t="inlineStr">
        <is>
          <t>Comparación</t>
        </is>
      </c>
      <c r="C214" t="inlineStr">
        <is>
          <t>Ex_Integra</t>
        </is>
      </c>
      <c r="D214" t="inlineStr">
        <is>
          <t>Groupama - Avenir Euro (Mid Small Caps)</t>
        </is>
      </c>
      <c r="E214" t="inlineStr">
        <is>
          <t>Inv MM$</t>
        </is>
      </c>
      <c r="F214" t="n">
        <v>0.025573</v>
      </c>
    </row>
    <row r="215">
      <c r="A215" t="inlineStr">
        <is>
          <t>202512</t>
        </is>
      </c>
      <c r="B215" t="inlineStr">
        <is>
          <t>Comparación</t>
        </is>
      </c>
      <c r="C215" t="inlineStr">
        <is>
          <t>Ex_Integra</t>
        </is>
      </c>
      <c r="D215" t="inlineStr">
        <is>
          <t>Groupama - G Fund Avenir Europe (Mid Small Caps) - C</t>
        </is>
      </c>
      <c r="E215" t="inlineStr">
        <is>
          <t>Huella</t>
        </is>
      </c>
      <c r="F215" t="n">
        <v>0.07056999999999999</v>
      </c>
    </row>
    <row r="216">
      <c r="A216" t="inlineStr">
        <is>
          <t>202512</t>
        </is>
      </c>
      <c r="B216" t="inlineStr">
        <is>
          <t>Comparación</t>
        </is>
      </c>
      <c r="C216" t="inlineStr">
        <is>
          <t>Ex_Integra</t>
        </is>
      </c>
      <c r="D216" t="inlineStr">
        <is>
          <t>Groupama - G Fund Avenir Europe (Mid Small Caps) - C</t>
        </is>
      </c>
      <c r="E216" t="inlineStr">
        <is>
          <t>Intensidad</t>
        </is>
      </c>
      <c r="F216" t="n">
        <v>1.5e-05</v>
      </c>
    </row>
    <row r="217">
      <c r="A217" t="inlineStr">
        <is>
          <t>202512</t>
        </is>
      </c>
      <c r="B217" t="inlineStr">
        <is>
          <t>Comparación</t>
        </is>
      </c>
      <c r="C217" t="inlineStr">
        <is>
          <t>Ex_Integra</t>
        </is>
      </c>
      <c r="D217" t="inlineStr">
        <is>
          <t>Groupama - G Fund Avenir Europe (Mid Small Caps) - C</t>
        </is>
      </c>
      <c r="E217" t="inlineStr">
        <is>
          <t>Inv MM$</t>
        </is>
      </c>
      <c r="F217" t="n">
        <v>0.009559</v>
      </c>
    </row>
    <row r="218">
      <c r="A218" t="inlineStr">
        <is>
          <t>202512</t>
        </is>
      </c>
      <c r="B218" t="inlineStr">
        <is>
          <t>Comparación</t>
        </is>
      </c>
      <c r="C218" t="inlineStr">
        <is>
          <t>Ex_Integra</t>
        </is>
      </c>
      <c r="D218" t="inlineStr">
        <is>
          <t>INVESCO - Nasdaq-100 Swap UCITS ETF</t>
        </is>
      </c>
      <c r="E218" t="inlineStr">
        <is>
          <t>Huella</t>
        </is>
      </c>
      <c r="F218" t="n">
        <v>1574.033344</v>
      </c>
    </row>
    <row r="219">
      <c r="A219" t="inlineStr">
        <is>
          <t>202512</t>
        </is>
      </c>
      <c r="B219" t="inlineStr">
        <is>
          <t>Comparación</t>
        </is>
      </c>
      <c r="C219" t="inlineStr">
        <is>
          <t>Ex_Integra</t>
        </is>
      </c>
      <c r="D219" t="inlineStr">
        <is>
          <t>INVESCO - Nasdaq-100 Swap UCITS ETF</t>
        </is>
      </c>
      <c r="E219" t="inlineStr">
        <is>
          <t>Intensidad</t>
        </is>
      </c>
      <c r="F219" t="n">
        <v>0.247113</v>
      </c>
    </row>
    <row r="220">
      <c r="A220" t="inlineStr">
        <is>
          <t>202512</t>
        </is>
      </c>
      <c r="B220" t="inlineStr">
        <is>
          <t>Comparación</t>
        </is>
      </c>
      <c r="C220" t="inlineStr">
        <is>
          <t>Ex_Integra</t>
        </is>
      </c>
      <c r="D220" t="inlineStr">
        <is>
          <t>INVESCO - Nasdaq-100 Swap UCITS ETF</t>
        </is>
      </c>
      <c r="E220" t="inlineStr">
        <is>
          <t>Inv MM$</t>
        </is>
      </c>
      <c r="F220" t="n">
        <v>179.676395</v>
      </c>
    </row>
    <row r="221">
      <c r="A221" t="inlineStr">
        <is>
          <t>202512</t>
        </is>
      </c>
      <c r="B221" t="inlineStr">
        <is>
          <t>Comparación</t>
        </is>
      </c>
      <c r="C221" t="inlineStr">
        <is>
          <t>Ex_Integra</t>
        </is>
      </c>
      <c r="D221" t="inlineStr">
        <is>
          <t>InRetail Consumer</t>
        </is>
      </c>
      <c r="E221" t="inlineStr">
        <is>
          <t>Huella</t>
        </is>
      </c>
      <c r="F221" t="n">
        <v>11.918741</v>
      </c>
    </row>
    <row r="222">
      <c r="A222" t="inlineStr">
        <is>
          <t>202512</t>
        </is>
      </c>
      <c r="B222" t="inlineStr">
        <is>
          <t>Comparación</t>
        </is>
      </c>
      <c r="C222" t="inlineStr">
        <is>
          <t>Ex_Integra</t>
        </is>
      </c>
      <c r="D222" t="inlineStr">
        <is>
          <t>InRetail Consumer</t>
        </is>
      </c>
      <c r="E222" t="inlineStr">
        <is>
          <t>Intensidad</t>
        </is>
      </c>
      <c r="F222" t="n">
        <v>0.000853</v>
      </c>
    </row>
    <row r="223">
      <c r="A223" t="inlineStr">
        <is>
          <t>202512</t>
        </is>
      </c>
      <c r="B223" t="inlineStr">
        <is>
          <t>Comparación</t>
        </is>
      </c>
      <c r="C223" t="inlineStr">
        <is>
          <t>Ex_Integra</t>
        </is>
      </c>
      <c r="D223" t="inlineStr">
        <is>
          <t>InRetail Consumer</t>
        </is>
      </c>
      <c r="E223" t="inlineStr">
        <is>
          <t>Inv MM$</t>
        </is>
      </c>
      <c r="F223" t="n">
        <v>0.560882</v>
      </c>
    </row>
    <row r="224">
      <c r="A224" t="inlineStr">
        <is>
          <t>202512</t>
        </is>
      </c>
      <c r="B224" t="inlineStr">
        <is>
          <t>Comparación</t>
        </is>
      </c>
      <c r="C224" t="inlineStr">
        <is>
          <t>Ex_Integra</t>
        </is>
      </c>
      <c r="D224" t="inlineStr">
        <is>
          <t>InRetail Peru</t>
        </is>
      </c>
      <c r="E224" t="inlineStr">
        <is>
          <t>Huella</t>
        </is>
      </c>
      <c r="F224" t="n">
        <v>6858.213423</v>
      </c>
    </row>
    <row r="225">
      <c r="A225" t="inlineStr">
        <is>
          <t>202512</t>
        </is>
      </c>
      <c r="B225" t="inlineStr">
        <is>
          <t>Comparación</t>
        </is>
      </c>
      <c r="C225" t="inlineStr">
        <is>
          <t>Ex_Integra</t>
        </is>
      </c>
      <c r="D225" t="inlineStr">
        <is>
          <t>InRetail Peru</t>
        </is>
      </c>
      <c r="E225" t="inlineStr">
        <is>
          <t>Intensidad</t>
        </is>
      </c>
      <c r="F225" t="n">
        <v>0.908012</v>
      </c>
    </row>
    <row r="226">
      <c r="A226" t="inlineStr">
        <is>
          <t>202512</t>
        </is>
      </c>
      <c r="B226" t="inlineStr">
        <is>
          <t>Comparación</t>
        </is>
      </c>
      <c r="C226" t="inlineStr">
        <is>
          <t>Ex_Integra</t>
        </is>
      </c>
      <c r="D226" t="inlineStr">
        <is>
          <t>InRetail Peru</t>
        </is>
      </c>
      <c r="E226" t="inlineStr">
        <is>
          <t>Inv MM$</t>
        </is>
      </c>
      <c r="F226" t="n">
        <v>322.739455</v>
      </c>
    </row>
    <row r="227">
      <c r="A227" t="inlineStr">
        <is>
          <t>202512</t>
        </is>
      </c>
      <c r="B227" t="inlineStr">
        <is>
          <t>Comparación</t>
        </is>
      </c>
      <c r="C227" t="inlineStr">
        <is>
          <t>Ex_Integra</t>
        </is>
      </c>
      <c r="D227" t="inlineStr">
        <is>
          <t>Industrias Peñoles</t>
        </is>
      </c>
      <c r="E227" t="inlineStr">
        <is>
          <t>Huella</t>
        </is>
      </c>
      <c r="F227" t="n">
        <v>0.001182</v>
      </c>
    </row>
    <row r="228">
      <c r="A228" t="inlineStr">
        <is>
          <t>202512</t>
        </is>
      </c>
      <c r="B228" t="inlineStr">
        <is>
          <t>Comparación</t>
        </is>
      </c>
      <c r="C228" t="inlineStr">
        <is>
          <t>Ex_Integra</t>
        </is>
      </c>
      <c r="D228" t="inlineStr">
        <is>
          <t>Industrias Peñoles</t>
        </is>
      </c>
      <c r="E228" t="inlineStr">
        <is>
          <t>Intensidad</t>
        </is>
      </c>
      <c r="F228" t="n">
        <v>0</v>
      </c>
    </row>
    <row r="229">
      <c r="A229" t="inlineStr">
        <is>
          <t>202512</t>
        </is>
      </c>
      <c r="B229" t="inlineStr">
        <is>
          <t>Comparación</t>
        </is>
      </c>
      <c r="C229" t="inlineStr">
        <is>
          <t>Ex_Integra</t>
        </is>
      </c>
      <c r="D229" t="inlineStr">
        <is>
          <t>Industrias Peñoles</t>
        </is>
      </c>
      <c r="E229" t="inlineStr">
        <is>
          <t>Inv MM$</t>
        </is>
      </c>
      <c r="F229" t="n">
        <v>4e-06</v>
      </c>
    </row>
    <row r="230">
      <c r="A230" t="inlineStr">
        <is>
          <t>202512</t>
        </is>
      </c>
      <c r="B230" t="inlineStr">
        <is>
          <t>Comparación</t>
        </is>
      </c>
      <c r="C230" t="inlineStr">
        <is>
          <t>Ex_Integra</t>
        </is>
      </c>
      <c r="D230" t="inlineStr">
        <is>
          <t>Intergroup</t>
        </is>
      </c>
      <c r="E230" t="inlineStr">
        <is>
          <t>Huella</t>
        </is>
      </c>
      <c r="F230" t="n">
        <v>115.662789</v>
      </c>
    </row>
    <row r="231">
      <c r="A231" t="inlineStr">
        <is>
          <t>202512</t>
        </is>
      </c>
      <c r="B231" t="inlineStr">
        <is>
          <t>Comparación</t>
        </is>
      </c>
      <c r="C231" t="inlineStr">
        <is>
          <t>Ex_Integra</t>
        </is>
      </c>
      <c r="D231" t="inlineStr">
        <is>
          <t>Intergroup</t>
        </is>
      </c>
      <c r="E231" t="inlineStr">
        <is>
          <t>Intensidad</t>
        </is>
      </c>
      <c r="F231" t="n">
        <v>0.010839</v>
      </c>
    </row>
    <row r="232">
      <c r="A232" t="inlineStr">
        <is>
          <t>202512</t>
        </is>
      </c>
      <c r="B232" t="inlineStr">
        <is>
          <t>Comparación</t>
        </is>
      </c>
      <c r="C232" t="inlineStr">
        <is>
          <t>Ex_Integra</t>
        </is>
      </c>
      <c r="D232" t="inlineStr">
        <is>
          <t>Intergroup</t>
        </is>
      </c>
      <c r="E232" t="inlineStr">
        <is>
          <t>Inv MM$</t>
        </is>
      </c>
      <c r="F232" t="n">
        <v>162.905336</v>
      </c>
    </row>
    <row r="233">
      <c r="A233" t="inlineStr">
        <is>
          <t>202512</t>
        </is>
      </c>
      <c r="B233" t="inlineStr">
        <is>
          <t>Comparación</t>
        </is>
      </c>
      <c r="C233" t="inlineStr">
        <is>
          <t>Ex_Integra</t>
        </is>
      </c>
      <c r="D233" t="inlineStr">
        <is>
          <t>Invesco - Global Consumer Trends Fund S</t>
        </is>
      </c>
      <c r="E233" t="inlineStr">
        <is>
          <t>Huella</t>
        </is>
      </c>
      <c r="F233" t="n">
        <v>0.320709</v>
      </c>
    </row>
    <row r="234">
      <c r="A234" t="inlineStr">
        <is>
          <t>202512</t>
        </is>
      </c>
      <c r="B234" t="inlineStr">
        <is>
          <t>Comparación</t>
        </is>
      </c>
      <c r="C234" t="inlineStr">
        <is>
          <t>Ex_Integra</t>
        </is>
      </c>
      <c r="D234" t="inlineStr">
        <is>
          <t>Invesco - Global Consumer Trends Fund S</t>
        </is>
      </c>
      <c r="E234" t="inlineStr">
        <is>
          <t>Intensidad</t>
        </is>
      </c>
      <c r="F234" t="n">
        <v>9.000000000000001e-05</v>
      </c>
    </row>
    <row r="235">
      <c r="A235" t="inlineStr">
        <is>
          <t>202512</t>
        </is>
      </c>
      <c r="B235" t="inlineStr">
        <is>
          <t>Comparación</t>
        </is>
      </c>
      <c r="C235" t="inlineStr">
        <is>
          <t>Ex_Integra</t>
        </is>
      </c>
      <c r="D235" t="inlineStr">
        <is>
          <t>Invesco - Global Consumer Trends Fund S</t>
        </is>
      </c>
      <c r="E235" t="inlineStr">
        <is>
          <t>Inv MM$</t>
        </is>
      </c>
      <c r="F235" t="n">
        <v>0.073562</v>
      </c>
    </row>
    <row r="236">
      <c r="A236" t="inlineStr">
        <is>
          <t>202512</t>
        </is>
      </c>
      <c r="B236" t="inlineStr">
        <is>
          <t>Comparación</t>
        </is>
      </c>
      <c r="C236" t="inlineStr">
        <is>
          <t>Ex_Integra</t>
        </is>
      </c>
      <c r="D236" t="inlineStr">
        <is>
          <t>Invesco - Nasdaq 100 ETF</t>
        </is>
      </c>
      <c r="E236" t="inlineStr">
        <is>
          <t>Huella</t>
        </is>
      </c>
      <c r="F236" t="n">
        <v>4275.605628</v>
      </c>
    </row>
    <row r="237">
      <c r="A237" t="inlineStr">
        <is>
          <t>202512</t>
        </is>
      </c>
      <c r="B237" t="inlineStr">
        <is>
          <t>Comparación</t>
        </is>
      </c>
      <c r="C237" t="inlineStr">
        <is>
          <t>Ex_Integra</t>
        </is>
      </c>
      <c r="D237" t="inlineStr">
        <is>
          <t>Invesco - Nasdaq 100 ETF</t>
        </is>
      </c>
      <c r="E237" t="inlineStr">
        <is>
          <t>Intensidad</t>
        </is>
      </c>
      <c r="F237" t="n">
        <v>0.549762</v>
      </c>
    </row>
    <row r="238">
      <c r="A238" t="inlineStr">
        <is>
          <t>202512</t>
        </is>
      </c>
      <c r="B238" t="inlineStr">
        <is>
          <t>Comparación</t>
        </is>
      </c>
      <c r="C238" t="inlineStr">
        <is>
          <t>Ex_Integra</t>
        </is>
      </c>
      <c r="D238" t="inlineStr">
        <is>
          <t>Invesco - Nasdaq 100 ETF</t>
        </is>
      </c>
      <c r="E238" t="inlineStr">
        <is>
          <t>Inv MM$</t>
        </is>
      </c>
      <c r="F238" t="n">
        <v>465.033061</v>
      </c>
    </row>
    <row r="239">
      <c r="A239" t="inlineStr">
        <is>
          <t>202512</t>
        </is>
      </c>
      <c r="B239" t="inlineStr">
        <is>
          <t>Comparación</t>
        </is>
      </c>
      <c r="C239" t="inlineStr">
        <is>
          <t>Ex_Integra</t>
        </is>
      </c>
      <c r="D239" t="inlineStr">
        <is>
          <t>Invesco - S&amp;P500 UCITS</t>
        </is>
      </c>
      <c r="E239" t="inlineStr">
        <is>
          <t>Huella</t>
        </is>
      </c>
      <c r="F239" t="n">
        <v>0</v>
      </c>
    </row>
    <row r="240">
      <c r="A240" t="inlineStr">
        <is>
          <t>202512</t>
        </is>
      </c>
      <c r="B240" t="inlineStr">
        <is>
          <t>Comparación</t>
        </is>
      </c>
      <c r="C240" t="inlineStr">
        <is>
          <t>Ex_Integra</t>
        </is>
      </c>
      <c r="D240" t="inlineStr">
        <is>
          <t>Invesco - S&amp;P500 UCITS</t>
        </is>
      </c>
      <c r="E240" t="inlineStr">
        <is>
          <t>Intensidad</t>
        </is>
      </c>
      <c r="F240" t="n">
        <v>0</v>
      </c>
    </row>
    <row r="241">
      <c r="A241" t="inlineStr">
        <is>
          <t>202512</t>
        </is>
      </c>
      <c r="B241" t="inlineStr">
        <is>
          <t>Comparación</t>
        </is>
      </c>
      <c r="C241" t="inlineStr">
        <is>
          <t>Ex_Integra</t>
        </is>
      </c>
      <c r="D241" t="inlineStr">
        <is>
          <t>Invesco - S&amp;P500 UCITS</t>
        </is>
      </c>
      <c r="E241" t="inlineStr">
        <is>
          <t>Inv MM$</t>
        </is>
      </c>
      <c r="F241" t="n">
        <v>0</v>
      </c>
    </row>
    <row r="242">
      <c r="A242" t="inlineStr">
        <is>
          <t>202512</t>
        </is>
      </c>
      <c r="B242" t="inlineStr">
        <is>
          <t>Comparación</t>
        </is>
      </c>
      <c r="C242" t="inlineStr">
        <is>
          <t>Ex_Integra</t>
        </is>
      </c>
      <c r="D242" t="inlineStr">
        <is>
          <t>Invesco - UK Opportunities Fund</t>
        </is>
      </c>
      <c r="E242" t="inlineStr">
        <is>
          <t>Huella</t>
        </is>
      </c>
      <c r="F242" t="n">
        <v>292.504015</v>
      </c>
    </row>
    <row r="243">
      <c r="A243" t="inlineStr">
        <is>
          <t>202512</t>
        </is>
      </c>
      <c r="B243" t="inlineStr">
        <is>
          <t>Comparación</t>
        </is>
      </c>
      <c r="C243" t="inlineStr">
        <is>
          <t>Ex_Integra</t>
        </is>
      </c>
      <c r="D243" t="inlineStr">
        <is>
          <t>Invesco - UK Opportunities Fund</t>
        </is>
      </c>
      <c r="E243" t="inlineStr">
        <is>
          <t>Intensidad</t>
        </is>
      </c>
      <c r="F243" t="n">
        <v>0.074701</v>
      </c>
    </row>
    <row r="244">
      <c r="A244" t="inlineStr">
        <is>
          <t>202512</t>
        </is>
      </c>
      <c r="B244" t="inlineStr">
        <is>
          <t>Comparación</t>
        </is>
      </c>
      <c r="C244" t="inlineStr">
        <is>
          <t>Ex_Integra</t>
        </is>
      </c>
      <c r="D244" t="inlineStr">
        <is>
          <t>Invesco - UK Opportunities Fund</t>
        </is>
      </c>
      <c r="E244" t="inlineStr">
        <is>
          <t>Inv MM$</t>
        </is>
      </c>
      <c r="F244" t="n">
        <v>3.706845</v>
      </c>
    </row>
    <row r="245">
      <c r="A245" t="inlineStr">
        <is>
          <t>202512</t>
        </is>
      </c>
      <c r="B245" t="inlineStr">
        <is>
          <t>Comparación</t>
        </is>
      </c>
      <c r="C245" t="inlineStr">
        <is>
          <t>Ex_Integra</t>
        </is>
      </c>
      <c r="D245" t="inlineStr">
        <is>
          <t>Invesco LLC - US Banks</t>
        </is>
      </c>
      <c r="E245" t="inlineStr">
        <is>
          <t>Huella</t>
        </is>
      </c>
      <c r="F245" t="n">
        <v>13.225791</v>
      </c>
    </row>
    <row r="246">
      <c r="A246" t="inlineStr">
        <is>
          <t>202512</t>
        </is>
      </c>
      <c r="B246" t="inlineStr">
        <is>
          <t>Comparación</t>
        </is>
      </c>
      <c r="C246" t="inlineStr">
        <is>
          <t>Ex_Integra</t>
        </is>
      </c>
      <c r="D246" t="inlineStr">
        <is>
          <t>Invesco LLC - US Banks</t>
        </is>
      </c>
      <c r="E246" t="inlineStr">
        <is>
          <t>Intensidad</t>
        </is>
      </c>
      <c r="F246" t="n">
        <v>0.00372</v>
      </c>
    </row>
    <row r="247">
      <c r="A247" t="inlineStr">
        <is>
          <t>202512</t>
        </is>
      </c>
      <c r="B247" t="inlineStr">
        <is>
          <t>Comparación</t>
        </is>
      </c>
      <c r="C247" t="inlineStr">
        <is>
          <t>Ex_Integra</t>
        </is>
      </c>
      <c r="D247" t="inlineStr">
        <is>
          <t>Invesco LLC - US Banks</t>
        </is>
      </c>
      <c r="E247" t="inlineStr">
        <is>
          <t>Inv MM$</t>
        </is>
      </c>
      <c r="F247" t="n">
        <v>14.083664</v>
      </c>
    </row>
    <row r="248">
      <c r="A248" t="inlineStr">
        <is>
          <t>202512</t>
        </is>
      </c>
      <c r="B248" t="inlineStr">
        <is>
          <t>Comparación</t>
        </is>
      </c>
      <c r="C248" t="inlineStr">
        <is>
          <t>Ex_Integra</t>
        </is>
      </c>
      <c r="D248" t="inlineStr">
        <is>
          <t>Investec - Latin American Corporate Debt</t>
        </is>
      </c>
      <c r="E248" t="inlineStr">
        <is>
          <t>Huella</t>
        </is>
      </c>
      <c r="F248" t="n">
        <v>4226.676093</v>
      </c>
    </row>
    <row r="249">
      <c r="A249" t="inlineStr">
        <is>
          <t>202512</t>
        </is>
      </c>
      <c r="B249" t="inlineStr">
        <is>
          <t>Comparación</t>
        </is>
      </c>
      <c r="C249" t="inlineStr">
        <is>
          <t>Ex_Integra</t>
        </is>
      </c>
      <c r="D249" t="inlineStr">
        <is>
          <t>Investec - Latin American Corporate Debt</t>
        </is>
      </c>
      <c r="E249" t="inlineStr">
        <is>
          <t>Intensidad</t>
        </is>
      </c>
      <c r="F249" t="n">
        <v>0.554016</v>
      </c>
    </row>
    <row r="250">
      <c r="A250" t="inlineStr">
        <is>
          <t>202512</t>
        </is>
      </c>
      <c r="B250" t="inlineStr">
        <is>
          <t>Comparación</t>
        </is>
      </c>
      <c r="C250" t="inlineStr">
        <is>
          <t>Ex_Integra</t>
        </is>
      </c>
      <c r="D250" t="inlineStr">
        <is>
          <t>Investec - Latin American Corporate Debt</t>
        </is>
      </c>
      <c r="E250" t="inlineStr">
        <is>
          <t>Inv MM$</t>
        </is>
      </c>
      <c r="F250" t="n">
        <v>12.055725</v>
      </c>
    </row>
    <row r="251">
      <c r="A251" t="inlineStr">
        <is>
          <t>202512</t>
        </is>
      </c>
      <c r="B251" t="inlineStr">
        <is>
          <t>Comparación</t>
        </is>
      </c>
      <c r="C251" t="inlineStr">
        <is>
          <t>Ex_Integra</t>
        </is>
      </c>
      <c r="D251" t="inlineStr">
        <is>
          <t>JP Morgan - China A Share Opportunities Fund</t>
        </is>
      </c>
      <c r="E251" t="inlineStr">
        <is>
          <t>Huella</t>
        </is>
      </c>
      <c r="F251" t="n">
        <v>0.005392</v>
      </c>
    </row>
    <row r="252">
      <c r="A252" t="inlineStr">
        <is>
          <t>202512</t>
        </is>
      </c>
      <c r="B252" t="inlineStr">
        <is>
          <t>Comparación</t>
        </is>
      </c>
      <c r="C252" t="inlineStr">
        <is>
          <t>Ex_Integra</t>
        </is>
      </c>
      <c r="D252" t="inlineStr">
        <is>
          <t>JP Morgan - China A Share Opportunities Fund</t>
        </is>
      </c>
      <c r="E252" t="inlineStr">
        <is>
          <t>Intensidad</t>
        </is>
      </c>
      <c r="F252" t="n">
        <v>1e-06</v>
      </c>
    </row>
    <row r="253">
      <c r="A253" t="inlineStr">
        <is>
          <t>202512</t>
        </is>
      </c>
      <c r="B253" t="inlineStr">
        <is>
          <t>Comparación</t>
        </is>
      </c>
      <c r="C253" t="inlineStr">
        <is>
          <t>Ex_Integra</t>
        </is>
      </c>
      <c r="D253" t="inlineStr">
        <is>
          <t>JP Morgan - China A Share Opportunities Fund</t>
        </is>
      </c>
      <c r="E253" t="inlineStr">
        <is>
          <t>Inv MM$</t>
        </is>
      </c>
      <c r="F253" t="n">
        <v>0.000168</v>
      </c>
    </row>
    <row r="254">
      <c r="A254" t="inlineStr">
        <is>
          <t>202512</t>
        </is>
      </c>
      <c r="B254" t="inlineStr">
        <is>
          <t>Comparación</t>
        </is>
      </c>
      <c r="C254" t="inlineStr">
        <is>
          <t>Ex_Integra</t>
        </is>
      </c>
      <c r="D254" t="inlineStr">
        <is>
          <t>JP Morgan - EM Small Cap</t>
        </is>
      </c>
      <c r="E254" t="inlineStr">
        <is>
          <t>Huella</t>
        </is>
      </c>
      <c r="F254" t="n">
        <v>0.111471</v>
      </c>
    </row>
    <row r="255">
      <c r="A255" t="inlineStr">
        <is>
          <t>202512</t>
        </is>
      </c>
      <c r="B255" t="inlineStr">
        <is>
          <t>Comparación</t>
        </is>
      </c>
      <c r="C255" t="inlineStr">
        <is>
          <t>Ex_Integra</t>
        </is>
      </c>
      <c r="D255" t="inlineStr">
        <is>
          <t>JP Morgan - EM Small Cap</t>
        </is>
      </c>
      <c r="E255" t="inlineStr">
        <is>
          <t>Intensidad</t>
        </is>
      </c>
      <c r="F255" t="n">
        <v>2.4e-05</v>
      </c>
    </row>
    <row r="256">
      <c r="A256" t="inlineStr">
        <is>
          <t>202512</t>
        </is>
      </c>
      <c r="B256" t="inlineStr">
        <is>
          <t>Comparación</t>
        </is>
      </c>
      <c r="C256" t="inlineStr">
        <is>
          <t>Ex_Integra</t>
        </is>
      </c>
      <c r="D256" t="inlineStr">
        <is>
          <t>JP Morgan - EM Small Cap</t>
        </is>
      </c>
      <c r="E256" t="inlineStr">
        <is>
          <t>Inv MM$</t>
        </is>
      </c>
      <c r="F256" t="n">
        <v>0.006545</v>
      </c>
    </row>
    <row r="257">
      <c r="A257" t="inlineStr">
        <is>
          <t>202512</t>
        </is>
      </c>
      <c r="B257" t="inlineStr">
        <is>
          <t>Comparación</t>
        </is>
      </c>
      <c r="C257" t="inlineStr">
        <is>
          <t>Ex_Integra</t>
        </is>
      </c>
      <c r="D257" t="inlineStr">
        <is>
          <t>JP Morgan - Emerging Markets</t>
        </is>
      </c>
      <c r="E257" t="inlineStr">
        <is>
          <t>Huella</t>
        </is>
      </c>
      <c r="F257" t="n">
        <v>25.087919</v>
      </c>
    </row>
    <row r="258">
      <c r="A258" t="inlineStr">
        <is>
          <t>202512</t>
        </is>
      </c>
      <c r="B258" t="inlineStr">
        <is>
          <t>Comparación</t>
        </is>
      </c>
      <c r="C258" t="inlineStr">
        <is>
          <t>Ex_Integra</t>
        </is>
      </c>
      <c r="D258" t="inlineStr">
        <is>
          <t>JP Morgan - Emerging Markets</t>
        </is>
      </c>
      <c r="E258" t="inlineStr">
        <is>
          <t>Intensidad</t>
        </is>
      </c>
      <c r="F258" t="n">
        <v>0.005307</v>
      </c>
    </row>
    <row r="259">
      <c r="A259" t="inlineStr">
        <is>
          <t>202512</t>
        </is>
      </c>
      <c r="B259" t="inlineStr">
        <is>
          <t>Comparación</t>
        </is>
      </c>
      <c r="C259" t="inlineStr">
        <is>
          <t>Ex_Integra</t>
        </is>
      </c>
      <c r="D259" t="inlineStr">
        <is>
          <t>JP Morgan - Emerging Markets</t>
        </is>
      </c>
      <c r="E259" t="inlineStr">
        <is>
          <t>Inv MM$</t>
        </is>
      </c>
      <c r="F259" t="n">
        <v>1.045031</v>
      </c>
    </row>
    <row r="260">
      <c r="A260" t="inlineStr">
        <is>
          <t>202512</t>
        </is>
      </c>
      <c r="B260" t="inlineStr">
        <is>
          <t>Comparación</t>
        </is>
      </c>
      <c r="C260" t="inlineStr">
        <is>
          <t>Ex_Integra</t>
        </is>
      </c>
      <c r="D260" t="inlineStr">
        <is>
          <t>JP Morgan - Greater China Fund</t>
        </is>
      </c>
      <c r="E260" t="inlineStr">
        <is>
          <t>Huella</t>
        </is>
      </c>
      <c r="F260" t="n">
        <v>62.532872</v>
      </c>
    </row>
    <row r="261">
      <c r="A261" t="inlineStr">
        <is>
          <t>202512</t>
        </is>
      </c>
      <c r="B261" t="inlineStr">
        <is>
          <t>Comparación</t>
        </is>
      </c>
      <c r="C261" t="inlineStr">
        <is>
          <t>Ex_Integra</t>
        </is>
      </c>
      <c r="D261" t="inlineStr">
        <is>
          <t>JP Morgan - Greater China Fund</t>
        </is>
      </c>
      <c r="E261" t="inlineStr">
        <is>
          <t>Intensidad</t>
        </is>
      </c>
      <c r="F261" t="n">
        <v>0.014981</v>
      </c>
    </row>
    <row r="262">
      <c r="A262" t="inlineStr">
        <is>
          <t>202512</t>
        </is>
      </c>
      <c r="B262" t="inlineStr">
        <is>
          <t>Comparación</t>
        </is>
      </c>
      <c r="C262" t="inlineStr">
        <is>
          <t>Ex_Integra</t>
        </is>
      </c>
      <c r="D262" t="inlineStr">
        <is>
          <t>JP Morgan - Greater China Fund</t>
        </is>
      </c>
      <c r="E262" t="inlineStr">
        <is>
          <t>Inv MM$</t>
        </is>
      </c>
      <c r="F262" t="n">
        <v>1.790597</v>
      </c>
    </row>
    <row r="263">
      <c r="A263" t="inlineStr">
        <is>
          <t>202512</t>
        </is>
      </c>
      <c r="B263" t="inlineStr">
        <is>
          <t>Comparación</t>
        </is>
      </c>
      <c r="C263" t="inlineStr">
        <is>
          <t>Ex_Integra</t>
        </is>
      </c>
      <c r="D263" t="inlineStr">
        <is>
          <t>JP Morgan - Japan Equity ETF</t>
        </is>
      </c>
      <c r="E263" t="inlineStr">
        <is>
          <t>Huella</t>
        </is>
      </c>
      <c r="F263" t="n">
        <v>4022.999038</v>
      </c>
    </row>
    <row r="264">
      <c r="A264" t="inlineStr">
        <is>
          <t>202512</t>
        </is>
      </c>
      <c r="B264" t="inlineStr">
        <is>
          <t>Comparación</t>
        </is>
      </c>
      <c r="C264" t="inlineStr">
        <is>
          <t>Ex_Integra</t>
        </is>
      </c>
      <c r="D264" t="inlineStr">
        <is>
          <t>JP Morgan - Japan Equity ETF</t>
        </is>
      </c>
      <c r="E264" t="inlineStr">
        <is>
          <t>Intensidad</t>
        </is>
      </c>
      <c r="F264" t="n">
        <v>0.435579</v>
      </c>
    </row>
    <row r="265">
      <c r="A265" t="inlineStr">
        <is>
          <t>202512</t>
        </is>
      </c>
      <c r="B265" t="inlineStr">
        <is>
          <t>Comparación</t>
        </is>
      </c>
      <c r="C265" t="inlineStr">
        <is>
          <t>Ex_Integra</t>
        </is>
      </c>
      <c r="D265" t="inlineStr">
        <is>
          <t>JP Morgan - Japan Equity ETF</t>
        </is>
      </c>
      <c r="E265" t="inlineStr">
        <is>
          <t>Inv MM$</t>
        </is>
      </c>
      <c r="F265" t="n">
        <v>80.176078</v>
      </c>
    </row>
    <row r="266">
      <c r="A266" t="inlineStr">
        <is>
          <t>202512</t>
        </is>
      </c>
      <c r="B266" t="inlineStr">
        <is>
          <t>Comparación</t>
        </is>
      </c>
      <c r="C266" t="inlineStr">
        <is>
          <t>Ex_Integra</t>
        </is>
      </c>
      <c r="D266" t="inlineStr">
        <is>
          <t>JP Morgan - Japan Equity Fund - I</t>
        </is>
      </c>
      <c r="E266" t="inlineStr">
        <is>
          <t>Huella</t>
        </is>
      </c>
      <c r="F266" t="n">
        <v>1315.297819</v>
      </c>
    </row>
    <row r="267">
      <c r="A267" t="inlineStr">
        <is>
          <t>202512</t>
        </is>
      </c>
      <c r="B267" t="inlineStr">
        <is>
          <t>Comparación</t>
        </is>
      </c>
      <c r="C267" t="inlineStr">
        <is>
          <t>Ex_Integra</t>
        </is>
      </c>
      <c r="D267" t="inlineStr">
        <is>
          <t>JP Morgan - Japan Equity Fund - I</t>
        </is>
      </c>
      <c r="E267" t="inlineStr">
        <is>
          <t>Intensidad</t>
        </is>
      </c>
      <c r="F267" t="n">
        <v>0.216293</v>
      </c>
    </row>
    <row r="268">
      <c r="A268" t="inlineStr">
        <is>
          <t>202512</t>
        </is>
      </c>
      <c r="B268" t="inlineStr">
        <is>
          <t>Comparación</t>
        </is>
      </c>
      <c r="C268" t="inlineStr">
        <is>
          <t>Ex_Integra</t>
        </is>
      </c>
      <c r="D268" t="inlineStr">
        <is>
          <t>JP Morgan - Japan Equity Fund - I</t>
        </is>
      </c>
      <c r="E268" t="inlineStr">
        <is>
          <t>Inv MM$</t>
        </is>
      </c>
      <c r="F268" t="n">
        <v>57.845527</v>
      </c>
    </row>
    <row r="269">
      <c r="A269" t="inlineStr">
        <is>
          <t>202512</t>
        </is>
      </c>
      <c r="B269" t="inlineStr">
        <is>
          <t>Comparación</t>
        </is>
      </c>
      <c r="C269" t="inlineStr">
        <is>
          <t>Ex_Integra</t>
        </is>
      </c>
      <c r="D269" t="inlineStr">
        <is>
          <t>Janus Henderson - Continental European Fund</t>
        </is>
      </c>
      <c r="E269" t="inlineStr">
        <is>
          <t>Huella</t>
        </is>
      </c>
      <c r="F269" t="n">
        <v>0.005472</v>
      </c>
    </row>
    <row r="270">
      <c r="A270" t="inlineStr">
        <is>
          <t>202512</t>
        </is>
      </c>
      <c r="B270" t="inlineStr">
        <is>
          <t>Comparación</t>
        </is>
      </c>
      <c r="C270" t="inlineStr">
        <is>
          <t>Ex_Integra</t>
        </is>
      </c>
      <c r="D270" t="inlineStr">
        <is>
          <t>Janus Henderson - Continental European Fund</t>
        </is>
      </c>
      <c r="E270" t="inlineStr">
        <is>
          <t>Intensidad</t>
        </is>
      </c>
      <c r="F270" t="n">
        <v>1e-06</v>
      </c>
    </row>
    <row r="271">
      <c r="A271" t="inlineStr">
        <is>
          <t>202512</t>
        </is>
      </c>
      <c r="B271" t="inlineStr">
        <is>
          <t>Comparación</t>
        </is>
      </c>
      <c r="C271" t="inlineStr">
        <is>
          <t>Ex_Integra</t>
        </is>
      </c>
      <c r="D271" t="inlineStr">
        <is>
          <t>Janus Henderson - Continental European Fund</t>
        </is>
      </c>
      <c r="E271" t="inlineStr">
        <is>
          <t>Inv MM$</t>
        </is>
      </c>
      <c r="F271" t="n">
        <v>8.1e-05</v>
      </c>
    </row>
    <row r="272">
      <c r="A272" t="inlineStr">
        <is>
          <t>202512</t>
        </is>
      </c>
      <c r="B272" t="inlineStr">
        <is>
          <t>Comparación</t>
        </is>
      </c>
      <c r="C272" t="inlineStr">
        <is>
          <t>Ex_Integra</t>
        </is>
      </c>
      <c r="D272" t="inlineStr">
        <is>
          <t>Joh Berenberg - European Focus Fund</t>
        </is>
      </c>
      <c r="E272" t="inlineStr">
        <is>
          <t>Huella</t>
        </is>
      </c>
      <c r="F272" t="n">
        <v>32.621972</v>
      </c>
    </row>
    <row r="273">
      <c r="A273" t="inlineStr">
        <is>
          <t>202512</t>
        </is>
      </c>
      <c r="B273" t="inlineStr">
        <is>
          <t>Comparación</t>
        </is>
      </c>
      <c r="C273" t="inlineStr">
        <is>
          <t>Ex_Integra</t>
        </is>
      </c>
      <c r="D273" t="inlineStr">
        <is>
          <t>Joh Berenberg - European Focus Fund</t>
        </is>
      </c>
      <c r="E273" t="inlineStr">
        <is>
          <t>Intensidad</t>
        </is>
      </c>
      <c r="F273" t="n">
        <v>0.00678</v>
      </c>
    </row>
    <row r="274">
      <c r="A274" t="inlineStr">
        <is>
          <t>202512</t>
        </is>
      </c>
      <c r="B274" t="inlineStr">
        <is>
          <t>Comparación</t>
        </is>
      </c>
      <c r="C274" t="inlineStr">
        <is>
          <t>Ex_Integra</t>
        </is>
      </c>
      <c r="D274" t="inlineStr">
        <is>
          <t>Joh Berenberg - European Focus Fund</t>
        </is>
      </c>
      <c r="E274" t="inlineStr">
        <is>
          <t>Inv MM$</t>
        </is>
      </c>
      <c r="F274" t="n">
        <v>0.917593</v>
      </c>
    </row>
    <row r="275">
      <c r="A275" t="inlineStr">
        <is>
          <t>202512</t>
        </is>
      </c>
      <c r="B275" t="inlineStr">
        <is>
          <t>Comparación</t>
        </is>
      </c>
      <c r="C275" t="inlineStr">
        <is>
          <t>Ex_Integra</t>
        </is>
      </c>
      <c r="D275" t="inlineStr">
        <is>
          <t>Jupiter - Bonds Global High Yield</t>
        </is>
      </c>
      <c r="E275" t="inlineStr">
        <is>
          <t>Huella</t>
        </is>
      </c>
      <c r="F275" t="n">
        <v>4563.62641</v>
      </c>
    </row>
    <row r="276">
      <c r="A276" t="inlineStr">
        <is>
          <t>202512</t>
        </is>
      </c>
      <c r="B276" t="inlineStr">
        <is>
          <t>Comparación</t>
        </is>
      </c>
      <c r="C276" t="inlineStr">
        <is>
          <t>Ex_Integra</t>
        </is>
      </c>
      <c r="D276" t="inlineStr">
        <is>
          <t>Jupiter - Bonds Global High Yield</t>
        </is>
      </c>
      <c r="E276" t="inlineStr">
        <is>
          <t>Intensidad</t>
        </is>
      </c>
      <c r="F276" t="n">
        <v>0.426581</v>
      </c>
    </row>
    <row r="277">
      <c r="A277" t="inlineStr">
        <is>
          <t>202512</t>
        </is>
      </c>
      <c r="B277" t="inlineStr">
        <is>
          <t>Comparación</t>
        </is>
      </c>
      <c r="C277" t="inlineStr">
        <is>
          <t>Ex_Integra</t>
        </is>
      </c>
      <c r="D277" t="inlineStr">
        <is>
          <t>Jupiter - Bonds Global High Yield</t>
        </is>
      </c>
      <c r="E277" t="inlineStr">
        <is>
          <t>Inv MM$</t>
        </is>
      </c>
      <c r="F277" t="n">
        <v>19.612054</v>
      </c>
    </row>
    <row r="278">
      <c r="A278" t="inlineStr">
        <is>
          <t>202512</t>
        </is>
      </c>
      <c r="B278" t="inlineStr">
        <is>
          <t>Comparación</t>
        </is>
      </c>
      <c r="C278" t="inlineStr">
        <is>
          <t>Ex_Integra</t>
        </is>
      </c>
      <c r="D278" t="inlineStr">
        <is>
          <t>Jupiter Unit Trust - Asian Income Fund I GBP</t>
        </is>
      </c>
      <c r="E278" t="inlineStr">
        <is>
          <t>Huella</t>
        </is>
      </c>
      <c r="F278" t="n">
        <v>0.000271</v>
      </c>
    </row>
    <row r="279">
      <c r="A279" t="inlineStr">
        <is>
          <t>202512</t>
        </is>
      </c>
      <c r="B279" t="inlineStr">
        <is>
          <t>Comparación</t>
        </is>
      </c>
      <c r="C279" t="inlineStr">
        <is>
          <t>Ex_Integra</t>
        </is>
      </c>
      <c r="D279" t="inlineStr">
        <is>
          <t>Jupiter Unit Trust - Asian Income Fund I GBP</t>
        </is>
      </c>
      <c r="E279" t="inlineStr">
        <is>
          <t>Intensidad</t>
        </is>
      </c>
      <c r="F279" t="n">
        <v>0</v>
      </c>
    </row>
    <row r="280">
      <c r="A280" t="inlineStr">
        <is>
          <t>202512</t>
        </is>
      </c>
      <c r="B280" t="inlineStr">
        <is>
          <t>Comparación</t>
        </is>
      </c>
      <c r="C280" t="inlineStr">
        <is>
          <t>Ex_Integra</t>
        </is>
      </c>
      <c r="D280" t="inlineStr">
        <is>
          <t>Jupiter Unit Trust - Asian Income Fund I GBP</t>
        </is>
      </c>
      <c r="E280" t="inlineStr">
        <is>
          <t>Inv MM$</t>
        </is>
      </c>
      <c r="F280" t="n">
        <v>8e-06</v>
      </c>
    </row>
    <row r="281">
      <c r="A281" t="inlineStr">
        <is>
          <t>202512</t>
        </is>
      </c>
      <c r="B281" t="inlineStr">
        <is>
          <t>Comparación</t>
        </is>
      </c>
      <c r="C281" t="inlineStr">
        <is>
          <t>Ex_Integra</t>
        </is>
      </c>
      <c r="D281" t="inlineStr">
        <is>
          <t>Jupiter Unit Trust - European Fund</t>
        </is>
      </c>
      <c r="E281" t="inlineStr">
        <is>
          <t>Huella</t>
        </is>
      </c>
      <c r="F281" t="n">
        <v>0.278159</v>
      </c>
    </row>
    <row r="282">
      <c r="A282" t="inlineStr">
        <is>
          <t>202512</t>
        </is>
      </c>
      <c r="B282" t="inlineStr">
        <is>
          <t>Comparación</t>
        </is>
      </c>
      <c r="C282" t="inlineStr">
        <is>
          <t>Ex_Integra</t>
        </is>
      </c>
      <c r="D282" t="inlineStr">
        <is>
          <t>Jupiter Unit Trust - European Fund</t>
        </is>
      </c>
      <c r="E282" t="inlineStr">
        <is>
          <t>Intensidad</t>
        </is>
      </c>
      <c r="F282" t="n">
        <v>2e-05</v>
      </c>
    </row>
    <row r="283">
      <c r="A283" t="inlineStr">
        <is>
          <t>202512</t>
        </is>
      </c>
      <c r="B283" t="inlineStr">
        <is>
          <t>Comparación</t>
        </is>
      </c>
      <c r="C283" t="inlineStr">
        <is>
          <t>Ex_Integra</t>
        </is>
      </c>
      <c r="D283" t="inlineStr">
        <is>
          <t>Jupiter Unit Trust - European Fund</t>
        </is>
      </c>
      <c r="E283" t="inlineStr">
        <is>
          <t>Inv MM$</t>
        </is>
      </c>
      <c r="F283" t="n">
        <v>0.005082</v>
      </c>
    </row>
    <row r="284">
      <c r="A284" t="inlineStr">
        <is>
          <t>202512</t>
        </is>
      </c>
      <c r="B284" t="inlineStr">
        <is>
          <t>Comparación</t>
        </is>
      </c>
      <c r="C284" t="inlineStr">
        <is>
          <t>Ex_Integra</t>
        </is>
      </c>
      <c r="D284" t="inlineStr">
        <is>
          <t>Jupiter Unit Trust - European Growth</t>
        </is>
      </c>
      <c r="E284" t="inlineStr">
        <is>
          <t>Huella</t>
        </is>
      </c>
      <c r="F284" t="n">
        <v>36.126056</v>
      </c>
    </row>
    <row r="285">
      <c r="A285" t="inlineStr">
        <is>
          <t>202512</t>
        </is>
      </c>
      <c r="B285" t="inlineStr">
        <is>
          <t>Comparación</t>
        </is>
      </c>
      <c r="C285" t="inlineStr">
        <is>
          <t>Ex_Integra</t>
        </is>
      </c>
      <c r="D285" t="inlineStr">
        <is>
          <t>Jupiter Unit Trust - European Growth</t>
        </is>
      </c>
      <c r="E285" t="inlineStr">
        <is>
          <t>Intensidad</t>
        </is>
      </c>
      <c r="F285" t="n">
        <v>0.01016</v>
      </c>
    </row>
    <row r="286">
      <c r="A286" t="inlineStr">
        <is>
          <t>202512</t>
        </is>
      </c>
      <c r="B286" t="inlineStr">
        <is>
          <t>Comparación</t>
        </is>
      </c>
      <c r="C286" t="inlineStr">
        <is>
          <t>Ex_Integra</t>
        </is>
      </c>
      <c r="D286" t="inlineStr">
        <is>
          <t>Jupiter Unit Trust - European Growth</t>
        </is>
      </c>
      <c r="E286" t="inlineStr">
        <is>
          <t>Inv MM$</t>
        </is>
      </c>
      <c r="F286" t="n">
        <v>0.726232</v>
      </c>
    </row>
    <row r="287">
      <c r="A287" t="inlineStr">
        <is>
          <t>202512</t>
        </is>
      </c>
      <c r="B287" t="inlineStr">
        <is>
          <t>Comparación</t>
        </is>
      </c>
      <c r="C287" t="inlineStr">
        <is>
          <t>Ex_Integra</t>
        </is>
      </c>
      <c r="D287" t="inlineStr">
        <is>
          <t>Krane - CSI China Internet Fund</t>
        </is>
      </c>
      <c r="E287" t="inlineStr">
        <is>
          <t>Huella</t>
        </is>
      </c>
      <c r="F287" t="n">
        <v>2576.346325</v>
      </c>
    </row>
    <row r="288">
      <c r="A288" t="inlineStr">
        <is>
          <t>202512</t>
        </is>
      </c>
      <c r="B288" t="inlineStr">
        <is>
          <t>Comparación</t>
        </is>
      </c>
      <c r="C288" t="inlineStr">
        <is>
          <t>Ex_Integra</t>
        </is>
      </c>
      <c r="D288" t="inlineStr">
        <is>
          <t>Krane - CSI China Internet Fund</t>
        </is>
      </c>
      <c r="E288" t="inlineStr">
        <is>
          <t>Intensidad</t>
        </is>
      </c>
      <c r="F288" t="n">
        <v>0.34024</v>
      </c>
    </row>
    <row r="289">
      <c r="A289" t="inlineStr">
        <is>
          <t>202512</t>
        </is>
      </c>
      <c r="B289" t="inlineStr">
        <is>
          <t>Comparación</t>
        </is>
      </c>
      <c r="C289" t="inlineStr">
        <is>
          <t>Ex_Integra</t>
        </is>
      </c>
      <c r="D289" t="inlineStr">
        <is>
          <t>Krane - CSI China Internet Fund</t>
        </is>
      </c>
      <c r="E289" t="inlineStr">
        <is>
          <t>Inv MM$</t>
        </is>
      </c>
      <c r="F289" t="n">
        <v>363.412268</v>
      </c>
    </row>
    <row r="290">
      <c r="A290" t="inlineStr">
        <is>
          <t>202512</t>
        </is>
      </c>
      <c r="B290" t="inlineStr">
        <is>
          <t>Comparación</t>
        </is>
      </c>
      <c r="C290" t="inlineStr">
        <is>
          <t>Ex_Integra</t>
        </is>
      </c>
      <c r="D290" t="inlineStr">
        <is>
          <t>Lazard - Convertible Global Fund</t>
        </is>
      </c>
      <c r="E290" t="inlineStr">
        <is>
          <t>Huella</t>
        </is>
      </c>
      <c r="F290" t="n">
        <v>1080.162852</v>
      </c>
    </row>
    <row r="291">
      <c r="A291" t="inlineStr">
        <is>
          <t>202512</t>
        </is>
      </c>
      <c r="B291" t="inlineStr">
        <is>
          <t>Comparación</t>
        </is>
      </c>
      <c r="C291" t="inlineStr">
        <is>
          <t>Ex_Integra</t>
        </is>
      </c>
      <c r="D291" t="inlineStr">
        <is>
          <t>Lazard - Convertible Global Fund</t>
        </is>
      </c>
      <c r="E291" t="inlineStr">
        <is>
          <t>Intensidad</t>
        </is>
      </c>
      <c r="F291" t="n">
        <v>0.107334</v>
      </c>
    </row>
    <row r="292">
      <c r="A292" t="inlineStr">
        <is>
          <t>202512</t>
        </is>
      </c>
      <c r="B292" t="inlineStr">
        <is>
          <t>Comparación</t>
        </is>
      </c>
      <c r="C292" t="inlineStr">
        <is>
          <t>Ex_Integra</t>
        </is>
      </c>
      <c r="D292" t="inlineStr">
        <is>
          <t>Lazard - Convertible Global Fund</t>
        </is>
      </c>
      <c r="E292" t="inlineStr">
        <is>
          <t>Inv MM$</t>
        </is>
      </c>
      <c r="F292" t="n">
        <v>15.393606</v>
      </c>
    </row>
    <row r="293">
      <c r="A293" t="inlineStr">
        <is>
          <t>202512</t>
        </is>
      </c>
      <c r="B293" t="inlineStr">
        <is>
          <t>Comparación</t>
        </is>
      </c>
      <c r="C293" t="inlineStr">
        <is>
          <t>Ex_Integra</t>
        </is>
      </c>
      <c r="D293" t="inlineStr">
        <is>
          <t>Lazard - Japanese Strategic Equity</t>
        </is>
      </c>
      <c r="E293" t="inlineStr">
        <is>
          <t>Huella</t>
        </is>
      </c>
      <c r="F293" t="n">
        <v>4286.808454</v>
      </c>
    </row>
    <row r="294">
      <c r="A294" t="inlineStr">
        <is>
          <t>202512</t>
        </is>
      </c>
      <c r="B294" t="inlineStr">
        <is>
          <t>Comparación</t>
        </is>
      </c>
      <c r="C294" t="inlineStr">
        <is>
          <t>Ex_Integra</t>
        </is>
      </c>
      <c r="D294" t="inlineStr">
        <is>
          <t>Lazard - Japanese Strategic Equity</t>
        </is>
      </c>
      <c r="E294" t="inlineStr">
        <is>
          <t>Intensidad</t>
        </is>
      </c>
      <c r="F294" t="n">
        <v>0.624711</v>
      </c>
    </row>
    <row r="295">
      <c r="A295" t="inlineStr">
        <is>
          <t>202512</t>
        </is>
      </c>
      <c r="B295" t="inlineStr">
        <is>
          <t>Comparación</t>
        </is>
      </c>
      <c r="C295" t="inlineStr">
        <is>
          <t>Ex_Integra</t>
        </is>
      </c>
      <c r="D295" t="inlineStr">
        <is>
          <t>Lazard - Japanese Strategic Equity</t>
        </is>
      </c>
      <c r="E295" t="inlineStr">
        <is>
          <t>Inv MM$</t>
        </is>
      </c>
      <c r="F295" t="n">
        <v>51.059634</v>
      </c>
    </row>
    <row r="296">
      <c r="A296" t="inlineStr">
        <is>
          <t>202512</t>
        </is>
      </c>
      <c r="B296" t="inlineStr">
        <is>
          <t>Comparación</t>
        </is>
      </c>
      <c r="C296" t="inlineStr">
        <is>
          <t>Ex_Integra</t>
        </is>
      </c>
      <c r="D296" t="inlineStr">
        <is>
          <t>Lazard Capital Fi</t>
        </is>
      </c>
      <c r="E296" t="inlineStr">
        <is>
          <t>Huella</t>
        </is>
      </c>
      <c r="F296" t="n">
        <v>0.042362</v>
      </c>
    </row>
    <row r="297">
      <c r="A297" t="inlineStr">
        <is>
          <t>202512</t>
        </is>
      </c>
      <c r="B297" t="inlineStr">
        <is>
          <t>Comparación</t>
        </is>
      </c>
      <c r="C297" t="inlineStr">
        <is>
          <t>Ex_Integra</t>
        </is>
      </c>
      <c r="D297" t="inlineStr">
        <is>
          <t>Lazard Capital Fi</t>
        </is>
      </c>
      <c r="E297" t="inlineStr">
        <is>
          <t>Intensidad</t>
        </is>
      </c>
      <c r="F297" t="n">
        <v>1.1e-05</v>
      </c>
    </row>
    <row r="298">
      <c r="A298" t="inlineStr">
        <is>
          <t>202512</t>
        </is>
      </c>
      <c r="B298" t="inlineStr">
        <is>
          <t>Comparación</t>
        </is>
      </c>
      <c r="C298" t="inlineStr">
        <is>
          <t>Ex_Integra</t>
        </is>
      </c>
      <c r="D298" t="inlineStr">
        <is>
          <t>Lazard Capital Fi</t>
        </is>
      </c>
      <c r="E298" t="inlineStr">
        <is>
          <t>Inv MM$</t>
        </is>
      </c>
      <c r="F298" t="n">
        <v>0.015142</v>
      </c>
    </row>
    <row r="299">
      <c r="A299" t="inlineStr">
        <is>
          <t>202512</t>
        </is>
      </c>
      <c r="B299" t="inlineStr">
        <is>
          <t>Comparación</t>
        </is>
      </c>
      <c r="C299" t="inlineStr">
        <is>
          <t>Ex_Integra</t>
        </is>
      </c>
      <c r="D299" t="inlineStr">
        <is>
          <t>Liontrust - Liontrust European Dynamic Fund S</t>
        </is>
      </c>
      <c r="E299" t="inlineStr">
        <is>
          <t>Huella</t>
        </is>
      </c>
      <c r="F299" t="n">
        <v>22667.850991</v>
      </c>
    </row>
    <row r="300">
      <c r="A300" t="inlineStr">
        <is>
          <t>202512</t>
        </is>
      </c>
      <c r="B300" t="inlineStr">
        <is>
          <t>Comparación</t>
        </is>
      </c>
      <c r="C300" t="inlineStr">
        <is>
          <t>Ex_Integra</t>
        </is>
      </c>
      <c r="D300" t="inlineStr">
        <is>
          <t>Liontrust - Liontrust European Dynamic Fund S</t>
        </is>
      </c>
      <c r="E300" t="inlineStr">
        <is>
          <t>Intensidad</t>
        </is>
      </c>
      <c r="F300" t="n">
        <v>3.14938</v>
      </c>
    </row>
    <row r="301">
      <c r="A301" t="inlineStr">
        <is>
          <t>202512</t>
        </is>
      </c>
      <c r="B301" t="inlineStr">
        <is>
          <t>Comparación</t>
        </is>
      </c>
      <c r="C301" t="inlineStr">
        <is>
          <t>Ex_Integra</t>
        </is>
      </c>
      <c r="D301" t="inlineStr">
        <is>
          <t>Liontrust - Liontrust European Dynamic Fund S</t>
        </is>
      </c>
      <c r="E301" t="inlineStr">
        <is>
          <t>Inv MM$</t>
        </is>
      </c>
      <c r="F301" t="n">
        <v>108.001375</v>
      </c>
    </row>
    <row r="302">
      <c r="A302" t="inlineStr">
        <is>
          <t>202512</t>
        </is>
      </c>
      <c r="B302" t="inlineStr">
        <is>
          <t>Comparación</t>
        </is>
      </c>
      <c r="C302" t="inlineStr">
        <is>
          <t>Ex_Integra</t>
        </is>
      </c>
      <c r="D302" t="inlineStr">
        <is>
          <t>M&amp;G - Global Floating Rate High Yield Fund</t>
        </is>
      </c>
      <c r="E302" t="inlineStr">
        <is>
          <t>Huella</t>
        </is>
      </c>
      <c r="F302" t="n">
        <v>0.702742</v>
      </c>
    </row>
    <row r="303">
      <c r="A303" t="inlineStr">
        <is>
          <t>202512</t>
        </is>
      </c>
      <c r="B303" t="inlineStr">
        <is>
          <t>Comparación</t>
        </is>
      </c>
      <c r="C303" t="inlineStr">
        <is>
          <t>Ex_Integra</t>
        </is>
      </c>
      <c r="D303" t="inlineStr">
        <is>
          <t>M&amp;G - Global Floating Rate High Yield Fund</t>
        </is>
      </c>
      <c r="E303" t="inlineStr">
        <is>
          <t>Intensidad</t>
        </is>
      </c>
      <c r="F303" t="n">
        <v>0.00019</v>
      </c>
    </row>
    <row r="304">
      <c r="A304" t="inlineStr">
        <is>
          <t>202512</t>
        </is>
      </c>
      <c r="B304" t="inlineStr">
        <is>
          <t>Comparación</t>
        </is>
      </c>
      <c r="C304" t="inlineStr">
        <is>
          <t>Ex_Integra</t>
        </is>
      </c>
      <c r="D304" t="inlineStr">
        <is>
          <t>M&amp;G - Global Floating Rate High Yield Fund</t>
        </is>
      </c>
      <c r="E304" t="inlineStr">
        <is>
          <t>Inv MM$</t>
        </is>
      </c>
      <c r="F304" t="n">
        <v>0.01024</v>
      </c>
    </row>
    <row r="305">
      <c r="A305" t="inlineStr">
        <is>
          <t>202512</t>
        </is>
      </c>
      <c r="B305" t="inlineStr">
        <is>
          <t>Comparación</t>
        </is>
      </c>
      <c r="C305" t="inlineStr">
        <is>
          <t>Ex_Integra</t>
        </is>
      </c>
      <c r="D305" t="inlineStr">
        <is>
          <t>MSIM - Asia Opportunity</t>
        </is>
      </c>
      <c r="E305" t="inlineStr">
        <is>
          <t>Huella</t>
        </is>
      </c>
      <c r="F305" t="n">
        <v>3.314704</v>
      </c>
    </row>
    <row r="306">
      <c r="A306" t="inlineStr">
        <is>
          <t>202512</t>
        </is>
      </c>
      <c r="B306" t="inlineStr">
        <is>
          <t>Comparación</t>
        </is>
      </c>
      <c r="C306" t="inlineStr">
        <is>
          <t>Ex_Integra</t>
        </is>
      </c>
      <c r="D306" t="inlineStr">
        <is>
          <t>MSIM - Asia Opportunity</t>
        </is>
      </c>
      <c r="E306" t="inlineStr">
        <is>
          <t>Intensidad</t>
        </is>
      </c>
      <c r="F306" t="n">
        <v>0.000928</v>
      </c>
    </row>
    <row r="307">
      <c r="A307" t="inlineStr">
        <is>
          <t>202512</t>
        </is>
      </c>
      <c r="B307" t="inlineStr">
        <is>
          <t>Comparación</t>
        </is>
      </c>
      <c r="C307" t="inlineStr">
        <is>
          <t>Ex_Integra</t>
        </is>
      </c>
      <c r="D307" t="inlineStr">
        <is>
          <t>MSIM - Asia Opportunity</t>
        </is>
      </c>
      <c r="E307" t="inlineStr">
        <is>
          <t>Inv MM$</t>
        </is>
      </c>
      <c r="F307" t="n">
        <v>0.650948</v>
      </c>
    </row>
    <row r="308">
      <c r="A308" t="inlineStr">
        <is>
          <t>202512</t>
        </is>
      </c>
      <c r="B308" t="inlineStr">
        <is>
          <t>Comparación</t>
        </is>
      </c>
      <c r="C308" t="inlineStr">
        <is>
          <t>Ex_Integra</t>
        </is>
      </c>
      <c r="D308" t="inlineStr">
        <is>
          <t>Man GLG - Continental European Growth</t>
        </is>
      </c>
      <c r="E308" t="inlineStr">
        <is>
          <t>Huella</t>
        </is>
      </c>
      <c r="F308" t="n">
        <v>49.092117</v>
      </c>
    </row>
    <row r="309">
      <c r="A309" t="inlineStr">
        <is>
          <t>202512</t>
        </is>
      </c>
      <c r="B309" t="inlineStr">
        <is>
          <t>Comparación</t>
        </is>
      </c>
      <c r="C309" t="inlineStr">
        <is>
          <t>Ex_Integra</t>
        </is>
      </c>
      <c r="D309" t="inlineStr">
        <is>
          <t>Man GLG - Continental European Growth</t>
        </is>
      </c>
      <c r="E309" t="inlineStr">
        <is>
          <t>Intensidad</t>
        </is>
      </c>
      <c r="F309" t="n">
        <v>0.013809</v>
      </c>
    </row>
    <row r="310">
      <c r="A310" t="inlineStr">
        <is>
          <t>202512</t>
        </is>
      </c>
      <c r="B310" t="inlineStr">
        <is>
          <t>Comparación</t>
        </is>
      </c>
      <c r="C310" t="inlineStr">
        <is>
          <t>Ex_Integra</t>
        </is>
      </c>
      <c r="D310" t="inlineStr">
        <is>
          <t>Man GLG - Continental European Growth</t>
        </is>
      </c>
      <c r="E310" t="inlineStr">
        <is>
          <t>Inv MM$</t>
        </is>
      </c>
      <c r="F310" t="n">
        <v>0.688019</v>
      </c>
    </row>
    <row r="311">
      <c r="A311" t="inlineStr">
        <is>
          <t>202512</t>
        </is>
      </c>
      <c r="B311" t="inlineStr">
        <is>
          <t>Comparación</t>
        </is>
      </c>
      <c r="C311" t="inlineStr">
        <is>
          <t>Ex_Integra</t>
        </is>
      </c>
      <c r="D311" t="inlineStr">
        <is>
          <t>Matthews - China Small Caps</t>
        </is>
      </c>
      <c r="E311" t="inlineStr">
        <is>
          <t>Huella</t>
        </is>
      </c>
      <c r="F311" t="n">
        <v>0.004153</v>
      </c>
    </row>
    <row r="312">
      <c r="A312" t="inlineStr">
        <is>
          <t>202512</t>
        </is>
      </c>
      <c r="B312" t="inlineStr">
        <is>
          <t>Comparación</t>
        </is>
      </c>
      <c r="C312" t="inlineStr">
        <is>
          <t>Ex_Integra</t>
        </is>
      </c>
      <c r="D312" t="inlineStr">
        <is>
          <t>Matthews - China Small Caps</t>
        </is>
      </c>
      <c r="E312" t="inlineStr">
        <is>
          <t>Intensidad</t>
        </is>
      </c>
      <c r="F312" t="n">
        <v>1e-06</v>
      </c>
    </row>
    <row r="313">
      <c r="A313" t="inlineStr">
        <is>
          <t>202512</t>
        </is>
      </c>
      <c r="B313" t="inlineStr">
        <is>
          <t>Comparación</t>
        </is>
      </c>
      <c r="C313" t="inlineStr">
        <is>
          <t>Ex_Integra</t>
        </is>
      </c>
      <c r="D313" t="inlineStr">
        <is>
          <t>Matthews - China Small Caps</t>
        </is>
      </c>
      <c r="E313" t="inlineStr">
        <is>
          <t>Inv MM$</t>
        </is>
      </c>
      <c r="F313" t="n">
        <v>5.5e-05</v>
      </c>
    </row>
    <row r="314">
      <c r="A314" t="inlineStr">
        <is>
          <t>202512</t>
        </is>
      </c>
      <c r="B314" t="inlineStr">
        <is>
          <t>Comparación</t>
        </is>
      </c>
      <c r="C314" t="inlineStr">
        <is>
          <t>Ex_Integra</t>
        </is>
      </c>
      <c r="D314" t="inlineStr">
        <is>
          <t>Mi Vivienda</t>
        </is>
      </c>
      <c r="E314" t="inlineStr">
        <is>
          <t>Huella</t>
        </is>
      </c>
      <c r="F314" t="n">
        <v>0.480575</v>
      </c>
    </row>
    <row r="315">
      <c r="A315" t="inlineStr">
        <is>
          <t>202512</t>
        </is>
      </c>
      <c r="B315" t="inlineStr">
        <is>
          <t>Comparación</t>
        </is>
      </c>
      <c r="C315" t="inlineStr">
        <is>
          <t>Ex_Integra</t>
        </is>
      </c>
      <c r="D315" t="inlineStr">
        <is>
          <t>Mi Vivienda</t>
        </is>
      </c>
      <c r="E315" t="inlineStr">
        <is>
          <t>Intensidad</t>
        </is>
      </c>
      <c r="F315" t="n">
        <v>3.4e-05</v>
      </c>
    </row>
    <row r="316">
      <c r="A316" t="inlineStr">
        <is>
          <t>202512</t>
        </is>
      </c>
      <c r="B316" t="inlineStr">
        <is>
          <t>Comparación</t>
        </is>
      </c>
      <c r="C316" t="inlineStr">
        <is>
          <t>Ex_Integra</t>
        </is>
      </c>
      <c r="D316" t="inlineStr">
        <is>
          <t>Mi Vivienda</t>
        </is>
      </c>
      <c r="E316" t="inlineStr">
        <is>
          <t>Inv MM$</t>
        </is>
      </c>
      <c r="F316" t="n">
        <v>1.550243</v>
      </c>
    </row>
    <row r="317">
      <c r="A317" t="inlineStr">
        <is>
          <t>202512</t>
        </is>
      </c>
      <c r="B317" t="inlineStr">
        <is>
          <t>Comparación</t>
        </is>
      </c>
      <c r="C317" t="inlineStr">
        <is>
          <t>Ex_Integra</t>
        </is>
      </c>
      <c r="D317" t="inlineStr">
        <is>
          <t>Minsur</t>
        </is>
      </c>
      <c r="E317" t="inlineStr">
        <is>
          <t>Huella</t>
        </is>
      </c>
      <c r="F317" t="n">
        <v>70825.822638</v>
      </c>
    </row>
    <row r="318">
      <c r="A318" t="inlineStr">
        <is>
          <t>202512</t>
        </is>
      </c>
      <c r="B318" t="inlineStr">
        <is>
          <t>Comparación</t>
        </is>
      </c>
      <c r="C318" t="inlineStr">
        <is>
          <t>Ex_Integra</t>
        </is>
      </c>
      <c r="D318" t="inlineStr">
        <is>
          <t>Minsur</t>
        </is>
      </c>
      <c r="E318" t="inlineStr">
        <is>
          <t>Intensidad</t>
        </is>
      </c>
      <c r="F318" t="n">
        <v>10.562003</v>
      </c>
    </row>
    <row r="319">
      <c r="A319" t="inlineStr">
        <is>
          <t>202512</t>
        </is>
      </c>
      <c r="B319" t="inlineStr">
        <is>
          <t>Comparación</t>
        </is>
      </c>
      <c r="C319" t="inlineStr">
        <is>
          <t>Ex_Integra</t>
        </is>
      </c>
      <c r="D319" t="inlineStr">
        <is>
          <t>Minsur</t>
        </is>
      </c>
      <c r="E319" t="inlineStr">
        <is>
          <t>Inv MM$</t>
        </is>
      </c>
      <c r="F319" t="n">
        <v>620.191091</v>
      </c>
    </row>
    <row r="320">
      <c r="A320" t="inlineStr">
        <is>
          <t>202512</t>
        </is>
      </c>
      <c r="B320" t="inlineStr">
        <is>
          <t>Comparación</t>
        </is>
      </c>
      <c r="C320" t="inlineStr">
        <is>
          <t>Ex_Integra</t>
        </is>
      </c>
      <c r="D320" t="inlineStr">
        <is>
          <t>Neuberger Berman - Emerging Market Debt HC</t>
        </is>
      </c>
      <c r="E320" t="inlineStr">
        <is>
          <t>Huella</t>
        </is>
      </c>
      <c r="F320" t="n">
        <v>6150.350678</v>
      </c>
    </row>
    <row r="321">
      <c r="A321" t="inlineStr">
        <is>
          <t>202512</t>
        </is>
      </c>
      <c r="B321" t="inlineStr">
        <is>
          <t>Comparación</t>
        </is>
      </c>
      <c r="C321" t="inlineStr">
        <is>
          <t>Ex_Integra</t>
        </is>
      </c>
      <c r="D321" t="inlineStr">
        <is>
          <t>Neuberger Berman - Emerging Market Debt HC</t>
        </is>
      </c>
      <c r="E321" t="inlineStr">
        <is>
          <t>Intensidad</t>
        </is>
      </c>
      <c r="F321" t="n">
        <v>1.623347</v>
      </c>
    </row>
    <row r="322">
      <c r="A322" t="inlineStr">
        <is>
          <t>202512</t>
        </is>
      </c>
      <c r="B322" t="inlineStr">
        <is>
          <t>Comparación</t>
        </is>
      </c>
      <c r="C322" t="inlineStr">
        <is>
          <t>Ex_Integra</t>
        </is>
      </c>
      <c r="D322" t="inlineStr">
        <is>
          <t>Neuberger Berman - Emerging Market Debt HC</t>
        </is>
      </c>
      <c r="E322" t="inlineStr">
        <is>
          <t>Inv MM$</t>
        </is>
      </c>
      <c r="F322" t="n">
        <v>9.307708</v>
      </c>
    </row>
    <row r="323">
      <c r="A323" t="inlineStr">
        <is>
          <t>202512</t>
        </is>
      </c>
      <c r="B323" t="inlineStr">
        <is>
          <t>Comparación</t>
        </is>
      </c>
      <c r="C323" t="inlineStr">
        <is>
          <t>Ex_Integra</t>
        </is>
      </c>
      <c r="D323" t="inlineStr">
        <is>
          <t>Nexa Resources</t>
        </is>
      </c>
      <c r="E323" t="inlineStr">
        <is>
          <t>Huella</t>
        </is>
      </c>
      <c r="F323" t="n">
        <v>39595.332132</v>
      </c>
    </row>
    <row r="324">
      <c r="A324" t="inlineStr">
        <is>
          <t>202512</t>
        </is>
      </c>
      <c r="B324" t="inlineStr">
        <is>
          <t>Comparación</t>
        </is>
      </c>
      <c r="C324" t="inlineStr">
        <is>
          <t>Ex_Integra</t>
        </is>
      </c>
      <c r="D324" t="inlineStr">
        <is>
          <t>Nexa Resources</t>
        </is>
      </c>
      <c r="E324" t="inlineStr">
        <is>
          <t>Intensidad</t>
        </is>
      </c>
      <c r="F324" t="n">
        <v>4.706344</v>
      </c>
    </row>
    <row r="325">
      <c r="A325" t="inlineStr">
        <is>
          <t>202512</t>
        </is>
      </c>
      <c r="B325" t="inlineStr">
        <is>
          <t>Comparación</t>
        </is>
      </c>
      <c r="C325" t="inlineStr">
        <is>
          <t>Ex_Integra</t>
        </is>
      </c>
      <c r="D325" t="inlineStr">
        <is>
          <t>Nexa Resources</t>
        </is>
      </c>
      <c r="E325" t="inlineStr">
        <is>
          <t>Inv MM$</t>
        </is>
      </c>
      <c r="F325" t="n">
        <v>184.800393</v>
      </c>
    </row>
    <row r="326">
      <c r="A326" t="inlineStr">
        <is>
          <t>202512</t>
        </is>
      </c>
      <c r="B326" t="inlineStr">
        <is>
          <t>Comparación</t>
        </is>
      </c>
      <c r="C326" t="inlineStr">
        <is>
          <t>Ex_Integra</t>
        </is>
      </c>
      <c r="D326" t="inlineStr">
        <is>
          <t>Nexa Resources Perú</t>
        </is>
      </c>
      <c r="E326" t="inlineStr">
        <is>
          <t>Huella</t>
        </is>
      </c>
      <c r="F326" t="n">
        <v>3027.886786</v>
      </c>
    </row>
    <row r="327">
      <c r="A327" t="inlineStr">
        <is>
          <t>202512</t>
        </is>
      </c>
      <c r="B327" t="inlineStr">
        <is>
          <t>Comparación</t>
        </is>
      </c>
      <c r="C327" t="inlineStr">
        <is>
          <t>Ex_Integra</t>
        </is>
      </c>
      <c r="D327" t="inlineStr">
        <is>
          <t>Nexa Resources Perú</t>
        </is>
      </c>
      <c r="E327" t="inlineStr">
        <is>
          <t>Intensidad</t>
        </is>
      </c>
      <c r="F327" t="n">
        <v>0.401886</v>
      </c>
    </row>
    <row r="328">
      <c r="A328" t="inlineStr">
        <is>
          <t>202512</t>
        </is>
      </c>
      <c r="B328" t="inlineStr">
        <is>
          <t>Comparación</t>
        </is>
      </c>
      <c r="C328" t="inlineStr">
        <is>
          <t>Ex_Integra</t>
        </is>
      </c>
      <c r="D328" t="inlineStr">
        <is>
          <t>Nexa Resources Perú</t>
        </is>
      </c>
      <c r="E328" t="inlineStr">
        <is>
          <t>Inv MM$</t>
        </is>
      </c>
      <c r="F328" t="n">
        <v>10.899128</v>
      </c>
    </row>
    <row r="329">
      <c r="A329" t="inlineStr">
        <is>
          <t>202512</t>
        </is>
      </c>
      <c r="B329" t="inlineStr">
        <is>
          <t>Comparación</t>
        </is>
      </c>
      <c r="C329" t="inlineStr">
        <is>
          <t>Ex_Integra</t>
        </is>
      </c>
      <c r="D329" t="inlineStr">
        <is>
          <t>Ninety One - Global Natural Resources Fund I</t>
        </is>
      </c>
      <c r="E329" t="inlineStr">
        <is>
          <t>Huella</t>
        </is>
      </c>
      <c r="F329" t="n">
        <v>1821.804895</v>
      </c>
    </row>
    <row r="330">
      <c r="A330" t="inlineStr">
        <is>
          <t>202512</t>
        </is>
      </c>
      <c r="B330" t="inlineStr">
        <is>
          <t>Comparación</t>
        </is>
      </c>
      <c r="C330" t="inlineStr">
        <is>
          <t>Ex_Integra</t>
        </is>
      </c>
      <c r="D330" t="inlineStr">
        <is>
          <t>Ninety One - Global Natural Resources Fund I</t>
        </is>
      </c>
      <c r="E330" t="inlineStr">
        <is>
          <t>Intensidad</t>
        </is>
      </c>
      <c r="F330" t="n">
        <v>0.512436</v>
      </c>
    </row>
    <row r="331">
      <c r="A331" t="inlineStr">
        <is>
          <t>202512</t>
        </is>
      </c>
      <c r="B331" t="inlineStr">
        <is>
          <t>Comparación</t>
        </is>
      </c>
      <c r="C331" t="inlineStr">
        <is>
          <t>Ex_Integra</t>
        </is>
      </c>
      <c r="D331" t="inlineStr">
        <is>
          <t>Ninety One - Global Natural Resources Fund I</t>
        </is>
      </c>
      <c r="E331" t="inlineStr">
        <is>
          <t>Inv MM$</t>
        </is>
      </c>
      <c r="F331" t="n">
        <v>8.368802000000001</v>
      </c>
    </row>
    <row r="332">
      <c r="A332" t="inlineStr">
        <is>
          <t>202512</t>
        </is>
      </c>
      <c r="B332" t="inlineStr">
        <is>
          <t>Comparación</t>
        </is>
      </c>
      <c r="C332" t="inlineStr">
        <is>
          <t>Ex_Integra</t>
        </is>
      </c>
      <c r="D332" t="inlineStr">
        <is>
          <t>Nomura - Indian Equity</t>
        </is>
      </c>
      <c r="E332" t="inlineStr">
        <is>
          <t>Huella</t>
        </is>
      </c>
      <c r="F332" t="n">
        <v>2463.955002</v>
      </c>
    </row>
    <row r="333">
      <c r="A333" t="inlineStr">
        <is>
          <t>202512</t>
        </is>
      </c>
      <c r="B333" t="inlineStr">
        <is>
          <t>Comparación</t>
        </is>
      </c>
      <c r="C333" t="inlineStr">
        <is>
          <t>Ex_Integra</t>
        </is>
      </c>
      <c r="D333" t="inlineStr">
        <is>
          <t>Nomura - Indian Equity</t>
        </is>
      </c>
      <c r="E333" t="inlineStr">
        <is>
          <t>Intensidad</t>
        </is>
      </c>
      <c r="F333" t="n">
        <v>0.292773</v>
      </c>
    </row>
    <row r="334">
      <c r="A334" t="inlineStr">
        <is>
          <t>202512</t>
        </is>
      </c>
      <c r="B334" t="inlineStr">
        <is>
          <t>Comparación</t>
        </is>
      </c>
      <c r="C334" t="inlineStr">
        <is>
          <t>Ex_Integra</t>
        </is>
      </c>
      <c r="D334" t="inlineStr">
        <is>
          <t>Nomura - Indian Equity</t>
        </is>
      </c>
      <c r="E334" t="inlineStr">
        <is>
          <t>Inv MM$</t>
        </is>
      </c>
      <c r="F334" t="n">
        <v>21.135357</v>
      </c>
    </row>
    <row r="335">
      <c r="A335" t="inlineStr">
        <is>
          <t>202512</t>
        </is>
      </c>
      <c r="B335" t="inlineStr">
        <is>
          <t>Comparación</t>
        </is>
      </c>
      <c r="C335" t="inlineStr">
        <is>
          <t>Ex_Integra</t>
        </is>
      </c>
      <c r="D335" t="inlineStr">
        <is>
          <t>Nomura - US High Yield Bond Fund</t>
        </is>
      </c>
      <c r="E335" t="inlineStr">
        <is>
          <t>Huella</t>
        </is>
      </c>
      <c r="F335" t="n">
        <v>0.179748</v>
      </c>
    </row>
    <row r="336">
      <c r="A336" t="inlineStr">
        <is>
          <t>202512</t>
        </is>
      </c>
      <c r="B336" t="inlineStr">
        <is>
          <t>Comparación</t>
        </is>
      </c>
      <c r="C336" t="inlineStr">
        <is>
          <t>Ex_Integra</t>
        </is>
      </c>
      <c r="D336" t="inlineStr">
        <is>
          <t>Nomura - US High Yield Bond Fund</t>
        </is>
      </c>
      <c r="E336" t="inlineStr">
        <is>
          <t>Intensidad</t>
        </is>
      </c>
      <c r="F336" t="n">
        <v>3.4e-05</v>
      </c>
    </row>
    <row r="337">
      <c r="A337" t="inlineStr">
        <is>
          <t>202512</t>
        </is>
      </c>
      <c r="B337" t="inlineStr">
        <is>
          <t>Comparación</t>
        </is>
      </c>
      <c r="C337" t="inlineStr">
        <is>
          <t>Ex_Integra</t>
        </is>
      </c>
      <c r="D337" t="inlineStr">
        <is>
          <t>Nomura - US High Yield Bond Fund</t>
        </is>
      </c>
      <c r="E337" t="inlineStr">
        <is>
          <t>Inv MM$</t>
        </is>
      </c>
      <c r="F337" t="n">
        <v>0.001221</v>
      </c>
    </row>
    <row r="338">
      <c r="A338" t="inlineStr">
        <is>
          <t>202512</t>
        </is>
      </c>
      <c r="B338" t="inlineStr">
        <is>
          <t>Comparación</t>
        </is>
      </c>
      <c r="C338" t="inlineStr">
        <is>
          <t>Ex_Integra</t>
        </is>
      </c>
      <c r="D338" t="inlineStr">
        <is>
          <t>Northern Trust - EM Hard Currency</t>
        </is>
      </c>
      <c r="E338" t="inlineStr">
        <is>
          <t>Huella</t>
        </is>
      </c>
      <c r="F338" t="n">
        <v>655.853218</v>
      </c>
    </row>
    <row r="339">
      <c r="A339" t="inlineStr">
        <is>
          <t>202512</t>
        </is>
      </c>
      <c r="B339" t="inlineStr">
        <is>
          <t>Comparación</t>
        </is>
      </c>
      <c r="C339" t="inlineStr">
        <is>
          <t>Ex_Integra</t>
        </is>
      </c>
      <c r="D339" t="inlineStr">
        <is>
          <t>Northern Trust - EM Hard Currency</t>
        </is>
      </c>
      <c r="E339" t="inlineStr">
        <is>
          <t>Intensidad</t>
        </is>
      </c>
      <c r="F339" t="n">
        <v>0.177232</v>
      </c>
    </row>
    <row r="340">
      <c r="A340" t="inlineStr">
        <is>
          <t>202512</t>
        </is>
      </c>
      <c r="B340" t="inlineStr">
        <is>
          <t>Comparación</t>
        </is>
      </c>
      <c r="C340" t="inlineStr">
        <is>
          <t>Ex_Integra</t>
        </is>
      </c>
      <c r="D340" t="inlineStr">
        <is>
          <t>Northern Trust - EM Hard Currency</t>
        </is>
      </c>
      <c r="E340" t="inlineStr">
        <is>
          <t>Inv MM$</t>
        </is>
      </c>
      <c r="F340" t="n">
        <v>2.056852</v>
      </c>
    </row>
    <row r="341">
      <c r="A341" t="inlineStr">
        <is>
          <t>202512</t>
        </is>
      </c>
      <c r="B341" t="inlineStr">
        <is>
          <t>Comparación</t>
        </is>
      </c>
      <c r="C341" t="inlineStr">
        <is>
          <t>Ex_Integra</t>
        </is>
      </c>
      <c r="D341" t="inlineStr">
        <is>
          <t>PIMCO - Asia High Yield Bond Fund</t>
        </is>
      </c>
      <c r="E341" t="inlineStr">
        <is>
          <t>Huella</t>
        </is>
      </c>
      <c r="F341" t="n">
        <v>17.634216</v>
      </c>
    </row>
    <row r="342">
      <c r="A342" t="inlineStr">
        <is>
          <t>202512</t>
        </is>
      </c>
      <c r="B342" t="inlineStr">
        <is>
          <t>Comparación</t>
        </is>
      </c>
      <c r="C342" t="inlineStr">
        <is>
          <t>Ex_Integra</t>
        </is>
      </c>
      <c r="D342" t="inlineStr">
        <is>
          <t>PIMCO - Asia High Yield Bond Fund</t>
        </is>
      </c>
      <c r="E342" t="inlineStr">
        <is>
          <t>Intensidad</t>
        </is>
      </c>
      <c r="F342" t="n">
        <v>0.004103</v>
      </c>
    </row>
    <row r="343">
      <c r="A343" t="inlineStr">
        <is>
          <t>202512</t>
        </is>
      </c>
      <c r="B343" t="inlineStr">
        <is>
          <t>Comparación</t>
        </is>
      </c>
      <c r="C343" t="inlineStr">
        <is>
          <t>Ex_Integra</t>
        </is>
      </c>
      <c r="D343" t="inlineStr">
        <is>
          <t>PIMCO - Asia High Yield Bond Fund</t>
        </is>
      </c>
      <c r="E343" t="inlineStr">
        <is>
          <t>Inv MM$</t>
        </is>
      </c>
      <c r="F343" t="n">
        <v>0.042425</v>
      </c>
    </row>
    <row r="344">
      <c r="A344" t="inlineStr">
        <is>
          <t>202512</t>
        </is>
      </c>
      <c r="B344" t="inlineStr">
        <is>
          <t>Comparación</t>
        </is>
      </c>
      <c r="C344" t="inlineStr">
        <is>
          <t>Ex_Integra</t>
        </is>
      </c>
      <c r="D344" t="inlineStr">
        <is>
          <t>Parvest - USA Small Cap</t>
        </is>
      </c>
      <c r="E344" t="inlineStr">
        <is>
          <t>Huella</t>
        </is>
      </c>
      <c r="F344" t="n">
        <v>4.234641</v>
      </c>
    </row>
    <row r="345">
      <c r="A345" t="inlineStr">
        <is>
          <t>202512</t>
        </is>
      </c>
      <c r="B345" t="inlineStr">
        <is>
          <t>Comparación</t>
        </is>
      </c>
      <c r="C345" t="inlineStr">
        <is>
          <t>Ex_Integra</t>
        </is>
      </c>
      <c r="D345" t="inlineStr">
        <is>
          <t>Parvest - USA Small Cap</t>
        </is>
      </c>
      <c r="E345" t="inlineStr">
        <is>
          <t>Intensidad</t>
        </is>
      </c>
      <c r="F345" t="n">
        <v>0.001166</v>
      </c>
    </row>
    <row r="346">
      <c r="A346" t="inlineStr">
        <is>
          <t>202512</t>
        </is>
      </c>
      <c r="B346" t="inlineStr">
        <is>
          <t>Comparación</t>
        </is>
      </c>
      <c r="C346" t="inlineStr">
        <is>
          <t>Ex_Integra</t>
        </is>
      </c>
      <c r="D346" t="inlineStr">
        <is>
          <t>Parvest - USA Small Cap</t>
        </is>
      </c>
      <c r="E346" t="inlineStr">
        <is>
          <t>Inv MM$</t>
        </is>
      </c>
      <c r="F346" t="n">
        <v>0.135097</v>
      </c>
    </row>
    <row r="347">
      <c r="A347" t="inlineStr">
        <is>
          <t>202512</t>
        </is>
      </c>
      <c r="B347" t="inlineStr">
        <is>
          <t>Comparación</t>
        </is>
      </c>
      <c r="C347" t="inlineStr">
        <is>
          <t>Ex_Integra</t>
        </is>
      </c>
      <c r="D347" t="inlineStr">
        <is>
          <t>Perú LNG</t>
        </is>
      </c>
      <c r="E347" t="inlineStr">
        <is>
          <t>Huella</t>
        </is>
      </c>
      <c r="F347" t="n">
        <v>0</v>
      </c>
    </row>
    <row r="348">
      <c r="A348" t="inlineStr">
        <is>
          <t>202512</t>
        </is>
      </c>
      <c r="B348" t="inlineStr">
        <is>
          <t>Comparación</t>
        </is>
      </c>
      <c r="C348" t="inlineStr">
        <is>
          <t>Ex_Integra</t>
        </is>
      </c>
      <c r="D348" t="inlineStr">
        <is>
          <t>Perú LNG</t>
        </is>
      </c>
      <c r="E348" t="inlineStr">
        <is>
          <t>Intensidad</t>
        </is>
      </c>
      <c r="F348" t="n">
        <v>0</v>
      </c>
    </row>
    <row r="349">
      <c r="A349" t="inlineStr">
        <is>
          <t>202512</t>
        </is>
      </c>
      <c r="B349" t="inlineStr">
        <is>
          <t>Comparación</t>
        </is>
      </c>
      <c r="C349" t="inlineStr">
        <is>
          <t>Ex_Integra</t>
        </is>
      </c>
      <c r="D349" t="inlineStr">
        <is>
          <t>Perú LNG</t>
        </is>
      </c>
      <c r="E349" t="inlineStr">
        <is>
          <t>Inv MM$</t>
        </is>
      </c>
      <c r="F349" t="n">
        <v>0</v>
      </c>
    </row>
    <row r="350">
      <c r="A350" t="inlineStr">
        <is>
          <t>202512</t>
        </is>
      </c>
      <c r="B350" t="inlineStr">
        <is>
          <t>Comparación</t>
        </is>
      </c>
      <c r="C350" t="inlineStr">
        <is>
          <t>Ex_Integra</t>
        </is>
      </c>
      <c r="D350" t="inlineStr">
        <is>
          <t>Pictet - Digital</t>
        </is>
      </c>
      <c r="E350" t="inlineStr">
        <is>
          <t>Huella</t>
        </is>
      </c>
      <c r="F350" t="n">
        <v>99.438123</v>
      </c>
    </row>
    <row r="351">
      <c r="A351" t="inlineStr">
        <is>
          <t>202512</t>
        </is>
      </c>
      <c r="B351" t="inlineStr">
        <is>
          <t>Comparación</t>
        </is>
      </c>
      <c r="C351" t="inlineStr">
        <is>
          <t>Ex_Integra</t>
        </is>
      </c>
      <c r="D351" t="inlineStr">
        <is>
          <t>Pictet - Digital</t>
        </is>
      </c>
      <c r="E351" t="inlineStr">
        <is>
          <t>Intensidad</t>
        </is>
      </c>
      <c r="F351" t="n">
        <v>0.014829</v>
      </c>
    </row>
    <row r="352">
      <c r="A352" t="inlineStr">
        <is>
          <t>202512</t>
        </is>
      </c>
      <c r="B352" t="inlineStr">
        <is>
          <t>Comparación</t>
        </is>
      </c>
      <c r="C352" t="inlineStr">
        <is>
          <t>Ex_Integra</t>
        </is>
      </c>
      <c r="D352" t="inlineStr">
        <is>
          <t>Pictet - Digital</t>
        </is>
      </c>
      <c r="E352" t="inlineStr">
        <is>
          <t>Inv MM$</t>
        </is>
      </c>
      <c r="F352" t="n">
        <v>27.096568</v>
      </c>
    </row>
    <row r="353">
      <c r="A353" t="inlineStr">
        <is>
          <t>202512</t>
        </is>
      </c>
      <c r="B353" t="inlineStr">
        <is>
          <t>Comparación</t>
        </is>
      </c>
      <c r="C353" t="inlineStr">
        <is>
          <t>Ex_Integra</t>
        </is>
      </c>
      <c r="D353" t="inlineStr">
        <is>
          <t>Pictet - Global Emerging Debt</t>
        </is>
      </c>
      <c r="E353" t="inlineStr">
        <is>
          <t>Huella</t>
        </is>
      </c>
      <c r="F353" t="n">
        <v>1.87494</v>
      </c>
    </row>
    <row r="354">
      <c r="A354" t="inlineStr">
        <is>
          <t>202512</t>
        </is>
      </c>
      <c r="B354" t="inlineStr">
        <is>
          <t>Comparación</t>
        </is>
      </c>
      <c r="C354" t="inlineStr">
        <is>
          <t>Ex_Integra</t>
        </is>
      </c>
      <c r="D354" t="inlineStr">
        <is>
          <t>Pictet - Global Emerging Debt</t>
        </is>
      </c>
      <c r="E354" t="inlineStr">
        <is>
          <t>Intensidad</t>
        </is>
      </c>
      <c r="F354" t="n">
        <v>0.000507</v>
      </c>
    </row>
    <row r="355">
      <c r="A355" t="inlineStr">
        <is>
          <t>202512</t>
        </is>
      </c>
      <c r="B355" t="inlineStr">
        <is>
          <t>Comparación</t>
        </is>
      </c>
      <c r="C355" t="inlineStr">
        <is>
          <t>Ex_Integra</t>
        </is>
      </c>
      <c r="D355" t="inlineStr">
        <is>
          <t>Pictet - Global Emerging Debt</t>
        </is>
      </c>
      <c r="E355" t="inlineStr">
        <is>
          <t>Inv MM$</t>
        </is>
      </c>
      <c r="F355" t="n">
        <v>0.014426</v>
      </c>
    </row>
    <row r="356">
      <c r="A356" t="inlineStr">
        <is>
          <t>202512</t>
        </is>
      </c>
      <c r="B356" t="inlineStr">
        <is>
          <t>Comparación</t>
        </is>
      </c>
      <c r="C356" t="inlineStr">
        <is>
          <t>Ex_Integra</t>
        </is>
      </c>
      <c r="D356" t="inlineStr">
        <is>
          <t>Pictet Robotics</t>
        </is>
      </c>
      <c r="E356" t="inlineStr">
        <is>
          <t>Huella</t>
        </is>
      </c>
      <c r="F356" t="n">
        <v>0.003882</v>
      </c>
    </row>
    <row r="357">
      <c r="A357" t="inlineStr">
        <is>
          <t>202512</t>
        </is>
      </c>
      <c r="B357" t="inlineStr">
        <is>
          <t>Comparación</t>
        </is>
      </c>
      <c r="C357" t="inlineStr">
        <is>
          <t>Ex_Integra</t>
        </is>
      </c>
      <c r="D357" t="inlineStr">
        <is>
          <t>Pictet Robotics</t>
        </is>
      </c>
      <c r="E357" t="inlineStr">
        <is>
          <t>Intensidad</t>
        </is>
      </c>
      <c r="F357" t="n">
        <v>1e-06</v>
      </c>
    </row>
    <row r="358">
      <c r="A358" t="inlineStr">
        <is>
          <t>202512</t>
        </is>
      </c>
      <c r="B358" t="inlineStr">
        <is>
          <t>Comparación</t>
        </is>
      </c>
      <c r="C358" t="inlineStr">
        <is>
          <t>Ex_Integra</t>
        </is>
      </c>
      <c r="D358" t="inlineStr">
        <is>
          <t>Pictet Robotics</t>
        </is>
      </c>
      <c r="E358" t="inlineStr">
        <is>
          <t>Inv MM$</t>
        </is>
      </c>
      <c r="F358" t="n">
        <v>0.000843</v>
      </c>
    </row>
    <row r="359">
      <c r="A359" t="inlineStr">
        <is>
          <t>202512</t>
        </is>
      </c>
      <c r="B359" t="inlineStr">
        <is>
          <t>Comparación</t>
        </is>
      </c>
      <c r="C359" t="inlineStr">
        <is>
          <t>Ex_Integra</t>
        </is>
      </c>
      <c r="D359" t="inlineStr">
        <is>
          <t>Pimco - Emerging Markets Bond Fund</t>
        </is>
      </c>
      <c r="E359" t="inlineStr">
        <is>
          <t>Huella</t>
        </is>
      </c>
      <c r="F359" t="n">
        <v>11349.366597</v>
      </c>
    </row>
    <row r="360">
      <c r="A360" t="inlineStr">
        <is>
          <t>202512</t>
        </is>
      </c>
      <c r="B360" t="inlineStr">
        <is>
          <t>Comparación</t>
        </is>
      </c>
      <c r="C360" t="inlineStr">
        <is>
          <t>Ex_Integra</t>
        </is>
      </c>
      <c r="D360" t="inlineStr">
        <is>
          <t>Pimco - Emerging Markets Bond Fund</t>
        </is>
      </c>
      <c r="E360" t="inlineStr">
        <is>
          <t>Intensidad</t>
        </is>
      </c>
      <c r="F360" t="n">
        <v>3.066946</v>
      </c>
    </row>
    <row r="361">
      <c r="A361" t="inlineStr">
        <is>
          <t>202512</t>
        </is>
      </c>
      <c r="B361" t="inlineStr">
        <is>
          <t>Comparación</t>
        </is>
      </c>
      <c r="C361" t="inlineStr">
        <is>
          <t>Ex_Integra</t>
        </is>
      </c>
      <c r="D361" t="inlineStr">
        <is>
          <t>Pimco - Emerging Markets Bond Fund</t>
        </is>
      </c>
      <c r="E361" t="inlineStr">
        <is>
          <t>Inv MM$</t>
        </is>
      </c>
      <c r="F361" t="n">
        <v>21.173641</v>
      </c>
    </row>
    <row r="362">
      <c r="A362" t="inlineStr">
        <is>
          <t>202512</t>
        </is>
      </c>
      <c r="B362" t="inlineStr">
        <is>
          <t>Comparación</t>
        </is>
      </c>
      <c r="C362" t="inlineStr">
        <is>
          <t>Ex_Integra</t>
        </is>
      </c>
      <c r="D362" t="inlineStr">
        <is>
          <t>Pimco - Emerging Markets Local Bond Fund</t>
        </is>
      </c>
      <c r="E362" t="inlineStr">
        <is>
          <t>Huella</t>
        </is>
      </c>
      <c r="F362" t="n">
        <v>29239.124486</v>
      </c>
    </row>
    <row r="363">
      <c r="A363" t="inlineStr">
        <is>
          <t>202512</t>
        </is>
      </c>
      <c r="B363" t="inlineStr">
        <is>
          <t>Comparación</t>
        </is>
      </c>
      <c r="C363" t="inlineStr">
        <is>
          <t>Ex_Integra</t>
        </is>
      </c>
      <c r="D363" t="inlineStr">
        <is>
          <t>Pimco - Emerging Markets Local Bond Fund</t>
        </is>
      </c>
      <c r="E363" t="inlineStr">
        <is>
          <t>Intensidad</t>
        </is>
      </c>
      <c r="F363" t="n">
        <v>5.999918</v>
      </c>
    </row>
    <row r="364">
      <c r="A364" t="inlineStr">
        <is>
          <t>202512</t>
        </is>
      </c>
      <c r="B364" t="inlineStr">
        <is>
          <t>Comparación</t>
        </is>
      </c>
      <c r="C364" t="inlineStr">
        <is>
          <t>Ex_Integra</t>
        </is>
      </c>
      <c r="D364" t="inlineStr">
        <is>
          <t>Pimco - Emerging Markets Local Bond Fund</t>
        </is>
      </c>
      <c r="E364" t="inlineStr">
        <is>
          <t>Inv MM$</t>
        </is>
      </c>
      <c r="F364" t="n">
        <v>172.293158</v>
      </c>
    </row>
    <row r="365">
      <c r="A365" t="inlineStr">
        <is>
          <t>202512</t>
        </is>
      </c>
      <c r="B365" t="inlineStr">
        <is>
          <t>Comparación</t>
        </is>
      </c>
      <c r="C365" t="inlineStr">
        <is>
          <t>Ex_Integra</t>
        </is>
      </c>
      <c r="D365" t="inlineStr">
        <is>
          <t>Pimco - GIS Income Fund</t>
        </is>
      </c>
      <c r="E365" t="inlineStr">
        <is>
          <t>Huella</t>
        </is>
      </c>
      <c r="F365" t="n">
        <v>215.917222</v>
      </c>
    </row>
    <row r="366">
      <c r="A366" t="inlineStr">
        <is>
          <t>202512</t>
        </is>
      </c>
      <c r="B366" t="inlineStr">
        <is>
          <t>Comparación</t>
        </is>
      </c>
      <c r="C366" t="inlineStr">
        <is>
          <t>Ex_Integra</t>
        </is>
      </c>
      <c r="D366" t="inlineStr">
        <is>
          <t>Pimco - GIS Income Fund</t>
        </is>
      </c>
      <c r="E366" t="inlineStr">
        <is>
          <t>Intensidad</t>
        </is>
      </c>
      <c r="F366" t="n">
        <v>0.058347</v>
      </c>
    </row>
    <row r="367">
      <c r="A367" t="inlineStr">
        <is>
          <t>202512</t>
        </is>
      </c>
      <c r="B367" t="inlineStr">
        <is>
          <t>Comparación</t>
        </is>
      </c>
      <c r="C367" t="inlineStr">
        <is>
          <t>Ex_Integra</t>
        </is>
      </c>
      <c r="D367" t="inlineStr">
        <is>
          <t>Pimco - GIS Income Fund</t>
        </is>
      </c>
      <c r="E367" t="inlineStr">
        <is>
          <t>Inv MM$</t>
        </is>
      </c>
      <c r="F367" t="n">
        <v>4.672961</v>
      </c>
    </row>
    <row r="368">
      <c r="A368" t="inlineStr">
        <is>
          <t>202512</t>
        </is>
      </c>
      <c r="B368" t="inlineStr">
        <is>
          <t>Comparación</t>
        </is>
      </c>
      <c r="C368" t="inlineStr">
        <is>
          <t>Ex_Integra</t>
        </is>
      </c>
      <c r="D368" t="inlineStr">
        <is>
          <t>Pimco - Global High Yield Bond Fund</t>
        </is>
      </c>
      <c r="E368" t="inlineStr">
        <is>
          <t>Huella</t>
        </is>
      </c>
      <c r="F368" t="n">
        <v>4.873877</v>
      </c>
    </row>
    <row r="369">
      <c r="A369" t="inlineStr">
        <is>
          <t>202512</t>
        </is>
      </c>
      <c r="B369" t="inlineStr">
        <is>
          <t>Comparación</t>
        </is>
      </c>
      <c r="C369" t="inlineStr">
        <is>
          <t>Ex_Integra</t>
        </is>
      </c>
      <c r="D369" t="inlineStr">
        <is>
          <t>Pimco - Global High Yield Bond Fund</t>
        </is>
      </c>
      <c r="E369" t="inlineStr">
        <is>
          <t>Intensidad</t>
        </is>
      </c>
      <c r="F369" t="n">
        <v>0.001317</v>
      </c>
    </row>
    <row r="370">
      <c r="A370" t="inlineStr">
        <is>
          <t>202512</t>
        </is>
      </c>
      <c r="B370" t="inlineStr">
        <is>
          <t>Comparación</t>
        </is>
      </c>
      <c r="C370" t="inlineStr">
        <is>
          <t>Ex_Integra</t>
        </is>
      </c>
      <c r="D370" t="inlineStr">
        <is>
          <t>Pimco - Global High Yield Bond Fund</t>
        </is>
      </c>
      <c r="E370" t="inlineStr">
        <is>
          <t>Inv MM$</t>
        </is>
      </c>
      <c r="F370" t="n">
        <v>0.043493</v>
      </c>
    </row>
    <row r="371">
      <c r="A371" t="inlineStr">
        <is>
          <t>202512</t>
        </is>
      </c>
      <c r="B371" t="inlineStr">
        <is>
          <t>Comparación</t>
        </is>
      </c>
      <c r="C371" t="inlineStr">
        <is>
          <t>Ex_Integra</t>
        </is>
      </c>
      <c r="D371" t="inlineStr">
        <is>
          <t>Pimco - Mortgage Opportunities Fund</t>
        </is>
      </c>
      <c r="E371" t="inlineStr">
        <is>
          <t>Huella</t>
        </is>
      </c>
      <c r="F371" t="n">
        <v>2e-06</v>
      </c>
    </row>
    <row r="372">
      <c r="A372" t="inlineStr">
        <is>
          <t>202512</t>
        </is>
      </c>
      <c r="B372" t="inlineStr">
        <is>
          <t>Comparación</t>
        </is>
      </c>
      <c r="C372" t="inlineStr">
        <is>
          <t>Ex_Integra</t>
        </is>
      </c>
      <c r="D372" t="inlineStr">
        <is>
          <t>Pimco - Mortgage Opportunities Fund</t>
        </is>
      </c>
      <c r="E372" t="inlineStr">
        <is>
          <t>Intensidad</t>
        </is>
      </c>
      <c r="F372" t="n">
        <v>0</v>
      </c>
    </row>
    <row r="373">
      <c r="A373" t="inlineStr">
        <is>
          <t>202512</t>
        </is>
      </c>
      <c r="B373" t="inlineStr">
        <is>
          <t>Comparación</t>
        </is>
      </c>
      <c r="C373" t="inlineStr">
        <is>
          <t>Ex_Integra</t>
        </is>
      </c>
      <c r="D373" t="inlineStr">
        <is>
          <t>Pimco - Mortgage Opportunities Fund</t>
        </is>
      </c>
      <c r="E373" t="inlineStr">
        <is>
          <t>Inv MM$</t>
        </is>
      </c>
      <c r="F373" t="n">
        <v>1.5e-05</v>
      </c>
    </row>
    <row r="374">
      <c r="A374" t="inlineStr">
        <is>
          <t>202512</t>
        </is>
      </c>
      <c r="B374" t="inlineStr">
        <is>
          <t>Comparación</t>
        </is>
      </c>
      <c r="C374" t="inlineStr">
        <is>
          <t>Ex_Integra</t>
        </is>
      </c>
      <c r="D374" t="inlineStr">
        <is>
          <t>Pinebridge - Asia Ex-Japan Small Caps</t>
        </is>
      </c>
      <c r="E374" t="inlineStr">
        <is>
          <t>Huella</t>
        </is>
      </c>
      <c r="F374" t="n">
        <v>2.324392</v>
      </c>
    </row>
    <row r="375">
      <c r="A375" t="inlineStr">
        <is>
          <t>202512</t>
        </is>
      </c>
      <c r="B375" t="inlineStr">
        <is>
          <t>Comparación</t>
        </is>
      </c>
      <c r="C375" t="inlineStr">
        <is>
          <t>Ex_Integra</t>
        </is>
      </c>
      <c r="D375" t="inlineStr">
        <is>
          <t>Pinebridge - Asia Ex-Japan Small Caps</t>
        </is>
      </c>
      <c r="E375" t="inlineStr">
        <is>
          <t>Intensidad</t>
        </is>
      </c>
      <c r="F375" t="n">
        <v>0.0004929999999999999</v>
      </c>
    </row>
    <row r="376">
      <c r="A376" t="inlineStr">
        <is>
          <t>202512</t>
        </is>
      </c>
      <c r="B376" t="inlineStr">
        <is>
          <t>Comparación</t>
        </is>
      </c>
      <c r="C376" t="inlineStr">
        <is>
          <t>Ex_Integra</t>
        </is>
      </c>
      <c r="D376" t="inlineStr">
        <is>
          <t>Pinebridge - Asia Ex-Japan Small Caps</t>
        </is>
      </c>
      <c r="E376" t="inlineStr">
        <is>
          <t>Inv MM$</t>
        </is>
      </c>
      <c r="F376" t="n">
        <v>0.030049</v>
      </c>
    </row>
    <row r="377">
      <c r="A377" t="inlineStr">
        <is>
          <t>202512</t>
        </is>
      </c>
      <c r="B377" t="inlineStr">
        <is>
          <t>Comparación</t>
        </is>
      </c>
      <c r="C377" t="inlineStr">
        <is>
          <t>Ex_Integra</t>
        </is>
      </c>
      <c r="D377" t="inlineStr">
        <is>
          <t>Rams UT - India Equities Portfolio Fund II</t>
        </is>
      </c>
      <c r="E377" t="inlineStr">
        <is>
          <t>Huella</t>
        </is>
      </c>
      <c r="F377" t="n">
        <v>3272.691043</v>
      </c>
    </row>
    <row r="378">
      <c r="A378" t="inlineStr">
        <is>
          <t>202512</t>
        </is>
      </c>
      <c r="B378" t="inlineStr">
        <is>
          <t>Comparación</t>
        </is>
      </c>
      <c r="C378" t="inlineStr">
        <is>
          <t>Ex_Integra</t>
        </is>
      </c>
      <c r="D378" t="inlineStr">
        <is>
          <t>Rams UT - India Equities Portfolio Fund II</t>
        </is>
      </c>
      <c r="E378" t="inlineStr">
        <is>
          <t>Intensidad</t>
        </is>
      </c>
      <c r="F378" t="n">
        <v>0.455797</v>
      </c>
    </row>
    <row r="379">
      <c r="A379" t="inlineStr">
        <is>
          <t>202512</t>
        </is>
      </c>
      <c r="B379" t="inlineStr">
        <is>
          <t>Comparación</t>
        </is>
      </c>
      <c r="C379" t="inlineStr">
        <is>
          <t>Ex_Integra</t>
        </is>
      </c>
      <c r="D379" t="inlineStr">
        <is>
          <t>Rams UT - India Equities Portfolio Fund II</t>
        </is>
      </c>
      <c r="E379" t="inlineStr">
        <is>
          <t>Inv MM$</t>
        </is>
      </c>
      <c r="F379" t="n">
        <v>20.19548</v>
      </c>
    </row>
    <row r="380">
      <c r="A380" t="inlineStr">
        <is>
          <t>202512</t>
        </is>
      </c>
      <c r="B380" t="inlineStr">
        <is>
          <t>Comparación</t>
        </is>
      </c>
      <c r="C380" t="inlineStr">
        <is>
          <t>Ex_Integra</t>
        </is>
      </c>
      <c r="D380" t="inlineStr">
        <is>
          <t>Red de Energía del Perú</t>
        </is>
      </c>
      <c r="E380" t="inlineStr">
        <is>
          <t>Huella</t>
        </is>
      </c>
      <c r="F380" t="n">
        <v>4.998894</v>
      </c>
    </row>
    <row r="381">
      <c r="A381" t="inlineStr">
        <is>
          <t>202512</t>
        </is>
      </c>
      <c r="B381" t="inlineStr">
        <is>
          <t>Comparación</t>
        </is>
      </c>
      <c r="C381" t="inlineStr">
        <is>
          <t>Ex_Integra</t>
        </is>
      </c>
      <c r="D381" t="inlineStr">
        <is>
          <t>Red de Energía del Perú</t>
        </is>
      </c>
      <c r="E381" t="inlineStr">
        <is>
          <t>Intensidad</t>
        </is>
      </c>
      <c r="F381" t="n">
        <v>0.000758</v>
      </c>
    </row>
    <row r="382">
      <c r="A382" t="inlineStr">
        <is>
          <t>202512</t>
        </is>
      </c>
      <c r="B382" t="inlineStr">
        <is>
          <t>Comparación</t>
        </is>
      </c>
      <c r="C382" t="inlineStr">
        <is>
          <t>Ex_Integra</t>
        </is>
      </c>
      <c r="D382" t="inlineStr">
        <is>
          <t>Red de Energía del Perú</t>
        </is>
      </c>
      <c r="E382" t="inlineStr">
        <is>
          <t>Inv MM$</t>
        </is>
      </c>
      <c r="F382" t="n">
        <v>0.145022</v>
      </c>
    </row>
    <row r="383">
      <c r="A383" t="inlineStr">
        <is>
          <t>202512</t>
        </is>
      </c>
      <c r="B383" t="inlineStr">
        <is>
          <t>Comparación</t>
        </is>
      </c>
      <c r="C383" t="inlineStr">
        <is>
          <t>Ex_Integra</t>
        </is>
      </c>
      <c r="D383" t="inlineStr">
        <is>
          <t>Robeco - Capital Growth Funds High Yield Bonds</t>
        </is>
      </c>
      <c r="E383" t="inlineStr">
        <is>
          <t>Huella</t>
        </is>
      </c>
      <c r="F383" t="n">
        <v>1920.594584</v>
      </c>
    </row>
    <row r="384">
      <c r="A384" t="inlineStr">
        <is>
          <t>202512</t>
        </is>
      </c>
      <c r="B384" t="inlineStr">
        <is>
          <t>Comparación</t>
        </is>
      </c>
      <c r="C384" t="inlineStr">
        <is>
          <t>Ex_Integra</t>
        </is>
      </c>
      <c r="D384" t="inlineStr">
        <is>
          <t>Robeco - Capital Growth Funds High Yield Bonds</t>
        </is>
      </c>
      <c r="E384" t="inlineStr">
        <is>
          <t>Intensidad</t>
        </is>
      </c>
      <c r="F384" t="n">
        <v>0.180717</v>
      </c>
    </row>
    <row r="385">
      <c r="A385" t="inlineStr">
        <is>
          <t>202512</t>
        </is>
      </c>
      <c r="B385" t="inlineStr">
        <is>
          <t>Comparación</t>
        </is>
      </c>
      <c r="C385" t="inlineStr">
        <is>
          <t>Ex_Integra</t>
        </is>
      </c>
      <c r="D385" t="inlineStr">
        <is>
          <t>Robeco - Capital Growth Funds High Yield Bonds</t>
        </is>
      </c>
      <c r="E385" t="inlineStr">
        <is>
          <t>Inv MM$</t>
        </is>
      </c>
      <c r="F385" t="n">
        <v>17.255165</v>
      </c>
    </row>
    <row r="386">
      <c r="A386" t="inlineStr">
        <is>
          <t>202512</t>
        </is>
      </c>
      <c r="B386" t="inlineStr">
        <is>
          <t>Comparación</t>
        </is>
      </c>
      <c r="C386" t="inlineStr">
        <is>
          <t>Ex_Integra</t>
        </is>
      </c>
      <c r="D386" t="inlineStr">
        <is>
          <t>Robeco - Chinese A-Share</t>
        </is>
      </c>
      <c r="E386" t="inlineStr">
        <is>
          <t>Huella</t>
        </is>
      </c>
      <c r="F386" t="n">
        <v>3279.816987</v>
      </c>
    </row>
    <row r="387">
      <c r="A387" t="inlineStr">
        <is>
          <t>202512</t>
        </is>
      </c>
      <c r="B387" t="inlineStr">
        <is>
          <t>Comparación</t>
        </is>
      </c>
      <c r="C387" t="inlineStr">
        <is>
          <t>Ex_Integra</t>
        </is>
      </c>
      <c r="D387" t="inlineStr">
        <is>
          <t>Robeco - Chinese A-Share</t>
        </is>
      </c>
      <c r="E387" t="inlineStr">
        <is>
          <t>Intensidad</t>
        </is>
      </c>
      <c r="F387" t="n">
        <v>0.475688</v>
      </c>
    </row>
    <row r="388">
      <c r="A388" t="inlineStr">
        <is>
          <t>202512</t>
        </is>
      </c>
      <c r="B388" t="inlineStr">
        <is>
          <t>Comparación</t>
        </is>
      </c>
      <c r="C388" t="inlineStr">
        <is>
          <t>Ex_Integra</t>
        </is>
      </c>
      <c r="D388" t="inlineStr">
        <is>
          <t>Robeco - Chinese A-Share</t>
        </is>
      </c>
      <c r="E388" t="inlineStr">
        <is>
          <t>Inv MM$</t>
        </is>
      </c>
      <c r="F388" t="n">
        <v>31.106143</v>
      </c>
    </row>
    <row r="389">
      <c r="A389" t="inlineStr">
        <is>
          <t>202512</t>
        </is>
      </c>
      <c r="B389" t="inlineStr">
        <is>
          <t>Comparación</t>
        </is>
      </c>
      <c r="C389" t="inlineStr">
        <is>
          <t>Ex_Integra</t>
        </is>
      </c>
      <c r="D389" t="inlineStr">
        <is>
          <t>Robeco - Chinese Equities</t>
        </is>
      </c>
      <c r="E389" t="inlineStr">
        <is>
          <t>Huella</t>
        </is>
      </c>
      <c r="F389" t="n">
        <v>28.215545</v>
      </c>
    </row>
    <row r="390">
      <c r="A390" t="inlineStr">
        <is>
          <t>202512</t>
        </is>
      </c>
      <c r="B390" t="inlineStr">
        <is>
          <t>Comparación</t>
        </is>
      </c>
      <c r="C390" t="inlineStr">
        <is>
          <t>Ex_Integra</t>
        </is>
      </c>
      <c r="D390" t="inlineStr">
        <is>
          <t>Robeco - Chinese Equities</t>
        </is>
      </c>
      <c r="E390" t="inlineStr">
        <is>
          <t>Intensidad</t>
        </is>
      </c>
      <c r="F390" t="n">
        <v>0.007906</v>
      </c>
    </row>
    <row r="391">
      <c r="A391" t="inlineStr">
        <is>
          <t>202512</t>
        </is>
      </c>
      <c r="B391" t="inlineStr">
        <is>
          <t>Comparación</t>
        </is>
      </c>
      <c r="C391" t="inlineStr">
        <is>
          <t>Ex_Integra</t>
        </is>
      </c>
      <c r="D391" t="inlineStr">
        <is>
          <t>Robeco - Chinese Equities</t>
        </is>
      </c>
      <c r="E391" t="inlineStr">
        <is>
          <t>Inv MM$</t>
        </is>
      </c>
      <c r="F391" t="n">
        <v>0.391944</v>
      </c>
    </row>
    <row r="392">
      <c r="A392" t="inlineStr">
        <is>
          <t>202512</t>
        </is>
      </c>
      <c r="B392" t="inlineStr">
        <is>
          <t>Comparación</t>
        </is>
      </c>
      <c r="C392" t="inlineStr">
        <is>
          <t>Ex_Integra</t>
        </is>
      </c>
      <c r="D392" t="inlineStr">
        <is>
          <t>Robeco - Consumer Trends</t>
        </is>
      </c>
      <c r="E392" t="inlineStr">
        <is>
          <t>Huella</t>
        </is>
      </c>
      <c r="F392" t="n">
        <v>0.279168</v>
      </c>
    </row>
    <row r="393">
      <c r="A393" t="inlineStr">
        <is>
          <t>202512</t>
        </is>
      </c>
      <c r="B393" t="inlineStr">
        <is>
          <t>Comparación</t>
        </is>
      </c>
      <c r="C393" t="inlineStr">
        <is>
          <t>Ex_Integra</t>
        </is>
      </c>
      <c r="D393" t="inlineStr">
        <is>
          <t>Robeco - Consumer Trends</t>
        </is>
      </c>
      <c r="E393" t="inlineStr">
        <is>
          <t>Intensidad</t>
        </is>
      </c>
      <c r="F393" t="n">
        <v>7.8e-05</v>
      </c>
    </row>
    <row r="394">
      <c r="A394" t="inlineStr">
        <is>
          <t>202512</t>
        </is>
      </c>
      <c r="B394" t="inlineStr">
        <is>
          <t>Comparación</t>
        </is>
      </c>
      <c r="C394" t="inlineStr">
        <is>
          <t>Ex_Integra</t>
        </is>
      </c>
      <c r="D394" t="inlineStr">
        <is>
          <t>Robeco - Consumer Trends</t>
        </is>
      </c>
      <c r="E394" t="inlineStr">
        <is>
          <t>Inv MM$</t>
        </is>
      </c>
      <c r="F394" t="n">
        <v>0.07270799999999999</v>
      </c>
    </row>
    <row r="395">
      <c r="A395" t="inlineStr">
        <is>
          <t>202512</t>
        </is>
      </c>
      <c r="B395" t="inlineStr">
        <is>
          <t>Comparación</t>
        </is>
      </c>
      <c r="C395" t="inlineStr">
        <is>
          <t>Ex_Integra</t>
        </is>
      </c>
      <c r="D395" t="inlineStr">
        <is>
          <t>Robeco - QI Emerging Markets Active Equities</t>
        </is>
      </c>
      <c r="E395" t="inlineStr">
        <is>
          <t>Huella</t>
        </is>
      </c>
      <c r="F395" t="n">
        <v>1811.323895</v>
      </c>
    </row>
    <row r="396">
      <c r="A396" t="inlineStr">
        <is>
          <t>202512</t>
        </is>
      </c>
      <c r="B396" t="inlineStr">
        <is>
          <t>Comparación</t>
        </is>
      </c>
      <c r="C396" t="inlineStr">
        <is>
          <t>Ex_Integra</t>
        </is>
      </c>
      <c r="D396" t="inlineStr">
        <is>
          <t>Robeco - QI Emerging Markets Active Equities</t>
        </is>
      </c>
      <c r="E396" t="inlineStr">
        <is>
          <t>Intensidad</t>
        </is>
      </c>
      <c r="F396" t="n">
        <v>0.258961</v>
      </c>
    </row>
    <row r="397">
      <c r="A397" t="inlineStr">
        <is>
          <t>202512</t>
        </is>
      </c>
      <c r="B397" t="inlineStr">
        <is>
          <t>Comparación</t>
        </is>
      </c>
      <c r="C397" t="inlineStr">
        <is>
          <t>Ex_Integra</t>
        </is>
      </c>
      <c r="D397" t="inlineStr">
        <is>
          <t>Robeco - QI Emerging Markets Active Equities</t>
        </is>
      </c>
      <c r="E397" t="inlineStr">
        <is>
          <t>Inv MM$</t>
        </is>
      </c>
      <c r="F397" t="n">
        <v>21.027178</v>
      </c>
    </row>
    <row r="398">
      <c r="A398" t="inlineStr">
        <is>
          <t>202512</t>
        </is>
      </c>
      <c r="B398" t="inlineStr">
        <is>
          <t>Comparación</t>
        </is>
      </c>
      <c r="C398" t="inlineStr">
        <is>
          <t>Ex_Integra</t>
        </is>
      </c>
      <c r="D398" t="inlineStr">
        <is>
          <t>Robeco Luxembourg - India Equity</t>
        </is>
      </c>
      <c r="E398" t="inlineStr">
        <is>
          <t>Huella</t>
        </is>
      </c>
      <c r="F398" t="n">
        <v>0.046065</v>
      </c>
    </row>
    <row r="399">
      <c r="A399" t="inlineStr">
        <is>
          <t>202512</t>
        </is>
      </c>
      <c r="B399" t="inlineStr">
        <is>
          <t>Comparación</t>
        </is>
      </c>
      <c r="C399" t="inlineStr">
        <is>
          <t>Ex_Integra</t>
        </is>
      </c>
      <c r="D399" t="inlineStr">
        <is>
          <t>Robeco Luxembourg - India Equity</t>
        </is>
      </c>
      <c r="E399" t="inlineStr">
        <is>
          <t>Intensidad</t>
        </is>
      </c>
      <c r="F399" t="n">
        <v>1.2e-05</v>
      </c>
    </row>
    <row r="400">
      <c r="A400" t="inlineStr">
        <is>
          <t>202512</t>
        </is>
      </c>
      <c r="B400" t="inlineStr">
        <is>
          <t>Comparación</t>
        </is>
      </c>
      <c r="C400" t="inlineStr">
        <is>
          <t>Ex_Integra</t>
        </is>
      </c>
      <c r="D400" t="inlineStr">
        <is>
          <t>Robeco Luxembourg - India Equity</t>
        </is>
      </c>
      <c r="E400" t="inlineStr">
        <is>
          <t>Inv MM$</t>
        </is>
      </c>
      <c r="F400" t="n">
        <v>0.000297</v>
      </c>
    </row>
    <row r="401">
      <c r="A401" t="inlineStr">
        <is>
          <t>202512</t>
        </is>
      </c>
      <c r="B401" t="inlineStr">
        <is>
          <t>Comparación</t>
        </is>
      </c>
      <c r="C401" t="inlineStr">
        <is>
          <t>Ex_Integra</t>
        </is>
      </c>
      <c r="D401" t="inlineStr">
        <is>
          <t>Rutas de Lima</t>
        </is>
      </c>
      <c r="E401" t="inlineStr">
        <is>
          <t>Huella</t>
        </is>
      </c>
      <c r="F401" t="n">
        <v>1358.823468</v>
      </c>
    </row>
    <row r="402">
      <c r="A402" t="inlineStr">
        <is>
          <t>202512</t>
        </is>
      </c>
      <c r="B402" t="inlineStr">
        <is>
          <t>Comparación</t>
        </is>
      </c>
      <c r="C402" t="inlineStr">
        <is>
          <t>Ex_Integra</t>
        </is>
      </c>
      <c r="D402" t="inlineStr">
        <is>
          <t>Rutas de Lima</t>
        </is>
      </c>
      <c r="E402" t="inlineStr">
        <is>
          <t>Intensidad</t>
        </is>
      </c>
      <c r="F402" t="n">
        <v>0.167652</v>
      </c>
    </row>
    <row r="403">
      <c r="A403" t="inlineStr">
        <is>
          <t>202512</t>
        </is>
      </c>
      <c r="B403" t="inlineStr">
        <is>
          <t>Comparación</t>
        </is>
      </c>
      <c r="C403" t="inlineStr">
        <is>
          <t>Ex_Integra</t>
        </is>
      </c>
      <c r="D403" t="inlineStr">
        <is>
          <t>Rutas de Lima</t>
        </is>
      </c>
      <c r="E403" t="inlineStr">
        <is>
          <t>Inv MM$</t>
        </is>
      </c>
      <c r="F403" t="n">
        <v>49.574005</v>
      </c>
    </row>
    <row r="404">
      <c r="A404" t="inlineStr">
        <is>
          <t>202512</t>
        </is>
      </c>
      <c r="B404" t="inlineStr">
        <is>
          <t>Comparación</t>
        </is>
      </c>
      <c r="C404" t="inlineStr">
        <is>
          <t>Ex_Integra</t>
        </is>
      </c>
      <c r="D404" t="inlineStr">
        <is>
          <t>SSGA Funds Management, Inc.</t>
        </is>
      </c>
      <c r="E404" t="inlineStr">
        <is>
          <t>Huella</t>
        </is>
      </c>
      <c r="F404" t="n">
        <v>4.658681</v>
      </c>
    </row>
    <row r="405">
      <c r="A405" t="inlineStr">
        <is>
          <t>202512</t>
        </is>
      </c>
      <c r="B405" t="inlineStr">
        <is>
          <t>Comparación</t>
        </is>
      </c>
      <c r="C405" t="inlineStr">
        <is>
          <t>Ex_Integra</t>
        </is>
      </c>
      <c r="D405" t="inlineStr">
        <is>
          <t>SSGA Funds Management, Inc.</t>
        </is>
      </c>
      <c r="E405" t="inlineStr">
        <is>
          <t>Intensidad</t>
        </is>
      </c>
      <c r="F405" t="n">
        <v>0.000753</v>
      </c>
    </row>
    <row r="406">
      <c r="A406" t="inlineStr">
        <is>
          <t>202512</t>
        </is>
      </c>
      <c r="B406" t="inlineStr">
        <is>
          <t>Comparación</t>
        </is>
      </c>
      <c r="C406" t="inlineStr">
        <is>
          <t>Ex_Integra</t>
        </is>
      </c>
      <c r="D406" t="inlineStr">
        <is>
          <t>SSGA Funds Management, Inc.</t>
        </is>
      </c>
      <c r="E406" t="inlineStr">
        <is>
          <t>Inv MM$</t>
        </is>
      </c>
      <c r="F406" t="n">
        <v>0.205052</v>
      </c>
    </row>
    <row r="407">
      <c r="A407" t="inlineStr">
        <is>
          <t>202512</t>
        </is>
      </c>
      <c r="B407" t="inlineStr">
        <is>
          <t>Comparación</t>
        </is>
      </c>
      <c r="C407" t="inlineStr">
        <is>
          <t>Ex_Integra</t>
        </is>
      </c>
      <c r="D407" t="inlineStr">
        <is>
          <t>Santander - Latin America Corporate Bond</t>
        </is>
      </c>
      <c r="E407" t="inlineStr">
        <is>
          <t>Huella</t>
        </is>
      </c>
      <c r="F407" t="n">
        <v>1.626008</v>
      </c>
    </row>
    <row r="408">
      <c r="A408" t="inlineStr">
        <is>
          <t>202512</t>
        </is>
      </c>
      <c r="B408" t="inlineStr">
        <is>
          <t>Comparación</t>
        </is>
      </c>
      <c r="C408" t="inlineStr">
        <is>
          <t>Ex_Integra</t>
        </is>
      </c>
      <c r="D408" t="inlineStr">
        <is>
          <t>Santander - Latin America Corporate Bond</t>
        </is>
      </c>
      <c r="E408" t="inlineStr">
        <is>
          <t>Intensidad</t>
        </is>
      </c>
      <c r="F408" t="n">
        <v>0.000304</v>
      </c>
    </row>
    <row r="409">
      <c r="A409" t="inlineStr">
        <is>
          <t>202512</t>
        </is>
      </c>
      <c r="B409" t="inlineStr">
        <is>
          <t>Comparación</t>
        </is>
      </c>
      <c r="C409" t="inlineStr">
        <is>
          <t>Ex_Integra</t>
        </is>
      </c>
      <c r="D409" t="inlineStr">
        <is>
          <t>Santander - Latin America Corporate Bond</t>
        </is>
      </c>
      <c r="E409" t="inlineStr">
        <is>
          <t>Inv MM$</t>
        </is>
      </c>
      <c r="F409" t="n">
        <v>0.007573</v>
      </c>
    </row>
    <row r="410">
      <c r="A410" t="inlineStr">
        <is>
          <t>202512</t>
        </is>
      </c>
      <c r="B410" t="inlineStr">
        <is>
          <t>Comparación</t>
        </is>
      </c>
      <c r="C410" t="inlineStr">
        <is>
          <t>Ex_Integra</t>
        </is>
      </c>
      <c r="D410" t="inlineStr">
        <is>
          <t>Schroder - International Selection Fund China A</t>
        </is>
      </c>
      <c r="E410" t="inlineStr">
        <is>
          <t>Huella</t>
        </is>
      </c>
      <c r="F410" t="n">
        <v>0.0467</v>
      </c>
    </row>
    <row r="411">
      <c r="A411" t="inlineStr">
        <is>
          <t>202512</t>
        </is>
      </c>
      <c r="B411" t="inlineStr">
        <is>
          <t>Comparación</t>
        </is>
      </c>
      <c r="C411" t="inlineStr">
        <is>
          <t>Ex_Integra</t>
        </is>
      </c>
      <c r="D411" t="inlineStr">
        <is>
          <t>Schroder - International Selection Fund China A</t>
        </is>
      </c>
      <c r="E411" t="inlineStr">
        <is>
          <t>Intensidad</t>
        </is>
      </c>
      <c r="F411" t="n">
        <v>9e-06</v>
      </c>
    </row>
    <row r="412">
      <c r="A412" t="inlineStr">
        <is>
          <t>202512</t>
        </is>
      </c>
      <c r="B412" t="inlineStr">
        <is>
          <t>Comparación</t>
        </is>
      </c>
      <c r="C412" t="inlineStr">
        <is>
          <t>Ex_Integra</t>
        </is>
      </c>
      <c r="D412" t="inlineStr">
        <is>
          <t>Schroder - International Selection Fund China A</t>
        </is>
      </c>
      <c r="E412" t="inlineStr">
        <is>
          <t>Inv MM$</t>
        </is>
      </c>
      <c r="F412" t="n">
        <v>0.000606</v>
      </c>
    </row>
    <row r="413">
      <c r="A413" t="inlineStr">
        <is>
          <t>202512</t>
        </is>
      </c>
      <c r="B413" t="inlineStr">
        <is>
          <t>Comparación</t>
        </is>
      </c>
      <c r="C413" t="inlineStr">
        <is>
          <t>Ex_Integra</t>
        </is>
      </c>
      <c r="D413" t="inlineStr">
        <is>
          <t>Schroder - Selection Fund China Local Currency Bond</t>
        </is>
      </c>
      <c r="E413" t="inlineStr">
        <is>
          <t>Huella</t>
        </is>
      </c>
      <c r="F413" t="n">
        <v>12.053174</v>
      </c>
    </row>
    <row r="414">
      <c r="A414" t="inlineStr">
        <is>
          <t>202512</t>
        </is>
      </c>
      <c r="B414" t="inlineStr">
        <is>
          <t>Comparación</t>
        </is>
      </c>
      <c r="C414" t="inlineStr">
        <is>
          <t>Ex_Integra</t>
        </is>
      </c>
      <c r="D414" t="inlineStr">
        <is>
          <t>Schroder - Selection Fund China Local Currency Bond</t>
        </is>
      </c>
      <c r="E414" t="inlineStr">
        <is>
          <t>Intensidad</t>
        </is>
      </c>
      <c r="F414" t="n">
        <v>0.0008630000000000001</v>
      </c>
    </row>
    <row r="415">
      <c r="A415" t="inlineStr">
        <is>
          <t>202512</t>
        </is>
      </c>
      <c r="B415" t="inlineStr">
        <is>
          <t>Comparación</t>
        </is>
      </c>
      <c r="C415" t="inlineStr">
        <is>
          <t>Ex_Integra</t>
        </is>
      </c>
      <c r="D415" t="inlineStr">
        <is>
          <t>Schroder - Selection Fund China Local Currency Bond</t>
        </is>
      </c>
      <c r="E415" t="inlineStr">
        <is>
          <t>Inv MM$</t>
        </is>
      </c>
      <c r="F415" t="n">
        <v>1.100646</v>
      </c>
    </row>
    <row r="416">
      <c r="A416" t="inlineStr">
        <is>
          <t>202512</t>
        </is>
      </c>
      <c r="B416" t="inlineStr">
        <is>
          <t>Comparación</t>
        </is>
      </c>
      <c r="C416" t="inlineStr">
        <is>
          <t>Ex_Integra</t>
        </is>
      </c>
      <c r="D416" t="inlineStr">
        <is>
          <t>Schroders - Emerging Asia</t>
        </is>
      </c>
      <c r="E416" t="inlineStr">
        <is>
          <t>Huella</t>
        </is>
      </c>
      <c r="F416" t="n">
        <v>0.005904</v>
      </c>
    </row>
    <row r="417">
      <c r="A417" t="inlineStr">
        <is>
          <t>202512</t>
        </is>
      </c>
      <c r="B417" t="inlineStr">
        <is>
          <t>Comparación</t>
        </is>
      </c>
      <c r="C417" t="inlineStr">
        <is>
          <t>Ex_Integra</t>
        </is>
      </c>
      <c r="D417" t="inlineStr">
        <is>
          <t>Schroders - Emerging Asia</t>
        </is>
      </c>
      <c r="E417" t="inlineStr">
        <is>
          <t>Intensidad</t>
        </is>
      </c>
      <c r="F417" t="n">
        <v>1e-06</v>
      </c>
    </row>
    <row r="418">
      <c r="A418" t="inlineStr">
        <is>
          <t>202512</t>
        </is>
      </c>
      <c r="B418" t="inlineStr">
        <is>
          <t>Comparación</t>
        </is>
      </c>
      <c r="C418" t="inlineStr">
        <is>
          <t>Ex_Integra</t>
        </is>
      </c>
      <c r="D418" t="inlineStr">
        <is>
          <t>Schroders - Emerging Asia</t>
        </is>
      </c>
      <c r="E418" t="inlineStr">
        <is>
          <t>Inv MM$</t>
        </is>
      </c>
      <c r="F418" t="n">
        <v>0.00011</v>
      </c>
    </row>
    <row r="419">
      <c r="A419" t="inlineStr">
        <is>
          <t>202512</t>
        </is>
      </c>
      <c r="B419" t="inlineStr">
        <is>
          <t>Comparación</t>
        </is>
      </c>
      <c r="C419" t="inlineStr">
        <is>
          <t>Ex_Integra</t>
        </is>
      </c>
      <c r="D419" t="inlineStr">
        <is>
          <t>State Street - Blackstone Senior Loans</t>
        </is>
      </c>
      <c r="E419" t="inlineStr">
        <is>
          <t>Huella</t>
        </is>
      </c>
      <c r="F419" t="n">
        <v>1504.360867</v>
      </c>
    </row>
    <row r="420">
      <c r="A420" t="inlineStr">
        <is>
          <t>202512</t>
        </is>
      </c>
      <c r="B420" t="inlineStr">
        <is>
          <t>Comparación</t>
        </is>
      </c>
      <c r="C420" t="inlineStr">
        <is>
          <t>Ex_Integra</t>
        </is>
      </c>
      <c r="D420" t="inlineStr">
        <is>
          <t>State Street - Blackstone Senior Loans</t>
        </is>
      </c>
      <c r="E420" t="inlineStr">
        <is>
          <t>Intensidad</t>
        </is>
      </c>
      <c r="F420" t="n">
        <v>0.423181</v>
      </c>
    </row>
    <row r="421">
      <c r="A421" t="inlineStr">
        <is>
          <t>202512</t>
        </is>
      </c>
      <c r="B421" t="inlineStr">
        <is>
          <t>Comparación</t>
        </is>
      </c>
      <c r="C421" t="inlineStr">
        <is>
          <t>Ex_Integra</t>
        </is>
      </c>
      <c r="D421" t="inlineStr">
        <is>
          <t>State Street - Blackstone Senior Loans</t>
        </is>
      </c>
      <c r="E421" t="inlineStr">
        <is>
          <t>Inv MM$</t>
        </is>
      </c>
      <c r="F421" t="n">
        <v>11.533857</v>
      </c>
    </row>
    <row r="422">
      <c r="A422" t="inlineStr">
        <is>
          <t>202512</t>
        </is>
      </c>
      <c r="B422" t="inlineStr">
        <is>
          <t>Comparación</t>
        </is>
      </c>
      <c r="C422" t="inlineStr">
        <is>
          <t>Ex_Integra</t>
        </is>
      </c>
      <c r="D422" t="inlineStr">
        <is>
          <t>State Street - Communication Services Select Sector</t>
        </is>
      </c>
      <c r="E422" t="inlineStr">
        <is>
          <t>Huella</t>
        </is>
      </c>
      <c r="F422" t="n">
        <v>122.390148</v>
      </c>
    </row>
    <row r="423">
      <c r="A423" t="inlineStr">
        <is>
          <t>202512</t>
        </is>
      </c>
      <c r="B423" t="inlineStr">
        <is>
          <t>Comparación</t>
        </is>
      </c>
      <c r="C423" t="inlineStr">
        <is>
          <t>Ex_Integra</t>
        </is>
      </c>
      <c r="D423" t="inlineStr">
        <is>
          <t>State Street - Communication Services Select Sector</t>
        </is>
      </c>
      <c r="E423" t="inlineStr">
        <is>
          <t>Intensidad</t>
        </is>
      </c>
      <c r="F423" t="n">
        <v>0.015835</v>
      </c>
    </row>
    <row r="424">
      <c r="A424" t="inlineStr">
        <is>
          <t>202512</t>
        </is>
      </c>
      <c r="B424" t="inlineStr">
        <is>
          <t>Comparación</t>
        </is>
      </c>
      <c r="C424" t="inlineStr">
        <is>
          <t>Ex_Integra</t>
        </is>
      </c>
      <c r="D424" t="inlineStr">
        <is>
          <t>State Street - Communication Services Select Sector</t>
        </is>
      </c>
      <c r="E424" t="inlineStr">
        <is>
          <t>Inv MM$</t>
        </is>
      </c>
      <c r="F424" t="n">
        <v>34.071481</v>
      </c>
    </row>
    <row r="425">
      <c r="A425" t="inlineStr">
        <is>
          <t>202512</t>
        </is>
      </c>
      <c r="B425" t="inlineStr">
        <is>
          <t>Comparación</t>
        </is>
      </c>
      <c r="C425" t="inlineStr">
        <is>
          <t>Ex_Integra</t>
        </is>
      </c>
      <c r="D425" t="inlineStr">
        <is>
          <t>State Street - Technology Select Sector</t>
        </is>
      </c>
      <c r="E425" t="inlineStr">
        <is>
          <t>Huella</t>
        </is>
      </c>
      <c r="F425" t="n">
        <v>290.759026</v>
      </c>
    </row>
    <row r="426">
      <c r="A426" t="inlineStr">
        <is>
          <t>202512</t>
        </is>
      </c>
      <c r="B426" t="inlineStr">
        <is>
          <t>Comparación</t>
        </is>
      </c>
      <c r="C426" t="inlineStr">
        <is>
          <t>Ex_Integra</t>
        </is>
      </c>
      <c r="D426" t="inlineStr">
        <is>
          <t>State Street - Technology Select Sector</t>
        </is>
      </c>
      <c r="E426" t="inlineStr">
        <is>
          <t>Intensidad</t>
        </is>
      </c>
      <c r="F426" t="n">
        <v>0.043497</v>
      </c>
    </row>
    <row r="427">
      <c r="A427" t="inlineStr">
        <is>
          <t>202512</t>
        </is>
      </c>
      <c r="B427" t="inlineStr">
        <is>
          <t>Comparación</t>
        </is>
      </c>
      <c r="C427" t="inlineStr">
        <is>
          <t>Ex_Integra</t>
        </is>
      </c>
      <c r="D427" t="inlineStr">
        <is>
          <t>State Street - Technology Select Sector</t>
        </is>
      </c>
      <c r="E427" t="inlineStr">
        <is>
          <t>Inv MM$</t>
        </is>
      </c>
      <c r="F427" t="n">
        <v>87.531113</v>
      </c>
    </row>
    <row r="428">
      <c r="A428" t="inlineStr">
        <is>
          <t>202512</t>
        </is>
      </c>
      <c r="B428" t="inlineStr">
        <is>
          <t>Comparación</t>
        </is>
      </c>
      <c r="C428" t="inlineStr">
        <is>
          <t>Ex_Integra</t>
        </is>
      </c>
      <c r="D428" t="inlineStr">
        <is>
          <t>Telefónica</t>
        </is>
      </c>
      <c r="E428" t="inlineStr">
        <is>
          <t>Huella</t>
        </is>
      </c>
      <c r="F428" t="n">
        <v>195.349908</v>
      </c>
    </row>
    <row r="429">
      <c r="A429" t="inlineStr">
        <is>
          <t>202512</t>
        </is>
      </c>
      <c r="B429" t="inlineStr">
        <is>
          <t>Comparación</t>
        </is>
      </c>
      <c r="C429" t="inlineStr">
        <is>
          <t>Ex_Integra</t>
        </is>
      </c>
      <c r="D429" t="inlineStr">
        <is>
          <t>Telefónica</t>
        </is>
      </c>
      <c r="E429" t="inlineStr">
        <is>
          <t>Intensidad</t>
        </is>
      </c>
      <c r="F429" t="n">
        <v>0.021078</v>
      </c>
    </row>
    <row r="430">
      <c r="A430" t="inlineStr">
        <is>
          <t>202512</t>
        </is>
      </c>
      <c r="B430" t="inlineStr">
        <is>
          <t>Comparación</t>
        </is>
      </c>
      <c r="C430" t="inlineStr">
        <is>
          <t>Ex_Integra</t>
        </is>
      </c>
      <c r="D430" t="inlineStr">
        <is>
          <t>Telefónica</t>
        </is>
      </c>
      <c r="E430" t="inlineStr">
        <is>
          <t>Inv MM$</t>
        </is>
      </c>
      <c r="F430" t="n">
        <v>81.39579500000001</v>
      </c>
    </row>
    <row r="431">
      <c r="A431" t="inlineStr">
        <is>
          <t>202512</t>
        </is>
      </c>
      <c r="B431" t="inlineStr">
        <is>
          <t>Comparación</t>
        </is>
      </c>
      <c r="C431" t="inlineStr">
        <is>
          <t>Ex_Integra</t>
        </is>
      </c>
      <c r="D431" t="inlineStr">
        <is>
          <t>UBS - China Opportunity - A3</t>
        </is>
      </c>
      <c r="E431" t="inlineStr">
        <is>
          <t>Huella</t>
        </is>
      </c>
      <c r="F431" t="n">
        <v>155.103854</v>
      </c>
    </row>
    <row r="432">
      <c r="A432" t="inlineStr">
        <is>
          <t>202512</t>
        </is>
      </c>
      <c r="B432" t="inlineStr">
        <is>
          <t>Comparación</t>
        </is>
      </c>
      <c r="C432" t="inlineStr">
        <is>
          <t>Ex_Integra</t>
        </is>
      </c>
      <c r="D432" t="inlineStr">
        <is>
          <t>UBS - China Opportunity - A3</t>
        </is>
      </c>
      <c r="E432" t="inlineStr">
        <is>
          <t>Intensidad</t>
        </is>
      </c>
      <c r="F432" t="n">
        <v>0.037121</v>
      </c>
    </row>
    <row r="433">
      <c r="A433" t="inlineStr">
        <is>
          <t>202512</t>
        </is>
      </c>
      <c r="B433" t="inlineStr">
        <is>
          <t>Comparación</t>
        </is>
      </c>
      <c r="C433" t="inlineStr">
        <is>
          <t>Ex_Integra</t>
        </is>
      </c>
      <c r="D433" t="inlineStr">
        <is>
          <t>UBS - China Opportunity - A3</t>
        </is>
      </c>
      <c r="E433" t="inlineStr">
        <is>
          <t>Inv MM$</t>
        </is>
      </c>
      <c r="F433" t="n">
        <v>1.538098</v>
      </c>
    </row>
    <row r="434">
      <c r="A434" t="inlineStr">
        <is>
          <t>202512</t>
        </is>
      </c>
      <c r="B434" t="inlineStr">
        <is>
          <t>Comparación</t>
        </is>
      </c>
      <c r="C434" t="inlineStr">
        <is>
          <t>Ex_Integra</t>
        </is>
      </c>
      <c r="D434" t="inlineStr">
        <is>
          <t>UTI - Indian Equity</t>
        </is>
      </c>
      <c r="E434" t="inlineStr">
        <is>
          <t>Huella</t>
        </is>
      </c>
      <c r="F434" t="n">
        <v>0.001178</v>
      </c>
    </row>
    <row r="435">
      <c r="A435" t="inlineStr">
        <is>
          <t>202512</t>
        </is>
      </c>
      <c r="B435" t="inlineStr">
        <is>
          <t>Comparación</t>
        </is>
      </c>
      <c r="C435" t="inlineStr">
        <is>
          <t>Ex_Integra</t>
        </is>
      </c>
      <c r="D435" t="inlineStr">
        <is>
          <t>UTI - Indian Equity</t>
        </is>
      </c>
      <c r="E435" t="inlineStr">
        <is>
          <t>Intensidad</t>
        </is>
      </c>
      <c r="F435" t="n">
        <v>0</v>
      </c>
    </row>
    <row r="436">
      <c r="A436" t="inlineStr">
        <is>
          <t>202512</t>
        </is>
      </c>
      <c r="B436" t="inlineStr">
        <is>
          <t>Comparación</t>
        </is>
      </c>
      <c r="C436" t="inlineStr">
        <is>
          <t>Ex_Integra</t>
        </is>
      </c>
      <c r="D436" t="inlineStr">
        <is>
          <t>UTI - Indian Equity</t>
        </is>
      </c>
      <c r="E436" t="inlineStr">
        <is>
          <t>Inv MM$</t>
        </is>
      </c>
      <c r="F436" t="n">
        <v>5.3e-05</v>
      </c>
    </row>
    <row r="437">
      <c r="A437" t="inlineStr">
        <is>
          <t>202512</t>
        </is>
      </c>
      <c r="B437" t="inlineStr">
        <is>
          <t>Comparación</t>
        </is>
      </c>
      <c r="C437" t="inlineStr">
        <is>
          <t>Ex_Integra</t>
        </is>
      </c>
      <c r="D437" t="inlineStr">
        <is>
          <t>VanEck - Gold Miners ETF</t>
        </is>
      </c>
      <c r="E437" t="inlineStr">
        <is>
          <t>Huella</t>
        </is>
      </c>
      <c r="F437" t="n">
        <v>40550.573199</v>
      </c>
    </row>
    <row r="438">
      <c r="A438" t="inlineStr">
        <is>
          <t>202512</t>
        </is>
      </c>
      <c r="B438" t="inlineStr">
        <is>
          <t>Comparación</t>
        </is>
      </c>
      <c r="C438" t="inlineStr">
        <is>
          <t>Ex_Integra</t>
        </is>
      </c>
      <c r="D438" t="inlineStr">
        <is>
          <t>VanEck - Gold Miners ETF</t>
        </is>
      </c>
      <c r="E438" t="inlineStr">
        <is>
          <t>Intensidad</t>
        </is>
      </c>
      <c r="F438" t="n">
        <v>6.387966</v>
      </c>
    </row>
    <row r="439">
      <c r="A439" t="inlineStr">
        <is>
          <t>202512</t>
        </is>
      </c>
      <c r="B439" t="inlineStr">
        <is>
          <t>Comparación</t>
        </is>
      </c>
      <c r="C439" t="inlineStr">
        <is>
          <t>Ex_Integra</t>
        </is>
      </c>
      <c r="D439" t="inlineStr">
        <is>
          <t>VanEck - Gold Miners ETF</t>
        </is>
      </c>
      <c r="E439" t="inlineStr">
        <is>
          <t>Inv MM$</t>
        </is>
      </c>
      <c r="F439" t="n">
        <v>495.327586</v>
      </c>
    </row>
    <row r="440">
      <c r="A440" t="inlineStr">
        <is>
          <t>202512</t>
        </is>
      </c>
      <c r="B440" t="inlineStr">
        <is>
          <t>Comparación</t>
        </is>
      </c>
      <c r="C440" t="inlineStr">
        <is>
          <t>Ex_Integra</t>
        </is>
      </c>
      <c r="D440" t="inlineStr">
        <is>
          <t>VanEck - Oil Services ETF</t>
        </is>
      </c>
      <c r="E440" t="inlineStr">
        <is>
          <t>Huella</t>
        </is>
      </c>
      <c r="F440" t="n">
        <v>4061.863931</v>
      </c>
    </row>
    <row r="441">
      <c r="A441" t="inlineStr">
        <is>
          <t>202512</t>
        </is>
      </c>
      <c r="B441" t="inlineStr">
        <is>
          <t>Comparación</t>
        </is>
      </c>
      <c r="C441" t="inlineStr">
        <is>
          <t>Ex_Integra</t>
        </is>
      </c>
      <c r="D441" t="inlineStr">
        <is>
          <t>VanEck - Oil Services ETF</t>
        </is>
      </c>
      <c r="E441" t="inlineStr">
        <is>
          <t>Intensidad</t>
        </is>
      </c>
      <c r="F441" t="n">
        <v>0.435335</v>
      </c>
    </row>
    <row r="442">
      <c r="A442" t="inlineStr">
        <is>
          <t>202512</t>
        </is>
      </c>
      <c r="B442" t="inlineStr">
        <is>
          <t>Comparación</t>
        </is>
      </c>
      <c r="C442" t="inlineStr">
        <is>
          <t>Ex_Integra</t>
        </is>
      </c>
      <c r="D442" t="inlineStr">
        <is>
          <t>VanEck - Oil Services ETF</t>
        </is>
      </c>
      <c r="E442" t="inlineStr">
        <is>
          <t>Inv MM$</t>
        </is>
      </c>
      <c r="F442" t="n">
        <v>37.536589</v>
      </c>
    </row>
    <row r="443">
      <c r="A443" t="inlineStr">
        <is>
          <t>202512</t>
        </is>
      </c>
      <c r="B443" t="inlineStr">
        <is>
          <t>Comparación</t>
        </is>
      </c>
      <c r="C443" t="inlineStr">
        <is>
          <t>Ex_Integra</t>
        </is>
      </c>
      <c r="D443" t="inlineStr">
        <is>
          <t>VanEck Semiconductor ETF</t>
        </is>
      </c>
      <c r="E443" t="inlineStr">
        <is>
          <t>Huella</t>
        </is>
      </c>
      <c r="F443" t="n">
        <v>4660.742544</v>
      </c>
    </row>
    <row r="444">
      <c r="A444" t="inlineStr">
        <is>
          <t>202512</t>
        </is>
      </c>
      <c r="B444" t="inlineStr">
        <is>
          <t>Comparación</t>
        </is>
      </c>
      <c r="C444" t="inlineStr">
        <is>
          <t>Ex_Integra</t>
        </is>
      </c>
      <c r="D444" t="inlineStr">
        <is>
          <t>VanEck Semiconductor ETF</t>
        </is>
      </c>
      <c r="E444" t="inlineStr">
        <is>
          <t>Intensidad</t>
        </is>
      </c>
      <c r="F444" t="n">
        <v>0.648164</v>
      </c>
    </row>
    <row r="445">
      <c r="A445" t="inlineStr">
        <is>
          <t>202512</t>
        </is>
      </c>
      <c r="B445" t="inlineStr">
        <is>
          <t>Comparación</t>
        </is>
      </c>
      <c r="C445" t="inlineStr">
        <is>
          <t>Ex_Integra</t>
        </is>
      </c>
      <c r="D445" t="inlineStr">
        <is>
          <t>VanEck Semiconductor ETF</t>
        </is>
      </c>
      <c r="E445" t="inlineStr">
        <is>
          <t>Inv MM$</t>
        </is>
      </c>
      <c r="F445" t="n">
        <v>743.225146</v>
      </c>
    </row>
    <row r="446">
      <c r="A446" t="inlineStr">
        <is>
          <t>202512</t>
        </is>
      </c>
      <c r="B446" t="inlineStr">
        <is>
          <t>Comparación</t>
        </is>
      </c>
      <c r="C446" t="inlineStr">
        <is>
          <t>Ex_Integra</t>
        </is>
      </c>
      <c r="D446" t="inlineStr">
        <is>
          <t>Vanguard - ACWI</t>
        </is>
      </c>
      <c r="E446" t="inlineStr">
        <is>
          <t>Huella</t>
        </is>
      </c>
      <c r="F446" t="n">
        <v>2e-06</v>
      </c>
    </row>
    <row r="447">
      <c r="A447" t="inlineStr">
        <is>
          <t>202512</t>
        </is>
      </c>
      <c r="B447" t="inlineStr">
        <is>
          <t>Comparación</t>
        </is>
      </c>
      <c r="C447" t="inlineStr">
        <is>
          <t>Ex_Integra</t>
        </is>
      </c>
      <c r="D447" t="inlineStr">
        <is>
          <t>Vanguard - ACWI</t>
        </is>
      </c>
      <c r="E447" t="inlineStr">
        <is>
          <t>Intensidad</t>
        </is>
      </c>
      <c r="F447" t="n">
        <v>0</v>
      </c>
    </row>
    <row r="448">
      <c r="A448" t="inlineStr">
        <is>
          <t>202512</t>
        </is>
      </c>
      <c r="B448" t="inlineStr">
        <is>
          <t>Comparación</t>
        </is>
      </c>
      <c r="C448" t="inlineStr">
        <is>
          <t>Ex_Integra</t>
        </is>
      </c>
      <c r="D448" t="inlineStr">
        <is>
          <t>Vanguard - ACWI</t>
        </is>
      </c>
      <c r="E448" t="inlineStr">
        <is>
          <t>Inv MM$</t>
        </is>
      </c>
      <c r="F448" t="n">
        <v>0</v>
      </c>
    </row>
    <row r="449">
      <c r="A449" t="inlineStr">
        <is>
          <t>202512</t>
        </is>
      </c>
      <c r="B449" t="inlineStr">
        <is>
          <t>Comparación</t>
        </is>
      </c>
      <c r="C449" t="inlineStr">
        <is>
          <t>Ex_Integra</t>
        </is>
      </c>
      <c r="D449" t="inlineStr">
        <is>
          <t>Vanguard - Emerging Markets Bond Fund - I Retail</t>
        </is>
      </c>
      <c r="E449" t="inlineStr">
        <is>
          <t>Huella</t>
        </is>
      </c>
      <c r="F449" t="n">
        <v>0.097964</v>
      </c>
    </row>
    <row r="450">
      <c r="A450" t="inlineStr">
        <is>
          <t>202512</t>
        </is>
      </c>
      <c r="B450" t="inlineStr">
        <is>
          <t>Comparación</t>
        </is>
      </c>
      <c r="C450" t="inlineStr">
        <is>
          <t>Ex_Integra</t>
        </is>
      </c>
      <c r="D450" t="inlineStr">
        <is>
          <t>Vanguard - Emerging Markets Bond Fund - I Retail</t>
        </is>
      </c>
      <c r="E450" t="inlineStr">
        <is>
          <t>Intensidad</t>
        </is>
      </c>
      <c r="F450" t="n">
        <v>1.6e-05</v>
      </c>
    </row>
    <row r="451">
      <c r="A451" t="inlineStr">
        <is>
          <t>202512</t>
        </is>
      </c>
      <c r="B451" t="inlineStr">
        <is>
          <t>Comparación</t>
        </is>
      </c>
      <c r="C451" t="inlineStr">
        <is>
          <t>Ex_Integra</t>
        </is>
      </c>
      <c r="D451" t="inlineStr">
        <is>
          <t>Vanguard - Emerging Markets Bond Fund - I Retail</t>
        </is>
      </c>
      <c r="E451" t="inlineStr">
        <is>
          <t>Inv MM$</t>
        </is>
      </c>
      <c r="F451" t="n">
        <v>0.000226</v>
      </c>
    </row>
    <row r="452">
      <c r="A452" t="inlineStr">
        <is>
          <t>202512</t>
        </is>
      </c>
      <c r="B452" t="inlineStr">
        <is>
          <t>Comparación</t>
        </is>
      </c>
      <c r="C452" t="inlineStr">
        <is>
          <t>Ex_Integra</t>
        </is>
      </c>
      <c r="D452" t="inlineStr">
        <is>
          <t>Vanguard - FTSE Europe</t>
        </is>
      </c>
      <c r="E452" t="inlineStr">
        <is>
          <t>Huella</t>
        </is>
      </c>
      <c r="F452" t="n">
        <v>625.1583460000001</v>
      </c>
    </row>
    <row r="453">
      <c r="A453" t="inlineStr">
        <is>
          <t>202512</t>
        </is>
      </c>
      <c r="B453" t="inlineStr">
        <is>
          <t>Comparación</t>
        </is>
      </c>
      <c r="C453" t="inlineStr">
        <is>
          <t>Ex_Integra</t>
        </is>
      </c>
      <c r="D453" t="inlineStr">
        <is>
          <t>Vanguard - FTSE Europe</t>
        </is>
      </c>
      <c r="E453" t="inlineStr">
        <is>
          <t>Intensidad</t>
        </is>
      </c>
      <c r="F453" t="n">
        <v>0.175859</v>
      </c>
    </row>
    <row r="454">
      <c r="A454" t="inlineStr">
        <is>
          <t>202512</t>
        </is>
      </c>
      <c r="B454" t="inlineStr">
        <is>
          <t>Comparación</t>
        </is>
      </c>
      <c r="C454" t="inlineStr">
        <is>
          <t>Ex_Integra</t>
        </is>
      </c>
      <c r="D454" t="inlineStr">
        <is>
          <t>Vanguard - FTSE Europe</t>
        </is>
      </c>
      <c r="E454" t="inlineStr">
        <is>
          <t>Inv MM$</t>
        </is>
      </c>
      <c r="F454" t="n">
        <v>10.860866</v>
      </c>
    </row>
    <row r="455">
      <c r="A455" t="inlineStr">
        <is>
          <t>202512</t>
        </is>
      </c>
      <c r="B455" t="inlineStr">
        <is>
          <t>Comparación</t>
        </is>
      </c>
      <c r="C455" t="inlineStr">
        <is>
          <t>Ex_Integra</t>
        </is>
      </c>
      <c r="D455" t="inlineStr">
        <is>
          <t>Vanguard - S&amp;P 500 ETF</t>
        </is>
      </c>
      <c r="E455" t="inlineStr">
        <is>
          <t>Huella</t>
        </is>
      </c>
      <c r="F455" t="n">
        <v>0</v>
      </c>
    </row>
    <row r="456">
      <c r="A456" t="inlineStr">
        <is>
          <t>202512</t>
        </is>
      </c>
      <c r="B456" t="inlineStr">
        <is>
          <t>Comparación</t>
        </is>
      </c>
      <c r="C456" t="inlineStr">
        <is>
          <t>Ex_Integra</t>
        </is>
      </c>
      <c r="D456" t="inlineStr">
        <is>
          <t>Vanguard - S&amp;P 500 ETF</t>
        </is>
      </c>
      <c r="E456" t="inlineStr">
        <is>
          <t>Intensidad</t>
        </is>
      </c>
      <c r="F456" t="n">
        <v>0</v>
      </c>
    </row>
    <row r="457">
      <c r="A457" t="inlineStr">
        <is>
          <t>202512</t>
        </is>
      </c>
      <c r="B457" t="inlineStr">
        <is>
          <t>Comparación</t>
        </is>
      </c>
      <c r="C457" t="inlineStr">
        <is>
          <t>Ex_Integra</t>
        </is>
      </c>
      <c r="D457" t="inlineStr">
        <is>
          <t>Vanguard - S&amp;P 500 ETF</t>
        </is>
      </c>
      <c r="E457" t="inlineStr">
        <is>
          <t>Inv MM$</t>
        </is>
      </c>
      <c r="F457" t="n">
        <v>0</v>
      </c>
    </row>
    <row r="458">
      <c r="A458" t="inlineStr">
        <is>
          <t>202512</t>
        </is>
      </c>
      <c r="B458" t="inlineStr">
        <is>
          <t>Comparación</t>
        </is>
      </c>
      <c r="C458" t="inlineStr">
        <is>
          <t>Ex_Integra</t>
        </is>
      </c>
      <c r="D458" t="inlineStr">
        <is>
          <t>Vanguard - Utilities ETF</t>
        </is>
      </c>
      <c r="E458" t="inlineStr">
        <is>
          <t>Huella</t>
        </is>
      </c>
      <c r="F458" t="n">
        <v>0.060912</v>
      </c>
    </row>
    <row r="459">
      <c r="A459" t="inlineStr">
        <is>
          <t>202512</t>
        </is>
      </c>
      <c r="B459" t="inlineStr">
        <is>
          <t>Comparación</t>
        </is>
      </c>
      <c r="C459" t="inlineStr">
        <is>
          <t>Ex_Integra</t>
        </is>
      </c>
      <c r="D459" t="inlineStr">
        <is>
          <t>Vanguard - Utilities ETF</t>
        </is>
      </c>
      <c r="E459" t="inlineStr">
        <is>
          <t>Intensidad</t>
        </is>
      </c>
      <c r="F459" t="n">
        <v>4e-06</v>
      </c>
    </row>
    <row r="460">
      <c r="A460" t="inlineStr">
        <is>
          <t>202512</t>
        </is>
      </c>
      <c r="B460" t="inlineStr">
        <is>
          <t>Comparación</t>
        </is>
      </c>
      <c r="C460" t="inlineStr">
        <is>
          <t>Ex_Integra</t>
        </is>
      </c>
      <c r="D460" t="inlineStr">
        <is>
          <t>Vanguard - Utilities ETF</t>
        </is>
      </c>
      <c r="E460" t="inlineStr">
        <is>
          <t>Inv MM$</t>
        </is>
      </c>
      <c r="F460" t="n">
        <v>0.000176</v>
      </c>
    </row>
    <row r="461">
      <c r="A461" t="inlineStr">
        <is>
          <t>202512</t>
        </is>
      </c>
      <c r="B461" t="inlineStr">
        <is>
          <t>Comparación</t>
        </is>
      </c>
      <c r="C461" t="inlineStr">
        <is>
          <t>Ex_Integra</t>
        </is>
      </c>
      <c r="D461" t="inlineStr">
        <is>
          <t>Vontobel - Credit Opportunities</t>
        </is>
      </c>
      <c r="E461" t="inlineStr">
        <is>
          <t>Huella</t>
        </is>
      </c>
      <c r="F461" t="n">
        <v>2266.596616</v>
      </c>
    </row>
    <row r="462">
      <c r="A462" t="inlineStr">
        <is>
          <t>202512</t>
        </is>
      </c>
      <c r="B462" t="inlineStr">
        <is>
          <t>Comparación</t>
        </is>
      </c>
      <c r="C462" t="inlineStr">
        <is>
          <t>Ex_Integra</t>
        </is>
      </c>
      <c r="D462" t="inlineStr">
        <is>
          <t>Vontobel - Credit Opportunities</t>
        </is>
      </c>
      <c r="E462" t="inlineStr">
        <is>
          <t>Intensidad</t>
        </is>
      </c>
      <c r="F462" t="n">
        <v>0.612504</v>
      </c>
    </row>
    <row r="463">
      <c r="A463" t="inlineStr">
        <is>
          <t>202512</t>
        </is>
      </c>
      <c r="B463" t="inlineStr">
        <is>
          <t>Comparación</t>
        </is>
      </c>
      <c r="C463" t="inlineStr">
        <is>
          <t>Ex_Integra</t>
        </is>
      </c>
      <c r="D463" t="inlineStr">
        <is>
          <t>Vontobel - Credit Opportunities</t>
        </is>
      </c>
      <c r="E463" t="inlineStr">
        <is>
          <t>Inv MM$</t>
        </is>
      </c>
      <c r="F463" t="n">
        <v>52.695287</v>
      </c>
    </row>
    <row r="464">
      <c r="A464" t="inlineStr">
        <is>
          <t>202512</t>
        </is>
      </c>
      <c r="B464" t="inlineStr">
        <is>
          <t>Comparación</t>
        </is>
      </c>
      <c r="C464" t="inlineStr">
        <is>
          <t>Ex_Integra</t>
        </is>
      </c>
      <c r="D464" t="inlineStr">
        <is>
          <t>Vontobel - Emerging Markets Corporate</t>
        </is>
      </c>
      <c r="E464" t="inlineStr">
        <is>
          <t>Huella</t>
        </is>
      </c>
      <c r="F464" t="n">
        <v>157.542894</v>
      </c>
    </row>
    <row r="465">
      <c r="A465" t="inlineStr">
        <is>
          <t>202512</t>
        </is>
      </c>
      <c r="B465" t="inlineStr">
        <is>
          <t>Comparación</t>
        </is>
      </c>
      <c r="C465" t="inlineStr">
        <is>
          <t>Ex_Integra</t>
        </is>
      </c>
      <c r="D465" t="inlineStr">
        <is>
          <t>Vontobel - Emerging Markets Corporate</t>
        </is>
      </c>
      <c r="E465" t="inlineStr">
        <is>
          <t>Intensidad</t>
        </is>
      </c>
      <c r="F465" t="n">
        <v>0.04159</v>
      </c>
    </row>
    <row r="466">
      <c r="A466" t="inlineStr">
        <is>
          <t>202512</t>
        </is>
      </c>
      <c r="B466" t="inlineStr">
        <is>
          <t>Comparación</t>
        </is>
      </c>
      <c r="C466" t="inlineStr">
        <is>
          <t>Ex_Integra</t>
        </is>
      </c>
      <c r="D466" t="inlineStr">
        <is>
          <t>Vontobel - Emerging Markets Corporate</t>
        </is>
      </c>
      <c r="E466" t="inlineStr">
        <is>
          <t>Inv MM$</t>
        </is>
      </c>
      <c r="F466" t="n">
        <v>0.435385</v>
      </c>
    </row>
    <row r="467">
      <c r="A467" t="inlineStr">
        <is>
          <t>202512</t>
        </is>
      </c>
      <c r="B467" t="inlineStr">
        <is>
          <t>Comparación</t>
        </is>
      </c>
      <c r="C467" t="inlineStr">
        <is>
          <t>Ex_Integra</t>
        </is>
      </c>
      <c r="D467" t="inlineStr">
        <is>
          <t>Vontobel - Emerging Markets Debt</t>
        </is>
      </c>
      <c r="E467" t="inlineStr">
        <is>
          <t>Huella</t>
        </is>
      </c>
      <c r="F467" t="n">
        <v>23750.01468</v>
      </c>
    </row>
    <row r="468">
      <c r="A468" t="inlineStr">
        <is>
          <t>202512</t>
        </is>
      </c>
      <c r="B468" t="inlineStr">
        <is>
          <t>Comparación</t>
        </is>
      </c>
      <c r="C468" t="inlineStr">
        <is>
          <t>Ex_Integra</t>
        </is>
      </c>
      <c r="D468" t="inlineStr">
        <is>
          <t>Vontobel - Emerging Markets Debt</t>
        </is>
      </c>
      <c r="E468" t="inlineStr">
        <is>
          <t>Intensidad</t>
        </is>
      </c>
      <c r="F468" t="n">
        <v>4.372846</v>
      </c>
    </row>
    <row r="469">
      <c r="A469" t="inlineStr">
        <is>
          <t>202512</t>
        </is>
      </c>
      <c r="B469" t="inlineStr">
        <is>
          <t>Comparación</t>
        </is>
      </c>
      <c r="C469" t="inlineStr">
        <is>
          <t>Ex_Integra</t>
        </is>
      </c>
      <c r="D469" t="inlineStr">
        <is>
          <t>Vontobel - Emerging Markets Debt</t>
        </is>
      </c>
      <c r="E469" t="inlineStr">
        <is>
          <t>Inv MM$</t>
        </is>
      </c>
      <c r="F469" t="n">
        <v>77.744795</v>
      </c>
    </row>
    <row r="470">
      <c r="A470" t="inlineStr">
        <is>
          <t>202512</t>
        </is>
      </c>
      <c r="B470" t="inlineStr">
        <is>
          <t>Comparación</t>
        </is>
      </c>
      <c r="C470" t="inlineStr">
        <is>
          <t>Ex_Integra</t>
        </is>
      </c>
      <c r="D470" t="inlineStr">
        <is>
          <t>Vontobel - Twentyfour Strategy Income</t>
        </is>
      </c>
      <c r="E470" t="inlineStr">
        <is>
          <t>Huella</t>
        </is>
      </c>
      <c r="F470" t="n">
        <v>543.5983639999999</v>
      </c>
    </row>
    <row r="471">
      <c r="A471" t="inlineStr">
        <is>
          <t>202512</t>
        </is>
      </c>
      <c r="B471" t="inlineStr">
        <is>
          <t>Comparación</t>
        </is>
      </c>
      <c r="C471" t="inlineStr">
        <is>
          <t>Ex_Integra</t>
        </is>
      </c>
      <c r="D471" t="inlineStr">
        <is>
          <t>Vontobel - Twentyfour Strategy Income</t>
        </is>
      </c>
      <c r="E471" t="inlineStr">
        <is>
          <t>Intensidad</t>
        </is>
      </c>
      <c r="F471" t="n">
        <v>0.146897</v>
      </c>
    </row>
    <row r="472">
      <c r="A472" t="inlineStr">
        <is>
          <t>202512</t>
        </is>
      </c>
      <c r="B472" t="inlineStr">
        <is>
          <t>Comparación</t>
        </is>
      </c>
      <c r="C472" t="inlineStr">
        <is>
          <t>Ex_Integra</t>
        </is>
      </c>
      <c r="D472" t="inlineStr">
        <is>
          <t>Vontobel - Twentyfour Strategy Income</t>
        </is>
      </c>
      <c r="E472" t="inlineStr">
        <is>
          <t>Inv MM$</t>
        </is>
      </c>
      <c r="F472" t="n">
        <v>22.578407</v>
      </c>
    </row>
    <row r="473">
      <c r="A473" t="inlineStr">
        <is>
          <t>202512</t>
        </is>
      </c>
      <c r="B473" t="inlineStr">
        <is>
          <t>Comparación</t>
        </is>
      </c>
      <c r="C473" t="inlineStr">
        <is>
          <t>Ex_Integra</t>
        </is>
      </c>
      <c r="D473" t="inlineStr">
        <is>
          <t>WisdomTree - Quality Growth</t>
        </is>
      </c>
      <c r="E473" t="inlineStr">
        <is>
          <t>Huella</t>
        </is>
      </c>
      <c r="F473" t="n">
        <v>1255.578381</v>
      </c>
    </row>
    <row r="474">
      <c r="A474" t="inlineStr">
        <is>
          <t>202512</t>
        </is>
      </c>
      <c r="B474" t="inlineStr">
        <is>
          <t>Comparación</t>
        </is>
      </c>
      <c r="C474" t="inlineStr">
        <is>
          <t>Ex_Integra</t>
        </is>
      </c>
      <c r="D474" t="inlineStr">
        <is>
          <t>WisdomTree - Quality Growth</t>
        </is>
      </c>
      <c r="E474" t="inlineStr">
        <is>
          <t>Intensidad</t>
        </is>
      </c>
      <c r="F474" t="n">
        <v>0.154814</v>
      </c>
    </row>
    <row r="475">
      <c r="A475" t="inlineStr">
        <is>
          <t>202512</t>
        </is>
      </c>
      <c r="B475" t="inlineStr">
        <is>
          <t>Comparación</t>
        </is>
      </c>
      <c r="C475" t="inlineStr">
        <is>
          <t>Ex_Integra</t>
        </is>
      </c>
      <c r="D475" t="inlineStr">
        <is>
          <t>WisdomTree - Quality Growth</t>
        </is>
      </c>
      <c r="E475" t="inlineStr">
        <is>
          <t>Inv MM$</t>
        </is>
      </c>
      <c r="F475" t="n">
        <v>148.423667</v>
      </c>
    </row>
    <row r="476">
      <c r="A476" t="inlineStr">
        <is>
          <t>202512</t>
        </is>
      </c>
      <c r="B476" t="inlineStr">
        <is>
          <t>Comparación</t>
        </is>
      </c>
      <c r="C476" t="inlineStr">
        <is>
          <t>Habitat</t>
        </is>
      </c>
      <c r="D476" t="inlineStr">
        <is>
          <t>AXA - World Funds Framligton Digital Economy</t>
        </is>
      </c>
      <c r="E476" t="inlineStr">
        <is>
          <t>Huella</t>
        </is>
      </c>
      <c r="F476" t="n">
        <v>0.109849</v>
      </c>
    </row>
    <row r="477">
      <c r="A477" t="inlineStr">
        <is>
          <t>202512</t>
        </is>
      </c>
      <c r="B477" t="inlineStr">
        <is>
          <t>Comparación</t>
        </is>
      </c>
      <c r="C477" t="inlineStr">
        <is>
          <t>Habitat</t>
        </is>
      </c>
      <c r="D477" t="inlineStr">
        <is>
          <t>AXA - World Funds Framligton Digital Economy</t>
        </is>
      </c>
      <c r="E477" t="inlineStr">
        <is>
          <t>Intensidad</t>
        </is>
      </c>
      <c r="F477" t="n">
        <v>6.3e-05</v>
      </c>
    </row>
    <row r="478">
      <c r="A478" t="inlineStr">
        <is>
          <t>202512</t>
        </is>
      </c>
      <c r="B478" t="inlineStr">
        <is>
          <t>Comparación</t>
        </is>
      </c>
      <c r="C478" t="inlineStr">
        <is>
          <t>Habitat</t>
        </is>
      </c>
      <c r="D478" t="inlineStr">
        <is>
          <t>AXA - World Funds Framligton Digital Economy</t>
        </is>
      </c>
      <c r="E478" t="inlineStr">
        <is>
          <t>Inv MM$</t>
        </is>
      </c>
      <c r="F478" t="n">
        <v>0.08013000000000001</v>
      </c>
    </row>
    <row r="479">
      <c r="A479" t="inlineStr">
        <is>
          <t>202512</t>
        </is>
      </c>
      <c r="B479" t="inlineStr">
        <is>
          <t>Comparación</t>
        </is>
      </c>
      <c r="C479" t="inlineStr">
        <is>
          <t>Habitat</t>
        </is>
      </c>
      <c r="D479" t="inlineStr">
        <is>
          <t>AXA World Funds - US Dynamic High Yield</t>
        </is>
      </c>
      <c r="E479" t="inlineStr">
        <is>
          <t>Huella</t>
        </is>
      </c>
      <c r="F479" t="n">
        <v>0.115634</v>
      </c>
    </row>
    <row r="480">
      <c r="A480" t="inlineStr">
        <is>
          <t>202512</t>
        </is>
      </c>
      <c r="B480" t="inlineStr">
        <is>
          <t>Comparación</t>
        </is>
      </c>
      <c r="C480" t="inlineStr">
        <is>
          <t>Habitat</t>
        </is>
      </c>
      <c r="D480" t="inlineStr">
        <is>
          <t>AXA World Funds - US Dynamic High Yield</t>
        </is>
      </c>
      <c r="E480" t="inlineStr">
        <is>
          <t>Intensidad</t>
        </is>
      </c>
      <c r="F480" t="n">
        <v>0.00023</v>
      </c>
    </row>
    <row r="481">
      <c r="A481" t="inlineStr">
        <is>
          <t>202512</t>
        </is>
      </c>
      <c r="B481" t="inlineStr">
        <is>
          <t>Comparación</t>
        </is>
      </c>
      <c r="C481" t="inlineStr">
        <is>
          <t>Habitat</t>
        </is>
      </c>
      <c r="D481" t="inlineStr">
        <is>
          <t>AXA World Funds - US Dynamic High Yield</t>
        </is>
      </c>
      <c r="E481" t="inlineStr">
        <is>
          <t>Inv MM$</t>
        </is>
      </c>
      <c r="F481" t="n">
        <v>0.001025</v>
      </c>
    </row>
    <row r="482">
      <c r="A482" t="inlineStr">
        <is>
          <t>202512</t>
        </is>
      </c>
      <c r="B482" t="inlineStr">
        <is>
          <t>Comparación</t>
        </is>
      </c>
      <c r="C482" t="inlineStr">
        <is>
          <t>Habitat</t>
        </is>
      </c>
      <c r="D482" t="inlineStr">
        <is>
          <t>Aegon High Yield Global Bond Fund</t>
        </is>
      </c>
      <c r="E482" t="inlineStr">
        <is>
          <t>Huella</t>
        </is>
      </c>
      <c r="F482" t="n">
        <v>597.221996</v>
      </c>
    </row>
    <row r="483">
      <c r="A483" t="inlineStr">
        <is>
          <t>202512</t>
        </is>
      </c>
      <c r="B483" t="inlineStr">
        <is>
          <t>Comparación</t>
        </is>
      </c>
      <c r="C483" t="inlineStr">
        <is>
          <t>Habitat</t>
        </is>
      </c>
      <c r="D483" t="inlineStr">
        <is>
          <t>Aegon High Yield Global Bond Fund</t>
        </is>
      </c>
      <c r="E483" t="inlineStr">
        <is>
          <t>Intensidad</t>
        </is>
      </c>
      <c r="F483" t="n">
        <v>0.586492</v>
      </c>
    </row>
    <row r="484">
      <c r="A484" t="inlineStr">
        <is>
          <t>202512</t>
        </is>
      </c>
      <c r="B484" t="inlineStr">
        <is>
          <t>Comparación</t>
        </is>
      </c>
      <c r="C484" t="inlineStr">
        <is>
          <t>Habitat</t>
        </is>
      </c>
      <c r="D484" t="inlineStr">
        <is>
          <t>Aegon High Yield Global Bond Fund</t>
        </is>
      </c>
      <c r="E484" t="inlineStr">
        <is>
          <t>Inv MM$</t>
        </is>
      </c>
      <c r="F484" t="n">
        <v>8.905331</v>
      </c>
    </row>
    <row r="485">
      <c r="A485" t="inlineStr">
        <is>
          <t>202512</t>
        </is>
      </c>
      <c r="B485" t="inlineStr">
        <is>
          <t>Comparación</t>
        </is>
      </c>
      <c r="C485" t="inlineStr">
        <is>
          <t>Habitat</t>
        </is>
      </c>
      <c r="D485" t="inlineStr">
        <is>
          <t>Aenza</t>
        </is>
      </c>
      <c r="E485" t="inlineStr">
        <is>
          <t>Huella</t>
        </is>
      </c>
      <c r="F485" t="n">
        <v>2926.789769</v>
      </c>
    </row>
    <row r="486">
      <c r="A486" t="inlineStr">
        <is>
          <t>202512</t>
        </is>
      </c>
      <c r="B486" t="inlineStr">
        <is>
          <t>Comparación</t>
        </is>
      </c>
      <c r="C486" t="inlineStr">
        <is>
          <t>Habitat</t>
        </is>
      </c>
      <c r="D486" t="inlineStr">
        <is>
          <t>Aenza</t>
        </is>
      </c>
      <c r="E486" t="inlineStr">
        <is>
          <t>Intensidad</t>
        </is>
      </c>
      <c r="F486" t="n">
        <v>1.506905</v>
      </c>
    </row>
    <row r="487">
      <c r="A487" t="inlineStr">
        <is>
          <t>202512</t>
        </is>
      </c>
      <c r="B487" t="inlineStr">
        <is>
          <t>Comparación</t>
        </is>
      </c>
      <c r="C487" t="inlineStr">
        <is>
          <t>Habitat</t>
        </is>
      </c>
      <c r="D487" t="inlineStr">
        <is>
          <t>Aenza</t>
        </is>
      </c>
      <c r="E487" t="inlineStr">
        <is>
          <t>Inv MM$</t>
        </is>
      </c>
      <c r="F487" t="n">
        <v>22.819194</v>
      </c>
    </row>
    <row r="488">
      <c r="A488" t="inlineStr">
        <is>
          <t>202512</t>
        </is>
      </c>
      <c r="B488" t="inlineStr">
        <is>
          <t>Comparación</t>
        </is>
      </c>
      <c r="C488" t="inlineStr">
        <is>
          <t>Habitat</t>
        </is>
      </c>
      <c r="D488" t="inlineStr">
        <is>
          <t>Alliance Bernstein - Emerging Markets Growth</t>
        </is>
      </c>
      <c r="E488" t="inlineStr">
        <is>
          <t>Huella</t>
        </is>
      </c>
      <c r="F488" t="n">
        <v>392.569922</v>
      </c>
    </row>
    <row r="489">
      <c r="A489" t="inlineStr">
        <is>
          <t>202512</t>
        </is>
      </c>
      <c r="B489" t="inlineStr">
        <is>
          <t>Comparación</t>
        </is>
      </c>
      <c r="C489" t="inlineStr">
        <is>
          <t>Habitat</t>
        </is>
      </c>
      <c r="D489" t="inlineStr">
        <is>
          <t>Alliance Bernstein - Emerging Markets Growth</t>
        </is>
      </c>
      <c r="E489" t="inlineStr">
        <is>
          <t>Intensidad</t>
        </is>
      </c>
      <c r="F489" t="n">
        <v>0.234934</v>
      </c>
    </row>
    <row r="490">
      <c r="A490" t="inlineStr">
        <is>
          <t>202512</t>
        </is>
      </c>
      <c r="B490" t="inlineStr">
        <is>
          <t>Comparación</t>
        </is>
      </c>
      <c r="C490" t="inlineStr">
        <is>
          <t>Habitat</t>
        </is>
      </c>
      <c r="D490" t="inlineStr">
        <is>
          <t>Alliance Bernstein - Emerging Markets Growth</t>
        </is>
      </c>
      <c r="E490" t="inlineStr">
        <is>
          <t>Inv MM$</t>
        </is>
      </c>
      <c r="F490" t="n">
        <v>4.33485</v>
      </c>
    </row>
    <row r="491">
      <c r="A491" t="inlineStr">
        <is>
          <t>202512</t>
        </is>
      </c>
      <c r="B491" t="inlineStr">
        <is>
          <t>Comparación</t>
        </is>
      </c>
      <c r="C491" t="inlineStr">
        <is>
          <t>Habitat</t>
        </is>
      </c>
      <c r="D491" t="inlineStr">
        <is>
          <t>Allianz - Artificial Intelligence</t>
        </is>
      </c>
      <c r="E491" t="inlineStr">
        <is>
          <t>Huella</t>
        </is>
      </c>
      <c r="F491" t="n">
        <v>39.697649</v>
      </c>
    </row>
    <row r="492">
      <c r="A492" t="inlineStr">
        <is>
          <t>202512</t>
        </is>
      </c>
      <c r="B492" t="inlineStr">
        <is>
          <t>Comparación</t>
        </is>
      </c>
      <c r="C492" t="inlineStr">
        <is>
          <t>Habitat</t>
        </is>
      </c>
      <c r="D492" t="inlineStr">
        <is>
          <t>Allianz - Artificial Intelligence</t>
        </is>
      </c>
      <c r="E492" t="inlineStr">
        <is>
          <t>Intensidad</t>
        </is>
      </c>
      <c r="F492" t="n">
        <v>0.02278</v>
      </c>
    </row>
    <row r="493">
      <c r="A493" t="inlineStr">
        <is>
          <t>202512</t>
        </is>
      </c>
      <c r="B493" t="inlineStr">
        <is>
          <t>Comparación</t>
        </is>
      </c>
      <c r="C493" t="inlineStr">
        <is>
          <t>Habitat</t>
        </is>
      </c>
      <c r="D493" t="inlineStr">
        <is>
          <t>Allianz - Artificial Intelligence</t>
        </is>
      </c>
      <c r="E493" t="inlineStr">
        <is>
          <t>Inv MM$</t>
        </is>
      </c>
      <c r="F493" t="n">
        <v>4.910277</v>
      </c>
    </row>
    <row r="494">
      <c r="A494" t="inlineStr">
        <is>
          <t>202512</t>
        </is>
      </c>
      <c r="B494" t="inlineStr">
        <is>
          <t>Comparación</t>
        </is>
      </c>
      <c r="C494" t="inlineStr">
        <is>
          <t>Habitat</t>
        </is>
      </c>
      <c r="D494" t="inlineStr">
        <is>
          <t>Allianz - China-A</t>
        </is>
      </c>
      <c r="E494" t="inlineStr">
        <is>
          <t>Huella</t>
        </is>
      </c>
      <c r="F494" t="n">
        <v>65.995482</v>
      </c>
    </row>
    <row r="495">
      <c r="A495" t="inlineStr">
        <is>
          <t>202512</t>
        </is>
      </c>
      <c r="B495" t="inlineStr">
        <is>
          <t>Comparación</t>
        </is>
      </c>
      <c r="C495" t="inlineStr">
        <is>
          <t>Habitat</t>
        </is>
      </c>
      <c r="D495" t="inlineStr">
        <is>
          <t>Allianz - China-A</t>
        </is>
      </c>
      <c r="E495" t="inlineStr">
        <is>
          <t>Intensidad</t>
        </is>
      </c>
      <c r="F495" t="n">
        <v>0.035755</v>
      </c>
    </row>
    <row r="496">
      <c r="A496" t="inlineStr">
        <is>
          <t>202512</t>
        </is>
      </c>
      <c r="B496" t="inlineStr">
        <is>
          <t>Comparación</t>
        </is>
      </c>
      <c r="C496" t="inlineStr">
        <is>
          <t>Habitat</t>
        </is>
      </c>
      <c r="D496" t="inlineStr">
        <is>
          <t>Allianz - China-A</t>
        </is>
      </c>
      <c r="E496" t="inlineStr">
        <is>
          <t>Inv MM$</t>
        </is>
      </c>
      <c r="F496" t="n">
        <v>1.842109</v>
      </c>
    </row>
    <row r="497">
      <c r="A497" t="inlineStr">
        <is>
          <t>202512</t>
        </is>
      </c>
      <c r="B497" t="inlineStr">
        <is>
          <t>Comparación</t>
        </is>
      </c>
      <c r="C497" t="inlineStr">
        <is>
          <t>Habitat</t>
        </is>
      </c>
      <c r="D497" t="inlineStr">
        <is>
          <t>Allianz - Euroland Equity Growth</t>
        </is>
      </c>
      <c r="E497" t="inlineStr">
        <is>
          <t>Huella</t>
        </is>
      </c>
      <c r="F497" t="n">
        <v>23.167817</v>
      </c>
    </row>
    <row r="498">
      <c r="A498" t="inlineStr">
        <is>
          <t>202512</t>
        </is>
      </c>
      <c r="B498" t="inlineStr">
        <is>
          <t>Comparación</t>
        </is>
      </c>
      <c r="C498" t="inlineStr">
        <is>
          <t>Habitat</t>
        </is>
      </c>
      <c r="D498" t="inlineStr">
        <is>
          <t>Allianz - Euroland Equity Growth</t>
        </is>
      </c>
      <c r="E498" t="inlineStr">
        <is>
          <t>Intensidad</t>
        </is>
      </c>
      <c r="F498" t="n">
        <v>0.014949</v>
      </c>
    </row>
    <row r="499">
      <c r="A499" t="inlineStr">
        <is>
          <t>202512</t>
        </is>
      </c>
      <c r="B499" t="inlineStr">
        <is>
          <t>Comparación</t>
        </is>
      </c>
      <c r="C499" t="inlineStr">
        <is>
          <t>Habitat</t>
        </is>
      </c>
      <c r="D499" t="inlineStr">
        <is>
          <t>Allianz - Euroland Equity Growth</t>
        </is>
      </c>
      <c r="E499" t="inlineStr">
        <is>
          <t>Inv MM$</t>
        </is>
      </c>
      <c r="F499" t="n">
        <v>0.703201</v>
      </c>
    </row>
    <row r="500">
      <c r="A500" t="inlineStr">
        <is>
          <t>202512</t>
        </is>
      </c>
      <c r="B500" t="inlineStr">
        <is>
          <t>Comparación</t>
        </is>
      </c>
      <c r="C500" t="inlineStr">
        <is>
          <t>Habitat</t>
        </is>
      </c>
      <c r="D500" t="inlineStr">
        <is>
          <t>Amundi / Pioneer - Global Subordinated</t>
        </is>
      </c>
      <c r="E500" t="inlineStr">
        <is>
          <t>Huella</t>
        </is>
      </c>
      <c r="F500" t="n">
        <v>6.964889</v>
      </c>
    </row>
    <row r="501">
      <c r="A501" t="inlineStr">
        <is>
          <t>202512</t>
        </is>
      </c>
      <c r="B501" t="inlineStr">
        <is>
          <t>Comparación</t>
        </is>
      </c>
      <c r="C501" t="inlineStr">
        <is>
          <t>Habitat</t>
        </is>
      </c>
      <c r="D501" t="inlineStr">
        <is>
          <t>Amundi / Pioneer - Global Subordinated</t>
        </is>
      </c>
      <c r="E501" t="inlineStr">
        <is>
          <t>Intensidad</t>
        </is>
      </c>
      <c r="F501" t="n">
        <v>0.013868</v>
      </c>
    </row>
    <row r="502">
      <c r="A502" t="inlineStr">
        <is>
          <t>202512</t>
        </is>
      </c>
      <c r="B502" t="inlineStr">
        <is>
          <t>Comparación</t>
        </is>
      </c>
      <c r="C502" t="inlineStr">
        <is>
          <t>Habitat</t>
        </is>
      </c>
      <c r="D502" t="inlineStr">
        <is>
          <t>Amundi / Pioneer - Global Subordinated</t>
        </is>
      </c>
      <c r="E502" t="inlineStr">
        <is>
          <t>Inv MM$</t>
        </is>
      </c>
      <c r="F502" t="n">
        <v>0.139932</v>
      </c>
    </row>
    <row r="503">
      <c r="A503" t="inlineStr">
        <is>
          <t>202512</t>
        </is>
      </c>
      <c r="B503" t="inlineStr">
        <is>
          <t>Comparación</t>
        </is>
      </c>
      <c r="C503" t="inlineStr">
        <is>
          <t>Habitat</t>
        </is>
      </c>
      <c r="D503" t="inlineStr">
        <is>
          <t>Ashmore - Emerging Markets Frontier Equities</t>
        </is>
      </c>
      <c r="E503" t="inlineStr">
        <is>
          <t>Huella</t>
        </is>
      </c>
      <c r="F503" t="n">
        <v>0.089725</v>
      </c>
    </row>
    <row r="504">
      <c r="A504" t="inlineStr">
        <is>
          <t>202512</t>
        </is>
      </c>
      <c r="B504" t="inlineStr">
        <is>
          <t>Comparación</t>
        </is>
      </c>
      <c r="C504" t="inlineStr">
        <is>
          <t>Habitat</t>
        </is>
      </c>
      <c r="D504" t="inlineStr">
        <is>
          <t>Ashmore - Emerging Markets Frontier Equities</t>
        </is>
      </c>
      <c r="E504" t="inlineStr">
        <is>
          <t>Intensidad</t>
        </is>
      </c>
      <c r="F504" t="n">
        <v>7.2e-05</v>
      </c>
    </row>
    <row r="505">
      <c r="A505" t="inlineStr">
        <is>
          <t>202512</t>
        </is>
      </c>
      <c r="B505" t="inlineStr">
        <is>
          <t>Comparación</t>
        </is>
      </c>
      <c r="C505" t="inlineStr">
        <is>
          <t>Habitat</t>
        </is>
      </c>
      <c r="D505" t="inlineStr">
        <is>
          <t>Ashmore - Emerging Markets Frontier Equities</t>
        </is>
      </c>
      <c r="E505" t="inlineStr">
        <is>
          <t>Inv MM$</t>
        </is>
      </c>
      <c r="F505" t="n">
        <v>0.001547</v>
      </c>
    </row>
    <row r="506">
      <c r="A506" t="inlineStr">
        <is>
          <t>202512</t>
        </is>
      </c>
      <c r="B506" t="inlineStr">
        <is>
          <t>Comparación</t>
        </is>
      </c>
      <c r="C506" t="inlineStr">
        <is>
          <t>Habitat</t>
        </is>
      </c>
      <c r="D506" t="inlineStr">
        <is>
          <t>Azimut Investments SA - AZ Fund 3, AZ Bond Frontier Markets Debt</t>
        </is>
      </c>
      <c r="E506" t="inlineStr">
        <is>
          <t>Huella</t>
        </is>
      </c>
      <c r="F506" t="n">
        <v>8.210298</v>
      </c>
    </row>
    <row r="507">
      <c r="A507" t="inlineStr">
        <is>
          <t>202512</t>
        </is>
      </c>
      <c r="B507" t="inlineStr">
        <is>
          <t>Comparación</t>
        </is>
      </c>
      <c r="C507" t="inlineStr">
        <is>
          <t>Habitat</t>
        </is>
      </c>
      <c r="D507" t="inlineStr">
        <is>
          <t>Azimut Investments SA - AZ Fund 3, AZ Bond Frontier Markets Debt</t>
        </is>
      </c>
      <c r="E507" t="inlineStr">
        <is>
          <t>Intensidad</t>
        </is>
      </c>
      <c r="F507" t="n">
        <v>0.002005</v>
      </c>
    </row>
    <row r="508">
      <c r="A508" t="inlineStr">
        <is>
          <t>202512</t>
        </is>
      </c>
      <c r="B508" t="inlineStr">
        <is>
          <t>Comparación</t>
        </is>
      </c>
      <c r="C508" t="inlineStr">
        <is>
          <t>Habitat</t>
        </is>
      </c>
      <c r="D508" t="inlineStr">
        <is>
          <t>Azimut Investments SA - AZ Fund 3, AZ Bond Frontier Markets Debt</t>
        </is>
      </c>
      <c r="E508" t="inlineStr">
        <is>
          <t>Inv MM$</t>
        </is>
      </c>
      <c r="F508" t="n">
        <v>5.417135</v>
      </c>
    </row>
    <row r="509">
      <c r="A509" t="inlineStr">
        <is>
          <t>202512</t>
        </is>
      </c>
      <c r="B509" t="inlineStr">
        <is>
          <t>Comparación</t>
        </is>
      </c>
      <c r="C509" t="inlineStr">
        <is>
          <t>Habitat</t>
        </is>
      </c>
      <c r="D509" t="inlineStr">
        <is>
          <t>BD Capital - Senior Loans 2</t>
        </is>
      </c>
      <c r="E509" t="inlineStr">
        <is>
          <t>Huella</t>
        </is>
      </c>
      <c r="F509" t="n">
        <v>823.904659</v>
      </c>
    </row>
    <row r="510">
      <c r="A510" t="inlineStr">
        <is>
          <t>202512</t>
        </is>
      </c>
      <c r="B510" t="inlineStr">
        <is>
          <t>Comparación</t>
        </is>
      </c>
      <c r="C510" t="inlineStr">
        <is>
          <t>Habitat</t>
        </is>
      </c>
      <c r="D510" t="inlineStr">
        <is>
          <t>BD Capital - Senior Loans 2</t>
        </is>
      </c>
      <c r="E510" t="inlineStr">
        <is>
          <t>Intensidad</t>
        </is>
      </c>
      <c r="F510" t="n">
        <v>0.340285</v>
      </c>
    </row>
    <row r="511">
      <c r="A511" t="inlineStr">
        <is>
          <t>202512</t>
        </is>
      </c>
      <c r="B511" t="inlineStr">
        <is>
          <t>Comparación</t>
        </is>
      </c>
      <c r="C511" t="inlineStr">
        <is>
          <t>Habitat</t>
        </is>
      </c>
      <c r="D511" t="inlineStr">
        <is>
          <t>BD Capital - Senior Loans 2</t>
        </is>
      </c>
      <c r="E511" t="inlineStr">
        <is>
          <t>Inv MM$</t>
        </is>
      </c>
      <c r="F511" t="n">
        <v>6.740766</v>
      </c>
    </row>
    <row r="512">
      <c r="A512" t="inlineStr">
        <is>
          <t>202512</t>
        </is>
      </c>
      <c r="B512" t="inlineStr">
        <is>
          <t>Comparación</t>
        </is>
      </c>
      <c r="C512" t="inlineStr">
        <is>
          <t>Habitat</t>
        </is>
      </c>
      <c r="D512" t="inlineStr">
        <is>
          <t>BNP Paribas - Japan Small Caps</t>
        </is>
      </c>
      <c r="E512" t="inlineStr">
        <is>
          <t>Huella</t>
        </is>
      </c>
      <c r="F512" t="n">
        <v>10876.588554</v>
      </c>
    </row>
    <row r="513">
      <c r="A513" t="inlineStr">
        <is>
          <t>202512</t>
        </is>
      </c>
      <c r="B513" t="inlineStr">
        <is>
          <t>Comparación</t>
        </is>
      </c>
      <c r="C513" t="inlineStr">
        <is>
          <t>Habitat</t>
        </is>
      </c>
      <c r="D513" t="inlineStr">
        <is>
          <t>BNP Paribas - Japan Small Caps</t>
        </is>
      </c>
      <c r="E513" t="inlineStr">
        <is>
          <t>Intensidad</t>
        </is>
      </c>
      <c r="F513" t="n">
        <v>4.450315</v>
      </c>
    </row>
    <row r="514">
      <c r="A514" t="inlineStr">
        <is>
          <t>202512</t>
        </is>
      </c>
      <c r="B514" t="inlineStr">
        <is>
          <t>Comparación</t>
        </is>
      </c>
      <c r="C514" t="inlineStr">
        <is>
          <t>Habitat</t>
        </is>
      </c>
      <c r="D514" t="inlineStr">
        <is>
          <t>BNP Paribas - Japan Small Caps</t>
        </is>
      </c>
      <c r="E514" t="inlineStr">
        <is>
          <t>Inv MM$</t>
        </is>
      </c>
      <c r="F514" t="n">
        <v>89.60227399999999</v>
      </c>
    </row>
    <row r="515">
      <c r="A515" t="inlineStr">
        <is>
          <t>202512</t>
        </is>
      </c>
      <c r="B515" t="inlineStr">
        <is>
          <t>Comparación</t>
        </is>
      </c>
      <c r="C515" t="inlineStr">
        <is>
          <t>Habitat</t>
        </is>
      </c>
      <c r="D515" t="inlineStr">
        <is>
          <t>Barings - Emerging Markets Local Debt Fund</t>
        </is>
      </c>
      <c r="E515" t="inlineStr">
        <is>
          <t>Huella</t>
        </is>
      </c>
      <c r="F515" t="n">
        <v>0.816535</v>
      </c>
    </row>
    <row r="516">
      <c r="A516" t="inlineStr">
        <is>
          <t>202512</t>
        </is>
      </c>
      <c r="B516" t="inlineStr">
        <is>
          <t>Comparación</t>
        </is>
      </c>
      <c r="C516" t="inlineStr">
        <is>
          <t>Habitat</t>
        </is>
      </c>
      <c r="D516" t="inlineStr">
        <is>
          <t>Barings - Emerging Markets Local Debt Fund</t>
        </is>
      </c>
      <c r="E516" t="inlineStr">
        <is>
          <t>Intensidad</t>
        </is>
      </c>
      <c r="F516" t="n">
        <v>0.0002</v>
      </c>
    </row>
    <row r="517">
      <c r="A517" t="inlineStr">
        <is>
          <t>202512</t>
        </is>
      </c>
      <c r="B517" t="inlineStr">
        <is>
          <t>Comparación</t>
        </is>
      </c>
      <c r="C517" t="inlineStr">
        <is>
          <t>Habitat</t>
        </is>
      </c>
      <c r="D517" t="inlineStr">
        <is>
          <t>Barings - Emerging Markets Local Debt Fund</t>
        </is>
      </c>
      <c r="E517" t="inlineStr">
        <is>
          <t>Inv MM$</t>
        </is>
      </c>
      <c r="F517" t="n">
        <v>0.335383</v>
      </c>
    </row>
    <row r="518">
      <c r="A518" t="inlineStr">
        <is>
          <t>202512</t>
        </is>
      </c>
      <c r="B518" t="inlineStr">
        <is>
          <t>Comparación</t>
        </is>
      </c>
      <c r="C518" t="inlineStr">
        <is>
          <t>Habitat</t>
        </is>
      </c>
      <c r="D518" t="inlineStr">
        <is>
          <t>Black Rock - World Technology Fund</t>
        </is>
      </c>
      <c r="E518" t="inlineStr">
        <is>
          <t>Huella</t>
        </is>
      </c>
      <c r="F518" t="n">
        <v>63.371515</v>
      </c>
    </row>
    <row r="519">
      <c r="A519" t="inlineStr">
        <is>
          <t>202512</t>
        </is>
      </c>
      <c r="B519" t="inlineStr">
        <is>
          <t>Comparación</t>
        </is>
      </c>
      <c r="C519" t="inlineStr">
        <is>
          <t>Habitat</t>
        </is>
      </c>
      <c r="D519" t="inlineStr">
        <is>
          <t>Black Rock - World Technology Fund</t>
        </is>
      </c>
      <c r="E519" t="inlineStr">
        <is>
          <t>Intensidad</t>
        </is>
      </c>
      <c r="F519" t="n">
        <v>0.028518</v>
      </c>
    </row>
    <row r="520">
      <c r="A520" t="inlineStr">
        <is>
          <t>202512</t>
        </is>
      </c>
      <c r="B520" t="inlineStr">
        <is>
          <t>Comparación</t>
        </is>
      </c>
      <c r="C520" t="inlineStr">
        <is>
          <t>Habitat</t>
        </is>
      </c>
      <c r="D520" t="inlineStr">
        <is>
          <t>Black Rock - World Technology Fund</t>
        </is>
      </c>
      <c r="E520" t="inlineStr">
        <is>
          <t>Inv MM$</t>
        </is>
      </c>
      <c r="F520" t="n">
        <v>23.654512</v>
      </c>
    </row>
    <row r="521">
      <c r="A521" t="inlineStr">
        <is>
          <t>202512</t>
        </is>
      </c>
      <c r="B521" t="inlineStr">
        <is>
          <t>Comparación</t>
        </is>
      </c>
      <c r="C521" t="inlineStr">
        <is>
          <t>Habitat</t>
        </is>
      </c>
      <c r="D521" t="inlineStr">
        <is>
          <t>BlackRock - iShares Convertible Bond ETF</t>
        </is>
      </c>
      <c r="E521" t="inlineStr">
        <is>
          <t>Huella</t>
        </is>
      </c>
      <c r="F521" t="n">
        <v>1001.818096</v>
      </c>
    </row>
    <row r="522">
      <c r="A522" t="inlineStr">
        <is>
          <t>202512</t>
        </is>
      </c>
      <c r="B522" t="inlineStr">
        <is>
          <t>Comparación</t>
        </is>
      </c>
      <c r="C522" t="inlineStr">
        <is>
          <t>Habitat</t>
        </is>
      </c>
      <c r="D522" t="inlineStr">
        <is>
          <t>BlackRock - iShares Convertible Bond ETF</t>
        </is>
      </c>
      <c r="E522" t="inlineStr">
        <is>
          <t>Intensidad</t>
        </is>
      </c>
      <c r="F522" t="n">
        <v>1.99476</v>
      </c>
    </row>
    <row r="523">
      <c r="A523" t="inlineStr">
        <is>
          <t>202512</t>
        </is>
      </c>
      <c r="B523" t="inlineStr">
        <is>
          <t>Comparación</t>
        </is>
      </c>
      <c r="C523" t="inlineStr">
        <is>
          <t>Habitat</t>
        </is>
      </c>
      <c r="D523" t="inlineStr">
        <is>
          <t>BlackRock - iShares Convertible Bond ETF</t>
        </is>
      </c>
      <c r="E523" t="inlineStr">
        <is>
          <t>Inv MM$</t>
        </is>
      </c>
      <c r="F523" t="n">
        <v>18.031615</v>
      </c>
    </row>
    <row r="524">
      <c r="A524" t="inlineStr">
        <is>
          <t>202512</t>
        </is>
      </c>
      <c r="B524" t="inlineStr">
        <is>
          <t>Comparación</t>
        </is>
      </c>
      <c r="C524" t="inlineStr">
        <is>
          <t>Habitat</t>
        </is>
      </c>
      <c r="D524" t="inlineStr">
        <is>
          <t>BlackRock - iShares Core S&amp;P 500</t>
        </is>
      </c>
      <c r="E524" t="inlineStr">
        <is>
          <t>Huella</t>
        </is>
      </c>
      <c r="F524" t="n">
        <v>3640.08767</v>
      </c>
    </row>
    <row r="525">
      <c r="A525" t="inlineStr">
        <is>
          <t>202512</t>
        </is>
      </c>
      <c r="B525" t="inlineStr">
        <is>
          <t>Comparación</t>
        </is>
      </c>
      <c r="C525" t="inlineStr">
        <is>
          <t>Habitat</t>
        </is>
      </c>
      <c r="D525" t="inlineStr">
        <is>
          <t>BlackRock - iShares Core S&amp;P 500</t>
        </is>
      </c>
      <c r="E525" t="inlineStr">
        <is>
          <t>Intensidad</t>
        </is>
      </c>
      <c r="F525" t="n">
        <v>1.269102</v>
      </c>
    </row>
    <row r="526">
      <c r="A526" t="inlineStr">
        <is>
          <t>202512</t>
        </is>
      </c>
      <c r="B526" t="inlineStr">
        <is>
          <t>Comparación</t>
        </is>
      </c>
      <c r="C526" t="inlineStr">
        <is>
          <t>Habitat</t>
        </is>
      </c>
      <c r="D526" t="inlineStr">
        <is>
          <t>BlackRock - iShares Core S&amp;P 500</t>
        </is>
      </c>
      <c r="E526" t="inlineStr">
        <is>
          <t>Inv MM$</t>
        </is>
      </c>
      <c r="F526" t="n">
        <v>160.313228</v>
      </c>
    </row>
    <row r="527">
      <c r="A527" t="inlineStr">
        <is>
          <t>202512</t>
        </is>
      </c>
      <c r="B527" t="inlineStr">
        <is>
          <t>Comparación</t>
        </is>
      </c>
      <c r="C527" t="inlineStr">
        <is>
          <t>Habitat</t>
        </is>
      </c>
      <c r="D527" t="inlineStr">
        <is>
          <t>BlackRock - iShares Global Energy ETF</t>
        </is>
      </c>
      <c r="E527" t="inlineStr">
        <is>
          <t>Huella</t>
        </is>
      </c>
      <c r="F527" t="n">
        <v>0.018782</v>
      </c>
    </row>
    <row r="528">
      <c r="A528" t="inlineStr">
        <is>
          <t>202512</t>
        </is>
      </c>
      <c r="B528" t="inlineStr">
        <is>
          <t>Comparación</t>
        </is>
      </c>
      <c r="C528" t="inlineStr">
        <is>
          <t>Habitat</t>
        </is>
      </c>
      <c r="D528" t="inlineStr">
        <is>
          <t>BlackRock - iShares Global Energy ETF</t>
        </is>
      </c>
      <c r="E528" t="inlineStr">
        <is>
          <t>Intensidad</t>
        </is>
      </c>
      <c r="F528" t="n">
        <v>5e-06</v>
      </c>
    </row>
    <row r="529">
      <c r="A529" t="inlineStr">
        <is>
          <t>202512</t>
        </is>
      </c>
      <c r="B529" t="inlineStr">
        <is>
          <t>Comparación</t>
        </is>
      </c>
      <c r="C529" t="inlineStr">
        <is>
          <t>Habitat</t>
        </is>
      </c>
      <c r="D529" t="inlineStr">
        <is>
          <t>BlackRock - iShares Global Energy ETF</t>
        </is>
      </c>
      <c r="E529" t="inlineStr">
        <is>
          <t>Inv MM$</t>
        </is>
      </c>
      <c r="F529" t="n">
        <v>8.2e-05</v>
      </c>
    </row>
    <row r="530">
      <c r="A530" t="inlineStr">
        <is>
          <t>202512</t>
        </is>
      </c>
      <c r="B530" t="inlineStr">
        <is>
          <t>Comparación</t>
        </is>
      </c>
      <c r="C530" t="inlineStr">
        <is>
          <t>Habitat</t>
        </is>
      </c>
      <c r="D530" t="inlineStr">
        <is>
          <t>BlackRock - iShares MSCI Brazil</t>
        </is>
      </c>
      <c r="E530" t="inlineStr">
        <is>
          <t>Huella</t>
        </is>
      </c>
      <c r="F530" t="n">
        <v>5583.56393</v>
      </c>
    </row>
    <row r="531">
      <c r="A531" t="inlineStr">
        <is>
          <t>202512</t>
        </is>
      </c>
      <c r="B531" t="inlineStr">
        <is>
          <t>Comparación</t>
        </is>
      </c>
      <c r="C531" t="inlineStr">
        <is>
          <t>Habitat</t>
        </is>
      </c>
      <c r="D531" t="inlineStr">
        <is>
          <t>BlackRock - iShares MSCI Brazil</t>
        </is>
      </c>
      <c r="E531" t="inlineStr">
        <is>
          <t>Intensidad</t>
        </is>
      </c>
      <c r="F531" t="n">
        <v>2.67897</v>
      </c>
    </row>
    <row r="532">
      <c r="A532" t="inlineStr">
        <is>
          <t>202512</t>
        </is>
      </c>
      <c r="B532" t="inlineStr">
        <is>
          <t>Comparación</t>
        </is>
      </c>
      <c r="C532" t="inlineStr">
        <is>
          <t>Habitat</t>
        </is>
      </c>
      <c r="D532" t="inlineStr">
        <is>
          <t>BlackRock - iShares MSCI Brazil</t>
        </is>
      </c>
      <c r="E532" t="inlineStr">
        <is>
          <t>Inv MM$</t>
        </is>
      </c>
      <c r="F532" t="n">
        <v>60.892254</v>
      </c>
    </row>
    <row r="533">
      <c r="A533" t="inlineStr">
        <is>
          <t>202512</t>
        </is>
      </c>
      <c r="B533" t="inlineStr">
        <is>
          <t>Comparación</t>
        </is>
      </c>
      <c r="C533" t="inlineStr">
        <is>
          <t>Habitat</t>
        </is>
      </c>
      <c r="D533" t="inlineStr">
        <is>
          <t>BlackRock - iShares MSCI Europe Financials</t>
        </is>
      </c>
      <c r="E533" t="inlineStr">
        <is>
          <t>Huella</t>
        </is>
      </c>
      <c r="F533" t="n">
        <v>2e-06</v>
      </c>
    </row>
    <row r="534">
      <c r="A534" t="inlineStr">
        <is>
          <t>202512</t>
        </is>
      </c>
      <c r="B534" t="inlineStr">
        <is>
          <t>Comparación</t>
        </is>
      </c>
      <c r="C534" t="inlineStr">
        <is>
          <t>Habitat</t>
        </is>
      </c>
      <c r="D534" t="inlineStr">
        <is>
          <t>BlackRock - iShares MSCI Europe Financials</t>
        </is>
      </c>
      <c r="E534" t="inlineStr">
        <is>
          <t>Intensidad</t>
        </is>
      </c>
      <c r="F534" t="n">
        <v>0</v>
      </c>
    </row>
    <row r="535">
      <c r="A535" t="inlineStr">
        <is>
          <t>202512</t>
        </is>
      </c>
      <c r="B535" t="inlineStr">
        <is>
          <t>Comparación</t>
        </is>
      </c>
      <c r="C535" t="inlineStr">
        <is>
          <t>Habitat</t>
        </is>
      </c>
      <c r="D535" t="inlineStr">
        <is>
          <t>BlackRock - iShares MSCI Europe Financials</t>
        </is>
      </c>
      <c r="E535" t="inlineStr">
        <is>
          <t>Inv MM$</t>
        </is>
      </c>
      <c r="F535" t="n">
        <v>4e-06</v>
      </c>
    </row>
    <row r="536">
      <c r="A536" t="inlineStr">
        <is>
          <t>202512</t>
        </is>
      </c>
      <c r="B536" t="inlineStr">
        <is>
          <t>Comparación</t>
        </is>
      </c>
      <c r="C536" t="inlineStr">
        <is>
          <t>Habitat</t>
        </is>
      </c>
      <c r="D536" t="inlineStr">
        <is>
          <t>BlackRock - iShares PHLX Semiconductor ETF</t>
        </is>
      </c>
      <c r="E536" t="inlineStr">
        <is>
          <t>Huella</t>
        </is>
      </c>
      <c r="F536" t="n">
        <v>1759.85763</v>
      </c>
    </row>
    <row r="537">
      <c r="A537" t="inlineStr">
        <is>
          <t>202512</t>
        </is>
      </c>
      <c r="B537" t="inlineStr">
        <is>
          <t>Comparación</t>
        </is>
      </c>
      <c r="C537" t="inlineStr">
        <is>
          <t>Habitat</t>
        </is>
      </c>
      <c r="D537" t="inlineStr">
        <is>
          <t>BlackRock - iShares PHLX Semiconductor ETF</t>
        </is>
      </c>
      <c r="E537" t="inlineStr">
        <is>
          <t>Intensidad</t>
        </is>
      </c>
      <c r="F537" t="n">
        <v>0.845816</v>
      </c>
    </row>
    <row r="538">
      <c r="A538" t="inlineStr">
        <is>
          <t>202512</t>
        </is>
      </c>
      <c r="B538" t="inlineStr">
        <is>
          <t>Comparación</t>
        </is>
      </c>
      <c r="C538" t="inlineStr">
        <is>
          <t>Habitat</t>
        </is>
      </c>
      <c r="D538" t="inlineStr">
        <is>
          <t>BlackRock - iShares PHLX Semiconductor ETF</t>
        </is>
      </c>
      <c r="E538" t="inlineStr">
        <is>
          <t>Inv MM$</t>
        </is>
      </c>
      <c r="F538" t="n">
        <v>208.058846</v>
      </c>
    </row>
    <row r="539">
      <c r="A539" t="inlineStr">
        <is>
          <t>202512</t>
        </is>
      </c>
      <c r="B539" t="inlineStr">
        <is>
          <t>Comparación</t>
        </is>
      </c>
      <c r="C539" t="inlineStr">
        <is>
          <t>Habitat</t>
        </is>
      </c>
      <c r="D539" t="inlineStr">
        <is>
          <t>BlackRock - iShares iBoxx High Yield Corporate Bond</t>
        </is>
      </c>
      <c r="E539" t="inlineStr">
        <is>
          <t>Huella</t>
        </is>
      </c>
      <c r="F539" t="n">
        <v>1133.098497</v>
      </c>
    </row>
    <row r="540">
      <c r="A540" t="inlineStr">
        <is>
          <t>202512</t>
        </is>
      </c>
      <c r="B540" t="inlineStr">
        <is>
          <t>Comparación</t>
        </is>
      </c>
      <c r="C540" t="inlineStr">
        <is>
          <t>Habitat</t>
        </is>
      </c>
      <c r="D540" t="inlineStr">
        <is>
          <t>BlackRock - iShares iBoxx High Yield Corporate Bond</t>
        </is>
      </c>
      <c r="E540" t="inlineStr">
        <is>
          <t>Intensidad</t>
        </is>
      </c>
      <c r="F540" t="n">
        <v>0.650483</v>
      </c>
    </row>
    <row r="541">
      <c r="A541" t="inlineStr">
        <is>
          <t>202512</t>
        </is>
      </c>
      <c r="B541" t="inlineStr">
        <is>
          <t>Comparación</t>
        </is>
      </c>
      <c r="C541" t="inlineStr">
        <is>
          <t>Habitat</t>
        </is>
      </c>
      <c r="D541" t="inlineStr">
        <is>
          <t>BlackRock - iShares iBoxx High Yield Corporate Bond</t>
        </is>
      </c>
      <c r="E541" t="inlineStr">
        <is>
          <t>Inv MM$</t>
        </is>
      </c>
      <c r="F541" t="n">
        <v>9.270431</v>
      </c>
    </row>
    <row r="542">
      <c r="A542" t="inlineStr">
        <is>
          <t>202512</t>
        </is>
      </c>
      <c r="B542" t="inlineStr">
        <is>
          <t>Comparación</t>
        </is>
      </c>
      <c r="C542" t="inlineStr">
        <is>
          <t>Habitat</t>
        </is>
      </c>
      <c r="D542" t="inlineStr">
        <is>
          <t>BlueBay - EM Debt Unconstrained</t>
        </is>
      </c>
      <c r="E542" t="inlineStr">
        <is>
          <t>Huella</t>
        </is>
      </c>
      <c r="F542" t="n">
        <v>969.4510309999999</v>
      </c>
    </row>
    <row r="543">
      <c r="A543" t="inlineStr">
        <is>
          <t>202512</t>
        </is>
      </c>
      <c r="B543" t="inlineStr">
        <is>
          <t>Comparación</t>
        </is>
      </c>
      <c r="C543" t="inlineStr">
        <is>
          <t>Habitat</t>
        </is>
      </c>
      <c r="D543" t="inlineStr">
        <is>
          <t>BlueBay - EM Debt Unconstrained</t>
        </is>
      </c>
      <c r="E543" t="inlineStr">
        <is>
          <t>Intensidad</t>
        </is>
      </c>
      <c r="F543" t="n">
        <v>1.930276</v>
      </c>
    </row>
    <row r="544">
      <c r="A544" t="inlineStr">
        <is>
          <t>202512</t>
        </is>
      </c>
      <c r="B544" t="inlineStr">
        <is>
          <t>Comparación</t>
        </is>
      </c>
      <c r="C544" t="inlineStr">
        <is>
          <t>Habitat</t>
        </is>
      </c>
      <c r="D544" t="inlineStr">
        <is>
          <t>BlueBay - EM Debt Unconstrained</t>
        </is>
      </c>
      <c r="E544" t="inlineStr">
        <is>
          <t>Inv MM$</t>
        </is>
      </c>
      <c r="F544" t="n">
        <v>9.50531</v>
      </c>
    </row>
    <row r="545">
      <c r="A545" t="inlineStr">
        <is>
          <t>202512</t>
        </is>
      </c>
      <c r="B545" t="inlineStr">
        <is>
          <t>Comparación</t>
        </is>
      </c>
      <c r="C545" t="inlineStr">
        <is>
          <t>Habitat</t>
        </is>
      </c>
      <c r="D545" t="inlineStr">
        <is>
          <t>BlueBay - Financial Capital Bond - U</t>
        </is>
      </c>
      <c r="E545" t="inlineStr">
        <is>
          <t>Huella</t>
        </is>
      </c>
      <c r="F545" t="n">
        <v>1.02957</v>
      </c>
    </row>
    <row r="546">
      <c r="A546" t="inlineStr">
        <is>
          <t>202512</t>
        </is>
      </c>
      <c r="B546" t="inlineStr">
        <is>
          <t>Comparación</t>
        </is>
      </c>
      <c r="C546" t="inlineStr">
        <is>
          <t>Habitat</t>
        </is>
      </c>
      <c r="D546" t="inlineStr">
        <is>
          <t>BlueBay - Financial Capital Bond - U</t>
        </is>
      </c>
      <c r="E546" t="inlineStr">
        <is>
          <t>Intensidad</t>
        </is>
      </c>
      <c r="F546" t="n">
        <v>0.00205</v>
      </c>
    </row>
    <row r="547">
      <c r="A547" t="inlineStr">
        <is>
          <t>202512</t>
        </is>
      </c>
      <c r="B547" t="inlineStr">
        <is>
          <t>Comparación</t>
        </is>
      </c>
      <c r="C547" t="inlineStr">
        <is>
          <t>Habitat</t>
        </is>
      </c>
      <c r="D547" t="inlineStr">
        <is>
          <t>BlueBay - Financial Capital Bond - U</t>
        </is>
      </c>
      <c r="E547" t="inlineStr">
        <is>
          <t>Inv MM$</t>
        </is>
      </c>
      <c r="F547" t="n">
        <v>2.005657</v>
      </c>
    </row>
    <row r="548">
      <c r="A548" t="inlineStr">
        <is>
          <t>202512</t>
        </is>
      </c>
      <c r="B548" t="inlineStr">
        <is>
          <t>Comparación</t>
        </is>
      </c>
      <c r="C548" t="inlineStr">
        <is>
          <t>Habitat</t>
        </is>
      </c>
      <c r="D548" t="inlineStr">
        <is>
          <t>Buenaventura*</t>
        </is>
      </c>
      <c r="E548" t="inlineStr">
        <is>
          <t>Huella</t>
        </is>
      </c>
      <c r="F548" t="n">
        <v>12277.767862</v>
      </c>
    </row>
    <row r="549">
      <c r="A549" t="inlineStr">
        <is>
          <t>202512</t>
        </is>
      </c>
      <c r="B549" t="inlineStr">
        <is>
          <t>Comparación</t>
        </is>
      </c>
      <c r="C549" t="inlineStr">
        <is>
          <t>Habitat</t>
        </is>
      </c>
      <c r="D549" t="inlineStr">
        <is>
          <t>Buenaventura*</t>
        </is>
      </c>
      <c r="E549" t="inlineStr">
        <is>
          <t>Intensidad</t>
        </is>
      </c>
      <c r="F549" t="n">
        <v>4.789297</v>
      </c>
    </row>
    <row r="550">
      <c r="A550" t="inlineStr">
        <is>
          <t>202512</t>
        </is>
      </c>
      <c r="B550" t="inlineStr">
        <is>
          <t>Comparación</t>
        </is>
      </c>
      <c r="C550" t="inlineStr">
        <is>
          <t>Habitat</t>
        </is>
      </c>
      <c r="D550" t="inlineStr">
        <is>
          <t>Buenaventura*</t>
        </is>
      </c>
      <c r="E550" t="inlineStr">
        <is>
          <t>Inv MM$</t>
        </is>
      </c>
      <c r="F550" t="n">
        <v>210.235751</v>
      </c>
    </row>
    <row r="551">
      <c r="A551" t="inlineStr">
        <is>
          <t>202512</t>
        </is>
      </c>
      <c r="B551" t="inlineStr">
        <is>
          <t>Comparación</t>
        </is>
      </c>
      <c r="C551" t="inlineStr">
        <is>
          <t>Habitat</t>
        </is>
      </c>
      <c r="D551" t="inlineStr">
        <is>
          <t>COFIDE**</t>
        </is>
      </c>
      <c r="E551" t="inlineStr">
        <is>
          <t>Huella</t>
        </is>
      </c>
      <c r="F551" t="n">
        <v>0.004246</v>
      </c>
    </row>
    <row r="552">
      <c r="A552" t="inlineStr">
        <is>
          <t>202512</t>
        </is>
      </c>
      <c r="B552" t="inlineStr">
        <is>
          <t>Comparación</t>
        </is>
      </c>
      <c r="C552" t="inlineStr">
        <is>
          <t>Habitat</t>
        </is>
      </c>
      <c r="D552" t="inlineStr">
        <is>
          <t>COFIDE**</t>
        </is>
      </c>
      <c r="E552" t="inlineStr">
        <is>
          <t>Intensidad</t>
        </is>
      </c>
      <c r="F552" t="n">
        <v>3e-06</v>
      </c>
    </row>
    <row r="553">
      <c r="A553" t="inlineStr">
        <is>
          <t>202512</t>
        </is>
      </c>
      <c r="B553" t="inlineStr">
        <is>
          <t>Comparación</t>
        </is>
      </c>
      <c r="C553" t="inlineStr">
        <is>
          <t>Habitat</t>
        </is>
      </c>
      <c r="D553" t="inlineStr">
        <is>
          <t>COFIDE**</t>
        </is>
      </c>
      <c r="E553" t="inlineStr">
        <is>
          <t>Inv MM$</t>
        </is>
      </c>
      <c r="F553" t="n">
        <v>0.060652</v>
      </c>
    </row>
    <row r="554">
      <c r="A554" t="inlineStr">
        <is>
          <t>202512</t>
        </is>
      </c>
      <c r="B554" t="inlineStr">
        <is>
          <t>Comparación</t>
        </is>
      </c>
      <c r="C554" t="inlineStr">
        <is>
          <t>Habitat</t>
        </is>
      </c>
      <c r="D554" t="inlineStr">
        <is>
          <t>Calidda*</t>
        </is>
      </c>
      <c r="E554" t="inlineStr">
        <is>
          <t>Huella</t>
        </is>
      </c>
      <c r="F554" t="n">
        <v>0.847259</v>
      </c>
    </row>
    <row r="555">
      <c r="A555" t="inlineStr">
        <is>
          <t>202512</t>
        </is>
      </c>
      <c r="B555" t="inlineStr">
        <is>
          <t>Comparación</t>
        </is>
      </c>
      <c r="C555" t="inlineStr">
        <is>
          <t>Habitat</t>
        </is>
      </c>
      <c r="D555" t="inlineStr">
        <is>
          <t>Calidda*</t>
        </is>
      </c>
      <c r="E555" t="inlineStr">
        <is>
          <t>Intensidad</t>
        </is>
      </c>
      <c r="F555" t="n">
        <v>0.000207</v>
      </c>
    </row>
    <row r="556">
      <c r="A556" t="inlineStr">
        <is>
          <t>202512</t>
        </is>
      </c>
      <c r="B556" t="inlineStr">
        <is>
          <t>Comparación</t>
        </is>
      </c>
      <c r="C556" t="inlineStr">
        <is>
          <t>Habitat</t>
        </is>
      </c>
      <c r="D556" t="inlineStr">
        <is>
          <t>Calidda*</t>
        </is>
      </c>
      <c r="E556" t="inlineStr">
        <is>
          <t>Inv MM$</t>
        </is>
      </c>
      <c r="F556" t="n">
        <v>0.02615</v>
      </c>
    </row>
    <row r="557">
      <c r="A557" t="inlineStr">
        <is>
          <t>202512</t>
        </is>
      </c>
      <c r="B557" t="inlineStr">
        <is>
          <t>Comparación</t>
        </is>
      </c>
      <c r="C557" t="inlineStr">
        <is>
          <t>Habitat</t>
        </is>
      </c>
      <c r="D557" t="inlineStr">
        <is>
          <t>Candriam - Bonds Emerging Markets</t>
        </is>
      </c>
      <c r="E557" t="inlineStr">
        <is>
          <t>Huella</t>
        </is>
      </c>
      <c r="F557" t="n">
        <v>0.671172</v>
      </c>
    </row>
    <row r="558">
      <c r="A558" t="inlineStr">
        <is>
          <t>202512</t>
        </is>
      </c>
      <c r="B558" t="inlineStr">
        <is>
          <t>Comparación</t>
        </is>
      </c>
      <c r="C558" t="inlineStr">
        <is>
          <t>Habitat</t>
        </is>
      </c>
      <c r="D558" t="inlineStr">
        <is>
          <t>Candriam - Bonds Emerging Markets</t>
        </is>
      </c>
      <c r="E558" t="inlineStr">
        <is>
          <t>Intensidad</t>
        </is>
      </c>
      <c r="F558" t="n">
        <v>0.000789</v>
      </c>
    </row>
    <row r="559">
      <c r="A559" t="inlineStr">
        <is>
          <t>202512</t>
        </is>
      </c>
      <c r="B559" t="inlineStr">
        <is>
          <t>Comparación</t>
        </is>
      </c>
      <c r="C559" t="inlineStr">
        <is>
          <t>Habitat</t>
        </is>
      </c>
      <c r="D559" t="inlineStr">
        <is>
          <t>Candriam - Bonds Emerging Markets</t>
        </is>
      </c>
      <c r="E559" t="inlineStr">
        <is>
          <t>Inv MM$</t>
        </is>
      </c>
      <c r="F559" t="n">
        <v>0.005714</v>
      </c>
    </row>
    <row r="560">
      <c r="A560" t="inlineStr">
        <is>
          <t>202512</t>
        </is>
      </c>
      <c r="B560" t="inlineStr">
        <is>
          <t>Comparación</t>
        </is>
      </c>
      <c r="C560" t="inlineStr">
        <is>
          <t>Habitat</t>
        </is>
      </c>
      <c r="D560" t="inlineStr">
        <is>
          <t>Credicorp*</t>
        </is>
      </c>
      <c r="E560" t="inlineStr">
        <is>
          <t>Huella</t>
        </is>
      </c>
      <c r="F560" t="n">
        <v>162.595552</v>
      </c>
    </row>
    <row r="561">
      <c r="A561" t="inlineStr">
        <is>
          <t>202512</t>
        </is>
      </c>
      <c r="B561" t="inlineStr">
        <is>
          <t>Comparación</t>
        </is>
      </c>
      <c r="C561" t="inlineStr">
        <is>
          <t>Habitat</t>
        </is>
      </c>
      <c r="D561" t="inlineStr">
        <is>
          <t>Credicorp*</t>
        </is>
      </c>
      <c r="E561" t="inlineStr">
        <is>
          <t>Intensidad</t>
        </is>
      </c>
      <c r="F561" t="n">
        <v>0.057993</v>
      </c>
    </row>
    <row r="562">
      <c r="A562" t="inlineStr">
        <is>
          <t>202512</t>
        </is>
      </c>
      <c r="B562" t="inlineStr">
        <is>
          <t>Comparación</t>
        </is>
      </c>
      <c r="C562" t="inlineStr">
        <is>
          <t>Habitat</t>
        </is>
      </c>
      <c r="D562" t="inlineStr">
        <is>
          <t>Credicorp*</t>
        </is>
      </c>
      <c r="E562" t="inlineStr">
        <is>
          <t>Inv MM$</t>
        </is>
      </c>
      <c r="F562" t="n">
        <v>222.733634</v>
      </c>
    </row>
    <row r="563">
      <c r="A563" t="inlineStr">
        <is>
          <t>202512</t>
        </is>
      </c>
      <c r="B563" t="inlineStr">
        <is>
          <t>Comparación</t>
        </is>
      </c>
      <c r="C563" t="inlineStr">
        <is>
          <t>Habitat</t>
        </is>
      </c>
      <c r="D563" t="inlineStr">
        <is>
          <t>DWS - Brazilian Equities</t>
        </is>
      </c>
      <c r="E563" t="inlineStr">
        <is>
          <t>Huella</t>
        </is>
      </c>
      <c r="F563" t="n">
        <v>2150.496081</v>
      </c>
    </row>
    <row r="564">
      <c r="A564" t="inlineStr">
        <is>
          <t>202512</t>
        </is>
      </c>
      <c r="B564" t="inlineStr">
        <is>
          <t>Comparación</t>
        </is>
      </c>
      <c r="C564" t="inlineStr">
        <is>
          <t>Habitat</t>
        </is>
      </c>
      <c r="D564" t="inlineStr">
        <is>
          <t>DWS - Brazilian Equities</t>
        </is>
      </c>
      <c r="E564" t="inlineStr">
        <is>
          <t>Intensidad</t>
        </is>
      </c>
      <c r="F564" t="n">
        <v>0.906119</v>
      </c>
    </row>
    <row r="565">
      <c r="A565" t="inlineStr">
        <is>
          <t>202512</t>
        </is>
      </c>
      <c r="B565" t="inlineStr">
        <is>
          <t>Comparación</t>
        </is>
      </c>
      <c r="C565" t="inlineStr">
        <is>
          <t>Habitat</t>
        </is>
      </c>
      <c r="D565" t="inlineStr">
        <is>
          <t>DWS - Brazilian Equities</t>
        </is>
      </c>
      <c r="E565" t="inlineStr">
        <is>
          <t>Inv MM$</t>
        </is>
      </c>
      <c r="F565" t="n">
        <v>21.84529</v>
      </c>
    </row>
    <row r="566">
      <c r="A566" t="inlineStr">
        <is>
          <t>202512</t>
        </is>
      </c>
      <c r="B566" t="inlineStr">
        <is>
          <t>Comparación</t>
        </is>
      </c>
      <c r="C566" t="inlineStr">
        <is>
          <t>Habitat</t>
        </is>
      </c>
      <c r="D566" t="inlineStr">
        <is>
          <t>DWS - Invest Global Agribusiness</t>
        </is>
      </c>
      <c r="E566" t="inlineStr">
        <is>
          <t>Huella</t>
        </is>
      </c>
      <c r="F566" t="n">
        <v>0.06881</v>
      </c>
    </row>
    <row r="567">
      <c r="A567" t="inlineStr">
        <is>
          <t>202512</t>
        </is>
      </c>
      <c r="B567" t="inlineStr">
        <is>
          <t>Comparación</t>
        </is>
      </c>
      <c r="C567" t="inlineStr">
        <is>
          <t>Habitat</t>
        </is>
      </c>
      <c r="D567" t="inlineStr">
        <is>
          <t>DWS - Invest Global Agribusiness</t>
        </is>
      </c>
      <c r="E567" t="inlineStr">
        <is>
          <t>Intensidad</t>
        </is>
      </c>
      <c r="F567" t="n">
        <v>6.1e-05</v>
      </c>
    </row>
    <row r="568">
      <c r="A568" t="inlineStr">
        <is>
          <t>202512</t>
        </is>
      </c>
      <c r="B568" t="inlineStr">
        <is>
          <t>Comparación</t>
        </is>
      </c>
      <c r="C568" t="inlineStr">
        <is>
          <t>Habitat</t>
        </is>
      </c>
      <c r="D568" t="inlineStr">
        <is>
          <t>DWS - Invest Global Agribusiness</t>
        </is>
      </c>
      <c r="E568" t="inlineStr">
        <is>
          <t>Inv MM$</t>
        </is>
      </c>
      <c r="F568" t="n">
        <v>0.000433</v>
      </c>
    </row>
    <row r="569">
      <c r="A569" t="inlineStr">
        <is>
          <t>202512</t>
        </is>
      </c>
      <c r="B569" t="inlineStr">
        <is>
          <t>Comparación</t>
        </is>
      </c>
      <c r="C569" t="inlineStr">
        <is>
          <t>Habitat</t>
        </is>
      </c>
      <c r="D569" t="inlineStr">
        <is>
          <t>DWS - Invest Latin American Equities - FC50</t>
        </is>
      </c>
      <c r="E569" t="inlineStr">
        <is>
          <t>Huella</t>
        </is>
      </c>
      <c r="F569" t="n">
        <v>3640.89304</v>
      </c>
    </row>
    <row r="570">
      <c r="A570" t="inlineStr">
        <is>
          <t>202512</t>
        </is>
      </c>
      <c r="B570" t="inlineStr">
        <is>
          <t>Comparación</t>
        </is>
      </c>
      <c r="C570" t="inlineStr">
        <is>
          <t>Habitat</t>
        </is>
      </c>
      <c r="D570" t="inlineStr">
        <is>
          <t>DWS - Invest Latin American Equities - FC50</t>
        </is>
      </c>
      <c r="E570" t="inlineStr">
        <is>
          <t>Intensidad</t>
        </is>
      </c>
      <c r="F570" t="n">
        <v>1.536901</v>
      </c>
    </row>
    <row r="571">
      <c r="A571" t="inlineStr">
        <is>
          <t>202512</t>
        </is>
      </c>
      <c r="B571" t="inlineStr">
        <is>
          <t>Comparación</t>
        </is>
      </c>
      <c r="C571" t="inlineStr">
        <is>
          <t>Habitat</t>
        </is>
      </c>
      <c r="D571" t="inlineStr">
        <is>
          <t>DWS - Invest Latin American Equities - FC50</t>
        </is>
      </c>
      <c r="E571" t="inlineStr">
        <is>
          <t>Inv MM$</t>
        </is>
      </c>
      <c r="F571" t="n">
        <v>23.461515</v>
      </c>
    </row>
    <row r="572">
      <c r="A572" t="inlineStr">
        <is>
          <t>202512</t>
        </is>
      </c>
      <c r="B572" t="inlineStr">
        <is>
          <t>Comparación</t>
        </is>
      </c>
      <c r="C572" t="inlineStr">
        <is>
          <t>Habitat</t>
        </is>
      </c>
      <c r="D572" t="inlineStr">
        <is>
          <t>DWS Invest - Euro High Yield Corporates</t>
        </is>
      </c>
      <c r="E572" t="inlineStr">
        <is>
          <t>Huella</t>
        </is>
      </c>
      <c r="F572" t="n">
        <v>0.017977</v>
      </c>
    </row>
    <row r="573">
      <c r="A573" t="inlineStr">
        <is>
          <t>202512</t>
        </is>
      </c>
      <c r="B573" t="inlineStr">
        <is>
          <t>Comparación</t>
        </is>
      </c>
      <c r="C573" t="inlineStr">
        <is>
          <t>Habitat</t>
        </is>
      </c>
      <c r="D573" t="inlineStr">
        <is>
          <t>DWS Invest - Euro High Yield Corporates</t>
        </is>
      </c>
      <c r="E573" t="inlineStr">
        <is>
          <t>Intensidad</t>
        </is>
      </c>
      <c r="F573" t="n">
        <v>3.6e-05</v>
      </c>
    </row>
    <row r="574">
      <c r="A574" t="inlineStr">
        <is>
          <t>202512</t>
        </is>
      </c>
      <c r="B574" t="inlineStr">
        <is>
          <t>Comparación</t>
        </is>
      </c>
      <c r="C574" t="inlineStr">
        <is>
          <t>Habitat</t>
        </is>
      </c>
      <c r="D574" t="inlineStr">
        <is>
          <t>DWS Invest - Euro High Yield Corporates</t>
        </is>
      </c>
      <c r="E574" t="inlineStr">
        <is>
          <t>Inv MM$</t>
        </is>
      </c>
      <c r="F574" t="n">
        <v>0.000181</v>
      </c>
    </row>
    <row r="575">
      <c r="A575" t="inlineStr">
        <is>
          <t>202512</t>
        </is>
      </c>
      <c r="B575" t="inlineStr">
        <is>
          <t>Comparación</t>
        </is>
      </c>
      <c r="C575" t="inlineStr">
        <is>
          <t>Habitat</t>
        </is>
      </c>
      <c r="D575" t="inlineStr">
        <is>
          <t>Degroof - EM  Sustainable Debt</t>
        </is>
      </c>
      <c r="E575" t="inlineStr">
        <is>
          <t>Huella</t>
        </is>
      </c>
      <c r="F575" t="n">
        <v>0.08329</v>
      </c>
    </row>
    <row r="576">
      <c r="A576" t="inlineStr">
        <is>
          <t>202512</t>
        </is>
      </c>
      <c r="B576" t="inlineStr">
        <is>
          <t>Comparación</t>
        </is>
      </c>
      <c r="C576" t="inlineStr">
        <is>
          <t>Habitat</t>
        </is>
      </c>
      <c r="D576" t="inlineStr">
        <is>
          <t>Degroof - EM  Sustainable Debt</t>
        </is>
      </c>
      <c r="E576" t="inlineStr">
        <is>
          <t>Intensidad</t>
        </is>
      </c>
      <c r="F576" t="n">
        <v>0.000159</v>
      </c>
    </row>
    <row r="577">
      <c r="A577" t="inlineStr">
        <is>
          <t>202512</t>
        </is>
      </c>
      <c r="B577" t="inlineStr">
        <is>
          <t>Comparación</t>
        </is>
      </c>
      <c r="C577" t="inlineStr">
        <is>
          <t>Habitat</t>
        </is>
      </c>
      <c r="D577" t="inlineStr">
        <is>
          <t>Degroof - EM  Sustainable Debt</t>
        </is>
      </c>
      <c r="E577" t="inlineStr">
        <is>
          <t>Inv MM$</t>
        </is>
      </c>
      <c r="F577" t="n">
        <v>1.356237</v>
      </c>
    </row>
    <row r="578">
      <c r="A578" t="inlineStr">
        <is>
          <t>202512</t>
        </is>
      </c>
      <c r="B578" t="inlineStr">
        <is>
          <t>Comparación</t>
        </is>
      </c>
      <c r="C578" t="inlineStr">
        <is>
          <t>Habitat</t>
        </is>
      </c>
      <c r="D578" t="inlineStr">
        <is>
          <t>Ecopetrol</t>
        </is>
      </c>
      <c r="E578" t="inlineStr">
        <is>
          <t>Huella</t>
        </is>
      </c>
      <c r="F578" t="n">
        <v>6294.416909</v>
      </c>
    </row>
    <row r="579">
      <c r="A579" t="inlineStr">
        <is>
          <t>202512</t>
        </is>
      </c>
      <c r="B579" t="inlineStr">
        <is>
          <t>Comparación</t>
        </is>
      </c>
      <c r="C579" t="inlineStr">
        <is>
          <t>Habitat</t>
        </is>
      </c>
      <c r="D579" t="inlineStr">
        <is>
          <t>Ecopetrol</t>
        </is>
      </c>
      <c r="E579" t="inlineStr">
        <is>
          <t>Intensidad</t>
        </is>
      </c>
      <c r="F579" t="n">
        <v>8.910185999999999</v>
      </c>
    </row>
    <row r="580">
      <c r="A580" t="inlineStr">
        <is>
          <t>202512</t>
        </is>
      </c>
      <c r="B580" t="inlineStr">
        <is>
          <t>Comparación</t>
        </is>
      </c>
      <c r="C580" t="inlineStr">
        <is>
          <t>Habitat</t>
        </is>
      </c>
      <c r="D580" t="inlineStr">
        <is>
          <t>Ecopetrol</t>
        </is>
      </c>
      <c r="E580" t="inlineStr">
        <is>
          <t>Inv MM$</t>
        </is>
      </c>
      <c r="F580" t="n">
        <v>24.243797</v>
      </c>
    </row>
    <row r="581">
      <c r="A581" t="inlineStr">
        <is>
          <t>202512</t>
        </is>
      </c>
      <c r="B581" t="inlineStr">
        <is>
          <t>Comparación</t>
        </is>
      </c>
      <c r="C581" t="inlineStr">
        <is>
          <t>Habitat</t>
        </is>
      </c>
      <c r="D581" t="inlineStr">
        <is>
          <t>Edmond de Rothschild - Corp EM Debt USD</t>
        </is>
      </c>
      <c r="E581" t="inlineStr">
        <is>
          <t>Huella</t>
        </is>
      </c>
      <c r="F581" t="n">
        <v>9878.420958999999</v>
      </c>
    </row>
    <row r="582">
      <c r="A582" t="inlineStr">
        <is>
          <t>202512</t>
        </is>
      </c>
      <c r="B582" t="inlineStr">
        <is>
          <t>Comparación</t>
        </is>
      </c>
      <c r="C582" t="inlineStr">
        <is>
          <t>Habitat</t>
        </is>
      </c>
      <c r="D582" t="inlineStr">
        <is>
          <t>Edmond de Rothschild - Corp EM Debt USD</t>
        </is>
      </c>
      <c r="E582" t="inlineStr">
        <is>
          <t>Intensidad</t>
        </is>
      </c>
      <c r="F582" t="n">
        <v>8.368468</v>
      </c>
    </row>
    <row r="583">
      <c r="A583" t="inlineStr">
        <is>
          <t>202512</t>
        </is>
      </c>
      <c r="B583" t="inlineStr">
        <is>
          <t>Comparación</t>
        </is>
      </c>
      <c r="C583" t="inlineStr">
        <is>
          <t>Habitat</t>
        </is>
      </c>
      <c r="D583" t="inlineStr">
        <is>
          <t>Edmond de Rothschild - Corp EM Debt USD</t>
        </is>
      </c>
      <c r="E583" t="inlineStr">
        <is>
          <t>Inv MM$</t>
        </is>
      </c>
      <c r="F583" t="n">
        <v>25.880367</v>
      </c>
    </row>
    <row r="584">
      <c r="A584" t="inlineStr">
        <is>
          <t>202512</t>
        </is>
      </c>
      <c r="B584" t="inlineStr">
        <is>
          <t>Comparación</t>
        </is>
      </c>
      <c r="C584" t="inlineStr">
        <is>
          <t>Habitat</t>
        </is>
      </c>
      <c r="D584" t="inlineStr">
        <is>
          <t>Emp. Públicas Medellin</t>
        </is>
      </c>
      <c r="E584" t="inlineStr">
        <is>
          <t>Huella</t>
        </is>
      </c>
      <c r="F584" t="n">
        <v>876.808317</v>
      </c>
    </row>
    <row r="585">
      <c r="A585" t="inlineStr">
        <is>
          <t>202512</t>
        </is>
      </c>
      <c r="B585" t="inlineStr">
        <is>
          <t>Comparación</t>
        </is>
      </c>
      <c r="C585" t="inlineStr">
        <is>
          <t>Habitat</t>
        </is>
      </c>
      <c r="D585" t="inlineStr">
        <is>
          <t>Emp. Públicas Medellin</t>
        </is>
      </c>
      <c r="E585" t="inlineStr">
        <is>
          <t>Intensidad</t>
        </is>
      </c>
      <c r="F585" t="n">
        <v>0.587475</v>
      </c>
    </row>
    <row r="586">
      <c r="A586" t="inlineStr">
        <is>
          <t>202512</t>
        </is>
      </c>
      <c r="B586" t="inlineStr">
        <is>
          <t>Comparación</t>
        </is>
      </c>
      <c r="C586" t="inlineStr">
        <is>
          <t>Habitat</t>
        </is>
      </c>
      <c r="D586" t="inlineStr">
        <is>
          <t>Emp. Públicas Medellin</t>
        </is>
      </c>
      <c r="E586" t="inlineStr">
        <is>
          <t>Inv MM$</t>
        </is>
      </c>
      <c r="F586" t="n">
        <v>26.871233</v>
      </c>
    </row>
    <row r="587">
      <c r="A587" t="inlineStr">
        <is>
          <t>202512</t>
        </is>
      </c>
      <c r="B587" t="inlineStr">
        <is>
          <t>Comparación</t>
        </is>
      </c>
      <c r="C587" t="inlineStr">
        <is>
          <t>Habitat</t>
        </is>
      </c>
      <c r="D587" t="inlineStr">
        <is>
          <t>Ferreyros</t>
        </is>
      </c>
      <c r="E587" t="inlineStr">
        <is>
          <t>Huella</t>
        </is>
      </c>
      <c r="F587" t="n">
        <v>816.693245</v>
      </c>
    </row>
    <row r="588">
      <c r="A588" t="inlineStr">
        <is>
          <t>202512</t>
        </is>
      </c>
      <c r="B588" t="inlineStr">
        <is>
          <t>Comparación</t>
        </is>
      </c>
      <c r="C588" t="inlineStr">
        <is>
          <t>Habitat</t>
        </is>
      </c>
      <c r="D588" t="inlineStr">
        <is>
          <t>Ferreyros</t>
        </is>
      </c>
      <c r="E588" t="inlineStr">
        <is>
          <t>Intensidad</t>
        </is>
      </c>
      <c r="F588" t="n">
        <v>0.395941</v>
      </c>
    </row>
    <row r="589">
      <c r="A589" t="inlineStr">
        <is>
          <t>202512</t>
        </is>
      </c>
      <c r="B589" t="inlineStr">
        <is>
          <t>Comparación</t>
        </is>
      </c>
      <c r="C589" t="inlineStr">
        <is>
          <t>Habitat</t>
        </is>
      </c>
      <c r="D589" t="inlineStr">
        <is>
          <t>Ferreyros</t>
        </is>
      </c>
      <c r="E589" t="inlineStr">
        <is>
          <t>Inv MM$</t>
        </is>
      </c>
      <c r="F589" t="n">
        <v>102.72871</v>
      </c>
    </row>
    <row r="590">
      <c r="A590" t="inlineStr">
        <is>
          <t>202512</t>
        </is>
      </c>
      <c r="B590" t="inlineStr">
        <is>
          <t>Comparación</t>
        </is>
      </c>
      <c r="C590" t="inlineStr">
        <is>
          <t>Habitat</t>
        </is>
      </c>
      <c r="D590" t="inlineStr">
        <is>
          <t>Fidelity - Emerging Markets -Retail</t>
        </is>
      </c>
      <c r="E590" t="inlineStr">
        <is>
          <t>Huella</t>
        </is>
      </c>
      <c r="F590" t="n">
        <v>22.449793</v>
      </c>
    </row>
    <row r="591">
      <c r="A591" t="inlineStr">
        <is>
          <t>202512</t>
        </is>
      </c>
      <c r="B591" t="inlineStr">
        <is>
          <t>Comparación</t>
        </is>
      </c>
      <c r="C591" t="inlineStr">
        <is>
          <t>Habitat</t>
        </is>
      </c>
      <c r="D591" t="inlineStr">
        <is>
          <t>Fidelity - Emerging Markets -Retail</t>
        </is>
      </c>
      <c r="E591" t="inlineStr">
        <is>
          <t>Intensidad</t>
        </is>
      </c>
      <c r="F591" t="n">
        <v>0.012887</v>
      </c>
    </row>
    <row r="592">
      <c r="A592" t="inlineStr">
        <is>
          <t>202512</t>
        </is>
      </c>
      <c r="B592" t="inlineStr">
        <is>
          <t>Comparación</t>
        </is>
      </c>
      <c r="C592" t="inlineStr">
        <is>
          <t>Habitat</t>
        </is>
      </c>
      <c r="D592" t="inlineStr">
        <is>
          <t>Fidelity - Emerging Markets -Retail</t>
        </is>
      </c>
      <c r="E592" t="inlineStr">
        <is>
          <t>Inv MM$</t>
        </is>
      </c>
      <c r="F592" t="n">
        <v>0.73398</v>
      </c>
    </row>
    <row r="593">
      <c r="A593" t="inlineStr">
        <is>
          <t>202512</t>
        </is>
      </c>
      <c r="B593" t="inlineStr">
        <is>
          <t>Comparación</t>
        </is>
      </c>
      <c r="C593" t="inlineStr">
        <is>
          <t>Habitat</t>
        </is>
      </c>
      <c r="D593" t="inlineStr">
        <is>
          <t>Franklin Templeton - FTGF ClearBridge Infrastructure Value Fund</t>
        </is>
      </c>
      <c r="E593" t="inlineStr">
        <is>
          <t>Huella</t>
        </is>
      </c>
      <c r="F593" t="n">
        <v>0.011993</v>
      </c>
    </row>
    <row r="594">
      <c r="A594" t="inlineStr">
        <is>
          <t>202512</t>
        </is>
      </c>
      <c r="B594" t="inlineStr">
        <is>
          <t>Comparación</t>
        </is>
      </c>
      <c r="C594" t="inlineStr">
        <is>
          <t>Habitat</t>
        </is>
      </c>
      <c r="D594" t="inlineStr">
        <is>
          <t>Franklin Templeton - FTGF ClearBridge Infrastructure Value Fund</t>
        </is>
      </c>
      <c r="E594" t="inlineStr">
        <is>
          <t>Intensidad</t>
        </is>
      </c>
      <c r="F594" t="n">
        <v>1.1e-05</v>
      </c>
    </row>
    <row r="595">
      <c r="A595" t="inlineStr">
        <is>
          <t>202512</t>
        </is>
      </c>
      <c r="B595" t="inlineStr">
        <is>
          <t>Comparación</t>
        </is>
      </c>
      <c r="C595" t="inlineStr">
        <is>
          <t>Habitat</t>
        </is>
      </c>
      <c r="D595" t="inlineStr">
        <is>
          <t>Franklin Templeton - FTGF ClearBridge Infrastructure Value Fund</t>
        </is>
      </c>
      <c r="E595" t="inlineStr">
        <is>
          <t>Inv MM$</t>
        </is>
      </c>
      <c r="F595" t="n">
        <v>7.1e-05</v>
      </c>
    </row>
    <row r="596">
      <c r="A596" t="inlineStr">
        <is>
          <t>202512</t>
        </is>
      </c>
      <c r="B596" t="inlineStr">
        <is>
          <t>Comparación</t>
        </is>
      </c>
      <c r="C596" t="inlineStr">
        <is>
          <t>Habitat</t>
        </is>
      </c>
      <c r="D596" t="inlineStr">
        <is>
          <t>Franklin Templeton - Global Convertibles</t>
        </is>
      </c>
      <c r="E596" t="inlineStr">
        <is>
          <t>Huella</t>
        </is>
      </c>
      <c r="F596" t="n">
        <v>762.190182</v>
      </c>
    </row>
    <row r="597">
      <c r="A597" t="inlineStr">
        <is>
          <t>202512</t>
        </is>
      </c>
      <c r="B597" t="inlineStr">
        <is>
          <t>Comparación</t>
        </is>
      </c>
      <c r="C597" t="inlineStr">
        <is>
          <t>Habitat</t>
        </is>
      </c>
      <c r="D597" t="inlineStr">
        <is>
          <t>Franklin Templeton - Global Convertibles</t>
        </is>
      </c>
      <c r="E597" t="inlineStr">
        <is>
          <t>Intensidad</t>
        </is>
      </c>
      <c r="F597" t="n">
        <v>0.669661</v>
      </c>
    </row>
    <row r="598">
      <c r="A598" t="inlineStr">
        <is>
          <t>202512</t>
        </is>
      </c>
      <c r="B598" t="inlineStr">
        <is>
          <t>Comparación</t>
        </is>
      </c>
      <c r="C598" t="inlineStr">
        <is>
          <t>Habitat</t>
        </is>
      </c>
      <c r="D598" t="inlineStr">
        <is>
          <t>Franklin Templeton - Global Convertibles</t>
        </is>
      </c>
      <c r="E598" t="inlineStr">
        <is>
          <t>Inv MM$</t>
        </is>
      </c>
      <c r="F598" t="n">
        <v>14.838295</v>
      </c>
    </row>
    <row r="599">
      <c r="A599" t="inlineStr">
        <is>
          <t>202512</t>
        </is>
      </c>
      <c r="B599" t="inlineStr">
        <is>
          <t>Comparación</t>
        </is>
      </c>
      <c r="C599" t="inlineStr">
        <is>
          <t>Habitat</t>
        </is>
      </c>
      <c r="D599" t="inlineStr">
        <is>
          <t>GAM - Continental Europe</t>
        </is>
      </c>
      <c r="E599" t="inlineStr">
        <is>
          <t>Huella</t>
        </is>
      </c>
      <c r="F599" t="n">
        <v>0.003163</v>
      </c>
    </row>
    <row r="600">
      <c r="A600" t="inlineStr">
        <is>
          <t>202512</t>
        </is>
      </c>
      <c r="B600" t="inlineStr">
        <is>
          <t>Comparación</t>
        </is>
      </c>
      <c r="C600" t="inlineStr">
        <is>
          <t>Habitat</t>
        </is>
      </c>
      <c r="D600" t="inlineStr">
        <is>
          <t>GAM - Continental Europe</t>
        </is>
      </c>
      <c r="E600" t="inlineStr">
        <is>
          <t>Intensidad</t>
        </is>
      </c>
      <c r="F600" t="n">
        <v>2e-06</v>
      </c>
    </row>
    <row r="601">
      <c r="A601" t="inlineStr">
        <is>
          <t>202512</t>
        </is>
      </c>
      <c r="B601" t="inlineStr">
        <is>
          <t>Comparación</t>
        </is>
      </c>
      <c r="C601" t="inlineStr">
        <is>
          <t>Habitat</t>
        </is>
      </c>
      <c r="D601" t="inlineStr">
        <is>
          <t>GAM - Continental Europe</t>
        </is>
      </c>
      <c r="E601" t="inlineStr">
        <is>
          <t>Inv MM$</t>
        </is>
      </c>
      <c r="F601" t="n">
        <v>5.9e-05</v>
      </c>
    </row>
    <row r="602">
      <c r="A602" t="inlineStr">
        <is>
          <t>202512</t>
        </is>
      </c>
      <c r="B602" t="inlineStr">
        <is>
          <t>Comparación</t>
        </is>
      </c>
      <c r="C602" t="inlineStr">
        <is>
          <t>Habitat</t>
        </is>
      </c>
      <c r="D602" t="inlineStr">
        <is>
          <t>GAM - Local Emerging Bond Fund</t>
        </is>
      </c>
      <c r="E602" t="inlineStr">
        <is>
          <t>Huella</t>
        </is>
      </c>
      <c r="F602" t="n">
        <v>5.356278</v>
      </c>
    </row>
    <row r="603">
      <c r="A603" t="inlineStr">
        <is>
          <t>202512</t>
        </is>
      </c>
      <c r="B603" t="inlineStr">
        <is>
          <t>Comparación</t>
        </is>
      </c>
      <c r="C603" t="inlineStr">
        <is>
          <t>Habitat</t>
        </is>
      </c>
      <c r="D603" t="inlineStr">
        <is>
          <t>GAM - Local Emerging Bond Fund</t>
        </is>
      </c>
      <c r="E603" t="inlineStr">
        <is>
          <t>Intensidad</t>
        </is>
      </c>
      <c r="F603" t="n">
        <v>0.010665</v>
      </c>
    </row>
    <row r="604">
      <c r="A604" t="inlineStr">
        <is>
          <t>202512</t>
        </is>
      </c>
      <c r="B604" t="inlineStr">
        <is>
          <t>Comparación</t>
        </is>
      </c>
      <c r="C604" t="inlineStr">
        <is>
          <t>Habitat</t>
        </is>
      </c>
      <c r="D604" t="inlineStr">
        <is>
          <t>GAM - Local Emerging Bond Fund</t>
        </is>
      </c>
      <c r="E604" t="inlineStr">
        <is>
          <t>Inv MM$</t>
        </is>
      </c>
      <c r="F604" t="n">
        <v>0.007816999999999999</v>
      </c>
    </row>
    <row r="605">
      <c r="A605" t="inlineStr">
        <is>
          <t>202512</t>
        </is>
      </c>
      <c r="B605" t="inlineStr">
        <is>
          <t>Comparación</t>
        </is>
      </c>
      <c r="C605" t="inlineStr">
        <is>
          <t>Habitat</t>
        </is>
      </c>
      <c r="D605" t="inlineStr">
        <is>
          <t>Gam - Star Credit Opportunities</t>
        </is>
      </c>
      <c r="E605" t="inlineStr">
        <is>
          <t>Huella</t>
        </is>
      </c>
      <c r="F605" t="n">
        <v>5.7e-05</v>
      </c>
    </row>
    <row r="606">
      <c r="A606" t="inlineStr">
        <is>
          <t>202512</t>
        </is>
      </c>
      <c r="B606" t="inlineStr">
        <is>
          <t>Comparación</t>
        </is>
      </c>
      <c r="C606" t="inlineStr">
        <is>
          <t>Habitat</t>
        </is>
      </c>
      <c r="D606" t="inlineStr">
        <is>
          <t>Gam - Star Credit Opportunities</t>
        </is>
      </c>
      <c r="E606" t="inlineStr">
        <is>
          <t>Intensidad</t>
        </is>
      </c>
      <c r="F606" t="n">
        <v>0</v>
      </c>
    </row>
    <row r="607">
      <c r="A607" t="inlineStr">
        <is>
          <t>202512</t>
        </is>
      </c>
      <c r="B607" t="inlineStr">
        <is>
          <t>Comparación</t>
        </is>
      </c>
      <c r="C607" t="inlineStr">
        <is>
          <t>Habitat</t>
        </is>
      </c>
      <c r="D607" t="inlineStr">
        <is>
          <t>Gam - Star Credit Opportunities</t>
        </is>
      </c>
      <c r="E607" t="inlineStr">
        <is>
          <t>Inv MM$</t>
        </is>
      </c>
      <c r="F607" t="n">
        <v>0.000144</v>
      </c>
    </row>
    <row r="608">
      <c r="A608" t="inlineStr">
        <is>
          <t>202512</t>
        </is>
      </c>
      <c r="B608" t="inlineStr">
        <is>
          <t>Comparación</t>
        </is>
      </c>
      <c r="C608" t="inlineStr">
        <is>
          <t>Habitat</t>
        </is>
      </c>
      <c r="D608" t="inlineStr">
        <is>
          <t>Global X - Copper Miners ETF</t>
        </is>
      </c>
      <c r="E608" t="inlineStr">
        <is>
          <t>Huella</t>
        </is>
      </c>
      <c r="F608" t="n">
        <v>3566.780461</v>
      </c>
    </row>
    <row r="609">
      <c r="A609" t="inlineStr">
        <is>
          <t>202512</t>
        </is>
      </c>
      <c r="B609" t="inlineStr">
        <is>
          <t>Comparación</t>
        </is>
      </c>
      <c r="C609" t="inlineStr">
        <is>
          <t>Habitat</t>
        </is>
      </c>
      <c r="D609" t="inlineStr">
        <is>
          <t>Global X - Copper Miners ETF</t>
        </is>
      </c>
      <c r="E609" t="inlineStr">
        <is>
          <t>Intensidad</t>
        </is>
      </c>
      <c r="F609" t="n">
        <v>2.047598</v>
      </c>
    </row>
    <row r="610">
      <c r="A610" t="inlineStr">
        <is>
          <t>202512</t>
        </is>
      </c>
      <c r="B610" t="inlineStr">
        <is>
          <t>Comparación</t>
        </is>
      </c>
      <c r="C610" t="inlineStr">
        <is>
          <t>Habitat</t>
        </is>
      </c>
      <c r="D610" t="inlineStr">
        <is>
          <t>Global X - Copper Miners ETF</t>
        </is>
      </c>
      <c r="E610" t="inlineStr">
        <is>
          <t>Inv MM$</t>
        </is>
      </c>
      <c r="F610" t="n">
        <v>29.567483</v>
      </c>
    </row>
    <row r="611">
      <c r="A611" t="inlineStr">
        <is>
          <t>202512</t>
        </is>
      </c>
      <c r="B611" t="inlineStr">
        <is>
          <t>Comparación</t>
        </is>
      </c>
      <c r="C611" t="inlineStr">
        <is>
          <t>Habitat</t>
        </is>
      </c>
      <c r="D611" t="inlineStr">
        <is>
          <t>Groupama - Avenir Euro (Mid Small Caps)</t>
        </is>
      </c>
      <c r="E611" t="inlineStr">
        <is>
          <t>Huella</t>
        </is>
      </c>
      <c r="F611" t="n">
        <v>0.005994</v>
      </c>
    </row>
    <row r="612">
      <c r="A612" t="inlineStr">
        <is>
          <t>202512</t>
        </is>
      </c>
      <c r="B612" t="inlineStr">
        <is>
          <t>Comparación</t>
        </is>
      </c>
      <c r="C612" t="inlineStr">
        <is>
          <t>Habitat</t>
        </is>
      </c>
      <c r="D612" t="inlineStr">
        <is>
          <t>Groupama - Avenir Euro (Mid Small Caps)</t>
        </is>
      </c>
      <c r="E612" t="inlineStr">
        <is>
          <t>Intensidad</t>
        </is>
      </c>
      <c r="F612" t="n">
        <v>1e-06</v>
      </c>
    </row>
    <row r="613">
      <c r="A613" t="inlineStr">
        <is>
          <t>202512</t>
        </is>
      </c>
      <c r="B613" t="inlineStr">
        <is>
          <t>Comparación</t>
        </is>
      </c>
      <c r="C613" t="inlineStr">
        <is>
          <t>Habitat</t>
        </is>
      </c>
      <c r="D613" t="inlineStr">
        <is>
          <t>Groupama - Avenir Euro (Mid Small Caps)</t>
        </is>
      </c>
      <c r="E613" t="inlineStr">
        <is>
          <t>Inv MM$</t>
        </is>
      </c>
      <c r="F613" t="n">
        <v>0.000527</v>
      </c>
    </row>
    <row r="614">
      <c r="A614" t="inlineStr">
        <is>
          <t>202512</t>
        </is>
      </c>
      <c r="B614" t="inlineStr">
        <is>
          <t>Comparación</t>
        </is>
      </c>
      <c r="C614" t="inlineStr">
        <is>
          <t>Habitat</t>
        </is>
      </c>
      <c r="D614" t="inlineStr">
        <is>
          <t>Groupama - G Fund Avenir Europe (Mid Small Caps) - C</t>
        </is>
      </c>
      <c r="E614" t="inlineStr">
        <is>
          <t>Huella</t>
        </is>
      </c>
      <c r="F614" t="n">
        <v>0.074837</v>
      </c>
    </row>
    <row r="615">
      <c r="A615" t="inlineStr">
        <is>
          <t>202512</t>
        </is>
      </c>
      <c r="B615" t="inlineStr">
        <is>
          <t>Comparación</t>
        </is>
      </c>
      <c r="C615" t="inlineStr">
        <is>
          <t>Habitat</t>
        </is>
      </c>
      <c r="D615" t="inlineStr">
        <is>
          <t>Groupama - G Fund Avenir Europe (Mid Small Caps) - C</t>
        </is>
      </c>
      <c r="E615" t="inlineStr">
        <is>
          <t>Intensidad</t>
        </is>
      </c>
      <c r="F615" t="n">
        <v>6.7e-05</v>
      </c>
    </row>
    <row r="616">
      <c r="A616" t="inlineStr">
        <is>
          <t>202512</t>
        </is>
      </c>
      <c r="B616" t="inlineStr">
        <is>
          <t>Comparación</t>
        </is>
      </c>
      <c r="C616" t="inlineStr">
        <is>
          <t>Habitat</t>
        </is>
      </c>
      <c r="D616" t="inlineStr">
        <is>
          <t>Groupama - G Fund Avenir Europe (Mid Small Caps) - C</t>
        </is>
      </c>
      <c r="E616" t="inlineStr">
        <is>
          <t>Inv MM$</t>
        </is>
      </c>
      <c r="F616" t="n">
        <v>0.010137</v>
      </c>
    </row>
    <row r="617">
      <c r="A617" t="inlineStr">
        <is>
          <t>202512</t>
        </is>
      </c>
      <c r="B617" t="inlineStr">
        <is>
          <t>Comparación</t>
        </is>
      </c>
      <c r="C617" t="inlineStr">
        <is>
          <t>Habitat</t>
        </is>
      </c>
      <c r="D617" t="inlineStr">
        <is>
          <t>InRetail Consumer</t>
        </is>
      </c>
      <c r="E617" t="inlineStr">
        <is>
          <t>Huella</t>
        </is>
      </c>
      <c r="F617" t="n">
        <v>12.280088</v>
      </c>
    </row>
    <row r="618">
      <c r="A618" t="inlineStr">
        <is>
          <t>202512</t>
        </is>
      </c>
      <c r="B618" t="inlineStr">
        <is>
          <t>Comparación</t>
        </is>
      </c>
      <c r="C618" t="inlineStr">
        <is>
          <t>Habitat</t>
        </is>
      </c>
      <c r="D618" t="inlineStr">
        <is>
          <t>InRetail Consumer</t>
        </is>
      </c>
      <c r="E618" t="inlineStr">
        <is>
          <t>Intensidad</t>
        </is>
      </c>
      <c r="F618" t="n">
        <v>0.002999</v>
      </c>
    </row>
    <row r="619">
      <c r="A619" t="inlineStr">
        <is>
          <t>202512</t>
        </is>
      </c>
      <c r="B619" t="inlineStr">
        <is>
          <t>Comparación</t>
        </is>
      </c>
      <c r="C619" t="inlineStr">
        <is>
          <t>Habitat</t>
        </is>
      </c>
      <c r="D619" t="inlineStr">
        <is>
          <t>InRetail Consumer</t>
        </is>
      </c>
      <c r="E619" t="inlineStr">
        <is>
          <t>Inv MM$</t>
        </is>
      </c>
      <c r="F619" t="n">
        <v>0.577887</v>
      </c>
    </row>
    <row r="620">
      <c r="A620" t="inlineStr">
        <is>
          <t>202512</t>
        </is>
      </c>
      <c r="B620" t="inlineStr">
        <is>
          <t>Comparación</t>
        </is>
      </c>
      <c r="C620" t="inlineStr">
        <is>
          <t>Habitat</t>
        </is>
      </c>
      <c r="D620" t="inlineStr">
        <is>
          <t>InRetail Peru</t>
        </is>
      </c>
      <c r="E620" t="inlineStr">
        <is>
          <t>Huella</t>
        </is>
      </c>
      <c r="F620" t="n">
        <v>2287.394948</v>
      </c>
    </row>
    <row r="621">
      <c r="A621" t="inlineStr">
        <is>
          <t>202512</t>
        </is>
      </c>
      <c r="B621" t="inlineStr">
        <is>
          <t>Comparación</t>
        </is>
      </c>
      <c r="C621" t="inlineStr">
        <is>
          <t>Habitat</t>
        </is>
      </c>
      <c r="D621" t="inlineStr">
        <is>
          <t>InRetail Peru</t>
        </is>
      </c>
      <c r="E621" t="inlineStr">
        <is>
          <t>Intensidad</t>
        </is>
      </c>
      <c r="F621" t="n">
        <v>0.988142</v>
      </c>
    </row>
    <row r="622">
      <c r="A622" t="inlineStr">
        <is>
          <t>202512</t>
        </is>
      </c>
      <c r="B622" t="inlineStr">
        <is>
          <t>Comparación</t>
        </is>
      </c>
      <c r="C622" t="inlineStr">
        <is>
          <t>Habitat</t>
        </is>
      </c>
      <c r="D622" t="inlineStr">
        <is>
          <t>InRetail Peru</t>
        </is>
      </c>
      <c r="E622" t="inlineStr">
        <is>
          <t>Inv MM$</t>
        </is>
      </c>
      <c r="F622" t="n">
        <v>107.642115</v>
      </c>
    </row>
    <row r="623">
      <c r="A623" t="inlineStr">
        <is>
          <t>202512</t>
        </is>
      </c>
      <c r="B623" t="inlineStr">
        <is>
          <t>Comparación</t>
        </is>
      </c>
      <c r="C623" t="inlineStr">
        <is>
          <t>Habitat</t>
        </is>
      </c>
      <c r="D623" t="inlineStr">
        <is>
          <t>Intergroup</t>
        </is>
      </c>
      <c r="E623" t="inlineStr">
        <is>
          <t>Huella</t>
        </is>
      </c>
      <c r="F623" t="n">
        <v>39.881863</v>
      </c>
    </row>
    <row r="624">
      <c r="A624" t="inlineStr">
        <is>
          <t>202512</t>
        </is>
      </c>
      <c r="B624" t="inlineStr">
        <is>
          <t>Comparación</t>
        </is>
      </c>
      <c r="C624" t="inlineStr">
        <is>
          <t>Habitat</t>
        </is>
      </c>
      <c r="D624" t="inlineStr">
        <is>
          <t>Intergroup</t>
        </is>
      </c>
      <c r="E624" t="inlineStr">
        <is>
          <t>Intensidad</t>
        </is>
      </c>
      <c r="F624" t="n">
        <v>0.01184</v>
      </c>
    </row>
    <row r="625">
      <c r="A625" t="inlineStr">
        <is>
          <t>202512</t>
        </is>
      </c>
      <c r="B625" t="inlineStr">
        <is>
          <t>Comparación</t>
        </is>
      </c>
      <c r="C625" t="inlineStr">
        <is>
          <t>Habitat</t>
        </is>
      </c>
      <c r="D625" t="inlineStr">
        <is>
          <t>Intergroup</t>
        </is>
      </c>
      <c r="E625" t="inlineStr">
        <is>
          <t>Inv MM$</t>
        </is>
      </c>
      <c r="F625" t="n">
        <v>56.171638</v>
      </c>
    </row>
    <row r="626">
      <c r="A626" t="inlineStr">
        <is>
          <t>202512</t>
        </is>
      </c>
      <c r="B626" t="inlineStr">
        <is>
          <t>Comparación</t>
        </is>
      </c>
      <c r="C626" t="inlineStr">
        <is>
          <t>Habitat</t>
        </is>
      </c>
      <c r="D626" t="inlineStr">
        <is>
          <t>Invesco - Global Consumer Trends Fund S</t>
        </is>
      </c>
      <c r="E626" t="inlineStr">
        <is>
          <t>Huella</t>
        </is>
      </c>
      <c r="F626" t="n">
        <v>0.36649</v>
      </c>
    </row>
    <row r="627">
      <c r="A627" t="inlineStr">
        <is>
          <t>202512</t>
        </is>
      </c>
      <c r="B627" t="inlineStr">
        <is>
          <t>Comparación</t>
        </is>
      </c>
      <c r="C627" t="inlineStr">
        <is>
          <t>Habitat</t>
        </is>
      </c>
      <c r="D627" t="inlineStr">
        <is>
          <t>Invesco - Global Consumer Trends Fund S</t>
        </is>
      </c>
      <c r="E627" t="inlineStr">
        <is>
          <t>Intensidad</t>
        </is>
      </c>
      <c r="F627" t="n">
        <v>0.00021</v>
      </c>
    </row>
    <row r="628">
      <c r="A628" t="inlineStr">
        <is>
          <t>202512</t>
        </is>
      </c>
      <c r="B628" t="inlineStr">
        <is>
          <t>Comparación</t>
        </is>
      </c>
      <c r="C628" t="inlineStr">
        <is>
          <t>Habitat</t>
        </is>
      </c>
      <c r="D628" t="inlineStr">
        <is>
          <t>Invesco - Global Consumer Trends Fund S</t>
        </is>
      </c>
      <c r="E628" t="inlineStr">
        <is>
          <t>Inv MM$</t>
        </is>
      </c>
      <c r="F628" t="n">
        <v>0.084063</v>
      </c>
    </row>
    <row r="629">
      <c r="A629" t="inlineStr">
        <is>
          <t>202512</t>
        </is>
      </c>
      <c r="B629" t="inlineStr">
        <is>
          <t>Comparación</t>
        </is>
      </c>
      <c r="C629" t="inlineStr">
        <is>
          <t>Habitat</t>
        </is>
      </c>
      <c r="D629" t="inlineStr">
        <is>
          <t>Invesco - UK Opportunities Fund</t>
        </is>
      </c>
      <c r="E629" t="inlineStr">
        <is>
          <t>Huella</t>
        </is>
      </c>
      <c r="F629" t="n">
        <v>328.6834</v>
      </c>
    </row>
    <row r="630">
      <c r="A630" t="inlineStr">
        <is>
          <t>202512</t>
        </is>
      </c>
      <c r="B630" t="inlineStr">
        <is>
          <t>Comparación</t>
        </is>
      </c>
      <c r="C630" t="inlineStr">
        <is>
          <t>Habitat</t>
        </is>
      </c>
      <c r="D630" t="inlineStr">
        <is>
          <t>Invesco - UK Opportunities Fund</t>
        </is>
      </c>
      <c r="E630" t="inlineStr">
        <is>
          <t>Intensidad</t>
        </is>
      </c>
      <c r="F630" t="n">
        <v>0.190488</v>
      </c>
    </row>
    <row r="631">
      <c r="A631" t="inlineStr">
        <is>
          <t>202512</t>
        </is>
      </c>
      <c r="B631" t="inlineStr">
        <is>
          <t>Comparación</t>
        </is>
      </c>
      <c r="C631" t="inlineStr">
        <is>
          <t>Habitat</t>
        </is>
      </c>
      <c r="D631" t="inlineStr">
        <is>
          <t>Invesco - UK Opportunities Fund</t>
        </is>
      </c>
      <c r="E631" t="inlineStr">
        <is>
          <t>Inv MM$</t>
        </is>
      </c>
      <c r="F631" t="n">
        <v>4.165339</v>
      </c>
    </row>
    <row r="632">
      <c r="A632" t="inlineStr">
        <is>
          <t>202512</t>
        </is>
      </c>
      <c r="B632" t="inlineStr">
        <is>
          <t>Comparación</t>
        </is>
      </c>
      <c r="C632" t="inlineStr">
        <is>
          <t>Habitat</t>
        </is>
      </c>
      <c r="D632" t="inlineStr">
        <is>
          <t>Investec - Latin American Corporate Debt</t>
        </is>
      </c>
      <c r="E632" t="inlineStr">
        <is>
          <t>Huella</t>
        </is>
      </c>
      <c r="F632" t="n">
        <v>0.03824</v>
      </c>
    </row>
    <row r="633">
      <c r="A633" t="inlineStr">
        <is>
          <t>202512</t>
        </is>
      </c>
      <c r="B633" t="inlineStr">
        <is>
          <t>Comparación</t>
        </is>
      </c>
      <c r="C633" t="inlineStr">
        <is>
          <t>Habitat</t>
        </is>
      </c>
      <c r="D633" t="inlineStr">
        <is>
          <t>Investec - Latin American Corporate Debt</t>
        </is>
      </c>
      <c r="E633" t="inlineStr">
        <is>
          <t>Intensidad</t>
        </is>
      </c>
      <c r="F633" t="n">
        <v>4.3e-05</v>
      </c>
    </row>
    <row r="634">
      <c r="A634" t="inlineStr">
        <is>
          <t>202512</t>
        </is>
      </c>
      <c r="B634" t="inlineStr">
        <is>
          <t>Comparación</t>
        </is>
      </c>
      <c r="C634" t="inlineStr">
        <is>
          <t>Habitat</t>
        </is>
      </c>
      <c r="D634" t="inlineStr">
        <is>
          <t>Investec - Latin American Corporate Debt</t>
        </is>
      </c>
      <c r="E634" t="inlineStr">
        <is>
          <t>Inv MM$</t>
        </is>
      </c>
      <c r="F634" t="n">
        <v>0.000109</v>
      </c>
    </row>
    <row r="635">
      <c r="A635" t="inlineStr">
        <is>
          <t>202512</t>
        </is>
      </c>
      <c r="B635" t="inlineStr">
        <is>
          <t>Comparación</t>
        </is>
      </c>
      <c r="C635" t="inlineStr">
        <is>
          <t>Habitat</t>
        </is>
      </c>
      <c r="D635" t="inlineStr">
        <is>
          <t>JP Morgan - Emerging Markets</t>
        </is>
      </c>
      <c r="E635" t="inlineStr">
        <is>
          <t>Huella</t>
        </is>
      </c>
      <c r="F635" t="n">
        <v>27.731418</v>
      </c>
    </row>
    <row r="636">
      <c r="A636" t="inlineStr">
        <is>
          <t>202512</t>
        </is>
      </c>
      <c r="B636" t="inlineStr">
        <is>
          <t>Comparación</t>
        </is>
      </c>
      <c r="C636" t="inlineStr">
        <is>
          <t>Habitat</t>
        </is>
      </c>
      <c r="D636" t="inlineStr">
        <is>
          <t>JP Morgan - Emerging Markets</t>
        </is>
      </c>
      <c r="E636" t="inlineStr">
        <is>
          <t>Intensidad</t>
        </is>
      </c>
      <c r="F636" t="n">
        <v>0.013084</v>
      </c>
    </row>
    <row r="637">
      <c r="A637" t="inlineStr">
        <is>
          <t>202512</t>
        </is>
      </c>
      <c r="B637" t="inlineStr">
        <is>
          <t>Comparación</t>
        </is>
      </c>
      <c r="C637" t="inlineStr">
        <is>
          <t>Habitat</t>
        </is>
      </c>
      <c r="D637" t="inlineStr">
        <is>
          <t>JP Morgan - Emerging Markets</t>
        </is>
      </c>
      <c r="E637" t="inlineStr">
        <is>
          <t>Inv MM$</t>
        </is>
      </c>
      <c r="F637" t="n">
        <v>1.155145</v>
      </c>
    </row>
    <row r="638">
      <c r="A638" t="inlineStr">
        <is>
          <t>202512</t>
        </is>
      </c>
      <c r="B638" t="inlineStr">
        <is>
          <t>Comparación</t>
        </is>
      </c>
      <c r="C638" t="inlineStr">
        <is>
          <t>Habitat</t>
        </is>
      </c>
      <c r="D638" t="inlineStr">
        <is>
          <t>JP Morgan - Greater China Fund</t>
        </is>
      </c>
      <c r="E638" t="inlineStr">
        <is>
          <t>Huella</t>
        </is>
      </c>
      <c r="F638" t="n">
        <v>69.816513</v>
      </c>
    </row>
    <row r="639">
      <c r="A639" t="inlineStr">
        <is>
          <t>202512</t>
        </is>
      </c>
      <c r="B639" t="inlineStr">
        <is>
          <t>Comparación</t>
        </is>
      </c>
      <c r="C639" t="inlineStr">
        <is>
          <t>Habitat</t>
        </is>
      </c>
      <c r="D639" t="inlineStr">
        <is>
          <t>JP Morgan - Greater China Fund</t>
        </is>
      </c>
      <c r="E639" t="inlineStr">
        <is>
          <t>Intensidad</t>
        </is>
      </c>
      <c r="F639" t="n">
        <v>0.038126</v>
      </c>
    </row>
    <row r="640">
      <c r="A640" t="inlineStr">
        <is>
          <t>202512</t>
        </is>
      </c>
      <c r="B640" t="inlineStr">
        <is>
          <t>Comparación</t>
        </is>
      </c>
      <c r="C640" t="inlineStr">
        <is>
          <t>Habitat</t>
        </is>
      </c>
      <c r="D640" t="inlineStr">
        <is>
          <t>JP Morgan - Greater China Fund</t>
        </is>
      </c>
      <c r="E640" t="inlineStr">
        <is>
          <t>Inv MM$</t>
        </is>
      </c>
      <c r="F640" t="n">
        <v>1.99916</v>
      </c>
    </row>
    <row r="641">
      <c r="A641" t="inlineStr">
        <is>
          <t>202512</t>
        </is>
      </c>
      <c r="B641" t="inlineStr">
        <is>
          <t>Comparación</t>
        </is>
      </c>
      <c r="C641" t="inlineStr">
        <is>
          <t>Habitat</t>
        </is>
      </c>
      <c r="D641" t="inlineStr">
        <is>
          <t>JP Morgan - Japan Equity Fund - I</t>
        </is>
      </c>
      <c r="E641" t="inlineStr">
        <is>
          <t>Huella</t>
        </is>
      </c>
      <c r="F641" t="n">
        <v>1050.712572</v>
      </c>
    </row>
    <row r="642">
      <c r="A642" t="inlineStr">
        <is>
          <t>202512</t>
        </is>
      </c>
      <c r="B642" t="inlineStr">
        <is>
          <t>Comparación</t>
        </is>
      </c>
      <c r="C642" t="inlineStr">
        <is>
          <t>Habitat</t>
        </is>
      </c>
      <c r="D642" t="inlineStr">
        <is>
          <t>JP Morgan - Japan Equity Fund - I</t>
        </is>
      </c>
      <c r="E642" t="inlineStr">
        <is>
          <t>Intensidad</t>
        </is>
      </c>
      <c r="F642" t="n">
        <v>0.441825</v>
      </c>
    </row>
    <row r="643">
      <c r="A643" t="inlineStr">
        <is>
          <t>202512</t>
        </is>
      </c>
      <c r="B643" t="inlineStr">
        <is>
          <t>Comparación</t>
        </is>
      </c>
      <c r="C643" t="inlineStr">
        <is>
          <t>Habitat</t>
        </is>
      </c>
      <c r="D643" t="inlineStr">
        <is>
          <t>JP Morgan - Japan Equity Fund - I</t>
        </is>
      </c>
      <c r="E643" t="inlineStr">
        <is>
          <t>Inv MM$</t>
        </is>
      </c>
      <c r="F643" t="n">
        <v>46.209323</v>
      </c>
    </row>
    <row r="644">
      <c r="A644" t="inlineStr">
        <is>
          <t>202512</t>
        </is>
      </c>
      <c r="B644" t="inlineStr">
        <is>
          <t>Comparación</t>
        </is>
      </c>
      <c r="C644" t="inlineStr">
        <is>
          <t>Habitat</t>
        </is>
      </c>
      <c r="D644" t="inlineStr">
        <is>
          <t>Janus Henderson - Continental European Fund</t>
        </is>
      </c>
      <c r="E644" t="inlineStr">
        <is>
          <t>Huella</t>
        </is>
      </c>
      <c r="F644" t="n">
        <v>0.005785</v>
      </c>
    </row>
    <row r="645">
      <c r="A645" t="inlineStr">
        <is>
          <t>202512</t>
        </is>
      </c>
      <c r="B645" t="inlineStr">
        <is>
          <t>Comparación</t>
        </is>
      </c>
      <c r="C645" t="inlineStr">
        <is>
          <t>Habitat</t>
        </is>
      </c>
      <c r="D645" t="inlineStr">
        <is>
          <t>Janus Henderson - Continental European Fund</t>
        </is>
      </c>
      <c r="E645" t="inlineStr">
        <is>
          <t>Intensidad</t>
        </is>
      </c>
      <c r="F645" t="n">
        <v>5e-06</v>
      </c>
    </row>
    <row r="646">
      <c r="A646" t="inlineStr">
        <is>
          <t>202512</t>
        </is>
      </c>
      <c r="B646" t="inlineStr">
        <is>
          <t>Comparación</t>
        </is>
      </c>
      <c r="C646" t="inlineStr">
        <is>
          <t>Habitat</t>
        </is>
      </c>
      <c r="D646" t="inlineStr">
        <is>
          <t>Janus Henderson - Continental European Fund</t>
        </is>
      </c>
      <c r="E646" t="inlineStr">
        <is>
          <t>Inv MM$</t>
        </is>
      </c>
      <c r="F646" t="n">
        <v>8.500000000000001e-05</v>
      </c>
    </row>
    <row r="647">
      <c r="A647" t="inlineStr">
        <is>
          <t>202512</t>
        </is>
      </c>
      <c r="B647" t="inlineStr">
        <is>
          <t>Comparación</t>
        </is>
      </c>
      <c r="C647" t="inlineStr">
        <is>
          <t>Habitat</t>
        </is>
      </c>
      <c r="D647" t="inlineStr">
        <is>
          <t>Joh Berenberg - European Focus Fund</t>
        </is>
      </c>
      <c r="E647" t="inlineStr">
        <is>
          <t>Huella</t>
        </is>
      </c>
      <c r="F647" t="n">
        <v>35.803694</v>
      </c>
    </row>
    <row r="648">
      <c r="A648" t="inlineStr">
        <is>
          <t>202512</t>
        </is>
      </c>
      <c r="B648" t="inlineStr">
        <is>
          <t>Comparación</t>
        </is>
      </c>
      <c r="C648" t="inlineStr">
        <is>
          <t>Habitat</t>
        </is>
      </c>
      <c r="D648" t="inlineStr">
        <is>
          <t>Joh Berenberg - European Focus Fund</t>
        </is>
      </c>
      <c r="E648" t="inlineStr">
        <is>
          <t>Intensidad</t>
        </is>
      </c>
      <c r="F648" t="n">
        <v>0.018439</v>
      </c>
    </row>
    <row r="649">
      <c r="A649" t="inlineStr">
        <is>
          <t>202512</t>
        </is>
      </c>
      <c r="B649" t="inlineStr">
        <is>
          <t>Comparación</t>
        </is>
      </c>
      <c r="C649" t="inlineStr">
        <is>
          <t>Habitat</t>
        </is>
      </c>
      <c r="D649" t="inlineStr">
        <is>
          <t>Joh Berenberg - European Focus Fund</t>
        </is>
      </c>
      <c r="E649" t="inlineStr">
        <is>
          <t>Inv MM$</t>
        </is>
      </c>
      <c r="F649" t="n">
        <v>1.007089</v>
      </c>
    </row>
    <row r="650">
      <c r="A650" t="inlineStr">
        <is>
          <t>202512</t>
        </is>
      </c>
      <c r="B650" t="inlineStr">
        <is>
          <t>Comparación</t>
        </is>
      </c>
      <c r="C650" t="inlineStr">
        <is>
          <t>Habitat</t>
        </is>
      </c>
      <c r="D650" t="inlineStr">
        <is>
          <t>Jupiter Unit Trust - Asian Income Fund I GBP</t>
        </is>
      </c>
      <c r="E650" t="inlineStr">
        <is>
          <t>Huella</t>
        </is>
      </c>
      <c r="F650" t="n">
        <v>0.00029</v>
      </c>
    </row>
    <row r="651">
      <c r="A651" t="inlineStr">
        <is>
          <t>202512</t>
        </is>
      </c>
      <c r="B651" t="inlineStr">
        <is>
          <t>Comparación</t>
        </is>
      </c>
      <c r="C651" t="inlineStr">
        <is>
          <t>Habitat</t>
        </is>
      </c>
      <c r="D651" t="inlineStr">
        <is>
          <t>Jupiter Unit Trust - Asian Income Fund I GBP</t>
        </is>
      </c>
      <c r="E651" t="inlineStr">
        <is>
          <t>Intensidad</t>
        </is>
      </c>
      <c r="F651" t="n">
        <v>0</v>
      </c>
    </row>
    <row r="652">
      <c r="A652" t="inlineStr">
        <is>
          <t>202512</t>
        </is>
      </c>
      <c r="B652" t="inlineStr">
        <is>
          <t>Comparación</t>
        </is>
      </c>
      <c r="C652" t="inlineStr">
        <is>
          <t>Habitat</t>
        </is>
      </c>
      <c r="D652" t="inlineStr">
        <is>
          <t>Jupiter Unit Trust - Asian Income Fund I GBP</t>
        </is>
      </c>
      <c r="E652" t="inlineStr">
        <is>
          <t>Inv MM$</t>
        </is>
      </c>
      <c r="F652" t="n">
        <v>9e-06</v>
      </c>
    </row>
    <row r="653">
      <c r="A653" t="inlineStr">
        <is>
          <t>202512</t>
        </is>
      </c>
      <c r="B653" t="inlineStr">
        <is>
          <t>Comparación</t>
        </is>
      </c>
      <c r="C653" t="inlineStr">
        <is>
          <t>Habitat</t>
        </is>
      </c>
      <c r="D653" t="inlineStr">
        <is>
          <t>Jupiter Unit Trust - European Growth</t>
        </is>
      </c>
      <c r="E653" t="inlineStr">
        <is>
          <t>Huella</t>
        </is>
      </c>
      <c r="F653" t="n">
        <v>41.282889</v>
      </c>
    </row>
    <row r="654">
      <c r="A654" t="inlineStr">
        <is>
          <t>202512</t>
        </is>
      </c>
      <c r="B654" t="inlineStr">
        <is>
          <t>Comparación</t>
        </is>
      </c>
      <c r="C654" t="inlineStr">
        <is>
          <t>Habitat</t>
        </is>
      </c>
      <c r="D654" t="inlineStr">
        <is>
          <t>Jupiter Unit Trust - European Growth</t>
        </is>
      </c>
      <c r="E654" t="inlineStr">
        <is>
          <t>Intensidad</t>
        </is>
      </c>
      <c r="F654" t="n">
        <v>0.023696</v>
      </c>
    </row>
    <row r="655">
      <c r="A655" t="inlineStr">
        <is>
          <t>202512</t>
        </is>
      </c>
      <c r="B655" t="inlineStr">
        <is>
          <t>Comparación</t>
        </is>
      </c>
      <c r="C655" t="inlineStr">
        <is>
          <t>Habitat</t>
        </is>
      </c>
      <c r="D655" t="inlineStr">
        <is>
          <t>Jupiter Unit Trust - European Growth</t>
        </is>
      </c>
      <c r="E655" t="inlineStr">
        <is>
          <t>Inv MM$</t>
        </is>
      </c>
      <c r="F655" t="n">
        <v>0.829898</v>
      </c>
    </row>
    <row r="656">
      <c r="A656" t="inlineStr">
        <is>
          <t>202512</t>
        </is>
      </c>
      <c r="B656" t="inlineStr">
        <is>
          <t>Comparación</t>
        </is>
      </c>
      <c r="C656" t="inlineStr">
        <is>
          <t>Habitat</t>
        </is>
      </c>
      <c r="D656" t="inlineStr">
        <is>
          <t>Krane - CSI China Internet Fund</t>
        </is>
      </c>
      <c r="E656" t="inlineStr">
        <is>
          <t>Huella</t>
        </is>
      </c>
      <c r="F656" t="n">
        <v>1229.440697</v>
      </c>
    </row>
    <row r="657">
      <c r="A657" t="inlineStr">
        <is>
          <t>202512</t>
        </is>
      </c>
      <c r="B657" t="inlineStr">
        <is>
          <t>Comparación</t>
        </is>
      </c>
      <c r="C657" t="inlineStr">
        <is>
          <t>Habitat</t>
        </is>
      </c>
      <c r="D657" t="inlineStr">
        <is>
          <t>Krane - CSI China Internet Fund</t>
        </is>
      </c>
      <c r="E657" t="inlineStr">
        <is>
          <t>Intensidad</t>
        </is>
      </c>
      <c r="F657" t="n">
        <v>0.476364</v>
      </c>
    </row>
    <row r="658">
      <c r="A658" t="inlineStr">
        <is>
          <t>202512</t>
        </is>
      </c>
      <c r="B658" t="inlineStr">
        <is>
          <t>Comparación</t>
        </is>
      </c>
      <c r="C658" t="inlineStr">
        <is>
          <t>Habitat</t>
        </is>
      </c>
      <c r="D658" t="inlineStr">
        <is>
          <t>Krane - CSI China Internet Fund</t>
        </is>
      </c>
      <c r="E658" t="inlineStr">
        <is>
          <t>Inv MM$</t>
        </is>
      </c>
      <c r="F658" t="n">
        <v>173.421495</v>
      </c>
    </row>
    <row r="659">
      <c r="A659" t="inlineStr">
        <is>
          <t>202512</t>
        </is>
      </c>
      <c r="B659" t="inlineStr">
        <is>
          <t>Comparación</t>
        </is>
      </c>
      <c r="C659" t="inlineStr">
        <is>
          <t>Habitat</t>
        </is>
      </c>
      <c r="D659" t="inlineStr">
        <is>
          <t>Lazard - Convertible Global Fund</t>
        </is>
      </c>
      <c r="E659" t="inlineStr">
        <is>
          <t>Huella</t>
        </is>
      </c>
      <c r="F659" t="n">
        <v>1106.010059</v>
      </c>
    </row>
    <row r="660">
      <c r="A660" t="inlineStr">
        <is>
          <t>202512</t>
        </is>
      </c>
      <c r="B660" t="inlineStr">
        <is>
          <t>Comparación</t>
        </is>
      </c>
      <c r="C660" t="inlineStr">
        <is>
          <t>Habitat</t>
        </is>
      </c>
      <c r="D660" t="inlineStr">
        <is>
          <t>Lazard - Convertible Global Fund</t>
        </is>
      </c>
      <c r="E660" t="inlineStr">
        <is>
          <t>Intensidad</t>
        </is>
      </c>
      <c r="F660" t="n">
        <v>0.529753</v>
      </c>
    </row>
    <row r="661">
      <c r="A661" t="inlineStr">
        <is>
          <t>202512</t>
        </is>
      </c>
      <c r="B661" t="inlineStr">
        <is>
          <t>Comparación</t>
        </is>
      </c>
      <c r="C661" t="inlineStr">
        <is>
          <t>Habitat</t>
        </is>
      </c>
      <c r="D661" t="inlineStr">
        <is>
          <t>Lazard - Convertible Global Fund</t>
        </is>
      </c>
      <c r="E661" t="inlineStr">
        <is>
          <t>Inv MM$</t>
        </is>
      </c>
      <c r="F661" t="n">
        <v>15.76196</v>
      </c>
    </row>
    <row r="662">
      <c r="A662" t="inlineStr">
        <is>
          <t>202512</t>
        </is>
      </c>
      <c r="B662" t="inlineStr">
        <is>
          <t>Comparación</t>
        </is>
      </c>
      <c r="C662" t="inlineStr">
        <is>
          <t>Habitat</t>
        </is>
      </c>
      <c r="D662" t="inlineStr">
        <is>
          <t>Liontrust - Liontrust European Dynamic Fund S</t>
        </is>
      </c>
      <c r="E662" t="inlineStr">
        <is>
          <t>Huella</t>
        </is>
      </c>
      <c r="F662" t="n">
        <v>1073.219585</v>
      </c>
    </row>
    <row r="663">
      <c r="A663" t="inlineStr">
        <is>
          <t>202512</t>
        </is>
      </c>
      <c r="B663" t="inlineStr">
        <is>
          <t>Comparación</t>
        </is>
      </c>
      <c r="C663" t="inlineStr">
        <is>
          <t>Habitat</t>
        </is>
      </c>
      <c r="D663" t="inlineStr">
        <is>
          <t>Liontrust - Liontrust European Dynamic Fund S</t>
        </is>
      </c>
      <c r="E663" t="inlineStr">
        <is>
          <t>Intensidad</t>
        </is>
      </c>
      <c r="F663" t="n">
        <v>0.63958</v>
      </c>
    </row>
    <row r="664">
      <c r="A664" t="inlineStr">
        <is>
          <t>202512</t>
        </is>
      </c>
      <c r="B664" t="inlineStr">
        <is>
          <t>Comparación</t>
        </is>
      </c>
      <c r="C664" t="inlineStr">
        <is>
          <t>Habitat</t>
        </is>
      </c>
      <c r="D664" t="inlineStr">
        <is>
          <t>Liontrust - Liontrust European Dynamic Fund S</t>
        </is>
      </c>
      <c r="E664" t="inlineStr">
        <is>
          <t>Inv MM$</t>
        </is>
      </c>
      <c r="F664" t="n">
        <v>5.113374</v>
      </c>
    </row>
    <row r="665">
      <c r="A665" t="inlineStr">
        <is>
          <t>202512</t>
        </is>
      </c>
      <c r="B665" t="inlineStr">
        <is>
          <t>Comparación</t>
        </is>
      </c>
      <c r="C665" t="inlineStr">
        <is>
          <t>Habitat</t>
        </is>
      </c>
      <c r="D665" t="inlineStr">
        <is>
          <t>M&amp;G - Global Floating Rate High Yield Fund</t>
        </is>
      </c>
      <c r="E665" t="inlineStr">
        <is>
          <t>Huella</t>
        </is>
      </c>
      <c r="F665" t="n">
        <v>0.691925</v>
      </c>
    </row>
    <row r="666">
      <c r="A666" t="inlineStr">
        <is>
          <t>202512</t>
        </is>
      </c>
      <c r="B666" t="inlineStr">
        <is>
          <t>Comparación</t>
        </is>
      </c>
      <c r="C666" t="inlineStr">
        <is>
          <t>Habitat</t>
        </is>
      </c>
      <c r="D666" t="inlineStr">
        <is>
          <t>M&amp;G - Global Floating Rate High Yield Fund</t>
        </is>
      </c>
      <c r="E666" t="inlineStr">
        <is>
          <t>Intensidad</t>
        </is>
      </c>
      <c r="F666" t="n">
        <v>0.001378</v>
      </c>
    </row>
    <row r="667">
      <c r="A667" t="inlineStr">
        <is>
          <t>202512</t>
        </is>
      </c>
      <c r="B667" t="inlineStr">
        <is>
          <t>Comparación</t>
        </is>
      </c>
      <c r="C667" t="inlineStr">
        <is>
          <t>Habitat</t>
        </is>
      </c>
      <c r="D667" t="inlineStr">
        <is>
          <t>M&amp;G - Global Floating Rate High Yield Fund</t>
        </is>
      </c>
      <c r="E667" t="inlineStr">
        <is>
          <t>Inv MM$</t>
        </is>
      </c>
      <c r="F667" t="n">
        <v>0.010082</v>
      </c>
    </row>
    <row r="668">
      <c r="A668" t="inlineStr">
        <is>
          <t>202512</t>
        </is>
      </c>
      <c r="B668" t="inlineStr">
        <is>
          <t>Comparación</t>
        </is>
      </c>
      <c r="C668" t="inlineStr">
        <is>
          <t>Habitat</t>
        </is>
      </c>
      <c r="D668" t="inlineStr">
        <is>
          <t>MSIM - Asia Opportunity</t>
        </is>
      </c>
      <c r="E668" t="inlineStr">
        <is>
          <t>Huella</t>
        </is>
      </c>
      <c r="F668" t="n">
        <v>3.729283</v>
      </c>
    </row>
    <row r="669">
      <c r="A669" t="inlineStr">
        <is>
          <t>202512</t>
        </is>
      </c>
      <c r="B669" t="inlineStr">
        <is>
          <t>Comparación</t>
        </is>
      </c>
      <c r="C669" t="inlineStr">
        <is>
          <t>Habitat</t>
        </is>
      </c>
      <c r="D669" t="inlineStr">
        <is>
          <t>MSIM - Asia Opportunity</t>
        </is>
      </c>
      <c r="E669" t="inlineStr">
        <is>
          <t>Intensidad</t>
        </is>
      </c>
      <c r="F669" t="n">
        <v>0.002658</v>
      </c>
    </row>
    <row r="670">
      <c r="A670" t="inlineStr">
        <is>
          <t>202512</t>
        </is>
      </c>
      <c r="B670" t="inlineStr">
        <is>
          <t>Comparación</t>
        </is>
      </c>
      <c r="C670" t="inlineStr">
        <is>
          <t>Habitat</t>
        </is>
      </c>
      <c r="D670" t="inlineStr">
        <is>
          <t>MSIM - Asia Opportunity</t>
        </is>
      </c>
      <c r="E670" t="inlineStr">
        <is>
          <t>Inv MM$</t>
        </is>
      </c>
      <c r="F670" t="n">
        <v>0.732364</v>
      </c>
    </row>
    <row r="671">
      <c r="A671" t="inlineStr">
        <is>
          <t>202512</t>
        </is>
      </c>
      <c r="B671" t="inlineStr">
        <is>
          <t>Comparación</t>
        </is>
      </c>
      <c r="C671" t="inlineStr">
        <is>
          <t>Habitat</t>
        </is>
      </c>
      <c r="D671" t="inlineStr">
        <is>
          <t>Man GLG - Continental European Growth</t>
        </is>
      </c>
      <c r="E671" t="inlineStr">
        <is>
          <t>Huella</t>
        </is>
      </c>
      <c r="F671" t="n">
        <v>56.101068</v>
      </c>
    </row>
    <row r="672">
      <c r="A672" t="inlineStr">
        <is>
          <t>202512</t>
        </is>
      </c>
      <c r="B672" t="inlineStr">
        <is>
          <t>Comparación</t>
        </is>
      </c>
      <c r="C672" t="inlineStr">
        <is>
          <t>Habitat</t>
        </is>
      </c>
      <c r="D672" t="inlineStr">
        <is>
          <t>Man GLG - Continental European Growth</t>
        </is>
      </c>
      <c r="E672" t="inlineStr">
        <is>
          <t>Intensidad</t>
        </is>
      </c>
      <c r="F672" t="n">
        <v>0.032206</v>
      </c>
    </row>
    <row r="673">
      <c r="A673" t="inlineStr">
        <is>
          <t>202512</t>
        </is>
      </c>
      <c r="B673" t="inlineStr">
        <is>
          <t>Comparación</t>
        </is>
      </c>
      <c r="C673" t="inlineStr">
        <is>
          <t>Habitat</t>
        </is>
      </c>
      <c r="D673" t="inlineStr">
        <is>
          <t>Man GLG - Continental European Growth</t>
        </is>
      </c>
      <c r="E673" t="inlineStr">
        <is>
          <t>Inv MM$</t>
        </is>
      </c>
      <c r="F673" t="n">
        <v>0.786249</v>
      </c>
    </row>
    <row r="674">
      <c r="A674" t="inlineStr">
        <is>
          <t>202512</t>
        </is>
      </c>
      <c r="B674" t="inlineStr">
        <is>
          <t>Comparación</t>
        </is>
      </c>
      <c r="C674" t="inlineStr">
        <is>
          <t>Habitat</t>
        </is>
      </c>
      <c r="D674" t="inlineStr">
        <is>
          <t>Matthews - China Small Caps</t>
        </is>
      </c>
      <c r="E674" t="inlineStr">
        <is>
          <t>Huella</t>
        </is>
      </c>
      <c r="F674" t="n">
        <v>0.004561</v>
      </c>
    </row>
    <row r="675">
      <c r="A675" t="inlineStr">
        <is>
          <t>202512</t>
        </is>
      </c>
      <c r="B675" t="inlineStr">
        <is>
          <t>Comparación</t>
        </is>
      </c>
      <c r="C675" t="inlineStr">
        <is>
          <t>Habitat</t>
        </is>
      </c>
      <c r="D675" t="inlineStr">
        <is>
          <t>Matthews - China Small Caps</t>
        </is>
      </c>
      <c r="E675" t="inlineStr">
        <is>
          <t>Intensidad</t>
        </is>
      </c>
      <c r="F675" t="n">
        <v>2e-06</v>
      </c>
    </row>
    <row r="676">
      <c r="A676" t="inlineStr">
        <is>
          <t>202512</t>
        </is>
      </c>
      <c r="B676" t="inlineStr">
        <is>
          <t>Comparación</t>
        </is>
      </c>
      <c r="C676" t="inlineStr">
        <is>
          <t>Habitat</t>
        </is>
      </c>
      <c r="D676" t="inlineStr">
        <is>
          <t>Matthews - China Small Caps</t>
        </is>
      </c>
      <c r="E676" t="inlineStr">
        <is>
          <t>Inv MM$</t>
        </is>
      </c>
      <c r="F676" t="n">
        <v>6.1e-05</v>
      </c>
    </row>
    <row r="677">
      <c r="A677" t="inlineStr">
        <is>
          <t>202512</t>
        </is>
      </c>
      <c r="B677" t="inlineStr">
        <is>
          <t>Comparación</t>
        </is>
      </c>
      <c r="C677" t="inlineStr">
        <is>
          <t>Habitat</t>
        </is>
      </c>
      <c r="D677" t="inlineStr">
        <is>
          <t>Mi Vivienda</t>
        </is>
      </c>
      <c r="E677" t="inlineStr">
        <is>
          <t>Huella</t>
        </is>
      </c>
      <c r="F677" t="n">
        <v>0.495145</v>
      </c>
    </row>
    <row r="678">
      <c r="A678" t="inlineStr">
        <is>
          <t>202512</t>
        </is>
      </c>
      <c r="B678" t="inlineStr">
        <is>
          <t>Comparación</t>
        </is>
      </c>
      <c r="C678" t="inlineStr">
        <is>
          <t>Habitat</t>
        </is>
      </c>
      <c r="D678" t="inlineStr">
        <is>
          <t>Mi Vivienda</t>
        </is>
      </c>
      <c r="E678" t="inlineStr">
        <is>
          <t>Intensidad</t>
        </is>
      </c>
      <c r="F678" t="n">
        <v>0.000121</v>
      </c>
    </row>
    <row r="679">
      <c r="A679" t="inlineStr">
        <is>
          <t>202512</t>
        </is>
      </c>
      <c r="B679" t="inlineStr">
        <is>
          <t>Comparación</t>
        </is>
      </c>
      <c r="C679" t="inlineStr">
        <is>
          <t>Habitat</t>
        </is>
      </c>
      <c r="D679" t="inlineStr">
        <is>
          <t>Mi Vivienda</t>
        </is>
      </c>
      <c r="E679" t="inlineStr">
        <is>
          <t>Inv MM$</t>
        </is>
      </c>
      <c r="F679" t="n">
        <v>1.597242</v>
      </c>
    </row>
    <row r="680">
      <c r="A680" t="inlineStr">
        <is>
          <t>202512</t>
        </is>
      </c>
      <c r="B680" t="inlineStr">
        <is>
          <t>Comparación</t>
        </is>
      </c>
      <c r="C680" t="inlineStr">
        <is>
          <t>Habitat</t>
        </is>
      </c>
      <c r="D680" t="inlineStr">
        <is>
          <t>Minsur</t>
        </is>
      </c>
      <c r="E680" t="inlineStr">
        <is>
          <t>Huella</t>
        </is>
      </c>
      <c r="F680" t="n">
        <v>23368.434605</v>
      </c>
    </row>
    <row r="681">
      <c r="A681" t="inlineStr">
        <is>
          <t>202512</t>
        </is>
      </c>
      <c r="B681" t="inlineStr">
        <is>
          <t>Comparación</t>
        </is>
      </c>
      <c r="C681" t="inlineStr">
        <is>
          <t>Habitat</t>
        </is>
      </c>
      <c r="D681" t="inlineStr">
        <is>
          <t>Minsur</t>
        </is>
      </c>
      <c r="E681" t="inlineStr">
        <is>
          <t>Intensidad</t>
        </is>
      </c>
      <c r="F681" t="n">
        <v>10.384975</v>
      </c>
    </row>
    <row r="682">
      <c r="A682" t="inlineStr">
        <is>
          <t>202512</t>
        </is>
      </c>
      <c r="B682" t="inlineStr">
        <is>
          <t>Comparación</t>
        </is>
      </c>
      <c r="C682" t="inlineStr">
        <is>
          <t>Habitat</t>
        </is>
      </c>
      <c r="D682" t="inlineStr">
        <is>
          <t>Minsur</t>
        </is>
      </c>
      <c r="E682" t="inlineStr">
        <is>
          <t>Inv MM$</t>
        </is>
      </c>
      <c r="F682" t="n">
        <v>204.627273</v>
      </c>
    </row>
    <row r="683">
      <c r="A683" t="inlineStr">
        <is>
          <t>202512</t>
        </is>
      </c>
      <c r="B683" t="inlineStr">
        <is>
          <t>Comparación</t>
        </is>
      </c>
      <c r="C683" t="inlineStr">
        <is>
          <t>Habitat</t>
        </is>
      </c>
      <c r="D683" t="inlineStr">
        <is>
          <t>Nexa Resources</t>
        </is>
      </c>
      <c r="E683" t="inlineStr">
        <is>
          <t>Huella</t>
        </is>
      </c>
      <c r="F683" t="n">
        <v>10642.235125</v>
      </c>
    </row>
    <row r="684">
      <c r="A684" t="inlineStr">
        <is>
          <t>202512</t>
        </is>
      </c>
      <c r="B684" t="inlineStr">
        <is>
          <t>Comparación</t>
        </is>
      </c>
      <c r="C684" t="inlineStr">
        <is>
          <t>Habitat</t>
        </is>
      </c>
      <c r="D684" t="inlineStr">
        <is>
          <t>Nexa Resources</t>
        </is>
      </c>
      <c r="E684" t="inlineStr">
        <is>
          <t>Intensidad</t>
        </is>
      </c>
      <c r="F684" t="n">
        <v>4.230903</v>
      </c>
    </row>
    <row r="685">
      <c r="A685" t="inlineStr">
        <is>
          <t>202512</t>
        </is>
      </c>
      <c r="B685" t="inlineStr">
        <is>
          <t>Comparación</t>
        </is>
      </c>
      <c r="C685" t="inlineStr">
        <is>
          <t>Habitat</t>
        </is>
      </c>
      <c r="D685" t="inlineStr">
        <is>
          <t>Nexa Resources</t>
        </is>
      </c>
      <c r="E685" t="inlineStr">
        <is>
          <t>Inv MM$</t>
        </is>
      </c>
      <c r="F685" t="n">
        <v>49.669724</v>
      </c>
    </row>
    <row r="686">
      <c r="A686" t="inlineStr">
        <is>
          <t>202512</t>
        </is>
      </c>
      <c r="B686" t="inlineStr">
        <is>
          <t>Comparación</t>
        </is>
      </c>
      <c r="C686" t="inlineStr">
        <is>
          <t>Habitat</t>
        </is>
      </c>
      <c r="D686" t="inlineStr">
        <is>
          <t>Nexa Resources Perú</t>
        </is>
      </c>
      <c r="E686" t="inlineStr">
        <is>
          <t>Huella</t>
        </is>
      </c>
      <c r="F686" t="n">
        <v>1374.66736</v>
      </c>
    </row>
    <row r="687">
      <c r="A687" t="inlineStr">
        <is>
          <t>202512</t>
        </is>
      </c>
      <c r="B687" t="inlineStr">
        <is>
          <t>Comparación</t>
        </is>
      </c>
      <c r="C687" t="inlineStr">
        <is>
          <t>Habitat</t>
        </is>
      </c>
      <c r="D687" t="inlineStr">
        <is>
          <t>Nexa Resources Perú</t>
        </is>
      </c>
      <c r="E687" t="inlineStr">
        <is>
          <t>Intensidad</t>
        </is>
      </c>
      <c r="F687" t="n">
        <v>0.51047</v>
      </c>
    </row>
    <row r="688">
      <c r="A688" t="inlineStr">
        <is>
          <t>202512</t>
        </is>
      </c>
      <c r="B688" t="inlineStr">
        <is>
          <t>Comparación</t>
        </is>
      </c>
      <c r="C688" t="inlineStr">
        <is>
          <t>Habitat</t>
        </is>
      </c>
      <c r="D688" t="inlineStr">
        <is>
          <t>Nexa Resources Perú</t>
        </is>
      </c>
      <c r="E688" t="inlineStr">
        <is>
          <t>Inv MM$</t>
        </is>
      </c>
      <c r="F688" t="n">
        <v>4.948229</v>
      </c>
    </row>
    <row r="689">
      <c r="A689" t="inlineStr">
        <is>
          <t>202512</t>
        </is>
      </c>
      <c r="B689" t="inlineStr">
        <is>
          <t>Comparación</t>
        </is>
      </c>
      <c r="C689" t="inlineStr">
        <is>
          <t>Habitat</t>
        </is>
      </c>
      <c r="D689" t="inlineStr">
        <is>
          <t>Ninety One - Global Natural Resources Fund I</t>
        </is>
      </c>
      <c r="E689" t="inlineStr">
        <is>
          <t>Huella</t>
        </is>
      </c>
      <c r="F689" t="n">
        <v>2081.34374</v>
      </c>
    </row>
    <row r="690">
      <c r="A690" t="inlineStr">
        <is>
          <t>202512</t>
        </is>
      </c>
      <c r="B690" t="inlineStr">
        <is>
          <t>Comparación</t>
        </is>
      </c>
      <c r="C690" t="inlineStr">
        <is>
          <t>Habitat</t>
        </is>
      </c>
      <c r="D690" t="inlineStr">
        <is>
          <t>Ninety One - Global Natural Resources Fund I</t>
        </is>
      </c>
      <c r="E690" t="inlineStr">
        <is>
          <t>Intensidad</t>
        </is>
      </c>
      <c r="F690" t="n">
        <v>1.19985</v>
      </c>
    </row>
    <row r="691">
      <c r="A691" t="inlineStr">
        <is>
          <t>202512</t>
        </is>
      </c>
      <c r="B691" t="inlineStr">
        <is>
          <t>Comparación</t>
        </is>
      </c>
      <c r="C691" t="inlineStr">
        <is>
          <t>Habitat</t>
        </is>
      </c>
      <c r="D691" t="inlineStr">
        <is>
          <t>Ninety One - Global Natural Resources Fund I</t>
        </is>
      </c>
      <c r="E691" t="inlineStr">
        <is>
          <t>Inv MM$</t>
        </is>
      </c>
      <c r="F691" t="n">
        <v>9.561042</v>
      </c>
    </row>
    <row r="692">
      <c r="A692" t="inlineStr">
        <is>
          <t>202512</t>
        </is>
      </c>
      <c r="B692" t="inlineStr">
        <is>
          <t>Comparación</t>
        </is>
      </c>
      <c r="C692" t="inlineStr">
        <is>
          <t>Habitat</t>
        </is>
      </c>
      <c r="D692" t="inlineStr">
        <is>
          <t>Nomura - Indian Equity</t>
        </is>
      </c>
      <c r="E692" t="inlineStr">
        <is>
          <t>Huella</t>
        </is>
      </c>
      <c r="F692" t="n">
        <v>2601.036112</v>
      </c>
    </row>
    <row r="693">
      <c r="A693" t="inlineStr">
        <is>
          <t>202512</t>
        </is>
      </c>
      <c r="B693" t="inlineStr">
        <is>
          <t>Comparación</t>
        </is>
      </c>
      <c r="C693" t="inlineStr">
        <is>
          <t>Habitat</t>
        </is>
      </c>
      <c r="D693" t="inlineStr">
        <is>
          <t>Nomura - Indian Equity</t>
        </is>
      </c>
      <c r="E693" t="inlineStr">
        <is>
          <t>Intensidad</t>
        </is>
      </c>
      <c r="F693" t="n">
        <v>0.84438</v>
      </c>
    </row>
    <row r="694">
      <c r="A694" t="inlineStr">
        <is>
          <t>202512</t>
        </is>
      </c>
      <c r="B694" t="inlineStr">
        <is>
          <t>Comparación</t>
        </is>
      </c>
      <c r="C694" t="inlineStr">
        <is>
          <t>Habitat</t>
        </is>
      </c>
      <c r="D694" t="inlineStr">
        <is>
          <t>Nomura - Indian Equity</t>
        </is>
      </c>
      <c r="E694" t="inlineStr">
        <is>
          <t>Inv MM$</t>
        </is>
      </c>
      <c r="F694" t="n">
        <v>22.311213</v>
      </c>
    </row>
    <row r="695">
      <c r="A695" t="inlineStr">
        <is>
          <t>202512</t>
        </is>
      </c>
      <c r="B695" t="inlineStr">
        <is>
          <t>Comparación</t>
        </is>
      </c>
      <c r="C695" t="inlineStr">
        <is>
          <t>Habitat</t>
        </is>
      </c>
      <c r="D695" t="inlineStr">
        <is>
          <t>Nomura - US High Yield Bond Fund</t>
        </is>
      </c>
      <c r="E695" t="inlineStr">
        <is>
          <t>Huella</t>
        </is>
      </c>
      <c r="F695" t="n">
        <v>0.180381</v>
      </c>
    </row>
    <row r="696">
      <c r="A696" t="inlineStr">
        <is>
          <t>202512</t>
        </is>
      </c>
      <c r="B696" t="inlineStr">
        <is>
          <t>Comparación</t>
        </is>
      </c>
      <c r="C696" t="inlineStr">
        <is>
          <t>Habitat</t>
        </is>
      </c>
      <c r="D696" t="inlineStr">
        <is>
          <t>Nomura - US High Yield Bond Fund</t>
        </is>
      </c>
      <c r="E696" t="inlineStr">
        <is>
          <t>Intensidad</t>
        </is>
      </c>
      <c r="F696" t="n">
        <v>0.000225</v>
      </c>
    </row>
    <row r="697">
      <c r="A697" t="inlineStr">
        <is>
          <t>202512</t>
        </is>
      </c>
      <c r="B697" t="inlineStr">
        <is>
          <t>Comparación</t>
        </is>
      </c>
      <c r="C697" t="inlineStr">
        <is>
          <t>Habitat</t>
        </is>
      </c>
      <c r="D697" t="inlineStr">
        <is>
          <t>Nomura - US High Yield Bond Fund</t>
        </is>
      </c>
      <c r="E697" t="inlineStr">
        <is>
          <t>Inv MM$</t>
        </is>
      </c>
      <c r="F697" t="n">
        <v>0.001226</v>
      </c>
    </row>
    <row r="698">
      <c r="A698" t="inlineStr">
        <is>
          <t>202512</t>
        </is>
      </c>
      <c r="B698" t="inlineStr">
        <is>
          <t>Comparación</t>
        </is>
      </c>
      <c r="C698" t="inlineStr">
        <is>
          <t>Habitat</t>
        </is>
      </c>
      <c r="D698" t="inlineStr">
        <is>
          <t>Northern Trust - EM Hard Currency</t>
        </is>
      </c>
      <c r="E698" t="inlineStr">
        <is>
          <t>Huella</t>
        </is>
      </c>
      <c r="F698" t="n">
        <v>645.757475</v>
      </c>
    </row>
    <row r="699">
      <c r="A699" t="inlineStr">
        <is>
          <t>202512</t>
        </is>
      </c>
      <c r="B699" t="inlineStr">
        <is>
          <t>Comparación</t>
        </is>
      </c>
      <c r="C699" t="inlineStr">
        <is>
          <t>Habitat</t>
        </is>
      </c>
      <c r="D699" t="inlineStr">
        <is>
          <t>Northern Trust - EM Hard Currency</t>
        </is>
      </c>
      <c r="E699" t="inlineStr">
        <is>
          <t>Intensidad</t>
        </is>
      </c>
      <c r="F699" t="n">
        <v>1.285794</v>
      </c>
    </row>
    <row r="700">
      <c r="A700" t="inlineStr">
        <is>
          <t>202512</t>
        </is>
      </c>
      <c r="B700" t="inlineStr">
        <is>
          <t>Comparación</t>
        </is>
      </c>
      <c r="C700" t="inlineStr">
        <is>
          <t>Habitat</t>
        </is>
      </c>
      <c r="D700" t="inlineStr">
        <is>
          <t>Northern Trust - EM Hard Currency</t>
        </is>
      </c>
      <c r="E700" t="inlineStr">
        <is>
          <t>Inv MM$</t>
        </is>
      </c>
      <c r="F700" t="n">
        <v>2.02519</v>
      </c>
    </row>
    <row r="701">
      <c r="A701" t="inlineStr">
        <is>
          <t>202512</t>
        </is>
      </c>
      <c r="B701" t="inlineStr">
        <is>
          <t>Comparación</t>
        </is>
      </c>
      <c r="C701" t="inlineStr">
        <is>
          <t>Habitat</t>
        </is>
      </c>
      <c r="D701" t="inlineStr">
        <is>
          <t>PIMCO - Asia High Yield Bond Fund</t>
        </is>
      </c>
      <c r="E701" t="inlineStr">
        <is>
          <t>Huella</t>
        </is>
      </c>
      <c r="F701" t="n">
        <v>17.513793</v>
      </c>
    </row>
    <row r="702">
      <c r="A702" t="inlineStr">
        <is>
          <t>202512</t>
        </is>
      </c>
      <c r="B702" t="inlineStr">
        <is>
          <t>Comparación</t>
        </is>
      </c>
      <c r="C702" t="inlineStr">
        <is>
          <t>Habitat</t>
        </is>
      </c>
      <c r="D702" t="inlineStr">
        <is>
          <t>PIMCO - Asia High Yield Bond Fund</t>
        </is>
      </c>
      <c r="E702" t="inlineStr">
        <is>
          <t>Intensidad</t>
        </is>
      </c>
      <c r="F702" t="n">
        <v>0.02887</v>
      </c>
    </row>
    <row r="703">
      <c r="A703" t="inlineStr">
        <is>
          <t>202512</t>
        </is>
      </c>
      <c r="B703" t="inlineStr">
        <is>
          <t>Comparación</t>
        </is>
      </c>
      <c r="C703" t="inlineStr">
        <is>
          <t>Habitat</t>
        </is>
      </c>
      <c r="D703" t="inlineStr">
        <is>
          <t>PIMCO - Asia High Yield Bond Fund</t>
        </is>
      </c>
      <c r="E703" t="inlineStr">
        <is>
          <t>Inv MM$</t>
        </is>
      </c>
      <c r="F703" t="n">
        <v>0.042135</v>
      </c>
    </row>
    <row r="704">
      <c r="A704" t="inlineStr">
        <is>
          <t>202512</t>
        </is>
      </c>
      <c r="B704" t="inlineStr">
        <is>
          <t>Comparación</t>
        </is>
      </c>
      <c r="C704" t="inlineStr">
        <is>
          <t>Habitat</t>
        </is>
      </c>
      <c r="D704" t="inlineStr">
        <is>
          <t>Parvest - USA Small Cap</t>
        </is>
      </c>
      <c r="E704" t="inlineStr">
        <is>
          <t>Huella</t>
        </is>
      </c>
      <c r="F704" t="n">
        <v>4.577604</v>
      </c>
    </row>
    <row r="705">
      <c r="A705" t="inlineStr">
        <is>
          <t>202512</t>
        </is>
      </c>
      <c r="B705" t="inlineStr">
        <is>
          <t>Comparación</t>
        </is>
      </c>
      <c r="C705" t="inlineStr">
        <is>
          <t>Habitat</t>
        </is>
      </c>
      <c r="D705" t="inlineStr">
        <is>
          <t>Parvest - USA Small Cap</t>
        </is>
      </c>
      <c r="E705" t="inlineStr">
        <is>
          <t>Intensidad</t>
        </is>
      </c>
      <c r="F705" t="n">
        <v>0.004893</v>
      </c>
    </row>
    <row r="706">
      <c r="A706" t="inlineStr">
        <is>
          <t>202512</t>
        </is>
      </c>
      <c r="B706" t="inlineStr">
        <is>
          <t>Comparación</t>
        </is>
      </c>
      <c r="C706" t="inlineStr">
        <is>
          <t>Habitat</t>
        </is>
      </c>
      <c r="D706" t="inlineStr">
        <is>
          <t>Parvest - USA Small Cap</t>
        </is>
      </c>
      <c r="E706" t="inlineStr">
        <is>
          <t>Inv MM$</t>
        </is>
      </c>
      <c r="F706" t="n">
        <v>0.146038</v>
      </c>
    </row>
    <row r="707">
      <c r="A707" t="inlineStr">
        <is>
          <t>202512</t>
        </is>
      </c>
      <c r="B707" t="inlineStr">
        <is>
          <t>Comparación</t>
        </is>
      </c>
      <c r="C707" t="inlineStr">
        <is>
          <t>Habitat</t>
        </is>
      </c>
      <c r="D707" t="inlineStr">
        <is>
          <t>Perú LNG</t>
        </is>
      </c>
      <c r="E707" t="inlineStr">
        <is>
          <t>Huella</t>
        </is>
      </c>
      <c r="F707" t="n">
        <v>0</v>
      </c>
    </row>
    <row r="708">
      <c r="A708" t="inlineStr">
        <is>
          <t>202512</t>
        </is>
      </c>
      <c r="B708" t="inlineStr">
        <is>
          <t>Comparación</t>
        </is>
      </c>
      <c r="C708" t="inlineStr">
        <is>
          <t>Habitat</t>
        </is>
      </c>
      <c r="D708" t="inlineStr">
        <is>
          <t>Perú LNG</t>
        </is>
      </c>
      <c r="E708" t="inlineStr">
        <is>
          <t>Intensidad</t>
        </is>
      </c>
      <c r="F708" t="n">
        <v>0</v>
      </c>
    </row>
    <row r="709">
      <c r="A709" t="inlineStr">
        <is>
          <t>202512</t>
        </is>
      </c>
      <c r="B709" t="inlineStr">
        <is>
          <t>Comparación</t>
        </is>
      </c>
      <c r="C709" t="inlineStr">
        <is>
          <t>Habitat</t>
        </is>
      </c>
      <c r="D709" t="inlineStr">
        <is>
          <t>Perú LNG</t>
        </is>
      </c>
      <c r="E709" t="inlineStr">
        <is>
          <t>Inv MM$</t>
        </is>
      </c>
      <c r="F709" t="n">
        <v>0</v>
      </c>
    </row>
    <row r="710">
      <c r="A710" t="inlineStr">
        <is>
          <t>202512</t>
        </is>
      </c>
      <c r="B710" t="inlineStr">
        <is>
          <t>Comparación</t>
        </is>
      </c>
      <c r="C710" t="inlineStr">
        <is>
          <t>Habitat</t>
        </is>
      </c>
      <c r="D710" t="inlineStr">
        <is>
          <t>Pictet - Digital</t>
        </is>
      </c>
      <c r="E710" t="inlineStr">
        <is>
          <t>Huella</t>
        </is>
      </c>
      <c r="F710" t="n">
        <v>106.583988</v>
      </c>
    </row>
    <row r="711">
      <c r="A711" t="inlineStr">
        <is>
          <t>202512</t>
        </is>
      </c>
      <c r="B711" t="inlineStr">
        <is>
          <t>Comparación</t>
        </is>
      </c>
      <c r="C711" t="inlineStr">
        <is>
          <t>Habitat</t>
        </is>
      </c>
      <c r="D711" t="inlineStr">
        <is>
          <t>Pictet - Digital</t>
        </is>
      </c>
      <c r="E711" t="inlineStr">
        <is>
          <t>Intensidad</t>
        </is>
      </c>
      <c r="F711" t="n">
        <v>0.039884</v>
      </c>
    </row>
    <row r="712">
      <c r="A712" t="inlineStr">
        <is>
          <t>202512</t>
        </is>
      </c>
      <c r="B712" t="inlineStr">
        <is>
          <t>Comparación</t>
        </is>
      </c>
      <c r="C712" t="inlineStr">
        <is>
          <t>Habitat</t>
        </is>
      </c>
      <c r="D712" t="inlineStr">
        <is>
          <t>Pictet - Digital</t>
        </is>
      </c>
      <c r="E712" t="inlineStr">
        <is>
          <t>Inv MM$</t>
        </is>
      </c>
      <c r="F712" t="n">
        <v>29.043793</v>
      </c>
    </row>
    <row r="713">
      <c r="A713" t="inlineStr">
        <is>
          <t>202512</t>
        </is>
      </c>
      <c r="B713" t="inlineStr">
        <is>
          <t>Comparación</t>
        </is>
      </c>
      <c r="C713" t="inlineStr">
        <is>
          <t>Habitat</t>
        </is>
      </c>
      <c r="D713" t="inlineStr">
        <is>
          <t>Pimco - Emerging Markets Local Bond Fund</t>
        </is>
      </c>
      <c r="E713" t="inlineStr">
        <is>
          <t>Huella</t>
        </is>
      </c>
      <c r="F713" t="n">
        <v>4895.883005</v>
      </c>
    </row>
    <row r="714">
      <c r="A714" t="inlineStr">
        <is>
          <t>202512</t>
        </is>
      </c>
      <c r="B714" t="inlineStr">
        <is>
          <t>Comparación</t>
        </is>
      </c>
      <c r="C714" t="inlineStr">
        <is>
          <t>Habitat</t>
        </is>
      </c>
      <c r="D714" t="inlineStr">
        <is>
          <t>Pimco - Emerging Markets Local Bond Fund</t>
        </is>
      </c>
      <c r="E714" t="inlineStr">
        <is>
          <t>Intensidad</t>
        </is>
      </c>
      <c r="F714" t="n">
        <v>4.133528</v>
      </c>
    </row>
    <row r="715">
      <c r="A715" t="inlineStr">
        <is>
          <t>202512</t>
        </is>
      </c>
      <c r="B715" t="inlineStr">
        <is>
          <t>Comparación</t>
        </is>
      </c>
      <c r="C715" t="inlineStr">
        <is>
          <t>Habitat</t>
        </is>
      </c>
      <c r="D715" t="inlineStr">
        <is>
          <t>Pimco - Emerging Markets Local Bond Fund</t>
        </is>
      </c>
      <c r="E715" t="inlineStr">
        <is>
          <t>Inv MM$</t>
        </is>
      </c>
      <c r="F715" t="n">
        <v>28.849261</v>
      </c>
    </row>
    <row r="716">
      <c r="A716" t="inlineStr">
        <is>
          <t>202512</t>
        </is>
      </c>
      <c r="B716" t="inlineStr">
        <is>
          <t>Comparación</t>
        </is>
      </c>
      <c r="C716" t="inlineStr">
        <is>
          <t>Habitat</t>
        </is>
      </c>
      <c r="D716" t="inlineStr">
        <is>
          <t>Pimco - Global High Yield Bond Fund</t>
        </is>
      </c>
      <c r="E716" t="inlineStr">
        <is>
          <t>Huella</t>
        </is>
      </c>
      <c r="F716" t="n">
        <v>4.798852</v>
      </c>
    </row>
    <row r="717">
      <c r="A717" t="inlineStr">
        <is>
          <t>202512</t>
        </is>
      </c>
      <c r="B717" t="inlineStr">
        <is>
          <t>Comparación</t>
        </is>
      </c>
      <c r="C717" t="inlineStr">
        <is>
          <t>Habitat</t>
        </is>
      </c>
      <c r="D717" t="inlineStr">
        <is>
          <t>Pimco - Global High Yield Bond Fund</t>
        </is>
      </c>
      <c r="E717" t="inlineStr">
        <is>
          <t>Intensidad</t>
        </is>
      </c>
      <c r="F717" t="n">
        <v>0.009554999999999999</v>
      </c>
    </row>
    <row r="718">
      <c r="A718" t="inlineStr">
        <is>
          <t>202512</t>
        </is>
      </c>
      <c r="B718" t="inlineStr">
        <is>
          <t>Comparación</t>
        </is>
      </c>
      <c r="C718" t="inlineStr">
        <is>
          <t>Habitat</t>
        </is>
      </c>
      <c r="D718" t="inlineStr">
        <is>
          <t>Pimco - Global High Yield Bond Fund</t>
        </is>
      </c>
      <c r="E718" t="inlineStr">
        <is>
          <t>Inv MM$</t>
        </is>
      </c>
      <c r="F718" t="n">
        <v>0.042824</v>
      </c>
    </row>
    <row r="719">
      <c r="A719" t="inlineStr">
        <is>
          <t>202512</t>
        </is>
      </c>
      <c r="B719" t="inlineStr">
        <is>
          <t>Comparación</t>
        </is>
      </c>
      <c r="C719" t="inlineStr">
        <is>
          <t>Habitat</t>
        </is>
      </c>
      <c r="D719" t="inlineStr">
        <is>
          <t>Rams UT - India Equities Portfolio Fund II</t>
        </is>
      </c>
      <c r="E719" t="inlineStr">
        <is>
          <t>Huella</t>
        </is>
      </c>
      <c r="F719" t="n">
        <v>3490.663201</v>
      </c>
    </row>
    <row r="720">
      <c r="A720" t="inlineStr">
        <is>
          <t>202512</t>
        </is>
      </c>
      <c r="B720" t="inlineStr">
        <is>
          <t>Comparación</t>
        </is>
      </c>
      <c r="C720" t="inlineStr">
        <is>
          <t>Habitat</t>
        </is>
      </c>
      <c r="D720" t="inlineStr">
        <is>
          <t>Rams UT - India Equities Portfolio Fund II</t>
        </is>
      </c>
      <c r="E720" t="inlineStr">
        <is>
          <t>Intensidad</t>
        </is>
      </c>
      <c r="F720" t="n">
        <v>1.250575</v>
      </c>
    </row>
    <row r="721">
      <c r="A721" t="inlineStr">
        <is>
          <t>202512</t>
        </is>
      </c>
      <c r="B721" t="inlineStr">
        <is>
          <t>Comparación</t>
        </is>
      </c>
      <c r="C721" t="inlineStr">
        <is>
          <t>Habitat</t>
        </is>
      </c>
      <c r="D721" t="inlineStr">
        <is>
          <t>Rams UT - India Equities Portfolio Fund II</t>
        </is>
      </c>
      <c r="E721" t="inlineStr">
        <is>
          <t>Inv MM$</t>
        </is>
      </c>
      <c r="F721" t="n">
        <v>21.540566</v>
      </c>
    </row>
    <row r="722">
      <c r="A722" t="inlineStr">
        <is>
          <t>202512</t>
        </is>
      </c>
      <c r="B722" t="inlineStr">
        <is>
          <t>Comparación</t>
        </is>
      </c>
      <c r="C722" t="inlineStr">
        <is>
          <t>Habitat</t>
        </is>
      </c>
      <c r="D722" t="inlineStr">
        <is>
          <t>Red de Energía del Perú</t>
        </is>
      </c>
      <c r="E722" t="inlineStr">
        <is>
          <t>Huella</t>
        </is>
      </c>
      <c r="F722" t="n">
        <v>5.058384</v>
      </c>
    </row>
    <row r="723">
      <c r="A723" t="inlineStr">
        <is>
          <t>202512</t>
        </is>
      </c>
      <c r="B723" t="inlineStr">
        <is>
          <t>Comparación</t>
        </is>
      </c>
      <c r="C723" t="inlineStr">
        <is>
          <t>Habitat</t>
        </is>
      </c>
      <c r="D723" t="inlineStr">
        <is>
          <t>Red de Energía del Perú</t>
        </is>
      </c>
      <c r="E723" t="inlineStr">
        <is>
          <t>Intensidad</t>
        </is>
      </c>
      <c r="F723" t="n">
        <v>0.0047</v>
      </c>
    </row>
    <row r="724">
      <c r="A724" t="inlineStr">
        <is>
          <t>202512</t>
        </is>
      </c>
      <c r="B724" t="inlineStr">
        <is>
          <t>Comparación</t>
        </is>
      </c>
      <c r="C724" t="inlineStr">
        <is>
          <t>Habitat</t>
        </is>
      </c>
      <c r="D724" t="inlineStr">
        <is>
          <t>Red de Energía del Perú</t>
        </is>
      </c>
      <c r="E724" t="inlineStr">
        <is>
          <t>Inv MM$</t>
        </is>
      </c>
      <c r="F724" t="n">
        <v>0.146747</v>
      </c>
    </row>
    <row r="725">
      <c r="A725" t="inlineStr">
        <is>
          <t>202512</t>
        </is>
      </c>
      <c r="B725" t="inlineStr">
        <is>
          <t>Comparación</t>
        </is>
      </c>
      <c r="C725" t="inlineStr">
        <is>
          <t>Habitat</t>
        </is>
      </c>
      <c r="D725" t="inlineStr">
        <is>
          <t>Robeco - Capital Growth Funds High Yield Bonds</t>
        </is>
      </c>
      <c r="E725" t="inlineStr">
        <is>
          <t>Huella</t>
        </is>
      </c>
      <c r="F725" t="n">
        <v>1968.874717</v>
      </c>
    </row>
    <row r="726">
      <c r="A726" t="inlineStr">
        <is>
          <t>202512</t>
        </is>
      </c>
      <c r="B726" t="inlineStr">
        <is>
          <t>Comparación</t>
        </is>
      </c>
      <c r="C726" t="inlineStr">
        <is>
          <t>Habitat</t>
        </is>
      </c>
      <c r="D726" t="inlineStr">
        <is>
          <t>Robeco - Capital Growth Funds High Yield Bonds</t>
        </is>
      </c>
      <c r="E726" t="inlineStr">
        <is>
          <t>Intensidad</t>
        </is>
      </c>
      <c r="F726" t="n">
        <v>0.854773</v>
      </c>
    </row>
    <row r="727">
      <c r="A727" t="inlineStr">
        <is>
          <t>202512</t>
        </is>
      </c>
      <c r="B727" t="inlineStr">
        <is>
          <t>Comparación</t>
        </is>
      </c>
      <c r="C727" t="inlineStr">
        <is>
          <t>Habitat</t>
        </is>
      </c>
      <c r="D727" t="inlineStr">
        <is>
          <t>Robeco - Capital Growth Funds High Yield Bonds</t>
        </is>
      </c>
      <c r="E727" t="inlineStr">
        <is>
          <t>Inv MM$</t>
        </is>
      </c>
      <c r="F727" t="n">
        <v>17.688927</v>
      </c>
    </row>
    <row r="728">
      <c r="A728" t="inlineStr">
        <is>
          <t>202512</t>
        </is>
      </c>
      <c r="B728" t="inlineStr">
        <is>
          <t>Comparación</t>
        </is>
      </c>
      <c r="C728" t="inlineStr">
        <is>
          <t>Habitat</t>
        </is>
      </c>
      <c r="D728" t="inlineStr">
        <is>
          <t>Robeco - Chinese A-Share</t>
        </is>
      </c>
      <c r="E728" t="inlineStr">
        <is>
          <t>Huella</t>
        </is>
      </c>
      <c r="F728" t="n">
        <v>3508.020033</v>
      </c>
    </row>
    <row r="729">
      <c r="A729" t="inlineStr">
        <is>
          <t>202512</t>
        </is>
      </c>
      <c r="B729" t="inlineStr">
        <is>
          <t>Comparación</t>
        </is>
      </c>
      <c r="C729" t="inlineStr">
        <is>
          <t>Habitat</t>
        </is>
      </c>
      <c r="D729" t="inlineStr">
        <is>
          <t>Robeco - Chinese A-Share</t>
        </is>
      </c>
      <c r="E729" t="inlineStr">
        <is>
          <t>Intensidad</t>
        </is>
      </c>
      <c r="F729" t="n">
        <v>1.293046</v>
      </c>
    </row>
    <row r="730">
      <c r="A730" t="inlineStr">
        <is>
          <t>202512</t>
        </is>
      </c>
      <c r="B730" t="inlineStr">
        <is>
          <t>Comparación</t>
        </is>
      </c>
      <c r="C730" t="inlineStr">
        <is>
          <t>Habitat</t>
        </is>
      </c>
      <c r="D730" t="inlineStr">
        <is>
          <t>Robeco - Chinese A-Share</t>
        </is>
      </c>
      <c r="E730" t="inlineStr">
        <is>
          <t>Inv MM$</t>
        </is>
      </c>
      <c r="F730" t="n">
        <v>33.270445</v>
      </c>
    </row>
    <row r="731">
      <c r="A731" t="inlineStr">
        <is>
          <t>202512</t>
        </is>
      </c>
      <c r="B731" t="inlineStr">
        <is>
          <t>Comparación</t>
        </is>
      </c>
      <c r="C731" t="inlineStr">
        <is>
          <t>Habitat</t>
        </is>
      </c>
      <c r="D731" t="inlineStr">
        <is>
          <t>Robeco - Chinese Equities</t>
        </is>
      </c>
      <c r="E731" t="inlineStr">
        <is>
          <t>Huella</t>
        </is>
      </c>
      <c r="F731" t="n">
        <v>31.857807</v>
      </c>
    </row>
    <row r="732">
      <c r="A732" t="inlineStr">
        <is>
          <t>202512</t>
        </is>
      </c>
      <c r="B732" t="inlineStr">
        <is>
          <t>Comparación</t>
        </is>
      </c>
      <c r="C732" t="inlineStr">
        <is>
          <t>Habitat</t>
        </is>
      </c>
      <c r="D732" t="inlineStr">
        <is>
          <t>Robeco - Chinese Equities</t>
        </is>
      </c>
      <c r="E732" t="inlineStr">
        <is>
          <t>Intensidad</t>
        </is>
      </c>
      <c r="F732" t="n">
        <v>0.021665</v>
      </c>
    </row>
    <row r="733">
      <c r="A733" t="inlineStr">
        <is>
          <t>202512</t>
        </is>
      </c>
      <c r="B733" t="inlineStr">
        <is>
          <t>Comparación</t>
        </is>
      </c>
      <c r="C733" t="inlineStr">
        <is>
          <t>Habitat</t>
        </is>
      </c>
      <c r="D733" t="inlineStr">
        <is>
          <t>Robeco - Chinese Equities</t>
        </is>
      </c>
      <c r="E733" t="inlineStr">
        <is>
          <t>Inv MM$</t>
        </is>
      </c>
      <c r="F733" t="n">
        <v>0.442539</v>
      </c>
    </row>
    <row r="734">
      <c r="A734" t="inlineStr">
        <is>
          <t>202512</t>
        </is>
      </c>
      <c r="B734" t="inlineStr">
        <is>
          <t>Comparación</t>
        </is>
      </c>
      <c r="C734" t="inlineStr">
        <is>
          <t>Habitat</t>
        </is>
      </c>
      <c r="D734" t="inlineStr">
        <is>
          <t>Robeco - Consumer Trends</t>
        </is>
      </c>
      <c r="E734" t="inlineStr">
        <is>
          <t>Huella</t>
        </is>
      </c>
      <c r="F734" t="n">
        <v>0.318879</v>
      </c>
    </row>
    <row r="735">
      <c r="A735" t="inlineStr">
        <is>
          <t>202512</t>
        </is>
      </c>
      <c r="B735" t="inlineStr">
        <is>
          <t>Comparación</t>
        </is>
      </c>
      <c r="C735" t="inlineStr">
        <is>
          <t>Habitat</t>
        </is>
      </c>
      <c r="D735" t="inlineStr">
        <is>
          <t>Robeco - Consumer Trends</t>
        </is>
      </c>
      <c r="E735" t="inlineStr">
        <is>
          <t>Intensidad</t>
        </is>
      </c>
      <c r="F735" t="n">
        <v>0.000183</v>
      </c>
    </row>
    <row r="736">
      <c r="A736" t="inlineStr">
        <is>
          <t>202512</t>
        </is>
      </c>
      <c r="B736" t="inlineStr">
        <is>
          <t>Comparación</t>
        </is>
      </c>
      <c r="C736" t="inlineStr">
        <is>
          <t>Habitat</t>
        </is>
      </c>
      <c r="D736" t="inlineStr">
        <is>
          <t>Robeco - Consumer Trends</t>
        </is>
      </c>
      <c r="E736" t="inlineStr">
        <is>
          <t>Inv MM$</t>
        </is>
      </c>
      <c r="F736" t="n">
        <v>0.08305</v>
      </c>
    </row>
    <row r="737">
      <c r="A737" t="inlineStr">
        <is>
          <t>202512</t>
        </is>
      </c>
      <c r="B737" t="inlineStr">
        <is>
          <t>Comparación</t>
        </is>
      </c>
      <c r="C737" t="inlineStr">
        <is>
          <t>Habitat</t>
        </is>
      </c>
      <c r="D737" t="inlineStr">
        <is>
          <t>Rutas de Lima</t>
        </is>
      </c>
      <c r="E737" t="inlineStr">
        <is>
          <t>Huella</t>
        </is>
      </c>
      <c r="F737" t="n">
        <v>14.889225</v>
      </c>
    </row>
    <row r="738">
      <c r="A738" t="inlineStr">
        <is>
          <t>202512</t>
        </is>
      </c>
      <c r="B738" t="inlineStr">
        <is>
          <t>Comparación</t>
        </is>
      </c>
      <c r="C738" t="inlineStr">
        <is>
          <t>Habitat</t>
        </is>
      </c>
      <c r="D738" t="inlineStr">
        <is>
          <t>Rutas de Lima</t>
        </is>
      </c>
      <c r="E738" t="inlineStr">
        <is>
          <t>Intensidad</t>
        </is>
      </c>
      <c r="F738" t="n">
        <v>0.006086</v>
      </c>
    </row>
    <row r="739">
      <c r="A739" t="inlineStr">
        <is>
          <t>202512</t>
        </is>
      </c>
      <c r="B739" t="inlineStr">
        <is>
          <t>Comparación</t>
        </is>
      </c>
      <c r="C739" t="inlineStr">
        <is>
          <t>Habitat</t>
        </is>
      </c>
      <c r="D739" t="inlineStr">
        <is>
          <t>Rutas de Lima</t>
        </is>
      </c>
      <c r="E739" t="inlineStr">
        <is>
          <t>Inv MM$</t>
        </is>
      </c>
      <c r="F739" t="n">
        <v>0.543204</v>
      </c>
    </row>
    <row r="740">
      <c r="A740" t="inlineStr">
        <is>
          <t>202512</t>
        </is>
      </c>
      <c r="B740" t="inlineStr">
        <is>
          <t>Comparación</t>
        </is>
      </c>
      <c r="C740" t="inlineStr">
        <is>
          <t>Habitat</t>
        </is>
      </c>
      <c r="D740" t="inlineStr">
        <is>
          <t>Santander - Latin America Corporate Bond</t>
        </is>
      </c>
      <c r="E740" t="inlineStr">
        <is>
          <t>Huella</t>
        </is>
      </c>
      <c r="F740" t="n">
        <v>1.632187</v>
      </c>
    </row>
    <row r="741">
      <c r="A741" t="inlineStr">
        <is>
          <t>202512</t>
        </is>
      </c>
      <c r="B741" t="inlineStr">
        <is>
          <t>Comparación</t>
        </is>
      </c>
      <c r="C741" t="inlineStr">
        <is>
          <t>Habitat</t>
        </is>
      </c>
      <c r="D741" t="inlineStr">
        <is>
          <t>Santander - Latin America Corporate Bond</t>
        </is>
      </c>
      <c r="E741" t="inlineStr">
        <is>
          <t>Intensidad</t>
        </is>
      </c>
      <c r="F741" t="n">
        <v>0.002021</v>
      </c>
    </row>
    <row r="742">
      <c r="A742" t="inlineStr">
        <is>
          <t>202512</t>
        </is>
      </c>
      <c r="B742" t="inlineStr">
        <is>
          <t>Comparación</t>
        </is>
      </c>
      <c r="C742" t="inlineStr">
        <is>
          <t>Habitat</t>
        </is>
      </c>
      <c r="D742" t="inlineStr">
        <is>
          <t>Santander - Latin America Corporate Bond</t>
        </is>
      </c>
      <c r="E742" t="inlineStr">
        <is>
          <t>Inv MM$</t>
        </is>
      </c>
      <c r="F742" t="n">
        <v>0.007602</v>
      </c>
    </row>
    <row r="743">
      <c r="A743" t="inlineStr">
        <is>
          <t>202512</t>
        </is>
      </c>
      <c r="B743" t="inlineStr">
        <is>
          <t>Comparación</t>
        </is>
      </c>
      <c r="C743" t="inlineStr">
        <is>
          <t>Habitat</t>
        </is>
      </c>
      <c r="D743" t="inlineStr">
        <is>
          <t>Schroder - International Selection Fund China A</t>
        </is>
      </c>
      <c r="E743" t="inlineStr">
        <is>
          <t>Huella</t>
        </is>
      </c>
      <c r="F743" t="n">
        <v>0.049344</v>
      </c>
    </row>
    <row r="744">
      <c r="A744" t="inlineStr">
        <is>
          <t>202512</t>
        </is>
      </c>
      <c r="B744" t="inlineStr">
        <is>
          <t>Comparación</t>
        </is>
      </c>
      <c r="C744" t="inlineStr">
        <is>
          <t>Habitat</t>
        </is>
      </c>
      <c r="D744" t="inlineStr">
        <is>
          <t>Schroder - International Selection Fund China A</t>
        </is>
      </c>
      <c r="E744" t="inlineStr">
        <is>
          <t>Intensidad</t>
        </is>
      </c>
      <c r="F744" t="n">
        <v>4.2e-05</v>
      </c>
    </row>
    <row r="745">
      <c r="A745" t="inlineStr">
        <is>
          <t>202512</t>
        </is>
      </c>
      <c r="B745" t="inlineStr">
        <is>
          <t>Comparación</t>
        </is>
      </c>
      <c r="C745" t="inlineStr">
        <is>
          <t>Habitat</t>
        </is>
      </c>
      <c r="D745" t="inlineStr">
        <is>
          <t>Schroder - International Selection Fund China A</t>
        </is>
      </c>
      <c r="E745" t="inlineStr">
        <is>
          <t>Inv MM$</t>
        </is>
      </c>
      <c r="F745" t="n">
        <v>0.0006400000000000001</v>
      </c>
    </row>
    <row r="746">
      <c r="A746" t="inlineStr">
        <is>
          <t>202512</t>
        </is>
      </c>
      <c r="B746" t="inlineStr">
        <is>
          <t>Comparación</t>
        </is>
      </c>
      <c r="C746" t="inlineStr">
        <is>
          <t>Habitat</t>
        </is>
      </c>
      <c r="D746" t="inlineStr">
        <is>
          <t>Schroder - Selection Fund China Local Currency Bond</t>
        </is>
      </c>
      <c r="E746" t="inlineStr">
        <is>
          <t>Huella</t>
        </is>
      </c>
      <c r="F746" t="n">
        <v>12.418597</v>
      </c>
    </row>
    <row r="747">
      <c r="A747" t="inlineStr">
        <is>
          <t>202512</t>
        </is>
      </c>
      <c r="B747" t="inlineStr">
        <is>
          <t>Comparación</t>
        </is>
      </c>
      <c r="C747" t="inlineStr">
        <is>
          <t>Habitat</t>
        </is>
      </c>
      <c r="D747" t="inlineStr">
        <is>
          <t>Schroder - Selection Fund China Local Currency Bond</t>
        </is>
      </c>
      <c r="E747" t="inlineStr">
        <is>
          <t>Intensidad</t>
        </is>
      </c>
      <c r="F747" t="n">
        <v>0.003033</v>
      </c>
    </row>
    <row r="748">
      <c r="A748" t="inlineStr">
        <is>
          <t>202512</t>
        </is>
      </c>
      <c r="B748" t="inlineStr">
        <is>
          <t>Comparación</t>
        </is>
      </c>
      <c r="C748" t="inlineStr">
        <is>
          <t>Habitat</t>
        </is>
      </c>
      <c r="D748" t="inlineStr">
        <is>
          <t>Schroder - Selection Fund China Local Currency Bond</t>
        </is>
      </c>
      <c r="E748" t="inlineStr">
        <is>
          <t>Inv MM$</t>
        </is>
      </c>
      <c r="F748" t="n">
        <v>1.134015</v>
      </c>
    </row>
    <row r="749">
      <c r="A749" t="inlineStr">
        <is>
          <t>202512</t>
        </is>
      </c>
      <c r="B749" t="inlineStr">
        <is>
          <t>Comparación</t>
        </is>
      </c>
      <c r="C749" t="inlineStr">
        <is>
          <t>Habitat</t>
        </is>
      </c>
      <c r="D749" t="inlineStr">
        <is>
          <t>State Street - Technology Select Sector</t>
        </is>
      </c>
      <c r="E749" t="inlineStr">
        <is>
          <t>Huella</t>
        </is>
      </c>
      <c r="F749" t="n">
        <v>283.331129</v>
      </c>
    </row>
    <row r="750">
      <c r="A750" t="inlineStr">
        <is>
          <t>202512</t>
        </is>
      </c>
      <c r="B750" t="inlineStr">
        <is>
          <t>Comparación</t>
        </is>
      </c>
      <c r="C750" t="inlineStr">
        <is>
          <t>Habitat</t>
        </is>
      </c>
      <c r="D750" t="inlineStr">
        <is>
          <t>State Street - Technology Select Sector</t>
        </is>
      </c>
      <c r="E750" t="inlineStr">
        <is>
          <t>Intensidad</t>
        </is>
      </c>
      <c r="F750" t="n">
        <v>0.115234</v>
      </c>
    </row>
    <row r="751">
      <c r="A751" t="inlineStr">
        <is>
          <t>202512</t>
        </is>
      </c>
      <c r="B751" t="inlineStr">
        <is>
          <t>Comparación</t>
        </is>
      </c>
      <c r="C751" t="inlineStr">
        <is>
          <t>Habitat</t>
        </is>
      </c>
      <c r="D751" t="inlineStr">
        <is>
          <t>State Street - Technology Select Sector</t>
        </is>
      </c>
      <c r="E751" t="inlineStr">
        <is>
          <t>Inv MM$</t>
        </is>
      </c>
      <c r="F751" t="n">
        <v>85.29499300000001</v>
      </c>
    </row>
    <row r="752">
      <c r="A752" t="inlineStr">
        <is>
          <t>202512</t>
        </is>
      </c>
      <c r="B752" t="inlineStr">
        <is>
          <t>Comparación</t>
        </is>
      </c>
      <c r="C752" t="inlineStr">
        <is>
          <t>Habitat</t>
        </is>
      </c>
      <c r="D752" t="inlineStr">
        <is>
          <t>Telefónica</t>
        </is>
      </c>
      <c r="E752" t="inlineStr">
        <is>
          <t>Huella</t>
        </is>
      </c>
      <c r="F752" t="n">
        <v>3.492472</v>
      </c>
    </row>
    <row r="753">
      <c r="A753" t="inlineStr">
        <is>
          <t>202512</t>
        </is>
      </c>
      <c r="B753" t="inlineStr">
        <is>
          <t>Comparación</t>
        </is>
      </c>
      <c r="C753" t="inlineStr">
        <is>
          <t>Habitat</t>
        </is>
      </c>
      <c r="D753" t="inlineStr">
        <is>
          <t>Telefónica</t>
        </is>
      </c>
      <c r="E753" t="inlineStr">
        <is>
          <t>Intensidad</t>
        </is>
      </c>
      <c r="F753" t="n">
        <v>0.000853</v>
      </c>
    </row>
    <row r="754">
      <c r="A754" t="inlineStr">
        <is>
          <t>202512</t>
        </is>
      </c>
      <c r="B754" t="inlineStr">
        <is>
          <t>Comparación</t>
        </is>
      </c>
      <c r="C754" t="inlineStr">
        <is>
          <t>Habitat</t>
        </is>
      </c>
      <c r="D754" t="inlineStr">
        <is>
          <t>Telefónica</t>
        </is>
      </c>
      <c r="E754" t="inlineStr">
        <is>
          <t>Inv MM$</t>
        </is>
      </c>
      <c r="F754" t="n">
        <v>1.455197</v>
      </c>
    </row>
    <row r="755">
      <c r="A755" t="inlineStr">
        <is>
          <t>202512</t>
        </is>
      </c>
      <c r="B755" t="inlineStr">
        <is>
          <t>Comparación</t>
        </is>
      </c>
      <c r="C755" t="inlineStr">
        <is>
          <t>Habitat</t>
        </is>
      </c>
      <c r="D755" t="inlineStr">
        <is>
          <t>UBS - China Opportunity - A3</t>
        </is>
      </c>
      <c r="E755" t="inlineStr">
        <is>
          <t>Huella</t>
        </is>
      </c>
      <c r="F755" t="n">
        <v>173.185792</v>
      </c>
    </row>
    <row r="756">
      <c r="A756" t="inlineStr">
        <is>
          <t>202512</t>
        </is>
      </c>
      <c r="B756" t="inlineStr">
        <is>
          <t>Comparación</t>
        </is>
      </c>
      <c r="C756" t="inlineStr">
        <is>
          <t>Habitat</t>
        </is>
      </c>
      <c r="D756" t="inlineStr">
        <is>
          <t>UBS - China Opportunity - A3</t>
        </is>
      </c>
      <c r="E756" t="inlineStr">
        <is>
          <t>Intensidad</t>
        </is>
      </c>
      <c r="F756" t="n">
        <v>0.094177</v>
      </c>
    </row>
    <row r="757">
      <c r="A757" t="inlineStr">
        <is>
          <t>202512</t>
        </is>
      </c>
      <c r="B757" t="inlineStr">
        <is>
          <t>Comparación</t>
        </is>
      </c>
      <c r="C757" t="inlineStr">
        <is>
          <t>Habitat</t>
        </is>
      </c>
      <c r="D757" t="inlineStr">
        <is>
          <t>UBS - China Opportunity - A3</t>
        </is>
      </c>
      <c r="E757" t="inlineStr">
        <is>
          <t>Inv MM$</t>
        </is>
      </c>
      <c r="F757" t="n">
        <v>1.717408</v>
      </c>
    </row>
    <row r="758">
      <c r="A758" t="inlineStr">
        <is>
          <t>202512</t>
        </is>
      </c>
      <c r="B758" t="inlineStr">
        <is>
          <t>Comparación</t>
        </is>
      </c>
      <c r="C758" t="inlineStr">
        <is>
          <t>Habitat</t>
        </is>
      </c>
      <c r="D758" t="inlineStr">
        <is>
          <t>UTI - Indian Equity</t>
        </is>
      </c>
      <c r="E758" t="inlineStr">
        <is>
          <t>Huella</t>
        </is>
      </c>
      <c r="F758" t="n">
        <v>0.001268</v>
      </c>
    </row>
    <row r="759">
      <c r="A759" t="inlineStr">
        <is>
          <t>202512</t>
        </is>
      </c>
      <c r="B759" t="inlineStr">
        <is>
          <t>Comparación</t>
        </is>
      </c>
      <c r="C759" t="inlineStr">
        <is>
          <t>Habitat</t>
        </is>
      </c>
      <c r="D759" t="inlineStr">
        <is>
          <t>UTI - Indian Equity</t>
        </is>
      </c>
      <c r="E759" t="inlineStr">
        <is>
          <t>Intensidad</t>
        </is>
      </c>
      <c r="F759" t="n">
        <v>0</v>
      </c>
    </row>
    <row r="760">
      <c r="A760" t="inlineStr">
        <is>
          <t>202512</t>
        </is>
      </c>
      <c r="B760" t="inlineStr">
        <is>
          <t>Comparación</t>
        </is>
      </c>
      <c r="C760" t="inlineStr">
        <is>
          <t>Habitat</t>
        </is>
      </c>
      <c r="D760" t="inlineStr">
        <is>
          <t>UTI - Indian Equity</t>
        </is>
      </c>
      <c r="E760" t="inlineStr">
        <is>
          <t>Inv MM$</t>
        </is>
      </c>
      <c r="F760" t="n">
        <v>5.7e-05</v>
      </c>
    </row>
    <row r="761">
      <c r="A761" t="inlineStr">
        <is>
          <t>202512</t>
        </is>
      </c>
      <c r="B761" t="inlineStr">
        <is>
          <t>Comparación</t>
        </is>
      </c>
      <c r="C761" t="inlineStr">
        <is>
          <t>Habitat</t>
        </is>
      </c>
      <c r="D761" t="inlineStr">
        <is>
          <t>VanEck - Gold Miners ETF</t>
        </is>
      </c>
      <c r="E761" t="inlineStr">
        <is>
          <t>Huella</t>
        </is>
      </c>
      <c r="F761" t="n">
        <v>11168.608534</v>
      </c>
    </row>
    <row r="762">
      <c r="A762" t="inlineStr">
        <is>
          <t>202512</t>
        </is>
      </c>
      <c r="B762" t="inlineStr">
        <is>
          <t>Comparación</t>
        </is>
      </c>
      <c r="C762" t="inlineStr">
        <is>
          <t>Habitat</t>
        </is>
      </c>
      <c r="D762" t="inlineStr">
        <is>
          <t>VanEck - Gold Miners ETF</t>
        </is>
      </c>
      <c r="E762" t="inlineStr">
        <is>
          <t>Intensidad</t>
        </is>
      </c>
      <c r="F762" t="n">
        <v>5.833873</v>
      </c>
    </row>
    <row r="763">
      <c r="A763" t="inlineStr">
        <is>
          <t>202512</t>
        </is>
      </c>
      <c r="B763" t="inlineStr">
        <is>
          <t>Comparación</t>
        </is>
      </c>
      <c r="C763" t="inlineStr">
        <is>
          <t>Habitat</t>
        </is>
      </c>
      <c r="D763" t="inlineStr">
        <is>
          <t>VanEck - Gold Miners ETF</t>
        </is>
      </c>
      <c r="E763" t="inlineStr">
        <is>
          <t>Inv MM$</t>
        </is>
      </c>
      <c r="F763" t="n">
        <v>136.425196</v>
      </c>
    </row>
    <row r="764">
      <c r="A764" t="inlineStr">
        <is>
          <t>202512</t>
        </is>
      </c>
      <c r="B764" t="inlineStr">
        <is>
          <t>Comparación</t>
        </is>
      </c>
      <c r="C764" t="inlineStr">
        <is>
          <t>Habitat</t>
        </is>
      </c>
      <c r="D764" t="inlineStr">
        <is>
          <t>VanEck Semiconductor ETF</t>
        </is>
      </c>
      <c r="E764" t="inlineStr">
        <is>
          <t>Huella</t>
        </is>
      </c>
      <c r="F764" t="n">
        <v>2176.378569</v>
      </c>
    </row>
    <row r="765">
      <c r="A765" t="inlineStr">
        <is>
          <t>202512</t>
        </is>
      </c>
      <c r="B765" t="inlineStr">
        <is>
          <t>Comparación</t>
        </is>
      </c>
      <c r="C765" t="inlineStr">
        <is>
          <t>Habitat</t>
        </is>
      </c>
      <c r="D765" t="inlineStr">
        <is>
          <t>VanEck Semiconductor ETF</t>
        </is>
      </c>
      <c r="E765" t="inlineStr">
        <is>
          <t>Intensidad</t>
        </is>
      </c>
      <c r="F765" t="n">
        <v>0.841031</v>
      </c>
    </row>
    <row r="766">
      <c r="A766" t="inlineStr">
        <is>
          <t>202512</t>
        </is>
      </c>
      <c r="B766" t="inlineStr">
        <is>
          <t>Comparación</t>
        </is>
      </c>
      <c r="C766" t="inlineStr">
        <is>
          <t>Habitat</t>
        </is>
      </c>
      <c r="D766" t="inlineStr">
        <is>
          <t>VanEck Semiconductor ETF</t>
        </is>
      </c>
      <c r="E766" t="inlineStr">
        <is>
          <t>Inv MM$</t>
        </is>
      </c>
      <c r="F766" t="n">
        <v>347.056132</v>
      </c>
    </row>
    <row r="767">
      <c r="A767" t="inlineStr">
        <is>
          <t>202512</t>
        </is>
      </c>
      <c r="B767" t="inlineStr">
        <is>
          <t>Comparación</t>
        </is>
      </c>
      <c r="C767" t="inlineStr">
        <is>
          <t>Habitat</t>
        </is>
      </c>
      <c r="D767" t="inlineStr">
        <is>
          <t>Vontobel - Emerging Markets Corporate</t>
        </is>
      </c>
      <c r="E767" t="inlineStr">
        <is>
          <t>Huella</t>
        </is>
      </c>
      <c r="F767" t="n">
        <v>155.344068</v>
      </c>
    </row>
    <row r="768">
      <c r="A768" t="inlineStr">
        <is>
          <t>202512</t>
        </is>
      </c>
      <c r="B768" t="inlineStr">
        <is>
          <t>Comparación</t>
        </is>
      </c>
      <c r="C768" t="inlineStr">
        <is>
          <t>Habitat</t>
        </is>
      </c>
      <c r="D768" t="inlineStr">
        <is>
          <t>Vontobel - Emerging Markets Corporate</t>
        </is>
      </c>
      <c r="E768" t="inlineStr">
        <is>
          <t>Intensidad</t>
        </is>
      </c>
      <c r="F768" t="n">
        <v>0.300402</v>
      </c>
    </row>
    <row r="769">
      <c r="A769" t="inlineStr">
        <is>
          <t>202512</t>
        </is>
      </c>
      <c r="B769" t="inlineStr">
        <is>
          <t>Comparación</t>
        </is>
      </c>
      <c r="C769" t="inlineStr">
        <is>
          <t>Habitat</t>
        </is>
      </c>
      <c r="D769" t="inlineStr">
        <is>
          <t>Vontobel - Emerging Markets Corporate</t>
        </is>
      </c>
      <c r="E769" t="inlineStr">
        <is>
          <t>Inv MM$</t>
        </is>
      </c>
      <c r="F769" t="n">
        <v>0.429308</v>
      </c>
    </row>
    <row r="770">
      <c r="A770" t="inlineStr">
        <is>
          <t>202512</t>
        </is>
      </c>
      <c r="B770" t="inlineStr">
        <is>
          <t>Comparación</t>
        </is>
      </c>
      <c r="C770" t="inlineStr">
        <is>
          <t>Integra</t>
        </is>
      </c>
      <c r="D770" t="inlineStr">
        <is>
          <t>AIRR US - First Trust American Industrial Rennaisance</t>
        </is>
      </c>
      <c r="E770" t="inlineStr">
        <is>
          <t>Huella</t>
        </is>
      </c>
      <c r="F770" t="n">
        <v>2692.136716</v>
      </c>
    </row>
    <row r="771">
      <c r="A771" t="inlineStr">
        <is>
          <t>202512</t>
        </is>
      </c>
      <c r="B771" t="inlineStr">
        <is>
          <t>Comparación</t>
        </is>
      </c>
      <c r="C771" t="inlineStr">
        <is>
          <t>Integra</t>
        </is>
      </c>
      <c r="D771" t="inlineStr">
        <is>
          <t>AIRR US - First Trust American Industrial Rennaisance</t>
        </is>
      </c>
      <c r="E771" t="inlineStr">
        <is>
          <t>Intensidad</t>
        </is>
      </c>
      <c r="F771" t="n">
        <v>0.826848</v>
      </c>
    </row>
    <row r="772">
      <c r="A772" t="inlineStr">
        <is>
          <t>202512</t>
        </is>
      </c>
      <c r="B772" t="inlineStr">
        <is>
          <t>Comparación</t>
        </is>
      </c>
      <c r="C772" t="inlineStr">
        <is>
          <t>Integra</t>
        </is>
      </c>
      <c r="D772" t="inlineStr">
        <is>
          <t>AIRR US - First Trust American Industrial Rennaisance</t>
        </is>
      </c>
      <c r="E772" t="inlineStr">
        <is>
          <t>Inv MM$</t>
        </is>
      </c>
      <c r="F772" t="n">
        <v>100.669621</v>
      </c>
    </row>
    <row r="773">
      <c r="A773" t="inlineStr">
        <is>
          <t>202512</t>
        </is>
      </c>
      <c r="B773" t="inlineStr">
        <is>
          <t>Comparación</t>
        </is>
      </c>
      <c r="C773" t="inlineStr">
        <is>
          <t>Integra</t>
        </is>
      </c>
      <c r="D773" t="inlineStr">
        <is>
          <t>AXA World Funds - US Dynamic High Yield</t>
        </is>
      </c>
      <c r="E773" t="inlineStr">
        <is>
          <t>Huella</t>
        </is>
      </c>
      <c r="F773" t="n">
        <v>0.065807</v>
      </c>
    </row>
    <row r="774">
      <c r="A774" t="inlineStr">
        <is>
          <t>202512</t>
        </is>
      </c>
      <c r="B774" t="inlineStr">
        <is>
          <t>Comparación</t>
        </is>
      </c>
      <c r="C774" t="inlineStr">
        <is>
          <t>Integra</t>
        </is>
      </c>
      <c r="D774" t="inlineStr">
        <is>
          <t>AXA World Funds - US Dynamic High Yield</t>
        </is>
      </c>
      <c r="E774" t="inlineStr">
        <is>
          <t>Intensidad</t>
        </is>
      </c>
      <c r="F774" t="n">
        <v>1.8e-05</v>
      </c>
    </row>
    <row r="775">
      <c r="A775" t="inlineStr">
        <is>
          <t>202512</t>
        </is>
      </c>
      <c r="B775" t="inlineStr">
        <is>
          <t>Comparación</t>
        </is>
      </c>
      <c r="C775" t="inlineStr">
        <is>
          <t>Integra</t>
        </is>
      </c>
      <c r="D775" t="inlineStr">
        <is>
          <t>AXA World Funds - US Dynamic High Yield</t>
        </is>
      </c>
      <c r="E775" t="inlineStr">
        <is>
          <t>Inv MM$</t>
        </is>
      </c>
      <c r="F775" t="n">
        <v>0.000583</v>
      </c>
    </row>
    <row r="776">
      <c r="A776" t="inlineStr">
        <is>
          <t>202512</t>
        </is>
      </c>
      <c r="B776" t="inlineStr">
        <is>
          <t>Comparación</t>
        </is>
      </c>
      <c r="C776" t="inlineStr">
        <is>
          <t>Integra</t>
        </is>
      </c>
      <c r="D776" t="inlineStr">
        <is>
          <t>Aenza</t>
        </is>
      </c>
      <c r="E776" t="inlineStr">
        <is>
          <t>Huella</t>
        </is>
      </c>
      <c r="F776" t="n">
        <v>2189.8123</v>
      </c>
    </row>
    <row r="777">
      <c r="A777" t="inlineStr">
        <is>
          <t>202512</t>
        </is>
      </c>
      <c r="B777" t="inlineStr">
        <is>
          <t>Comparación</t>
        </is>
      </c>
      <c r="C777" t="inlineStr">
        <is>
          <t>Integra</t>
        </is>
      </c>
      <c r="D777" t="inlineStr">
        <is>
          <t>Aenza</t>
        </is>
      </c>
      <c r="E777" t="inlineStr">
        <is>
          <t>Intensidad</t>
        </is>
      </c>
      <c r="F777" t="n">
        <v>1.539095</v>
      </c>
    </row>
    <row r="778">
      <c r="A778" t="inlineStr">
        <is>
          <t>202512</t>
        </is>
      </c>
      <c r="B778" t="inlineStr">
        <is>
          <t>Comparación</t>
        </is>
      </c>
      <c r="C778" t="inlineStr">
        <is>
          <t>Integra</t>
        </is>
      </c>
      <c r="D778" t="inlineStr">
        <is>
          <t>Aenza</t>
        </is>
      </c>
      <c r="E778" t="inlineStr">
        <is>
          <t>Inv MM$</t>
        </is>
      </c>
      <c r="F778" t="n">
        <v>17.073229</v>
      </c>
    </row>
    <row r="779">
      <c r="A779" t="inlineStr">
        <is>
          <t>202512</t>
        </is>
      </c>
      <c r="B779" t="inlineStr">
        <is>
          <t>Comparación</t>
        </is>
      </c>
      <c r="C779" t="inlineStr">
        <is>
          <t>Integra</t>
        </is>
      </c>
      <c r="D779" t="inlineStr">
        <is>
          <t>Alicorp</t>
        </is>
      </c>
      <c r="E779" t="inlineStr">
        <is>
          <t>Huella</t>
        </is>
      </c>
      <c r="F779" t="n">
        <v>931.919289</v>
      </c>
    </row>
    <row r="780">
      <c r="A780" t="inlineStr">
        <is>
          <t>202512</t>
        </is>
      </c>
      <c r="B780" t="inlineStr">
        <is>
          <t>Comparación</t>
        </is>
      </c>
      <c r="C780" t="inlineStr">
        <is>
          <t>Integra</t>
        </is>
      </c>
      <c r="D780" t="inlineStr">
        <is>
          <t>Alicorp</t>
        </is>
      </c>
      <c r="E780" t="inlineStr">
        <is>
          <t>Intensidad</t>
        </is>
      </c>
      <c r="F780" t="n">
        <v>0.201211</v>
      </c>
    </row>
    <row r="781">
      <c r="A781" t="inlineStr">
        <is>
          <t>202512</t>
        </is>
      </c>
      <c r="B781" t="inlineStr">
        <is>
          <t>Comparación</t>
        </is>
      </c>
      <c r="C781" t="inlineStr">
        <is>
          <t>Integra</t>
        </is>
      </c>
      <c r="D781" t="inlineStr">
        <is>
          <t>Alicorp</t>
        </is>
      </c>
      <c r="E781" t="inlineStr">
        <is>
          <t>Inv MM$</t>
        </is>
      </c>
      <c r="F781" t="n">
        <v>25.462276</v>
      </c>
    </row>
    <row r="782">
      <c r="A782" t="inlineStr">
        <is>
          <t>202512</t>
        </is>
      </c>
      <c r="B782" t="inlineStr">
        <is>
          <t>Comparación</t>
        </is>
      </c>
      <c r="C782" t="inlineStr">
        <is>
          <t>Integra</t>
        </is>
      </c>
      <c r="D782" t="inlineStr">
        <is>
          <t>Allianz - China-A</t>
        </is>
      </c>
      <c r="E782" t="inlineStr">
        <is>
          <t>Huella</t>
        </is>
      </c>
      <c r="F782" t="n">
        <v>0.323439</v>
      </c>
    </row>
    <row r="783">
      <c r="A783" t="inlineStr">
        <is>
          <t>202512</t>
        </is>
      </c>
      <c r="B783" t="inlineStr">
        <is>
          <t>Comparación</t>
        </is>
      </c>
      <c r="C783" t="inlineStr">
        <is>
          <t>Integra</t>
        </is>
      </c>
      <c r="D783" t="inlineStr">
        <is>
          <t>Allianz - China-A</t>
        </is>
      </c>
      <c r="E783" t="inlineStr">
        <is>
          <t>Intensidad</t>
        </is>
      </c>
      <c r="F783" t="n">
        <v>0.00013</v>
      </c>
    </row>
    <row r="784">
      <c r="A784" t="inlineStr">
        <is>
          <t>202512</t>
        </is>
      </c>
      <c r="B784" t="inlineStr">
        <is>
          <t>Comparación</t>
        </is>
      </c>
      <c r="C784" t="inlineStr">
        <is>
          <t>Integra</t>
        </is>
      </c>
      <c r="D784" t="inlineStr">
        <is>
          <t>Allianz - China-A</t>
        </is>
      </c>
      <c r="E784" t="inlineStr">
        <is>
          <t>Inv MM$</t>
        </is>
      </c>
      <c r="F784" t="n">
        <v>0.009028</v>
      </c>
    </row>
    <row r="785">
      <c r="A785" t="inlineStr">
        <is>
          <t>202512</t>
        </is>
      </c>
      <c r="B785" t="inlineStr">
        <is>
          <t>Comparación</t>
        </is>
      </c>
      <c r="C785" t="inlineStr">
        <is>
          <t>Integra</t>
        </is>
      </c>
      <c r="D785" t="inlineStr">
        <is>
          <t>Allianz - Euroland Equity Growth</t>
        </is>
      </c>
      <c r="E785" t="inlineStr">
        <is>
          <t>Huella</t>
        </is>
      </c>
      <c r="F785" t="n">
        <v>0.254771</v>
      </c>
    </row>
    <row r="786">
      <c r="A786" t="inlineStr">
        <is>
          <t>202512</t>
        </is>
      </c>
      <c r="B786" t="inlineStr">
        <is>
          <t>Comparación</t>
        </is>
      </c>
      <c r="C786" t="inlineStr">
        <is>
          <t>Integra</t>
        </is>
      </c>
      <c r="D786" t="inlineStr">
        <is>
          <t>Allianz - Euroland Equity Growth</t>
        </is>
      </c>
      <c r="E786" t="inlineStr">
        <is>
          <t>Intensidad</t>
        </is>
      </c>
      <c r="F786" t="n">
        <v>0.000145</v>
      </c>
    </row>
    <row r="787">
      <c r="A787" t="inlineStr">
        <is>
          <t>202512</t>
        </is>
      </c>
      <c r="B787" t="inlineStr">
        <is>
          <t>Comparación</t>
        </is>
      </c>
      <c r="C787" t="inlineStr">
        <is>
          <t>Integra</t>
        </is>
      </c>
      <c r="D787" t="inlineStr">
        <is>
          <t>Allianz - Euroland Equity Growth</t>
        </is>
      </c>
      <c r="E787" t="inlineStr">
        <is>
          <t>Inv MM$</t>
        </is>
      </c>
      <c r="F787" t="n">
        <v>0.007733</v>
      </c>
    </row>
    <row r="788">
      <c r="A788" t="inlineStr">
        <is>
          <t>202512</t>
        </is>
      </c>
      <c r="B788" t="inlineStr">
        <is>
          <t>Comparación</t>
        </is>
      </c>
      <c r="C788" t="inlineStr">
        <is>
          <t>Integra</t>
        </is>
      </c>
      <c r="D788" t="inlineStr">
        <is>
          <t>Aval</t>
        </is>
      </c>
      <c r="E788" t="inlineStr">
        <is>
          <t>Huella</t>
        </is>
      </c>
      <c r="F788" t="n">
        <v>10.644269</v>
      </c>
    </row>
    <row r="789">
      <c r="A789" t="inlineStr">
        <is>
          <t>202512</t>
        </is>
      </c>
      <c r="B789" t="inlineStr">
        <is>
          <t>Comparación</t>
        </is>
      </c>
      <c r="C789" t="inlineStr">
        <is>
          <t>Integra</t>
        </is>
      </c>
      <c r="D789" t="inlineStr">
        <is>
          <t>Aval</t>
        </is>
      </c>
      <c r="E789" t="inlineStr">
        <is>
          <t>Intensidad</t>
        </is>
      </c>
      <c r="F789" t="n">
        <v>0.00138</v>
      </c>
    </row>
    <row r="790">
      <c r="A790" t="inlineStr">
        <is>
          <t>202512</t>
        </is>
      </c>
      <c r="B790" t="inlineStr">
        <is>
          <t>Comparación</t>
        </is>
      </c>
      <c r="C790" t="inlineStr">
        <is>
          <t>Integra</t>
        </is>
      </c>
      <c r="D790" t="inlineStr">
        <is>
          <t>Aval</t>
        </is>
      </c>
      <c r="E790" t="inlineStr">
        <is>
          <t>Inv MM$</t>
        </is>
      </c>
      <c r="F790" t="n">
        <v>1.012775</v>
      </c>
    </row>
    <row r="791">
      <c r="A791" t="inlineStr">
        <is>
          <t>202512</t>
        </is>
      </c>
      <c r="B791" t="inlineStr">
        <is>
          <t>Comparación</t>
        </is>
      </c>
      <c r="C791" t="inlineStr">
        <is>
          <t>Integra</t>
        </is>
      </c>
      <c r="D791" t="inlineStr">
        <is>
          <t>BBVA Bancomer</t>
        </is>
      </c>
      <c r="E791" t="inlineStr">
        <is>
          <t>Huella</t>
        </is>
      </c>
      <c r="F791" t="n">
        <v>33.178747</v>
      </c>
    </row>
    <row r="792">
      <c r="A792" t="inlineStr">
        <is>
          <t>202512</t>
        </is>
      </c>
      <c r="B792" t="inlineStr">
        <is>
          <t>Comparación</t>
        </is>
      </c>
      <c r="C792" t="inlineStr">
        <is>
          <t>Integra</t>
        </is>
      </c>
      <c r="D792" t="inlineStr">
        <is>
          <t>BBVA Bancomer</t>
        </is>
      </c>
      <c r="E792" t="inlineStr">
        <is>
          <t>Intensidad</t>
        </is>
      </c>
      <c r="F792" t="n">
        <v>0.009587999999999999</v>
      </c>
    </row>
    <row r="793">
      <c r="A793" t="inlineStr">
        <is>
          <t>202512</t>
        </is>
      </c>
      <c r="B793" t="inlineStr">
        <is>
          <t>Comparación</t>
        </is>
      </c>
      <c r="C793" t="inlineStr">
        <is>
          <t>Integra</t>
        </is>
      </c>
      <c r="D793" t="inlineStr">
        <is>
          <t>BBVA Bancomer</t>
        </is>
      </c>
      <c r="E793" t="inlineStr">
        <is>
          <t>Inv MM$</t>
        </is>
      </c>
      <c r="F793" t="n">
        <v>27.648956</v>
      </c>
    </row>
    <row r="794">
      <c r="A794" t="inlineStr">
        <is>
          <t>202512</t>
        </is>
      </c>
      <c r="B794" t="inlineStr">
        <is>
          <t>Comparación</t>
        </is>
      </c>
      <c r="C794" t="inlineStr">
        <is>
          <t>Integra</t>
        </is>
      </c>
      <c r="D794" t="inlineStr">
        <is>
          <t>BNP Paribas - China Equity Class</t>
        </is>
      </c>
      <c r="E794" t="inlineStr">
        <is>
          <t>Huella</t>
        </is>
      </c>
      <c r="F794" t="n">
        <v>0.047498</v>
      </c>
    </row>
    <row r="795">
      <c r="A795" t="inlineStr">
        <is>
          <t>202512</t>
        </is>
      </c>
      <c r="B795" t="inlineStr">
        <is>
          <t>Comparación</t>
        </is>
      </c>
      <c r="C795" t="inlineStr">
        <is>
          <t>Integra</t>
        </is>
      </c>
      <c r="D795" t="inlineStr">
        <is>
          <t>BNP Paribas - China Equity Class</t>
        </is>
      </c>
      <c r="E795" t="inlineStr">
        <is>
          <t>Intensidad</t>
        </is>
      </c>
      <c r="F795" t="n">
        <v>2.6e-05</v>
      </c>
    </row>
    <row r="796">
      <c r="A796" t="inlineStr">
        <is>
          <t>202512</t>
        </is>
      </c>
      <c r="B796" t="inlineStr">
        <is>
          <t>Comparación</t>
        </is>
      </c>
      <c r="C796" t="inlineStr">
        <is>
          <t>Integra</t>
        </is>
      </c>
      <c r="D796" t="inlineStr">
        <is>
          <t>BNP Paribas - China Equity Class</t>
        </is>
      </c>
      <c r="E796" t="inlineStr">
        <is>
          <t>Inv MM$</t>
        </is>
      </c>
      <c r="F796" t="n">
        <v>0.001852</v>
      </c>
    </row>
    <row r="797">
      <c r="A797" t="inlineStr">
        <is>
          <t>202512</t>
        </is>
      </c>
      <c r="B797" t="inlineStr">
        <is>
          <t>Comparación</t>
        </is>
      </c>
      <c r="C797" t="inlineStr">
        <is>
          <t>Integra</t>
        </is>
      </c>
      <c r="D797" t="inlineStr">
        <is>
          <t>BNP Paribas - Japan Small Caps</t>
        </is>
      </c>
      <c r="E797" t="inlineStr">
        <is>
          <t>Huella</t>
        </is>
      </c>
      <c r="F797" t="n">
        <v>10125.021621</v>
      </c>
    </row>
    <row r="798">
      <c r="A798" t="inlineStr">
        <is>
          <t>202512</t>
        </is>
      </c>
      <c r="B798" t="inlineStr">
        <is>
          <t>Comparación</t>
        </is>
      </c>
      <c r="C798" t="inlineStr">
        <is>
          <t>Integra</t>
        </is>
      </c>
      <c r="D798" t="inlineStr">
        <is>
          <t>BNP Paribas - Japan Small Caps</t>
        </is>
      </c>
      <c r="E798" t="inlineStr">
        <is>
          <t>Intensidad</t>
        </is>
      </c>
      <c r="F798" t="n">
        <v>3.044707</v>
      </c>
    </row>
    <row r="799">
      <c r="A799" t="inlineStr">
        <is>
          <t>202512</t>
        </is>
      </c>
      <c r="B799" t="inlineStr">
        <is>
          <t>Comparación</t>
        </is>
      </c>
      <c r="C799" t="inlineStr">
        <is>
          <t>Integra</t>
        </is>
      </c>
      <c r="D799" t="inlineStr">
        <is>
          <t>BNP Paribas - Japan Small Caps</t>
        </is>
      </c>
      <c r="E799" t="inlineStr">
        <is>
          <t>Inv MM$</t>
        </is>
      </c>
      <c r="F799" t="n">
        <v>83.41080100000001</v>
      </c>
    </row>
    <row r="800">
      <c r="A800" t="inlineStr">
        <is>
          <t>202512</t>
        </is>
      </c>
      <c r="B800" t="inlineStr">
        <is>
          <t>Comparación</t>
        </is>
      </c>
      <c r="C800" t="inlineStr">
        <is>
          <t>Integra</t>
        </is>
      </c>
      <c r="D800" t="inlineStr">
        <is>
          <t>Baillie Gifford &amp; Co Ltd - Overseas Growth Funds ICVC - Pacific Fund</t>
        </is>
      </c>
      <c r="E800" t="inlineStr">
        <is>
          <t>Huella</t>
        </is>
      </c>
      <c r="F800" t="n">
        <v>559.637385</v>
      </c>
    </row>
    <row r="801">
      <c r="A801" t="inlineStr">
        <is>
          <t>202512</t>
        </is>
      </c>
      <c r="B801" t="inlineStr">
        <is>
          <t>Comparación</t>
        </is>
      </c>
      <c r="C801" t="inlineStr">
        <is>
          <t>Integra</t>
        </is>
      </c>
      <c r="D801" t="inlineStr">
        <is>
          <t>Baillie Gifford &amp; Co Ltd - Overseas Growth Funds ICVC - Pacific Fund</t>
        </is>
      </c>
      <c r="E801" t="inlineStr">
        <is>
          <t>Intensidad</t>
        </is>
      </c>
      <c r="F801" t="n">
        <v>0.168201</v>
      </c>
    </row>
    <row r="802">
      <c r="A802" t="inlineStr">
        <is>
          <t>202512</t>
        </is>
      </c>
      <c r="B802" t="inlineStr">
        <is>
          <t>Comparación</t>
        </is>
      </c>
      <c r="C802" t="inlineStr">
        <is>
          <t>Integra</t>
        </is>
      </c>
      <c r="D802" t="inlineStr">
        <is>
          <t>Baillie Gifford &amp; Co Ltd - Overseas Growth Funds ICVC - Pacific Fund</t>
        </is>
      </c>
      <c r="E802" t="inlineStr">
        <is>
          <t>Inv MM$</t>
        </is>
      </c>
      <c r="F802" t="n">
        <v>21.393537</v>
      </c>
    </row>
    <row r="803">
      <c r="A803" t="inlineStr">
        <is>
          <t>202512</t>
        </is>
      </c>
      <c r="B803" t="inlineStr">
        <is>
          <t>Comparación</t>
        </is>
      </c>
      <c r="C803" t="inlineStr">
        <is>
          <t>Integra</t>
        </is>
      </c>
      <c r="D803" t="inlineStr">
        <is>
          <t>Banorte</t>
        </is>
      </c>
      <c r="E803" t="inlineStr">
        <is>
          <t>Huella</t>
        </is>
      </c>
      <c r="F803" t="n">
        <v>26.404861</v>
      </c>
    </row>
    <row r="804">
      <c r="A804" t="inlineStr">
        <is>
          <t>202512</t>
        </is>
      </c>
      <c r="B804" t="inlineStr">
        <is>
          <t>Comparación</t>
        </is>
      </c>
      <c r="C804" t="inlineStr">
        <is>
          <t>Integra</t>
        </is>
      </c>
      <c r="D804" t="inlineStr">
        <is>
          <t>Banorte</t>
        </is>
      </c>
      <c r="E804" t="inlineStr">
        <is>
          <t>Intensidad</t>
        </is>
      </c>
      <c r="F804" t="n">
        <v>0.005656</v>
      </c>
    </row>
    <row r="805">
      <c r="A805" t="inlineStr">
        <is>
          <t>202512</t>
        </is>
      </c>
      <c r="B805" t="inlineStr">
        <is>
          <t>Comparación</t>
        </is>
      </c>
      <c r="C805" t="inlineStr">
        <is>
          <t>Integra</t>
        </is>
      </c>
      <c r="D805" t="inlineStr">
        <is>
          <t>Banorte</t>
        </is>
      </c>
      <c r="E805" t="inlineStr">
        <is>
          <t>Inv MM$</t>
        </is>
      </c>
      <c r="F805" t="n">
        <v>25.147486</v>
      </c>
    </row>
    <row r="806">
      <c r="A806" t="inlineStr">
        <is>
          <t>202512</t>
        </is>
      </c>
      <c r="B806" t="inlineStr">
        <is>
          <t>Comparación</t>
        </is>
      </c>
      <c r="C806" t="inlineStr">
        <is>
          <t>Integra</t>
        </is>
      </c>
      <c r="D806" t="inlineStr">
        <is>
          <t>Barings - Emerging Markets Local Debt Fund</t>
        </is>
      </c>
      <c r="E806" t="inlineStr">
        <is>
          <t>Huella</t>
        </is>
      </c>
      <c r="F806" t="n">
        <v>0.000764</v>
      </c>
    </row>
    <row r="807">
      <c r="A807" t="inlineStr">
        <is>
          <t>202512</t>
        </is>
      </c>
      <c r="B807" t="inlineStr">
        <is>
          <t>Comparación</t>
        </is>
      </c>
      <c r="C807" t="inlineStr">
        <is>
          <t>Integra</t>
        </is>
      </c>
      <c r="D807" t="inlineStr">
        <is>
          <t>Barings - Emerging Markets Local Debt Fund</t>
        </is>
      </c>
      <c r="E807" t="inlineStr">
        <is>
          <t>Intensidad</t>
        </is>
      </c>
      <c r="F807" t="n">
        <v>0</v>
      </c>
    </row>
    <row r="808">
      <c r="A808" t="inlineStr">
        <is>
          <t>202512</t>
        </is>
      </c>
      <c r="B808" t="inlineStr">
        <is>
          <t>Comparación</t>
        </is>
      </c>
      <c r="C808" t="inlineStr">
        <is>
          <t>Integra</t>
        </is>
      </c>
      <c r="D808" t="inlineStr">
        <is>
          <t>Barings - Emerging Markets Local Debt Fund</t>
        </is>
      </c>
      <c r="E808" t="inlineStr">
        <is>
          <t>Inv MM$</t>
        </is>
      </c>
      <c r="F808" t="n">
        <v>0.000314</v>
      </c>
    </row>
    <row r="809">
      <c r="A809" t="inlineStr">
        <is>
          <t>202512</t>
        </is>
      </c>
      <c r="B809" t="inlineStr">
        <is>
          <t>Comparación</t>
        </is>
      </c>
      <c r="C809" t="inlineStr">
        <is>
          <t>Integra</t>
        </is>
      </c>
      <c r="D809" t="inlineStr">
        <is>
          <t>Barings - Emerging Markets Sovereign Debt Fund</t>
        </is>
      </c>
      <c r="E809" t="inlineStr">
        <is>
          <t>Huella</t>
        </is>
      </c>
      <c r="F809" t="n">
        <v>0.043426</v>
      </c>
    </row>
    <row r="810">
      <c r="A810" t="inlineStr">
        <is>
          <t>202512</t>
        </is>
      </c>
      <c r="B810" t="inlineStr">
        <is>
          <t>Comparación</t>
        </is>
      </c>
      <c r="C810" t="inlineStr">
        <is>
          <t>Integra</t>
        </is>
      </c>
      <c r="D810" t="inlineStr">
        <is>
          <t>Barings - Emerging Markets Sovereign Debt Fund</t>
        </is>
      </c>
      <c r="E810" t="inlineStr">
        <is>
          <t>Intensidad</t>
        </is>
      </c>
      <c r="F810" t="n">
        <v>2e-05</v>
      </c>
    </row>
    <row r="811">
      <c r="A811" t="inlineStr">
        <is>
          <t>202512</t>
        </is>
      </c>
      <c r="B811" t="inlineStr">
        <is>
          <t>Comparación</t>
        </is>
      </c>
      <c r="C811" t="inlineStr">
        <is>
          <t>Integra</t>
        </is>
      </c>
      <c r="D811" t="inlineStr">
        <is>
          <t>Barings - Emerging Markets Sovereign Debt Fund</t>
        </is>
      </c>
      <c r="E811" t="inlineStr">
        <is>
          <t>Inv MM$</t>
        </is>
      </c>
      <c r="F811" t="n">
        <v>0.000105</v>
      </c>
    </row>
    <row r="812">
      <c r="A812" t="inlineStr">
        <is>
          <t>202512</t>
        </is>
      </c>
      <c r="B812" t="inlineStr">
        <is>
          <t>Comparación</t>
        </is>
      </c>
      <c r="C812" t="inlineStr">
        <is>
          <t>Integra</t>
        </is>
      </c>
      <c r="D812" t="inlineStr">
        <is>
          <t>BlackRock - iShares - Tips ETF</t>
        </is>
      </c>
      <c r="E812" t="inlineStr">
        <is>
          <t>Huella</t>
        </is>
      </c>
      <c r="F812" t="n">
        <v>17995.62648</v>
      </c>
    </row>
    <row r="813">
      <c r="A813" t="inlineStr">
        <is>
          <t>202512</t>
        </is>
      </c>
      <c r="B813" t="inlineStr">
        <is>
          <t>Comparación</t>
        </is>
      </c>
      <c r="C813" t="inlineStr">
        <is>
          <t>Integra</t>
        </is>
      </c>
      <c r="D813" t="inlineStr">
        <is>
          <t>BlackRock - iShares - Tips ETF</t>
        </is>
      </c>
      <c r="E813" t="inlineStr">
        <is>
          <t>Intensidad</t>
        </is>
      </c>
      <c r="F813" t="n">
        <v>3.432772</v>
      </c>
    </row>
    <row r="814">
      <c r="A814" t="inlineStr">
        <is>
          <t>202512</t>
        </is>
      </c>
      <c r="B814" t="inlineStr">
        <is>
          <t>Comparación</t>
        </is>
      </c>
      <c r="C814" t="inlineStr">
        <is>
          <t>Integra</t>
        </is>
      </c>
      <c r="D814" t="inlineStr">
        <is>
          <t>BlackRock - iShares - Tips ETF</t>
        </is>
      </c>
      <c r="E814" t="inlineStr">
        <is>
          <t>Inv MM$</t>
        </is>
      </c>
      <c r="F814" t="n">
        <v>88.827048</v>
      </c>
    </row>
    <row r="815">
      <c r="A815" t="inlineStr">
        <is>
          <t>202512</t>
        </is>
      </c>
      <c r="B815" t="inlineStr">
        <is>
          <t>Comparación</t>
        </is>
      </c>
      <c r="C815" t="inlineStr">
        <is>
          <t>Integra</t>
        </is>
      </c>
      <c r="D815" t="inlineStr">
        <is>
          <t>BlackRock - iShares Convertible Bond ETF</t>
        </is>
      </c>
      <c r="E815" t="inlineStr">
        <is>
          <t>Huella</t>
        </is>
      </c>
      <c r="F815" t="n">
        <v>906.965603</v>
      </c>
    </row>
    <row r="816">
      <c r="A816" t="inlineStr">
        <is>
          <t>202512</t>
        </is>
      </c>
      <c r="B816" t="inlineStr">
        <is>
          <t>Comparación</t>
        </is>
      </c>
      <c r="C816" t="inlineStr">
        <is>
          <t>Integra</t>
        </is>
      </c>
      <c r="D816" t="inlineStr">
        <is>
          <t>BlackRock - iShares Convertible Bond ETF</t>
        </is>
      </c>
      <c r="E816" t="inlineStr">
        <is>
          <t>Intensidad</t>
        </is>
      </c>
      <c r="F816" t="n">
        <v>0.418076</v>
      </c>
    </row>
    <row r="817">
      <c r="A817" t="inlineStr">
        <is>
          <t>202512</t>
        </is>
      </c>
      <c r="B817" t="inlineStr">
        <is>
          <t>Comparación</t>
        </is>
      </c>
      <c r="C817" t="inlineStr">
        <is>
          <t>Integra</t>
        </is>
      </c>
      <c r="D817" t="inlineStr">
        <is>
          <t>BlackRock - iShares Convertible Bond ETF</t>
        </is>
      </c>
      <c r="E817" t="inlineStr">
        <is>
          <t>Inv MM$</t>
        </is>
      </c>
      <c r="F817" t="n">
        <v>16.324375</v>
      </c>
    </row>
    <row r="818">
      <c r="A818" t="inlineStr">
        <is>
          <t>202512</t>
        </is>
      </c>
      <c r="B818" t="inlineStr">
        <is>
          <t>Comparación</t>
        </is>
      </c>
      <c r="C818" t="inlineStr">
        <is>
          <t>Integra</t>
        </is>
      </c>
      <c r="D818" t="inlineStr">
        <is>
          <t>BlackRock - iShares Euro Stoxx Banks 30-15 UCITS</t>
        </is>
      </c>
      <c r="E818" t="inlineStr">
        <is>
          <t>Huella</t>
        </is>
      </c>
      <c r="F818" t="n">
        <v>49.349571</v>
      </c>
    </row>
    <row r="819">
      <c r="A819" t="inlineStr">
        <is>
          <t>202512</t>
        </is>
      </c>
      <c r="B819" t="inlineStr">
        <is>
          <t>Comparación</t>
        </is>
      </c>
      <c r="C819" t="inlineStr">
        <is>
          <t>Integra</t>
        </is>
      </c>
      <c r="D819" t="inlineStr">
        <is>
          <t>BlackRock - iShares Euro Stoxx Banks 30-15 UCITS</t>
        </is>
      </c>
      <c r="E819" t="inlineStr">
        <is>
          <t>Intensidad</t>
        </is>
      </c>
      <c r="F819" t="n">
        <v>0.016563</v>
      </c>
    </row>
    <row r="820">
      <c r="A820" t="inlineStr">
        <is>
          <t>202512</t>
        </is>
      </c>
      <c r="B820" t="inlineStr">
        <is>
          <t>Comparación</t>
        </is>
      </c>
      <c r="C820" t="inlineStr">
        <is>
          <t>Integra</t>
        </is>
      </c>
      <c r="D820" t="inlineStr">
        <is>
          <t>BlackRock - iShares Euro Stoxx Banks 30-15 UCITS</t>
        </is>
      </c>
      <c r="E820" t="inlineStr">
        <is>
          <t>Inv MM$</t>
        </is>
      </c>
      <c r="F820" t="n">
        <v>117.481366</v>
      </c>
    </row>
    <row r="821">
      <c r="A821" t="inlineStr">
        <is>
          <t>202512</t>
        </is>
      </c>
      <c r="B821" t="inlineStr">
        <is>
          <t>Comparación</t>
        </is>
      </c>
      <c r="C821" t="inlineStr">
        <is>
          <t>Integra</t>
        </is>
      </c>
      <c r="D821" t="inlineStr">
        <is>
          <t>BlackRock - iShares Korea</t>
        </is>
      </c>
      <c r="E821" t="inlineStr">
        <is>
          <t>Huella</t>
        </is>
      </c>
      <c r="F821" t="n">
        <v>9653.05668</v>
      </c>
    </row>
    <row r="822">
      <c r="A822" t="inlineStr">
        <is>
          <t>202512</t>
        </is>
      </c>
      <c r="B822" t="inlineStr">
        <is>
          <t>Comparación</t>
        </is>
      </c>
      <c r="C822" t="inlineStr">
        <is>
          <t>Integra</t>
        </is>
      </c>
      <c r="D822" t="inlineStr">
        <is>
          <t>BlackRock - iShares Korea</t>
        </is>
      </c>
      <c r="E822" t="inlineStr">
        <is>
          <t>Intensidad</t>
        </is>
      </c>
      <c r="F822" t="n">
        <v>2.909986</v>
      </c>
    </row>
    <row r="823">
      <c r="A823" t="inlineStr">
        <is>
          <t>202512</t>
        </is>
      </c>
      <c r="B823" t="inlineStr">
        <is>
          <t>Comparación</t>
        </is>
      </c>
      <c r="C823" t="inlineStr">
        <is>
          <t>Integra</t>
        </is>
      </c>
      <c r="D823" t="inlineStr">
        <is>
          <t>BlackRock - iShares Korea</t>
        </is>
      </c>
      <c r="E823" t="inlineStr">
        <is>
          <t>Inv MM$</t>
        </is>
      </c>
      <c r="F823" t="n">
        <v>95.966684</v>
      </c>
    </row>
    <row r="824">
      <c r="A824" t="inlineStr">
        <is>
          <t>202512</t>
        </is>
      </c>
      <c r="B824" t="inlineStr">
        <is>
          <t>Comparación</t>
        </is>
      </c>
      <c r="C824" t="inlineStr">
        <is>
          <t>Integra</t>
        </is>
      </c>
      <c r="D824" t="inlineStr">
        <is>
          <t>BlackRock - iShares MSCI Peru</t>
        </is>
      </c>
      <c r="E824" t="inlineStr">
        <is>
          <t>Huella</t>
        </is>
      </c>
      <c r="F824" t="n">
        <v>230.611117</v>
      </c>
    </row>
    <row r="825">
      <c r="A825" t="inlineStr">
        <is>
          <t>202512</t>
        </is>
      </c>
      <c r="B825" t="inlineStr">
        <is>
          <t>Comparación</t>
        </is>
      </c>
      <c r="C825" t="inlineStr">
        <is>
          <t>Integra</t>
        </is>
      </c>
      <c r="D825" t="inlineStr">
        <is>
          <t>BlackRock - iShares MSCI Peru</t>
        </is>
      </c>
      <c r="E825" t="inlineStr">
        <is>
          <t>Intensidad</t>
        </is>
      </c>
      <c r="F825" t="n">
        <v>0.231438</v>
      </c>
    </row>
    <row r="826">
      <c r="A826" t="inlineStr">
        <is>
          <t>202512</t>
        </is>
      </c>
      <c r="B826" t="inlineStr">
        <is>
          <t>Comparación</t>
        </is>
      </c>
      <c r="C826" t="inlineStr">
        <is>
          <t>Integra</t>
        </is>
      </c>
      <c r="D826" t="inlineStr">
        <is>
          <t>BlackRock - iShares MSCI Peru</t>
        </is>
      </c>
      <c r="E826" t="inlineStr">
        <is>
          <t>Inv MM$</t>
        </is>
      </c>
      <c r="F826" t="n">
        <v>7.360131</v>
      </c>
    </row>
    <row r="827">
      <c r="A827" t="inlineStr">
        <is>
          <t>202512</t>
        </is>
      </c>
      <c r="B827" t="inlineStr">
        <is>
          <t>Comparación</t>
        </is>
      </c>
      <c r="C827" t="inlineStr">
        <is>
          <t>Integra</t>
        </is>
      </c>
      <c r="D827" t="inlineStr">
        <is>
          <t>BlackRock - iShares PHLX Semiconductor ETF</t>
        </is>
      </c>
      <c r="E827" t="inlineStr">
        <is>
          <t>Huella</t>
        </is>
      </c>
      <c r="F827" t="n">
        <v>3274.265537</v>
      </c>
    </row>
    <row r="828">
      <c r="A828" t="inlineStr">
        <is>
          <t>202512</t>
        </is>
      </c>
      <c r="B828" t="inlineStr">
        <is>
          <t>Comparación</t>
        </is>
      </c>
      <c r="C828" t="inlineStr">
        <is>
          <t>Integra</t>
        </is>
      </c>
      <c r="D828" t="inlineStr">
        <is>
          <t>BlackRock - iShares PHLX Semiconductor ETF</t>
        </is>
      </c>
      <c r="E828" t="inlineStr">
        <is>
          <t>Intensidad</t>
        </is>
      </c>
      <c r="F828" t="n">
        <v>1.099758</v>
      </c>
    </row>
    <row r="829">
      <c r="A829" t="inlineStr">
        <is>
          <t>202512</t>
        </is>
      </c>
      <c r="B829" t="inlineStr">
        <is>
          <t>Comparación</t>
        </is>
      </c>
      <c r="C829" t="inlineStr">
        <is>
          <t>Integra</t>
        </is>
      </c>
      <c r="D829" t="inlineStr">
        <is>
          <t>BlackRock - iShares PHLX Semiconductor ETF</t>
        </is>
      </c>
      <c r="E829" t="inlineStr">
        <is>
          <t>Inv MM$</t>
        </is>
      </c>
      <c r="F829" t="n">
        <v>387.099444</v>
      </c>
    </row>
    <row r="830">
      <c r="A830" t="inlineStr">
        <is>
          <t>202512</t>
        </is>
      </c>
      <c r="B830" t="inlineStr">
        <is>
          <t>Comparación</t>
        </is>
      </c>
      <c r="C830" t="inlineStr">
        <is>
          <t>Integra</t>
        </is>
      </c>
      <c r="D830" t="inlineStr">
        <is>
          <t>BlackRock - iShares Taiwan</t>
        </is>
      </c>
      <c r="E830" t="inlineStr">
        <is>
          <t>Huella</t>
        </is>
      </c>
      <c r="F830" t="n">
        <v>4415.925492</v>
      </c>
    </row>
    <row r="831">
      <c r="A831" t="inlineStr">
        <is>
          <t>202512</t>
        </is>
      </c>
      <c r="B831" t="inlineStr">
        <is>
          <t>Comparación</t>
        </is>
      </c>
      <c r="C831" t="inlineStr">
        <is>
          <t>Integra</t>
        </is>
      </c>
      <c r="D831" t="inlineStr">
        <is>
          <t>BlackRock - iShares Taiwan</t>
        </is>
      </c>
      <c r="E831" t="inlineStr">
        <is>
          <t>Intensidad</t>
        </is>
      </c>
      <c r="F831" t="n">
        <v>1.419107</v>
      </c>
    </row>
    <row r="832">
      <c r="A832" t="inlineStr">
        <is>
          <t>202512</t>
        </is>
      </c>
      <c r="B832" t="inlineStr">
        <is>
          <t>Comparación</t>
        </is>
      </c>
      <c r="C832" t="inlineStr">
        <is>
          <t>Integra</t>
        </is>
      </c>
      <c r="D832" t="inlineStr">
        <is>
          <t>BlackRock - iShares Taiwan</t>
        </is>
      </c>
      <c r="E832" t="inlineStr">
        <is>
          <t>Inv MM$</t>
        </is>
      </c>
      <c r="F832" t="n">
        <v>62.880603</v>
      </c>
    </row>
    <row r="833">
      <c r="A833" t="inlineStr">
        <is>
          <t>202512</t>
        </is>
      </c>
      <c r="B833" t="inlineStr">
        <is>
          <t>Comparación</t>
        </is>
      </c>
      <c r="C833" t="inlineStr">
        <is>
          <t>Integra</t>
        </is>
      </c>
      <c r="D833" t="inlineStr">
        <is>
          <t>BlueBay - Financial Capital Bond - E</t>
        </is>
      </c>
      <c r="E833" t="inlineStr">
        <is>
          <t>Huella</t>
        </is>
      </c>
      <c r="F833" t="n">
        <v>15.211009</v>
      </c>
    </row>
    <row r="834">
      <c r="A834" t="inlineStr">
        <is>
          <t>202512</t>
        </is>
      </c>
      <c r="B834" t="inlineStr">
        <is>
          <t>Comparación</t>
        </is>
      </c>
      <c r="C834" t="inlineStr">
        <is>
          <t>Integra</t>
        </is>
      </c>
      <c r="D834" t="inlineStr">
        <is>
          <t>BlueBay - Financial Capital Bond - E</t>
        </is>
      </c>
      <c r="E834" t="inlineStr">
        <is>
          <t>Intensidad</t>
        </is>
      </c>
      <c r="F834" t="n">
        <v>0.006896</v>
      </c>
    </row>
    <row r="835">
      <c r="A835" t="inlineStr">
        <is>
          <t>202512</t>
        </is>
      </c>
      <c r="B835" t="inlineStr">
        <is>
          <t>Comparación</t>
        </is>
      </c>
      <c r="C835" t="inlineStr">
        <is>
          <t>Integra</t>
        </is>
      </c>
      <c r="D835" t="inlineStr">
        <is>
          <t>BlueBay - Financial Capital Bond - E</t>
        </is>
      </c>
      <c r="E835" t="inlineStr">
        <is>
          <t>Inv MM$</t>
        </is>
      </c>
      <c r="F835" t="n">
        <v>29.631844</v>
      </c>
    </row>
    <row r="836">
      <c r="A836" t="inlineStr">
        <is>
          <t>202512</t>
        </is>
      </c>
      <c r="B836" t="inlineStr">
        <is>
          <t>Comparación</t>
        </is>
      </c>
      <c r="C836" t="inlineStr">
        <is>
          <t>Integra</t>
        </is>
      </c>
      <c r="D836" t="inlineStr">
        <is>
          <t>Buenaventura*</t>
        </is>
      </c>
      <c r="E836" t="inlineStr">
        <is>
          <t>Huella</t>
        </is>
      </c>
      <c r="F836" t="n">
        <v>17934.864294</v>
      </c>
    </row>
    <row r="837">
      <c r="A837" t="inlineStr">
        <is>
          <t>202512</t>
        </is>
      </c>
      <c r="B837" t="inlineStr">
        <is>
          <t>Comparación</t>
        </is>
      </c>
      <c r="C837" t="inlineStr">
        <is>
          <t>Integra</t>
        </is>
      </c>
      <c r="D837" t="inlineStr">
        <is>
          <t>Buenaventura*</t>
        </is>
      </c>
      <c r="E837" t="inlineStr">
        <is>
          <t>Intensidad</t>
        </is>
      </c>
      <c r="F837" t="n">
        <v>5.372192</v>
      </c>
    </row>
    <row r="838">
      <c r="A838" t="inlineStr">
        <is>
          <t>202512</t>
        </is>
      </c>
      <c r="B838" t="inlineStr">
        <is>
          <t>Comparación</t>
        </is>
      </c>
      <c r="C838" t="inlineStr">
        <is>
          <t>Integra</t>
        </is>
      </c>
      <c r="D838" t="inlineStr">
        <is>
          <t>Buenaventura*</t>
        </is>
      </c>
      <c r="E838" t="inlineStr">
        <is>
          <t>Inv MM$</t>
        </is>
      </c>
      <c r="F838" t="n">
        <v>307.103841</v>
      </c>
    </row>
    <row r="839">
      <c r="A839" t="inlineStr">
        <is>
          <t>202512</t>
        </is>
      </c>
      <c r="B839" t="inlineStr">
        <is>
          <t>Comparación</t>
        </is>
      </c>
      <c r="C839" t="inlineStr">
        <is>
          <t>Integra</t>
        </is>
      </c>
      <c r="D839" t="inlineStr">
        <is>
          <t>Credicorp*</t>
        </is>
      </c>
      <c r="E839" t="inlineStr">
        <is>
          <t>Huella</t>
        </is>
      </c>
      <c r="F839" t="n">
        <v>287.289842</v>
      </c>
    </row>
    <row r="840">
      <c r="A840" t="inlineStr">
        <is>
          <t>202512</t>
        </is>
      </c>
      <c r="B840" t="inlineStr">
        <is>
          <t>Comparación</t>
        </is>
      </c>
      <c r="C840" t="inlineStr">
        <is>
          <t>Integra</t>
        </is>
      </c>
      <c r="D840" t="inlineStr">
        <is>
          <t>Credicorp*</t>
        </is>
      </c>
      <c r="E840" t="inlineStr">
        <is>
          <t>Intensidad</t>
        </is>
      </c>
      <c r="F840" t="n">
        <v>0.076442</v>
      </c>
    </row>
    <row r="841">
      <c r="A841" t="inlineStr">
        <is>
          <t>202512</t>
        </is>
      </c>
      <c r="B841" t="inlineStr">
        <is>
          <t>Comparación</t>
        </is>
      </c>
      <c r="C841" t="inlineStr">
        <is>
          <t>Integra</t>
        </is>
      </c>
      <c r="D841" t="inlineStr">
        <is>
          <t>Credicorp*</t>
        </is>
      </c>
      <c r="E841" t="inlineStr">
        <is>
          <t>Inv MM$</t>
        </is>
      </c>
      <c r="F841" t="n">
        <v>393.547728</v>
      </c>
    </row>
    <row r="842">
      <c r="A842" t="inlineStr">
        <is>
          <t>202512</t>
        </is>
      </c>
      <c r="B842" t="inlineStr">
        <is>
          <t>Comparación</t>
        </is>
      </c>
      <c r="C842" t="inlineStr">
        <is>
          <t>Integra</t>
        </is>
      </c>
      <c r="D842" t="inlineStr">
        <is>
          <t>DFA - US Large Cap Value</t>
        </is>
      </c>
      <c r="E842" t="inlineStr">
        <is>
          <t>Huella</t>
        </is>
      </c>
      <c r="F842" t="n">
        <v>0.002892</v>
      </c>
    </row>
    <row r="843">
      <c r="A843" t="inlineStr">
        <is>
          <t>202512</t>
        </is>
      </c>
      <c r="B843" t="inlineStr">
        <is>
          <t>Comparación</t>
        </is>
      </c>
      <c r="C843" t="inlineStr">
        <is>
          <t>Integra</t>
        </is>
      </c>
      <c r="D843" t="inlineStr">
        <is>
          <t>DFA - US Large Cap Value</t>
        </is>
      </c>
      <c r="E843" t="inlineStr">
        <is>
          <t>Intensidad</t>
        </is>
      </c>
      <c r="F843" t="n">
        <v>0</v>
      </c>
    </row>
    <row r="844">
      <c r="A844" t="inlineStr">
        <is>
          <t>202512</t>
        </is>
      </c>
      <c r="B844" t="inlineStr">
        <is>
          <t>Comparación</t>
        </is>
      </c>
      <c r="C844" t="inlineStr">
        <is>
          <t>Integra</t>
        </is>
      </c>
      <c r="D844" t="inlineStr">
        <is>
          <t>DFA - US Large Cap Value</t>
        </is>
      </c>
      <c r="E844" t="inlineStr">
        <is>
          <t>Inv MM$</t>
        </is>
      </c>
      <c r="F844" t="n">
        <v>5.1e-05</v>
      </c>
    </row>
    <row r="845">
      <c r="A845" t="inlineStr">
        <is>
          <t>202512</t>
        </is>
      </c>
      <c r="B845" t="inlineStr">
        <is>
          <t>Comparación</t>
        </is>
      </c>
      <c r="C845" t="inlineStr">
        <is>
          <t>Integra</t>
        </is>
      </c>
      <c r="D845" t="inlineStr">
        <is>
          <t>DNCA - Alpha Bonds</t>
        </is>
      </c>
      <c r="E845" t="inlineStr">
        <is>
          <t>Huella</t>
        </is>
      </c>
      <c r="F845" t="n">
        <v>257.097267</v>
      </c>
    </row>
    <row r="846">
      <c r="A846" t="inlineStr">
        <is>
          <t>202512</t>
        </is>
      </c>
      <c r="B846" t="inlineStr">
        <is>
          <t>Comparación</t>
        </is>
      </c>
      <c r="C846" t="inlineStr">
        <is>
          <t>Integra</t>
        </is>
      </c>
      <c r="D846" t="inlineStr">
        <is>
          <t>DNCA - Alpha Bonds</t>
        </is>
      </c>
      <c r="E846" t="inlineStr">
        <is>
          <t>Intensidad</t>
        </is>
      </c>
      <c r="F846" t="n">
        <v>0.09395100000000001</v>
      </c>
    </row>
    <row r="847">
      <c r="A847" t="inlineStr">
        <is>
          <t>202512</t>
        </is>
      </c>
      <c r="B847" t="inlineStr">
        <is>
          <t>Comparación</t>
        </is>
      </c>
      <c r="C847" t="inlineStr">
        <is>
          <t>Integra</t>
        </is>
      </c>
      <c r="D847" t="inlineStr">
        <is>
          <t>DNCA - Alpha Bonds</t>
        </is>
      </c>
      <c r="E847" t="inlineStr">
        <is>
          <t>Inv MM$</t>
        </is>
      </c>
      <c r="F847" t="n">
        <v>10.134252</v>
      </c>
    </row>
    <row r="848">
      <c r="A848" t="inlineStr">
        <is>
          <t>202512</t>
        </is>
      </c>
      <c r="B848" t="inlineStr">
        <is>
          <t>Comparación</t>
        </is>
      </c>
      <c r="C848" t="inlineStr">
        <is>
          <t>Integra</t>
        </is>
      </c>
      <c r="D848" t="inlineStr">
        <is>
          <t>Degroof - EM  Sustainable Debt</t>
        </is>
      </c>
      <c r="E848" t="inlineStr">
        <is>
          <t>Huella</t>
        </is>
      </c>
      <c r="F848" t="n">
        <v>1.9e-05</v>
      </c>
    </row>
    <row r="849">
      <c r="A849" t="inlineStr">
        <is>
          <t>202512</t>
        </is>
      </c>
      <c r="B849" t="inlineStr">
        <is>
          <t>Comparación</t>
        </is>
      </c>
      <c r="C849" t="inlineStr">
        <is>
          <t>Integra</t>
        </is>
      </c>
      <c r="D849" t="inlineStr">
        <is>
          <t>Degroof - EM  Sustainable Debt</t>
        </is>
      </c>
      <c r="E849" t="inlineStr">
        <is>
          <t>Intensidad</t>
        </is>
      </c>
      <c r="F849" t="n">
        <v>0</v>
      </c>
    </row>
    <row r="850">
      <c r="A850" t="inlineStr">
        <is>
          <t>202512</t>
        </is>
      </c>
      <c r="B850" t="inlineStr">
        <is>
          <t>Comparación</t>
        </is>
      </c>
      <c r="C850" t="inlineStr">
        <is>
          <t>Integra</t>
        </is>
      </c>
      <c r="D850" t="inlineStr">
        <is>
          <t>Degroof - EM  Sustainable Debt</t>
        </is>
      </c>
      <c r="E850" t="inlineStr">
        <is>
          <t>Inv MM$</t>
        </is>
      </c>
      <c r="F850" t="n">
        <v>0.000315</v>
      </c>
    </row>
    <row r="851">
      <c r="A851" t="inlineStr">
        <is>
          <t>202512</t>
        </is>
      </c>
      <c r="B851" t="inlineStr">
        <is>
          <t>Comparación</t>
        </is>
      </c>
      <c r="C851" t="inlineStr">
        <is>
          <t>Integra</t>
        </is>
      </c>
      <c r="D851" t="inlineStr">
        <is>
          <t>Eastspring - Japan Dynamic Fund</t>
        </is>
      </c>
      <c r="E851" t="inlineStr">
        <is>
          <t>Huella</t>
        </is>
      </c>
      <c r="F851" t="n">
        <v>0.004558</v>
      </c>
    </row>
    <row r="852">
      <c r="A852" t="inlineStr">
        <is>
          <t>202512</t>
        </is>
      </c>
      <c r="B852" t="inlineStr">
        <is>
          <t>Comparación</t>
        </is>
      </c>
      <c r="C852" t="inlineStr">
        <is>
          <t>Integra</t>
        </is>
      </c>
      <c r="D852" t="inlineStr">
        <is>
          <t>Eastspring - Japan Dynamic Fund</t>
        </is>
      </c>
      <c r="E852" t="inlineStr">
        <is>
          <t>Intensidad</t>
        </is>
      </c>
      <c r="F852" t="n">
        <v>3e-06</v>
      </c>
    </row>
    <row r="853">
      <c r="A853" t="inlineStr">
        <is>
          <t>202512</t>
        </is>
      </c>
      <c r="B853" t="inlineStr">
        <is>
          <t>Comparación</t>
        </is>
      </c>
      <c r="C853" t="inlineStr">
        <is>
          <t>Integra</t>
        </is>
      </c>
      <c r="D853" t="inlineStr">
        <is>
          <t>Eastspring - Japan Dynamic Fund</t>
        </is>
      </c>
      <c r="E853" t="inlineStr">
        <is>
          <t>Inv MM$</t>
        </is>
      </c>
      <c r="F853" t="n">
        <v>3.5e-05</v>
      </c>
    </row>
    <row r="854">
      <c r="A854" t="inlineStr">
        <is>
          <t>202512</t>
        </is>
      </c>
      <c r="B854" t="inlineStr">
        <is>
          <t>Comparación</t>
        </is>
      </c>
      <c r="C854" t="inlineStr">
        <is>
          <t>Integra</t>
        </is>
      </c>
      <c r="D854" t="inlineStr">
        <is>
          <t>Ecopetrol</t>
        </is>
      </c>
      <c r="E854" t="inlineStr">
        <is>
          <t>Huella</t>
        </is>
      </c>
      <c r="F854" t="n">
        <v>22876.541417</v>
      </c>
    </row>
    <row r="855">
      <c r="A855" t="inlineStr">
        <is>
          <t>202512</t>
        </is>
      </c>
      <c r="B855" t="inlineStr">
        <is>
          <t>Comparación</t>
        </is>
      </c>
      <c r="C855" t="inlineStr">
        <is>
          <t>Integra</t>
        </is>
      </c>
      <c r="D855" t="inlineStr">
        <is>
          <t>Ecopetrol</t>
        </is>
      </c>
      <c r="E855" t="inlineStr">
        <is>
          <t>Intensidad</t>
        </is>
      </c>
      <c r="F855" t="n">
        <v>6.842659</v>
      </c>
    </row>
    <row r="856">
      <c r="A856" t="inlineStr">
        <is>
          <t>202512</t>
        </is>
      </c>
      <c r="B856" t="inlineStr">
        <is>
          <t>Comparación</t>
        </is>
      </c>
      <c r="C856" t="inlineStr">
        <is>
          <t>Integra</t>
        </is>
      </c>
      <c r="D856" t="inlineStr">
        <is>
          <t>Ecopetrol</t>
        </is>
      </c>
      <c r="E856" t="inlineStr">
        <is>
          <t>Inv MM$</t>
        </is>
      </c>
      <c r="F856" t="n">
        <v>88.112088</v>
      </c>
    </row>
    <row r="857">
      <c r="A857" t="inlineStr">
        <is>
          <t>202512</t>
        </is>
      </c>
      <c r="B857" t="inlineStr">
        <is>
          <t>Comparación</t>
        </is>
      </c>
      <c r="C857" t="inlineStr">
        <is>
          <t>Integra</t>
        </is>
      </c>
      <c r="D857" t="inlineStr">
        <is>
          <t>Emp. Públicas Medellin</t>
        </is>
      </c>
      <c r="E857" t="inlineStr">
        <is>
          <t>Huella</t>
        </is>
      </c>
      <c r="F857" t="n">
        <v>1366.469735</v>
      </c>
    </row>
    <row r="858">
      <c r="A858" t="inlineStr">
        <is>
          <t>202512</t>
        </is>
      </c>
      <c r="B858" t="inlineStr">
        <is>
          <t>Comparación</t>
        </is>
      </c>
      <c r="C858" t="inlineStr">
        <is>
          <t>Integra</t>
        </is>
      </c>
      <c r="D858" t="inlineStr">
        <is>
          <t>Emp. Públicas Medellin</t>
        </is>
      </c>
      <c r="E858" t="inlineStr">
        <is>
          <t>Intensidad</t>
        </is>
      </c>
      <c r="F858" t="n">
        <v>0.360136</v>
      </c>
    </row>
    <row r="859">
      <c r="A859" t="inlineStr">
        <is>
          <t>202512</t>
        </is>
      </c>
      <c r="B859" t="inlineStr">
        <is>
          <t>Comparación</t>
        </is>
      </c>
      <c r="C859" t="inlineStr">
        <is>
          <t>Integra</t>
        </is>
      </c>
      <c r="D859" t="inlineStr">
        <is>
          <t>Emp. Públicas Medellin</t>
        </is>
      </c>
      <c r="E859" t="inlineStr">
        <is>
          <t>Inv MM$</t>
        </is>
      </c>
      <c r="F859" t="n">
        <v>41.877712</v>
      </c>
    </row>
    <row r="860">
      <c r="A860" t="inlineStr">
        <is>
          <t>202512</t>
        </is>
      </c>
      <c r="B860" t="inlineStr">
        <is>
          <t>Comparación</t>
        </is>
      </c>
      <c r="C860" t="inlineStr">
        <is>
          <t>Integra</t>
        </is>
      </c>
      <c r="D860" t="inlineStr">
        <is>
          <t>Ferreyros</t>
        </is>
      </c>
      <c r="E860" t="inlineStr">
        <is>
          <t>Huella</t>
        </is>
      </c>
      <c r="F860" t="n">
        <v>1174.875564</v>
      </c>
    </row>
    <row r="861">
      <c r="A861" t="inlineStr">
        <is>
          <t>202512</t>
        </is>
      </c>
      <c r="B861" t="inlineStr">
        <is>
          <t>Comparación</t>
        </is>
      </c>
      <c r="C861" t="inlineStr">
        <is>
          <t>Integra</t>
        </is>
      </c>
      <c r="D861" t="inlineStr">
        <is>
          <t>Ferreyros</t>
        </is>
      </c>
      <c r="E861" t="inlineStr">
        <is>
          <t>Intensidad</t>
        </is>
      </c>
      <c r="F861" t="n">
        <v>0.427015</v>
      </c>
    </row>
    <row r="862">
      <c r="A862" t="inlineStr">
        <is>
          <t>202512</t>
        </is>
      </c>
      <c r="B862" t="inlineStr">
        <is>
          <t>Comparación</t>
        </is>
      </c>
      <c r="C862" t="inlineStr">
        <is>
          <t>Integra</t>
        </is>
      </c>
      <c r="D862" t="inlineStr">
        <is>
          <t>Ferreyros</t>
        </is>
      </c>
      <c r="E862" t="inlineStr">
        <is>
          <t>Inv MM$</t>
        </is>
      </c>
      <c r="F862" t="n">
        <v>147.78309</v>
      </c>
    </row>
    <row r="863">
      <c r="A863" t="inlineStr">
        <is>
          <t>202512</t>
        </is>
      </c>
      <c r="B863" t="inlineStr">
        <is>
          <t>Comparación</t>
        </is>
      </c>
      <c r="C863" t="inlineStr">
        <is>
          <t>Integra</t>
        </is>
      </c>
      <c r="D863" t="inlineStr">
        <is>
          <t>Fidelity - European Dynamic Growth</t>
        </is>
      </c>
      <c r="E863" t="inlineStr">
        <is>
          <t>Huella</t>
        </is>
      </c>
      <c r="F863" t="n">
        <v>0.00102</v>
      </c>
    </row>
    <row r="864">
      <c r="A864" t="inlineStr">
        <is>
          <t>202512</t>
        </is>
      </c>
      <c r="B864" t="inlineStr">
        <is>
          <t>Comparación</t>
        </is>
      </c>
      <c r="C864" t="inlineStr">
        <is>
          <t>Integra</t>
        </is>
      </c>
      <c r="D864" t="inlineStr">
        <is>
          <t>Fidelity - European Dynamic Growth</t>
        </is>
      </c>
      <c r="E864" t="inlineStr">
        <is>
          <t>Intensidad</t>
        </is>
      </c>
      <c r="F864" t="n">
        <v>1e-06</v>
      </c>
    </row>
    <row r="865">
      <c r="A865" t="inlineStr">
        <is>
          <t>202512</t>
        </is>
      </c>
      <c r="B865" t="inlineStr">
        <is>
          <t>Comparación</t>
        </is>
      </c>
      <c r="C865" t="inlineStr">
        <is>
          <t>Integra</t>
        </is>
      </c>
      <c r="D865" t="inlineStr">
        <is>
          <t>Fidelity - European Dynamic Growth</t>
        </is>
      </c>
      <c r="E865" t="inlineStr">
        <is>
          <t>Inv MM$</t>
        </is>
      </c>
      <c r="F865" t="n">
        <v>5.5e-05</v>
      </c>
    </row>
    <row r="866">
      <c r="A866" t="inlineStr">
        <is>
          <t>202512</t>
        </is>
      </c>
      <c r="B866" t="inlineStr">
        <is>
          <t>Comparación</t>
        </is>
      </c>
      <c r="C866" t="inlineStr">
        <is>
          <t>Integra</t>
        </is>
      </c>
      <c r="D866" t="inlineStr">
        <is>
          <t>Global Evolution Funds - Frontier Markets Fund</t>
        </is>
      </c>
      <c r="E866" t="inlineStr">
        <is>
          <t>Huella</t>
        </is>
      </c>
      <c r="F866" t="n">
        <v>42.887843</v>
      </c>
    </row>
    <row r="867">
      <c r="A867" t="inlineStr">
        <is>
          <t>202512</t>
        </is>
      </c>
      <c r="B867" t="inlineStr">
        <is>
          <t>Comparación</t>
        </is>
      </c>
      <c r="C867" t="inlineStr">
        <is>
          <t>Integra</t>
        </is>
      </c>
      <c r="D867" t="inlineStr">
        <is>
          <t>Global Evolution Funds - Frontier Markets Fund</t>
        </is>
      </c>
      <c r="E867" t="inlineStr">
        <is>
          <t>Intensidad</t>
        </is>
      </c>
      <c r="F867" t="n">
        <v>0.01977</v>
      </c>
    </row>
    <row r="868">
      <c r="A868" t="inlineStr">
        <is>
          <t>202512</t>
        </is>
      </c>
      <c r="B868" t="inlineStr">
        <is>
          <t>Comparación</t>
        </is>
      </c>
      <c r="C868" t="inlineStr">
        <is>
          <t>Integra</t>
        </is>
      </c>
      <c r="D868" t="inlineStr">
        <is>
          <t>Global Evolution Funds - Frontier Markets Fund</t>
        </is>
      </c>
      <c r="E868" t="inlineStr">
        <is>
          <t>Inv MM$</t>
        </is>
      </c>
      <c r="F868" t="n">
        <v>66.830861</v>
      </c>
    </row>
    <row r="869">
      <c r="A869" t="inlineStr">
        <is>
          <t>202512</t>
        </is>
      </c>
      <c r="B869" t="inlineStr">
        <is>
          <t>Comparación</t>
        </is>
      </c>
      <c r="C869" t="inlineStr">
        <is>
          <t>Integra</t>
        </is>
      </c>
      <c r="D869" t="inlineStr">
        <is>
          <t>Global X - Argentina ETF</t>
        </is>
      </c>
      <c r="E869" t="inlineStr">
        <is>
          <t>Huella</t>
        </is>
      </c>
      <c r="F869" t="n">
        <v>405.242278</v>
      </c>
    </row>
    <row r="870">
      <c r="A870" t="inlineStr">
        <is>
          <t>202512</t>
        </is>
      </c>
      <c r="B870" t="inlineStr">
        <is>
          <t>Comparación</t>
        </is>
      </c>
      <c r="C870" t="inlineStr">
        <is>
          <t>Integra</t>
        </is>
      </c>
      <c r="D870" t="inlineStr">
        <is>
          <t>Global X - Argentina ETF</t>
        </is>
      </c>
      <c r="E870" t="inlineStr">
        <is>
          <t>Intensidad</t>
        </is>
      </c>
      <c r="F870" t="n">
        <v>0.426175</v>
      </c>
    </row>
    <row r="871">
      <c r="A871" t="inlineStr">
        <is>
          <t>202512</t>
        </is>
      </c>
      <c r="B871" t="inlineStr">
        <is>
          <t>Comparación</t>
        </is>
      </c>
      <c r="C871" t="inlineStr">
        <is>
          <t>Integra</t>
        </is>
      </c>
      <c r="D871" t="inlineStr">
        <is>
          <t>Global X - Argentina ETF</t>
        </is>
      </c>
      <c r="E871" t="inlineStr">
        <is>
          <t>Inv MM$</t>
        </is>
      </c>
      <c r="F871" t="n">
        <v>1.956801</v>
      </c>
    </row>
    <row r="872">
      <c r="A872" t="inlineStr">
        <is>
          <t>202512</t>
        </is>
      </c>
      <c r="B872" t="inlineStr">
        <is>
          <t>Comparación</t>
        </is>
      </c>
      <c r="C872" t="inlineStr">
        <is>
          <t>Integra</t>
        </is>
      </c>
      <c r="D872" t="inlineStr">
        <is>
          <t>Global X - Copper Miners ETF</t>
        </is>
      </c>
      <c r="E872" t="inlineStr">
        <is>
          <t>Huella</t>
        </is>
      </c>
      <c r="F872" t="n">
        <v>17056.139728</v>
      </c>
    </row>
    <row r="873">
      <c r="A873" t="inlineStr">
        <is>
          <t>202512</t>
        </is>
      </c>
      <c r="B873" t="inlineStr">
        <is>
          <t>Comparación</t>
        </is>
      </c>
      <c r="C873" t="inlineStr">
        <is>
          <t>Integra</t>
        </is>
      </c>
      <c r="D873" t="inlineStr">
        <is>
          <t>Global X - Copper Miners ETF</t>
        </is>
      </c>
      <c r="E873" t="inlineStr">
        <is>
          <t>Intensidad</t>
        </is>
      </c>
      <c r="F873" t="n">
        <v>4.981033</v>
      </c>
    </row>
    <row r="874">
      <c r="A874" t="inlineStr">
        <is>
          <t>202512</t>
        </is>
      </c>
      <c r="B874" t="inlineStr">
        <is>
          <t>Comparación</t>
        </is>
      </c>
      <c r="C874" t="inlineStr">
        <is>
          <t>Integra</t>
        </is>
      </c>
      <c r="D874" t="inlineStr">
        <is>
          <t>Global X - Copper Miners ETF</t>
        </is>
      </c>
      <c r="E874" t="inlineStr">
        <is>
          <t>Inv MM$</t>
        </is>
      </c>
      <c r="F874" t="n">
        <v>141.39001</v>
      </c>
    </row>
    <row r="875">
      <c r="A875" t="inlineStr">
        <is>
          <t>202512</t>
        </is>
      </c>
      <c r="B875" t="inlineStr">
        <is>
          <t>Comparación</t>
        </is>
      </c>
      <c r="C875" t="inlineStr">
        <is>
          <t>Integra</t>
        </is>
      </c>
      <c r="D875" t="inlineStr">
        <is>
          <t>Global X - Silvers Miners ETF</t>
        </is>
      </c>
      <c r="E875" t="inlineStr">
        <is>
          <t>Huella</t>
        </is>
      </c>
      <c r="F875" t="n">
        <v>2813.361764</v>
      </c>
    </row>
    <row r="876">
      <c r="A876" t="inlineStr">
        <is>
          <t>202512</t>
        </is>
      </c>
      <c r="B876" t="inlineStr">
        <is>
          <t>Comparación</t>
        </is>
      </c>
      <c r="C876" t="inlineStr">
        <is>
          <t>Integra</t>
        </is>
      </c>
      <c r="D876" t="inlineStr">
        <is>
          <t>Global X - Silvers Miners ETF</t>
        </is>
      </c>
      <c r="E876" t="inlineStr">
        <is>
          <t>Intensidad</t>
        </is>
      </c>
      <c r="F876" t="n">
        <v>1.094805</v>
      </c>
    </row>
    <row r="877">
      <c r="A877" t="inlineStr">
        <is>
          <t>202512</t>
        </is>
      </c>
      <c r="B877" t="inlineStr">
        <is>
          <t>Comparación</t>
        </is>
      </c>
      <c r="C877" t="inlineStr">
        <is>
          <t>Integra</t>
        </is>
      </c>
      <c r="D877" t="inlineStr">
        <is>
          <t>Global X - Silvers Miners ETF</t>
        </is>
      </c>
      <c r="E877" t="inlineStr">
        <is>
          <t>Inv MM$</t>
        </is>
      </c>
      <c r="F877" t="n">
        <v>42.514557</v>
      </c>
    </row>
    <row r="878">
      <c r="A878" t="inlineStr">
        <is>
          <t>202512</t>
        </is>
      </c>
      <c r="B878" t="inlineStr">
        <is>
          <t>Comparación</t>
        </is>
      </c>
      <c r="C878" t="inlineStr">
        <is>
          <t>Integra</t>
        </is>
      </c>
      <c r="D878" t="inlineStr">
        <is>
          <t>Global X - Uranium Miners ETF</t>
        </is>
      </c>
      <c r="E878" t="inlineStr">
        <is>
          <t>Huella</t>
        </is>
      </c>
      <c r="F878" t="n">
        <v>265.089985</v>
      </c>
    </row>
    <row r="879">
      <c r="A879" t="inlineStr">
        <is>
          <t>202512</t>
        </is>
      </c>
      <c r="B879" t="inlineStr">
        <is>
          <t>Comparación</t>
        </is>
      </c>
      <c r="C879" t="inlineStr">
        <is>
          <t>Integra</t>
        </is>
      </c>
      <c r="D879" t="inlineStr">
        <is>
          <t>Global X - Uranium Miners ETF</t>
        </is>
      </c>
      <c r="E879" t="inlineStr">
        <is>
          <t>Intensidad</t>
        </is>
      </c>
      <c r="F879" t="n">
        <v>0.278783</v>
      </c>
    </row>
    <row r="880">
      <c r="A880" t="inlineStr">
        <is>
          <t>202512</t>
        </is>
      </c>
      <c r="B880" t="inlineStr">
        <is>
          <t>Comparación</t>
        </is>
      </c>
      <c r="C880" t="inlineStr">
        <is>
          <t>Integra</t>
        </is>
      </c>
      <c r="D880" t="inlineStr">
        <is>
          <t>Global X - Uranium Miners ETF</t>
        </is>
      </c>
      <c r="E880" t="inlineStr">
        <is>
          <t>Inv MM$</t>
        </is>
      </c>
      <c r="F880" t="n">
        <v>3.85581</v>
      </c>
    </row>
    <row r="881">
      <c r="A881" t="inlineStr">
        <is>
          <t>202512</t>
        </is>
      </c>
      <c r="B881" t="inlineStr">
        <is>
          <t>Comparación</t>
        </is>
      </c>
      <c r="C881" t="inlineStr">
        <is>
          <t>Integra</t>
        </is>
      </c>
      <c r="D881" t="inlineStr">
        <is>
          <t>Goldman Sachs - Emerging Markets Corporate Debt</t>
        </is>
      </c>
      <c r="E881" t="inlineStr">
        <is>
          <t>Huella</t>
        </is>
      </c>
      <c r="F881" t="n">
        <v>0.048468</v>
      </c>
    </row>
    <row r="882">
      <c r="A882" t="inlineStr">
        <is>
          <t>202512</t>
        </is>
      </c>
      <c r="B882" t="inlineStr">
        <is>
          <t>Comparación</t>
        </is>
      </c>
      <c r="C882" t="inlineStr">
        <is>
          <t>Integra</t>
        </is>
      </c>
      <c r="D882" t="inlineStr">
        <is>
          <t>Goldman Sachs - Emerging Markets Corporate Debt</t>
        </is>
      </c>
      <c r="E882" t="inlineStr">
        <is>
          <t>Intensidad</t>
        </is>
      </c>
      <c r="F882" t="n">
        <v>2.2e-05</v>
      </c>
    </row>
    <row r="883">
      <c r="A883" t="inlineStr">
        <is>
          <t>202512</t>
        </is>
      </c>
      <c r="B883" t="inlineStr">
        <is>
          <t>Comparación</t>
        </is>
      </c>
      <c r="C883" t="inlineStr">
        <is>
          <t>Integra</t>
        </is>
      </c>
      <c r="D883" t="inlineStr">
        <is>
          <t>Goldman Sachs - Emerging Markets Corporate Debt</t>
        </is>
      </c>
      <c r="E883" t="inlineStr">
        <is>
          <t>Inv MM$</t>
        </is>
      </c>
      <c r="F883" t="n">
        <v>0.000137</v>
      </c>
    </row>
    <row r="884">
      <c r="A884" t="inlineStr">
        <is>
          <t>202512</t>
        </is>
      </c>
      <c r="B884" t="inlineStr">
        <is>
          <t>Comparación</t>
        </is>
      </c>
      <c r="C884" t="inlineStr">
        <is>
          <t>Integra</t>
        </is>
      </c>
      <c r="D884" t="inlineStr">
        <is>
          <t>Goldman Sachs - India Equity Portfolio</t>
        </is>
      </c>
      <c r="E884" t="inlineStr">
        <is>
          <t>Huella</t>
        </is>
      </c>
      <c r="F884" t="n">
        <v>1775.031755</v>
      </c>
    </row>
    <row r="885">
      <c r="A885" t="inlineStr">
        <is>
          <t>202512</t>
        </is>
      </c>
      <c r="B885" t="inlineStr">
        <is>
          <t>Comparación</t>
        </is>
      </c>
      <c r="C885" t="inlineStr">
        <is>
          <t>Integra</t>
        </is>
      </c>
      <c r="D885" t="inlineStr">
        <is>
          <t>Goldman Sachs - India Equity Portfolio</t>
        </is>
      </c>
      <c r="E885" t="inlineStr">
        <is>
          <t>Intensidad</t>
        </is>
      </c>
      <c r="F885" t="n">
        <v>0.4961</v>
      </c>
    </row>
    <row r="886">
      <c r="A886" t="inlineStr">
        <is>
          <t>202512</t>
        </is>
      </c>
      <c r="B886" t="inlineStr">
        <is>
          <t>Comparación</t>
        </is>
      </c>
      <c r="C886" t="inlineStr">
        <is>
          <t>Integra</t>
        </is>
      </c>
      <c r="D886" t="inlineStr">
        <is>
          <t>Goldman Sachs - India Equity Portfolio</t>
        </is>
      </c>
      <c r="E886" t="inlineStr">
        <is>
          <t>Inv MM$</t>
        </is>
      </c>
      <c r="F886" t="n">
        <v>13.835047</v>
      </c>
    </row>
    <row r="887">
      <c r="A887" t="inlineStr">
        <is>
          <t>202512</t>
        </is>
      </c>
      <c r="B887" t="inlineStr">
        <is>
          <t>Comparación</t>
        </is>
      </c>
      <c r="C887" t="inlineStr">
        <is>
          <t>Integra</t>
        </is>
      </c>
      <c r="D887" t="inlineStr">
        <is>
          <t>Groupama - Avenir Euro (Mid Small Caps)</t>
        </is>
      </c>
      <c r="E887" t="inlineStr">
        <is>
          <t>Huella</t>
        </is>
      </c>
      <c r="F887" t="n">
        <v>0.023524</v>
      </c>
    </row>
    <row r="888">
      <c r="A888" t="inlineStr">
        <is>
          <t>202512</t>
        </is>
      </c>
      <c r="B888" t="inlineStr">
        <is>
          <t>Comparación</t>
        </is>
      </c>
      <c r="C888" t="inlineStr">
        <is>
          <t>Integra</t>
        </is>
      </c>
      <c r="D888" t="inlineStr">
        <is>
          <t>Groupama - Avenir Euro (Mid Small Caps)</t>
        </is>
      </c>
      <c r="E888" t="inlineStr">
        <is>
          <t>Intensidad</t>
        </is>
      </c>
      <c r="F888" t="n">
        <v>1.3e-05</v>
      </c>
    </row>
    <row r="889">
      <c r="A889" t="inlineStr">
        <is>
          <t>202512</t>
        </is>
      </c>
      <c r="B889" t="inlineStr">
        <is>
          <t>Comparación</t>
        </is>
      </c>
      <c r="C889" t="inlineStr">
        <is>
          <t>Integra</t>
        </is>
      </c>
      <c r="D889" t="inlineStr">
        <is>
          <t>Groupama - Avenir Euro (Mid Small Caps)</t>
        </is>
      </c>
      <c r="E889" t="inlineStr">
        <is>
          <t>Inv MM$</t>
        </is>
      </c>
      <c r="F889" t="n">
        <v>0.002068</v>
      </c>
    </row>
    <row r="890">
      <c r="A890" t="inlineStr">
        <is>
          <t>202512</t>
        </is>
      </c>
      <c r="B890" t="inlineStr">
        <is>
          <t>Comparación</t>
        </is>
      </c>
      <c r="C890" t="inlineStr">
        <is>
          <t>Integra</t>
        </is>
      </c>
      <c r="D890" t="inlineStr">
        <is>
          <t>InRetail Peru</t>
        </is>
      </c>
      <c r="E890" t="inlineStr">
        <is>
          <t>Huella</t>
        </is>
      </c>
      <c r="F890" t="n">
        <v>2735.25731</v>
      </c>
    </row>
    <row r="891">
      <c r="A891" t="inlineStr">
        <is>
          <t>202512</t>
        </is>
      </c>
      <c r="B891" t="inlineStr">
        <is>
          <t>Comparación</t>
        </is>
      </c>
      <c r="C891" t="inlineStr">
        <is>
          <t>Integra</t>
        </is>
      </c>
      <c r="D891" t="inlineStr">
        <is>
          <t>InRetail Peru</t>
        </is>
      </c>
      <c r="E891" t="inlineStr">
        <is>
          <t>Intensidad</t>
        </is>
      </c>
      <c r="F891" t="n">
        <v>0.795172</v>
      </c>
    </row>
    <row r="892">
      <c r="A892" t="inlineStr">
        <is>
          <t>202512</t>
        </is>
      </c>
      <c r="B892" t="inlineStr">
        <is>
          <t>Comparación</t>
        </is>
      </c>
      <c r="C892" t="inlineStr">
        <is>
          <t>Integra</t>
        </is>
      </c>
      <c r="D892" t="inlineStr">
        <is>
          <t>InRetail Peru</t>
        </is>
      </c>
      <c r="E892" t="inlineStr">
        <is>
          <t>Inv MM$</t>
        </is>
      </c>
      <c r="F892" t="n">
        <v>128.717991</v>
      </c>
    </row>
    <row r="893">
      <c r="A893" t="inlineStr">
        <is>
          <t>202512</t>
        </is>
      </c>
      <c r="B893" t="inlineStr">
        <is>
          <t>Comparación</t>
        </is>
      </c>
      <c r="C893" t="inlineStr">
        <is>
          <t>Integra</t>
        </is>
      </c>
      <c r="D893" t="inlineStr">
        <is>
          <t>Intergroup</t>
        </is>
      </c>
      <c r="E893" t="inlineStr">
        <is>
          <t>Huella</t>
        </is>
      </c>
      <c r="F893" t="n">
        <v>68.68666899999999</v>
      </c>
    </row>
    <row r="894">
      <c r="A894" t="inlineStr">
        <is>
          <t>202512</t>
        </is>
      </c>
      <c r="B894" t="inlineStr">
        <is>
          <t>Comparación</t>
        </is>
      </c>
      <c r="C894" t="inlineStr">
        <is>
          <t>Integra</t>
        </is>
      </c>
      <c r="D894" t="inlineStr">
        <is>
          <t>Intergroup</t>
        </is>
      </c>
      <c r="E894" t="inlineStr">
        <is>
          <t>Intensidad</t>
        </is>
      </c>
      <c r="F894" t="n">
        <v>0.012586</v>
      </c>
    </row>
    <row r="895">
      <c r="A895" t="inlineStr">
        <is>
          <t>202512</t>
        </is>
      </c>
      <c r="B895" t="inlineStr">
        <is>
          <t>Comparación</t>
        </is>
      </c>
      <c r="C895" t="inlineStr">
        <is>
          <t>Integra</t>
        </is>
      </c>
      <c r="D895" t="inlineStr">
        <is>
          <t>Intergroup</t>
        </is>
      </c>
      <c r="E895" t="inlineStr">
        <is>
          <t>Inv MM$</t>
        </is>
      </c>
      <c r="F895" t="n">
        <v>96.741788</v>
      </c>
    </row>
    <row r="896">
      <c r="A896" t="inlineStr">
        <is>
          <t>202512</t>
        </is>
      </c>
      <c r="B896" t="inlineStr">
        <is>
          <t>Comparación</t>
        </is>
      </c>
      <c r="C896" t="inlineStr">
        <is>
          <t>Integra</t>
        </is>
      </c>
      <c r="D896" t="inlineStr">
        <is>
          <t>Invesco  - Euro Equity Fund</t>
        </is>
      </c>
      <c r="E896" t="inlineStr">
        <is>
          <t>Huella</t>
        </is>
      </c>
      <c r="F896" t="n">
        <v>0.001445</v>
      </c>
    </row>
    <row r="897">
      <c r="A897" t="inlineStr">
        <is>
          <t>202512</t>
        </is>
      </c>
      <c r="B897" t="inlineStr">
        <is>
          <t>Comparación</t>
        </is>
      </c>
      <c r="C897" t="inlineStr">
        <is>
          <t>Integra</t>
        </is>
      </c>
      <c r="D897" t="inlineStr">
        <is>
          <t>Invesco  - Euro Equity Fund</t>
        </is>
      </c>
      <c r="E897" t="inlineStr">
        <is>
          <t>Intensidad</t>
        </is>
      </c>
      <c r="F897" t="n">
        <v>0</v>
      </c>
    </row>
    <row r="898">
      <c r="A898" t="inlineStr">
        <is>
          <t>202512</t>
        </is>
      </c>
      <c r="B898" t="inlineStr">
        <is>
          <t>Comparación</t>
        </is>
      </c>
      <c r="C898" t="inlineStr">
        <is>
          <t>Integra</t>
        </is>
      </c>
      <c r="D898" t="inlineStr">
        <is>
          <t>Invesco  - Euro Equity Fund</t>
        </is>
      </c>
      <c r="E898" t="inlineStr">
        <is>
          <t>Inv MM$</t>
        </is>
      </c>
      <c r="F898" t="n">
        <v>2.2e-05</v>
      </c>
    </row>
    <row r="899">
      <c r="A899" t="inlineStr">
        <is>
          <t>202512</t>
        </is>
      </c>
      <c r="B899" t="inlineStr">
        <is>
          <t>Comparación</t>
        </is>
      </c>
      <c r="C899" t="inlineStr">
        <is>
          <t>Integra</t>
        </is>
      </c>
      <c r="D899" t="inlineStr">
        <is>
          <t>Invesco - Power Shares QQQ</t>
        </is>
      </c>
      <c r="E899" t="inlineStr">
        <is>
          <t>Huella</t>
        </is>
      </c>
      <c r="F899" t="n">
        <v>74.537492</v>
      </c>
    </row>
    <row r="900">
      <c r="A900" t="inlineStr">
        <is>
          <t>202512</t>
        </is>
      </c>
      <c r="B900" t="inlineStr">
        <is>
          <t>Comparación</t>
        </is>
      </c>
      <c r="C900" t="inlineStr">
        <is>
          <t>Integra</t>
        </is>
      </c>
      <c r="D900" t="inlineStr">
        <is>
          <t>Invesco - Power Shares QQQ</t>
        </is>
      </c>
      <c r="E900" t="inlineStr">
        <is>
          <t>Intensidad</t>
        </is>
      </c>
      <c r="F900" t="n">
        <v>0.05521</v>
      </c>
    </row>
    <row r="901">
      <c r="A901" t="inlineStr">
        <is>
          <t>202512</t>
        </is>
      </c>
      <c r="B901" t="inlineStr">
        <is>
          <t>Comparación</t>
        </is>
      </c>
      <c r="C901" t="inlineStr">
        <is>
          <t>Integra</t>
        </is>
      </c>
      <c r="D901" t="inlineStr">
        <is>
          <t>Invesco - Power Shares QQQ</t>
        </is>
      </c>
      <c r="E901" t="inlineStr">
        <is>
          <t>Inv MM$</t>
        </is>
      </c>
      <c r="F901" t="n">
        <v>8.10458</v>
      </c>
    </row>
    <row r="902">
      <c r="A902" t="inlineStr">
        <is>
          <t>202512</t>
        </is>
      </c>
      <c r="B902" t="inlineStr">
        <is>
          <t>Comparación</t>
        </is>
      </c>
      <c r="C902" t="inlineStr">
        <is>
          <t>Integra</t>
        </is>
      </c>
      <c r="D902" t="inlineStr">
        <is>
          <t>JP Morgan - Japan Equity Fund - C</t>
        </is>
      </c>
      <c r="E902" t="inlineStr">
        <is>
          <t>Huella</t>
        </is>
      </c>
      <c r="F902" t="n">
        <v>1110.85061</v>
      </c>
    </row>
    <row r="903">
      <c r="A903" t="inlineStr">
        <is>
          <t>202512</t>
        </is>
      </c>
      <c r="B903" t="inlineStr">
        <is>
          <t>Comparación</t>
        </is>
      </c>
      <c r="C903" t="inlineStr">
        <is>
          <t>Integra</t>
        </is>
      </c>
      <c r="D903" t="inlineStr">
        <is>
          <t>JP Morgan - Japan Equity Fund - C</t>
        </is>
      </c>
      <c r="E903" t="inlineStr">
        <is>
          <t>Intensidad</t>
        </is>
      </c>
      <c r="F903" t="n">
        <v>0.375171</v>
      </c>
    </row>
    <row r="904">
      <c r="A904" t="inlineStr">
        <is>
          <t>202512</t>
        </is>
      </c>
      <c r="B904" t="inlineStr">
        <is>
          <t>Comparación</t>
        </is>
      </c>
      <c r="C904" t="inlineStr">
        <is>
          <t>Integra</t>
        </is>
      </c>
      <c r="D904" t="inlineStr">
        <is>
          <t>JP Morgan - Japan Equity Fund - C</t>
        </is>
      </c>
      <c r="E904" t="inlineStr">
        <is>
          <t>Inv MM$</t>
        </is>
      </c>
      <c r="F904" t="n">
        <v>48.854136</v>
      </c>
    </row>
    <row r="905">
      <c r="A905" t="inlineStr">
        <is>
          <t>202512</t>
        </is>
      </c>
      <c r="B905" t="inlineStr">
        <is>
          <t>Comparación</t>
        </is>
      </c>
      <c r="C905" t="inlineStr">
        <is>
          <t>Integra</t>
        </is>
      </c>
      <c r="D905" t="inlineStr">
        <is>
          <t>JP Morgan - Korea Equity Fund</t>
        </is>
      </c>
      <c r="E905" t="inlineStr">
        <is>
          <t>Huella</t>
        </is>
      </c>
      <c r="F905" t="n">
        <v>2849.651127</v>
      </c>
    </row>
    <row r="906">
      <c r="A906" t="inlineStr">
        <is>
          <t>202512</t>
        </is>
      </c>
      <c r="B906" t="inlineStr">
        <is>
          <t>Comparación</t>
        </is>
      </c>
      <c r="C906" t="inlineStr">
        <is>
          <t>Integra</t>
        </is>
      </c>
      <c r="D906" t="inlineStr">
        <is>
          <t>JP Morgan - Korea Equity Fund</t>
        </is>
      </c>
      <c r="E906" t="inlineStr">
        <is>
          <t>Intensidad</t>
        </is>
      </c>
      <c r="F906" t="n">
        <v>0.919449</v>
      </c>
    </row>
    <row r="907">
      <c r="A907" t="inlineStr">
        <is>
          <t>202512</t>
        </is>
      </c>
      <c r="B907" t="inlineStr">
        <is>
          <t>Comparación</t>
        </is>
      </c>
      <c r="C907" t="inlineStr">
        <is>
          <t>Integra</t>
        </is>
      </c>
      <c r="D907" t="inlineStr">
        <is>
          <t>JP Morgan - Korea Equity Fund</t>
        </is>
      </c>
      <c r="E907" t="inlineStr">
        <is>
          <t>Inv MM$</t>
        </is>
      </c>
      <c r="F907" t="n">
        <v>16.435207</v>
      </c>
    </row>
    <row r="908">
      <c r="A908" t="inlineStr">
        <is>
          <t>202512</t>
        </is>
      </c>
      <c r="B908" t="inlineStr">
        <is>
          <t>Comparación</t>
        </is>
      </c>
      <c r="C908" t="inlineStr">
        <is>
          <t>Integra</t>
        </is>
      </c>
      <c r="D908" t="inlineStr">
        <is>
          <t>Joh Berenberg - European Focus Fund</t>
        </is>
      </c>
      <c r="E908" t="inlineStr">
        <is>
          <t>Huella</t>
        </is>
      </c>
      <c r="F908" t="n">
        <v>0.018838</v>
      </c>
    </row>
    <row r="909">
      <c r="A909" t="inlineStr">
        <is>
          <t>202512</t>
        </is>
      </c>
      <c r="B909" t="inlineStr">
        <is>
          <t>Comparación</t>
        </is>
      </c>
      <c r="C909" t="inlineStr">
        <is>
          <t>Integra</t>
        </is>
      </c>
      <c r="D909" t="inlineStr">
        <is>
          <t>Joh Berenberg - European Focus Fund</t>
        </is>
      </c>
      <c r="E909" t="inlineStr">
        <is>
          <t>Intensidad</t>
        </is>
      </c>
      <c r="F909" t="n">
        <v>1.1e-05</v>
      </c>
    </row>
    <row r="910">
      <c r="A910" t="inlineStr">
        <is>
          <t>202512</t>
        </is>
      </c>
      <c r="B910" t="inlineStr">
        <is>
          <t>Comparación</t>
        </is>
      </c>
      <c r="C910" t="inlineStr">
        <is>
          <t>Integra</t>
        </is>
      </c>
      <c r="D910" t="inlineStr">
        <is>
          <t>Joh Berenberg - European Focus Fund</t>
        </is>
      </c>
      <c r="E910" t="inlineStr">
        <is>
          <t>Inv MM$</t>
        </is>
      </c>
      <c r="F910" t="n">
        <v>0.00053</v>
      </c>
    </row>
    <row r="911">
      <c r="A911" t="inlineStr">
        <is>
          <t>202512</t>
        </is>
      </c>
      <c r="B911" t="inlineStr">
        <is>
          <t>Comparación</t>
        </is>
      </c>
      <c r="C911" t="inlineStr">
        <is>
          <t>Integra</t>
        </is>
      </c>
      <c r="D911" t="inlineStr">
        <is>
          <t>Krane - CSI China Internet Fund</t>
        </is>
      </c>
      <c r="E911" t="inlineStr">
        <is>
          <t>Huella</t>
        </is>
      </c>
      <c r="F911" t="n">
        <v>299.406294</v>
      </c>
    </row>
    <row r="912">
      <c r="A912" t="inlineStr">
        <is>
          <t>202512</t>
        </is>
      </c>
      <c r="B912" t="inlineStr">
        <is>
          <t>Comparación</t>
        </is>
      </c>
      <c r="C912" t="inlineStr">
        <is>
          <t>Integra</t>
        </is>
      </c>
      <c r="D912" t="inlineStr">
        <is>
          <t>Krane - CSI China Internet Fund</t>
        </is>
      </c>
      <c r="E912" t="inlineStr">
        <is>
          <t>Intensidad</t>
        </is>
      </c>
      <c r="F912" t="n">
        <v>0.091763</v>
      </c>
    </row>
    <row r="913">
      <c r="A913" t="inlineStr">
        <is>
          <t>202512</t>
        </is>
      </c>
      <c r="B913" t="inlineStr">
        <is>
          <t>Comparación</t>
        </is>
      </c>
      <c r="C913" t="inlineStr">
        <is>
          <t>Integra</t>
        </is>
      </c>
      <c r="D913" t="inlineStr">
        <is>
          <t>Krane - CSI China Internet Fund</t>
        </is>
      </c>
      <c r="E913" t="inlineStr">
        <is>
          <t>Inv MM$</t>
        </is>
      </c>
      <c r="F913" t="n">
        <v>42.233421</v>
      </c>
    </row>
    <row r="914">
      <c r="A914" t="inlineStr">
        <is>
          <t>202512</t>
        </is>
      </c>
      <c r="B914" t="inlineStr">
        <is>
          <t>Comparación</t>
        </is>
      </c>
      <c r="C914" t="inlineStr">
        <is>
          <t>Integra</t>
        </is>
      </c>
      <c r="D914" t="inlineStr">
        <is>
          <t>Lazard - Convertible Global Fund</t>
        </is>
      </c>
      <c r="E914" t="inlineStr">
        <is>
          <t>Huella</t>
        </is>
      </c>
      <c r="F914" t="n">
        <v>0.118423</v>
      </c>
    </row>
    <row r="915">
      <c r="A915" t="inlineStr">
        <is>
          <t>202512</t>
        </is>
      </c>
      <c r="B915" t="inlineStr">
        <is>
          <t>Comparación</t>
        </is>
      </c>
      <c r="C915" t="inlineStr">
        <is>
          <t>Integra</t>
        </is>
      </c>
      <c r="D915" t="inlineStr">
        <is>
          <t>Lazard - Convertible Global Fund</t>
        </is>
      </c>
      <c r="E915" t="inlineStr">
        <is>
          <t>Intensidad</t>
        </is>
      </c>
      <c r="F915" t="n">
        <v>5.5e-05</v>
      </c>
    </row>
    <row r="916">
      <c r="A916" t="inlineStr">
        <is>
          <t>202512</t>
        </is>
      </c>
      <c r="B916" t="inlineStr">
        <is>
          <t>Comparación</t>
        </is>
      </c>
      <c r="C916" t="inlineStr">
        <is>
          <t>Integra</t>
        </is>
      </c>
      <c r="D916" t="inlineStr">
        <is>
          <t>Lazard - Convertible Global Fund</t>
        </is>
      </c>
      <c r="E916" t="inlineStr">
        <is>
          <t>Inv MM$</t>
        </is>
      </c>
      <c r="F916" t="n">
        <v>0.001688</v>
      </c>
    </row>
    <row r="917">
      <c r="A917" t="inlineStr">
        <is>
          <t>202512</t>
        </is>
      </c>
      <c r="B917" t="inlineStr">
        <is>
          <t>Comparación</t>
        </is>
      </c>
      <c r="C917" t="inlineStr">
        <is>
          <t>Integra</t>
        </is>
      </c>
      <c r="D917" t="inlineStr">
        <is>
          <t>Lazard - Japanese Strategic Equity</t>
        </is>
      </c>
      <c r="E917" t="inlineStr">
        <is>
          <t>Huella</t>
        </is>
      </c>
      <c r="F917" t="n">
        <v>654.47027</v>
      </c>
    </row>
    <row r="918">
      <c r="A918" t="inlineStr">
        <is>
          <t>202512</t>
        </is>
      </c>
      <c r="B918" t="inlineStr">
        <is>
          <t>Comparación</t>
        </is>
      </c>
      <c r="C918" t="inlineStr">
        <is>
          <t>Integra</t>
        </is>
      </c>
      <c r="D918" t="inlineStr">
        <is>
          <t>Lazard - Japanese Strategic Equity</t>
        </is>
      </c>
      <c r="E918" t="inlineStr">
        <is>
          <t>Intensidad</t>
        </is>
      </c>
      <c r="F918" t="n">
        <v>0.08487599999999999</v>
      </c>
    </row>
    <row r="919">
      <c r="A919" t="inlineStr">
        <is>
          <t>202512</t>
        </is>
      </c>
      <c r="B919" t="inlineStr">
        <is>
          <t>Comparación</t>
        </is>
      </c>
      <c r="C919" t="inlineStr">
        <is>
          <t>Integra</t>
        </is>
      </c>
      <c r="D919" t="inlineStr">
        <is>
          <t>Lazard - Japanese Strategic Equity</t>
        </is>
      </c>
      <c r="E919" t="inlineStr">
        <is>
          <t>Inv MM$</t>
        </is>
      </c>
      <c r="F919" t="n">
        <v>11.433162</v>
      </c>
    </row>
    <row r="920">
      <c r="A920" t="inlineStr">
        <is>
          <t>202512</t>
        </is>
      </c>
      <c r="B920" t="inlineStr">
        <is>
          <t>Comparación</t>
        </is>
      </c>
      <c r="C920" t="inlineStr">
        <is>
          <t>Integra</t>
        </is>
      </c>
      <c r="D920" t="inlineStr">
        <is>
          <t>Lazard Capital Fi</t>
        </is>
      </c>
      <c r="E920" t="inlineStr">
        <is>
          <t>Huella</t>
        </is>
      </c>
      <c r="F920" t="n">
        <v>0.138765</v>
      </c>
    </row>
    <row r="921">
      <c r="A921" t="inlineStr">
        <is>
          <t>202512</t>
        </is>
      </c>
      <c r="B921" t="inlineStr">
        <is>
          <t>Comparación</t>
        </is>
      </c>
      <c r="C921" t="inlineStr">
        <is>
          <t>Integra</t>
        </is>
      </c>
      <c r="D921" t="inlineStr">
        <is>
          <t>Lazard Capital Fi</t>
        </is>
      </c>
      <c r="E921" t="inlineStr">
        <is>
          <t>Intensidad</t>
        </is>
      </c>
      <c r="F921" t="n">
        <v>3.4e-05</v>
      </c>
    </row>
    <row r="922">
      <c r="A922" t="inlineStr">
        <is>
          <t>202512</t>
        </is>
      </c>
      <c r="B922" t="inlineStr">
        <is>
          <t>Comparación</t>
        </is>
      </c>
      <c r="C922" t="inlineStr">
        <is>
          <t>Integra</t>
        </is>
      </c>
      <c r="D922" t="inlineStr">
        <is>
          <t>Lazard Capital Fi</t>
        </is>
      </c>
      <c r="E922" t="inlineStr">
        <is>
          <t>Inv MM$</t>
        </is>
      </c>
      <c r="F922" t="n">
        <v>0.049602</v>
      </c>
    </row>
    <row r="923">
      <c r="A923" t="inlineStr">
        <is>
          <t>202512</t>
        </is>
      </c>
      <c r="B923" t="inlineStr">
        <is>
          <t>Comparación</t>
        </is>
      </c>
      <c r="C923" t="inlineStr">
        <is>
          <t>Integra</t>
        </is>
      </c>
      <c r="D923" t="inlineStr">
        <is>
          <t>Liontrust - Liontrust European Dynamic Fund S</t>
        </is>
      </c>
      <c r="E923" t="inlineStr">
        <is>
          <t>Huella</t>
        </is>
      </c>
      <c r="F923" t="n">
        <v>0.001447</v>
      </c>
    </row>
    <row r="924">
      <c r="A924" t="inlineStr">
        <is>
          <t>202512</t>
        </is>
      </c>
      <c r="B924" t="inlineStr">
        <is>
          <t>Comparación</t>
        </is>
      </c>
      <c r="C924" t="inlineStr">
        <is>
          <t>Integra</t>
        </is>
      </c>
      <c r="D924" t="inlineStr">
        <is>
          <t>Liontrust - Liontrust European Dynamic Fund S</t>
        </is>
      </c>
      <c r="E924" t="inlineStr">
        <is>
          <t>Intensidad</t>
        </is>
      </c>
      <c r="F924" t="n">
        <v>1e-06</v>
      </c>
    </row>
    <row r="925">
      <c r="A925" t="inlineStr">
        <is>
          <t>202512</t>
        </is>
      </c>
      <c r="B925" t="inlineStr">
        <is>
          <t>Comparación</t>
        </is>
      </c>
      <c r="C925" t="inlineStr">
        <is>
          <t>Integra</t>
        </is>
      </c>
      <c r="D925" t="inlineStr">
        <is>
          <t>Liontrust - Liontrust European Dynamic Fund S</t>
        </is>
      </c>
      <c r="E925" t="inlineStr">
        <is>
          <t>Inv MM$</t>
        </is>
      </c>
      <c r="F925" t="n">
        <v>7e-06</v>
      </c>
    </row>
    <row r="926">
      <c r="A926" t="inlineStr">
        <is>
          <t>202512</t>
        </is>
      </c>
      <c r="B926" t="inlineStr">
        <is>
          <t>Comparación</t>
        </is>
      </c>
      <c r="C926" t="inlineStr">
        <is>
          <t>Integra</t>
        </is>
      </c>
      <c r="D926" t="inlineStr">
        <is>
          <t>Man GLG - Continental European Growth</t>
        </is>
      </c>
      <c r="E926" t="inlineStr">
        <is>
          <t>Huella</t>
        </is>
      </c>
      <c r="F926" t="n">
        <v>0.00219</v>
      </c>
    </row>
    <row r="927">
      <c r="A927" t="inlineStr">
        <is>
          <t>202512</t>
        </is>
      </c>
      <c r="B927" t="inlineStr">
        <is>
          <t>Comparación</t>
        </is>
      </c>
      <c r="C927" t="inlineStr">
        <is>
          <t>Integra</t>
        </is>
      </c>
      <c r="D927" t="inlineStr">
        <is>
          <t>Man GLG - Continental European Growth</t>
        </is>
      </c>
      <c r="E927" t="inlineStr">
        <is>
          <t>Intensidad</t>
        </is>
      </c>
      <c r="F927" t="n">
        <v>2e-06</v>
      </c>
    </row>
    <row r="928">
      <c r="A928" t="inlineStr">
        <is>
          <t>202512</t>
        </is>
      </c>
      <c r="B928" t="inlineStr">
        <is>
          <t>Comparación</t>
        </is>
      </c>
      <c r="C928" t="inlineStr">
        <is>
          <t>Integra</t>
        </is>
      </c>
      <c r="D928" t="inlineStr">
        <is>
          <t>Man GLG - Continental European Growth</t>
        </is>
      </c>
      <c r="E928" t="inlineStr">
        <is>
          <t>Inv MM$</t>
        </is>
      </c>
      <c r="F928" t="n">
        <v>3.1e-05</v>
      </c>
    </row>
    <row r="929">
      <c r="A929" t="inlineStr">
        <is>
          <t>202512</t>
        </is>
      </c>
      <c r="B929" t="inlineStr">
        <is>
          <t>Comparación</t>
        </is>
      </c>
      <c r="C929" t="inlineStr">
        <is>
          <t>Integra</t>
        </is>
      </c>
      <c r="D929" t="inlineStr">
        <is>
          <t>Mi Vivienda</t>
        </is>
      </c>
      <c r="E929" t="inlineStr">
        <is>
          <t>Huella</t>
        </is>
      </c>
      <c r="F929" t="n">
        <v>1.984238</v>
      </c>
    </row>
    <row r="930">
      <c r="A930" t="inlineStr">
        <is>
          <t>202512</t>
        </is>
      </c>
      <c r="B930" t="inlineStr">
        <is>
          <t>Comparación</t>
        </is>
      </c>
      <c r="C930" t="inlineStr">
        <is>
          <t>Integra</t>
        </is>
      </c>
      <c r="D930" t="inlineStr">
        <is>
          <t>Mi Vivienda</t>
        </is>
      </c>
      <c r="E930" t="inlineStr">
        <is>
          <t>Intensidad</t>
        </is>
      </c>
      <c r="F930" t="n">
        <v>0.000257</v>
      </c>
    </row>
    <row r="931">
      <c r="A931" t="inlineStr">
        <is>
          <t>202512</t>
        </is>
      </c>
      <c r="B931" t="inlineStr">
        <is>
          <t>Comparación</t>
        </is>
      </c>
      <c r="C931" t="inlineStr">
        <is>
          <t>Integra</t>
        </is>
      </c>
      <c r="D931" t="inlineStr">
        <is>
          <t>Mi Vivienda</t>
        </is>
      </c>
      <c r="E931" t="inlineStr">
        <is>
          <t>Inv MM$</t>
        </is>
      </c>
      <c r="F931" t="n">
        <v>6.400767</v>
      </c>
    </row>
    <row r="932">
      <c r="A932" t="inlineStr">
        <is>
          <t>202512</t>
        </is>
      </c>
      <c r="B932" t="inlineStr">
        <is>
          <t>Comparación</t>
        </is>
      </c>
      <c r="C932" t="inlineStr">
        <is>
          <t>Integra</t>
        </is>
      </c>
      <c r="D932" t="inlineStr">
        <is>
          <t>Minsur</t>
        </is>
      </c>
      <c r="E932" t="inlineStr">
        <is>
          <t>Huella</t>
        </is>
      </c>
      <c r="F932" t="n">
        <v>32820.346895</v>
      </c>
    </row>
    <row r="933">
      <c r="A933" t="inlineStr">
        <is>
          <t>202512</t>
        </is>
      </c>
      <c r="B933" t="inlineStr">
        <is>
          <t>Comparación</t>
        </is>
      </c>
      <c r="C933" t="inlineStr">
        <is>
          <t>Integra</t>
        </is>
      </c>
      <c r="D933" t="inlineStr">
        <is>
          <t>Minsur</t>
        </is>
      </c>
      <c r="E933" t="inlineStr">
        <is>
          <t>Intensidad</t>
        </is>
      </c>
      <c r="F933" t="n">
        <v>10.610857</v>
      </c>
    </row>
    <row r="934">
      <c r="A934" t="inlineStr">
        <is>
          <t>202512</t>
        </is>
      </c>
      <c r="B934" t="inlineStr">
        <is>
          <t>Comparación</t>
        </is>
      </c>
      <c r="C934" t="inlineStr">
        <is>
          <t>Integra</t>
        </is>
      </c>
      <c r="D934" t="inlineStr">
        <is>
          <t>Minsur</t>
        </is>
      </c>
      <c r="E934" t="inlineStr">
        <is>
          <t>Inv MM$</t>
        </is>
      </c>
      <c r="F934" t="n">
        <v>287.393581</v>
      </c>
    </row>
    <row r="935">
      <c r="A935" t="inlineStr">
        <is>
          <t>202512</t>
        </is>
      </c>
      <c r="B935" t="inlineStr">
        <is>
          <t>Comparación</t>
        </is>
      </c>
      <c r="C935" t="inlineStr">
        <is>
          <t>Integra</t>
        </is>
      </c>
      <c r="D935" t="inlineStr">
        <is>
          <t>Nexa Resources</t>
        </is>
      </c>
      <c r="E935" t="inlineStr">
        <is>
          <t>Huella</t>
        </is>
      </c>
      <c r="F935" t="n">
        <v>8520.716504</v>
      </c>
    </row>
    <row r="936">
      <c r="A936" t="inlineStr">
        <is>
          <t>202512</t>
        </is>
      </c>
      <c r="B936" t="inlineStr">
        <is>
          <t>Comparación</t>
        </is>
      </c>
      <c r="C936" t="inlineStr">
        <is>
          <t>Integra</t>
        </is>
      </c>
      <c r="D936" t="inlineStr">
        <is>
          <t>Nexa Resources</t>
        </is>
      </c>
      <c r="E936" t="inlineStr">
        <is>
          <t>Intensidad</t>
        </is>
      </c>
      <c r="F936" t="n">
        <v>3.028758</v>
      </c>
    </row>
    <row r="937">
      <c r="A937" t="inlineStr">
        <is>
          <t>202512</t>
        </is>
      </c>
      <c r="B937" t="inlineStr">
        <is>
          <t>Comparación</t>
        </is>
      </c>
      <c r="C937" t="inlineStr">
        <is>
          <t>Integra</t>
        </is>
      </c>
      <c r="D937" t="inlineStr">
        <is>
          <t>Nexa Resources</t>
        </is>
      </c>
      <c r="E937" t="inlineStr">
        <is>
          <t>Inv MM$</t>
        </is>
      </c>
      <c r="F937" t="n">
        <v>39.768116</v>
      </c>
    </row>
    <row r="938">
      <c r="A938" t="inlineStr">
        <is>
          <t>202512</t>
        </is>
      </c>
      <c r="B938" t="inlineStr">
        <is>
          <t>Comparación</t>
        </is>
      </c>
      <c r="C938" t="inlineStr">
        <is>
          <t>Integra</t>
        </is>
      </c>
      <c r="D938" t="inlineStr">
        <is>
          <t>Nexa Resources Perú</t>
        </is>
      </c>
      <c r="E938" t="inlineStr">
        <is>
          <t>Huella</t>
        </is>
      </c>
      <c r="F938" t="n">
        <v>21040.972463</v>
      </c>
    </row>
    <row r="939">
      <c r="A939" t="inlineStr">
        <is>
          <t>202512</t>
        </is>
      </c>
      <c r="B939" t="inlineStr">
        <is>
          <t>Comparación</t>
        </is>
      </c>
      <c r="C939" t="inlineStr">
        <is>
          <t>Integra</t>
        </is>
      </c>
      <c r="D939" t="inlineStr">
        <is>
          <t>Nexa Resources Perú</t>
        </is>
      </c>
      <c r="E939" t="inlineStr">
        <is>
          <t>Intensidad</t>
        </is>
      </c>
      <c r="F939" t="n">
        <v>5.470544</v>
      </c>
    </row>
    <row r="940">
      <c r="A940" t="inlineStr">
        <is>
          <t>202512</t>
        </is>
      </c>
      <c r="B940" t="inlineStr">
        <is>
          <t>Comparación</t>
        </is>
      </c>
      <c r="C940" t="inlineStr">
        <is>
          <t>Integra</t>
        </is>
      </c>
      <c r="D940" t="inlineStr">
        <is>
          <t>Nexa Resources Perú</t>
        </is>
      </c>
      <c r="E940" t="inlineStr">
        <is>
          <t>Inv MM$</t>
        </is>
      </c>
      <c r="F940" t="n">
        <v>75.738715</v>
      </c>
    </row>
    <row r="941">
      <c r="A941" t="inlineStr">
        <is>
          <t>202512</t>
        </is>
      </c>
      <c r="B941" t="inlineStr">
        <is>
          <t>Comparación</t>
        </is>
      </c>
      <c r="C941" t="inlineStr">
        <is>
          <t>Integra</t>
        </is>
      </c>
      <c r="D941" t="inlineStr">
        <is>
          <t>Nomura - US High Yield Bond Fund</t>
        </is>
      </c>
      <c r="E941" t="inlineStr">
        <is>
          <t>Huella</t>
        </is>
      </c>
      <c r="F941" t="n">
        <v>0.118695</v>
      </c>
    </row>
    <row r="942">
      <c r="A942" t="inlineStr">
        <is>
          <t>202512</t>
        </is>
      </c>
      <c r="B942" t="inlineStr">
        <is>
          <t>Comparación</t>
        </is>
      </c>
      <c r="C942" t="inlineStr">
        <is>
          <t>Integra</t>
        </is>
      </c>
      <c r="D942" t="inlineStr">
        <is>
          <t>Nomura - US High Yield Bond Fund</t>
        </is>
      </c>
      <c r="E942" t="inlineStr">
        <is>
          <t>Intensidad</t>
        </is>
      </c>
      <c r="F942" t="n">
        <v>3.6e-05</v>
      </c>
    </row>
    <row r="943">
      <c r="A943" t="inlineStr">
        <is>
          <t>202512</t>
        </is>
      </c>
      <c r="B943" t="inlineStr">
        <is>
          <t>Comparación</t>
        </is>
      </c>
      <c r="C943" t="inlineStr">
        <is>
          <t>Integra</t>
        </is>
      </c>
      <c r="D943" t="inlineStr">
        <is>
          <t>Nomura - US High Yield Bond Fund</t>
        </is>
      </c>
      <c r="E943" t="inlineStr">
        <is>
          <t>Inv MM$</t>
        </is>
      </c>
      <c r="F943" t="n">
        <v>0.000807</v>
      </c>
    </row>
    <row r="944">
      <c r="A944" t="inlineStr">
        <is>
          <t>202512</t>
        </is>
      </c>
      <c r="B944" t="inlineStr">
        <is>
          <t>Comparación</t>
        </is>
      </c>
      <c r="C944" t="inlineStr">
        <is>
          <t>Integra</t>
        </is>
      </c>
      <c r="D944" t="inlineStr">
        <is>
          <t>PIMCO - Asia High Yield Bond Fund</t>
        </is>
      </c>
      <c r="E944" t="inlineStr">
        <is>
          <t>Huella</t>
        </is>
      </c>
      <c r="F944" t="n">
        <v>5125.826703</v>
      </c>
    </row>
    <row r="945">
      <c r="A945" t="inlineStr">
        <is>
          <t>202512</t>
        </is>
      </c>
      <c r="B945" t="inlineStr">
        <is>
          <t>Comparación</t>
        </is>
      </c>
      <c r="C945" t="inlineStr">
        <is>
          <t>Integra</t>
        </is>
      </c>
      <c r="D945" t="inlineStr">
        <is>
          <t>PIMCO - Asia High Yield Bond Fund</t>
        </is>
      </c>
      <c r="E945" t="inlineStr">
        <is>
          <t>Intensidad</t>
        </is>
      </c>
      <c r="F945" t="n">
        <v>2.362805</v>
      </c>
    </row>
    <row r="946">
      <c r="A946" t="inlineStr">
        <is>
          <t>202512</t>
        </is>
      </c>
      <c r="B946" t="inlineStr">
        <is>
          <t>Comparación</t>
        </is>
      </c>
      <c r="C946" t="inlineStr">
        <is>
          <t>Integra</t>
        </is>
      </c>
      <c r="D946" t="inlineStr">
        <is>
          <t>PIMCO - Asia High Yield Bond Fund</t>
        </is>
      </c>
      <c r="E946" t="inlineStr">
        <is>
          <t>Inv MM$</t>
        </is>
      </c>
      <c r="F946" t="n">
        <v>12.33182</v>
      </c>
    </row>
    <row r="947">
      <c r="A947" t="inlineStr">
        <is>
          <t>202512</t>
        </is>
      </c>
      <c r="B947" t="inlineStr">
        <is>
          <t>Comparación</t>
        </is>
      </c>
      <c r="C947" t="inlineStr">
        <is>
          <t>Integra</t>
        </is>
      </c>
      <c r="D947" t="inlineStr">
        <is>
          <t>Pictet Chinese LC Debt</t>
        </is>
      </c>
      <c r="E947" t="inlineStr">
        <is>
          <t>Huella</t>
        </is>
      </c>
      <c r="F947" t="n">
        <v>0.006464</v>
      </c>
    </row>
    <row r="948">
      <c r="A948" t="inlineStr">
        <is>
          <t>202512</t>
        </is>
      </c>
      <c r="B948" t="inlineStr">
        <is>
          <t>Comparación</t>
        </is>
      </c>
      <c r="C948" t="inlineStr">
        <is>
          <t>Integra</t>
        </is>
      </c>
      <c r="D948" t="inlineStr">
        <is>
          <t>Pictet Chinese LC Debt</t>
        </is>
      </c>
      <c r="E948" t="inlineStr">
        <is>
          <t>Intensidad</t>
        </is>
      </c>
      <c r="F948" t="n">
        <v>2e-06</v>
      </c>
    </row>
    <row r="949">
      <c r="A949" t="inlineStr">
        <is>
          <t>202512</t>
        </is>
      </c>
      <c r="B949" t="inlineStr">
        <is>
          <t>Comparación</t>
        </is>
      </c>
      <c r="C949" t="inlineStr">
        <is>
          <t>Integra</t>
        </is>
      </c>
      <c r="D949" t="inlineStr">
        <is>
          <t>Pictet Chinese LC Debt</t>
        </is>
      </c>
      <c r="E949" t="inlineStr">
        <is>
          <t>Inv MM$</t>
        </is>
      </c>
      <c r="F949" t="n">
        <v>0.000311</v>
      </c>
    </row>
    <row r="950">
      <c r="A950" t="inlineStr">
        <is>
          <t>202512</t>
        </is>
      </c>
      <c r="B950" t="inlineStr">
        <is>
          <t>Comparación</t>
        </is>
      </c>
      <c r="C950" t="inlineStr">
        <is>
          <t>Integra</t>
        </is>
      </c>
      <c r="D950" t="inlineStr">
        <is>
          <t>Pimco - Emerging Markets Local Bond Fund</t>
        </is>
      </c>
      <c r="E950" t="inlineStr">
        <is>
          <t>Huella</t>
        </is>
      </c>
      <c r="F950" t="n">
        <v>23183.138149</v>
      </c>
    </row>
    <row r="951">
      <c r="A951" t="inlineStr">
        <is>
          <t>202512</t>
        </is>
      </c>
      <c r="B951" t="inlineStr">
        <is>
          <t>Comparación</t>
        </is>
      </c>
      <c r="C951" t="inlineStr">
        <is>
          <t>Integra</t>
        </is>
      </c>
      <c r="D951" t="inlineStr">
        <is>
          <t>Pimco - Emerging Markets Local Bond Fund</t>
        </is>
      </c>
      <c r="E951" t="inlineStr">
        <is>
          <t>Intensidad</t>
        </is>
      </c>
      <c r="F951" t="n">
        <v>8.527498</v>
      </c>
    </row>
    <row r="952">
      <c r="A952" t="inlineStr">
        <is>
          <t>202512</t>
        </is>
      </c>
      <c r="B952" t="inlineStr">
        <is>
          <t>Comparación</t>
        </is>
      </c>
      <c r="C952" t="inlineStr">
        <is>
          <t>Integra</t>
        </is>
      </c>
      <c r="D952" t="inlineStr">
        <is>
          <t>Pimco - Emerging Markets Local Bond Fund</t>
        </is>
      </c>
      <c r="E952" t="inlineStr">
        <is>
          <t>Inv MM$</t>
        </is>
      </c>
      <c r="F952" t="n">
        <v>136.607924</v>
      </c>
    </row>
    <row r="953">
      <c r="A953" t="inlineStr">
        <is>
          <t>202512</t>
        </is>
      </c>
      <c r="B953" t="inlineStr">
        <is>
          <t>Comparación</t>
        </is>
      </c>
      <c r="C953" t="inlineStr">
        <is>
          <t>Integra</t>
        </is>
      </c>
      <c r="D953" t="inlineStr">
        <is>
          <t>Pimco - GIS Income Fund</t>
        </is>
      </c>
      <c r="E953" t="inlineStr">
        <is>
          <t>Huella</t>
        </is>
      </c>
      <c r="F953" t="n">
        <v>671.689784</v>
      </c>
    </row>
    <row r="954">
      <c r="A954" t="inlineStr">
        <is>
          <t>202512</t>
        </is>
      </c>
      <c r="B954" t="inlineStr">
        <is>
          <t>Comparación</t>
        </is>
      </c>
      <c r="C954" t="inlineStr">
        <is>
          <t>Integra</t>
        </is>
      </c>
      <c r="D954" t="inlineStr">
        <is>
          <t>Pimco - GIS Income Fund</t>
        </is>
      </c>
      <c r="E954" t="inlineStr">
        <is>
          <t>Intensidad</t>
        </is>
      </c>
      <c r="F954" t="n">
        <v>0.309622</v>
      </c>
    </row>
    <row r="955">
      <c r="A955" t="inlineStr">
        <is>
          <t>202512</t>
        </is>
      </c>
      <c r="B955" t="inlineStr">
        <is>
          <t>Comparación</t>
        </is>
      </c>
      <c r="C955" t="inlineStr">
        <is>
          <t>Integra</t>
        </is>
      </c>
      <c r="D955" t="inlineStr">
        <is>
          <t>Pimco - GIS Income Fund</t>
        </is>
      </c>
      <c r="E955" t="inlineStr">
        <is>
          <t>Inv MM$</t>
        </is>
      </c>
      <c r="F955" t="n">
        <v>14.53696</v>
      </c>
    </row>
    <row r="956">
      <c r="A956" t="inlineStr">
        <is>
          <t>202512</t>
        </is>
      </c>
      <c r="B956" t="inlineStr">
        <is>
          <t>Comparación</t>
        </is>
      </c>
      <c r="C956" t="inlineStr">
        <is>
          <t>Integra</t>
        </is>
      </c>
      <c r="D956" t="inlineStr">
        <is>
          <t>Pimco - US High Yield Bond</t>
        </is>
      </c>
      <c r="E956" t="inlineStr">
        <is>
          <t>Huella</t>
        </is>
      </c>
      <c r="F956" t="n">
        <v>0.009382</v>
      </c>
    </row>
    <row r="957">
      <c r="A957" t="inlineStr">
        <is>
          <t>202512</t>
        </is>
      </c>
      <c r="B957" t="inlineStr">
        <is>
          <t>Comparación</t>
        </is>
      </c>
      <c r="C957" t="inlineStr">
        <is>
          <t>Integra</t>
        </is>
      </c>
      <c r="D957" t="inlineStr">
        <is>
          <t>Pimco - US High Yield Bond</t>
        </is>
      </c>
      <c r="E957" t="inlineStr">
        <is>
          <t>Intensidad</t>
        </is>
      </c>
      <c r="F957" t="n">
        <v>3e-06</v>
      </c>
    </row>
    <row r="958">
      <c r="A958" t="inlineStr">
        <is>
          <t>202512</t>
        </is>
      </c>
      <c r="B958" t="inlineStr">
        <is>
          <t>Comparación</t>
        </is>
      </c>
      <c r="C958" t="inlineStr">
        <is>
          <t>Integra</t>
        </is>
      </c>
      <c r="D958" t="inlineStr">
        <is>
          <t>Pimco - US High Yield Bond</t>
        </is>
      </c>
      <c r="E958" t="inlineStr">
        <is>
          <t>Inv MM$</t>
        </is>
      </c>
      <c r="F958" t="n">
        <v>8.8e-05</v>
      </c>
    </row>
    <row r="959">
      <c r="A959" t="inlineStr">
        <is>
          <t>202512</t>
        </is>
      </c>
      <c r="B959" t="inlineStr">
        <is>
          <t>Comparación</t>
        </is>
      </c>
      <c r="C959" t="inlineStr">
        <is>
          <t>Integra</t>
        </is>
      </c>
      <c r="D959" t="inlineStr">
        <is>
          <t>Pinebridge - Asia Ex-Japan Small Caps</t>
        </is>
      </c>
      <c r="E959" t="inlineStr">
        <is>
          <t>Huella</t>
        </is>
      </c>
      <c r="F959" t="n">
        <v>0.162539</v>
      </c>
    </row>
    <row r="960">
      <c r="A960" t="inlineStr">
        <is>
          <t>202512</t>
        </is>
      </c>
      <c r="B960" t="inlineStr">
        <is>
          <t>Comparación</t>
        </is>
      </c>
      <c r="C960" t="inlineStr">
        <is>
          <t>Integra</t>
        </is>
      </c>
      <c r="D960" t="inlineStr">
        <is>
          <t>Pinebridge - Asia Ex-Japan Small Caps</t>
        </is>
      </c>
      <c r="E960" t="inlineStr">
        <is>
          <t>Intensidad</t>
        </is>
      </c>
      <c r="F960" t="n">
        <v>9.399999999999999e-05</v>
      </c>
    </row>
    <row r="961">
      <c r="A961" t="inlineStr">
        <is>
          <t>202512</t>
        </is>
      </c>
      <c r="B961" t="inlineStr">
        <is>
          <t>Comparación</t>
        </is>
      </c>
      <c r="C961" t="inlineStr">
        <is>
          <t>Integra</t>
        </is>
      </c>
      <c r="D961" t="inlineStr">
        <is>
          <t>Pinebridge - Asia Ex-Japan Small Caps</t>
        </is>
      </c>
      <c r="E961" t="inlineStr">
        <is>
          <t>Inv MM$</t>
        </is>
      </c>
      <c r="F961" t="n">
        <v>0.002101</v>
      </c>
    </row>
    <row r="962">
      <c r="A962" t="inlineStr">
        <is>
          <t>202512</t>
        </is>
      </c>
      <c r="B962" t="inlineStr">
        <is>
          <t>Comparación</t>
        </is>
      </c>
      <c r="C962" t="inlineStr">
        <is>
          <t>Integra</t>
        </is>
      </c>
      <c r="D962" t="inlineStr">
        <is>
          <t>Premier Miton - European Opportunities Fund</t>
        </is>
      </c>
      <c r="E962" t="inlineStr">
        <is>
          <t>Huella</t>
        </is>
      </c>
      <c r="F962" t="n">
        <v>1.8e-05</v>
      </c>
    </row>
    <row r="963">
      <c r="A963" t="inlineStr">
        <is>
          <t>202512</t>
        </is>
      </c>
      <c r="B963" t="inlineStr">
        <is>
          <t>Comparación</t>
        </is>
      </c>
      <c r="C963" t="inlineStr">
        <is>
          <t>Integra</t>
        </is>
      </c>
      <c r="D963" t="inlineStr">
        <is>
          <t>Premier Miton - European Opportunities Fund</t>
        </is>
      </c>
      <c r="E963" t="inlineStr">
        <is>
          <t>Intensidad</t>
        </is>
      </c>
      <c r="F963" t="n">
        <v>0</v>
      </c>
    </row>
    <row r="964">
      <c r="A964" t="inlineStr">
        <is>
          <t>202512</t>
        </is>
      </c>
      <c r="B964" t="inlineStr">
        <is>
          <t>Comparación</t>
        </is>
      </c>
      <c r="C964" t="inlineStr">
        <is>
          <t>Integra</t>
        </is>
      </c>
      <c r="D964" t="inlineStr">
        <is>
          <t>Premier Miton - European Opportunities Fund</t>
        </is>
      </c>
      <c r="E964" t="inlineStr">
        <is>
          <t>Inv MM$</t>
        </is>
      </c>
      <c r="F964" t="n">
        <v>5e-06</v>
      </c>
    </row>
    <row r="965">
      <c r="A965" t="inlineStr">
        <is>
          <t>202512</t>
        </is>
      </c>
      <c r="B965" t="inlineStr">
        <is>
          <t>Comparación</t>
        </is>
      </c>
      <c r="C965" t="inlineStr">
        <is>
          <t>Integra</t>
        </is>
      </c>
      <c r="D965" t="inlineStr">
        <is>
          <t>Robeco - Chinese Equities</t>
        </is>
      </c>
      <c r="E965" t="inlineStr">
        <is>
          <t>Huella</t>
        </is>
      </c>
      <c r="F965" t="n">
        <v>0.027281</v>
      </c>
    </row>
    <row r="966">
      <c r="A966" t="inlineStr">
        <is>
          <t>202512</t>
        </is>
      </c>
      <c r="B966" t="inlineStr">
        <is>
          <t>Comparación</t>
        </is>
      </c>
      <c r="C966" t="inlineStr">
        <is>
          <t>Integra</t>
        </is>
      </c>
      <c r="D966" t="inlineStr">
        <is>
          <t>Robeco - Chinese Equities</t>
        </is>
      </c>
      <c r="E966" t="inlineStr">
        <is>
          <t>Intensidad</t>
        </is>
      </c>
      <c r="F966" t="n">
        <v>1.7e-05</v>
      </c>
    </row>
    <row r="967">
      <c r="A967" t="inlineStr">
        <is>
          <t>202512</t>
        </is>
      </c>
      <c r="B967" t="inlineStr">
        <is>
          <t>Comparación</t>
        </is>
      </c>
      <c r="C967" t="inlineStr">
        <is>
          <t>Integra</t>
        </is>
      </c>
      <c r="D967" t="inlineStr">
        <is>
          <t>Robeco - Chinese Equities</t>
        </is>
      </c>
      <c r="E967" t="inlineStr">
        <is>
          <t>Inv MM$</t>
        </is>
      </c>
      <c r="F967" t="n">
        <v>0.000379</v>
      </c>
    </row>
    <row r="968">
      <c r="A968" t="inlineStr">
        <is>
          <t>202512</t>
        </is>
      </c>
      <c r="B968" t="inlineStr">
        <is>
          <t>Comparación</t>
        </is>
      </c>
      <c r="C968" t="inlineStr">
        <is>
          <t>Integra</t>
        </is>
      </c>
      <c r="D968" t="inlineStr">
        <is>
          <t>Robeco Luxembourg S.A.</t>
        </is>
      </c>
      <c r="E968" t="inlineStr">
        <is>
          <t>Huella</t>
        </is>
      </c>
      <c r="F968" t="n">
        <v>0.041878</v>
      </c>
    </row>
    <row r="969">
      <c r="A969" t="inlineStr">
        <is>
          <t>202512</t>
        </is>
      </c>
      <c r="B969" t="inlineStr">
        <is>
          <t>Comparación</t>
        </is>
      </c>
      <c r="C969" t="inlineStr">
        <is>
          <t>Integra</t>
        </is>
      </c>
      <c r="D969" t="inlineStr">
        <is>
          <t>Robeco Luxembourg S.A.</t>
        </is>
      </c>
      <c r="E969" t="inlineStr">
        <is>
          <t>Intensidad</t>
        </is>
      </c>
      <c r="F969" t="n">
        <v>1.9e-05</v>
      </c>
    </row>
    <row r="970">
      <c r="A970" t="inlineStr">
        <is>
          <t>202512</t>
        </is>
      </c>
      <c r="B970" t="inlineStr">
        <is>
          <t>Comparación</t>
        </is>
      </c>
      <c r="C970" t="inlineStr">
        <is>
          <t>Integra</t>
        </is>
      </c>
      <c r="D970" t="inlineStr">
        <is>
          <t>Robeco Luxembourg S.A.</t>
        </is>
      </c>
      <c r="E970" t="inlineStr">
        <is>
          <t>Inv MM$</t>
        </is>
      </c>
      <c r="F970" t="n">
        <v>0.000376</v>
      </c>
    </row>
    <row r="971">
      <c r="A971" t="inlineStr">
        <is>
          <t>202512</t>
        </is>
      </c>
      <c r="B971" t="inlineStr">
        <is>
          <t>Comparación</t>
        </is>
      </c>
      <c r="C971" t="inlineStr">
        <is>
          <t>Integra</t>
        </is>
      </c>
      <c r="D971" t="inlineStr">
        <is>
          <t>Rutas de Lima</t>
        </is>
      </c>
      <c r="E971" t="inlineStr">
        <is>
          <t>Huella</t>
        </is>
      </c>
      <c r="F971" t="n">
        <v>595.763156</v>
      </c>
    </row>
    <row r="972">
      <c r="A972" t="inlineStr">
        <is>
          <t>202512</t>
        </is>
      </c>
      <c r="B972" t="inlineStr">
        <is>
          <t>Comparación</t>
        </is>
      </c>
      <c r="C972" t="inlineStr">
        <is>
          <t>Integra</t>
        </is>
      </c>
      <c r="D972" t="inlineStr">
        <is>
          <t>Rutas de Lima</t>
        </is>
      </c>
      <c r="E972" t="inlineStr">
        <is>
          <t>Intensidad</t>
        </is>
      </c>
      <c r="F972" t="n">
        <v>0.118953</v>
      </c>
    </row>
    <row r="973">
      <c r="A973" t="inlineStr">
        <is>
          <t>202512</t>
        </is>
      </c>
      <c r="B973" t="inlineStr">
        <is>
          <t>Comparación</t>
        </is>
      </c>
      <c r="C973" t="inlineStr">
        <is>
          <t>Integra</t>
        </is>
      </c>
      <c r="D973" t="inlineStr">
        <is>
          <t>Rutas de Lima</t>
        </is>
      </c>
      <c r="E973" t="inlineStr">
        <is>
          <t>Inv MM$</t>
        </is>
      </c>
      <c r="F973" t="n">
        <v>21.735248</v>
      </c>
    </row>
    <row r="974">
      <c r="A974" t="inlineStr">
        <is>
          <t>202512</t>
        </is>
      </c>
      <c r="B974" t="inlineStr">
        <is>
          <t>Comparación</t>
        </is>
      </c>
      <c r="C974" t="inlineStr">
        <is>
          <t>Integra</t>
        </is>
      </c>
      <c r="D974" t="inlineStr">
        <is>
          <t>SKYY US - First Trust Cloud Computing ETF</t>
        </is>
      </c>
      <c r="E974" t="inlineStr">
        <is>
          <t>Huella</t>
        </is>
      </c>
      <c r="F974" t="n">
        <v>56.096338</v>
      </c>
    </row>
    <row r="975">
      <c r="A975" t="inlineStr">
        <is>
          <t>202512</t>
        </is>
      </c>
      <c r="B975" t="inlineStr">
        <is>
          <t>Comparación</t>
        </is>
      </c>
      <c r="C975" t="inlineStr">
        <is>
          <t>Integra</t>
        </is>
      </c>
      <c r="D975" t="inlineStr">
        <is>
          <t>SKYY US - First Trust Cloud Computing ETF</t>
        </is>
      </c>
      <c r="E975" t="inlineStr">
        <is>
          <t>Intensidad</t>
        </is>
      </c>
      <c r="F975" t="n">
        <v>0.051268</v>
      </c>
    </row>
    <row r="976">
      <c r="A976" t="inlineStr">
        <is>
          <t>202512</t>
        </is>
      </c>
      <c r="B976" t="inlineStr">
        <is>
          <t>Comparación</t>
        </is>
      </c>
      <c r="C976" t="inlineStr">
        <is>
          <t>Integra</t>
        </is>
      </c>
      <c r="D976" t="inlineStr">
        <is>
          <t>SKYY US - First Trust Cloud Computing ETF</t>
        </is>
      </c>
      <c r="E976" t="inlineStr">
        <is>
          <t>Inv MM$</t>
        </is>
      </c>
      <c r="F976" t="n">
        <v>13.58708</v>
      </c>
    </row>
    <row r="977">
      <c r="A977" t="inlineStr">
        <is>
          <t>202512</t>
        </is>
      </c>
      <c r="B977" t="inlineStr">
        <is>
          <t>Comparación</t>
        </is>
      </c>
      <c r="C977" t="inlineStr">
        <is>
          <t>Integra</t>
        </is>
      </c>
      <c r="D977" t="inlineStr">
        <is>
          <t>SSGA - Bloomberg Barclays Convertible Securities</t>
        </is>
      </c>
      <c r="E977" t="inlineStr">
        <is>
          <t>Huella</t>
        </is>
      </c>
      <c r="F977" t="n">
        <v>1756.499055</v>
      </c>
    </row>
    <row r="978">
      <c r="A978" t="inlineStr">
        <is>
          <t>202512</t>
        </is>
      </c>
      <c r="B978" t="inlineStr">
        <is>
          <t>Comparación</t>
        </is>
      </c>
      <c r="C978" t="inlineStr">
        <is>
          <t>Integra</t>
        </is>
      </c>
      <c r="D978" t="inlineStr">
        <is>
          <t>SSGA - Bloomberg Barclays Convertible Securities</t>
        </is>
      </c>
      <c r="E978" t="inlineStr">
        <is>
          <t>Intensidad</t>
        </is>
      </c>
      <c r="F978" t="n">
        <v>1.061714</v>
      </c>
    </row>
    <row r="979">
      <c r="A979" t="inlineStr">
        <is>
          <t>202512</t>
        </is>
      </c>
      <c r="B979" t="inlineStr">
        <is>
          <t>Comparación</t>
        </is>
      </c>
      <c r="C979" t="inlineStr">
        <is>
          <t>Integra</t>
        </is>
      </c>
      <c r="D979" t="inlineStr">
        <is>
          <t>SSGA - Bloomberg Barclays Convertible Securities</t>
        </is>
      </c>
      <c r="E979" t="inlineStr">
        <is>
          <t>Inv MM$</t>
        </is>
      </c>
      <c r="F979" t="n">
        <v>35.768346</v>
      </c>
    </row>
    <row r="980">
      <c r="A980" t="inlineStr">
        <is>
          <t>202512</t>
        </is>
      </c>
      <c r="B980" t="inlineStr">
        <is>
          <t>Comparación</t>
        </is>
      </c>
      <c r="C980" t="inlineStr">
        <is>
          <t>Integra</t>
        </is>
      </c>
      <c r="D980" t="inlineStr">
        <is>
          <t>Schroder - International Selection Fund China A</t>
        </is>
      </c>
      <c r="E980" t="inlineStr">
        <is>
          <t>Huella</t>
        </is>
      </c>
      <c r="F980" t="n">
        <v>0.038502</v>
      </c>
    </row>
    <row r="981">
      <c r="A981" t="inlineStr">
        <is>
          <t>202512</t>
        </is>
      </c>
      <c r="B981" t="inlineStr">
        <is>
          <t>Comparación</t>
        </is>
      </c>
      <c r="C981" t="inlineStr">
        <is>
          <t>Integra</t>
        </is>
      </c>
      <c r="D981" t="inlineStr">
        <is>
          <t>Schroder - International Selection Fund China A</t>
        </is>
      </c>
      <c r="E981" t="inlineStr">
        <is>
          <t>Intensidad</t>
        </is>
      </c>
      <c r="F981" t="n">
        <v>2.6e-05</v>
      </c>
    </row>
    <row r="982">
      <c r="A982" t="inlineStr">
        <is>
          <t>202512</t>
        </is>
      </c>
      <c r="B982" t="inlineStr">
        <is>
          <t>Comparación</t>
        </is>
      </c>
      <c r="C982" t="inlineStr">
        <is>
          <t>Integra</t>
        </is>
      </c>
      <c r="D982" t="inlineStr">
        <is>
          <t>Schroder - International Selection Fund China A</t>
        </is>
      </c>
      <c r="E982" t="inlineStr">
        <is>
          <t>Inv MM$</t>
        </is>
      </c>
      <c r="F982" t="n">
        <v>0.0005</v>
      </c>
    </row>
    <row r="983">
      <c r="A983" t="inlineStr">
        <is>
          <t>202512</t>
        </is>
      </c>
      <c r="B983" t="inlineStr">
        <is>
          <t>Comparación</t>
        </is>
      </c>
      <c r="C983" t="inlineStr">
        <is>
          <t>Integra</t>
        </is>
      </c>
      <c r="D983" t="inlineStr">
        <is>
          <t>Schroders - Asian Opportunities</t>
        </is>
      </c>
      <c r="E983" t="inlineStr">
        <is>
          <t>Huella</t>
        </is>
      </c>
      <c r="F983" t="n">
        <v>0.002688</v>
      </c>
    </row>
    <row r="984">
      <c r="A984" t="inlineStr">
        <is>
          <t>202512</t>
        </is>
      </c>
      <c r="B984" t="inlineStr">
        <is>
          <t>Comparación</t>
        </is>
      </c>
      <c r="C984" t="inlineStr">
        <is>
          <t>Integra</t>
        </is>
      </c>
      <c r="D984" t="inlineStr">
        <is>
          <t>Schroders - Asian Opportunities</t>
        </is>
      </c>
      <c r="E984" t="inlineStr">
        <is>
          <t>Intensidad</t>
        </is>
      </c>
      <c r="F984" t="n">
        <v>1e-06</v>
      </c>
    </row>
    <row r="985">
      <c r="A985" t="inlineStr">
        <is>
          <t>202512</t>
        </is>
      </c>
      <c r="B985" t="inlineStr">
        <is>
          <t>Comparación</t>
        </is>
      </c>
      <c r="C985" t="inlineStr">
        <is>
          <t>Integra</t>
        </is>
      </c>
      <c r="D985" t="inlineStr">
        <is>
          <t>Schroders - Asian Opportunities</t>
        </is>
      </c>
      <c r="E985" t="inlineStr">
        <is>
          <t>Inv MM$</t>
        </is>
      </c>
      <c r="F985" t="n">
        <v>0.000107</v>
      </c>
    </row>
    <row r="986">
      <c r="A986" t="inlineStr">
        <is>
          <t>202512</t>
        </is>
      </c>
      <c r="B986" t="inlineStr">
        <is>
          <t>Comparación</t>
        </is>
      </c>
      <c r="C986" t="inlineStr">
        <is>
          <t>Integra</t>
        </is>
      </c>
      <c r="D986" t="inlineStr">
        <is>
          <t>State Street - S&amp;P 500 ETF</t>
        </is>
      </c>
      <c r="E986" t="inlineStr">
        <is>
          <t>Huella</t>
        </is>
      </c>
      <c r="F986" t="n">
        <v>55.567094</v>
      </c>
    </row>
    <row r="987">
      <c r="A987" t="inlineStr">
        <is>
          <t>202512</t>
        </is>
      </c>
      <c r="B987" t="inlineStr">
        <is>
          <t>Comparación</t>
        </is>
      </c>
      <c r="C987" t="inlineStr">
        <is>
          <t>Integra</t>
        </is>
      </c>
      <c r="D987" t="inlineStr">
        <is>
          <t>State Street - S&amp;P 500 ETF</t>
        </is>
      </c>
      <c r="E987" t="inlineStr">
        <is>
          <t>Intensidad</t>
        </is>
      </c>
      <c r="F987" t="n">
        <v>0.058437</v>
      </c>
    </row>
    <row r="988">
      <c r="A988" t="inlineStr">
        <is>
          <t>202512</t>
        </is>
      </c>
      <c r="B988" t="inlineStr">
        <is>
          <t>Comparación</t>
        </is>
      </c>
      <c r="C988" t="inlineStr">
        <is>
          <t>Integra</t>
        </is>
      </c>
      <c r="D988" t="inlineStr">
        <is>
          <t>State Street - S&amp;P 500 ETF</t>
        </is>
      </c>
      <c r="E988" t="inlineStr">
        <is>
          <t>Inv MM$</t>
        </is>
      </c>
      <c r="F988" t="n">
        <v>2.444602</v>
      </c>
    </row>
    <row r="989">
      <c r="A989" t="inlineStr">
        <is>
          <t>202512</t>
        </is>
      </c>
      <c r="B989" t="inlineStr">
        <is>
          <t>Comparación</t>
        </is>
      </c>
      <c r="C989" t="inlineStr">
        <is>
          <t>Integra</t>
        </is>
      </c>
      <c r="D989" t="inlineStr">
        <is>
          <t>State Street - S&amp;P Metals &amp; Mining ETF</t>
        </is>
      </c>
      <c r="E989" t="inlineStr">
        <is>
          <t>Huella</t>
        </is>
      </c>
      <c r="F989" t="n">
        <v>32475.940199</v>
      </c>
    </row>
    <row r="990">
      <c r="A990" t="inlineStr">
        <is>
          <t>202512</t>
        </is>
      </c>
      <c r="B990" t="inlineStr">
        <is>
          <t>Comparación</t>
        </is>
      </c>
      <c r="C990" t="inlineStr">
        <is>
          <t>Integra</t>
        </is>
      </c>
      <c r="D990" t="inlineStr">
        <is>
          <t>State Street - S&amp;P Metals &amp; Mining ETF</t>
        </is>
      </c>
      <c r="E990" t="inlineStr">
        <is>
          <t>Intensidad</t>
        </is>
      </c>
      <c r="F990" t="n">
        <v>12.602626</v>
      </c>
    </row>
    <row r="991">
      <c r="A991" t="inlineStr">
        <is>
          <t>202512</t>
        </is>
      </c>
      <c r="B991" t="inlineStr">
        <is>
          <t>Comparación</t>
        </is>
      </c>
      <c r="C991" t="inlineStr">
        <is>
          <t>Integra</t>
        </is>
      </c>
      <c r="D991" t="inlineStr">
        <is>
          <t>State Street - S&amp;P Metals &amp; Mining ETF</t>
        </is>
      </c>
      <c r="E991" t="inlineStr">
        <is>
          <t>Inv MM$</t>
        </is>
      </c>
      <c r="F991" t="n">
        <v>49.978693</v>
      </c>
    </row>
    <row r="992">
      <c r="A992" t="inlineStr">
        <is>
          <t>202512</t>
        </is>
      </c>
      <c r="B992" t="inlineStr">
        <is>
          <t>Comparación</t>
        </is>
      </c>
      <c r="C992" t="inlineStr">
        <is>
          <t>Integra</t>
        </is>
      </c>
      <c r="D992" t="inlineStr">
        <is>
          <t>State Street - Technology Select Sector</t>
        </is>
      </c>
      <c r="E992" t="inlineStr">
        <is>
          <t>Huella</t>
        </is>
      </c>
      <c r="F992" t="n">
        <v>836.4882679999999</v>
      </c>
    </row>
    <row r="993">
      <c r="A993" t="inlineStr">
        <is>
          <t>202512</t>
        </is>
      </c>
      <c r="B993" t="inlineStr">
        <is>
          <t>Comparación</t>
        </is>
      </c>
      <c r="C993" t="inlineStr">
        <is>
          <t>Integra</t>
        </is>
      </c>
      <c r="D993" t="inlineStr">
        <is>
          <t>State Street - Technology Select Sector</t>
        </is>
      </c>
      <c r="E993" t="inlineStr">
        <is>
          <t>Intensidad</t>
        </is>
      </c>
      <c r="F993" t="n">
        <v>0.190223</v>
      </c>
    </row>
    <row r="994">
      <c r="A994" t="inlineStr">
        <is>
          <t>202512</t>
        </is>
      </c>
      <c r="B994" t="inlineStr">
        <is>
          <t>Comparación</t>
        </is>
      </c>
      <c r="C994" t="inlineStr">
        <is>
          <t>Integra</t>
        </is>
      </c>
      <c r="D994" t="inlineStr">
        <is>
          <t>State Street - Technology Select Sector</t>
        </is>
      </c>
      <c r="E994" t="inlineStr">
        <is>
          <t>Inv MM$</t>
        </is>
      </c>
      <c r="F994" t="n">
        <v>251.81935</v>
      </c>
    </row>
    <row r="995">
      <c r="A995" t="inlineStr">
        <is>
          <t>202512</t>
        </is>
      </c>
      <c r="B995" t="inlineStr">
        <is>
          <t>Comparación</t>
        </is>
      </c>
      <c r="C995" t="inlineStr">
        <is>
          <t>Integra</t>
        </is>
      </c>
      <c r="D995" t="inlineStr">
        <is>
          <t>Telefónica</t>
        </is>
      </c>
      <c r="E995" t="inlineStr">
        <is>
          <t>Huella</t>
        </is>
      </c>
      <c r="F995" t="n">
        <v>82.31456799999999</v>
      </c>
    </row>
    <row r="996">
      <c r="A996" t="inlineStr">
        <is>
          <t>202512</t>
        </is>
      </c>
      <c r="B996" t="inlineStr">
        <is>
          <t>Comparación</t>
        </is>
      </c>
      <c r="C996" t="inlineStr">
        <is>
          <t>Integra</t>
        </is>
      </c>
      <c r="D996" t="inlineStr">
        <is>
          <t>Telefónica</t>
        </is>
      </c>
      <c r="E996" t="inlineStr">
        <is>
          <t>Intensidad</t>
        </is>
      </c>
      <c r="F996" t="n">
        <v>0.019331</v>
      </c>
    </row>
    <row r="997">
      <c r="A997" t="inlineStr">
        <is>
          <t>202512</t>
        </is>
      </c>
      <c r="B997" t="inlineStr">
        <is>
          <t>Comparación</t>
        </is>
      </c>
      <c r="C997" t="inlineStr">
        <is>
          <t>Integra</t>
        </is>
      </c>
      <c r="D997" t="inlineStr">
        <is>
          <t>Telefónica</t>
        </is>
      </c>
      <c r="E997" t="inlineStr">
        <is>
          <t>Inv MM$</t>
        </is>
      </c>
      <c r="F997" t="n">
        <v>34.297737</v>
      </c>
    </row>
    <row r="998">
      <c r="A998" t="inlineStr">
        <is>
          <t>202512</t>
        </is>
      </c>
      <c r="B998" t="inlineStr">
        <is>
          <t>Comparación</t>
        </is>
      </c>
      <c r="C998" t="inlineStr">
        <is>
          <t>Integra</t>
        </is>
      </c>
      <c r="D998" t="inlineStr">
        <is>
          <t>UBS - China Opportunity - A3</t>
        </is>
      </c>
      <c r="E998" t="inlineStr">
        <is>
          <t>Huella</t>
        </is>
      </c>
      <c r="F998" t="n">
        <v>0.018749</v>
      </c>
    </row>
    <row r="999">
      <c r="A999" t="inlineStr">
        <is>
          <t>202512</t>
        </is>
      </c>
      <c r="B999" t="inlineStr">
        <is>
          <t>Comparación</t>
        </is>
      </c>
      <c r="C999" t="inlineStr">
        <is>
          <t>Integra</t>
        </is>
      </c>
      <c r="D999" t="inlineStr">
        <is>
          <t>UBS - China Opportunity - A3</t>
        </is>
      </c>
      <c r="E999" t="inlineStr">
        <is>
          <t>Intensidad</t>
        </is>
      </c>
      <c r="F999" t="n">
        <v>1.2e-05</v>
      </c>
    </row>
    <row r="1000">
      <c r="A1000" t="inlineStr">
        <is>
          <t>202512</t>
        </is>
      </c>
      <c r="B1000" t="inlineStr">
        <is>
          <t>Comparación</t>
        </is>
      </c>
      <c r="C1000" t="inlineStr">
        <is>
          <t>Integra</t>
        </is>
      </c>
      <c r="D1000" t="inlineStr">
        <is>
          <t>UBS - China Opportunity - A3</t>
        </is>
      </c>
      <c r="E1000" t="inlineStr">
        <is>
          <t>Inv MM$</t>
        </is>
      </c>
      <c r="F1000" t="n">
        <v>0.000186</v>
      </c>
    </row>
    <row r="1001">
      <c r="A1001" t="inlineStr">
        <is>
          <t>202512</t>
        </is>
      </c>
      <c r="B1001" t="inlineStr">
        <is>
          <t>Comparación</t>
        </is>
      </c>
      <c r="C1001" t="inlineStr">
        <is>
          <t>Integra</t>
        </is>
      </c>
      <c r="D1001" t="inlineStr">
        <is>
          <t>VanEck - Gold Miners ETF</t>
        </is>
      </c>
      <c r="E1001" t="inlineStr">
        <is>
          <t>Huella</t>
        </is>
      </c>
      <c r="F1001" t="n">
        <v>10973.896941</v>
      </c>
    </row>
    <row r="1002">
      <c r="A1002" t="inlineStr">
        <is>
          <t>202512</t>
        </is>
      </c>
      <c r="B1002" t="inlineStr">
        <is>
          <t>Comparación</t>
        </is>
      </c>
      <c r="C1002" t="inlineStr">
        <is>
          <t>Integra</t>
        </is>
      </c>
      <c r="D1002" t="inlineStr">
        <is>
          <t>VanEck - Gold Miners ETF</t>
        </is>
      </c>
      <c r="E1002" t="inlineStr">
        <is>
          <t>Intensidad</t>
        </is>
      </c>
      <c r="F1002" t="n">
        <v>3.461095</v>
      </c>
    </row>
    <row r="1003">
      <c r="A1003" t="inlineStr">
        <is>
          <t>202512</t>
        </is>
      </c>
      <c r="B1003" t="inlineStr">
        <is>
          <t>Comparación</t>
        </is>
      </c>
      <c r="C1003" t="inlineStr">
        <is>
          <t>Integra</t>
        </is>
      </c>
      <c r="D1003" t="inlineStr">
        <is>
          <t>VanEck - Gold Miners ETF</t>
        </is>
      </c>
      <c r="E1003" t="inlineStr">
        <is>
          <t>Inv MM$</t>
        </is>
      </c>
      <c r="F1003" t="n">
        <v>134.046783</v>
      </c>
    </row>
    <row r="1004">
      <c r="A1004" t="inlineStr">
        <is>
          <t>202512</t>
        </is>
      </c>
      <c r="B1004" t="inlineStr">
        <is>
          <t>Comparación</t>
        </is>
      </c>
      <c r="C1004" t="inlineStr">
        <is>
          <t>Integra</t>
        </is>
      </c>
      <c r="D1004" t="inlineStr">
        <is>
          <t>VanEck - JPM EM LC Bond ETF</t>
        </is>
      </c>
      <c r="E1004" t="inlineStr">
        <is>
          <t>Huella</t>
        </is>
      </c>
      <c r="F1004" t="n">
        <v>556.26956</v>
      </c>
    </row>
    <row r="1005">
      <c r="A1005" t="inlineStr">
        <is>
          <t>202512</t>
        </is>
      </c>
      <c r="B1005" t="inlineStr">
        <is>
          <t>Comparación</t>
        </is>
      </c>
      <c r="C1005" t="inlineStr">
        <is>
          <t>Integra</t>
        </is>
      </c>
      <c r="D1005" t="inlineStr">
        <is>
          <t>VanEck - JPM EM LC Bond ETF</t>
        </is>
      </c>
      <c r="E1005" t="inlineStr">
        <is>
          <t>Intensidad</t>
        </is>
      </c>
      <c r="F1005" t="n">
        <v>0.129492</v>
      </c>
    </row>
    <row r="1006">
      <c r="A1006" t="inlineStr">
        <is>
          <t>202512</t>
        </is>
      </c>
      <c r="B1006" t="inlineStr">
        <is>
          <t>Comparación</t>
        </is>
      </c>
      <c r="C1006" t="inlineStr">
        <is>
          <t>Integra</t>
        </is>
      </c>
      <c r="D1006" t="inlineStr">
        <is>
          <t>VanEck - JPM EM LC Bond ETF</t>
        </is>
      </c>
      <c r="E1006" t="inlineStr">
        <is>
          <t>Inv MM$</t>
        </is>
      </c>
      <c r="F1006" t="n">
        <v>52.203812</v>
      </c>
    </row>
    <row r="1007">
      <c r="A1007" t="inlineStr">
        <is>
          <t>202512</t>
        </is>
      </c>
      <c r="B1007" t="inlineStr">
        <is>
          <t>Comparación</t>
        </is>
      </c>
      <c r="C1007" t="inlineStr">
        <is>
          <t>Integra</t>
        </is>
      </c>
      <c r="D1007" t="inlineStr">
        <is>
          <t>VanEck Semiconductor ETF</t>
        </is>
      </c>
      <c r="E1007" t="inlineStr">
        <is>
          <t>Huella</t>
        </is>
      </c>
      <c r="F1007" t="n">
        <v>2496.606036</v>
      </c>
    </row>
    <row r="1008">
      <c r="A1008" t="inlineStr">
        <is>
          <t>202512</t>
        </is>
      </c>
      <c r="B1008" t="inlineStr">
        <is>
          <t>Comparación</t>
        </is>
      </c>
      <c r="C1008" t="inlineStr">
        <is>
          <t>Integra</t>
        </is>
      </c>
      <c r="D1008" t="inlineStr">
        <is>
          <t>VanEck Semiconductor ETF</t>
        </is>
      </c>
      <c r="E1008" t="inlineStr">
        <is>
          <t>Intensidad</t>
        </is>
      </c>
      <c r="F1008" t="n">
        <v>0.831941</v>
      </c>
    </row>
    <row r="1009">
      <c r="A1009" t="inlineStr">
        <is>
          <t>202512</t>
        </is>
      </c>
      <c r="B1009" t="inlineStr">
        <is>
          <t>Comparación</t>
        </is>
      </c>
      <c r="C1009" t="inlineStr">
        <is>
          <t>Integra</t>
        </is>
      </c>
      <c r="D1009" t="inlineStr">
        <is>
          <t>VanEck Semiconductor ETF</t>
        </is>
      </c>
      <c r="E1009" t="inlineStr">
        <is>
          <t>Inv MM$</t>
        </is>
      </c>
      <c r="F1009" t="n">
        <v>398.121194</v>
      </c>
    </row>
    <row r="1010">
      <c r="A1010" t="inlineStr">
        <is>
          <t>202512</t>
        </is>
      </c>
      <c r="B1010" t="inlineStr">
        <is>
          <t>Comparación</t>
        </is>
      </c>
      <c r="C1010" t="inlineStr">
        <is>
          <t>Integra</t>
        </is>
      </c>
      <c r="D1010" t="inlineStr">
        <is>
          <t>Vanguard - Emerging Markets Bond Fund - I Retail</t>
        </is>
      </c>
      <c r="E1010" t="inlineStr">
        <is>
          <t>Huella</t>
        </is>
      </c>
      <c r="F1010" t="n">
        <v>0.180259</v>
      </c>
    </row>
    <row r="1011">
      <c r="A1011" t="inlineStr">
        <is>
          <t>202512</t>
        </is>
      </c>
      <c r="B1011" t="inlineStr">
        <is>
          <t>Comparación</t>
        </is>
      </c>
      <c r="C1011" t="inlineStr">
        <is>
          <t>Integra</t>
        </is>
      </c>
      <c r="D1011" t="inlineStr">
        <is>
          <t>Vanguard - Emerging Markets Bond Fund - I Retail</t>
        </is>
      </c>
      <c r="E1011" t="inlineStr">
        <is>
          <t>Intensidad</t>
        </is>
      </c>
      <c r="F1011" t="n">
        <v>0.000102</v>
      </c>
    </row>
    <row r="1012">
      <c r="A1012" t="inlineStr">
        <is>
          <t>202512</t>
        </is>
      </c>
      <c r="B1012" t="inlineStr">
        <is>
          <t>Comparación</t>
        </is>
      </c>
      <c r="C1012" t="inlineStr">
        <is>
          <t>Integra</t>
        </is>
      </c>
      <c r="D1012" t="inlineStr">
        <is>
          <t>Vanguard - Emerging Markets Bond Fund - I Retail</t>
        </is>
      </c>
      <c r="E1012" t="inlineStr">
        <is>
          <t>Inv MM$</t>
        </is>
      </c>
      <c r="F1012" t="n">
        <v>0.000415</v>
      </c>
    </row>
    <row r="1013">
      <c r="A1013" t="inlineStr">
        <is>
          <t>202512</t>
        </is>
      </c>
      <c r="B1013" t="inlineStr">
        <is>
          <t>Comparación</t>
        </is>
      </c>
      <c r="C1013" t="inlineStr">
        <is>
          <t>Integra</t>
        </is>
      </c>
      <c r="D1013" t="inlineStr">
        <is>
          <t>Vanguard - Emerging Markets Bond Fund - II Institutional</t>
        </is>
      </c>
      <c r="E1013" t="inlineStr">
        <is>
          <t>Huella</t>
        </is>
      </c>
      <c r="F1013" t="n">
        <v>0.30713</v>
      </c>
    </row>
    <row r="1014">
      <c r="A1014" t="inlineStr">
        <is>
          <t>202512</t>
        </is>
      </c>
      <c r="B1014" t="inlineStr">
        <is>
          <t>Comparación</t>
        </is>
      </c>
      <c r="C1014" t="inlineStr">
        <is>
          <t>Integra</t>
        </is>
      </c>
      <c r="D1014" t="inlineStr">
        <is>
          <t>Vanguard - Emerging Markets Bond Fund - II Institutional</t>
        </is>
      </c>
      <c r="E1014" t="inlineStr">
        <is>
          <t>Intensidad</t>
        </is>
      </c>
      <c r="F1014" t="n">
        <v>0.000188</v>
      </c>
    </row>
    <row r="1015">
      <c r="A1015" t="inlineStr">
        <is>
          <t>202512</t>
        </is>
      </c>
      <c r="B1015" t="inlineStr">
        <is>
          <t>Comparación</t>
        </is>
      </c>
      <c r="C1015" t="inlineStr">
        <is>
          <t>Integra</t>
        </is>
      </c>
      <c r="D1015" t="inlineStr">
        <is>
          <t>Vanguard - Emerging Markets Bond Fund - II Institutional</t>
        </is>
      </c>
      <c r="E1015" t="inlineStr">
        <is>
          <t>Inv MM$</t>
        </is>
      </c>
      <c r="F1015" t="n">
        <v>0.0007069999999999999</v>
      </c>
    </row>
    <row r="1016">
      <c r="A1016" t="inlineStr">
        <is>
          <t>202512</t>
        </is>
      </c>
      <c r="B1016" t="inlineStr">
        <is>
          <t>Comparación</t>
        </is>
      </c>
      <c r="C1016" t="inlineStr">
        <is>
          <t>Integra</t>
        </is>
      </c>
      <c r="D1016" t="inlineStr">
        <is>
          <t>Vanguard - S&amp;P 500 ETF</t>
        </is>
      </c>
      <c r="E1016" t="inlineStr">
        <is>
          <t>Huella</t>
        </is>
      </c>
      <c r="F1016" t="n">
        <v>1223.721811</v>
      </c>
    </row>
    <row r="1017">
      <c r="A1017" t="inlineStr">
        <is>
          <t>202512</t>
        </is>
      </c>
      <c r="B1017" t="inlineStr">
        <is>
          <t>Comparación</t>
        </is>
      </c>
      <c r="C1017" t="inlineStr">
        <is>
          <t>Integra</t>
        </is>
      </c>
      <c r="D1017" t="inlineStr">
        <is>
          <t>Vanguard - S&amp;P 500 ETF</t>
        </is>
      </c>
      <c r="E1017" t="inlineStr">
        <is>
          <t>Intensidad</t>
        </is>
      </c>
      <c r="F1017" t="n">
        <v>0.441858</v>
      </c>
    </row>
    <row r="1018">
      <c r="A1018" t="inlineStr">
        <is>
          <t>202512</t>
        </is>
      </c>
      <c r="B1018" t="inlineStr">
        <is>
          <t>Comparación</t>
        </is>
      </c>
      <c r="C1018" t="inlineStr">
        <is>
          <t>Integra</t>
        </is>
      </c>
      <c r="D1018" t="inlineStr">
        <is>
          <t>Vanguard - S&amp;P 500 ETF</t>
        </is>
      </c>
      <c r="E1018" t="inlineStr">
        <is>
          <t>Inv MM$</t>
        </is>
      </c>
      <c r="F1018" t="n">
        <v>53.747036</v>
      </c>
    </row>
    <row r="1019">
      <c r="A1019" t="inlineStr">
        <is>
          <t>202512</t>
        </is>
      </c>
      <c r="B1019" t="inlineStr">
        <is>
          <t>Comparación</t>
        </is>
      </c>
      <c r="C1019" t="inlineStr">
        <is>
          <t>Integra</t>
        </is>
      </c>
      <c r="D1019" t="inlineStr">
        <is>
          <t>Vontobel - Credit Opportunities</t>
        </is>
      </c>
      <c r="E1019" t="inlineStr">
        <is>
          <t>Huella</t>
        </is>
      </c>
      <c r="F1019" t="n">
        <v>5793.115039</v>
      </c>
    </row>
    <row r="1020">
      <c r="A1020" t="inlineStr">
        <is>
          <t>202512</t>
        </is>
      </c>
      <c r="B1020" t="inlineStr">
        <is>
          <t>Comparación</t>
        </is>
      </c>
      <c r="C1020" t="inlineStr">
        <is>
          <t>Integra</t>
        </is>
      </c>
      <c r="D1020" t="inlineStr">
        <is>
          <t>Vontobel - Credit Opportunities</t>
        </is>
      </c>
      <c r="E1020" t="inlineStr">
        <is>
          <t>Intensidad</t>
        </is>
      </c>
      <c r="F1020" t="n">
        <v>1.586066</v>
      </c>
    </row>
    <row r="1021">
      <c r="A1021" t="inlineStr">
        <is>
          <t>202512</t>
        </is>
      </c>
      <c r="B1021" t="inlineStr">
        <is>
          <t>Comparación</t>
        </is>
      </c>
      <c r="C1021" t="inlineStr">
        <is>
          <t>Integra</t>
        </is>
      </c>
      <c r="D1021" t="inlineStr">
        <is>
          <t>Vontobel - Credit Opportunities</t>
        </is>
      </c>
      <c r="E1021" t="inlineStr">
        <is>
          <t>Inv MM$</t>
        </is>
      </c>
      <c r="F1021" t="n">
        <v>134.682041</v>
      </c>
    </row>
    <row r="1022">
      <c r="A1022" t="inlineStr">
        <is>
          <t>202512</t>
        </is>
      </c>
      <c r="B1022" t="inlineStr">
        <is>
          <t>Comparación</t>
        </is>
      </c>
      <c r="C1022" t="inlineStr">
        <is>
          <t>Integra</t>
        </is>
      </c>
      <c r="D1022" t="inlineStr">
        <is>
          <t>Vontobel - Emerging Markets Corporate</t>
        </is>
      </c>
      <c r="E1022" t="inlineStr">
        <is>
          <t>Huella</t>
        </is>
      </c>
      <c r="F1022" t="n">
        <v>3521.280183</v>
      </c>
    </row>
    <row r="1023">
      <c r="A1023" t="inlineStr">
        <is>
          <t>202512</t>
        </is>
      </c>
      <c r="B1023" t="inlineStr">
        <is>
          <t>Comparación</t>
        </is>
      </c>
      <c r="C1023" t="inlineStr">
        <is>
          <t>Integra</t>
        </is>
      </c>
      <c r="D1023" t="inlineStr">
        <is>
          <t>Vontobel - Emerging Markets Corporate</t>
        </is>
      </c>
      <c r="E1023" t="inlineStr">
        <is>
          <t>Intensidad</t>
        </is>
      </c>
      <c r="F1023" t="n">
        <v>1.623117</v>
      </c>
    </row>
    <row r="1024">
      <c r="A1024" t="inlineStr">
        <is>
          <t>202512</t>
        </is>
      </c>
      <c r="B1024" t="inlineStr">
        <is>
          <t>Comparación</t>
        </is>
      </c>
      <c r="C1024" t="inlineStr">
        <is>
          <t>Integra</t>
        </is>
      </c>
      <c r="D1024" t="inlineStr">
        <is>
          <t>Vontobel - Emerging Markets Corporate</t>
        </is>
      </c>
      <c r="E1024" t="inlineStr">
        <is>
          <t>Inv MM$</t>
        </is>
      </c>
      <c r="F1024" t="n">
        <v>9.731393000000001</v>
      </c>
    </row>
    <row r="1025">
      <c r="A1025" t="inlineStr">
        <is>
          <t>202512</t>
        </is>
      </c>
      <c r="B1025" t="inlineStr">
        <is>
          <t>Comparación</t>
        </is>
      </c>
      <c r="C1025" t="inlineStr">
        <is>
          <t>Integra</t>
        </is>
      </c>
      <c r="D1025" t="inlineStr">
        <is>
          <t>Vontobel - Emerging Markets Debt</t>
        </is>
      </c>
      <c r="E1025" t="inlineStr">
        <is>
          <t>Huella</t>
        </is>
      </c>
      <c r="F1025" t="n">
        <v>7874.998665</v>
      </c>
    </row>
    <row r="1026">
      <c r="A1026" t="inlineStr">
        <is>
          <t>202512</t>
        </is>
      </c>
      <c r="B1026" t="inlineStr">
        <is>
          <t>Comparación</t>
        </is>
      </c>
      <c r="C1026" t="inlineStr">
        <is>
          <t>Integra</t>
        </is>
      </c>
      <c r="D1026" t="inlineStr">
        <is>
          <t>Vontobel - Emerging Markets Debt</t>
        </is>
      </c>
      <c r="E1026" t="inlineStr">
        <is>
          <t>Intensidad</t>
        </is>
      </c>
      <c r="F1026" t="n">
        <v>3.630067</v>
      </c>
    </row>
    <row r="1027">
      <c r="A1027" t="inlineStr">
        <is>
          <t>202512</t>
        </is>
      </c>
      <c r="B1027" t="inlineStr">
        <is>
          <t>Comparación</t>
        </is>
      </c>
      <c r="C1027" t="inlineStr">
        <is>
          <t>Integra</t>
        </is>
      </c>
      <c r="D1027" t="inlineStr">
        <is>
          <t>Vontobel - Emerging Markets Debt</t>
        </is>
      </c>
      <c r="E1027" t="inlineStr">
        <is>
          <t>Inv MM$</t>
        </is>
      </c>
      <c r="F1027" t="n">
        <v>25.778517</v>
      </c>
    </row>
    <row r="1028">
      <c r="A1028" t="inlineStr">
        <is>
          <t>202512</t>
        </is>
      </c>
      <c r="B1028" t="inlineStr">
        <is>
          <t>Comparación</t>
        </is>
      </c>
      <c r="C1028" t="inlineStr">
        <is>
          <t>Prima</t>
        </is>
      </c>
      <c r="D1028" t="inlineStr">
        <is>
          <t>Aberdeen - Select Emerging Markets Bond</t>
        </is>
      </c>
      <c r="E1028" t="inlineStr">
        <is>
          <t>Huella</t>
        </is>
      </c>
      <c r="F1028" t="n">
        <v>2.4e-05</v>
      </c>
    </row>
    <row r="1029">
      <c r="A1029" t="inlineStr">
        <is>
          <t>202512</t>
        </is>
      </c>
      <c r="B1029" t="inlineStr">
        <is>
          <t>Comparación</t>
        </is>
      </c>
      <c r="C1029" t="inlineStr">
        <is>
          <t>Prima</t>
        </is>
      </c>
      <c r="D1029" t="inlineStr">
        <is>
          <t>Aberdeen - Select Emerging Markets Bond</t>
        </is>
      </c>
      <c r="E1029" t="inlineStr">
        <is>
          <t>Intensidad</t>
        </is>
      </c>
      <c r="F1029" t="n">
        <v>0</v>
      </c>
    </row>
    <row r="1030">
      <c r="A1030" t="inlineStr">
        <is>
          <t>202512</t>
        </is>
      </c>
      <c r="B1030" t="inlineStr">
        <is>
          <t>Comparación</t>
        </is>
      </c>
      <c r="C1030" t="inlineStr">
        <is>
          <t>Prima</t>
        </is>
      </c>
      <c r="D1030" t="inlineStr">
        <is>
          <t>Aberdeen - Select Emerging Markets Bond</t>
        </is>
      </c>
      <c r="E1030" t="inlineStr">
        <is>
          <t>Inv MM$</t>
        </is>
      </c>
      <c r="F1030" t="n">
        <v>0</v>
      </c>
    </row>
    <row r="1031">
      <c r="A1031" t="inlineStr">
        <is>
          <t>202512</t>
        </is>
      </c>
      <c r="B1031" t="inlineStr">
        <is>
          <t>Comparación</t>
        </is>
      </c>
      <c r="C1031" t="inlineStr">
        <is>
          <t>Prima</t>
        </is>
      </c>
      <c r="D1031" t="inlineStr">
        <is>
          <t>Aegon High Yield Global Bond Fund</t>
        </is>
      </c>
      <c r="E1031" t="inlineStr">
        <is>
          <t>Huella</t>
        </is>
      </c>
      <c r="F1031" t="n">
        <v>2067.305769</v>
      </c>
    </row>
    <row r="1032">
      <c r="A1032" t="inlineStr">
        <is>
          <t>202512</t>
        </is>
      </c>
      <c r="B1032" t="inlineStr">
        <is>
          <t>Comparación</t>
        </is>
      </c>
      <c r="C1032" t="inlineStr">
        <is>
          <t>Prima</t>
        </is>
      </c>
      <c r="D1032" t="inlineStr">
        <is>
          <t>Aegon High Yield Global Bond Fund</t>
        </is>
      </c>
      <c r="E1032" t="inlineStr">
        <is>
          <t>Intensidad</t>
        </is>
      </c>
      <c r="F1032" t="n">
        <v>0.764188</v>
      </c>
    </row>
    <row r="1033">
      <c r="A1033" t="inlineStr">
        <is>
          <t>202512</t>
        </is>
      </c>
      <c r="B1033" t="inlineStr">
        <is>
          <t>Comparación</t>
        </is>
      </c>
      <c r="C1033" t="inlineStr">
        <is>
          <t>Prima</t>
        </is>
      </c>
      <c r="D1033" t="inlineStr">
        <is>
          <t>Aegon High Yield Global Bond Fund</t>
        </is>
      </c>
      <c r="E1033" t="inlineStr">
        <is>
          <t>Inv MM$</t>
        </is>
      </c>
      <c r="F1033" t="n">
        <v>30.826129</v>
      </c>
    </row>
    <row r="1034">
      <c r="A1034" t="inlineStr">
        <is>
          <t>202512</t>
        </is>
      </c>
      <c r="B1034" t="inlineStr">
        <is>
          <t>Comparación</t>
        </is>
      </c>
      <c r="C1034" t="inlineStr">
        <is>
          <t>Prima</t>
        </is>
      </c>
      <c r="D1034" t="inlineStr">
        <is>
          <t>Aenza</t>
        </is>
      </c>
      <c r="E1034" t="inlineStr">
        <is>
          <t>Huella</t>
        </is>
      </c>
      <c r="F1034" t="n">
        <v>2782.109492</v>
      </c>
    </row>
    <row r="1035">
      <c r="A1035" t="inlineStr">
        <is>
          <t>202512</t>
        </is>
      </c>
      <c r="B1035" t="inlineStr">
        <is>
          <t>Comparación</t>
        </is>
      </c>
      <c r="C1035" t="inlineStr">
        <is>
          <t>Prima</t>
        </is>
      </c>
      <c r="D1035" t="inlineStr">
        <is>
          <t>Aenza</t>
        </is>
      </c>
      <c r="E1035" t="inlineStr">
        <is>
          <t>Intensidad</t>
        </is>
      </c>
      <c r="F1035" t="n">
        <v>1.618552</v>
      </c>
    </row>
    <row r="1036">
      <c r="A1036" t="inlineStr">
        <is>
          <t>202512</t>
        </is>
      </c>
      <c r="B1036" t="inlineStr">
        <is>
          <t>Comparación</t>
        </is>
      </c>
      <c r="C1036" t="inlineStr">
        <is>
          <t>Prima</t>
        </is>
      </c>
      <c r="D1036" t="inlineStr">
        <is>
          <t>Aenza</t>
        </is>
      </c>
      <c r="E1036" t="inlineStr">
        <is>
          <t>Inv MM$</t>
        </is>
      </c>
      <c r="F1036" t="n">
        <v>21.69117</v>
      </c>
    </row>
    <row r="1037">
      <c r="A1037" t="inlineStr">
        <is>
          <t>202512</t>
        </is>
      </c>
      <c r="B1037" t="inlineStr">
        <is>
          <t>Comparación</t>
        </is>
      </c>
      <c r="C1037" t="inlineStr">
        <is>
          <t>Prima</t>
        </is>
      </c>
      <c r="D1037" t="inlineStr">
        <is>
          <t>Alicorp</t>
        </is>
      </c>
      <c r="E1037" t="inlineStr">
        <is>
          <t>Huella</t>
        </is>
      </c>
      <c r="F1037" t="n">
        <v>72.00679700000001</v>
      </c>
    </row>
    <row r="1038">
      <c r="A1038" t="inlineStr">
        <is>
          <t>202512</t>
        </is>
      </c>
      <c r="B1038" t="inlineStr">
        <is>
          <t>Comparación</t>
        </is>
      </c>
      <c r="C1038" t="inlineStr">
        <is>
          <t>Prima</t>
        </is>
      </c>
      <c r="D1038" t="inlineStr">
        <is>
          <t>Alicorp</t>
        </is>
      </c>
      <c r="E1038" t="inlineStr">
        <is>
          <t>Intensidad</t>
        </is>
      </c>
      <c r="F1038" t="n">
        <v>0.060501</v>
      </c>
    </row>
    <row r="1039">
      <c r="A1039" t="inlineStr">
        <is>
          <t>202512</t>
        </is>
      </c>
      <c r="B1039" t="inlineStr">
        <is>
          <t>Comparación</t>
        </is>
      </c>
      <c r="C1039" t="inlineStr">
        <is>
          <t>Prima</t>
        </is>
      </c>
      <c r="D1039" t="inlineStr">
        <is>
          <t>Alicorp</t>
        </is>
      </c>
      <c r="E1039" t="inlineStr">
        <is>
          <t>Inv MM$</t>
        </is>
      </c>
      <c r="F1039" t="n">
        <v>1.967399</v>
      </c>
    </row>
    <row r="1040">
      <c r="A1040" t="inlineStr">
        <is>
          <t>202512</t>
        </is>
      </c>
      <c r="B1040" t="inlineStr">
        <is>
          <t>Comparación</t>
        </is>
      </c>
      <c r="C1040" t="inlineStr">
        <is>
          <t>Prima</t>
        </is>
      </c>
      <c r="D1040" t="inlineStr">
        <is>
          <t>Azimut Investments SA - AZ Fund 3, AZ Bond Frontier Markets Debt</t>
        </is>
      </c>
      <c r="E1040" t="inlineStr">
        <is>
          <t>Huella</t>
        </is>
      </c>
      <c r="F1040" t="n">
        <v>10.050003</v>
      </c>
    </row>
    <row r="1041">
      <c r="A1041" t="inlineStr">
        <is>
          <t>202512</t>
        </is>
      </c>
      <c r="B1041" t="inlineStr">
        <is>
          <t>Comparación</t>
        </is>
      </c>
      <c r="C1041" t="inlineStr">
        <is>
          <t>Prima</t>
        </is>
      </c>
      <c r="D1041" t="inlineStr">
        <is>
          <t>Azimut Investments SA - AZ Fund 3, AZ Bond Frontier Markets Debt</t>
        </is>
      </c>
      <c r="E1041" t="inlineStr">
        <is>
          <t>Intensidad</t>
        </is>
      </c>
      <c r="F1041" t="n">
        <v>0.005313</v>
      </c>
    </row>
    <row r="1042">
      <c r="A1042" t="inlineStr">
        <is>
          <t>202512</t>
        </is>
      </c>
      <c r="B1042" t="inlineStr">
        <is>
          <t>Comparación</t>
        </is>
      </c>
      <c r="C1042" t="inlineStr">
        <is>
          <t>Prima</t>
        </is>
      </c>
      <c r="D1042" t="inlineStr">
        <is>
          <t>Azimut Investments SA - AZ Fund 3, AZ Bond Frontier Markets Debt</t>
        </is>
      </c>
      <c r="E1042" t="inlineStr">
        <is>
          <t>Inv MM$</t>
        </is>
      </c>
      <c r="F1042" t="n">
        <v>6.630968</v>
      </c>
    </row>
    <row r="1043">
      <c r="A1043" t="inlineStr">
        <is>
          <t>202512</t>
        </is>
      </c>
      <c r="B1043" t="inlineStr">
        <is>
          <t>Comparación</t>
        </is>
      </c>
      <c r="C1043" t="inlineStr">
        <is>
          <t>Prima</t>
        </is>
      </c>
      <c r="D1043" t="inlineStr">
        <is>
          <t>BBVA Bancomer</t>
        </is>
      </c>
      <c r="E1043" t="inlineStr">
        <is>
          <t>Huella</t>
        </is>
      </c>
      <c r="F1043" t="n">
        <v>13.592281</v>
      </c>
    </row>
    <row r="1044">
      <c r="A1044" t="inlineStr">
        <is>
          <t>202512</t>
        </is>
      </c>
      <c r="B1044" t="inlineStr">
        <is>
          <t>Comparación</t>
        </is>
      </c>
      <c r="C1044" t="inlineStr">
        <is>
          <t>Prima</t>
        </is>
      </c>
      <c r="D1044" t="inlineStr">
        <is>
          <t>BBVA Bancomer</t>
        </is>
      </c>
      <c r="E1044" t="inlineStr">
        <is>
          <t>Intensidad</t>
        </is>
      </c>
      <c r="F1044" t="n">
        <v>0.007186</v>
      </c>
    </row>
    <row r="1045">
      <c r="A1045" t="inlineStr">
        <is>
          <t>202512</t>
        </is>
      </c>
      <c r="B1045" t="inlineStr">
        <is>
          <t>Comparación</t>
        </is>
      </c>
      <c r="C1045" t="inlineStr">
        <is>
          <t>Prima</t>
        </is>
      </c>
      <c r="D1045" t="inlineStr">
        <is>
          <t>BBVA Bancomer</t>
        </is>
      </c>
      <c r="E1045" t="inlineStr">
        <is>
          <t>Inv MM$</t>
        </is>
      </c>
      <c r="F1045" t="n">
        <v>11.326901</v>
      </c>
    </row>
    <row r="1046">
      <c r="A1046" t="inlineStr">
        <is>
          <t>202512</t>
        </is>
      </c>
      <c r="B1046" t="inlineStr">
        <is>
          <t>Comparación</t>
        </is>
      </c>
      <c r="C1046" t="inlineStr">
        <is>
          <t>Prima</t>
        </is>
      </c>
      <c r="D1046" t="inlineStr">
        <is>
          <t>BD Capital - Senior Loans 2</t>
        </is>
      </c>
      <c r="E1046" t="inlineStr">
        <is>
          <t>Huella</t>
        </is>
      </c>
      <c r="F1046" t="n">
        <v>4171.318879</v>
      </c>
    </row>
    <row r="1047">
      <c r="A1047" t="inlineStr">
        <is>
          <t>202512</t>
        </is>
      </c>
      <c r="B1047" t="inlineStr">
        <is>
          <t>Comparación</t>
        </is>
      </c>
      <c r="C1047" t="inlineStr">
        <is>
          <t>Prima</t>
        </is>
      </c>
      <c r="D1047" t="inlineStr">
        <is>
          <t>BD Capital - Senior Loans 2</t>
        </is>
      </c>
      <c r="E1047" t="inlineStr">
        <is>
          <t>Intensidad</t>
        </is>
      </c>
      <c r="F1047" t="n">
        <v>1.704013</v>
      </c>
    </row>
    <row r="1048">
      <c r="A1048" t="inlineStr">
        <is>
          <t>202512</t>
        </is>
      </c>
      <c r="B1048" t="inlineStr">
        <is>
          <t>Comparación</t>
        </is>
      </c>
      <c r="C1048" t="inlineStr">
        <is>
          <t>Prima</t>
        </is>
      </c>
      <c r="D1048" t="inlineStr">
        <is>
          <t>BD Capital - Senior Loans 2</t>
        </is>
      </c>
      <c r="E1048" t="inlineStr">
        <is>
          <t>Inv MM$</t>
        </is>
      </c>
      <c r="F1048" t="n">
        <v>34.127593</v>
      </c>
    </row>
    <row r="1049">
      <c r="A1049" t="inlineStr">
        <is>
          <t>202512</t>
        </is>
      </c>
      <c r="B1049" t="inlineStr">
        <is>
          <t>Comparación</t>
        </is>
      </c>
      <c r="C1049" t="inlineStr">
        <is>
          <t>Prima</t>
        </is>
      </c>
      <c r="D1049" t="inlineStr">
        <is>
          <t>Barings - Emerging Markets Local Debt Fund</t>
        </is>
      </c>
      <c r="E1049" t="inlineStr">
        <is>
          <t>Huella</t>
        </is>
      </c>
      <c r="F1049" t="n">
        <v>42.949867</v>
      </c>
    </row>
    <row r="1050">
      <c r="A1050" t="inlineStr">
        <is>
          <t>202512</t>
        </is>
      </c>
      <c r="B1050" t="inlineStr">
        <is>
          <t>Comparación</t>
        </is>
      </c>
      <c r="C1050" t="inlineStr">
        <is>
          <t>Prima</t>
        </is>
      </c>
      <c r="D1050" t="inlineStr">
        <is>
          <t>Barings - Emerging Markets Local Debt Fund</t>
        </is>
      </c>
      <c r="E1050" t="inlineStr">
        <is>
          <t>Intensidad</t>
        </is>
      </c>
      <c r="F1050" t="n">
        <v>0.022708</v>
      </c>
    </row>
    <row r="1051">
      <c r="A1051" t="inlineStr">
        <is>
          <t>202512</t>
        </is>
      </c>
      <c r="B1051" t="inlineStr">
        <is>
          <t>Comparación</t>
        </is>
      </c>
      <c r="C1051" t="inlineStr">
        <is>
          <t>Prima</t>
        </is>
      </c>
      <c r="D1051" t="inlineStr">
        <is>
          <t>Barings - Emerging Markets Local Debt Fund</t>
        </is>
      </c>
      <c r="E1051" t="inlineStr">
        <is>
          <t>Inv MM$</t>
        </is>
      </c>
      <c r="F1051" t="n">
        <v>17.6412</v>
      </c>
    </row>
    <row r="1052">
      <c r="A1052" t="inlineStr">
        <is>
          <t>202512</t>
        </is>
      </c>
      <c r="B1052" t="inlineStr">
        <is>
          <t>Comparación</t>
        </is>
      </c>
      <c r="C1052" t="inlineStr">
        <is>
          <t>Prima</t>
        </is>
      </c>
      <c r="D1052" t="inlineStr">
        <is>
          <t>BlackRock - Global Unconstrained Equity Fund</t>
        </is>
      </c>
      <c r="E1052" t="inlineStr">
        <is>
          <t>Huella</t>
        </is>
      </c>
      <c r="F1052" t="n">
        <v>344.450899</v>
      </c>
    </row>
    <row r="1053">
      <c r="A1053" t="inlineStr">
        <is>
          <t>202512</t>
        </is>
      </c>
      <c r="B1053" t="inlineStr">
        <is>
          <t>Comparación</t>
        </is>
      </c>
      <c r="C1053" t="inlineStr">
        <is>
          <t>Prima</t>
        </is>
      </c>
      <c r="D1053" t="inlineStr">
        <is>
          <t>BlackRock - Global Unconstrained Equity Fund</t>
        </is>
      </c>
      <c r="E1053" t="inlineStr">
        <is>
          <t>Intensidad</t>
        </is>
      </c>
      <c r="F1053" t="n">
        <v>0.186762</v>
      </c>
    </row>
    <row r="1054">
      <c r="A1054" t="inlineStr">
        <is>
          <t>202512</t>
        </is>
      </c>
      <c r="B1054" t="inlineStr">
        <is>
          <t>Comparación</t>
        </is>
      </c>
      <c r="C1054" t="inlineStr">
        <is>
          <t>Prima</t>
        </is>
      </c>
      <c r="D1054" t="inlineStr">
        <is>
          <t>BlackRock - Global Unconstrained Equity Fund</t>
        </is>
      </c>
      <c r="E1054" t="inlineStr">
        <is>
          <t>Inv MM$</t>
        </is>
      </c>
      <c r="F1054" t="n">
        <v>88.973387</v>
      </c>
    </row>
    <row r="1055">
      <c r="A1055" t="inlineStr">
        <is>
          <t>202512</t>
        </is>
      </c>
      <c r="B1055" t="inlineStr">
        <is>
          <t>Comparación</t>
        </is>
      </c>
      <c r="C1055" t="inlineStr">
        <is>
          <t>Prima</t>
        </is>
      </c>
      <c r="D1055" t="inlineStr">
        <is>
          <t>BlackRock - iShares Convertible Bond ETF</t>
        </is>
      </c>
      <c r="E1055" t="inlineStr">
        <is>
          <t>Huella</t>
        </is>
      </c>
      <c r="F1055" t="n">
        <v>4631.741085</v>
      </c>
    </row>
    <row r="1056">
      <c r="A1056" t="inlineStr">
        <is>
          <t>202512</t>
        </is>
      </c>
      <c r="B1056" t="inlineStr">
        <is>
          <t>Comparación</t>
        </is>
      </c>
      <c r="C1056" t="inlineStr">
        <is>
          <t>Prima</t>
        </is>
      </c>
      <c r="D1056" t="inlineStr">
        <is>
          <t>BlackRock - iShares Convertible Bond ETF</t>
        </is>
      </c>
      <c r="E1056" t="inlineStr">
        <is>
          <t>Intensidad</t>
        </is>
      </c>
      <c r="F1056" t="n">
        <v>1.783702</v>
      </c>
    </row>
    <row r="1057">
      <c r="A1057" t="inlineStr">
        <is>
          <t>202512</t>
        </is>
      </c>
      <c r="B1057" t="inlineStr">
        <is>
          <t>Comparación</t>
        </is>
      </c>
      <c r="C1057" t="inlineStr">
        <is>
          <t>Prima</t>
        </is>
      </c>
      <c r="D1057" t="inlineStr">
        <is>
          <t>BlackRock - iShares Convertible Bond ETF</t>
        </is>
      </c>
      <c r="E1057" t="inlineStr">
        <is>
          <t>Inv MM$</t>
        </is>
      </c>
      <c r="F1057" t="n">
        <v>83.366202</v>
      </c>
    </row>
    <row r="1058">
      <c r="A1058" t="inlineStr">
        <is>
          <t>202512</t>
        </is>
      </c>
      <c r="B1058" t="inlineStr">
        <is>
          <t>Comparación</t>
        </is>
      </c>
      <c r="C1058" t="inlineStr">
        <is>
          <t>Prima</t>
        </is>
      </c>
      <c r="D1058" t="inlineStr">
        <is>
          <t>BlackRock - iShares MSCI Brazil</t>
        </is>
      </c>
      <c r="E1058" t="inlineStr">
        <is>
          <t>Huella</t>
        </is>
      </c>
      <c r="F1058" t="n">
        <v>19022.269875</v>
      </c>
    </row>
    <row r="1059">
      <c r="A1059" t="inlineStr">
        <is>
          <t>202512</t>
        </is>
      </c>
      <c r="B1059" t="inlineStr">
        <is>
          <t>Comparación</t>
        </is>
      </c>
      <c r="C1059" t="inlineStr">
        <is>
          <t>Prima</t>
        </is>
      </c>
      <c r="D1059" t="inlineStr">
        <is>
          <t>BlackRock - iShares MSCI Brazil</t>
        </is>
      </c>
      <c r="E1059" t="inlineStr">
        <is>
          <t>Intensidad</t>
        </is>
      </c>
      <c r="F1059" t="n">
        <v>6.272324</v>
      </c>
    </row>
    <row r="1060">
      <c r="A1060" t="inlineStr">
        <is>
          <t>202512</t>
        </is>
      </c>
      <c r="B1060" t="inlineStr">
        <is>
          <t>Comparación</t>
        </is>
      </c>
      <c r="C1060" t="inlineStr">
        <is>
          <t>Prima</t>
        </is>
      </c>
      <c r="D1060" t="inlineStr">
        <is>
          <t>BlackRock - iShares MSCI Brazil</t>
        </is>
      </c>
      <c r="E1060" t="inlineStr">
        <is>
          <t>Inv MM$</t>
        </is>
      </c>
      <c r="F1060" t="n">
        <v>207.449741</v>
      </c>
    </row>
    <row r="1061">
      <c r="A1061" t="inlineStr">
        <is>
          <t>202512</t>
        </is>
      </c>
      <c r="B1061" t="inlineStr">
        <is>
          <t>Comparación</t>
        </is>
      </c>
      <c r="C1061" t="inlineStr">
        <is>
          <t>Prima</t>
        </is>
      </c>
      <c r="D1061" t="inlineStr">
        <is>
          <t>BlackRock - iShares PHLX Semiconductor ETF</t>
        </is>
      </c>
      <c r="E1061" t="inlineStr">
        <is>
          <t>Huella</t>
        </is>
      </c>
      <c r="F1061" t="n">
        <v>996.992331</v>
      </c>
    </row>
    <row r="1062">
      <c r="A1062" t="inlineStr">
        <is>
          <t>202512</t>
        </is>
      </c>
      <c r="B1062" t="inlineStr">
        <is>
          <t>Comparación</t>
        </is>
      </c>
      <c r="C1062" t="inlineStr">
        <is>
          <t>Prima</t>
        </is>
      </c>
      <c r="D1062" t="inlineStr">
        <is>
          <t>BlackRock - iShares PHLX Semiconductor ETF</t>
        </is>
      </c>
      <c r="E1062" t="inlineStr">
        <is>
          <t>Intensidad</t>
        </is>
      </c>
      <c r="F1062" t="n">
        <v>0.462104</v>
      </c>
    </row>
    <row r="1063">
      <c r="A1063" t="inlineStr">
        <is>
          <t>202512</t>
        </is>
      </c>
      <c r="B1063" t="inlineStr">
        <is>
          <t>Comparación</t>
        </is>
      </c>
      <c r="C1063" t="inlineStr">
        <is>
          <t>Prima</t>
        </is>
      </c>
      <c r="D1063" t="inlineStr">
        <is>
          <t>BlackRock - iShares PHLX Semiconductor ETF</t>
        </is>
      </c>
      <c r="E1063" t="inlineStr">
        <is>
          <t>Inv MM$</t>
        </is>
      </c>
      <c r="F1063" t="n">
        <v>117.869236</v>
      </c>
    </row>
    <row r="1064">
      <c r="A1064" t="inlineStr">
        <is>
          <t>202512</t>
        </is>
      </c>
      <c r="B1064" t="inlineStr">
        <is>
          <t>Comparación</t>
        </is>
      </c>
      <c r="C1064" t="inlineStr">
        <is>
          <t>Prima</t>
        </is>
      </c>
      <c r="D1064" t="inlineStr">
        <is>
          <t>BlackRock - iShares iBoxx High Yield Corporate Bond</t>
        </is>
      </c>
      <c r="E1064" t="inlineStr">
        <is>
          <t>Huella</t>
        </is>
      </c>
      <c r="F1064" t="n">
        <v>6341.61245</v>
      </c>
    </row>
    <row r="1065">
      <c r="A1065" t="inlineStr">
        <is>
          <t>202512</t>
        </is>
      </c>
      <c r="B1065" t="inlineStr">
        <is>
          <t>Comparación</t>
        </is>
      </c>
      <c r="C1065" t="inlineStr">
        <is>
          <t>Prima</t>
        </is>
      </c>
      <c r="D1065" t="inlineStr">
        <is>
          <t>BlackRock - iShares iBoxx High Yield Corporate Bond</t>
        </is>
      </c>
      <c r="E1065" t="inlineStr">
        <is>
          <t>Intensidad</t>
        </is>
      </c>
      <c r="F1065" t="n">
        <v>2.789848</v>
      </c>
    </row>
    <row r="1066">
      <c r="A1066" t="inlineStr">
        <is>
          <t>202512</t>
        </is>
      </c>
      <c r="B1066" t="inlineStr">
        <is>
          <t>Comparación</t>
        </is>
      </c>
      <c r="C1066" t="inlineStr">
        <is>
          <t>Prima</t>
        </is>
      </c>
      <c r="D1066" t="inlineStr">
        <is>
          <t>BlackRock - iShares iBoxx High Yield Corporate Bond</t>
        </is>
      </c>
      <c r="E1066" t="inlineStr">
        <is>
          <t>Inv MM$</t>
        </is>
      </c>
      <c r="F1066" t="n">
        <v>51.883822</v>
      </c>
    </row>
    <row r="1067">
      <c r="A1067" t="inlineStr">
        <is>
          <t>202512</t>
        </is>
      </c>
      <c r="B1067" t="inlineStr">
        <is>
          <t>Comparación</t>
        </is>
      </c>
      <c r="C1067" t="inlineStr">
        <is>
          <t>Prima</t>
        </is>
      </c>
      <c r="D1067" t="inlineStr">
        <is>
          <t>Buenaventura*</t>
        </is>
      </c>
      <c r="E1067" t="inlineStr">
        <is>
          <t>Huella</t>
        </is>
      </c>
      <c r="F1067" t="n">
        <v>13396.339637</v>
      </c>
    </row>
    <row r="1068">
      <c r="A1068" t="inlineStr">
        <is>
          <t>202512</t>
        </is>
      </c>
      <c r="B1068" t="inlineStr">
        <is>
          <t>Comparación</t>
        </is>
      </c>
      <c r="C1068" t="inlineStr">
        <is>
          <t>Prima</t>
        </is>
      </c>
      <c r="D1068" t="inlineStr">
        <is>
          <t>Buenaventura*</t>
        </is>
      </c>
      <c r="E1068" t="inlineStr">
        <is>
          <t>Intensidad</t>
        </is>
      </c>
      <c r="F1068" t="n">
        <v>4.054527</v>
      </c>
    </row>
    <row r="1069">
      <c r="A1069" t="inlineStr">
        <is>
          <t>202512</t>
        </is>
      </c>
      <c r="B1069" t="inlineStr">
        <is>
          <t>Comparación</t>
        </is>
      </c>
      <c r="C1069" t="inlineStr">
        <is>
          <t>Prima</t>
        </is>
      </c>
      <c r="D1069" t="inlineStr">
        <is>
          <t>Buenaventura*</t>
        </is>
      </c>
      <c r="E1069" t="inlineStr">
        <is>
          <t>Inv MM$</t>
        </is>
      </c>
      <c r="F1069" t="n">
        <v>229.389377</v>
      </c>
    </row>
    <row r="1070">
      <c r="A1070" t="inlineStr">
        <is>
          <t>202512</t>
        </is>
      </c>
      <c r="B1070" t="inlineStr">
        <is>
          <t>Comparación</t>
        </is>
      </c>
      <c r="C1070" t="inlineStr">
        <is>
          <t>Prima</t>
        </is>
      </c>
      <c r="D1070" t="inlineStr">
        <is>
          <t>Candriam Bonds - Global High Yield</t>
        </is>
      </c>
      <c r="E1070" t="inlineStr">
        <is>
          <t>Huella</t>
        </is>
      </c>
      <c r="F1070" t="n">
        <v>5187.185301</v>
      </c>
    </row>
    <row r="1071">
      <c r="A1071" t="inlineStr">
        <is>
          <t>202512</t>
        </is>
      </c>
      <c r="B1071" t="inlineStr">
        <is>
          <t>Comparación</t>
        </is>
      </c>
      <c r="C1071" t="inlineStr">
        <is>
          <t>Prima</t>
        </is>
      </c>
      <c r="D1071" t="inlineStr">
        <is>
          <t>Candriam Bonds - Global High Yield</t>
        </is>
      </c>
      <c r="E1071" t="inlineStr">
        <is>
          <t>Intensidad</t>
        </is>
      </c>
      <c r="F1071" t="n">
        <v>1.79662</v>
      </c>
    </row>
    <row r="1072">
      <c r="A1072" t="inlineStr">
        <is>
          <t>202512</t>
        </is>
      </c>
      <c r="B1072" t="inlineStr">
        <is>
          <t>Comparación</t>
        </is>
      </c>
      <c r="C1072" t="inlineStr">
        <is>
          <t>Prima</t>
        </is>
      </c>
      <c r="D1072" t="inlineStr">
        <is>
          <t>Candriam Bonds - Global High Yield</t>
        </is>
      </c>
      <c r="E1072" t="inlineStr">
        <is>
          <t>Inv MM$</t>
        </is>
      </c>
      <c r="F1072" t="n">
        <v>36.303316</v>
      </c>
    </row>
    <row r="1073">
      <c r="A1073" t="inlineStr">
        <is>
          <t>202512</t>
        </is>
      </c>
      <c r="B1073" t="inlineStr">
        <is>
          <t>Comparación</t>
        </is>
      </c>
      <c r="C1073" t="inlineStr">
        <is>
          <t>Prima</t>
        </is>
      </c>
      <c r="D1073" t="inlineStr">
        <is>
          <t>Colchester Local Markets Bond Fund USD Unhedged</t>
        </is>
      </c>
      <c r="E1073" t="inlineStr">
        <is>
          <t>Huella</t>
        </is>
      </c>
      <c r="F1073" t="n">
        <v>14572.635112</v>
      </c>
    </row>
    <row r="1074">
      <c r="A1074" t="inlineStr">
        <is>
          <t>202512</t>
        </is>
      </c>
      <c r="B1074" t="inlineStr">
        <is>
          <t>Comparación</t>
        </is>
      </c>
      <c r="C1074" t="inlineStr">
        <is>
          <t>Prima</t>
        </is>
      </c>
      <c r="D1074" t="inlineStr">
        <is>
          <t>Colchester Local Markets Bond Fund USD Unhedged</t>
        </is>
      </c>
      <c r="E1074" t="inlineStr">
        <is>
          <t>Intensidad</t>
        </is>
      </c>
      <c r="F1074" t="n">
        <v>7.704617</v>
      </c>
    </row>
    <row r="1075">
      <c r="A1075" t="inlineStr">
        <is>
          <t>202512</t>
        </is>
      </c>
      <c r="B1075" t="inlineStr">
        <is>
          <t>Comparación</t>
        </is>
      </c>
      <c r="C1075" t="inlineStr">
        <is>
          <t>Prima</t>
        </is>
      </c>
      <c r="D1075" t="inlineStr">
        <is>
          <t>Colchester Local Markets Bond Fund USD Unhedged</t>
        </is>
      </c>
      <c r="E1075" t="inlineStr">
        <is>
          <t>Inv MM$</t>
        </is>
      </c>
      <c r="F1075" t="n">
        <v>19.422378</v>
      </c>
    </row>
    <row r="1076">
      <c r="A1076" t="inlineStr">
        <is>
          <t>202512</t>
        </is>
      </c>
      <c r="B1076" t="inlineStr">
        <is>
          <t>Comparación</t>
        </is>
      </c>
      <c r="C1076" t="inlineStr">
        <is>
          <t>Prima</t>
        </is>
      </c>
      <c r="D1076" t="inlineStr">
        <is>
          <t>Comgest - Japan Growth</t>
        </is>
      </c>
      <c r="E1076" t="inlineStr">
        <is>
          <t>Huella</t>
        </is>
      </c>
      <c r="F1076" t="n">
        <v>14.139185</v>
      </c>
    </row>
    <row r="1077">
      <c r="A1077" t="inlineStr">
        <is>
          <t>202512</t>
        </is>
      </c>
      <c r="B1077" t="inlineStr">
        <is>
          <t>Comparación</t>
        </is>
      </c>
      <c r="C1077" t="inlineStr">
        <is>
          <t>Prima</t>
        </is>
      </c>
      <c r="D1077" t="inlineStr">
        <is>
          <t>Comgest - Japan Growth</t>
        </is>
      </c>
      <c r="E1077" t="inlineStr">
        <is>
          <t>Intensidad</t>
        </is>
      </c>
      <c r="F1077" t="n">
        <v>0.002264</v>
      </c>
    </row>
    <row r="1078">
      <c r="A1078" t="inlineStr">
        <is>
          <t>202512</t>
        </is>
      </c>
      <c r="B1078" t="inlineStr">
        <is>
          <t>Comparación</t>
        </is>
      </c>
      <c r="C1078" t="inlineStr">
        <is>
          <t>Prima</t>
        </is>
      </c>
      <c r="D1078" t="inlineStr">
        <is>
          <t>Comgest - Japan Growth</t>
        </is>
      </c>
      <c r="E1078" t="inlineStr">
        <is>
          <t>Inv MM$</t>
        </is>
      </c>
      <c r="F1078" t="n">
        <v>1.082145</v>
      </c>
    </row>
    <row r="1079">
      <c r="A1079" t="inlineStr">
        <is>
          <t>202512</t>
        </is>
      </c>
      <c r="B1079" t="inlineStr">
        <is>
          <t>Comparación</t>
        </is>
      </c>
      <c r="C1079" t="inlineStr">
        <is>
          <t>Prima</t>
        </is>
      </c>
      <c r="D1079" t="inlineStr">
        <is>
          <t>Comgest- Europe Opportunities Fund</t>
        </is>
      </c>
      <c r="E1079" t="inlineStr">
        <is>
          <t>Huella</t>
        </is>
      </c>
      <c r="F1079" t="n">
        <v>0.236787</v>
      </c>
    </row>
    <row r="1080">
      <c r="A1080" t="inlineStr">
        <is>
          <t>202512</t>
        </is>
      </c>
      <c r="B1080" t="inlineStr">
        <is>
          <t>Comparación</t>
        </is>
      </c>
      <c r="C1080" t="inlineStr">
        <is>
          <t>Prima</t>
        </is>
      </c>
      <c r="D1080" t="inlineStr">
        <is>
          <t>Comgest- Europe Opportunities Fund</t>
        </is>
      </c>
      <c r="E1080" t="inlineStr">
        <is>
          <t>Intensidad</t>
        </is>
      </c>
      <c r="F1080" t="n">
        <v>3.8e-05</v>
      </c>
    </row>
    <row r="1081">
      <c r="A1081" t="inlineStr">
        <is>
          <t>202512</t>
        </is>
      </c>
      <c r="B1081" t="inlineStr">
        <is>
          <t>Comparación</t>
        </is>
      </c>
      <c r="C1081" t="inlineStr">
        <is>
          <t>Prima</t>
        </is>
      </c>
      <c r="D1081" t="inlineStr">
        <is>
          <t>Comgest- Europe Opportunities Fund</t>
        </is>
      </c>
      <c r="E1081" t="inlineStr">
        <is>
          <t>Inv MM$</t>
        </is>
      </c>
      <c r="F1081" t="n">
        <v>0.025216</v>
      </c>
    </row>
    <row r="1082">
      <c r="A1082" t="inlineStr">
        <is>
          <t>202512</t>
        </is>
      </c>
      <c r="B1082" t="inlineStr">
        <is>
          <t>Comparación</t>
        </is>
      </c>
      <c r="C1082" t="inlineStr">
        <is>
          <t>Prima</t>
        </is>
      </c>
      <c r="D1082" t="inlineStr">
        <is>
          <t>Comisión Federal de Electricidad</t>
        </is>
      </c>
      <c r="E1082" t="inlineStr">
        <is>
          <t>Huella</t>
        </is>
      </c>
      <c r="F1082" t="n">
        <v>0.158234</v>
      </c>
    </row>
    <row r="1083">
      <c r="A1083" t="inlineStr">
        <is>
          <t>202512</t>
        </is>
      </c>
      <c r="B1083" t="inlineStr">
        <is>
          <t>Comparación</t>
        </is>
      </c>
      <c r="C1083" t="inlineStr">
        <is>
          <t>Prima</t>
        </is>
      </c>
      <c r="D1083" t="inlineStr">
        <is>
          <t>Comisión Federal de Electricidad</t>
        </is>
      </c>
      <c r="E1083" t="inlineStr">
        <is>
          <t>Intensidad</t>
        </is>
      </c>
      <c r="F1083" t="n">
        <v>2.5e-05</v>
      </c>
    </row>
    <row r="1084">
      <c r="A1084" t="inlineStr">
        <is>
          <t>202512</t>
        </is>
      </c>
      <c r="B1084" t="inlineStr">
        <is>
          <t>Comparación</t>
        </is>
      </c>
      <c r="C1084" t="inlineStr">
        <is>
          <t>Prima</t>
        </is>
      </c>
      <c r="D1084" t="inlineStr">
        <is>
          <t>Comisión Federal de Electricidad</t>
        </is>
      </c>
      <c r="E1084" t="inlineStr">
        <is>
          <t>Inv MM$</t>
        </is>
      </c>
      <c r="F1084" t="n">
        <v>0.000176</v>
      </c>
    </row>
    <row r="1085">
      <c r="A1085" t="inlineStr">
        <is>
          <t>202512</t>
        </is>
      </c>
      <c r="B1085" t="inlineStr">
        <is>
          <t>Comparación</t>
        </is>
      </c>
      <c r="C1085" t="inlineStr">
        <is>
          <t>Prima</t>
        </is>
      </c>
      <c r="D1085" t="inlineStr">
        <is>
          <t>Credicorp*</t>
        </is>
      </c>
      <c r="E1085" t="inlineStr">
        <is>
          <t>Huella</t>
        </is>
      </c>
      <c r="F1085" t="n">
        <v>280.551238</v>
      </c>
    </row>
    <row r="1086">
      <c r="A1086" t="inlineStr">
        <is>
          <t>202512</t>
        </is>
      </c>
      <c r="B1086" t="inlineStr">
        <is>
          <t>Comparación</t>
        </is>
      </c>
      <c r="C1086" t="inlineStr">
        <is>
          <t>Prima</t>
        </is>
      </c>
      <c r="D1086" t="inlineStr">
        <is>
          <t>Credicorp*</t>
        </is>
      </c>
      <c r="E1086" t="inlineStr">
        <is>
          <t>Intensidad</t>
        </is>
      </c>
      <c r="F1086" t="n">
        <v>0.09478</v>
      </c>
    </row>
    <row r="1087">
      <c r="A1087" t="inlineStr">
        <is>
          <t>202512</t>
        </is>
      </c>
      <c r="B1087" t="inlineStr">
        <is>
          <t>Comparación</t>
        </is>
      </c>
      <c r="C1087" t="inlineStr">
        <is>
          <t>Prima</t>
        </is>
      </c>
      <c r="D1087" t="inlineStr">
        <is>
          <t>Credicorp*</t>
        </is>
      </c>
      <c r="E1087" t="inlineStr">
        <is>
          <t>Inv MM$</t>
        </is>
      </c>
      <c r="F1087" t="n">
        <v>384.316764</v>
      </c>
    </row>
    <row r="1088">
      <c r="A1088" t="inlineStr">
        <is>
          <t>202512</t>
        </is>
      </c>
      <c r="B1088" t="inlineStr">
        <is>
          <t>Comparación</t>
        </is>
      </c>
      <c r="C1088" t="inlineStr">
        <is>
          <t>Prima</t>
        </is>
      </c>
      <c r="D1088" t="inlineStr">
        <is>
          <t>Ecopetrol</t>
        </is>
      </c>
      <c r="E1088" t="inlineStr">
        <is>
          <t>Huella</t>
        </is>
      </c>
      <c r="F1088" t="n">
        <v>29028.956559</v>
      </c>
    </row>
    <row r="1089">
      <c r="A1089" t="inlineStr">
        <is>
          <t>202512</t>
        </is>
      </c>
      <c r="B1089" t="inlineStr">
        <is>
          <t>Comparación</t>
        </is>
      </c>
      <c r="C1089" t="inlineStr">
        <is>
          <t>Prima</t>
        </is>
      </c>
      <c r="D1089" t="inlineStr">
        <is>
          <t>Ecopetrol</t>
        </is>
      </c>
      <c r="E1089" t="inlineStr">
        <is>
          <t>Intensidad</t>
        </is>
      </c>
      <c r="F1089" t="n">
        <v>9.392567</v>
      </c>
    </row>
    <row r="1090">
      <c r="A1090" t="inlineStr">
        <is>
          <t>202512</t>
        </is>
      </c>
      <c r="B1090" t="inlineStr">
        <is>
          <t>Comparación</t>
        </is>
      </c>
      <c r="C1090" t="inlineStr">
        <is>
          <t>Prima</t>
        </is>
      </c>
      <c r="D1090" t="inlineStr">
        <is>
          <t>Ecopetrol</t>
        </is>
      </c>
      <c r="E1090" t="inlineStr">
        <is>
          <t>Inv MM$</t>
        </is>
      </c>
      <c r="F1090" t="n">
        <v>111.808946</v>
      </c>
    </row>
    <row r="1091">
      <c r="A1091" t="inlineStr">
        <is>
          <t>202512</t>
        </is>
      </c>
      <c r="B1091" t="inlineStr">
        <is>
          <t>Comparación</t>
        </is>
      </c>
      <c r="C1091" t="inlineStr">
        <is>
          <t>Prima</t>
        </is>
      </c>
      <c r="D1091" t="inlineStr">
        <is>
          <t>Edmond de Rothschild - Corp EM Debt USD</t>
        </is>
      </c>
      <c r="E1091" t="inlineStr">
        <is>
          <t>Huella</t>
        </is>
      </c>
      <c r="F1091" t="n">
        <v>13991.85515</v>
      </c>
    </row>
    <row r="1092">
      <c r="A1092" t="inlineStr">
        <is>
          <t>202512</t>
        </is>
      </c>
      <c r="B1092" t="inlineStr">
        <is>
          <t>Comparación</t>
        </is>
      </c>
      <c r="C1092" t="inlineStr">
        <is>
          <t>Prima</t>
        </is>
      </c>
      <c r="D1092" t="inlineStr">
        <is>
          <t>Edmond de Rothschild - Corp EM Debt USD</t>
        </is>
      </c>
      <c r="E1092" t="inlineStr">
        <is>
          <t>Intensidad</t>
        </is>
      </c>
      <c r="F1092" t="n">
        <v>5.799756</v>
      </c>
    </row>
    <row r="1093">
      <c r="A1093" t="inlineStr">
        <is>
          <t>202512</t>
        </is>
      </c>
      <c r="B1093" t="inlineStr">
        <is>
          <t>Comparación</t>
        </is>
      </c>
      <c r="C1093" t="inlineStr">
        <is>
          <t>Prima</t>
        </is>
      </c>
      <c r="D1093" t="inlineStr">
        <is>
          <t>Edmond de Rothschild - Corp EM Debt USD</t>
        </is>
      </c>
      <c r="E1093" t="inlineStr">
        <is>
          <t>Inv MM$</t>
        </is>
      </c>
      <c r="F1093" t="n">
        <v>36.657108</v>
      </c>
    </row>
    <row r="1094">
      <c r="A1094" t="inlineStr">
        <is>
          <t>202512</t>
        </is>
      </c>
      <c r="B1094" t="inlineStr">
        <is>
          <t>Comparación</t>
        </is>
      </c>
      <c r="C1094" t="inlineStr">
        <is>
          <t>Prima</t>
        </is>
      </c>
      <c r="D1094" t="inlineStr">
        <is>
          <t>Emp. Públicas Medellin</t>
        </is>
      </c>
      <c r="E1094" t="inlineStr">
        <is>
          <t>Huella</t>
        </is>
      </c>
      <c r="F1094" t="n">
        <v>2132.950053</v>
      </c>
    </row>
    <row r="1095">
      <c r="A1095" t="inlineStr">
        <is>
          <t>202512</t>
        </is>
      </c>
      <c r="B1095" t="inlineStr">
        <is>
          <t>Comparación</t>
        </is>
      </c>
      <c r="C1095" t="inlineStr">
        <is>
          <t>Prima</t>
        </is>
      </c>
      <c r="D1095" t="inlineStr">
        <is>
          <t>Emp. Públicas Medellin</t>
        </is>
      </c>
      <c r="E1095" t="inlineStr">
        <is>
          <t>Intensidad</t>
        </is>
      </c>
      <c r="F1095" t="n">
        <v>0.858786</v>
      </c>
    </row>
    <row r="1096">
      <c r="A1096" t="inlineStr">
        <is>
          <t>202512</t>
        </is>
      </c>
      <c r="B1096" t="inlineStr">
        <is>
          <t>Comparación</t>
        </is>
      </c>
      <c r="C1096" t="inlineStr">
        <is>
          <t>Prima</t>
        </is>
      </c>
      <c r="D1096" t="inlineStr">
        <is>
          <t>Emp. Públicas Medellin</t>
        </is>
      </c>
      <c r="E1096" t="inlineStr">
        <is>
          <t>Inv MM$</t>
        </is>
      </c>
      <c r="F1096" t="n">
        <v>65.367761</v>
      </c>
    </row>
    <row r="1097">
      <c r="A1097" t="inlineStr">
        <is>
          <t>202512</t>
        </is>
      </c>
      <c r="B1097" t="inlineStr">
        <is>
          <t>Comparación</t>
        </is>
      </c>
      <c r="C1097" t="inlineStr">
        <is>
          <t>Prima</t>
        </is>
      </c>
      <c r="D1097" t="inlineStr">
        <is>
          <t>Ferreyros</t>
        </is>
      </c>
      <c r="E1097" t="inlineStr">
        <is>
          <t>Huella</t>
        </is>
      </c>
      <c r="F1097" t="n">
        <v>1159.317849</v>
      </c>
    </row>
    <row r="1098">
      <c r="A1098" t="inlineStr">
        <is>
          <t>202512</t>
        </is>
      </c>
      <c r="B1098" t="inlineStr">
        <is>
          <t>Comparación</t>
        </is>
      </c>
      <c r="C1098" t="inlineStr">
        <is>
          <t>Prima</t>
        </is>
      </c>
      <c r="D1098" t="inlineStr">
        <is>
          <t>Ferreyros</t>
        </is>
      </c>
      <c r="E1098" t="inlineStr">
        <is>
          <t>Intensidad</t>
        </is>
      </c>
      <c r="F1098" t="n">
        <v>0.5042</v>
      </c>
    </row>
    <row r="1099">
      <c r="A1099" t="inlineStr">
        <is>
          <t>202512</t>
        </is>
      </c>
      <c r="B1099" t="inlineStr">
        <is>
          <t>Comparación</t>
        </is>
      </c>
      <c r="C1099" t="inlineStr">
        <is>
          <t>Prima</t>
        </is>
      </c>
      <c r="D1099" t="inlineStr">
        <is>
          <t>Ferreyros</t>
        </is>
      </c>
      <c r="E1099" t="inlineStr">
        <is>
          <t>Inv MM$</t>
        </is>
      </c>
      <c r="F1099" t="n">
        <v>145.826145</v>
      </c>
    </row>
    <row r="1100">
      <c r="A1100" t="inlineStr">
        <is>
          <t>202512</t>
        </is>
      </c>
      <c r="B1100" t="inlineStr">
        <is>
          <t>Comparación</t>
        </is>
      </c>
      <c r="C1100" t="inlineStr">
        <is>
          <t>Prima</t>
        </is>
      </c>
      <c r="D1100" t="inlineStr">
        <is>
          <t>Fidelity - European Dynamic Growth</t>
        </is>
      </c>
      <c r="E1100" t="inlineStr">
        <is>
          <t>Huella</t>
        </is>
      </c>
      <c r="F1100" t="n">
        <v>0.416915</v>
      </c>
    </row>
    <row r="1101">
      <c r="A1101" t="inlineStr">
        <is>
          <t>202512</t>
        </is>
      </c>
      <c r="B1101" t="inlineStr">
        <is>
          <t>Comparación</t>
        </is>
      </c>
      <c r="C1101" t="inlineStr">
        <is>
          <t>Prima</t>
        </is>
      </c>
      <c r="D1101" t="inlineStr">
        <is>
          <t>Fidelity - European Dynamic Growth</t>
        </is>
      </c>
      <c r="E1101" t="inlineStr">
        <is>
          <t>Intensidad</t>
        </is>
      </c>
      <c r="F1101" t="n">
        <v>6.7e-05</v>
      </c>
    </row>
    <row r="1102">
      <c r="A1102" t="inlineStr">
        <is>
          <t>202512</t>
        </is>
      </c>
      <c r="B1102" t="inlineStr">
        <is>
          <t>Comparación</t>
        </is>
      </c>
      <c r="C1102" t="inlineStr">
        <is>
          <t>Prima</t>
        </is>
      </c>
      <c r="D1102" t="inlineStr">
        <is>
          <t>Fidelity - European Dynamic Growth</t>
        </is>
      </c>
      <c r="E1102" t="inlineStr">
        <is>
          <t>Inv MM$</t>
        </is>
      </c>
      <c r="F1102" t="n">
        <v>0.022554</v>
      </c>
    </row>
    <row r="1103">
      <c r="A1103" t="inlineStr">
        <is>
          <t>202512</t>
        </is>
      </c>
      <c r="B1103" t="inlineStr">
        <is>
          <t>Comparación</t>
        </is>
      </c>
      <c r="C1103" t="inlineStr">
        <is>
          <t>Prima</t>
        </is>
      </c>
      <c r="D1103" t="inlineStr">
        <is>
          <t>Fondo Credicorp Deuda Soles II</t>
        </is>
      </c>
      <c r="E1103" t="inlineStr">
        <is>
          <t>Huella</t>
        </is>
      </c>
      <c r="F1103" t="n">
        <v>360.652326</v>
      </c>
    </row>
    <row r="1104">
      <c r="A1104" t="inlineStr">
        <is>
          <t>202512</t>
        </is>
      </c>
      <c r="B1104" t="inlineStr">
        <is>
          <t>Comparación</t>
        </is>
      </c>
      <c r="C1104" t="inlineStr">
        <is>
          <t>Prima</t>
        </is>
      </c>
      <c r="D1104" t="inlineStr">
        <is>
          <t>Fondo Credicorp Deuda Soles II</t>
        </is>
      </c>
      <c r="E1104" t="inlineStr">
        <is>
          <t>Intensidad</t>
        </is>
      </c>
      <c r="F1104" t="n">
        <v>0.114044</v>
      </c>
    </row>
    <row r="1105">
      <c r="A1105" t="inlineStr">
        <is>
          <t>202512</t>
        </is>
      </c>
      <c r="B1105" t="inlineStr">
        <is>
          <t>Comparación</t>
        </is>
      </c>
      <c r="C1105" t="inlineStr">
        <is>
          <t>Prima</t>
        </is>
      </c>
      <c r="D1105" t="inlineStr">
        <is>
          <t>Fondo Credicorp Deuda Soles II</t>
        </is>
      </c>
      <c r="E1105" t="inlineStr">
        <is>
          <t>Inv MM$</t>
        </is>
      </c>
      <c r="F1105" t="n">
        <v>11.510496</v>
      </c>
    </row>
    <row r="1106">
      <c r="A1106" t="inlineStr">
        <is>
          <t>202512</t>
        </is>
      </c>
      <c r="B1106" t="inlineStr">
        <is>
          <t>Comparación</t>
        </is>
      </c>
      <c r="C1106" t="inlineStr">
        <is>
          <t>Prima</t>
        </is>
      </c>
      <c r="D1106" t="inlineStr">
        <is>
          <t>Global Evolution Funds - Frontier Markets Fund</t>
        </is>
      </c>
      <c r="E1106" t="inlineStr">
        <is>
          <t>Huella</t>
        </is>
      </c>
      <c r="F1106" t="n">
        <v>81.90989399999999</v>
      </c>
    </row>
    <row r="1107">
      <c r="A1107" t="inlineStr">
        <is>
          <t>202512</t>
        </is>
      </c>
      <c r="B1107" t="inlineStr">
        <is>
          <t>Comparación</t>
        </is>
      </c>
      <c r="C1107" t="inlineStr">
        <is>
          <t>Prima</t>
        </is>
      </c>
      <c r="D1107" t="inlineStr">
        <is>
          <t>Global Evolution Funds - Frontier Markets Fund</t>
        </is>
      </c>
      <c r="E1107" t="inlineStr">
        <is>
          <t>Intensidad</t>
        </is>
      </c>
      <c r="F1107" t="n">
        <v>0.028625</v>
      </c>
    </row>
    <row r="1108">
      <c r="A1108" t="inlineStr">
        <is>
          <t>202512</t>
        </is>
      </c>
      <c r="B1108" t="inlineStr">
        <is>
          <t>Comparación</t>
        </is>
      </c>
      <c r="C1108" t="inlineStr">
        <is>
          <t>Prima</t>
        </is>
      </c>
      <c r="D1108" t="inlineStr">
        <is>
          <t>Global Evolution Funds - Frontier Markets Fund</t>
        </is>
      </c>
      <c r="E1108" t="inlineStr">
        <is>
          <t>Inv MM$</t>
        </is>
      </c>
      <c r="F1108" t="n">
        <v>127.637773</v>
      </c>
    </row>
    <row r="1109">
      <c r="A1109" t="inlineStr">
        <is>
          <t>202512</t>
        </is>
      </c>
      <c r="B1109" t="inlineStr">
        <is>
          <t>Comparación</t>
        </is>
      </c>
      <c r="C1109" t="inlineStr">
        <is>
          <t>Prima</t>
        </is>
      </c>
      <c r="D1109" t="inlineStr">
        <is>
          <t>Global X - Copper Miners ETF</t>
        </is>
      </c>
      <c r="E1109" t="inlineStr">
        <is>
          <t>Huella</t>
        </is>
      </c>
      <c r="F1109" t="n">
        <v>12939.903303</v>
      </c>
    </row>
    <row r="1110">
      <c r="A1110" t="inlineStr">
        <is>
          <t>202512</t>
        </is>
      </c>
      <c r="B1110" t="inlineStr">
        <is>
          <t>Comparación</t>
        </is>
      </c>
      <c r="C1110" t="inlineStr">
        <is>
          <t>Prima</t>
        </is>
      </c>
      <c r="D1110" t="inlineStr">
        <is>
          <t>Global X - Copper Miners ETF</t>
        </is>
      </c>
      <c r="E1110" t="inlineStr">
        <is>
          <t>Intensidad</t>
        </is>
      </c>
      <c r="F1110" t="n">
        <v>5.456066</v>
      </c>
    </row>
    <row r="1111">
      <c r="A1111" t="inlineStr">
        <is>
          <t>202512</t>
        </is>
      </c>
      <c r="B1111" t="inlineStr">
        <is>
          <t>Comparación</t>
        </is>
      </c>
      <c r="C1111" t="inlineStr">
        <is>
          <t>Prima</t>
        </is>
      </c>
      <c r="D1111" t="inlineStr">
        <is>
          <t>Global X - Copper Miners ETF</t>
        </is>
      </c>
      <c r="E1111" t="inlineStr">
        <is>
          <t>Inv MM$</t>
        </is>
      </c>
      <c r="F1111" t="n">
        <v>107.267711</v>
      </c>
    </row>
    <row r="1112">
      <c r="A1112" t="inlineStr">
        <is>
          <t>202512</t>
        </is>
      </c>
      <c r="B1112" t="inlineStr">
        <is>
          <t>Comparación</t>
        </is>
      </c>
      <c r="C1112" t="inlineStr">
        <is>
          <t>Prima</t>
        </is>
      </c>
      <c r="D1112" t="inlineStr">
        <is>
          <t>Groupama - Avenir Euro (Mid Small Caps)</t>
        </is>
      </c>
      <c r="E1112" t="inlineStr">
        <is>
          <t>Huella</t>
        </is>
      </c>
      <c r="F1112" t="n">
        <v>0.290129</v>
      </c>
    </row>
    <row r="1113">
      <c r="A1113" t="inlineStr">
        <is>
          <t>202512</t>
        </is>
      </c>
      <c r="B1113" t="inlineStr">
        <is>
          <t>Comparación</t>
        </is>
      </c>
      <c r="C1113" t="inlineStr">
        <is>
          <t>Prima</t>
        </is>
      </c>
      <c r="D1113" t="inlineStr">
        <is>
          <t>Groupama - Avenir Euro (Mid Small Caps)</t>
        </is>
      </c>
      <c r="E1113" t="inlineStr">
        <is>
          <t>Intensidad</t>
        </is>
      </c>
      <c r="F1113" t="n">
        <v>4.6e-05</v>
      </c>
    </row>
    <row r="1114">
      <c r="A1114" t="inlineStr">
        <is>
          <t>202512</t>
        </is>
      </c>
      <c r="B1114" t="inlineStr">
        <is>
          <t>Comparación</t>
        </is>
      </c>
      <c r="C1114" t="inlineStr">
        <is>
          <t>Prima</t>
        </is>
      </c>
      <c r="D1114" t="inlineStr">
        <is>
          <t>Groupama - Avenir Euro (Mid Small Caps)</t>
        </is>
      </c>
      <c r="E1114" t="inlineStr">
        <is>
          <t>Inv MM$</t>
        </is>
      </c>
      <c r="F1114" t="n">
        <v>0.025507</v>
      </c>
    </row>
    <row r="1115">
      <c r="A1115" t="inlineStr">
        <is>
          <t>202512</t>
        </is>
      </c>
      <c r="B1115" t="inlineStr">
        <is>
          <t>Comparación</t>
        </is>
      </c>
      <c r="C1115" t="inlineStr">
        <is>
          <t>Prima</t>
        </is>
      </c>
      <c r="D1115" t="inlineStr">
        <is>
          <t>InRetail Peru</t>
        </is>
      </c>
      <c r="E1115" t="inlineStr">
        <is>
          <t>Huella</t>
        </is>
      </c>
      <c r="F1115" t="n">
        <v>3715.413251</v>
      </c>
    </row>
    <row r="1116">
      <c r="A1116" t="inlineStr">
        <is>
          <t>202512</t>
        </is>
      </c>
      <c r="B1116" t="inlineStr">
        <is>
          <t>Comparación</t>
        </is>
      </c>
      <c r="C1116" t="inlineStr">
        <is>
          <t>Prima</t>
        </is>
      </c>
      <c r="D1116" t="inlineStr">
        <is>
          <t>InRetail Peru</t>
        </is>
      </c>
      <c r="E1116" t="inlineStr">
        <is>
          <t>Intensidad</t>
        </is>
      </c>
      <c r="F1116" t="n">
        <v>1.053091</v>
      </c>
    </row>
    <row r="1117">
      <c r="A1117" t="inlineStr">
        <is>
          <t>202512</t>
        </is>
      </c>
      <c r="B1117" t="inlineStr">
        <is>
          <t>Comparación</t>
        </is>
      </c>
      <c r="C1117" t="inlineStr">
        <is>
          <t>Prima</t>
        </is>
      </c>
      <c r="D1117" t="inlineStr">
        <is>
          <t>InRetail Peru</t>
        </is>
      </c>
      <c r="E1117" t="inlineStr">
        <is>
          <t>Inv MM$</t>
        </is>
      </c>
      <c r="F1117" t="n">
        <v>174.842977</v>
      </c>
    </row>
    <row r="1118">
      <c r="A1118" t="inlineStr">
        <is>
          <t>202512</t>
        </is>
      </c>
      <c r="B1118" t="inlineStr">
        <is>
          <t>Comparación</t>
        </is>
      </c>
      <c r="C1118" t="inlineStr">
        <is>
          <t>Prima</t>
        </is>
      </c>
      <c r="D1118" t="inlineStr">
        <is>
          <t>Industrias Peñoles</t>
        </is>
      </c>
      <c r="E1118" t="inlineStr">
        <is>
          <t>Huella</t>
        </is>
      </c>
      <c r="F1118" t="n">
        <v>0.001203</v>
      </c>
    </row>
    <row r="1119">
      <c r="A1119" t="inlineStr">
        <is>
          <t>202512</t>
        </is>
      </c>
      <c r="B1119" t="inlineStr">
        <is>
          <t>Comparación</t>
        </is>
      </c>
      <c r="C1119" t="inlineStr">
        <is>
          <t>Prima</t>
        </is>
      </c>
      <c r="D1119" t="inlineStr">
        <is>
          <t>Industrias Peñoles</t>
        </is>
      </c>
      <c r="E1119" t="inlineStr">
        <is>
          <t>Intensidad</t>
        </is>
      </c>
      <c r="F1119" t="n">
        <v>0</v>
      </c>
    </row>
    <row r="1120">
      <c r="A1120" t="inlineStr">
        <is>
          <t>202512</t>
        </is>
      </c>
      <c r="B1120" t="inlineStr">
        <is>
          <t>Comparación</t>
        </is>
      </c>
      <c r="C1120" t="inlineStr">
        <is>
          <t>Prima</t>
        </is>
      </c>
      <c r="D1120" t="inlineStr">
        <is>
          <t>Industrias Peñoles</t>
        </is>
      </c>
      <c r="E1120" t="inlineStr">
        <is>
          <t>Inv MM$</t>
        </is>
      </c>
      <c r="F1120" t="n">
        <v>4e-06</v>
      </c>
    </row>
    <row r="1121">
      <c r="A1121" t="inlineStr">
        <is>
          <t>202512</t>
        </is>
      </c>
      <c r="B1121" t="inlineStr">
        <is>
          <t>Comparación</t>
        </is>
      </c>
      <c r="C1121" t="inlineStr">
        <is>
          <t>Prima</t>
        </is>
      </c>
      <c r="D1121" t="inlineStr">
        <is>
          <t>Intergroup</t>
        </is>
      </c>
      <c r="E1121" t="inlineStr">
        <is>
          <t>Huella</t>
        </is>
      </c>
      <c r="F1121" t="n">
        <v>61.258507</v>
      </c>
    </row>
    <row r="1122">
      <c r="A1122" t="inlineStr">
        <is>
          <t>202512</t>
        </is>
      </c>
      <c r="B1122" t="inlineStr">
        <is>
          <t>Comparación</t>
        </is>
      </c>
      <c r="C1122" t="inlineStr">
        <is>
          <t>Prima</t>
        </is>
      </c>
      <c r="D1122" t="inlineStr">
        <is>
          <t>Intergroup</t>
        </is>
      </c>
      <c r="E1122" t="inlineStr">
        <is>
          <t>Intensidad</t>
        </is>
      </c>
      <c r="F1122" t="n">
        <v>0.014206</v>
      </c>
    </row>
    <row r="1123">
      <c r="A1123" t="inlineStr">
        <is>
          <t>202512</t>
        </is>
      </c>
      <c r="B1123" t="inlineStr">
        <is>
          <t>Comparación</t>
        </is>
      </c>
      <c r="C1123" t="inlineStr">
        <is>
          <t>Prima</t>
        </is>
      </c>
      <c r="D1123" t="inlineStr">
        <is>
          <t>Intergroup</t>
        </is>
      </c>
      <c r="E1123" t="inlineStr">
        <is>
          <t>Inv MM$</t>
        </is>
      </c>
      <c r="F1123" t="n">
        <v>86.279588</v>
      </c>
    </row>
    <row r="1124">
      <c r="A1124" t="inlineStr">
        <is>
          <t>202512</t>
        </is>
      </c>
      <c r="B1124" t="inlineStr">
        <is>
          <t>Comparación</t>
        </is>
      </c>
      <c r="C1124" t="inlineStr">
        <is>
          <t>Prima</t>
        </is>
      </c>
      <c r="D1124" t="inlineStr">
        <is>
          <t>Invesco - Nasdaq 100 ETF</t>
        </is>
      </c>
      <c r="E1124" t="inlineStr">
        <is>
          <t>Huella</t>
        </is>
      </c>
      <c r="F1124" t="n">
        <v>3107.920561</v>
      </c>
    </row>
    <row r="1125">
      <c r="A1125" t="inlineStr">
        <is>
          <t>202512</t>
        </is>
      </c>
      <c r="B1125" t="inlineStr">
        <is>
          <t>Comparación</t>
        </is>
      </c>
      <c r="C1125" t="inlineStr">
        <is>
          <t>Prima</t>
        </is>
      </c>
      <c r="D1125" t="inlineStr">
        <is>
          <t>Invesco - Nasdaq 100 ETF</t>
        </is>
      </c>
      <c r="E1125" t="inlineStr">
        <is>
          <t>Intensidad</t>
        </is>
      </c>
      <c r="F1125" t="n">
        <v>0.922589</v>
      </c>
    </row>
    <row r="1126">
      <c r="A1126" t="inlineStr">
        <is>
          <t>202512</t>
        </is>
      </c>
      <c r="B1126" t="inlineStr">
        <is>
          <t>Comparación</t>
        </is>
      </c>
      <c r="C1126" t="inlineStr">
        <is>
          <t>Prima</t>
        </is>
      </c>
      <c r="D1126" t="inlineStr">
        <is>
          <t>Invesco - Nasdaq 100 ETF</t>
        </is>
      </c>
      <c r="E1126" t="inlineStr">
        <is>
          <t>Inv MM$</t>
        </is>
      </c>
      <c r="F1126" t="n">
        <v>338.030665</v>
      </c>
    </row>
    <row r="1127">
      <c r="A1127" t="inlineStr">
        <is>
          <t>202512</t>
        </is>
      </c>
      <c r="B1127" t="inlineStr">
        <is>
          <t>Comparación</t>
        </is>
      </c>
      <c r="C1127" t="inlineStr">
        <is>
          <t>Prima</t>
        </is>
      </c>
      <c r="D1127" t="inlineStr">
        <is>
          <t>Invesco LLC - US Banks</t>
        </is>
      </c>
      <c r="E1127" t="inlineStr">
        <is>
          <t>Huella</t>
        </is>
      </c>
      <c r="F1127" t="n">
        <v>3.234073</v>
      </c>
    </row>
    <row r="1128">
      <c r="A1128" t="inlineStr">
        <is>
          <t>202512</t>
        </is>
      </c>
      <c r="B1128" t="inlineStr">
        <is>
          <t>Comparación</t>
        </is>
      </c>
      <c r="C1128" t="inlineStr">
        <is>
          <t>Prima</t>
        </is>
      </c>
      <c r="D1128" t="inlineStr">
        <is>
          <t>Invesco LLC - US Banks</t>
        </is>
      </c>
      <c r="E1128" t="inlineStr">
        <is>
          <t>Intensidad</t>
        </is>
      </c>
      <c r="F1128" t="n">
        <v>0.003759</v>
      </c>
    </row>
    <row r="1129">
      <c r="A1129" t="inlineStr">
        <is>
          <t>202512</t>
        </is>
      </c>
      <c r="B1129" t="inlineStr">
        <is>
          <t>Comparación</t>
        </is>
      </c>
      <c r="C1129" t="inlineStr">
        <is>
          <t>Prima</t>
        </is>
      </c>
      <c r="D1129" t="inlineStr">
        <is>
          <t>Invesco LLC - US Banks</t>
        </is>
      </c>
      <c r="E1129" t="inlineStr">
        <is>
          <t>Inv MM$</t>
        </is>
      </c>
      <c r="F1129" t="n">
        <v>3.443846</v>
      </c>
    </row>
    <row r="1130">
      <c r="A1130" t="inlineStr">
        <is>
          <t>202512</t>
        </is>
      </c>
      <c r="B1130" t="inlineStr">
        <is>
          <t>Comparación</t>
        </is>
      </c>
      <c r="C1130" t="inlineStr">
        <is>
          <t>Prima</t>
        </is>
      </c>
      <c r="D1130" t="inlineStr">
        <is>
          <t>Investec - Latin American Corporate Debt</t>
        </is>
      </c>
      <c r="E1130" t="inlineStr">
        <is>
          <t>Huella</t>
        </is>
      </c>
      <c r="F1130" t="n">
        <v>4328.622871</v>
      </c>
    </row>
    <row r="1131">
      <c r="A1131" t="inlineStr">
        <is>
          <t>202512</t>
        </is>
      </c>
      <c r="B1131" t="inlineStr">
        <is>
          <t>Comparación</t>
        </is>
      </c>
      <c r="C1131" t="inlineStr">
        <is>
          <t>Prima</t>
        </is>
      </c>
      <c r="D1131" t="inlineStr">
        <is>
          <t>Investec - Latin American Corporate Debt</t>
        </is>
      </c>
      <c r="E1131" t="inlineStr">
        <is>
          <t>Intensidad</t>
        </is>
      </c>
      <c r="F1131" t="n">
        <v>1.177748</v>
      </c>
    </row>
    <row r="1132">
      <c r="A1132" t="inlineStr">
        <is>
          <t>202512</t>
        </is>
      </c>
      <c r="B1132" t="inlineStr">
        <is>
          <t>Comparación</t>
        </is>
      </c>
      <c r="C1132" t="inlineStr">
        <is>
          <t>Prima</t>
        </is>
      </c>
      <c r="D1132" t="inlineStr">
        <is>
          <t>Investec - Latin American Corporate Debt</t>
        </is>
      </c>
      <c r="E1132" t="inlineStr">
        <is>
          <t>Inv MM$</t>
        </is>
      </c>
      <c r="F1132" t="n">
        <v>12.346507</v>
      </c>
    </row>
    <row r="1133">
      <c r="A1133" t="inlineStr">
        <is>
          <t>202512</t>
        </is>
      </c>
      <c r="B1133" t="inlineStr">
        <is>
          <t>Comparación</t>
        </is>
      </c>
      <c r="C1133" t="inlineStr">
        <is>
          <t>Prima</t>
        </is>
      </c>
      <c r="D1133" t="inlineStr">
        <is>
          <t>JP Morgan - EM Small Cap</t>
        </is>
      </c>
      <c r="E1133" t="inlineStr">
        <is>
          <t>Huella</t>
        </is>
      </c>
      <c r="F1133" t="n">
        <v>0.110436</v>
      </c>
    </row>
    <row r="1134">
      <c r="A1134" t="inlineStr">
        <is>
          <t>202512</t>
        </is>
      </c>
      <c r="B1134" t="inlineStr">
        <is>
          <t>Comparación</t>
        </is>
      </c>
      <c r="C1134" t="inlineStr">
        <is>
          <t>Prima</t>
        </is>
      </c>
      <c r="D1134" t="inlineStr">
        <is>
          <t>JP Morgan - EM Small Cap</t>
        </is>
      </c>
      <c r="E1134" t="inlineStr">
        <is>
          <t>Intensidad</t>
        </is>
      </c>
      <c r="F1134" t="n">
        <v>6.9e-05</v>
      </c>
    </row>
    <row r="1135">
      <c r="A1135" t="inlineStr">
        <is>
          <t>202512</t>
        </is>
      </c>
      <c r="B1135" t="inlineStr">
        <is>
          <t>Comparación</t>
        </is>
      </c>
      <c r="C1135" t="inlineStr">
        <is>
          <t>Prima</t>
        </is>
      </c>
      <c r="D1135" t="inlineStr">
        <is>
          <t>JP Morgan - EM Small Cap</t>
        </is>
      </c>
      <c r="E1135" t="inlineStr">
        <is>
          <t>Inv MM$</t>
        </is>
      </c>
      <c r="F1135" t="n">
        <v>0.006484</v>
      </c>
    </row>
    <row r="1136">
      <c r="A1136" t="inlineStr">
        <is>
          <t>202512</t>
        </is>
      </c>
      <c r="B1136" t="inlineStr">
        <is>
          <t>Comparación</t>
        </is>
      </c>
      <c r="C1136" t="inlineStr">
        <is>
          <t>Prima</t>
        </is>
      </c>
      <c r="D1136" t="inlineStr">
        <is>
          <t>JP Morgan - Japan Equity ETF</t>
        </is>
      </c>
      <c r="E1136" t="inlineStr">
        <is>
          <t>Huella</t>
        </is>
      </c>
      <c r="F1136" t="n">
        <v>4030.098785</v>
      </c>
    </row>
    <row r="1137">
      <c r="A1137" t="inlineStr">
        <is>
          <t>202512</t>
        </is>
      </c>
      <c r="B1137" t="inlineStr">
        <is>
          <t>Comparación</t>
        </is>
      </c>
      <c r="C1137" t="inlineStr">
        <is>
          <t>Prima</t>
        </is>
      </c>
      <c r="D1137" t="inlineStr">
        <is>
          <t>JP Morgan - Japan Equity ETF</t>
        </is>
      </c>
      <c r="E1137" t="inlineStr">
        <is>
          <t>Intensidad</t>
        </is>
      </c>
      <c r="F1137" t="n">
        <v>1.298251</v>
      </c>
    </row>
    <row r="1138">
      <c r="A1138" t="inlineStr">
        <is>
          <t>202512</t>
        </is>
      </c>
      <c r="B1138" t="inlineStr">
        <is>
          <t>Comparación</t>
        </is>
      </c>
      <c r="C1138" t="inlineStr">
        <is>
          <t>Prima</t>
        </is>
      </c>
      <c r="D1138" t="inlineStr">
        <is>
          <t>JP Morgan - Japan Equity ETF</t>
        </is>
      </c>
      <c r="E1138" t="inlineStr">
        <is>
          <t>Inv MM$</t>
        </is>
      </c>
      <c r="F1138" t="n">
        <v>80.317572</v>
      </c>
    </row>
    <row r="1139">
      <c r="A1139" t="inlineStr">
        <is>
          <t>202512</t>
        </is>
      </c>
      <c r="B1139" t="inlineStr">
        <is>
          <t>Comparación</t>
        </is>
      </c>
      <c r="C1139" t="inlineStr">
        <is>
          <t>Prima</t>
        </is>
      </c>
      <c r="D1139" t="inlineStr">
        <is>
          <t>Jupiter - Bonds Global High Yield</t>
        </is>
      </c>
      <c r="E1139" t="inlineStr">
        <is>
          <t>Huella</t>
        </is>
      </c>
      <c r="F1139" t="n">
        <v>4655.46626</v>
      </c>
    </row>
    <row r="1140">
      <c r="A1140" t="inlineStr">
        <is>
          <t>202512</t>
        </is>
      </c>
      <c r="B1140" t="inlineStr">
        <is>
          <t>Comparación</t>
        </is>
      </c>
      <c r="C1140" t="inlineStr">
        <is>
          <t>Prima</t>
        </is>
      </c>
      <c r="D1140" t="inlineStr">
        <is>
          <t>Jupiter - Bonds Global High Yield</t>
        </is>
      </c>
      <c r="E1140" t="inlineStr">
        <is>
          <t>Intensidad</t>
        </is>
      </c>
      <c r="F1140" t="n">
        <v>0.937899</v>
      </c>
    </row>
    <row r="1141">
      <c r="A1141" t="inlineStr">
        <is>
          <t>202512</t>
        </is>
      </c>
      <c r="B1141" t="inlineStr">
        <is>
          <t>Comparación</t>
        </is>
      </c>
      <c r="C1141" t="inlineStr">
        <is>
          <t>Prima</t>
        </is>
      </c>
      <c r="D1141" t="inlineStr">
        <is>
          <t>Jupiter - Bonds Global High Yield</t>
        </is>
      </c>
      <c r="E1141" t="inlineStr">
        <is>
          <t>Inv MM$</t>
        </is>
      </c>
      <c r="F1141" t="n">
        <v>20.006733</v>
      </c>
    </row>
    <row r="1142">
      <c r="A1142" t="inlineStr">
        <is>
          <t>202512</t>
        </is>
      </c>
      <c r="B1142" t="inlineStr">
        <is>
          <t>Comparación</t>
        </is>
      </c>
      <c r="C1142" t="inlineStr">
        <is>
          <t>Prima</t>
        </is>
      </c>
      <c r="D1142" t="inlineStr">
        <is>
          <t>Jupiter Unit Trust - European Fund</t>
        </is>
      </c>
      <c r="E1142" t="inlineStr">
        <is>
          <t>Huella</t>
        </is>
      </c>
      <c r="F1142" t="n">
        <v>0.283109</v>
      </c>
    </row>
    <row r="1143">
      <c r="A1143" t="inlineStr">
        <is>
          <t>202512</t>
        </is>
      </c>
      <c r="B1143" t="inlineStr">
        <is>
          <t>Comparación</t>
        </is>
      </c>
      <c r="C1143" t="inlineStr">
        <is>
          <t>Prima</t>
        </is>
      </c>
      <c r="D1143" t="inlineStr">
        <is>
          <t>Jupiter Unit Trust - European Fund</t>
        </is>
      </c>
      <c r="E1143" t="inlineStr">
        <is>
          <t>Intensidad</t>
        </is>
      </c>
      <c r="F1143" t="n">
        <v>4.5e-05</v>
      </c>
    </row>
    <row r="1144">
      <c r="A1144" t="inlineStr">
        <is>
          <t>202512</t>
        </is>
      </c>
      <c r="B1144" t="inlineStr">
        <is>
          <t>Comparación</t>
        </is>
      </c>
      <c r="C1144" t="inlineStr">
        <is>
          <t>Prima</t>
        </is>
      </c>
      <c r="D1144" t="inlineStr">
        <is>
          <t>Jupiter Unit Trust - European Fund</t>
        </is>
      </c>
      <c r="E1144" t="inlineStr">
        <is>
          <t>Inv MM$</t>
        </is>
      </c>
      <c r="F1144" t="n">
        <v>0.005173</v>
      </c>
    </row>
    <row r="1145">
      <c r="A1145" t="inlineStr">
        <is>
          <t>202512</t>
        </is>
      </c>
      <c r="B1145" t="inlineStr">
        <is>
          <t>Comparación</t>
        </is>
      </c>
      <c r="C1145" t="inlineStr">
        <is>
          <t>Prima</t>
        </is>
      </c>
      <c r="D1145" t="inlineStr">
        <is>
          <t>Krane - CSI China Internet Fund</t>
        </is>
      </c>
      <c r="E1145" t="inlineStr">
        <is>
          <t>Huella</t>
        </is>
      </c>
      <c r="F1145" t="n">
        <v>1036.77288</v>
      </c>
    </row>
    <row r="1146">
      <c r="A1146" t="inlineStr">
        <is>
          <t>202512</t>
        </is>
      </c>
      <c r="B1146" t="inlineStr">
        <is>
          <t>Comparación</t>
        </is>
      </c>
      <c r="C1146" t="inlineStr">
        <is>
          <t>Prima</t>
        </is>
      </c>
      <c r="D1146" t="inlineStr">
        <is>
          <t>Krane - CSI China Internet Fund</t>
        </is>
      </c>
      <c r="E1146" t="inlineStr">
        <is>
          <t>Intensidad</t>
        </is>
      </c>
      <c r="F1146" t="n">
        <v>0.390953</v>
      </c>
    </row>
    <row r="1147">
      <c r="A1147" t="inlineStr">
        <is>
          <t>202512</t>
        </is>
      </c>
      <c r="B1147" t="inlineStr">
        <is>
          <t>Comparación</t>
        </is>
      </c>
      <c r="C1147" t="inlineStr">
        <is>
          <t>Prima</t>
        </is>
      </c>
      <c r="D1147" t="inlineStr">
        <is>
          <t>Krane - CSI China Internet Fund</t>
        </is>
      </c>
      <c r="E1147" t="inlineStr">
        <is>
          <t>Inv MM$</t>
        </is>
      </c>
      <c r="F1147" t="n">
        <v>146.244307</v>
      </c>
    </row>
    <row r="1148">
      <c r="A1148" t="inlineStr">
        <is>
          <t>202512</t>
        </is>
      </c>
      <c r="B1148" t="inlineStr">
        <is>
          <t>Comparación</t>
        </is>
      </c>
      <c r="C1148" t="inlineStr">
        <is>
          <t>Prima</t>
        </is>
      </c>
      <c r="D1148" t="inlineStr">
        <is>
          <t>Lazard - Japanese Strategic Equity</t>
        </is>
      </c>
      <c r="E1148" t="inlineStr">
        <is>
          <t>Huella</t>
        </is>
      </c>
      <c r="F1148" t="n">
        <v>1287.423794</v>
      </c>
    </row>
    <row r="1149">
      <c r="A1149" t="inlineStr">
        <is>
          <t>202512</t>
        </is>
      </c>
      <c r="B1149" t="inlineStr">
        <is>
          <t>Comparación</t>
        </is>
      </c>
      <c r="C1149" t="inlineStr">
        <is>
          <t>Prima</t>
        </is>
      </c>
      <c r="D1149" t="inlineStr">
        <is>
          <t>Lazard - Japanese Strategic Equity</t>
        </is>
      </c>
      <c r="E1149" t="inlineStr">
        <is>
          <t>Intensidad</t>
        </is>
      </c>
      <c r="F1149" t="n">
        <v>0.573172</v>
      </c>
    </row>
    <row r="1150">
      <c r="A1150" t="inlineStr">
        <is>
          <t>202512</t>
        </is>
      </c>
      <c r="B1150" t="inlineStr">
        <is>
          <t>Comparación</t>
        </is>
      </c>
      <c r="C1150" t="inlineStr">
        <is>
          <t>Prima</t>
        </is>
      </c>
      <c r="D1150" t="inlineStr">
        <is>
          <t>Lazard - Japanese Strategic Equity</t>
        </is>
      </c>
      <c r="E1150" t="inlineStr">
        <is>
          <t>Inv MM$</t>
        </is>
      </c>
      <c r="F1150" t="n">
        <v>22.490441</v>
      </c>
    </row>
    <row r="1151">
      <c r="A1151" t="inlineStr">
        <is>
          <t>202512</t>
        </is>
      </c>
      <c r="B1151" t="inlineStr">
        <is>
          <t>Comparación</t>
        </is>
      </c>
      <c r="C1151" t="inlineStr">
        <is>
          <t>Prima</t>
        </is>
      </c>
      <c r="D1151" t="inlineStr">
        <is>
          <t>Liontrust - Liontrust European Dynamic Fund S</t>
        </is>
      </c>
      <c r="E1151" t="inlineStr">
        <is>
          <t>Huella</t>
        </is>
      </c>
      <c r="F1151" t="n">
        <v>11768.056131</v>
      </c>
    </row>
    <row r="1152">
      <c r="A1152" t="inlineStr">
        <is>
          <t>202512</t>
        </is>
      </c>
      <c r="B1152" t="inlineStr">
        <is>
          <t>Comparación</t>
        </is>
      </c>
      <c r="C1152" t="inlineStr">
        <is>
          <t>Prima</t>
        </is>
      </c>
      <c r="D1152" t="inlineStr">
        <is>
          <t>Liontrust - Liontrust European Dynamic Fund S</t>
        </is>
      </c>
      <c r="E1152" t="inlineStr">
        <is>
          <t>Intensidad</t>
        </is>
      </c>
      <c r="F1152" t="n">
        <v>4.368911</v>
      </c>
    </row>
    <row r="1153">
      <c r="A1153" t="inlineStr">
        <is>
          <t>202512</t>
        </is>
      </c>
      <c r="B1153" t="inlineStr">
        <is>
          <t>Comparación</t>
        </is>
      </c>
      <c r="C1153" t="inlineStr">
        <is>
          <t>Prima</t>
        </is>
      </c>
      <c r="D1153" t="inlineStr">
        <is>
          <t>Liontrust - Liontrust European Dynamic Fund S</t>
        </is>
      </c>
      <c r="E1153" t="inlineStr">
        <is>
          <t>Inv MM$</t>
        </is>
      </c>
      <c r="F1153" t="n">
        <v>56.069111</v>
      </c>
    </row>
    <row r="1154">
      <c r="A1154" t="inlineStr">
        <is>
          <t>202512</t>
        </is>
      </c>
      <c r="B1154" t="inlineStr">
        <is>
          <t>Comparación</t>
        </is>
      </c>
      <c r="C1154" t="inlineStr">
        <is>
          <t>Prima</t>
        </is>
      </c>
      <c r="D1154" t="inlineStr">
        <is>
          <t>Minsur</t>
        </is>
      </c>
      <c r="E1154" t="inlineStr">
        <is>
          <t>Huella</t>
        </is>
      </c>
      <c r="F1154" t="n">
        <v>33616.976653</v>
      </c>
    </row>
    <row r="1155">
      <c r="A1155" t="inlineStr">
        <is>
          <t>202512</t>
        </is>
      </c>
      <c r="B1155" t="inlineStr">
        <is>
          <t>Comparación</t>
        </is>
      </c>
      <c r="C1155" t="inlineStr">
        <is>
          <t>Prima</t>
        </is>
      </c>
      <c r="D1155" t="inlineStr">
        <is>
          <t>Minsur</t>
        </is>
      </c>
      <c r="E1155" t="inlineStr">
        <is>
          <t>Intensidad</t>
        </is>
      </c>
      <c r="F1155" t="n">
        <v>12.50848</v>
      </c>
    </row>
    <row r="1156">
      <c r="A1156" t="inlineStr">
        <is>
          <t>202512</t>
        </is>
      </c>
      <c r="B1156" t="inlineStr">
        <is>
          <t>Comparación</t>
        </is>
      </c>
      <c r="C1156" t="inlineStr">
        <is>
          <t>Prima</t>
        </is>
      </c>
      <c r="D1156" t="inlineStr">
        <is>
          <t>Minsur</t>
        </is>
      </c>
      <c r="E1156" t="inlineStr">
        <is>
          <t>Inv MM$</t>
        </is>
      </c>
      <c r="F1156" t="n">
        <v>294.369323</v>
      </c>
    </row>
    <row r="1157">
      <c r="A1157" t="inlineStr">
        <is>
          <t>202512</t>
        </is>
      </c>
      <c r="B1157" t="inlineStr">
        <is>
          <t>Comparación</t>
        </is>
      </c>
      <c r="C1157" t="inlineStr">
        <is>
          <t>Prima</t>
        </is>
      </c>
      <c r="D1157" t="inlineStr">
        <is>
          <t>Neuberger Berman - Emerging Market Debt HC</t>
        </is>
      </c>
      <c r="E1157" t="inlineStr">
        <is>
          <t>Huella</t>
        </is>
      </c>
      <c r="F1157" t="n">
        <v>6385.786971</v>
      </c>
    </row>
    <row r="1158">
      <c r="A1158" t="inlineStr">
        <is>
          <t>202512</t>
        </is>
      </c>
      <c r="B1158" t="inlineStr">
        <is>
          <t>Comparación</t>
        </is>
      </c>
      <c r="C1158" t="inlineStr">
        <is>
          <t>Prima</t>
        </is>
      </c>
      <c r="D1158" t="inlineStr">
        <is>
          <t>Neuberger Berman - Emerging Market Debt HC</t>
        </is>
      </c>
      <c r="E1158" t="inlineStr">
        <is>
          <t>Intensidad</t>
        </is>
      </c>
      <c r="F1158" t="n">
        <v>3.303168</v>
      </c>
    </row>
    <row r="1159">
      <c r="A1159" t="inlineStr">
        <is>
          <t>202512</t>
        </is>
      </c>
      <c r="B1159" t="inlineStr">
        <is>
          <t>Comparación</t>
        </is>
      </c>
      <c r="C1159" t="inlineStr">
        <is>
          <t>Prima</t>
        </is>
      </c>
      <c r="D1159" t="inlineStr">
        <is>
          <t>Neuberger Berman - Emerging Market Debt HC</t>
        </is>
      </c>
      <c r="E1159" t="inlineStr">
        <is>
          <t>Inv MM$</t>
        </is>
      </c>
      <c r="F1159" t="n">
        <v>9.664008000000001</v>
      </c>
    </row>
    <row r="1160">
      <c r="A1160" t="inlineStr">
        <is>
          <t>202512</t>
        </is>
      </c>
      <c r="B1160" t="inlineStr">
        <is>
          <t>Comparación</t>
        </is>
      </c>
      <c r="C1160" t="inlineStr">
        <is>
          <t>Prima</t>
        </is>
      </c>
      <c r="D1160" t="inlineStr">
        <is>
          <t>Nexa Resources</t>
        </is>
      </c>
      <c r="E1160" t="inlineStr">
        <is>
          <t>Huella</t>
        </is>
      </c>
      <c r="F1160" t="n">
        <v>29106.185537</v>
      </c>
    </row>
    <row r="1161">
      <c r="A1161" t="inlineStr">
        <is>
          <t>202512</t>
        </is>
      </c>
      <c r="B1161" t="inlineStr">
        <is>
          <t>Comparación</t>
        </is>
      </c>
      <c r="C1161" t="inlineStr">
        <is>
          <t>Prima</t>
        </is>
      </c>
      <c r="D1161" t="inlineStr">
        <is>
          <t>Nexa Resources</t>
        </is>
      </c>
      <c r="E1161" t="inlineStr">
        <is>
          <t>Intensidad</t>
        </is>
      </c>
      <c r="F1161" t="n">
        <v>8.322380000000001</v>
      </c>
    </row>
    <row r="1162">
      <c r="A1162" t="inlineStr">
        <is>
          <t>202512</t>
        </is>
      </c>
      <c r="B1162" t="inlineStr">
        <is>
          <t>Comparación</t>
        </is>
      </c>
      <c r="C1162" t="inlineStr">
        <is>
          <t>Prima</t>
        </is>
      </c>
      <c r="D1162" t="inlineStr">
        <is>
          <t>Nexa Resources</t>
        </is>
      </c>
      <c r="E1162" t="inlineStr">
        <is>
          <t>Inv MM$</t>
        </is>
      </c>
      <c r="F1162" t="n">
        <v>135.845167</v>
      </c>
    </row>
    <row r="1163">
      <c r="A1163" t="inlineStr">
        <is>
          <t>202512</t>
        </is>
      </c>
      <c r="B1163" t="inlineStr">
        <is>
          <t>Comparación</t>
        </is>
      </c>
      <c r="C1163" t="inlineStr">
        <is>
          <t>Prima</t>
        </is>
      </c>
      <c r="D1163" t="inlineStr">
        <is>
          <t>Nexa Resources Perú</t>
        </is>
      </c>
      <c r="E1163" t="inlineStr">
        <is>
          <t>Huella</t>
        </is>
      </c>
      <c r="F1163" t="n">
        <v>313.128858</v>
      </c>
    </row>
    <row r="1164">
      <c r="A1164" t="inlineStr">
        <is>
          <t>202512</t>
        </is>
      </c>
      <c r="B1164" t="inlineStr">
        <is>
          <t>Comparación</t>
        </is>
      </c>
      <c r="C1164" t="inlineStr">
        <is>
          <t>Prima</t>
        </is>
      </c>
      <c r="D1164" t="inlineStr">
        <is>
          <t>Nexa Resources Perú</t>
        </is>
      </c>
      <c r="E1164" t="inlineStr">
        <is>
          <t>Intensidad</t>
        </is>
      </c>
      <c r="F1164" t="n">
        <v>0.054537</v>
      </c>
    </row>
    <row r="1165">
      <c r="A1165" t="inlineStr">
        <is>
          <t>202512</t>
        </is>
      </c>
      <c r="B1165" t="inlineStr">
        <is>
          <t>Comparación</t>
        </is>
      </c>
      <c r="C1165" t="inlineStr">
        <is>
          <t>Prima</t>
        </is>
      </c>
      <c r="D1165" t="inlineStr">
        <is>
          <t>Nexa Resources Perú</t>
        </is>
      </c>
      <c r="E1165" t="inlineStr">
        <is>
          <t>Inv MM$</t>
        </is>
      </c>
      <c r="F1165" t="n">
        <v>1.127133</v>
      </c>
    </row>
    <row r="1166">
      <c r="A1166" t="inlineStr">
        <is>
          <t>202512</t>
        </is>
      </c>
      <c r="B1166" t="inlineStr">
        <is>
          <t>Comparación</t>
        </is>
      </c>
      <c r="C1166" t="inlineStr">
        <is>
          <t>Prima</t>
        </is>
      </c>
      <c r="D1166" t="inlineStr">
        <is>
          <t>Pimco - Emerging Markets Bond Fund</t>
        </is>
      </c>
      <c r="E1166" t="inlineStr">
        <is>
          <t>Huella</t>
        </is>
      </c>
      <c r="F1166" t="n">
        <v>11791.421167</v>
      </c>
    </row>
    <row r="1167">
      <c r="A1167" t="inlineStr">
        <is>
          <t>202512</t>
        </is>
      </c>
      <c r="B1167" t="inlineStr">
        <is>
          <t>Comparación</t>
        </is>
      </c>
      <c r="C1167" t="inlineStr">
        <is>
          <t>Prima</t>
        </is>
      </c>
      <c r="D1167" t="inlineStr">
        <is>
          <t>Pimco - Emerging Markets Bond Fund</t>
        </is>
      </c>
      <c r="E1167" t="inlineStr">
        <is>
          <t>Intensidad</t>
        </is>
      </c>
      <c r="F1167" t="n">
        <v>6.234177</v>
      </c>
    </row>
    <row r="1168">
      <c r="A1168" t="inlineStr">
        <is>
          <t>202512</t>
        </is>
      </c>
      <c r="B1168" t="inlineStr">
        <is>
          <t>Comparación</t>
        </is>
      </c>
      <c r="C1168" t="inlineStr">
        <is>
          <t>Prima</t>
        </is>
      </c>
      <c r="D1168" t="inlineStr">
        <is>
          <t>Pimco - Emerging Markets Bond Fund</t>
        </is>
      </c>
      <c r="E1168" t="inlineStr">
        <is>
          <t>Inv MM$</t>
        </is>
      </c>
      <c r="F1168" t="n">
        <v>21.998349</v>
      </c>
    </row>
    <row r="1169">
      <c r="A1169" t="inlineStr">
        <is>
          <t>202512</t>
        </is>
      </c>
      <c r="B1169" t="inlineStr">
        <is>
          <t>Comparación</t>
        </is>
      </c>
      <c r="C1169" t="inlineStr">
        <is>
          <t>Prima</t>
        </is>
      </c>
      <c r="D1169" t="inlineStr">
        <is>
          <t>Pimco - Emerging Markets Local Bond Fund</t>
        </is>
      </c>
      <c r="E1169" t="inlineStr">
        <is>
          <t>Huella</t>
        </is>
      </c>
      <c r="F1169" t="n">
        <v>8741.640665000001</v>
      </c>
    </row>
    <row r="1170">
      <c r="A1170" t="inlineStr">
        <is>
          <t>202512</t>
        </is>
      </c>
      <c r="B1170" t="inlineStr">
        <is>
          <t>Comparación</t>
        </is>
      </c>
      <c r="C1170" t="inlineStr">
        <is>
          <t>Prima</t>
        </is>
      </c>
      <c r="D1170" t="inlineStr">
        <is>
          <t>Pimco - Emerging Markets Local Bond Fund</t>
        </is>
      </c>
      <c r="E1170" t="inlineStr">
        <is>
          <t>Intensidad</t>
        </is>
      </c>
      <c r="F1170" t="n">
        <v>4.621744</v>
      </c>
    </row>
    <row r="1171">
      <c r="A1171" t="inlineStr">
        <is>
          <t>202512</t>
        </is>
      </c>
      <c r="B1171" t="inlineStr">
        <is>
          <t>Comparación</t>
        </is>
      </c>
      <c r="C1171" t="inlineStr">
        <is>
          <t>Prima</t>
        </is>
      </c>
      <c r="D1171" t="inlineStr">
        <is>
          <t>Pimco - Emerging Markets Local Bond Fund</t>
        </is>
      </c>
      <c r="E1171" t="inlineStr">
        <is>
          <t>Inv MM$</t>
        </is>
      </c>
      <c r="F1171" t="n">
        <v>51.510601</v>
      </c>
    </row>
    <row r="1172">
      <c r="A1172" t="inlineStr">
        <is>
          <t>202512</t>
        </is>
      </c>
      <c r="B1172" t="inlineStr">
        <is>
          <t>Comparación</t>
        </is>
      </c>
      <c r="C1172" t="inlineStr">
        <is>
          <t>Prima</t>
        </is>
      </c>
      <c r="D1172" t="inlineStr">
        <is>
          <t>Pinebridge - Asia Ex-Japan Small Caps</t>
        </is>
      </c>
      <c r="E1172" t="inlineStr">
        <is>
          <t>Huella</t>
        </is>
      </c>
      <c r="F1172" t="n">
        <v>2.302812</v>
      </c>
    </row>
    <row r="1173">
      <c r="A1173" t="inlineStr">
        <is>
          <t>202512</t>
        </is>
      </c>
      <c r="B1173" t="inlineStr">
        <is>
          <t>Comparación</t>
        </is>
      </c>
      <c r="C1173" t="inlineStr">
        <is>
          <t>Prima</t>
        </is>
      </c>
      <c r="D1173" t="inlineStr">
        <is>
          <t>Pinebridge - Asia Ex-Japan Small Caps</t>
        </is>
      </c>
      <c r="E1173" t="inlineStr">
        <is>
          <t>Intensidad</t>
        </is>
      </c>
      <c r="F1173" t="n">
        <v>0.001447</v>
      </c>
    </row>
    <row r="1174">
      <c r="A1174" t="inlineStr">
        <is>
          <t>202512</t>
        </is>
      </c>
      <c r="B1174" t="inlineStr">
        <is>
          <t>Comparación</t>
        </is>
      </c>
      <c r="C1174" t="inlineStr">
        <is>
          <t>Prima</t>
        </is>
      </c>
      <c r="D1174" t="inlineStr">
        <is>
          <t>Pinebridge - Asia Ex-Japan Small Caps</t>
        </is>
      </c>
      <c r="E1174" t="inlineStr">
        <is>
          <t>Inv MM$</t>
        </is>
      </c>
      <c r="F1174" t="n">
        <v>0.02977</v>
      </c>
    </row>
    <row r="1175">
      <c r="A1175" t="inlineStr">
        <is>
          <t>202512</t>
        </is>
      </c>
      <c r="B1175" t="inlineStr">
        <is>
          <t>Comparación</t>
        </is>
      </c>
      <c r="C1175" t="inlineStr">
        <is>
          <t>Prima</t>
        </is>
      </c>
      <c r="D1175" t="inlineStr">
        <is>
          <t>Rutas de Lima</t>
        </is>
      </c>
      <c r="E1175" t="inlineStr">
        <is>
          <t>Huella</t>
        </is>
      </c>
      <c r="F1175" t="n">
        <v>913.506658</v>
      </c>
    </row>
    <row r="1176">
      <c r="A1176" t="inlineStr">
        <is>
          <t>202512</t>
        </is>
      </c>
      <c r="B1176" t="inlineStr">
        <is>
          <t>Comparación</t>
        </is>
      </c>
      <c r="C1176" t="inlineStr">
        <is>
          <t>Prima</t>
        </is>
      </c>
      <c r="D1176" t="inlineStr">
        <is>
          <t>Rutas de Lima</t>
        </is>
      </c>
      <c r="E1176" t="inlineStr">
        <is>
          <t>Intensidad</t>
        </is>
      </c>
      <c r="F1176" t="n">
        <v>0.314531</v>
      </c>
    </row>
    <row r="1177">
      <c r="A1177" t="inlineStr">
        <is>
          <t>202512</t>
        </is>
      </c>
      <c r="B1177" t="inlineStr">
        <is>
          <t>Comparación</t>
        </is>
      </c>
      <c r="C1177" t="inlineStr">
        <is>
          <t>Prima</t>
        </is>
      </c>
      <c r="D1177" t="inlineStr">
        <is>
          <t>Rutas de Lima</t>
        </is>
      </c>
      <c r="E1177" t="inlineStr">
        <is>
          <t>Inv MM$</t>
        </is>
      </c>
      <c r="F1177" t="n">
        <v>33.327496</v>
      </c>
    </row>
    <row r="1178">
      <c r="A1178" t="inlineStr">
        <is>
          <t>202512</t>
        </is>
      </c>
      <c r="B1178" t="inlineStr">
        <is>
          <t>Comparación</t>
        </is>
      </c>
      <c r="C1178" t="inlineStr">
        <is>
          <t>Prima</t>
        </is>
      </c>
      <c r="D1178" t="inlineStr">
        <is>
          <t>SSGA Funds Management, Inc.</t>
        </is>
      </c>
      <c r="E1178" t="inlineStr">
        <is>
          <t>Huella</t>
        </is>
      </c>
      <c r="F1178" t="n">
        <v>4.786266</v>
      </c>
    </row>
    <row r="1179">
      <c r="A1179" t="inlineStr">
        <is>
          <t>202512</t>
        </is>
      </c>
      <c r="B1179" t="inlineStr">
        <is>
          <t>Comparación</t>
        </is>
      </c>
      <c r="C1179" t="inlineStr">
        <is>
          <t>Prima</t>
        </is>
      </c>
      <c r="D1179" t="inlineStr">
        <is>
          <t>SSGA Funds Management, Inc.</t>
        </is>
      </c>
      <c r="E1179" t="inlineStr">
        <is>
          <t>Intensidad</t>
        </is>
      </c>
      <c r="F1179" t="n">
        <v>0.001575</v>
      </c>
    </row>
    <row r="1180">
      <c r="A1180" t="inlineStr">
        <is>
          <t>202512</t>
        </is>
      </c>
      <c r="B1180" t="inlineStr">
        <is>
          <t>Comparación</t>
        </is>
      </c>
      <c r="C1180" t="inlineStr">
        <is>
          <t>Prima</t>
        </is>
      </c>
      <c r="D1180" t="inlineStr">
        <is>
          <t>SSGA Funds Management, Inc.</t>
        </is>
      </c>
      <c r="E1180" t="inlineStr">
        <is>
          <t>Inv MM$</t>
        </is>
      </c>
      <c r="F1180" t="n">
        <v>0.210668</v>
      </c>
    </row>
    <row r="1181">
      <c r="A1181" t="inlineStr">
        <is>
          <t>202512</t>
        </is>
      </c>
      <c r="B1181" t="inlineStr">
        <is>
          <t>Comparación</t>
        </is>
      </c>
      <c r="C1181" t="inlineStr">
        <is>
          <t>Prima</t>
        </is>
      </c>
      <c r="D1181" t="inlineStr">
        <is>
          <t>State Street - Technology Select Sector</t>
        </is>
      </c>
      <c r="E1181" t="inlineStr">
        <is>
          <t>Huella</t>
        </is>
      </c>
      <c r="F1181" t="n">
        <v>21.739618</v>
      </c>
    </row>
    <row r="1182">
      <c r="A1182" t="inlineStr">
        <is>
          <t>202512</t>
        </is>
      </c>
      <c r="B1182" t="inlineStr">
        <is>
          <t>Comparación</t>
        </is>
      </c>
      <c r="C1182" t="inlineStr">
        <is>
          <t>Prima</t>
        </is>
      </c>
      <c r="D1182" t="inlineStr">
        <is>
          <t>State Street - Technology Select Sector</t>
        </is>
      </c>
      <c r="E1182" t="inlineStr">
        <is>
          <t>Intensidad</t>
        </is>
      </c>
      <c r="F1182" t="n">
        <v>0.025271</v>
      </c>
    </row>
    <row r="1183">
      <c r="A1183" t="inlineStr">
        <is>
          <t>202512</t>
        </is>
      </c>
      <c r="B1183" t="inlineStr">
        <is>
          <t>Comparación</t>
        </is>
      </c>
      <c r="C1183" t="inlineStr">
        <is>
          <t>Prima</t>
        </is>
      </c>
      <c r="D1183" t="inlineStr">
        <is>
          <t>State Street - Technology Select Sector</t>
        </is>
      </c>
      <c r="E1183" t="inlineStr">
        <is>
          <t>Inv MM$</t>
        </is>
      </c>
      <c r="F1183" t="n">
        <v>6.54457</v>
      </c>
    </row>
    <row r="1184">
      <c r="A1184" t="inlineStr">
        <is>
          <t>202512</t>
        </is>
      </c>
      <c r="B1184" t="inlineStr">
        <is>
          <t>Comparación</t>
        </is>
      </c>
      <c r="C1184" t="inlineStr">
        <is>
          <t>Prima</t>
        </is>
      </c>
      <c r="D1184" t="inlineStr">
        <is>
          <t>Telefónica</t>
        </is>
      </c>
      <c r="E1184" t="inlineStr">
        <is>
          <t>Huella</t>
        </is>
      </c>
      <c r="F1184" t="n">
        <v>196.06714</v>
      </c>
    </row>
    <row r="1185">
      <c r="A1185" t="inlineStr">
        <is>
          <t>202512</t>
        </is>
      </c>
      <c r="B1185" t="inlineStr">
        <is>
          <t>Comparación</t>
        </is>
      </c>
      <c r="C1185" t="inlineStr">
        <is>
          <t>Prima</t>
        </is>
      </c>
      <c r="D1185" t="inlineStr">
        <is>
          <t>Telefónica</t>
        </is>
      </c>
      <c r="E1185" t="inlineStr">
        <is>
          <t>Intensidad</t>
        </is>
      </c>
      <c r="F1185" t="n">
        <v>0.045065</v>
      </c>
    </row>
    <row r="1186">
      <c r="A1186" t="inlineStr">
        <is>
          <t>202512</t>
        </is>
      </c>
      <c r="B1186" t="inlineStr">
        <is>
          <t>Comparación</t>
        </is>
      </c>
      <c r="C1186" t="inlineStr">
        <is>
          <t>Prima</t>
        </is>
      </c>
      <c r="D1186" t="inlineStr">
        <is>
          <t>Telefónica</t>
        </is>
      </c>
      <c r="E1186" t="inlineStr">
        <is>
          <t>Inv MM$</t>
        </is>
      </c>
      <c r="F1186" t="n">
        <v>81.694642</v>
      </c>
    </row>
    <row r="1187">
      <c r="A1187" t="inlineStr">
        <is>
          <t>202512</t>
        </is>
      </c>
      <c r="B1187" t="inlineStr">
        <is>
          <t>Comparación</t>
        </is>
      </c>
      <c r="C1187" t="inlineStr">
        <is>
          <t>Prima</t>
        </is>
      </c>
      <c r="D1187" t="inlineStr">
        <is>
          <t>VanEck - Gold Miners ETF</t>
        </is>
      </c>
      <c r="E1187" t="inlineStr">
        <is>
          <t>Huella</t>
        </is>
      </c>
      <c r="F1187" t="n">
        <v>20299.048709</v>
      </c>
    </row>
    <row r="1188">
      <c r="A1188" t="inlineStr">
        <is>
          <t>202512</t>
        </is>
      </c>
      <c r="B1188" t="inlineStr">
        <is>
          <t>Comparación</t>
        </is>
      </c>
      <c r="C1188" t="inlineStr">
        <is>
          <t>Prima</t>
        </is>
      </c>
      <c r="D1188" t="inlineStr">
        <is>
          <t>VanEck - Gold Miners ETF</t>
        </is>
      </c>
      <c r="E1188" t="inlineStr">
        <is>
          <t>Intensidad</t>
        </is>
      </c>
      <c r="F1188" t="n">
        <v>7.818757</v>
      </c>
    </row>
    <row r="1189">
      <c r="A1189" t="inlineStr">
        <is>
          <t>202512</t>
        </is>
      </c>
      <c r="B1189" t="inlineStr">
        <is>
          <t>Comparación</t>
        </is>
      </c>
      <c r="C1189" t="inlineStr">
        <is>
          <t>Prima</t>
        </is>
      </c>
      <c r="D1189" t="inlineStr">
        <is>
          <t>VanEck - Gold Miners ETF</t>
        </is>
      </c>
      <c r="E1189" t="inlineStr">
        <is>
          <t>Inv MM$</t>
        </is>
      </c>
      <c r="F1189" t="n">
        <v>247.954049</v>
      </c>
    </row>
    <row r="1190">
      <c r="A1190" t="inlineStr">
        <is>
          <t>202512</t>
        </is>
      </c>
      <c r="B1190" t="inlineStr">
        <is>
          <t>Comparación</t>
        </is>
      </c>
      <c r="C1190" t="inlineStr">
        <is>
          <t>Prima</t>
        </is>
      </c>
      <c r="D1190" t="inlineStr">
        <is>
          <t>VanEck - Oil Services ETF</t>
        </is>
      </c>
      <c r="E1190" t="inlineStr">
        <is>
          <t>Huella</t>
        </is>
      </c>
      <c r="F1190" t="n">
        <v>4070.968736</v>
      </c>
    </row>
    <row r="1191">
      <c r="A1191" t="inlineStr">
        <is>
          <t>202512</t>
        </is>
      </c>
      <c r="B1191" t="inlineStr">
        <is>
          <t>Comparación</t>
        </is>
      </c>
      <c r="C1191" t="inlineStr">
        <is>
          <t>Prima</t>
        </is>
      </c>
      <c r="D1191" t="inlineStr">
        <is>
          <t>VanEck - Oil Services ETF</t>
        </is>
      </c>
      <c r="E1191" t="inlineStr">
        <is>
          <t>Intensidad</t>
        </is>
      </c>
      <c r="F1191" t="n">
        <v>1.291443</v>
      </c>
    </row>
    <row r="1192">
      <c r="A1192" t="inlineStr">
        <is>
          <t>202512</t>
        </is>
      </c>
      <c r="B1192" t="inlineStr">
        <is>
          <t>Comparación</t>
        </is>
      </c>
      <c r="C1192" t="inlineStr">
        <is>
          <t>Prima</t>
        </is>
      </c>
      <c r="D1192" t="inlineStr">
        <is>
          <t>VanEck - Oil Services ETF</t>
        </is>
      </c>
      <c r="E1192" t="inlineStr">
        <is>
          <t>Inv MM$</t>
        </is>
      </c>
      <c r="F1192" t="n">
        <v>37.620729</v>
      </c>
    </row>
    <row r="1193">
      <c r="A1193" t="inlineStr">
        <is>
          <t>202512</t>
        </is>
      </c>
      <c r="B1193" t="inlineStr">
        <is>
          <t>Comparación</t>
        </is>
      </c>
      <c r="C1193" t="inlineStr">
        <is>
          <t>Prima</t>
        </is>
      </c>
      <c r="D1193" t="inlineStr">
        <is>
          <t>VanEck Semiconductor ETF</t>
        </is>
      </c>
      <c r="E1193" t="inlineStr">
        <is>
          <t>Huella</t>
        </is>
      </c>
      <c r="F1193" t="n">
        <v>1586.19614</v>
      </c>
    </row>
    <row r="1194">
      <c r="A1194" t="inlineStr">
        <is>
          <t>202512</t>
        </is>
      </c>
      <c r="B1194" t="inlineStr">
        <is>
          <t>Comparación</t>
        </is>
      </c>
      <c r="C1194" t="inlineStr">
        <is>
          <t>Prima</t>
        </is>
      </c>
      <c r="D1194" t="inlineStr">
        <is>
          <t>VanEck Semiconductor ETF</t>
        </is>
      </c>
      <c r="E1194" t="inlineStr">
        <is>
          <t>Intensidad</t>
        </is>
      </c>
      <c r="F1194" t="n">
        <v>0.6792319999999999</v>
      </c>
    </row>
    <row r="1195">
      <c r="A1195" t="inlineStr">
        <is>
          <t>202512</t>
        </is>
      </c>
      <c r="B1195" t="inlineStr">
        <is>
          <t>Comparación</t>
        </is>
      </c>
      <c r="C1195" t="inlineStr">
        <is>
          <t>Prima</t>
        </is>
      </c>
      <c r="D1195" t="inlineStr">
        <is>
          <t>VanEck Semiconductor ETF</t>
        </is>
      </c>
      <c r="E1195" t="inlineStr">
        <is>
          <t>Inv MM$</t>
        </is>
      </c>
      <c r="F1195" t="n">
        <v>252.942712</v>
      </c>
    </row>
    <row r="1196">
      <c r="A1196" t="inlineStr">
        <is>
          <t>202512</t>
        </is>
      </c>
      <c r="B1196" t="inlineStr">
        <is>
          <t>Comparación</t>
        </is>
      </c>
      <c r="C1196" t="inlineStr">
        <is>
          <t>Prima</t>
        </is>
      </c>
      <c r="D1196" t="inlineStr">
        <is>
          <t>Vanguard - S&amp;P 500 ETF</t>
        </is>
      </c>
      <c r="E1196" t="inlineStr">
        <is>
          <t>Huella</t>
        </is>
      </c>
      <c r="F1196" t="n">
        <v>0</v>
      </c>
    </row>
    <row r="1197">
      <c r="A1197" t="inlineStr">
        <is>
          <t>202512</t>
        </is>
      </c>
      <c r="B1197" t="inlineStr">
        <is>
          <t>Comparación</t>
        </is>
      </c>
      <c r="C1197" t="inlineStr">
        <is>
          <t>Prima</t>
        </is>
      </c>
      <c r="D1197" t="inlineStr">
        <is>
          <t>Vanguard - S&amp;P 500 ETF</t>
        </is>
      </c>
      <c r="E1197" t="inlineStr">
        <is>
          <t>Intensidad</t>
        </is>
      </c>
      <c r="F1197" t="n">
        <v>0</v>
      </c>
    </row>
    <row r="1198">
      <c r="A1198" t="inlineStr">
        <is>
          <t>202512</t>
        </is>
      </c>
      <c r="B1198" t="inlineStr">
        <is>
          <t>Comparación</t>
        </is>
      </c>
      <c r="C1198" t="inlineStr">
        <is>
          <t>Prima</t>
        </is>
      </c>
      <c r="D1198" t="inlineStr">
        <is>
          <t>Vanguard - S&amp;P 500 ETF</t>
        </is>
      </c>
      <c r="E1198" t="inlineStr">
        <is>
          <t>Inv MM$</t>
        </is>
      </c>
      <c r="F1198" t="n">
        <v>0</v>
      </c>
    </row>
    <row r="1199">
      <c r="A1199" t="inlineStr">
        <is>
          <t>202512</t>
        </is>
      </c>
      <c r="B1199" t="inlineStr">
        <is>
          <t>Comparación</t>
        </is>
      </c>
      <c r="C1199" t="inlineStr">
        <is>
          <t>Prima</t>
        </is>
      </c>
      <c r="D1199" t="inlineStr">
        <is>
          <t>Vontobel - Emerging Markets Debt</t>
        </is>
      </c>
      <c r="E1199" t="inlineStr">
        <is>
          <t>Huella</t>
        </is>
      </c>
      <c r="F1199" t="n">
        <v>3211.467653</v>
      </c>
    </row>
    <row r="1200">
      <c r="A1200" t="inlineStr">
        <is>
          <t>202512</t>
        </is>
      </c>
      <c r="B1200" t="inlineStr">
        <is>
          <t>Comparación</t>
        </is>
      </c>
      <c r="C1200" t="inlineStr">
        <is>
          <t>Prima</t>
        </is>
      </c>
      <c r="D1200" t="inlineStr">
        <is>
          <t>Vontobel - Emerging Markets Debt</t>
        </is>
      </c>
      <c r="E1200" t="inlineStr">
        <is>
          <t>Intensidad</t>
        </is>
      </c>
      <c r="F1200" t="n">
        <v>1.697917</v>
      </c>
    </row>
    <row r="1201">
      <c r="A1201" t="inlineStr">
        <is>
          <t>202512</t>
        </is>
      </c>
      <c r="B1201" t="inlineStr">
        <is>
          <t>Comparación</t>
        </is>
      </c>
      <c r="C1201" t="inlineStr">
        <is>
          <t>Prima</t>
        </is>
      </c>
      <c r="D1201" t="inlineStr">
        <is>
          <t>Vontobel - Emerging Markets Debt</t>
        </is>
      </c>
      <c r="E1201" t="inlineStr">
        <is>
          <t>Inv MM$</t>
        </is>
      </c>
      <c r="F1201" t="n">
        <v>10.512621</v>
      </c>
    </row>
    <row r="1202">
      <c r="A1202" t="inlineStr">
        <is>
          <t>202512</t>
        </is>
      </c>
      <c r="B1202" t="inlineStr">
        <is>
          <t>Comparación</t>
        </is>
      </c>
      <c r="C1202" t="inlineStr">
        <is>
          <t>Prima</t>
        </is>
      </c>
      <c r="D1202" t="inlineStr">
        <is>
          <t>WisdomTree - Quality Growth</t>
        </is>
      </c>
      <c r="E1202" t="inlineStr">
        <is>
          <t>Huella</t>
        </is>
      </c>
      <c r="F1202" t="n">
        <v>1255.844748</v>
      </c>
    </row>
    <row r="1203">
      <c r="A1203" t="inlineStr">
        <is>
          <t>202512</t>
        </is>
      </c>
      <c r="B1203" t="inlineStr">
        <is>
          <t>Comparación</t>
        </is>
      </c>
      <c r="C1203" t="inlineStr">
        <is>
          <t>Prima</t>
        </is>
      </c>
      <c r="D1203" t="inlineStr">
        <is>
          <t>WisdomTree - Quality Growth</t>
        </is>
      </c>
      <c r="E1203" t="inlineStr">
        <is>
          <t>Intensidad</t>
        </is>
      </c>
      <c r="F1203" t="n">
        <v>0.459443</v>
      </c>
    </row>
    <row r="1204">
      <c r="A1204" t="inlineStr">
        <is>
          <t>202512</t>
        </is>
      </c>
      <c r="B1204" t="inlineStr">
        <is>
          <t>Comparación</t>
        </is>
      </c>
      <c r="C1204" t="inlineStr">
        <is>
          <t>Prima</t>
        </is>
      </c>
      <c r="D1204" t="inlineStr">
        <is>
          <t>WisdomTree - Quality Growth</t>
        </is>
      </c>
      <c r="E1204" t="inlineStr">
        <is>
          <t>Inv MM$</t>
        </is>
      </c>
      <c r="F1204" t="n">
        <v>148.455155</v>
      </c>
    </row>
    <row r="1205">
      <c r="A1205" t="inlineStr">
        <is>
          <t>202512</t>
        </is>
      </c>
      <c r="B1205" t="inlineStr">
        <is>
          <t>Comparación</t>
        </is>
      </c>
      <c r="C1205" t="inlineStr">
        <is>
          <t>Profuturo</t>
        </is>
      </c>
      <c r="D1205" t="inlineStr">
        <is>
          <t>Aenza</t>
        </is>
      </c>
      <c r="E1205" t="inlineStr">
        <is>
          <t>Huella</t>
        </is>
      </c>
      <c r="F1205" t="n">
        <v>2245.840334</v>
      </c>
    </row>
    <row r="1206">
      <c r="A1206" t="inlineStr">
        <is>
          <t>202512</t>
        </is>
      </c>
      <c r="B1206" t="inlineStr">
        <is>
          <t>Comparación</t>
        </is>
      </c>
      <c r="C1206" t="inlineStr">
        <is>
          <t>Profuturo</t>
        </is>
      </c>
      <c r="D1206" t="inlineStr">
        <is>
          <t>Aenza</t>
        </is>
      </c>
      <c r="E1206" t="inlineStr">
        <is>
          <t>Intensidad</t>
        </is>
      </c>
      <c r="F1206" t="n">
        <v>1.805246</v>
      </c>
    </row>
    <row r="1207">
      <c r="A1207" t="inlineStr">
        <is>
          <t>202512</t>
        </is>
      </c>
      <c r="B1207" t="inlineStr">
        <is>
          <t>Comparación</t>
        </is>
      </c>
      <c r="C1207" t="inlineStr">
        <is>
          <t>Profuturo</t>
        </is>
      </c>
      <c r="D1207" t="inlineStr">
        <is>
          <t>Aenza</t>
        </is>
      </c>
      <c r="E1207" t="inlineStr">
        <is>
          <t>Inv MM$</t>
        </is>
      </c>
      <c r="F1207" t="n">
        <v>17.51006</v>
      </c>
    </row>
    <row r="1208">
      <c r="A1208" t="inlineStr">
        <is>
          <t>202512</t>
        </is>
      </c>
      <c r="B1208" t="inlineStr">
        <is>
          <t>Comparación</t>
        </is>
      </c>
      <c r="C1208" t="inlineStr">
        <is>
          <t>Profuturo</t>
        </is>
      </c>
      <c r="D1208" t="inlineStr">
        <is>
          <t>BBVA Bancomer</t>
        </is>
      </c>
      <c r="E1208" t="inlineStr">
        <is>
          <t>Huella</t>
        </is>
      </c>
      <c r="F1208" t="n">
        <v>3.39292</v>
      </c>
    </row>
    <row r="1209">
      <c r="A1209" t="inlineStr">
        <is>
          <t>202512</t>
        </is>
      </c>
      <c r="B1209" t="inlineStr">
        <is>
          <t>Comparación</t>
        </is>
      </c>
      <c r="C1209" t="inlineStr">
        <is>
          <t>Profuturo</t>
        </is>
      </c>
      <c r="D1209" t="inlineStr">
        <is>
          <t>BBVA Bancomer</t>
        </is>
      </c>
      <c r="E1209" t="inlineStr">
        <is>
          <t>Intensidad</t>
        </is>
      </c>
      <c r="F1209" t="n">
        <v>0.002596</v>
      </c>
    </row>
    <row r="1210">
      <c r="A1210" t="inlineStr">
        <is>
          <t>202512</t>
        </is>
      </c>
      <c r="B1210" t="inlineStr">
        <is>
          <t>Comparación</t>
        </is>
      </c>
      <c r="C1210" t="inlineStr">
        <is>
          <t>Profuturo</t>
        </is>
      </c>
      <c r="D1210" t="inlineStr">
        <is>
          <t>BBVA Bancomer</t>
        </is>
      </c>
      <c r="E1210" t="inlineStr">
        <is>
          <t>Inv MM$</t>
        </is>
      </c>
      <c r="F1210" t="n">
        <v>2.827433</v>
      </c>
    </row>
    <row r="1211">
      <c r="A1211" t="inlineStr">
        <is>
          <t>202512</t>
        </is>
      </c>
      <c r="B1211" t="inlineStr">
        <is>
          <t>Comparación</t>
        </is>
      </c>
      <c r="C1211" t="inlineStr">
        <is>
          <t>Profuturo</t>
        </is>
      </c>
      <c r="D1211" t="inlineStr">
        <is>
          <t>BD Capital - Senior Loans 2</t>
        </is>
      </c>
      <c r="E1211" t="inlineStr">
        <is>
          <t>Huella</t>
        </is>
      </c>
      <c r="F1211" t="n">
        <v>3810.891544</v>
      </c>
    </row>
    <row r="1212">
      <c r="A1212" t="inlineStr">
        <is>
          <t>202512</t>
        </is>
      </c>
      <c r="B1212" t="inlineStr">
        <is>
          <t>Comparación</t>
        </is>
      </c>
      <c r="C1212" t="inlineStr">
        <is>
          <t>Profuturo</t>
        </is>
      </c>
      <c r="D1212" t="inlineStr">
        <is>
          <t>BD Capital - Senior Loans 2</t>
        </is>
      </c>
      <c r="E1212" t="inlineStr">
        <is>
          <t>Intensidad</t>
        </is>
      </c>
      <c r="F1212" t="n">
        <v>1.933909</v>
      </c>
    </row>
    <row r="1213">
      <c r="A1213" t="inlineStr">
        <is>
          <t>202512</t>
        </is>
      </c>
      <c r="B1213" t="inlineStr">
        <is>
          <t>Comparación</t>
        </is>
      </c>
      <c r="C1213" t="inlineStr">
        <is>
          <t>Profuturo</t>
        </is>
      </c>
      <c r="D1213" t="inlineStr">
        <is>
          <t>BD Capital - Senior Loans 2</t>
        </is>
      </c>
      <c r="E1213" t="inlineStr">
        <is>
          <t>Inv MM$</t>
        </is>
      </c>
      <c r="F1213" t="n">
        <v>31.178761</v>
      </c>
    </row>
    <row r="1214">
      <c r="A1214" t="inlineStr">
        <is>
          <t>202512</t>
        </is>
      </c>
      <c r="B1214" t="inlineStr">
        <is>
          <t>Comparación</t>
        </is>
      </c>
      <c r="C1214" t="inlineStr">
        <is>
          <t>Profuturo</t>
        </is>
      </c>
      <c r="D1214" t="inlineStr">
        <is>
          <t>BNP Paribas - Japan Small Caps</t>
        </is>
      </c>
      <c r="E1214" t="inlineStr">
        <is>
          <t>Huella</t>
        </is>
      </c>
      <c r="F1214" t="n">
        <v>0.000103</v>
      </c>
    </row>
    <row r="1215">
      <c r="A1215" t="inlineStr">
        <is>
          <t>202512</t>
        </is>
      </c>
      <c r="B1215" t="inlineStr">
        <is>
          <t>Comparación</t>
        </is>
      </c>
      <c r="C1215" t="inlineStr">
        <is>
          <t>Profuturo</t>
        </is>
      </c>
      <c r="D1215" t="inlineStr">
        <is>
          <t>BNP Paribas - Japan Small Caps</t>
        </is>
      </c>
      <c r="E1215" t="inlineStr">
        <is>
          <t>Intensidad</t>
        </is>
      </c>
      <c r="F1215" t="n">
        <v>0</v>
      </c>
    </row>
    <row r="1216">
      <c r="A1216" t="inlineStr">
        <is>
          <t>202512</t>
        </is>
      </c>
      <c r="B1216" t="inlineStr">
        <is>
          <t>Comparación</t>
        </is>
      </c>
      <c r="C1216" t="inlineStr">
        <is>
          <t>Profuturo</t>
        </is>
      </c>
      <c r="D1216" t="inlineStr">
        <is>
          <t>BNP Paribas - Japan Small Caps</t>
        </is>
      </c>
      <c r="E1216" t="inlineStr">
        <is>
          <t>Inv MM$</t>
        </is>
      </c>
      <c r="F1216" t="n">
        <v>1e-06</v>
      </c>
    </row>
    <row r="1217">
      <c r="A1217" t="inlineStr">
        <is>
          <t>202512</t>
        </is>
      </c>
      <c r="B1217" t="inlineStr">
        <is>
          <t>Comparación</t>
        </is>
      </c>
      <c r="C1217" t="inlineStr">
        <is>
          <t>Profuturo</t>
        </is>
      </c>
      <c r="D1217" t="inlineStr">
        <is>
          <t>Baillie Gifford &amp; Co Ltd - Overseas Growth Funds ICVC - Pacific Fund</t>
        </is>
      </c>
      <c r="E1217" t="inlineStr">
        <is>
          <t>Huella</t>
        </is>
      </c>
      <c r="F1217" t="n">
        <v>469.500028</v>
      </c>
    </row>
    <row r="1218">
      <c r="A1218" t="inlineStr">
        <is>
          <t>202512</t>
        </is>
      </c>
      <c r="B1218" t="inlineStr">
        <is>
          <t>Comparación</t>
        </is>
      </c>
      <c r="C1218" t="inlineStr">
        <is>
          <t>Profuturo</t>
        </is>
      </c>
      <c r="D1218" t="inlineStr">
        <is>
          <t>Baillie Gifford &amp; Co Ltd - Overseas Growth Funds ICVC - Pacific Fund</t>
        </is>
      </c>
      <c r="E1218" t="inlineStr">
        <is>
          <t>Intensidad</t>
        </is>
      </c>
      <c r="F1218" t="n">
        <v>0.129509</v>
      </c>
    </row>
    <row r="1219">
      <c r="A1219" t="inlineStr">
        <is>
          <t>202512</t>
        </is>
      </c>
      <c r="B1219" t="inlineStr">
        <is>
          <t>Comparación</t>
        </is>
      </c>
      <c r="C1219" t="inlineStr">
        <is>
          <t>Profuturo</t>
        </is>
      </c>
      <c r="D1219" t="inlineStr">
        <is>
          <t>Baillie Gifford &amp; Co Ltd - Overseas Growth Funds ICVC - Pacific Fund</t>
        </is>
      </c>
      <c r="E1219" t="inlineStr">
        <is>
          <t>Inv MM$</t>
        </is>
      </c>
      <c r="F1219" t="n">
        <v>17.947811</v>
      </c>
    </row>
    <row r="1220">
      <c r="A1220" t="inlineStr">
        <is>
          <t>202512</t>
        </is>
      </c>
      <c r="B1220" t="inlineStr">
        <is>
          <t>Comparación</t>
        </is>
      </c>
      <c r="C1220" t="inlineStr">
        <is>
          <t>Profuturo</t>
        </is>
      </c>
      <c r="D1220" t="inlineStr">
        <is>
          <t>BlackRock - iShares Convertible Bond ETF</t>
        </is>
      </c>
      <c r="E1220" t="inlineStr">
        <is>
          <t>Huella</t>
        </is>
      </c>
      <c r="F1220" t="n">
        <v>2178.732423</v>
      </c>
    </row>
    <row r="1221">
      <c r="A1221" t="inlineStr">
        <is>
          <t>202512</t>
        </is>
      </c>
      <c r="B1221" t="inlineStr">
        <is>
          <t>Comparación</t>
        </is>
      </c>
      <c r="C1221" t="inlineStr">
        <is>
          <t>Profuturo</t>
        </is>
      </c>
      <c r="D1221" t="inlineStr">
        <is>
          <t>BlackRock - iShares Convertible Bond ETF</t>
        </is>
      </c>
      <c r="E1221" t="inlineStr">
        <is>
          <t>Intensidad</t>
        </is>
      </c>
      <c r="F1221" t="n">
        <v>1.834149</v>
      </c>
    </row>
    <row r="1222">
      <c r="A1222" t="inlineStr">
        <is>
          <t>202512</t>
        </is>
      </c>
      <c r="B1222" t="inlineStr">
        <is>
          <t>Comparación</t>
        </is>
      </c>
      <c r="C1222" t="inlineStr">
        <is>
          <t>Profuturo</t>
        </is>
      </c>
      <c r="D1222" t="inlineStr">
        <is>
          <t>BlackRock - iShares Convertible Bond ETF</t>
        </is>
      </c>
      <c r="E1222" t="inlineStr">
        <is>
          <t>Inv MM$</t>
        </is>
      </c>
      <c r="F1222" t="n">
        <v>39.214767</v>
      </c>
    </row>
    <row r="1223">
      <c r="A1223" t="inlineStr">
        <is>
          <t>202512</t>
        </is>
      </c>
      <c r="B1223" t="inlineStr">
        <is>
          <t>Comparación</t>
        </is>
      </c>
      <c r="C1223" t="inlineStr">
        <is>
          <t>Profuturo</t>
        </is>
      </c>
      <c r="D1223" t="inlineStr">
        <is>
          <t>BlackRock - iShares Core S&amp;P 500</t>
        </is>
      </c>
      <c r="E1223" t="inlineStr">
        <is>
          <t>Huella</t>
        </is>
      </c>
      <c r="F1223" t="n">
        <v>678.490815</v>
      </c>
    </row>
    <row r="1224">
      <c r="A1224" t="inlineStr">
        <is>
          <t>202512</t>
        </is>
      </c>
      <c r="B1224" t="inlineStr">
        <is>
          <t>Comparación</t>
        </is>
      </c>
      <c r="C1224" t="inlineStr">
        <is>
          <t>Profuturo</t>
        </is>
      </c>
      <c r="D1224" t="inlineStr">
        <is>
          <t>BlackRock - iShares Core S&amp;P 500</t>
        </is>
      </c>
      <c r="E1224" t="inlineStr">
        <is>
          <t>Intensidad</t>
        </is>
      </c>
      <c r="F1224" t="n">
        <v>0.222059</v>
      </c>
    </row>
    <row r="1225">
      <c r="A1225" t="inlineStr">
        <is>
          <t>202512</t>
        </is>
      </c>
      <c r="B1225" t="inlineStr">
        <is>
          <t>Comparación</t>
        </is>
      </c>
      <c r="C1225" t="inlineStr">
        <is>
          <t>Profuturo</t>
        </is>
      </c>
      <c r="D1225" t="inlineStr">
        <is>
          <t>BlackRock - iShares Core S&amp;P 500</t>
        </is>
      </c>
      <c r="E1225" t="inlineStr">
        <is>
          <t>Inv MM$</t>
        </is>
      </c>
      <c r="F1225" t="n">
        <v>29.881438</v>
      </c>
    </row>
    <row r="1226">
      <c r="A1226" t="inlineStr">
        <is>
          <t>202512</t>
        </is>
      </c>
      <c r="B1226" t="inlineStr">
        <is>
          <t>Comparación</t>
        </is>
      </c>
      <c r="C1226" t="inlineStr">
        <is>
          <t>Profuturo</t>
        </is>
      </c>
      <c r="D1226" t="inlineStr">
        <is>
          <t>BlackRock - iShares Core S&amp;P Small Cap</t>
        </is>
      </c>
      <c r="E1226" t="inlineStr">
        <is>
          <t>Huella</t>
        </is>
      </c>
      <c r="F1226" t="n">
        <v>0.15676</v>
      </c>
    </row>
    <row r="1227">
      <c r="A1227" t="inlineStr">
        <is>
          <t>202512</t>
        </is>
      </c>
      <c r="B1227" t="inlineStr">
        <is>
          <t>Comparación</t>
        </is>
      </c>
      <c r="C1227" t="inlineStr">
        <is>
          <t>Profuturo</t>
        </is>
      </c>
      <c r="D1227" t="inlineStr">
        <is>
          <t>BlackRock - iShares Core S&amp;P Small Cap</t>
        </is>
      </c>
      <c r="E1227" t="inlineStr">
        <is>
          <t>Intensidad</t>
        </is>
      </c>
      <c r="F1227" t="n">
        <v>0.000165</v>
      </c>
    </row>
    <row r="1228">
      <c r="A1228" t="inlineStr">
        <is>
          <t>202512</t>
        </is>
      </c>
      <c r="B1228" t="inlineStr">
        <is>
          <t>Comparación</t>
        </is>
      </c>
      <c r="C1228" t="inlineStr">
        <is>
          <t>Profuturo</t>
        </is>
      </c>
      <c r="D1228" t="inlineStr">
        <is>
          <t>BlackRock - iShares Core S&amp;P Small Cap</t>
        </is>
      </c>
      <c r="E1228" t="inlineStr">
        <is>
          <t>Inv MM$</t>
        </is>
      </c>
      <c r="F1228" t="n">
        <v>0.002556</v>
      </c>
    </row>
    <row r="1229">
      <c r="A1229" t="inlineStr">
        <is>
          <t>202512</t>
        </is>
      </c>
      <c r="B1229" t="inlineStr">
        <is>
          <t>Comparación</t>
        </is>
      </c>
      <c r="C1229" t="inlineStr">
        <is>
          <t>Profuturo</t>
        </is>
      </c>
      <c r="D1229" t="inlineStr">
        <is>
          <t>BlackRock - iShares Euro Stoxx Banks 30-15 UCITS</t>
        </is>
      </c>
      <c r="E1229" t="inlineStr">
        <is>
          <t>Huella</t>
        </is>
      </c>
      <c r="F1229" t="n">
        <v>18.784323</v>
      </c>
    </row>
    <row r="1230">
      <c r="A1230" t="inlineStr">
        <is>
          <t>202512</t>
        </is>
      </c>
      <c r="B1230" t="inlineStr">
        <is>
          <t>Comparación</t>
        </is>
      </c>
      <c r="C1230" t="inlineStr">
        <is>
          <t>Profuturo</t>
        </is>
      </c>
      <c r="D1230" t="inlineStr">
        <is>
          <t>BlackRock - iShares Euro Stoxx Banks 30-15 UCITS</t>
        </is>
      </c>
      <c r="E1230" t="inlineStr">
        <is>
          <t>Intensidad</t>
        </is>
      </c>
      <c r="F1230" t="n">
        <v>0.009812</v>
      </c>
    </row>
    <row r="1231">
      <c r="A1231" t="inlineStr">
        <is>
          <t>202512</t>
        </is>
      </c>
      <c r="B1231" t="inlineStr">
        <is>
          <t>Comparación</t>
        </is>
      </c>
      <c r="C1231" t="inlineStr">
        <is>
          <t>Profuturo</t>
        </is>
      </c>
      <c r="D1231" t="inlineStr">
        <is>
          <t>BlackRock - iShares Euro Stoxx Banks 30-15 UCITS</t>
        </is>
      </c>
      <c r="E1231" t="inlineStr">
        <is>
          <t>Inv MM$</t>
        </is>
      </c>
      <c r="F1231" t="n">
        <v>44.717873</v>
      </c>
    </row>
    <row r="1232">
      <c r="A1232" t="inlineStr">
        <is>
          <t>202512</t>
        </is>
      </c>
      <c r="B1232" t="inlineStr">
        <is>
          <t>Comparación</t>
        </is>
      </c>
      <c r="C1232" t="inlineStr">
        <is>
          <t>Profuturo</t>
        </is>
      </c>
      <c r="D1232" t="inlineStr">
        <is>
          <t>BlackRock - iShares JPM EM Local Government Bond</t>
        </is>
      </c>
      <c r="E1232" t="inlineStr">
        <is>
          <t>Huella</t>
        </is>
      </c>
      <c r="F1232" t="n">
        <v>0.031425</v>
      </c>
    </row>
    <row r="1233">
      <c r="A1233" t="inlineStr">
        <is>
          <t>202512</t>
        </is>
      </c>
      <c r="B1233" t="inlineStr">
        <is>
          <t>Comparación</t>
        </is>
      </c>
      <c r="C1233" t="inlineStr">
        <is>
          <t>Profuturo</t>
        </is>
      </c>
      <c r="D1233" t="inlineStr">
        <is>
          <t>BlackRock - iShares JPM EM Local Government Bond</t>
        </is>
      </c>
      <c r="E1233" t="inlineStr">
        <is>
          <t>Intensidad</t>
        </is>
      </c>
      <c r="F1233" t="n">
        <v>2.4e-05</v>
      </c>
    </row>
    <row r="1234">
      <c r="A1234" t="inlineStr">
        <is>
          <t>202512</t>
        </is>
      </c>
      <c r="B1234" t="inlineStr">
        <is>
          <t>Comparación</t>
        </is>
      </c>
      <c r="C1234" t="inlineStr">
        <is>
          <t>Profuturo</t>
        </is>
      </c>
      <c r="D1234" t="inlineStr">
        <is>
          <t>BlackRock - iShares JPM EM Local Government Bond</t>
        </is>
      </c>
      <c r="E1234" t="inlineStr">
        <is>
          <t>Inv MM$</t>
        </is>
      </c>
      <c r="F1234" t="n">
        <v>4.4e-05</v>
      </c>
    </row>
    <row r="1235">
      <c r="A1235" t="inlineStr">
        <is>
          <t>202512</t>
        </is>
      </c>
      <c r="B1235" t="inlineStr">
        <is>
          <t>Comparación</t>
        </is>
      </c>
      <c r="C1235" t="inlineStr">
        <is>
          <t>Profuturo</t>
        </is>
      </c>
      <c r="D1235" t="inlineStr">
        <is>
          <t>BlackRock - iShares Korea</t>
        </is>
      </c>
      <c r="E1235" t="inlineStr">
        <is>
          <t>Huella</t>
        </is>
      </c>
      <c r="F1235" t="n">
        <v>1796.197746</v>
      </c>
    </row>
    <row r="1236">
      <c r="A1236" t="inlineStr">
        <is>
          <t>202512</t>
        </is>
      </c>
      <c r="B1236" t="inlineStr">
        <is>
          <t>Comparación</t>
        </is>
      </c>
      <c r="C1236" t="inlineStr">
        <is>
          <t>Profuturo</t>
        </is>
      </c>
      <c r="D1236" t="inlineStr">
        <is>
          <t>BlackRock - iShares Korea</t>
        </is>
      </c>
      <c r="E1236" t="inlineStr">
        <is>
          <t>Intensidad</t>
        </is>
      </c>
      <c r="F1236" t="n">
        <v>1.885361</v>
      </c>
    </row>
    <row r="1237">
      <c r="A1237" t="inlineStr">
        <is>
          <t>202512</t>
        </is>
      </c>
      <c r="B1237" t="inlineStr">
        <is>
          <t>Comparación</t>
        </is>
      </c>
      <c r="C1237" t="inlineStr">
        <is>
          <t>Profuturo</t>
        </is>
      </c>
      <c r="D1237" t="inlineStr">
        <is>
          <t>BlackRock - iShares Korea</t>
        </is>
      </c>
      <c r="E1237" t="inlineStr">
        <is>
          <t>Inv MM$</t>
        </is>
      </c>
      <c r="F1237" t="n">
        <v>17.857053</v>
      </c>
    </row>
    <row r="1238">
      <c r="A1238" t="inlineStr">
        <is>
          <t>202512</t>
        </is>
      </c>
      <c r="B1238" t="inlineStr">
        <is>
          <t>Comparación</t>
        </is>
      </c>
      <c r="C1238" t="inlineStr">
        <is>
          <t>Profuturo</t>
        </is>
      </c>
      <c r="D1238" t="inlineStr">
        <is>
          <t>BlackRock - iShares MSCI ACWI</t>
        </is>
      </c>
      <c r="E1238" t="inlineStr">
        <is>
          <t>Huella</t>
        </is>
      </c>
      <c r="F1238" t="n">
        <v>1080.794249</v>
      </c>
    </row>
    <row r="1239">
      <c r="A1239" t="inlineStr">
        <is>
          <t>202512</t>
        </is>
      </c>
      <c r="B1239" t="inlineStr">
        <is>
          <t>Comparación</t>
        </is>
      </c>
      <c r="C1239" t="inlineStr">
        <is>
          <t>Profuturo</t>
        </is>
      </c>
      <c r="D1239" t="inlineStr">
        <is>
          <t>BlackRock - iShares MSCI ACWI</t>
        </is>
      </c>
      <c r="E1239" t="inlineStr">
        <is>
          <t>Intensidad</t>
        </is>
      </c>
      <c r="F1239" t="n">
        <v>1.134445</v>
      </c>
    </row>
    <row r="1240">
      <c r="A1240" t="inlineStr">
        <is>
          <t>202512</t>
        </is>
      </c>
      <c r="B1240" t="inlineStr">
        <is>
          <t>Comparación</t>
        </is>
      </c>
      <c r="C1240" t="inlineStr">
        <is>
          <t>Profuturo</t>
        </is>
      </c>
      <c r="D1240" t="inlineStr">
        <is>
          <t>BlackRock - iShares MSCI ACWI</t>
        </is>
      </c>
      <c r="E1240" t="inlineStr">
        <is>
          <t>Inv MM$</t>
        </is>
      </c>
      <c r="F1240" t="n">
        <v>27.356234</v>
      </c>
    </row>
    <row r="1241">
      <c r="A1241" t="inlineStr">
        <is>
          <t>202512</t>
        </is>
      </c>
      <c r="B1241" t="inlineStr">
        <is>
          <t>Comparación</t>
        </is>
      </c>
      <c r="C1241" t="inlineStr">
        <is>
          <t>Profuturo</t>
        </is>
      </c>
      <c r="D1241" t="inlineStr">
        <is>
          <t>BlackRock - iShares MSCI Brazil</t>
        </is>
      </c>
      <c r="E1241" t="inlineStr">
        <is>
          <t>Huella</t>
        </is>
      </c>
      <c r="F1241" t="n">
        <v>5601.027901</v>
      </c>
    </row>
    <row r="1242">
      <c r="A1242" t="inlineStr">
        <is>
          <t>202512</t>
        </is>
      </c>
      <c r="B1242" t="inlineStr">
        <is>
          <t>Comparación</t>
        </is>
      </c>
      <c r="C1242" t="inlineStr">
        <is>
          <t>Profuturo</t>
        </is>
      </c>
      <c r="D1242" t="inlineStr">
        <is>
          <t>BlackRock - iShares MSCI Brazil</t>
        </is>
      </c>
      <c r="E1242" t="inlineStr">
        <is>
          <t>Intensidad</t>
        </is>
      </c>
      <c r="F1242" t="n">
        <v>2.852521</v>
      </c>
    </row>
    <row r="1243">
      <c r="A1243" t="inlineStr">
        <is>
          <t>202512</t>
        </is>
      </c>
      <c r="B1243" t="inlineStr">
        <is>
          <t>Comparación</t>
        </is>
      </c>
      <c r="C1243" t="inlineStr">
        <is>
          <t>Profuturo</t>
        </is>
      </c>
      <c r="D1243" t="inlineStr">
        <is>
          <t>BlackRock - iShares MSCI Brazil</t>
        </is>
      </c>
      <c r="E1243" t="inlineStr">
        <is>
          <t>Inv MM$</t>
        </is>
      </c>
      <c r="F1243" t="n">
        <v>61.08271</v>
      </c>
    </row>
    <row r="1244">
      <c r="A1244" t="inlineStr">
        <is>
          <t>202512</t>
        </is>
      </c>
      <c r="B1244" t="inlineStr">
        <is>
          <t>Comparación</t>
        </is>
      </c>
      <c r="C1244" t="inlineStr">
        <is>
          <t>Profuturo</t>
        </is>
      </c>
      <c r="D1244" t="inlineStr">
        <is>
          <t>BlackRock - iShares MSCI Canada</t>
        </is>
      </c>
      <c r="E1244" t="inlineStr">
        <is>
          <t>Huella</t>
        </is>
      </c>
      <c r="F1244" t="n">
        <v>2.813975</v>
      </c>
    </row>
    <row r="1245">
      <c r="A1245" t="inlineStr">
        <is>
          <t>202512</t>
        </is>
      </c>
      <c r="B1245" t="inlineStr">
        <is>
          <t>Comparación</t>
        </is>
      </c>
      <c r="C1245" t="inlineStr">
        <is>
          <t>Profuturo</t>
        </is>
      </c>
      <c r="D1245" t="inlineStr">
        <is>
          <t>BlackRock - iShares MSCI Canada</t>
        </is>
      </c>
      <c r="E1245" t="inlineStr">
        <is>
          <t>Intensidad</t>
        </is>
      </c>
      <c r="F1245" t="n">
        <v>0.000776</v>
      </c>
    </row>
    <row r="1246">
      <c r="A1246" t="inlineStr">
        <is>
          <t>202512</t>
        </is>
      </c>
      <c r="B1246" t="inlineStr">
        <is>
          <t>Comparación</t>
        </is>
      </c>
      <c r="C1246" t="inlineStr">
        <is>
          <t>Profuturo</t>
        </is>
      </c>
      <c r="D1246" t="inlineStr">
        <is>
          <t>BlackRock - iShares MSCI Canada</t>
        </is>
      </c>
      <c r="E1246" t="inlineStr">
        <is>
          <t>Inv MM$</t>
        </is>
      </c>
      <c r="F1246" t="n">
        <v>0.043445</v>
      </c>
    </row>
    <row r="1247">
      <c r="A1247" t="inlineStr">
        <is>
          <t>202512</t>
        </is>
      </c>
      <c r="B1247" t="inlineStr">
        <is>
          <t>Comparación</t>
        </is>
      </c>
      <c r="C1247" t="inlineStr">
        <is>
          <t>Profuturo</t>
        </is>
      </c>
      <c r="D1247" t="inlineStr">
        <is>
          <t>BlackRock - iShares MSCI Peru</t>
        </is>
      </c>
      <c r="E1247" t="inlineStr">
        <is>
          <t>Huella</t>
        </is>
      </c>
      <c r="F1247" t="n">
        <v>2775.437505</v>
      </c>
    </row>
    <row r="1248">
      <c r="A1248" t="inlineStr">
        <is>
          <t>202512</t>
        </is>
      </c>
      <c r="B1248" t="inlineStr">
        <is>
          <t>Comparación</t>
        </is>
      </c>
      <c r="C1248" t="inlineStr">
        <is>
          <t>Profuturo</t>
        </is>
      </c>
      <c r="D1248" t="inlineStr">
        <is>
          <t>BlackRock - iShares MSCI Peru</t>
        </is>
      </c>
      <c r="E1248" t="inlineStr">
        <is>
          <t>Intensidad</t>
        </is>
      </c>
      <c r="F1248" t="n">
        <v>1.106077</v>
      </c>
    </row>
    <row r="1249">
      <c r="A1249" t="inlineStr">
        <is>
          <t>202512</t>
        </is>
      </c>
      <c r="B1249" t="inlineStr">
        <is>
          <t>Comparación</t>
        </is>
      </c>
      <c r="C1249" t="inlineStr">
        <is>
          <t>Profuturo</t>
        </is>
      </c>
      <c r="D1249" t="inlineStr">
        <is>
          <t>BlackRock - iShares MSCI Peru</t>
        </is>
      </c>
      <c r="E1249" t="inlineStr">
        <is>
          <t>Inv MM$</t>
        </is>
      </c>
      <c r="F1249" t="n">
        <v>88.580218</v>
      </c>
    </row>
    <row r="1250">
      <c r="A1250" t="inlineStr">
        <is>
          <t>202512</t>
        </is>
      </c>
      <c r="B1250" t="inlineStr">
        <is>
          <t>Comparación</t>
        </is>
      </c>
      <c r="C1250" t="inlineStr">
        <is>
          <t>Profuturo</t>
        </is>
      </c>
      <c r="D1250" t="inlineStr">
        <is>
          <t>BlackRock - iShares PHLX Semiconductor ETF</t>
        </is>
      </c>
      <c r="E1250" t="inlineStr">
        <is>
          <t>Huella</t>
        </is>
      </c>
      <c r="F1250" t="n">
        <v>1094.292946</v>
      </c>
    </row>
    <row r="1251">
      <c r="A1251" t="inlineStr">
        <is>
          <t>202512</t>
        </is>
      </c>
      <c r="B1251" t="inlineStr">
        <is>
          <t>Comparación</t>
        </is>
      </c>
      <c r="C1251" t="inlineStr">
        <is>
          <t>Profuturo</t>
        </is>
      </c>
      <c r="D1251" t="inlineStr">
        <is>
          <t>BlackRock - iShares PHLX Semiconductor ETF</t>
        </is>
      </c>
      <c r="E1251" t="inlineStr">
        <is>
          <t>Intensidad</t>
        </is>
      </c>
      <c r="F1251" t="n">
        <v>0.548167</v>
      </c>
    </row>
    <row r="1252">
      <c r="A1252" t="inlineStr">
        <is>
          <t>202512</t>
        </is>
      </c>
      <c r="B1252" t="inlineStr">
        <is>
          <t>Comparación</t>
        </is>
      </c>
      <c r="C1252" t="inlineStr">
        <is>
          <t>Profuturo</t>
        </is>
      </c>
      <c r="D1252" t="inlineStr">
        <is>
          <t>BlackRock - iShares PHLX Semiconductor ETF</t>
        </is>
      </c>
      <c r="E1252" t="inlineStr">
        <is>
          <t>Inv MM$</t>
        </is>
      </c>
      <c r="F1252" t="n">
        <v>129.372583</v>
      </c>
    </row>
    <row r="1253">
      <c r="A1253" t="inlineStr">
        <is>
          <t>202512</t>
        </is>
      </c>
      <c r="B1253" t="inlineStr">
        <is>
          <t>Comparación</t>
        </is>
      </c>
      <c r="C1253" t="inlineStr">
        <is>
          <t>Profuturo</t>
        </is>
      </c>
      <c r="D1253" t="inlineStr">
        <is>
          <t>BlackRock - iShares US Oil &amp; Gas Exploration and Production</t>
        </is>
      </c>
      <c r="E1253" t="inlineStr">
        <is>
          <t>Huella</t>
        </is>
      </c>
      <c r="F1253" t="n">
        <v>0.018077</v>
      </c>
    </row>
    <row r="1254">
      <c r="A1254" t="inlineStr">
        <is>
          <t>202512</t>
        </is>
      </c>
      <c r="B1254" t="inlineStr">
        <is>
          <t>Comparación</t>
        </is>
      </c>
      <c r="C1254" t="inlineStr">
        <is>
          <t>Profuturo</t>
        </is>
      </c>
      <c r="D1254" t="inlineStr">
        <is>
          <t>BlackRock - iShares US Oil &amp; Gas Exploration and Production</t>
        </is>
      </c>
      <c r="E1254" t="inlineStr">
        <is>
          <t>Intensidad</t>
        </is>
      </c>
      <c r="F1254" t="n">
        <v>5e-06</v>
      </c>
    </row>
    <row r="1255">
      <c r="A1255" t="inlineStr">
        <is>
          <t>202512</t>
        </is>
      </c>
      <c r="B1255" t="inlineStr">
        <is>
          <t>Comparación</t>
        </is>
      </c>
      <c r="C1255" t="inlineStr">
        <is>
          <t>Profuturo</t>
        </is>
      </c>
      <c r="D1255" t="inlineStr">
        <is>
          <t>BlackRock - iShares US Oil &amp; Gas Exploration and Production</t>
        </is>
      </c>
      <c r="E1255" t="inlineStr">
        <is>
          <t>Inv MM$</t>
        </is>
      </c>
      <c r="F1255" t="n">
        <v>8.000000000000001e-05</v>
      </c>
    </row>
    <row r="1256">
      <c r="A1256" t="inlineStr">
        <is>
          <t>202512</t>
        </is>
      </c>
      <c r="B1256" t="inlineStr">
        <is>
          <t>Comparación</t>
        </is>
      </c>
      <c r="C1256" t="inlineStr">
        <is>
          <t>Profuturo</t>
        </is>
      </c>
      <c r="D1256" t="inlineStr">
        <is>
          <t>Blackrock - iShares MSCI ACWI ex U.S. ETF</t>
        </is>
      </c>
      <c r="E1256" t="inlineStr">
        <is>
          <t>Huella</t>
        </is>
      </c>
      <c r="F1256" t="n">
        <v>5432.894944</v>
      </c>
    </row>
    <row r="1257">
      <c r="A1257" t="inlineStr">
        <is>
          <t>202512</t>
        </is>
      </c>
      <c r="B1257" t="inlineStr">
        <is>
          <t>Comparación</t>
        </is>
      </c>
      <c r="C1257" t="inlineStr">
        <is>
          <t>Profuturo</t>
        </is>
      </c>
      <c r="D1257" t="inlineStr">
        <is>
          <t>Blackrock - iShares MSCI ACWI ex U.S. ETF</t>
        </is>
      </c>
      <c r="E1257" t="inlineStr">
        <is>
          <t>Intensidad</t>
        </is>
      </c>
      <c r="F1257" t="n">
        <v>2.973787</v>
      </c>
    </row>
    <row r="1258">
      <c r="A1258" t="inlineStr">
        <is>
          <t>202512</t>
        </is>
      </c>
      <c r="B1258" t="inlineStr">
        <is>
          <t>Comparación</t>
        </is>
      </c>
      <c r="C1258" t="inlineStr">
        <is>
          <t>Profuturo</t>
        </is>
      </c>
      <c r="D1258" t="inlineStr">
        <is>
          <t>Blackrock - iShares MSCI ACWI ex U.S. ETF</t>
        </is>
      </c>
      <c r="E1258" t="inlineStr">
        <is>
          <t>Inv MM$</t>
        </is>
      </c>
      <c r="F1258" t="n">
        <v>75.817379</v>
      </c>
    </row>
    <row r="1259">
      <c r="A1259" t="inlineStr">
        <is>
          <t>202512</t>
        </is>
      </c>
      <c r="B1259" t="inlineStr">
        <is>
          <t>Comparación</t>
        </is>
      </c>
      <c r="C1259" t="inlineStr">
        <is>
          <t>Profuturo</t>
        </is>
      </c>
      <c r="D1259" t="inlineStr">
        <is>
          <t>BlueBay - EM Debt Unconstrained</t>
        </is>
      </c>
      <c r="E1259" t="inlineStr">
        <is>
          <t>Huella</t>
        </is>
      </c>
      <c r="F1259" t="n">
        <v>3075.569375</v>
      </c>
    </row>
    <row r="1260">
      <c r="A1260" t="inlineStr">
        <is>
          <t>202512</t>
        </is>
      </c>
      <c r="B1260" t="inlineStr">
        <is>
          <t>Comparación</t>
        </is>
      </c>
      <c r="C1260" t="inlineStr">
        <is>
          <t>Profuturo</t>
        </is>
      </c>
      <c r="D1260" t="inlineStr">
        <is>
          <t>BlueBay - EM Debt Unconstrained</t>
        </is>
      </c>
      <c r="E1260" t="inlineStr">
        <is>
          <t>Intensidad</t>
        </is>
      </c>
      <c r="F1260" t="n">
        <v>1.660661</v>
      </c>
    </row>
    <row r="1261">
      <c r="A1261" t="inlineStr">
        <is>
          <t>202512</t>
        </is>
      </c>
      <c r="B1261" t="inlineStr">
        <is>
          <t>Comparación</t>
        </is>
      </c>
      <c r="C1261" t="inlineStr">
        <is>
          <t>Profuturo</t>
        </is>
      </c>
      <c r="D1261" t="inlineStr">
        <is>
          <t>BlueBay - EM Debt Unconstrained</t>
        </is>
      </c>
      <c r="E1261" t="inlineStr">
        <is>
          <t>Inv MM$</t>
        </is>
      </c>
      <c r="F1261" t="n">
        <v>30.155457</v>
      </c>
    </row>
    <row r="1262">
      <c r="A1262" t="inlineStr">
        <is>
          <t>202512</t>
        </is>
      </c>
      <c r="B1262" t="inlineStr">
        <is>
          <t>Comparación</t>
        </is>
      </c>
      <c r="C1262" t="inlineStr">
        <is>
          <t>Profuturo</t>
        </is>
      </c>
      <c r="D1262" t="inlineStr">
        <is>
          <t>BlueBay - Emerging Market Bond Fund</t>
        </is>
      </c>
      <c r="E1262" t="inlineStr">
        <is>
          <t>Huella</t>
        </is>
      </c>
      <c r="F1262" t="n">
        <v>958.521802</v>
      </c>
    </row>
    <row r="1263">
      <c r="A1263" t="inlineStr">
        <is>
          <t>202512</t>
        </is>
      </c>
      <c r="B1263" t="inlineStr">
        <is>
          <t>Comparación</t>
        </is>
      </c>
      <c r="C1263" t="inlineStr">
        <is>
          <t>Profuturo</t>
        </is>
      </c>
      <c r="D1263" t="inlineStr">
        <is>
          <t>BlueBay - Emerging Market Bond Fund</t>
        </is>
      </c>
      <c r="E1263" t="inlineStr">
        <is>
          <t>Intensidad</t>
        </is>
      </c>
      <c r="F1263" t="n">
        <v>0.264428</v>
      </c>
    </row>
    <row r="1264">
      <c r="A1264" t="inlineStr">
        <is>
          <t>202512</t>
        </is>
      </c>
      <c r="B1264" t="inlineStr">
        <is>
          <t>Comparación</t>
        </is>
      </c>
      <c r="C1264" t="inlineStr">
        <is>
          <t>Profuturo</t>
        </is>
      </c>
      <c r="D1264" t="inlineStr">
        <is>
          <t>BlueBay - Emerging Market Bond Fund</t>
        </is>
      </c>
      <c r="E1264" t="inlineStr">
        <is>
          <t>Inv MM$</t>
        </is>
      </c>
      <c r="F1264" t="n">
        <v>2.512576</v>
      </c>
    </row>
    <row r="1265">
      <c r="A1265" t="inlineStr">
        <is>
          <t>202512</t>
        </is>
      </c>
      <c r="B1265" t="inlineStr">
        <is>
          <t>Comparación</t>
        </is>
      </c>
      <c r="C1265" t="inlineStr">
        <is>
          <t>Profuturo</t>
        </is>
      </c>
      <c r="D1265" t="inlineStr">
        <is>
          <t>Buenaventura*</t>
        </is>
      </c>
      <c r="E1265" t="inlineStr">
        <is>
          <t>Huella</t>
        </is>
      </c>
      <c r="F1265" t="n">
        <v>6361.397192</v>
      </c>
    </row>
    <row r="1266">
      <c r="A1266" t="inlineStr">
        <is>
          <t>202512</t>
        </is>
      </c>
      <c r="B1266" t="inlineStr">
        <is>
          <t>Comparación</t>
        </is>
      </c>
      <c r="C1266" t="inlineStr">
        <is>
          <t>Profuturo</t>
        </is>
      </c>
      <c r="D1266" t="inlineStr">
        <is>
          <t>Buenaventura*</t>
        </is>
      </c>
      <c r="E1266" t="inlineStr">
        <is>
          <t>Intensidad</t>
        </is>
      </c>
      <c r="F1266" t="n">
        <v>3.988334</v>
      </c>
    </row>
    <row r="1267">
      <c r="A1267" t="inlineStr">
        <is>
          <t>202512</t>
        </is>
      </c>
      <c r="B1267" t="inlineStr">
        <is>
          <t>Comparación</t>
        </is>
      </c>
      <c r="C1267" t="inlineStr">
        <is>
          <t>Profuturo</t>
        </is>
      </c>
      <c r="D1267" t="inlineStr">
        <is>
          <t>Buenaventura*</t>
        </is>
      </c>
      <c r="E1267" t="inlineStr">
        <is>
          <t>Inv MM$</t>
        </is>
      </c>
      <c r="F1267" t="n">
        <v>108.928034</v>
      </c>
    </row>
    <row r="1268">
      <c r="A1268" t="inlineStr">
        <is>
          <t>202512</t>
        </is>
      </c>
      <c r="B1268" t="inlineStr">
        <is>
          <t>Comparación</t>
        </is>
      </c>
      <c r="C1268" t="inlineStr">
        <is>
          <t>Profuturo</t>
        </is>
      </c>
      <c r="D1268" t="inlineStr">
        <is>
          <t>Credicorp*</t>
        </is>
      </c>
      <c r="E1268" t="inlineStr">
        <is>
          <t>Huella</t>
        </is>
      </c>
      <c r="F1268" t="n">
        <v>143.97151</v>
      </c>
    </row>
    <row r="1269">
      <c r="A1269" t="inlineStr">
        <is>
          <t>202512</t>
        </is>
      </c>
      <c r="B1269" t="inlineStr">
        <is>
          <t>Comparación</t>
        </is>
      </c>
      <c r="C1269" t="inlineStr">
        <is>
          <t>Profuturo</t>
        </is>
      </c>
      <c r="D1269" t="inlineStr">
        <is>
          <t>Credicorp*</t>
        </is>
      </c>
      <c r="E1269" t="inlineStr">
        <is>
          <t>Intensidad</t>
        </is>
      </c>
      <c r="F1269" t="n">
        <v>0.078905</v>
      </c>
    </row>
    <row r="1270">
      <c r="A1270" t="inlineStr">
        <is>
          <t>202512</t>
        </is>
      </c>
      <c r="B1270" t="inlineStr">
        <is>
          <t>Comparación</t>
        </is>
      </c>
      <c r="C1270" t="inlineStr">
        <is>
          <t>Profuturo</t>
        </is>
      </c>
      <c r="D1270" t="inlineStr">
        <is>
          <t>Credicorp*</t>
        </is>
      </c>
      <c r="E1270" t="inlineStr">
        <is>
          <t>Inv MM$</t>
        </is>
      </c>
      <c r="F1270" t="n">
        <v>197.221246</v>
      </c>
    </row>
    <row r="1271">
      <c r="A1271" t="inlineStr">
        <is>
          <t>202512</t>
        </is>
      </c>
      <c r="B1271" t="inlineStr">
        <is>
          <t>Comparación</t>
        </is>
      </c>
      <c r="C1271" t="inlineStr">
        <is>
          <t>Profuturo</t>
        </is>
      </c>
      <c r="D1271" t="inlineStr">
        <is>
          <t>DWS - Invest Latin American Equities - IC</t>
        </is>
      </c>
      <c r="E1271" t="inlineStr">
        <is>
          <t>Huella</t>
        </is>
      </c>
      <c r="F1271" t="n">
        <v>2357.515087</v>
      </c>
    </row>
    <row r="1272">
      <c r="A1272" t="inlineStr">
        <is>
          <t>202512</t>
        </is>
      </c>
      <c r="B1272" t="inlineStr">
        <is>
          <t>Comparación</t>
        </is>
      </c>
      <c r="C1272" t="inlineStr">
        <is>
          <t>Profuturo</t>
        </is>
      </c>
      <c r="D1272" t="inlineStr">
        <is>
          <t>DWS - Invest Latin American Equities - IC</t>
        </is>
      </c>
      <c r="E1272" t="inlineStr">
        <is>
          <t>Intensidad</t>
        </is>
      </c>
      <c r="F1272" t="n">
        <v>1.280174</v>
      </c>
    </row>
    <row r="1273">
      <c r="A1273" t="inlineStr">
        <is>
          <t>202512</t>
        </is>
      </c>
      <c r="B1273" t="inlineStr">
        <is>
          <t>Comparación</t>
        </is>
      </c>
      <c r="C1273" t="inlineStr">
        <is>
          <t>Profuturo</t>
        </is>
      </c>
      <c r="D1273" t="inlineStr">
        <is>
          <t>DWS - Invest Latin American Equities - IC</t>
        </is>
      </c>
      <c r="E1273" t="inlineStr">
        <is>
          <t>Inv MM$</t>
        </is>
      </c>
      <c r="F1273" t="n">
        <v>15.191569</v>
      </c>
    </row>
    <row r="1274">
      <c r="A1274" t="inlineStr">
        <is>
          <t>202512</t>
        </is>
      </c>
      <c r="B1274" t="inlineStr">
        <is>
          <t>Comparación</t>
        </is>
      </c>
      <c r="C1274" t="inlineStr">
        <is>
          <t>Profuturo</t>
        </is>
      </c>
      <c r="D1274" t="inlineStr">
        <is>
          <t>Degroof - EM  Sustainable Debt</t>
        </is>
      </c>
      <c r="E1274" t="inlineStr">
        <is>
          <t>Huella</t>
        </is>
      </c>
      <c r="F1274" t="n">
        <v>2.620275</v>
      </c>
    </row>
    <row r="1275">
      <c r="A1275" t="inlineStr">
        <is>
          <t>202512</t>
        </is>
      </c>
      <c r="B1275" t="inlineStr">
        <is>
          <t>Comparación</t>
        </is>
      </c>
      <c r="C1275" t="inlineStr">
        <is>
          <t>Profuturo</t>
        </is>
      </c>
      <c r="D1275" t="inlineStr">
        <is>
          <t>Degroof - EM  Sustainable Debt</t>
        </is>
      </c>
      <c r="E1275" t="inlineStr">
        <is>
          <t>Intensidad</t>
        </is>
      </c>
      <c r="F1275" t="n">
        <v>0.001305</v>
      </c>
    </row>
    <row r="1276">
      <c r="A1276" t="inlineStr">
        <is>
          <t>202512</t>
        </is>
      </c>
      <c r="B1276" t="inlineStr">
        <is>
          <t>Comparación</t>
        </is>
      </c>
      <c r="C1276" t="inlineStr">
        <is>
          <t>Profuturo</t>
        </is>
      </c>
      <c r="D1276" t="inlineStr">
        <is>
          <t>Degroof - EM  Sustainable Debt</t>
        </is>
      </c>
      <c r="E1276" t="inlineStr">
        <is>
          <t>Inv MM$</t>
        </is>
      </c>
      <c r="F1276" t="n">
        <v>42.666588</v>
      </c>
    </row>
    <row r="1277">
      <c r="A1277" t="inlineStr">
        <is>
          <t>202512</t>
        </is>
      </c>
      <c r="B1277" t="inlineStr">
        <is>
          <t>Comparación</t>
        </is>
      </c>
      <c r="C1277" t="inlineStr">
        <is>
          <t>Profuturo</t>
        </is>
      </c>
      <c r="D1277" t="inlineStr">
        <is>
          <t>Ecopetrol</t>
        </is>
      </c>
      <c r="E1277" t="inlineStr">
        <is>
          <t>Huella</t>
        </is>
      </c>
      <c r="F1277" t="n">
        <v>6234.084201</v>
      </c>
    </row>
    <row r="1278">
      <c r="A1278" t="inlineStr">
        <is>
          <t>202512</t>
        </is>
      </c>
      <c r="B1278" t="inlineStr">
        <is>
          <t>Comparación</t>
        </is>
      </c>
      <c r="C1278" t="inlineStr">
        <is>
          <t>Profuturo</t>
        </is>
      </c>
      <c r="D1278" t="inlineStr">
        <is>
          <t>Ecopetrol</t>
        </is>
      </c>
      <c r="E1278" t="inlineStr">
        <is>
          <t>Intensidad</t>
        </is>
      </c>
      <c r="F1278" t="n">
        <v>3.959411</v>
      </c>
    </row>
    <row r="1279">
      <c r="A1279" t="inlineStr">
        <is>
          <t>202512</t>
        </is>
      </c>
      <c r="B1279" t="inlineStr">
        <is>
          <t>Comparación</t>
        </is>
      </c>
      <c r="C1279" t="inlineStr">
        <is>
          <t>Profuturo</t>
        </is>
      </c>
      <c r="D1279" t="inlineStr">
        <is>
          <t>Ecopetrol</t>
        </is>
      </c>
      <c r="E1279" t="inlineStr">
        <is>
          <t>Inv MM$</t>
        </is>
      </c>
      <c r="F1279" t="n">
        <v>24.011417</v>
      </c>
    </row>
    <row r="1280">
      <c r="A1280" t="inlineStr">
        <is>
          <t>202512</t>
        </is>
      </c>
      <c r="B1280" t="inlineStr">
        <is>
          <t>Comparación</t>
        </is>
      </c>
      <c r="C1280" t="inlineStr">
        <is>
          <t>Profuturo</t>
        </is>
      </c>
      <c r="D1280" t="inlineStr">
        <is>
          <t>Edmond de Rothschild - Big Data</t>
        </is>
      </c>
      <c r="E1280" t="inlineStr">
        <is>
          <t>Huella</t>
        </is>
      </c>
      <c r="F1280" t="n">
        <v>228.082458</v>
      </c>
    </row>
    <row r="1281">
      <c r="A1281" t="inlineStr">
        <is>
          <t>202512</t>
        </is>
      </c>
      <c r="B1281" t="inlineStr">
        <is>
          <t>Comparación</t>
        </is>
      </c>
      <c r="C1281" t="inlineStr">
        <is>
          <t>Profuturo</t>
        </is>
      </c>
      <c r="D1281" t="inlineStr">
        <is>
          <t>Edmond de Rothschild - Big Data</t>
        </is>
      </c>
      <c r="E1281" t="inlineStr">
        <is>
          <t>Intensidad</t>
        </is>
      </c>
      <c r="F1281" t="n">
        <v>0.125348</v>
      </c>
    </row>
    <row r="1282">
      <c r="A1282" t="inlineStr">
        <is>
          <t>202512</t>
        </is>
      </c>
      <c r="B1282" t="inlineStr">
        <is>
          <t>Comparación</t>
        </is>
      </c>
      <c r="C1282" t="inlineStr">
        <is>
          <t>Profuturo</t>
        </is>
      </c>
      <c r="D1282" t="inlineStr">
        <is>
          <t>Edmond de Rothschild - Big Data</t>
        </is>
      </c>
      <c r="E1282" t="inlineStr">
        <is>
          <t>Inv MM$</t>
        </is>
      </c>
      <c r="F1282" t="n">
        <v>28.172159</v>
      </c>
    </row>
    <row r="1283">
      <c r="A1283" t="inlineStr">
        <is>
          <t>202512</t>
        </is>
      </c>
      <c r="B1283" t="inlineStr">
        <is>
          <t>Comparación</t>
        </is>
      </c>
      <c r="C1283" t="inlineStr">
        <is>
          <t>Profuturo</t>
        </is>
      </c>
      <c r="D1283" t="inlineStr">
        <is>
          <t>Emp. Públicas Medellin</t>
        </is>
      </c>
      <c r="E1283" t="inlineStr">
        <is>
          <t>Huella</t>
        </is>
      </c>
      <c r="F1283" t="n">
        <v>557.571872</v>
      </c>
    </row>
    <row r="1284">
      <c r="A1284" t="inlineStr">
        <is>
          <t>202512</t>
        </is>
      </c>
      <c r="B1284" t="inlineStr">
        <is>
          <t>Comparación</t>
        </is>
      </c>
      <c r="C1284" t="inlineStr">
        <is>
          <t>Profuturo</t>
        </is>
      </c>
      <c r="D1284" t="inlineStr">
        <is>
          <t>Emp. Públicas Medellin</t>
        </is>
      </c>
      <c r="E1284" t="inlineStr">
        <is>
          <t>Intensidad</t>
        </is>
      </c>
      <c r="F1284" t="n">
        <v>0.292189</v>
      </c>
    </row>
    <row r="1285">
      <c r="A1285" t="inlineStr">
        <is>
          <t>202512</t>
        </is>
      </c>
      <c r="B1285" t="inlineStr">
        <is>
          <t>Comparación</t>
        </is>
      </c>
      <c r="C1285" t="inlineStr">
        <is>
          <t>Profuturo</t>
        </is>
      </c>
      <c r="D1285" t="inlineStr">
        <is>
          <t>Emp. Públicas Medellin</t>
        </is>
      </c>
      <c r="E1285" t="inlineStr">
        <is>
          <t>Inv MM$</t>
        </is>
      </c>
      <c r="F1285" t="n">
        <v>17.087707</v>
      </c>
    </row>
    <row r="1286">
      <c r="A1286" t="inlineStr">
        <is>
          <t>202512</t>
        </is>
      </c>
      <c r="B1286" t="inlineStr">
        <is>
          <t>Comparación</t>
        </is>
      </c>
      <c r="C1286" t="inlineStr">
        <is>
          <t>Profuturo</t>
        </is>
      </c>
      <c r="D1286" t="inlineStr">
        <is>
          <t>Ferreyros</t>
        </is>
      </c>
      <c r="E1286" t="inlineStr">
        <is>
          <t>Huella</t>
        </is>
      </c>
      <c r="F1286" t="n">
        <v>331.602046</v>
      </c>
    </row>
    <row r="1287">
      <c r="A1287" t="inlineStr">
        <is>
          <t>202512</t>
        </is>
      </c>
      <c r="B1287" t="inlineStr">
        <is>
          <t>Comparación</t>
        </is>
      </c>
      <c r="C1287" t="inlineStr">
        <is>
          <t>Profuturo</t>
        </is>
      </c>
      <c r="D1287" t="inlineStr">
        <is>
          <t>Ferreyros</t>
        </is>
      </c>
      <c r="E1287" t="inlineStr">
        <is>
          <t>Intensidad</t>
        </is>
      </c>
      <c r="F1287" t="n">
        <v>0.184302</v>
      </c>
    </row>
    <row r="1288">
      <c r="A1288" t="inlineStr">
        <is>
          <t>202512</t>
        </is>
      </c>
      <c r="B1288" t="inlineStr">
        <is>
          <t>Comparación</t>
        </is>
      </c>
      <c r="C1288" t="inlineStr">
        <is>
          <t>Profuturo</t>
        </is>
      </c>
      <c r="D1288" t="inlineStr">
        <is>
          <t>Ferreyros</t>
        </is>
      </c>
      <c r="E1288" t="inlineStr">
        <is>
          <t>Inv MM$</t>
        </is>
      </c>
      <c r="F1288" t="n">
        <v>41.710949</v>
      </c>
    </row>
    <row r="1289">
      <c r="A1289" t="inlineStr">
        <is>
          <t>202512</t>
        </is>
      </c>
      <c r="B1289" t="inlineStr">
        <is>
          <t>Comparación</t>
        </is>
      </c>
      <c r="C1289" t="inlineStr">
        <is>
          <t>Profuturo</t>
        </is>
      </c>
      <c r="D1289" t="inlineStr">
        <is>
          <t>Fondo Credicorp Deuda Soles II</t>
        </is>
      </c>
      <c r="E1289" t="inlineStr">
        <is>
          <t>Huella</t>
        </is>
      </c>
      <c r="F1289" t="n">
        <v>456.719172</v>
      </c>
    </row>
    <row r="1290">
      <c r="A1290" t="inlineStr">
        <is>
          <t>202512</t>
        </is>
      </c>
      <c r="B1290" t="inlineStr">
        <is>
          <t>Comparación</t>
        </is>
      </c>
      <c r="C1290" t="inlineStr">
        <is>
          <t>Profuturo</t>
        </is>
      </c>
      <c r="D1290" t="inlineStr">
        <is>
          <t>Fondo Credicorp Deuda Soles II</t>
        </is>
      </c>
      <c r="E1290" t="inlineStr">
        <is>
          <t>Intensidad</t>
        </is>
      </c>
      <c r="F1290" t="n">
        <v>0.218854</v>
      </c>
    </row>
    <row r="1291">
      <c r="A1291" t="inlineStr">
        <is>
          <t>202512</t>
        </is>
      </c>
      <c r="B1291" t="inlineStr">
        <is>
          <t>Comparación</t>
        </is>
      </c>
      <c r="C1291" t="inlineStr">
        <is>
          <t>Profuturo</t>
        </is>
      </c>
      <c r="D1291" t="inlineStr">
        <is>
          <t>Fondo Credicorp Deuda Soles II</t>
        </is>
      </c>
      <c r="E1291" t="inlineStr">
        <is>
          <t>Inv MM$</t>
        </is>
      </c>
      <c r="F1291" t="n">
        <v>14.576543</v>
      </c>
    </row>
    <row r="1292">
      <c r="A1292" t="inlineStr">
        <is>
          <t>202512</t>
        </is>
      </c>
      <c r="B1292" t="inlineStr">
        <is>
          <t>Comparación</t>
        </is>
      </c>
      <c r="C1292" t="inlineStr">
        <is>
          <t>Profuturo</t>
        </is>
      </c>
      <c r="D1292" t="inlineStr">
        <is>
          <t>Global Evolution Funds - Frontier Markets Fund</t>
        </is>
      </c>
      <c r="E1292" t="inlineStr">
        <is>
          <t>Huella</t>
        </is>
      </c>
      <c r="F1292" t="n">
        <v>0.000129</v>
      </c>
    </row>
    <row r="1293">
      <c r="A1293" t="inlineStr">
        <is>
          <t>202512</t>
        </is>
      </c>
      <c r="B1293" t="inlineStr">
        <is>
          <t>Comparación</t>
        </is>
      </c>
      <c r="C1293" t="inlineStr">
        <is>
          <t>Profuturo</t>
        </is>
      </c>
      <c r="D1293" t="inlineStr">
        <is>
          <t>Global Evolution Funds - Frontier Markets Fund</t>
        </is>
      </c>
      <c r="E1293" t="inlineStr">
        <is>
          <t>Intensidad</t>
        </is>
      </c>
      <c r="F1293" t="n">
        <v>0</v>
      </c>
    </row>
    <row r="1294">
      <c r="A1294" t="inlineStr">
        <is>
          <t>202512</t>
        </is>
      </c>
      <c r="B1294" t="inlineStr">
        <is>
          <t>Comparación</t>
        </is>
      </c>
      <c r="C1294" t="inlineStr">
        <is>
          <t>Profuturo</t>
        </is>
      </c>
      <c r="D1294" t="inlineStr">
        <is>
          <t>Global Evolution Funds - Frontier Markets Fund</t>
        </is>
      </c>
      <c r="E1294" t="inlineStr">
        <is>
          <t>Inv MM$</t>
        </is>
      </c>
      <c r="F1294" t="n">
        <v>0.000201</v>
      </c>
    </row>
    <row r="1295">
      <c r="A1295" t="inlineStr">
        <is>
          <t>202512</t>
        </is>
      </c>
      <c r="B1295" t="inlineStr">
        <is>
          <t>Comparación</t>
        </is>
      </c>
      <c r="C1295" t="inlineStr">
        <is>
          <t>Profuturo</t>
        </is>
      </c>
      <c r="D1295" t="inlineStr">
        <is>
          <t>Global X - Copper Miners ETF</t>
        </is>
      </c>
      <c r="E1295" t="inlineStr">
        <is>
          <t>Huella</t>
        </is>
      </c>
      <c r="F1295" t="n">
        <v>6975.332817</v>
      </c>
    </row>
    <row r="1296">
      <c r="A1296" t="inlineStr">
        <is>
          <t>202512</t>
        </is>
      </c>
      <c r="B1296" t="inlineStr">
        <is>
          <t>Comparación</t>
        </is>
      </c>
      <c r="C1296" t="inlineStr">
        <is>
          <t>Profuturo</t>
        </is>
      </c>
      <c r="D1296" t="inlineStr">
        <is>
          <t>Global X - Copper Miners ETF</t>
        </is>
      </c>
      <c r="E1296" t="inlineStr">
        <is>
          <t>Intensidad</t>
        </is>
      </c>
      <c r="F1296" t="n">
        <v>4.1114</v>
      </c>
    </row>
    <row r="1297">
      <c r="A1297" t="inlineStr">
        <is>
          <t>202512</t>
        </is>
      </c>
      <c r="B1297" t="inlineStr">
        <is>
          <t>Comparación</t>
        </is>
      </c>
      <c r="C1297" t="inlineStr">
        <is>
          <t>Profuturo</t>
        </is>
      </c>
      <c r="D1297" t="inlineStr">
        <is>
          <t>Global X - Copper Miners ETF</t>
        </is>
      </c>
      <c r="E1297" t="inlineStr">
        <is>
          <t>Inv MM$</t>
        </is>
      </c>
      <c r="F1297" t="n">
        <v>57.823305</v>
      </c>
    </row>
    <row r="1298">
      <c r="A1298" t="inlineStr">
        <is>
          <t>202512</t>
        </is>
      </c>
      <c r="B1298" t="inlineStr">
        <is>
          <t>Comparación</t>
        </is>
      </c>
      <c r="C1298" t="inlineStr">
        <is>
          <t>Profuturo</t>
        </is>
      </c>
      <c r="D1298" t="inlineStr">
        <is>
          <t>INVESCO - Nasdaq-100 Swap UCITS ETF</t>
        </is>
      </c>
      <c r="E1298" t="inlineStr">
        <is>
          <t>Huella</t>
        </is>
      </c>
      <c r="F1298" t="n">
        <v>1432.102543</v>
      </c>
    </row>
    <row r="1299">
      <c r="A1299" t="inlineStr">
        <is>
          <t>202512</t>
        </is>
      </c>
      <c r="B1299" t="inlineStr">
        <is>
          <t>Comparación</t>
        </is>
      </c>
      <c r="C1299" t="inlineStr">
        <is>
          <t>Profuturo</t>
        </is>
      </c>
      <c r="D1299" t="inlineStr">
        <is>
          <t>INVESCO - Nasdaq-100 Swap UCITS ETF</t>
        </is>
      </c>
      <c r="E1299" t="inlineStr">
        <is>
          <t>Intensidad</t>
        </is>
      </c>
      <c r="F1299" t="n">
        <v>0.823255</v>
      </c>
    </row>
    <row r="1300">
      <c r="A1300" t="inlineStr">
        <is>
          <t>202512</t>
        </is>
      </c>
      <c r="B1300" t="inlineStr">
        <is>
          <t>Comparación</t>
        </is>
      </c>
      <c r="C1300" t="inlineStr">
        <is>
          <t>Profuturo</t>
        </is>
      </c>
      <c r="D1300" t="inlineStr">
        <is>
          <t>INVESCO - Nasdaq-100 Swap UCITS ETF</t>
        </is>
      </c>
      <c r="E1300" t="inlineStr">
        <is>
          <t>Inv MM$</t>
        </is>
      </c>
      <c r="F1300" t="n">
        <v>163.47495</v>
      </c>
    </row>
    <row r="1301">
      <c r="A1301" t="inlineStr">
        <is>
          <t>202512</t>
        </is>
      </c>
      <c r="B1301" t="inlineStr">
        <is>
          <t>Comparación</t>
        </is>
      </c>
      <c r="C1301" t="inlineStr">
        <is>
          <t>Profuturo</t>
        </is>
      </c>
      <c r="D1301" t="inlineStr">
        <is>
          <t>InRetail Peru</t>
        </is>
      </c>
      <c r="E1301" t="inlineStr">
        <is>
          <t>Huella</t>
        </is>
      </c>
      <c r="F1301" t="n">
        <v>955.835392</v>
      </c>
    </row>
    <row r="1302">
      <c r="A1302" t="inlineStr">
        <is>
          <t>202512</t>
        </is>
      </c>
      <c r="B1302" t="inlineStr">
        <is>
          <t>Comparación</t>
        </is>
      </c>
      <c r="C1302" t="inlineStr">
        <is>
          <t>Profuturo</t>
        </is>
      </c>
      <c r="D1302" t="inlineStr">
        <is>
          <t>InRetail Peru</t>
        </is>
      </c>
      <c r="E1302" t="inlineStr">
        <is>
          <t>Intensidad</t>
        </is>
      </c>
      <c r="F1302" t="n">
        <v>0.5632779999999999</v>
      </c>
    </row>
    <row r="1303">
      <c r="A1303" t="inlineStr">
        <is>
          <t>202512</t>
        </is>
      </c>
      <c r="B1303" t="inlineStr">
        <is>
          <t>Comparación</t>
        </is>
      </c>
      <c r="C1303" t="inlineStr">
        <is>
          <t>Profuturo</t>
        </is>
      </c>
      <c r="D1303" t="inlineStr">
        <is>
          <t>InRetail Peru</t>
        </is>
      </c>
      <c r="E1303" t="inlineStr">
        <is>
          <t>Inv MM$</t>
        </is>
      </c>
      <c r="F1303" t="n">
        <v>44.980489</v>
      </c>
    </row>
    <row r="1304">
      <c r="A1304" t="inlineStr">
        <is>
          <t>202512</t>
        </is>
      </c>
      <c r="B1304" t="inlineStr">
        <is>
          <t>Comparación</t>
        </is>
      </c>
      <c r="C1304" t="inlineStr">
        <is>
          <t>Profuturo</t>
        </is>
      </c>
      <c r="D1304" t="inlineStr">
        <is>
          <t>Intergroup</t>
        </is>
      </c>
      <c r="E1304" t="inlineStr">
        <is>
          <t>Huella</t>
        </is>
      </c>
      <c r="F1304" t="n">
        <v>15.338253</v>
      </c>
    </row>
    <row r="1305">
      <c r="A1305" t="inlineStr">
        <is>
          <t>202512</t>
        </is>
      </c>
      <c r="B1305" t="inlineStr">
        <is>
          <t>Comparación</t>
        </is>
      </c>
      <c r="C1305" t="inlineStr">
        <is>
          <t>Profuturo</t>
        </is>
      </c>
      <c r="D1305" t="inlineStr">
        <is>
          <t>Intergroup</t>
        </is>
      </c>
      <c r="E1305" t="inlineStr">
        <is>
          <t>Intensidad</t>
        </is>
      </c>
      <c r="F1305" t="n">
        <v>0.006808</v>
      </c>
    </row>
    <row r="1306">
      <c r="A1306" t="inlineStr">
        <is>
          <t>202512</t>
        </is>
      </c>
      <c r="B1306" t="inlineStr">
        <is>
          <t>Comparación</t>
        </is>
      </c>
      <c r="C1306" t="inlineStr">
        <is>
          <t>Profuturo</t>
        </is>
      </c>
      <c r="D1306" t="inlineStr">
        <is>
          <t>Intergroup</t>
        </is>
      </c>
      <c r="E1306" t="inlineStr">
        <is>
          <t>Inv MM$</t>
        </is>
      </c>
      <c r="F1306" t="n">
        <v>21.603174</v>
      </c>
    </row>
    <row r="1307">
      <c r="A1307" t="inlineStr">
        <is>
          <t>202512</t>
        </is>
      </c>
      <c r="B1307" t="inlineStr">
        <is>
          <t>Comparación</t>
        </is>
      </c>
      <c r="C1307" t="inlineStr">
        <is>
          <t>Profuturo</t>
        </is>
      </c>
      <c r="D1307" t="inlineStr">
        <is>
          <t>Invesco - Nasdaq 100 ETF</t>
        </is>
      </c>
      <c r="E1307" t="inlineStr">
        <is>
          <t>Huella</t>
        </is>
      </c>
      <c r="F1307" t="n">
        <v>1057.181182</v>
      </c>
    </row>
    <row r="1308">
      <c r="A1308" t="inlineStr">
        <is>
          <t>202512</t>
        </is>
      </c>
      <c r="B1308" t="inlineStr">
        <is>
          <t>Comparación</t>
        </is>
      </c>
      <c r="C1308" t="inlineStr">
        <is>
          <t>Profuturo</t>
        </is>
      </c>
      <c r="D1308" t="inlineStr">
        <is>
          <t>Invesco - Nasdaq 100 ETF</t>
        </is>
      </c>
      <c r="E1308" t="inlineStr">
        <is>
          <t>Intensidad</t>
        </is>
      </c>
      <c r="F1308" t="n">
        <v>0.762646</v>
      </c>
    </row>
    <row r="1309">
      <c r="A1309" t="inlineStr">
        <is>
          <t>202512</t>
        </is>
      </c>
      <c r="B1309" t="inlineStr">
        <is>
          <t>Comparación</t>
        </is>
      </c>
      <c r="C1309" t="inlineStr">
        <is>
          <t>Profuturo</t>
        </is>
      </c>
      <c r="D1309" t="inlineStr">
        <is>
          <t>Invesco - Nasdaq 100 ETF</t>
        </is>
      </c>
      <c r="E1309" t="inlineStr">
        <is>
          <t>Inv MM$</t>
        </is>
      </c>
      <c r="F1309" t="n">
        <v>114.983524</v>
      </c>
    </row>
    <row r="1310">
      <c r="A1310" t="inlineStr">
        <is>
          <t>202512</t>
        </is>
      </c>
      <c r="B1310" t="inlineStr">
        <is>
          <t>Comparación</t>
        </is>
      </c>
      <c r="C1310" t="inlineStr">
        <is>
          <t>Profuturo</t>
        </is>
      </c>
      <c r="D1310" t="inlineStr">
        <is>
          <t>Invesco - S&amp;P500 UCITS</t>
        </is>
      </c>
      <c r="E1310" t="inlineStr">
        <is>
          <t>Huella</t>
        </is>
      </c>
      <c r="F1310" t="n">
        <v>0</v>
      </c>
    </row>
    <row r="1311">
      <c r="A1311" t="inlineStr">
        <is>
          <t>202512</t>
        </is>
      </c>
      <c r="B1311" t="inlineStr">
        <is>
          <t>Comparación</t>
        </is>
      </c>
      <c r="C1311" t="inlineStr">
        <is>
          <t>Profuturo</t>
        </is>
      </c>
      <c r="D1311" t="inlineStr">
        <is>
          <t>Invesco - S&amp;P500 UCITS</t>
        </is>
      </c>
      <c r="E1311" t="inlineStr">
        <is>
          <t>Intensidad</t>
        </is>
      </c>
      <c r="F1311" t="n">
        <v>0</v>
      </c>
    </row>
    <row r="1312">
      <c r="A1312" t="inlineStr">
        <is>
          <t>202512</t>
        </is>
      </c>
      <c r="B1312" t="inlineStr">
        <is>
          <t>Comparación</t>
        </is>
      </c>
      <c r="C1312" t="inlineStr">
        <is>
          <t>Profuturo</t>
        </is>
      </c>
      <c r="D1312" t="inlineStr">
        <is>
          <t>Invesco - S&amp;P500 UCITS</t>
        </is>
      </c>
      <c r="E1312" t="inlineStr">
        <is>
          <t>Inv MM$</t>
        </is>
      </c>
      <c r="F1312" t="n">
        <v>0</v>
      </c>
    </row>
    <row r="1313">
      <c r="A1313" t="inlineStr">
        <is>
          <t>202512</t>
        </is>
      </c>
      <c r="B1313" t="inlineStr">
        <is>
          <t>Comparación</t>
        </is>
      </c>
      <c r="C1313" t="inlineStr">
        <is>
          <t>Profuturo</t>
        </is>
      </c>
      <c r="D1313" t="inlineStr">
        <is>
          <t>Invesco LLC - US Banks</t>
        </is>
      </c>
      <c r="E1313" t="inlineStr">
        <is>
          <t>Huella</t>
        </is>
      </c>
      <c r="F1313" t="n">
        <v>8.417348</v>
      </c>
    </row>
    <row r="1314">
      <c r="A1314" t="inlineStr">
        <is>
          <t>202512</t>
        </is>
      </c>
      <c r="B1314" t="inlineStr">
        <is>
          <t>Comparación</t>
        </is>
      </c>
      <c r="C1314" t="inlineStr">
        <is>
          <t>Profuturo</t>
        </is>
      </c>
      <c r="D1314" t="inlineStr">
        <is>
          <t>Invesco LLC - US Banks</t>
        </is>
      </c>
      <c r="E1314" t="inlineStr">
        <is>
          <t>Intensidad</t>
        </is>
      </c>
      <c r="F1314" t="n">
        <v>0.008835000000000001</v>
      </c>
    </row>
    <row r="1315">
      <c r="A1315" t="inlineStr">
        <is>
          <t>202512</t>
        </is>
      </c>
      <c r="B1315" t="inlineStr">
        <is>
          <t>Comparación</t>
        </is>
      </c>
      <c r="C1315" t="inlineStr">
        <is>
          <t>Profuturo</t>
        </is>
      </c>
      <c r="D1315" t="inlineStr">
        <is>
          <t>Invesco LLC - US Banks</t>
        </is>
      </c>
      <c r="E1315" t="inlineStr">
        <is>
          <t>Inv MM$</t>
        </is>
      </c>
      <c r="F1315" t="n">
        <v>8.963328000000001</v>
      </c>
    </row>
    <row r="1316">
      <c r="A1316" t="inlineStr">
        <is>
          <t>202512</t>
        </is>
      </c>
      <c r="B1316" t="inlineStr">
        <is>
          <t>Comparación</t>
        </is>
      </c>
      <c r="C1316" t="inlineStr">
        <is>
          <t>Profuturo</t>
        </is>
      </c>
      <c r="D1316" t="inlineStr">
        <is>
          <t>JP Morgan - China A Share Opportunities Fund</t>
        </is>
      </c>
      <c r="E1316" t="inlineStr">
        <is>
          <t>Huella</t>
        </is>
      </c>
      <c r="F1316" t="n">
        <v>0.004865</v>
      </c>
    </row>
    <row r="1317">
      <c r="A1317" t="inlineStr">
        <is>
          <t>202512</t>
        </is>
      </c>
      <c r="B1317" t="inlineStr">
        <is>
          <t>Comparación</t>
        </is>
      </c>
      <c r="C1317" t="inlineStr">
        <is>
          <t>Profuturo</t>
        </is>
      </c>
      <c r="D1317" t="inlineStr">
        <is>
          <t>JP Morgan - China A Share Opportunities Fund</t>
        </is>
      </c>
      <c r="E1317" t="inlineStr">
        <is>
          <t>Intensidad</t>
        </is>
      </c>
      <c r="F1317" t="n">
        <v>3e-06</v>
      </c>
    </row>
    <row r="1318">
      <c r="A1318" t="inlineStr">
        <is>
          <t>202512</t>
        </is>
      </c>
      <c r="B1318" t="inlineStr">
        <is>
          <t>Comparación</t>
        </is>
      </c>
      <c r="C1318" t="inlineStr">
        <is>
          <t>Profuturo</t>
        </is>
      </c>
      <c r="D1318" t="inlineStr">
        <is>
          <t>JP Morgan - China A Share Opportunities Fund</t>
        </is>
      </c>
      <c r="E1318" t="inlineStr">
        <is>
          <t>Inv MM$</t>
        </is>
      </c>
      <c r="F1318" t="n">
        <v>0.000152</v>
      </c>
    </row>
    <row r="1319">
      <c r="A1319" t="inlineStr">
        <is>
          <t>202512</t>
        </is>
      </c>
      <c r="B1319" t="inlineStr">
        <is>
          <t>Comparación</t>
        </is>
      </c>
      <c r="C1319" t="inlineStr">
        <is>
          <t>Profuturo</t>
        </is>
      </c>
      <c r="D1319" t="inlineStr">
        <is>
          <t>JP Morgan - Japan Equity Fund - I</t>
        </is>
      </c>
      <c r="E1319" t="inlineStr">
        <is>
          <t>Huella</t>
        </is>
      </c>
      <c r="F1319" t="n">
        <v>312.522382</v>
      </c>
    </row>
    <row r="1320">
      <c r="A1320" t="inlineStr">
        <is>
          <t>202512</t>
        </is>
      </c>
      <c r="B1320" t="inlineStr">
        <is>
          <t>Comparación</t>
        </is>
      </c>
      <c r="C1320" t="inlineStr">
        <is>
          <t>Profuturo</t>
        </is>
      </c>
      <c r="D1320" t="inlineStr">
        <is>
          <t>JP Morgan - Japan Equity Fund - I</t>
        </is>
      </c>
      <c r="E1320" t="inlineStr">
        <is>
          <t>Intensidad</t>
        </is>
      </c>
      <c r="F1320" t="n">
        <v>0.174633</v>
      </c>
    </row>
    <row r="1321">
      <c r="A1321" t="inlineStr">
        <is>
          <t>202512</t>
        </is>
      </c>
      <c r="B1321" t="inlineStr">
        <is>
          <t>Comparación</t>
        </is>
      </c>
      <c r="C1321" t="inlineStr">
        <is>
          <t>Profuturo</t>
        </is>
      </c>
      <c r="D1321" t="inlineStr">
        <is>
          <t>JP Morgan - Japan Equity Fund - I</t>
        </is>
      </c>
      <c r="E1321" t="inlineStr">
        <is>
          <t>Inv MM$</t>
        </is>
      </c>
      <c r="F1321" t="n">
        <v>13.744432</v>
      </c>
    </row>
    <row r="1322">
      <c r="A1322" t="inlineStr">
        <is>
          <t>202512</t>
        </is>
      </c>
      <c r="B1322" t="inlineStr">
        <is>
          <t>Comparación</t>
        </is>
      </c>
      <c r="C1322" t="inlineStr">
        <is>
          <t>Profuturo</t>
        </is>
      </c>
      <c r="D1322" t="inlineStr">
        <is>
          <t>Krane - CSI China Internet Fund</t>
        </is>
      </c>
      <c r="E1322" t="inlineStr">
        <is>
          <t>Huella</t>
        </is>
      </c>
      <c r="F1322" t="n">
        <v>347.349581</v>
      </c>
    </row>
    <row r="1323">
      <c r="A1323" t="inlineStr">
        <is>
          <t>202512</t>
        </is>
      </c>
      <c r="B1323" t="inlineStr">
        <is>
          <t>Comparación</t>
        </is>
      </c>
      <c r="C1323" t="inlineStr">
        <is>
          <t>Profuturo</t>
        </is>
      </c>
      <c r="D1323" t="inlineStr">
        <is>
          <t>Krane - CSI China Internet Fund</t>
        </is>
      </c>
      <c r="E1323" t="inlineStr">
        <is>
          <t>Intensidad</t>
        </is>
      </c>
      <c r="F1323" t="n">
        <v>0.180683</v>
      </c>
    </row>
    <row r="1324">
      <c r="A1324" t="inlineStr">
        <is>
          <t>202512</t>
        </is>
      </c>
      <c r="B1324" t="inlineStr">
        <is>
          <t>Comparación</t>
        </is>
      </c>
      <c r="C1324" t="inlineStr">
        <is>
          <t>Profuturo</t>
        </is>
      </c>
      <c r="D1324" t="inlineStr">
        <is>
          <t>Krane - CSI China Internet Fund</t>
        </is>
      </c>
      <c r="E1324" t="inlineStr">
        <is>
          <t>Inv MM$</t>
        </is>
      </c>
      <c r="F1324" t="n">
        <v>48.996169</v>
      </c>
    </row>
    <row r="1325">
      <c r="A1325" t="inlineStr">
        <is>
          <t>202512</t>
        </is>
      </c>
      <c r="B1325" t="inlineStr">
        <is>
          <t>Comparación</t>
        </is>
      </c>
      <c r="C1325" t="inlineStr">
        <is>
          <t>Profuturo</t>
        </is>
      </c>
      <c r="D1325" t="inlineStr">
        <is>
          <t>Lazard - Japanese Strategic Equity</t>
        </is>
      </c>
      <c r="E1325" t="inlineStr">
        <is>
          <t>Huella</t>
        </is>
      </c>
      <c r="F1325" t="n">
        <v>2723.629278</v>
      </c>
    </row>
    <row r="1326">
      <c r="A1326" t="inlineStr">
        <is>
          <t>202512</t>
        </is>
      </c>
      <c r="B1326" t="inlineStr">
        <is>
          <t>Comparación</t>
        </is>
      </c>
      <c r="C1326" t="inlineStr">
        <is>
          <t>Profuturo</t>
        </is>
      </c>
      <c r="D1326" t="inlineStr">
        <is>
          <t>Lazard - Japanese Strategic Equity</t>
        </is>
      </c>
      <c r="E1326" t="inlineStr">
        <is>
          <t>Intensidad</t>
        </is>
      </c>
      <c r="F1326" t="n">
        <v>1.500665</v>
      </c>
    </row>
    <row r="1327">
      <c r="A1327" t="inlineStr">
        <is>
          <t>202512</t>
        </is>
      </c>
      <c r="B1327" t="inlineStr">
        <is>
          <t>Comparación</t>
        </is>
      </c>
      <c r="C1327" t="inlineStr">
        <is>
          <t>Profuturo</t>
        </is>
      </c>
      <c r="D1327" t="inlineStr">
        <is>
          <t>Lazard - Japanese Strategic Equity</t>
        </is>
      </c>
      <c r="E1327" t="inlineStr">
        <is>
          <t>Inv MM$</t>
        </is>
      </c>
      <c r="F1327" t="n">
        <v>25.847609</v>
      </c>
    </row>
    <row r="1328">
      <c r="A1328" t="inlineStr">
        <is>
          <t>202512</t>
        </is>
      </c>
      <c r="B1328" t="inlineStr">
        <is>
          <t>Comparación</t>
        </is>
      </c>
      <c r="C1328" t="inlineStr">
        <is>
          <t>Profuturo</t>
        </is>
      </c>
      <c r="D1328" t="inlineStr">
        <is>
          <t>Lazard Capital Fi</t>
        </is>
      </c>
      <c r="E1328" t="inlineStr">
        <is>
          <t>Huella</t>
        </is>
      </c>
      <c r="F1328" t="n">
        <v>0.040406</v>
      </c>
    </row>
    <row r="1329">
      <c r="A1329" t="inlineStr">
        <is>
          <t>202512</t>
        </is>
      </c>
      <c r="B1329" t="inlineStr">
        <is>
          <t>Comparación</t>
        </is>
      </c>
      <c r="C1329" t="inlineStr">
        <is>
          <t>Profuturo</t>
        </is>
      </c>
      <c r="D1329" t="inlineStr">
        <is>
          <t>Lazard Capital Fi</t>
        </is>
      </c>
      <c r="E1329" t="inlineStr">
        <is>
          <t>Intensidad</t>
        </is>
      </c>
      <c r="F1329" t="n">
        <v>3.1e-05</v>
      </c>
    </row>
    <row r="1330">
      <c r="A1330" t="inlineStr">
        <is>
          <t>202512</t>
        </is>
      </c>
      <c r="B1330" t="inlineStr">
        <is>
          <t>Comparación</t>
        </is>
      </c>
      <c r="C1330" t="inlineStr">
        <is>
          <t>Profuturo</t>
        </is>
      </c>
      <c r="D1330" t="inlineStr">
        <is>
          <t>Lazard Capital Fi</t>
        </is>
      </c>
      <c r="E1330" t="inlineStr">
        <is>
          <t>Inv MM$</t>
        </is>
      </c>
      <c r="F1330" t="n">
        <v>0.014443</v>
      </c>
    </row>
    <row r="1331">
      <c r="A1331" t="inlineStr">
        <is>
          <t>202512</t>
        </is>
      </c>
      <c r="B1331" t="inlineStr">
        <is>
          <t>Comparación</t>
        </is>
      </c>
      <c r="C1331" t="inlineStr">
        <is>
          <t>Profuturo</t>
        </is>
      </c>
      <c r="D1331" t="inlineStr">
        <is>
          <t>Liontrust - Liontrust European Dynamic Fund S</t>
        </is>
      </c>
      <c r="E1331" t="inlineStr">
        <is>
          <t>Huella</t>
        </is>
      </c>
      <c r="F1331" t="n">
        <v>9075.378430999999</v>
      </c>
    </row>
    <row r="1332">
      <c r="A1332" t="inlineStr">
        <is>
          <t>202512</t>
        </is>
      </c>
      <c r="B1332" t="inlineStr">
        <is>
          <t>Comparación</t>
        </is>
      </c>
      <c r="C1332" t="inlineStr">
        <is>
          <t>Profuturo</t>
        </is>
      </c>
      <c r="D1332" t="inlineStr">
        <is>
          <t>Liontrust - Liontrust European Dynamic Fund S</t>
        </is>
      </c>
      <c r="E1332" t="inlineStr">
        <is>
          <t>Intensidad</t>
        </is>
      </c>
      <c r="F1332" t="n">
        <v>4.862968</v>
      </c>
    </row>
    <row r="1333">
      <c r="A1333" t="inlineStr">
        <is>
          <t>202512</t>
        </is>
      </c>
      <c r="B1333" t="inlineStr">
        <is>
          <t>Comparación</t>
        </is>
      </c>
      <c r="C1333" t="inlineStr">
        <is>
          <t>Profuturo</t>
        </is>
      </c>
      <c r="D1333" t="inlineStr">
        <is>
          <t>Liontrust - Liontrust European Dynamic Fund S</t>
        </is>
      </c>
      <c r="E1333" t="inlineStr">
        <is>
          <t>Inv MM$</t>
        </is>
      </c>
      <c r="F1333" t="n">
        <v>43.2398</v>
      </c>
    </row>
    <row r="1334">
      <c r="A1334" t="inlineStr">
        <is>
          <t>202512</t>
        </is>
      </c>
      <c r="B1334" t="inlineStr">
        <is>
          <t>Comparación</t>
        </is>
      </c>
      <c r="C1334" t="inlineStr">
        <is>
          <t>Profuturo</t>
        </is>
      </c>
      <c r="D1334" t="inlineStr">
        <is>
          <t>Minsur</t>
        </is>
      </c>
      <c r="E1334" t="inlineStr">
        <is>
          <t>Huella</t>
        </is>
      </c>
      <c r="F1334" t="n">
        <v>14381.631095</v>
      </c>
    </row>
    <row r="1335">
      <c r="A1335" t="inlineStr">
        <is>
          <t>202512</t>
        </is>
      </c>
      <c r="B1335" t="inlineStr">
        <is>
          <t>Comparación</t>
        </is>
      </c>
      <c r="C1335" t="inlineStr">
        <is>
          <t>Profuturo</t>
        </is>
      </c>
      <c r="D1335" t="inlineStr">
        <is>
          <t>Minsur</t>
        </is>
      </c>
      <c r="E1335" t="inlineStr">
        <is>
          <t>Intensidad</t>
        </is>
      </c>
      <c r="F1335" t="n">
        <v>8.02087</v>
      </c>
    </row>
    <row r="1336">
      <c r="A1336" t="inlineStr">
        <is>
          <t>202512</t>
        </is>
      </c>
      <c r="B1336" t="inlineStr">
        <is>
          <t>Comparación</t>
        </is>
      </c>
      <c r="C1336" t="inlineStr">
        <is>
          <t>Profuturo</t>
        </is>
      </c>
      <c r="D1336" t="inlineStr">
        <is>
          <t>Minsur</t>
        </is>
      </c>
      <c r="E1336" t="inlineStr">
        <is>
          <t>Inv MM$</t>
        </is>
      </c>
      <c r="F1336" t="n">
        <v>125.933722</v>
      </c>
    </row>
    <row r="1337">
      <c r="A1337" t="inlineStr">
        <is>
          <t>202512</t>
        </is>
      </c>
      <c r="B1337" t="inlineStr">
        <is>
          <t>Comparación</t>
        </is>
      </c>
      <c r="C1337" t="inlineStr">
        <is>
          <t>Profuturo</t>
        </is>
      </c>
      <c r="D1337" t="inlineStr">
        <is>
          <t>Nexa Resources</t>
        </is>
      </c>
      <c r="E1337" t="inlineStr">
        <is>
          <t>Huella</t>
        </is>
      </c>
      <c r="F1337" t="n">
        <v>647.35011</v>
      </c>
    </row>
    <row r="1338">
      <c r="A1338" t="inlineStr">
        <is>
          <t>202512</t>
        </is>
      </c>
      <c r="B1338" t="inlineStr">
        <is>
          <t>Comparación</t>
        </is>
      </c>
      <c r="C1338" t="inlineStr">
        <is>
          <t>Profuturo</t>
        </is>
      </c>
      <c r="D1338" t="inlineStr">
        <is>
          <t>Nexa Resources</t>
        </is>
      </c>
      <c r="E1338" t="inlineStr">
        <is>
          <t>Intensidad</t>
        </is>
      </c>
      <c r="F1338" t="n">
        <v>0.679485</v>
      </c>
    </row>
    <row r="1339">
      <c r="A1339" t="inlineStr">
        <is>
          <t>202512</t>
        </is>
      </c>
      <c r="B1339" t="inlineStr">
        <is>
          <t>Comparación</t>
        </is>
      </c>
      <c r="C1339" t="inlineStr">
        <is>
          <t>Profuturo</t>
        </is>
      </c>
      <c r="D1339" t="inlineStr">
        <is>
          <t>Nexa Resources</t>
        </is>
      </c>
      <c r="E1339" t="inlineStr">
        <is>
          <t>Inv MM$</t>
        </is>
      </c>
      <c r="F1339" t="n">
        <v>3.02133</v>
      </c>
    </row>
    <row r="1340">
      <c r="A1340" t="inlineStr">
        <is>
          <t>202512</t>
        </is>
      </c>
      <c r="B1340" t="inlineStr">
        <is>
          <t>Comparación</t>
        </is>
      </c>
      <c r="C1340" t="inlineStr">
        <is>
          <t>Profuturo</t>
        </is>
      </c>
      <c r="D1340" t="inlineStr">
        <is>
          <t>Nexa Resources Perú</t>
        </is>
      </c>
      <c r="E1340" t="inlineStr">
        <is>
          <t>Huella</t>
        </is>
      </c>
      <c r="F1340" t="n">
        <v>1351.788718</v>
      </c>
    </row>
    <row r="1341">
      <c r="A1341" t="inlineStr">
        <is>
          <t>202512</t>
        </is>
      </c>
      <c r="B1341" t="inlineStr">
        <is>
          <t>Comparación</t>
        </is>
      </c>
      <c r="C1341" t="inlineStr">
        <is>
          <t>Profuturo</t>
        </is>
      </c>
      <c r="D1341" t="inlineStr">
        <is>
          <t>Nexa Resources Perú</t>
        </is>
      </c>
      <c r="E1341" t="inlineStr">
        <is>
          <t>Intensidad</t>
        </is>
      </c>
      <c r="F1341" t="n">
        <v>0.584632</v>
      </c>
    </row>
    <row r="1342">
      <c r="A1342" t="inlineStr">
        <is>
          <t>202512</t>
        </is>
      </c>
      <c r="B1342" t="inlineStr">
        <is>
          <t>Comparación</t>
        </is>
      </c>
      <c r="C1342" t="inlineStr">
        <is>
          <t>Profuturo</t>
        </is>
      </c>
      <c r="D1342" t="inlineStr">
        <is>
          <t>Nexa Resources Perú</t>
        </is>
      </c>
      <c r="E1342" t="inlineStr">
        <is>
          <t>Inv MM$</t>
        </is>
      </c>
      <c r="F1342" t="n">
        <v>4.865875</v>
      </c>
    </row>
    <row r="1343">
      <c r="A1343" t="inlineStr">
        <is>
          <t>202512</t>
        </is>
      </c>
      <c r="B1343" t="inlineStr">
        <is>
          <t>Comparación</t>
        </is>
      </c>
      <c r="C1343" t="inlineStr">
        <is>
          <t>Profuturo</t>
        </is>
      </c>
      <c r="D1343" t="inlineStr">
        <is>
          <t>PIMCO - Asia High Yield Bond Fund</t>
        </is>
      </c>
      <c r="E1343" t="inlineStr">
        <is>
          <t>Huella</t>
        </is>
      </c>
      <c r="F1343" t="n">
        <v>0.001375</v>
      </c>
    </row>
    <row r="1344">
      <c r="A1344" t="inlineStr">
        <is>
          <t>202512</t>
        </is>
      </c>
      <c r="B1344" t="inlineStr">
        <is>
          <t>Comparación</t>
        </is>
      </c>
      <c r="C1344" t="inlineStr">
        <is>
          <t>Profuturo</t>
        </is>
      </c>
      <c r="D1344" t="inlineStr">
        <is>
          <t>PIMCO - Asia High Yield Bond Fund</t>
        </is>
      </c>
      <c r="E1344" t="inlineStr">
        <is>
          <t>Intensidad</t>
        </is>
      </c>
      <c r="F1344" t="n">
        <v>1e-06</v>
      </c>
    </row>
    <row r="1345">
      <c r="A1345" t="inlineStr">
        <is>
          <t>202512</t>
        </is>
      </c>
      <c r="B1345" t="inlineStr">
        <is>
          <t>Comparación</t>
        </is>
      </c>
      <c r="C1345" t="inlineStr">
        <is>
          <t>Profuturo</t>
        </is>
      </c>
      <c r="D1345" t="inlineStr">
        <is>
          <t>PIMCO - Asia High Yield Bond Fund</t>
        </is>
      </c>
      <c r="E1345" t="inlineStr">
        <is>
          <t>Inv MM$</t>
        </is>
      </c>
      <c r="F1345" t="n">
        <v>3e-06</v>
      </c>
    </row>
    <row r="1346">
      <c r="A1346" t="inlineStr">
        <is>
          <t>202512</t>
        </is>
      </c>
      <c r="B1346" t="inlineStr">
        <is>
          <t>Comparación</t>
        </is>
      </c>
      <c r="C1346" t="inlineStr">
        <is>
          <t>Profuturo</t>
        </is>
      </c>
      <c r="D1346" t="inlineStr">
        <is>
          <t>Pictet - Digital</t>
        </is>
      </c>
      <c r="E1346" t="inlineStr">
        <is>
          <t>Huella</t>
        </is>
      </c>
      <c r="F1346" t="n">
        <v>0.002121</v>
      </c>
    </row>
    <row r="1347">
      <c r="A1347" t="inlineStr">
        <is>
          <t>202512</t>
        </is>
      </c>
      <c r="B1347" t="inlineStr">
        <is>
          <t>Comparación</t>
        </is>
      </c>
      <c r="C1347" t="inlineStr">
        <is>
          <t>Profuturo</t>
        </is>
      </c>
      <c r="D1347" t="inlineStr">
        <is>
          <t>Pictet - Digital</t>
        </is>
      </c>
      <c r="E1347" t="inlineStr">
        <is>
          <t>Intensidad</t>
        </is>
      </c>
      <c r="F1347" t="n">
        <v>2e-06</v>
      </c>
    </row>
    <row r="1348">
      <c r="A1348" t="inlineStr">
        <is>
          <t>202512</t>
        </is>
      </c>
      <c r="B1348" t="inlineStr">
        <is>
          <t>Comparación</t>
        </is>
      </c>
      <c r="C1348" t="inlineStr">
        <is>
          <t>Profuturo</t>
        </is>
      </c>
      <c r="D1348" t="inlineStr">
        <is>
          <t>Pictet - Digital</t>
        </is>
      </c>
      <c r="E1348" t="inlineStr">
        <is>
          <t>Inv MM$</t>
        </is>
      </c>
      <c r="F1348" t="n">
        <v>0.000578</v>
      </c>
    </row>
    <row r="1349">
      <c r="A1349" t="inlineStr">
        <is>
          <t>202512</t>
        </is>
      </c>
      <c r="B1349" t="inlineStr">
        <is>
          <t>Comparación</t>
        </is>
      </c>
      <c r="C1349" t="inlineStr">
        <is>
          <t>Profuturo</t>
        </is>
      </c>
      <c r="D1349" t="inlineStr">
        <is>
          <t>Pictet - Global Emerging Debt</t>
        </is>
      </c>
      <c r="E1349" t="inlineStr">
        <is>
          <t>Huella</t>
        </is>
      </c>
      <c r="F1349" t="n">
        <v>1.788639</v>
      </c>
    </row>
    <row r="1350">
      <c r="A1350" t="inlineStr">
        <is>
          <t>202512</t>
        </is>
      </c>
      <c r="B1350" t="inlineStr">
        <is>
          <t>Comparación</t>
        </is>
      </c>
      <c r="C1350" t="inlineStr">
        <is>
          <t>Profuturo</t>
        </is>
      </c>
      <c r="D1350" t="inlineStr">
        <is>
          <t>Pictet - Global Emerging Debt</t>
        </is>
      </c>
      <c r="E1350" t="inlineStr">
        <is>
          <t>Intensidad</t>
        </is>
      </c>
      <c r="F1350" t="n">
        <v>0.001369</v>
      </c>
    </row>
    <row r="1351">
      <c r="A1351" t="inlineStr">
        <is>
          <t>202512</t>
        </is>
      </c>
      <c r="B1351" t="inlineStr">
        <is>
          <t>Comparación</t>
        </is>
      </c>
      <c r="C1351" t="inlineStr">
        <is>
          <t>Profuturo</t>
        </is>
      </c>
      <c r="D1351" t="inlineStr">
        <is>
          <t>Pictet - Global Emerging Debt</t>
        </is>
      </c>
      <c r="E1351" t="inlineStr">
        <is>
          <t>Inv MM$</t>
        </is>
      </c>
      <c r="F1351" t="n">
        <v>0.013762</v>
      </c>
    </row>
    <row r="1352">
      <c r="A1352" t="inlineStr">
        <is>
          <t>202512</t>
        </is>
      </c>
      <c r="B1352" t="inlineStr">
        <is>
          <t>Comparación</t>
        </is>
      </c>
      <c r="C1352" t="inlineStr">
        <is>
          <t>Profuturo</t>
        </is>
      </c>
      <c r="D1352" t="inlineStr">
        <is>
          <t>Pictet Robotics</t>
        </is>
      </c>
      <c r="E1352" t="inlineStr">
        <is>
          <t>Huella</t>
        </is>
      </c>
      <c r="F1352" t="n">
        <v>0.003586</v>
      </c>
    </row>
    <row r="1353">
      <c r="A1353" t="inlineStr">
        <is>
          <t>202512</t>
        </is>
      </c>
      <c r="B1353" t="inlineStr">
        <is>
          <t>Comparación</t>
        </is>
      </c>
      <c r="C1353" t="inlineStr">
        <is>
          <t>Profuturo</t>
        </is>
      </c>
      <c r="D1353" t="inlineStr">
        <is>
          <t>Pictet Robotics</t>
        </is>
      </c>
      <c r="E1353" t="inlineStr">
        <is>
          <t>Intensidad</t>
        </is>
      </c>
      <c r="F1353" t="n">
        <v>2e-06</v>
      </c>
    </row>
    <row r="1354">
      <c r="A1354" t="inlineStr">
        <is>
          <t>202512</t>
        </is>
      </c>
      <c r="B1354" t="inlineStr">
        <is>
          <t>Comparación</t>
        </is>
      </c>
      <c r="C1354" t="inlineStr">
        <is>
          <t>Profuturo</t>
        </is>
      </c>
      <c r="D1354" t="inlineStr">
        <is>
          <t>Pictet Robotics</t>
        </is>
      </c>
      <c r="E1354" t="inlineStr">
        <is>
          <t>Inv MM$</t>
        </is>
      </c>
      <c r="F1354" t="n">
        <v>0.000779</v>
      </c>
    </row>
    <row r="1355">
      <c r="A1355" t="inlineStr">
        <is>
          <t>202512</t>
        </is>
      </c>
      <c r="B1355" t="inlineStr">
        <is>
          <t>Comparación</t>
        </is>
      </c>
      <c r="C1355" t="inlineStr">
        <is>
          <t>Profuturo</t>
        </is>
      </c>
      <c r="D1355" t="inlineStr">
        <is>
          <t>Pimco - Emerging Markets Local Bond Fund</t>
        </is>
      </c>
      <c r="E1355" t="inlineStr">
        <is>
          <t>Huella</t>
        </is>
      </c>
      <c r="F1355" t="n">
        <v>15173.799234</v>
      </c>
    </row>
    <row r="1356">
      <c r="A1356" t="inlineStr">
        <is>
          <t>202512</t>
        </is>
      </c>
      <c r="B1356" t="inlineStr">
        <is>
          <t>Comparación</t>
        </is>
      </c>
      <c r="C1356" t="inlineStr">
        <is>
          <t>Profuturo</t>
        </is>
      </c>
      <c r="D1356" t="inlineStr">
        <is>
          <t>Pimco - Emerging Markets Local Bond Fund</t>
        </is>
      </c>
      <c r="E1356" t="inlineStr">
        <is>
          <t>Intensidad</t>
        </is>
      </c>
      <c r="F1356" t="n">
        <v>8.640867999999999</v>
      </c>
    </row>
    <row r="1357">
      <c r="A1357" t="inlineStr">
        <is>
          <t>202512</t>
        </is>
      </c>
      <c r="B1357" t="inlineStr">
        <is>
          <t>Comparación</t>
        </is>
      </c>
      <c r="C1357" t="inlineStr">
        <is>
          <t>Profuturo</t>
        </is>
      </c>
      <c r="D1357" t="inlineStr">
        <is>
          <t>Pimco - Emerging Markets Local Bond Fund</t>
        </is>
      </c>
      <c r="E1357" t="inlineStr">
        <is>
          <t>Inv MM$</t>
        </is>
      </c>
      <c r="F1357" t="n">
        <v>89.412451</v>
      </c>
    </row>
    <row r="1358">
      <c r="A1358" t="inlineStr">
        <is>
          <t>202512</t>
        </is>
      </c>
      <c r="B1358" t="inlineStr">
        <is>
          <t>Comparación</t>
        </is>
      </c>
      <c r="C1358" t="inlineStr">
        <is>
          <t>Profuturo</t>
        </is>
      </c>
      <c r="D1358" t="inlineStr">
        <is>
          <t>Pimco - GIS Income Fund</t>
        </is>
      </c>
      <c r="E1358" t="inlineStr">
        <is>
          <t>Huella</t>
        </is>
      </c>
      <c r="F1358" t="n">
        <v>205.978879</v>
      </c>
    </row>
    <row r="1359">
      <c r="A1359" t="inlineStr">
        <is>
          <t>202512</t>
        </is>
      </c>
      <c r="B1359" t="inlineStr">
        <is>
          <t>Comparación</t>
        </is>
      </c>
      <c r="C1359" t="inlineStr">
        <is>
          <t>Profuturo</t>
        </is>
      </c>
      <c r="D1359" t="inlineStr">
        <is>
          <t>Pimco - GIS Income Fund</t>
        </is>
      </c>
      <c r="E1359" t="inlineStr">
        <is>
          <t>Intensidad</t>
        </is>
      </c>
      <c r="F1359" t="n">
        <v>0.157609</v>
      </c>
    </row>
    <row r="1360">
      <c r="A1360" t="inlineStr">
        <is>
          <t>202512</t>
        </is>
      </c>
      <c r="B1360" t="inlineStr">
        <is>
          <t>Comparación</t>
        </is>
      </c>
      <c r="C1360" t="inlineStr">
        <is>
          <t>Profuturo</t>
        </is>
      </c>
      <c r="D1360" t="inlineStr">
        <is>
          <t>Pimco - GIS Income Fund</t>
        </is>
      </c>
      <c r="E1360" t="inlineStr">
        <is>
          <t>Inv MM$</t>
        </is>
      </c>
      <c r="F1360" t="n">
        <v>4.457871</v>
      </c>
    </row>
    <row r="1361">
      <c r="A1361" t="inlineStr">
        <is>
          <t>202512</t>
        </is>
      </c>
      <c r="B1361" t="inlineStr">
        <is>
          <t>Comparación</t>
        </is>
      </c>
      <c r="C1361" t="inlineStr">
        <is>
          <t>Profuturo</t>
        </is>
      </c>
      <c r="D1361" t="inlineStr">
        <is>
          <t>Pimco - Mortgage Opportunities Fund</t>
        </is>
      </c>
      <c r="E1361" t="inlineStr">
        <is>
          <t>Huella</t>
        </is>
      </c>
      <c r="F1361" t="n">
        <v>2e-06</v>
      </c>
    </row>
    <row r="1362">
      <c r="A1362" t="inlineStr">
        <is>
          <t>202512</t>
        </is>
      </c>
      <c r="B1362" t="inlineStr">
        <is>
          <t>Comparación</t>
        </is>
      </c>
      <c r="C1362" t="inlineStr">
        <is>
          <t>Profuturo</t>
        </is>
      </c>
      <c r="D1362" t="inlineStr">
        <is>
          <t>Pimco - Mortgage Opportunities Fund</t>
        </is>
      </c>
      <c r="E1362" t="inlineStr">
        <is>
          <t>Intensidad</t>
        </is>
      </c>
      <c r="F1362" t="n">
        <v>0</v>
      </c>
    </row>
    <row r="1363">
      <c r="A1363" t="inlineStr">
        <is>
          <t>202512</t>
        </is>
      </c>
      <c r="B1363" t="inlineStr">
        <is>
          <t>Comparación</t>
        </is>
      </c>
      <c r="C1363" t="inlineStr">
        <is>
          <t>Profuturo</t>
        </is>
      </c>
      <c r="D1363" t="inlineStr">
        <is>
          <t>Pimco - Mortgage Opportunities Fund</t>
        </is>
      </c>
      <c r="E1363" t="inlineStr">
        <is>
          <t>Inv MM$</t>
        </is>
      </c>
      <c r="F1363" t="n">
        <v>1.4e-05</v>
      </c>
    </row>
    <row r="1364">
      <c r="A1364" t="inlineStr">
        <is>
          <t>202512</t>
        </is>
      </c>
      <c r="B1364" t="inlineStr">
        <is>
          <t>Comparación</t>
        </is>
      </c>
      <c r="C1364" t="inlineStr">
        <is>
          <t>Profuturo</t>
        </is>
      </c>
      <c r="D1364" t="inlineStr">
        <is>
          <t>Robeco - Capital Growth Funds High Yield Bonds</t>
        </is>
      </c>
      <c r="E1364" t="inlineStr">
        <is>
          <t>Huella</t>
        </is>
      </c>
      <c r="F1364" t="n">
        <v>0.008454</v>
      </c>
    </row>
    <row r="1365">
      <c r="A1365" t="inlineStr">
        <is>
          <t>202512</t>
        </is>
      </c>
      <c r="B1365" t="inlineStr">
        <is>
          <t>Comparación</t>
        </is>
      </c>
      <c r="C1365" t="inlineStr">
        <is>
          <t>Profuturo</t>
        </is>
      </c>
      <c r="D1365" t="inlineStr">
        <is>
          <t>Robeco - Capital Growth Funds High Yield Bonds</t>
        </is>
      </c>
      <c r="E1365" t="inlineStr">
        <is>
          <t>Intensidad</t>
        </is>
      </c>
      <c r="F1365" t="n">
        <v>6e-06</v>
      </c>
    </row>
    <row r="1366">
      <c r="A1366" t="inlineStr">
        <is>
          <t>202512</t>
        </is>
      </c>
      <c r="B1366" t="inlineStr">
        <is>
          <t>Comparación</t>
        </is>
      </c>
      <c r="C1366" t="inlineStr">
        <is>
          <t>Profuturo</t>
        </is>
      </c>
      <c r="D1366" t="inlineStr">
        <is>
          <t>Robeco - Capital Growth Funds High Yield Bonds</t>
        </is>
      </c>
      <c r="E1366" t="inlineStr">
        <is>
          <t>Inv MM$</t>
        </is>
      </c>
      <c r="F1366" t="n">
        <v>7.6e-05</v>
      </c>
    </row>
    <row r="1367">
      <c r="A1367" t="inlineStr">
        <is>
          <t>202512</t>
        </is>
      </c>
      <c r="B1367" t="inlineStr">
        <is>
          <t>Comparación</t>
        </is>
      </c>
      <c r="C1367" t="inlineStr">
        <is>
          <t>Profuturo</t>
        </is>
      </c>
      <c r="D1367" t="inlineStr">
        <is>
          <t>Robeco - QI Emerging Markets Active Equities</t>
        </is>
      </c>
      <c r="E1367" t="inlineStr">
        <is>
          <t>Huella</t>
        </is>
      </c>
      <c r="F1367" t="n">
        <v>1656.773451</v>
      </c>
    </row>
    <row r="1368">
      <c r="A1368" t="inlineStr">
        <is>
          <t>202512</t>
        </is>
      </c>
      <c r="B1368" t="inlineStr">
        <is>
          <t>Comparación</t>
        </is>
      </c>
      <c r="C1368" t="inlineStr">
        <is>
          <t>Profuturo</t>
        </is>
      </c>
      <c r="D1368" t="inlineStr">
        <is>
          <t>Robeco - QI Emerging Markets Active Equities</t>
        </is>
      </c>
      <c r="E1368" t="inlineStr">
        <is>
          <t>Intensidad</t>
        </is>
      </c>
      <c r="F1368" t="n">
        <v>0.869475</v>
      </c>
    </row>
    <row r="1369">
      <c r="A1369" t="inlineStr">
        <is>
          <t>202512</t>
        </is>
      </c>
      <c r="B1369" t="inlineStr">
        <is>
          <t>Comparación</t>
        </is>
      </c>
      <c r="C1369" t="inlineStr">
        <is>
          <t>Profuturo</t>
        </is>
      </c>
      <c r="D1369" t="inlineStr">
        <is>
          <t>Robeco - QI Emerging Markets Active Equities</t>
        </is>
      </c>
      <c r="E1369" t="inlineStr">
        <is>
          <t>Inv MM$</t>
        </is>
      </c>
      <c r="F1369" t="n">
        <v>19.233043</v>
      </c>
    </row>
    <row r="1370">
      <c r="A1370" t="inlineStr">
        <is>
          <t>202512</t>
        </is>
      </c>
      <c r="B1370" t="inlineStr">
        <is>
          <t>Comparación</t>
        </is>
      </c>
      <c r="C1370" t="inlineStr">
        <is>
          <t>Profuturo</t>
        </is>
      </c>
      <c r="D1370" t="inlineStr">
        <is>
          <t>Robeco Luxembourg - India Equity</t>
        </is>
      </c>
      <c r="E1370" t="inlineStr">
        <is>
          <t>Huella</t>
        </is>
      </c>
      <c r="F1370" t="n">
        <v>0.043945</v>
      </c>
    </row>
    <row r="1371">
      <c r="A1371" t="inlineStr">
        <is>
          <t>202512</t>
        </is>
      </c>
      <c r="B1371" t="inlineStr">
        <is>
          <t>Comparación</t>
        </is>
      </c>
      <c r="C1371" t="inlineStr">
        <is>
          <t>Profuturo</t>
        </is>
      </c>
      <c r="D1371" t="inlineStr">
        <is>
          <t>Robeco Luxembourg - India Equity</t>
        </is>
      </c>
      <c r="E1371" t="inlineStr">
        <is>
          <t>Intensidad</t>
        </is>
      </c>
      <c r="F1371" t="n">
        <v>3.4e-05</v>
      </c>
    </row>
    <row r="1372">
      <c r="A1372" t="inlineStr">
        <is>
          <t>202512</t>
        </is>
      </c>
      <c r="B1372" t="inlineStr">
        <is>
          <t>Comparación</t>
        </is>
      </c>
      <c r="C1372" t="inlineStr">
        <is>
          <t>Profuturo</t>
        </is>
      </c>
      <c r="D1372" t="inlineStr">
        <is>
          <t>Robeco Luxembourg - India Equity</t>
        </is>
      </c>
      <c r="E1372" t="inlineStr">
        <is>
          <t>Inv MM$</t>
        </is>
      </c>
      <c r="F1372" t="n">
        <v>0.000284</v>
      </c>
    </row>
    <row r="1373">
      <c r="A1373" t="inlineStr">
        <is>
          <t>202512</t>
        </is>
      </c>
      <c r="B1373" t="inlineStr">
        <is>
          <t>Comparación</t>
        </is>
      </c>
      <c r="C1373" t="inlineStr">
        <is>
          <t>Profuturo</t>
        </is>
      </c>
      <c r="D1373" t="inlineStr">
        <is>
          <t>Rutas de Lima</t>
        </is>
      </c>
      <c r="E1373" t="inlineStr">
        <is>
          <t>Huella</t>
        </is>
      </c>
      <c r="F1373" t="n">
        <v>415.795055</v>
      </c>
    </row>
    <row r="1374">
      <c r="A1374" t="inlineStr">
        <is>
          <t>202512</t>
        </is>
      </c>
      <c r="B1374" t="inlineStr">
        <is>
          <t>Comparación</t>
        </is>
      </c>
      <c r="C1374" t="inlineStr">
        <is>
          <t>Profuturo</t>
        </is>
      </c>
      <c r="D1374" t="inlineStr">
        <is>
          <t>Rutas de Lima</t>
        </is>
      </c>
      <c r="E1374" t="inlineStr">
        <is>
          <t>Intensidad</t>
        </is>
      </c>
      <c r="F1374" t="n">
        <v>0.140719</v>
      </c>
    </row>
    <row r="1375">
      <c r="A1375" t="inlineStr">
        <is>
          <t>202512</t>
        </is>
      </c>
      <c r="B1375" t="inlineStr">
        <is>
          <t>Comparación</t>
        </is>
      </c>
      <c r="C1375" t="inlineStr">
        <is>
          <t>Profuturo</t>
        </is>
      </c>
      <c r="D1375" t="inlineStr">
        <is>
          <t>Rutas de Lima</t>
        </is>
      </c>
      <c r="E1375" t="inlineStr">
        <is>
          <t>Inv MM$</t>
        </is>
      </c>
      <c r="F1375" t="n">
        <v>15.169466</v>
      </c>
    </row>
    <row r="1376">
      <c r="A1376" t="inlineStr">
        <is>
          <t>202512</t>
        </is>
      </c>
      <c r="B1376" t="inlineStr">
        <is>
          <t>Comparación</t>
        </is>
      </c>
      <c r="C1376" t="inlineStr">
        <is>
          <t>Profuturo</t>
        </is>
      </c>
      <c r="D1376" t="inlineStr">
        <is>
          <t>Schroders - Emerging Asia</t>
        </is>
      </c>
      <c r="E1376" t="inlineStr">
        <is>
          <t>Huella</t>
        </is>
      </c>
      <c r="F1376" t="n">
        <v>0.00545</v>
      </c>
    </row>
    <row r="1377">
      <c r="A1377" t="inlineStr">
        <is>
          <t>202512</t>
        </is>
      </c>
      <c r="B1377" t="inlineStr">
        <is>
          <t>Comparación</t>
        </is>
      </c>
      <c r="C1377" t="inlineStr">
        <is>
          <t>Profuturo</t>
        </is>
      </c>
      <c r="D1377" t="inlineStr">
        <is>
          <t>Schroders - Emerging Asia</t>
        </is>
      </c>
      <c r="E1377" t="inlineStr">
        <is>
          <t>Intensidad</t>
        </is>
      </c>
      <c r="F1377" t="n">
        <v>4e-06</v>
      </c>
    </row>
    <row r="1378">
      <c r="A1378" t="inlineStr">
        <is>
          <t>202512</t>
        </is>
      </c>
      <c r="B1378" t="inlineStr">
        <is>
          <t>Comparación</t>
        </is>
      </c>
      <c r="C1378" t="inlineStr">
        <is>
          <t>Profuturo</t>
        </is>
      </c>
      <c r="D1378" t="inlineStr">
        <is>
          <t>Schroders - Emerging Asia</t>
        </is>
      </c>
      <c r="E1378" t="inlineStr">
        <is>
          <t>Inv MM$</t>
        </is>
      </c>
      <c r="F1378" t="n">
        <v>0.000101</v>
      </c>
    </row>
    <row r="1379">
      <c r="A1379" t="inlineStr">
        <is>
          <t>202512</t>
        </is>
      </c>
      <c r="B1379" t="inlineStr">
        <is>
          <t>Comparación</t>
        </is>
      </c>
      <c r="C1379" t="inlineStr">
        <is>
          <t>Profuturo</t>
        </is>
      </c>
      <c r="D1379" t="inlineStr">
        <is>
          <t>State Street - Blackstone Senior Loans</t>
        </is>
      </c>
      <c r="E1379" t="inlineStr">
        <is>
          <t>Huella</t>
        </is>
      </c>
      <c r="F1379" t="n">
        <v>1300.925721</v>
      </c>
    </row>
    <row r="1380">
      <c r="A1380" t="inlineStr">
        <is>
          <t>202512</t>
        </is>
      </c>
      <c r="B1380" t="inlineStr">
        <is>
          <t>Comparación</t>
        </is>
      </c>
      <c r="C1380" t="inlineStr">
        <is>
          <t>Profuturo</t>
        </is>
      </c>
      <c r="D1380" t="inlineStr">
        <is>
          <t>State Street - Blackstone Senior Loans</t>
        </is>
      </c>
      <c r="E1380" t="inlineStr">
        <is>
          <t>Intensidad</t>
        </is>
      </c>
      <c r="F1380" t="n">
        <v>1.365504</v>
      </c>
    </row>
    <row r="1381">
      <c r="A1381" t="inlineStr">
        <is>
          <t>202512</t>
        </is>
      </c>
      <c r="B1381" t="inlineStr">
        <is>
          <t>Comparación</t>
        </is>
      </c>
      <c r="C1381" t="inlineStr">
        <is>
          <t>Profuturo</t>
        </is>
      </c>
      <c r="D1381" t="inlineStr">
        <is>
          <t>State Street - Blackstone Senior Loans</t>
        </is>
      </c>
      <c r="E1381" t="inlineStr">
        <is>
          <t>Inv MM$</t>
        </is>
      </c>
      <c r="F1381" t="n">
        <v>9.974130000000001</v>
      </c>
    </row>
    <row r="1382">
      <c r="A1382" t="inlineStr">
        <is>
          <t>202512</t>
        </is>
      </c>
      <c r="B1382" t="inlineStr">
        <is>
          <t>Comparación</t>
        </is>
      </c>
      <c r="C1382" t="inlineStr">
        <is>
          <t>Profuturo</t>
        </is>
      </c>
      <c r="D1382" t="inlineStr">
        <is>
          <t>State Street - Communication Services Select Sector</t>
        </is>
      </c>
      <c r="E1382" t="inlineStr">
        <is>
          <t>Huella</t>
        </is>
      </c>
      <c r="F1382" t="n">
        <v>112.54717</v>
      </c>
    </row>
    <row r="1383">
      <c r="A1383" t="inlineStr">
        <is>
          <t>202512</t>
        </is>
      </c>
      <c r="B1383" t="inlineStr">
        <is>
          <t>Comparación</t>
        </is>
      </c>
      <c r="C1383" t="inlineStr">
        <is>
          <t>Profuturo</t>
        </is>
      </c>
      <c r="D1383" t="inlineStr">
        <is>
          <t>State Street - Communication Services Select Sector</t>
        </is>
      </c>
      <c r="E1383" t="inlineStr">
        <is>
          <t>Intensidad</t>
        </is>
      </c>
      <c r="F1383" t="n">
        <v>0.053609</v>
      </c>
    </row>
    <row r="1384">
      <c r="A1384" t="inlineStr">
        <is>
          <t>202512</t>
        </is>
      </c>
      <c r="B1384" t="inlineStr">
        <is>
          <t>Comparación</t>
        </is>
      </c>
      <c r="C1384" t="inlineStr">
        <is>
          <t>Profuturo</t>
        </is>
      </c>
      <c r="D1384" t="inlineStr">
        <is>
          <t>State Street - Communication Services Select Sector</t>
        </is>
      </c>
      <c r="E1384" t="inlineStr">
        <is>
          <t>Inv MM$</t>
        </is>
      </c>
      <c r="F1384" t="n">
        <v>31.331352</v>
      </c>
    </row>
    <row r="1385">
      <c r="A1385" t="inlineStr">
        <is>
          <t>202512</t>
        </is>
      </c>
      <c r="B1385" t="inlineStr">
        <is>
          <t>Comparación</t>
        </is>
      </c>
      <c r="C1385" t="inlineStr">
        <is>
          <t>Profuturo</t>
        </is>
      </c>
      <c r="D1385" t="inlineStr">
        <is>
          <t>Telefónica</t>
        </is>
      </c>
      <c r="E1385" t="inlineStr">
        <is>
          <t>Huella</t>
        </is>
      </c>
      <c r="F1385" t="n">
        <v>0.059266</v>
      </c>
    </row>
    <row r="1386">
      <c r="A1386" t="inlineStr">
        <is>
          <t>202512</t>
        </is>
      </c>
      <c r="B1386" t="inlineStr">
        <is>
          <t>Comparación</t>
        </is>
      </c>
      <c r="C1386" t="inlineStr">
        <is>
          <t>Profuturo</t>
        </is>
      </c>
      <c r="D1386" t="inlineStr">
        <is>
          <t>Telefónica</t>
        </is>
      </c>
      <c r="E1386" t="inlineStr">
        <is>
          <t>Intensidad</t>
        </is>
      </c>
      <c r="F1386" t="n">
        <v>1.6e-05</v>
      </c>
    </row>
    <row r="1387">
      <c r="A1387" t="inlineStr">
        <is>
          <t>202512</t>
        </is>
      </c>
      <c r="B1387" t="inlineStr">
        <is>
          <t>Comparación</t>
        </is>
      </c>
      <c r="C1387" t="inlineStr">
        <is>
          <t>Profuturo</t>
        </is>
      </c>
      <c r="D1387" t="inlineStr">
        <is>
          <t>Telefónica</t>
        </is>
      </c>
      <c r="E1387" t="inlineStr">
        <is>
          <t>Inv MM$</t>
        </is>
      </c>
      <c r="F1387" t="n">
        <v>0.024694</v>
      </c>
    </row>
    <row r="1388">
      <c r="A1388" t="inlineStr">
        <is>
          <t>202512</t>
        </is>
      </c>
      <c r="B1388" t="inlineStr">
        <is>
          <t>Comparación</t>
        </is>
      </c>
      <c r="C1388" t="inlineStr">
        <is>
          <t>Profuturo</t>
        </is>
      </c>
      <c r="D1388" t="inlineStr">
        <is>
          <t>VanEck - Gold Miners ETF</t>
        </is>
      </c>
      <c r="E1388" t="inlineStr">
        <is>
          <t>Huella</t>
        </is>
      </c>
      <c r="F1388" t="n">
        <v>9484.089909</v>
      </c>
    </row>
    <row r="1389">
      <c r="A1389" t="inlineStr">
        <is>
          <t>202512</t>
        </is>
      </c>
      <c r="B1389" t="inlineStr">
        <is>
          <t>Comparación</t>
        </is>
      </c>
      <c r="C1389" t="inlineStr">
        <is>
          <t>Profuturo</t>
        </is>
      </c>
      <c r="D1389" t="inlineStr">
        <is>
          <t>VanEck - Gold Miners ETF</t>
        </is>
      </c>
      <c r="E1389" t="inlineStr">
        <is>
          <t>Intensidad</t>
        </is>
      </c>
      <c r="F1389" t="n">
        <v>4.383463</v>
      </c>
    </row>
    <row r="1390">
      <c r="A1390" t="inlineStr">
        <is>
          <t>202512</t>
        </is>
      </c>
      <c r="B1390" t="inlineStr">
        <is>
          <t>Comparación</t>
        </is>
      </c>
      <c r="C1390" t="inlineStr">
        <is>
          <t>Profuturo</t>
        </is>
      </c>
      <c r="D1390" t="inlineStr">
        <is>
          <t>VanEck - Gold Miners ETF</t>
        </is>
      </c>
      <c r="E1390" t="inlineStr">
        <is>
          <t>Inv MM$</t>
        </is>
      </c>
      <c r="F1390" t="n">
        <v>115.848704</v>
      </c>
    </row>
    <row r="1391">
      <c r="A1391" t="inlineStr">
        <is>
          <t>202512</t>
        </is>
      </c>
      <c r="B1391" t="inlineStr">
        <is>
          <t>Comparación</t>
        </is>
      </c>
      <c r="C1391" t="inlineStr">
        <is>
          <t>Profuturo</t>
        </is>
      </c>
      <c r="D1391" t="inlineStr">
        <is>
          <t>VanEck Semiconductor ETF</t>
        </is>
      </c>
      <c r="E1391" t="inlineStr">
        <is>
          <t>Huella</t>
        </is>
      </c>
      <c r="F1391" t="n">
        <v>945.882742</v>
      </c>
    </row>
    <row r="1392">
      <c r="A1392" t="inlineStr">
        <is>
          <t>202512</t>
        </is>
      </c>
      <c r="B1392" t="inlineStr">
        <is>
          <t>Comparación</t>
        </is>
      </c>
      <c r="C1392" t="inlineStr">
        <is>
          <t>Profuturo</t>
        </is>
      </c>
      <c r="D1392" t="inlineStr">
        <is>
          <t>VanEck Semiconductor ETF</t>
        </is>
      </c>
      <c r="E1392" t="inlineStr">
        <is>
          <t>Intensidad</t>
        </is>
      </c>
      <c r="F1392" t="n">
        <v>0.443194</v>
      </c>
    </row>
    <row r="1393">
      <c r="A1393" t="inlineStr">
        <is>
          <t>202512</t>
        </is>
      </c>
      <c r="B1393" t="inlineStr">
        <is>
          <t>Comparación</t>
        </is>
      </c>
      <c r="C1393" t="inlineStr">
        <is>
          <t>Profuturo</t>
        </is>
      </c>
      <c r="D1393" t="inlineStr">
        <is>
          <t>VanEck Semiconductor ETF</t>
        </is>
      </c>
      <c r="E1393" t="inlineStr">
        <is>
          <t>Inv MM$</t>
        </is>
      </c>
      <c r="F1393" t="n">
        <v>150.835158</v>
      </c>
    </row>
    <row r="1394">
      <c r="A1394" t="inlineStr">
        <is>
          <t>202512</t>
        </is>
      </c>
      <c r="B1394" t="inlineStr">
        <is>
          <t>Comparación</t>
        </is>
      </c>
      <c r="C1394" t="inlineStr">
        <is>
          <t>Profuturo</t>
        </is>
      </c>
      <c r="D1394" t="inlineStr">
        <is>
          <t>Vanguard - ACWI</t>
        </is>
      </c>
      <c r="E1394" t="inlineStr">
        <is>
          <t>Huella</t>
        </is>
      </c>
      <c r="F1394" t="n">
        <v>2e-06</v>
      </c>
    </row>
    <row r="1395">
      <c r="A1395" t="inlineStr">
        <is>
          <t>202512</t>
        </is>
      </c>
      <c r="B1395" t="inlineStr">
        <is>
          <t>Comparación</t>
        </is>
      </c>
      <c r="C1395" t="inlineStr">
        <is>
          <t>Profuturo</t>
        </is>
      </c>
      <c r="D1395" t="inlineStr">
        <is>
          <t>Vanguard - ACWI</t>
        </is>
      </c>
      <c r="E1395" t="inlineStr">
        <is>
          <t>Intensidad</t>
        </is>
      </c>
      <c r="F1395" t="n">
        <v>0</v>
      </c>
    </row>
    <row r="1396">
      <c r="A1396" t="inlineStr">
        <is>
          <t>202512</t>
        </is>
      </c>
      <c r="B1396" t="inlineStr">
        <is>
          <t>Comparación</t>
        </is>
      </c>
      <c r="C1396" t="inlineStr">
        <is>
          <t>Profuturo</t>
        </is>
      </c>
      <c r="D1396" t="inlineStr">
        <is>
          <t>Vanguard - ACWI</t>
        </is>
      </c>
      <c r="E1396" t="inlineStr">
        <is>
          <t>Inv MM$</t>
        </is>
      </c>
      <c r="F1396" t="n">
        <v>0</v>
      </c>
    </row>
    <row r="1397">
      <c r="A1397" t="inlineStr">
        <is>
          <t>202512</t>
        </is>
      </c>
      <c r="B1397" t="inlineStr">
        <is>
          <t>Comparación</t>
        </is>
      </c>
      <c r="C1397" t="inlineStr">
        <is>
          <t>Profuturo</t>
        </is>
      </c>
      <c r="D1397" t="inlineStr">
        <is>
          <t>Vanguard - Emerging Markets Bond Fund - I Retail</t>
        </is>
      </c>
      <c r="E1397" t="inlineStr">
        <is>
          <t>Huella</t>
        </is>
      </c>
      <c r="F1397" t="n">
        <v>0.092738</v>
      </c>
    </row>
    <row r="1398">
      <c r="A1398" t="inlineStr">
        <is>
          <t>202512</t>
        </is>
      </c>
      <c r="B1398" t="inlineStr">
        <is>
          <t>Comparación</t>
        </is>
      </c>
      <c r="C1398" t="inlineStr">
        <is>
          <t>Profuturo</t>
        </is>
      </c>
      <c r="D1398" t="inlineStr">
        <is>
          <t>Vanguard - Emerging Markets Bond Fund - I Retail</t>
        </is>
      </c>
      <c r="E1398" t="inlineStr">
        <is>
          <t>Intensidad</t>
        </is>
      </c>
      <c r="F1398" t="n">
        <v>4.7e-05</v>
      </c>
    </row>
    <row r="1399">
      <c r="A1399" t="inlineStr">
        <is>
          <t>202512</t>
        </is>
      </c>
      <c r="B1399" t="inlineStr">
        <is>
          <t>Comparación</t>
        </is>
      </c>
      <c r="C1399" t="inlineStr">
        <is>
          <t>Profuturo</t>
        </is>
      </c>
      <c r="D1399" t="inlineStr">
        <is>
          <t>Vanguard - Emerging Markets Bond Fund - I Retail</t>
        </is>
      </c>
      <c r="E1399" t="inlineStr">
        <is>
          <t>Inv MM$</t>
        </is>
      </c>
      <c r="F1399" t="n">
        <v>0.000214</v>
      </c>
    </row>
    <row r="1400">
      <c r="A1400" t="inlineStr">
        <is>
          <t>202512</t>
        </is>
      </c>
      <c r="B1400" t="inlineStr">
        <is>
          <t>Comparación</t>
        </is>
      </c>
      <c r="C1400" t="inlineStr">
        <is>
          <t>Profuturo</t>
        </is>
      </c>
      <c r="D1400" t="inlineStr">
        <is>
          <t>Vanguard - FTSE Europe</t>
        </is>
      </c>
      <c r="E1400" t="inlineStr">
        <is>
          <t>Huella</t>
        </is>
      </c>
      <c r="F1400" t="n">
        <v>540.618006</v>
      </c>
    </row>
    <row r="1401">
      <c r="A1401" t="inlineStr">
        <is>
          <t>202512</t>
        </is>
      </c>
      <c r="B1401" t="inlineStr">
        <is>
          <t>Comparación</t>
        </is>
      </c>
      <c r="C1401" t="inlineStr">
        <is>
          <t>Profuturo</t>
        </is>
      </c>
      <c r="D1401" t="inlineStr">
        <is>
          <t>Vanguard - FTSE Europe</t>
        </is>
      </c>
      <c r="E1401" t="inlineStr">
        <is>
          <t>Intensidad</t>
        </is>
      </c>
      <c r="F1401" t="n">
        <v>0.567454</v>
      </c>
    </row>
    <row r="1402">
      <c r="A1402" t="inlineStr">
        <is>
          <t>202512</t>
        </is>
      </c>
      <c r="B1402" t="inlineStr">
        <is>
          <t>Comparación</t>
        </is>
      </c>
      <c r="C1402" t="inlineStr">
        <is>
          <t>Profuturo</t>
        </is>
      </c>
      <c r="D1402" t="inlineStr">
        <is>
          <t>Vanguard - FTSE Europe</t>
        </is>
      </c>
      <c r="E1402" t="inlineStr">
        <is>
          <t>Inv MM$</t>
        </is>
      </c>
      <c r="F1402" t="n">
        <v>9.392148000000001</v>
      </c>
    </row>
    <row r="1403">
      <c r="A1403" t="inlineStr">
        <is>
          <t>202512</t>
        </is>
      </c>
      <c r="B1403" t="inlineStr">
        <is>
          <t>Comparación</t>
        </is>
      </c>
      <c r="C1403" t="inlineStr">
        <is>
          <t>Profuturo</t>
        </is>
      </c>
      <c r="D1403" t="inlineStr">
        <is>
          <t>Vanguard - Utilities ETF</t>
        </is>
      </c>
      <c r="E1403" t="inlineStr">
        <is>
          <t>Huella</t>
        </is>
      </c>
      <c r="F1403" t="n">
        <v>0.057283</v>
      </c>
    </row>
    <row r="1404">
      <c r="A1404" t="inlineStr">
        <is>
          <t>202512</t>
        </is>
      </c>
      <c r="B1404" t="inlineStr">
        <is>
          <t>Comparación</t>
        </is>
      </c>
      <c r="C1404" t="inlineStr">
        <is>
          <t>Profuturo</t>
        </is>
      </c>
      <c r="D1404" t="inlineStr">
        <is>
          <t>Vanguard - Utilities ETF</t>
        </is>
      </c>
      <c r="E1404" t="inlineStr">
        <is>
          <t>Intensidad</t>
        </is>
      </c>
      <c r="F1404" t="n">
        <v>1.6e-05</v>
      </c>
    </row>
    <row r="1405">
      <c r="A1405" t="inlineStr">
        <is>
          <t>202512</t>
        </is>
      </c>
      <c r="B1405" t="inlineStr">
        <is>
          <t>Comparación</t>
        </is>
      </c>
      <c r="C1405" t="inlineStr">
        <is>
          <t>Profuturo</t>
        </is>
      </c>
      <c r="D1405" t="inlineStr">
        <is>
          <t>Vanguard - Utilities ETF</t>
        </is>
      </c>
      <c r="E1405" t="inlineStr">
        <is>
          <t>Inv MM$</t>
        </is>
      </c>
      <c r="F1405" t="n">
        <v>0.000166</v>
      </c>
    </row>
    <row r="1406">
      <c r="A1406" t="inlineStr">
        <is>
          <t>202512</t>
        </is>
      </c>
      <c r="B1406" t="inlineStr">
        <is>
          <t>Comparación</t>
        </is>
      </c>
      <c r="C1406" t="inlineStr">
        <is>
          <t>Profuturo</t>
        </is>
      </c>
      <c r="D1406" t="inlineStr">
        <is>
          <t>Vontobel - Credit Opportunities</t>
        </is>
      </c>
      <c r="E1406" t="inlineStr">
        <is>
          <t>Huella</t>
        </is>
      </c>
      <c r="F1406" t="n">
        <v>2162.268612</v>
      </c>
    </row>
    <row r="1407">
      <c r="A1407" t="inlineStr">
        <is>
          <t>202512</t>
        </is>
      </c>
      <c r="B1407" t="inlineStr">
        <is>
          <t>Comparación</t>
        </is>
      </c>
      <c r="C1407" t="inlineStr">
        <is>
          <t>Profuturo</t>
        </is>
      </c>
      <c r="D1407" t="inlineStr">
        <is>
          <t>Vontobel - Credit Opportunities</t>
        </is>
      </c>
      <c r="E1407" t="inlineStr">
        <is>
          <t>Intensidad</t>
        </is>
      </c>
      <c r="F1407" t="n">
        <v>1.654499</v>
      </c>
    </row>
    <row r="1408">
      <c r="A1408" t="inlineStr">
        <is>
          <t>202512</t>
        </is>
      </c>
      <c r="B1408" t="inlineStr">
        <is>
          <t>Comparación</t>
        </is>
      </c>
      <c r="C1408" t="inlineStr">
        <is>
          <t>Profuturo</t>
        </is>
      </c>
      <c r="D1408" t="inlineStr">
        <is>
          <t>Vontobel - Credit Opportunities</t>
        </is>
      </c>
      <c r="E1408" t="inlineStr">
        <is>
          <t>Inv MM$</t>
        </is>
      </c>
      <c r="F1408" t="n">
        <v>50.269803</v>
      </c>
    </row>
    <row r="1409">
      <c r="A1409" t="inlineStr">
        <is>
          <t>202512</t>
        </is>
      </c>
      <c r="B1409" t="inlineStr">
        <is>
          <t>Comparación</t>
        </is>
      </c>
      <c r="C1409" t="inlineStr">
        <is>
          <t>Profuturo</t>
        </is>
      </c>
      <c r="D1409" t="inlineStr">
        <is>
          <t>Vontobel - Emerging Markets Debt</t>
        </is>
      </c>
      <c r="E1409" t="inlineStr">
        <is>
          <t>Huella</t>
        </is>
      </c>
      <c r="F1409" t="n">
        <v>19568.496985</v>
      </c>
    </row>
    <row r="1410">
      <c r="A1410" t="inlineStr">
        <is>
          <t>202512</t>
        </is>
      </c>
      <c r="B1410" t="inlineStr">
        <is>
          <t>Comparación</t>
        </is>
      </c>
      <c r="C1410" t="inlineStr">
        <is>
          <t>Profuturo</t>
        </is>
      </c>
      <c r="D1410" t="inlineStr">
        <is>
          <t>Vontobel - Emerging Markets Debt</t>
        </is>
      </c>
      <c r="E1410" t="inlineStr">
        <is>
          <t>Intensidad</t>
        </is>
      </c>
      <c r="F1410" t="n">
        <v>10.235005</v>
      </c>
    </row>
    <row r="1411">
      <c r="A1411" t="inlineStr">
        <is>
          <t>202512</t>
        </is>
      </c>
      <c r="B1411" t="inlineStr">
        <is>
          <t>Comparación</t>
        </is>
      </c>
      <c r="C1411" t="inlineStr">
        <is>
          <t>Profuturo</t>
        </is>
      </c>
      <c r="D1411" t="inlineStr">
        <is>
          <t>Vontobel - Emerging Markets Debt</t>
        </is>
      </c>
      <c r="E1411" t="inlineStr">
        <is>
          <t>Inv MM$</t>
        </is>
      </c>
      <c r="F1411" t="n">
        <v>64.05675100000001</v>
      </c>
    </row>
    <row r="1412">
      <c r="A1412" t="inlineStr">
        <is>
          <t>202512</t>
        </is>
      </c>
      <c r="B1412" t="inlineStr">
        <is>
          <t>Comparación</t>
        </is>
      </c>
      <c r="C1412" t="inlineStr">
        <is>
          <t>Profuturo</t>
        </is>
      </c>
      <c r="D1412" t="inlineStr">
        <is>
          <t>Vontobel - Twentyfour Strategy Income</t>
        </is>
      </c>
      <c r="E1412" t="inlineStr">
        <is>
          <t>Huella</t>
        </is>
      </c>
      <c r="F1412" t="n">
        <v>518.577356</v>
      </c>
    </row>
    <row r="1413">
      <c r="A1413" t="inlineStr">
        <is>
          <t>202512</t>
        </is>
      </c>
      <c r="B1413" t="inlineStr">
        <is>
          <t>Comparación</t>
        </is>
      </c>
      <c r="C1413" t="inlineStr">
        <is>
          <t>Profuturo</t>
        </is>
      </c>
      <c r="D1413" t="inlineStr">
        <is>
          <t>Vontobel - Twentyfour Strategy Income</t>
        </is>
      </c>
      <c r="E1413" t="inlineStr">
        <is>
          <t>Intensidad</t>
        </is>
      </c>
      <c r="F1413" t="n">
        <v>0.396799</v>
      </c>
    </row>
    <row r="1414">
      <c r="A1414" t="inlineStr">
        <is>
          <t>202512</t>
        </is>
      </c>
      <c r="B1414" t="inlineStr">
        <is>
          <t>Comparación</t>
        </is>
      </c>
      <c r="C1414" t="inlineStr">
        <is>
          <t>Profuturo</t>
        </is>
      </c>
      <c r="D1414" t="inlineStr">
        <is>
          <t>Vontobel - Twentyfour Strategy Income</t>
        </is>
      </c>
      <c r="E1414" t="inlineStr">
        <is>
          <t>Inv MM$</t>
        </is>
      </c>
      <c r="F1414" t="n">
        <v>21.539157</v>
      </c>
    </row>
    <row r="1415">
      <c r="A1415" t="inlineStr">
        <is>
          <t>202606</t>
        </is>
      </c>
      <c r="B1415" t="inlineStr">
        <is>
          <t>Actual</t>
        </is>
      </c>
      <c r="C1415" t="inlineStr">
        <is>
          <t>Ex_Integra</t>
        </is>
      </c>
      <c r="D1415" t="inlineStr">
        <is>
          <t>AXA - US High Yield Bonds</t>
        </is>
      </c>
      <c r="E1415" t="inlineStr">
        <is>
          <t>Huella</t>
        </is>
      </c>
      <c r="F1415" t="n">
        <v>0.048298</v>
      </c>
    </row>
    <row r="1416">
      <c r="A1416" t="inlineStr">
        <is>
          <t>202606</t>
        </is>
      </c>
      <c r="B1416" t="inlineStr">
        <is>
          <t>Actual</t>
        </is>
      </c>
      <c r="C1416" t="inlineStr">
        <is>
          <t>Ex_Integra</t>
        </is>
      </c>
      <c r="D1416" t="inlineStr">
        <is>
          <t>AXA - US High Yield Bonds</t>
        </is>
      </c>
      <c r="E1416" t="inlineStr">
        <is>
          <t>Intensidad</t>
        </is>
      </c>
      <c r="F1416" t="n">
        <v>1.3e-05</v>
      </c>
    </row>
    <row r="1417">
      <c r="A1417" t="inlineStr">
        <is>
          <t>202606</t>
        </is>
      </c>
      <c r="B1417" t="inlineStr">
        <is>
          <t>Actual</t>
        </is>
      </c>
      <c r="C1417" t="inlineStr">
        <is>
          <t>Ex_Integra</t>
        </is>
      </c>
      <c r="D1417" t="inlineStr">
        <is>
          <t>AXA - US High Yield Bonds</t>
        </is>
      </c>
      <c r="E1417" t="inlineStr">
        <is>
          <t>Inv MM$</t>
        </is>
      </c>
      <c r="F1417" t="n">
        <v>0.000606</v>
      </c>
    </row>
    <row r="1418">
      <c r="A1418" t="inlineStr">
        <is>
          <t>202606</t>
        </is>
      </c>
      <c r="B1418" t="inlineStr">
        <is>
          <t>Actual</t>
        </is>
      </c>
      <c r="C1418" t="inlineStr">
        <is>
          <t>Ex_Integra</t>
        </is>
      </c>
      <c r="D1418" t="inlineStr">
        <is>
          <t>AXA - US Short Duration High Yield</t>
        </is>
      </c>
      <c r="E1418" t="inlineStr">
        <is>
          <t>Huella</t>
        </is>
      </c>
      <c r="F1418" t="n">
        <v>0.030161</v>
      </c>
    </row>
    <row r="1419">
      <c r="A1419" t="inlineStr">
        <is>
          <t>202606</t>
        </is>
      </c>
      <c r="B1419" t="inlineStr">
        <is>
          <t>Actual</t>
        </is>
      </c>
      <c r="C1419" t="inlineStr">
        <is>
          <t>Ex_Integra</t>
        </is>
      </c>
      <c r="D1419" t="inlineStr">
        <is>
          <t>AXA - US Short Duration High Yield</t>
        </is>
      </c>
      <c r="E1419" t="inlineStr">
        <is>
          <t>Intensidad</t>
        </is>
      </c>
      <c r="F1419" t="n">
        <v>8e-06</v>
      </c>
    </row>
    <row r="1420">
      <c r="A1420" t="inlineStr">
        <is>
          <t>202606</t>
        </is>
      </c>
      <c r="B1420" t="inlineStr">
        <is>
          <t>Actual</t>
        </is>
      </c>
      <c r="C1420" t="inlineStr">
        <is>
          <t>Ex_Integra</t>
        </is>
      </c>
      <c r="D1420" t="inlineStr">
        <is>
          <t>AXA - US Short Duration High Yield</t>
        </is>
      </c>
      <c r="E1420" t="inlineStr">
        <is>
          <t>Inv MM$</t>
        </is>
      </c>
      <c r="F1420" t="n">
        <v>0.000409</v>
      </c>
    </row>
    <row r="1421">
      <c r="A1421" t="inlineStr">
        <is>
          <t>202606</t>
        </is>
      </c>
      <c r="B1421" t="inlineStr">
        <is>
          <t>Actual</t>
        </is>
      </c>
      <c r="C1421" t="inlineStr">
        <is>
          <t>Ex_Integra</t>
        </is>
      </c>
      <c r="D1421" t="inlineStr">
        <is>
          <t>AXA - World Funds Framligton Digital Economy</t>
        </is>
      </c>
      <c r="E1421" t="inlineStr">
        <is>
          <t>Huella</t>
        </is>
      </c>
      <c r="F1421" t="n">
        <v>0.062953</v>
      </c>
    </row>
    <row r="1422">
      <c r="A1422" t="inlineStr">
        <is>
          <t>202606</t>
        </is>
      </c>
      <c r="B1422" t="inlineStr">
        <is>
          <t>Actual</t>
        </is>
      </c>
      <c r="C1422" t="inlineStr">
        <is>
          <t>Ex_Integra</t>
        </is>
      </c>
      <c r="D1422" t="inlineStr">
        <is>
          <t>AXA - World Funds Framligton Digital Economy</t>
        </is>
      </c>
      <c r="E1422" t="inlineStr">
        <is>
          <t>Intensidad</t>
        </is>
      </c>
      <c r="F1422" t="n">
        <v>1.8e-05</v>
      </c>
    </row>
    <row r="1423">
      <c r="A1423" t="inlineStr">
        <is>
          <t>202606</t>
        </is>
      </c>
      <c r="B1423" t="inlineStr">
        <is>
          <t>Actual</t>
        </is>
      </c>
      <c r="C1423" t="inlineStr">
        <is>
          <t>Ex_Integra</t>
        </is>
      </c>
      <c r="D1423" t="inlineStr">
        <is>
          <t>AXA - World Funds Framligton Digital Economy</t>
        </is>
      </c>
      <c r="E1423" t="inlineStr">
        <is>
          <t>Inv MM$</t>
        </is>
      </c>
      <c r="F1423" t="n">
        <v>0.052937</v>
      </c>
    </row>
    <row r="1424">
      <c r="A1424" t="inlineStr">
        <is>
          <t>202606</t>
        </is>
      </c>
      <c r="B1424" t="inlineStr">
        <is>
          <t>Actual</t>
        </is>
      </c>
      <c r="C1424" t="inlineStr">
        <is>
          <t>Ex_Integra</t>
        </is>
      </c>
      <c r="D1424" t="inlineStr">
        <is>
          <t>AXA World Funds - US Dynamic High Yield</t>
        </is>
      </c>
      <c r="E1424" t="inlineStr">
        <is>
          <t>Huella</t>
        </is>
      </c>
      <c r="F1424" t="n">
        <v>0.00233</v>
      </c>
    </row>
    <row r="1425">
      <c r="A1425" t="inlineStr">
        <is>
          <t>202606</t>
        </is>
      </c>
      <c r="B1425" t="inlineStr">
        <is>
          <t>Actual</t>
        </is>
      </c>
      <c r="C1425" t="inlineStr">
        <is>
          <t>Ex_Integra</t>
        </is>
      </c>
      <c r="D1425" t="inlineStr">
        <is>
          <t>AXA World Funds - US Dynamic High Yield</t>
        </is>
      </c>
      <c r="E1425" t="inlineStr">
        <is>
          <t>Intensidad</t>
        </is>
      </c>
      <c r="F1425" t="n">
        <v>1e-06</v>
      </c>
    </row>
    <row r="1426">
      <c r="A1426" t="inlineStr">
        <is>
          <t>202606</t>
        </is>
      </c>
      <c r="B1426" t="inlineStr">
        <is>
          <t>Actual</t>
        </is>
      </c>
      <c r="C1426" t="inlineStr">
        <is>
          <t>Ex_Integra</t>
        </is>
      </c>
      <c r="D1426" t="inlineStr">
        <is>
          <t>AXA World Funds - US Dynamic High Yield</t>
        </is>
      </c>
      <c r="E1426" t="inlineStr">
        <is>
          <t>Inv MM$</t>
        </is>
      </c>
      <c r="F1426" t="n">
        <v>2.2e-05</v>
      </c>
    </row>
    <row r="1427">
      <c r="A1427" t="inlineStr">
        <is>
          <t>202606</t>
        </is>
      </c>
      <c r="B1427" t="inlineStr">
        <is>
          <t>Actual</t>
        </is>
      </c>
      <c r="C1427" t="inlineStr">
        <is>
          <t>Ex_Integra</t>
        </is>
      </c>
      <c r="D1427" t="inlineStr">
        <is>
          <t>Aberdeen - Frontier Markets Bond Fund</t>
        </is>
      </c>
      <c r="E1427" t="inlineStr">
        <is>
          <t>Huella</t>
        </is>
      </c>
      <c r="F1427" t="n">
        <v>57.558111</v>
      </c>
    </row>
    <row r="1428">
      <c r="A1428" t="inlineStr">
        <is>
          <t>202606</t>
        </is>
      </c>
      <c r="B1428" t="inlineStr">
        <is>
          <t>Actual</t>
        </is>
      </c>
      <c r="C1428" t="inlineStr">
        <is>
          <t>Ex_Integra</t>
        </is>
      </c>
      <c r="D1428" t="inlineStr">
        <is>
          <t>Aberdeen - Frontier Markets Bond Fund</t>
        </is>
      </c>
      <c r="E1428" t="inlineStr">
        <is>
          <t>Intensidad</t>
        </is>
      </c>
      <c r="F1428" t="n">
        <v>0.015554</v>
      </c>
    </row>
    <row r="1429">
      <c r="A1429" t="inlineStr">
        <is>
          <t>202606</t>
        </is>
      </c>
      <c r="B1429" t="inlineStr">
        <is>
          <t>Actual</t>
        </is>
      </c>
      <c r="C1429" t="inlineStr">
        <is>
          <t>Ex_Integra</t>
        </is>
      </c>
      <c r="D1429" t="inlineStr">
        <is>
          <t>Aberdeen - Frontier Markets Bond Fund</t>
        </is>
      </c>
      <c r="E1429" t="inlineStr">
        <is>
          <t>Inv MM$</t>
        </is>
      </c>
      <c r="F1429" t="n">
        <v>13.867419</v>
      </c>
    </row>
    <row r="1430">
      <c r="A1430" t="inlineStr">
        <is>
          <t>202606</t>
        </is>
      </c>
      <c r="B1430" t="inlineStr">
        <is>
          <t>Actual</t>
        </is>
      </c>
      <c r="C1430" t="inlineStr">
        <is>
          <t>Ex_Integra</t>
        </is>
      </c>
      <c r="D1430" t="inlineStr">
        <is>
          <t>Aberdeen - Select Emerging Markets Bond</t>
        </is>
      </c>
      <c r="E1430" t="inlineStr">
        <is>
          <t>Huella</t>
        </is>
      </c>
      <c r="F1430" t="n">
        <v>1.7e-05</v>
      </c>
    </row>
    <row r="1431">
      <c r="A1431" t="inlineStr">
        <is>
          <t>202606</t>
        </is>
      </c>
      <c r="B1431" t="inlineStr">
        <is>
          <t>Actual</t>
        </is>
      </c>
      <c r="C1431" t="inlineStr">
        <is>
          <t>Ex_Integra</t>
        </is>
      </c>
      <c r="D1431" t="inlineStr">
        <is>
          <t>Aberdeen - Select Emerging Markets Bond</t>
        </is>
      </c>
      <c r="E1431" t="inlineStr">
        <is>
          <t>Intensidad</t>
        </is>
      </c>
      <c r="F1431" t="n">
        <v>0</v>
      </c>
    </row>
    <row r="1432">
      <c r="A1432" t="inlineStr">
        <is>
          <t>202606</t>
        </is>
      </c>
      <c r="B1432" t="inlineStr">
        <is>
          <t>Actual</t>
        </is>
      </c>
      <c r="C1432" t="inlineStr">
        <is>
          <t>Ex_Integra</t>
        </is>
      </c>
      <c r="D1432" t="inlineStr">
        <is>
          <t>Aberdeen - Select Emerging Markets Bond</t>
        </is>
      </c>
      <c r="E1432" t="inlineStr">
        <is>
          <t>Inv MM$</t>
        </is>
      </c>
      <c r="F1432" t="n">
        <v>0</v>
      </c>
    </row>
    <row r="1433">
      <c r="A1433" t="inlineStr">
        <is>
          <t>202606</t>
        </is>
      </c>
      <c r="B1433" t="inlineStr">
        <is>
          <t>Actual</t>
        </is>
      </c>
      <c r="C1433" t="inlineStr">
        <is>
          <t>Ex_Integra</t>
        </is>
      </c>
      <c r="D1433" t="inlineStr">
        <is>
          <t>Aegon High Yield Global Bond Fund</t>
        </is>
      </c>
      <c r="E1433" t="inlineStr">
        <is>
          <t>Huella</t>
        </is>
      </c>
      <c r="F1433" t="n">
        <v>3678.929625</v>
      </c>
    </row>
    <row r="1434">
      <c r="A1434" t="inlineStr">
        <is>
          <t>202606</t>
        </is>
      </c>
      <c r="B1434" t="inlineStr">
        <is>
          <t>Actual</t>
        </is>
      </c>
      <c r="C1434" t="inlineStr">
        <is>
          <t>Ex_Integra</t>
        </is>
      </c>
      <c r="D1434" t="inlineStr">
        <is>
          <t>Aegon High Yield Global Bond Fund</t>
        </is>
      </c>
      <c r="E1434" t="inlineStr">
        <is>
          <t>Intensidad</t>
        </is>
      </c>
      <c r="F1434" t="n">
        <v>0.706068</v>
      </c>
    </row>
    <row r="1435">
      <c r="A1435" t="inlineStr">
        <is>
          <t>202606</t>
        </is>
      </c>
      <c r="B1435" t="inlineStr">
        <is>
          <t>Actual</t>
        </is>
      </c>
      <c r="C1435" t="inlineStr">
        <is>
          <t>Ex_Integra</t>
        </is>
      </c>
      <c r="D1435" t="inlineStr">
        <is>
          <t>Aegon High Yield Global Bond Fund</t>
        </is>
      </c>
      <c r="E1435" t="inlineStr">
        <is>
          <t>Inv MM$</t>
        </is>
      </c>
      <c r="F1435" t="n">
        <v>34.339866</v>
      </c>
    </row>
    <row r="1436">
      <c r="A1436" t="inlineStr">
        <is>
          <t>202606</t>
        </is>
      </c>
      <c r="B1436" t="inlineStr">
        <is>
          <t>Actual</t>
        </is>
      </c>
      <c r="C1436" t="inlineStr">
        <is>
          <t>Ex_Integra</t>
        </is>
      </c>
      <c r="D1436" t="inlineStr">
        <is>
          <t>Aenza</t>
        </is>
      </c>
      <c r="E1436" t="inlineStr">
        <is>
          <t>Huella</t>
        </is>
      </c>
      <c r="F1436" t="n">
        <v>10085.559302</v>
      </c>
    </row>
    <row r="1437">
      <c r="A1437" t="inlineStr">
        <is>
          <t>202606</t>
        </is>
      </c>
      <c r="B1437" t="inlineStr">
        <is>
          <t>Actual</t>
        </is>
      </c>
      <c r="C1437" t="inlineStr">
        <is>
          <t>Ex_Integra</t>
        </is>
      </c>
      <c r="D1437" t="inlineStr">
        <is>
          <t>Aenza</t>
        </is>
      </c>
      <c r="E1437" t="inlineStr">
        <is>
          <t>Intensidad</t>
        </is>
      </c>
      <c r="F1437" t="n">
        <v>2.030908</v>
      </c>
    </row>
    <row r="1438">
      <c r="A1438" t="inlineStr">
        <is>
          <t>202606</t>
        </is>
      </c>
      <c r="B1438" t="inlineStr">
        <is>
          <t>Actual</t>
        </is>
      </c>
      <c r="C1438" t="inlineStr">
        <is>
          <t>Ex_Integra</t>
        </is>
      </c>
      <c r="D1438" t="inlineStr">
        <is>
          <t>Aenza</t>
        </is>
      </c>
      <c r="E1438" t="inlineStr">
        <is>
          <t>Inv MM$</t>
        </is>
      </c>
      <c r="F1438" t="n">
        <v>71.72718399999999</v>
      </c>
    </row>
    <row r="1439">
      <c r="A1439" t="inlineStr">
        <is>
          <t>202606</t>
        </is>
      </c>
      <c r="B1439" t="inlineStr">
        <is>
          <t>Actual</t>
        </is>
      </c>
      <c r="C1439" t="inlineStr">
        <is>
          <t>Ex_Integra</t>
        </is>
      </c>
      <c r="D1439" t="inlineStr">
        <is>
          <t>Alliance Bernstein - Emerging Markets Growth</t>
        </is>
      </c>
      <c r="E1439" t="inlineStr">
        <is>
          <t>Huella</t>
        </is>
      </c>
      <c r="F1439" t="n">
        <v>0.005975</v>
      </c>
    </row>
    <row r="1440">
      <c r="A1440" t="inlineStr">
        <is>
          <t>202606</t>
        </is>
      </c>
      <c r="B1440" t="inlineStr">
        <is>
          <t>Actual</t>
        </is>
      </c>
      <c r="C1440" t="inlineStr">
        <is>
          <t>Ex_Integra</t>
        </is>
      </c>
      <c r="D1440" t="inlineStr">
        <is>
          <t>Alliance Bernstein - Emerging Markets Growth</t>
        </is>
      </c>
      <c r="E1440" t="inlineStr">
        <is>
          <t>Intensidad</t>
        </is>
      </c>
      <c r="F1440" t="n">
        <v>1e-06</v>
      </c>
    </row>
    <row r="1441">
      <c r="A1441" t="inlineStr">
        <is>
          <t>202606</t>
        </is>
      </c>
      <c r="B1441" t="inlineStr">
        <is>
          <t>Actual</t>
        </is>
      </c>
      <c r="C1441" t="inlineStr">
        <is>
          <t>Ex_Integra</t>
        </is>
      </c>
      <c r="D1441" t="inlineStr">
        <is>
          <t>Alliance Bernstein - Emerging Markets Growth</t>
        </is>
      </c>
      <c r="E1441" t="inlineStr">
        <is>
          <t>Inv MM$</t>
        </is>
      </c>
      <c r="F1441" t="n">
        <v>0.000207</v>
      </c>
    </row>
    <row r="1442">
      <c r="A1442" t="inlineStr">
        <is>
          <t>202606</t>
        </is>
      </c>
      <c r="B1442" t="inlineStr">
        <is>
          <t>Actual</t>
        </is>
      </c>
      <c r="C1442" t="inlineStr">
        <is>
          <t>Ex_Integra</t>
        </is>
      </c>
      <c r="D1442" t="inlineStr">
        <is>
          <t>Allianz - Artificial Intelligence</t>
        </is>
      </c>
      <c r="E1442" t="inlineStr">
        <is>
          <t>Huella</t>
        </is>
      </c>
      <c r="F1442" t="n">
        <v>40.544557</v>
      </c>
    </row>
    <row r="1443">
      <c r="A1443" t="inlineStr">
        <is>
          <t>202606</t>
        </is>
      </c>
      <c r="B1443" t="inlineStr">
        <is>
          <t>Actual</t>
        </is>
      </c>
      <c r="C1443" t="inlineStr">
        <is>
          <t>Ex_Integra</t>
        </is>
      </c>
      <c r="D1443" t="inlineStr">
        <is>
          <t>Allianz - Artificial Intelligence</t>
        </is>
      </c>
      <c r="E1443" t="inlineStr">
        <is>
          <t>Intensidad</t>
        </is>
      </c>
      <c r="F1443" t="n">
        <v>0.011397</v>
      </c>
    </row>
    <row r="1444">
      <c r="A1444" t="inlineStr">
        <is>
          <t>202606</t>
        </is>
      </c>
      <c r="B1444" t="inlineStr">
        <is>
          <t>Actual</t>
        </is>
      </c>
      <c r="C1444" t="inlineStr">
        <is>
          <t>Ex_Integra</t>
        </is>
      </c>
      <c r="D1444" t="inlineStr">
        <is>
          <t>Allianz - Artificial Intelligence</t>
        </is>
      </c>
      <c r="E1444" t="inlineStr">
        <is>
          <t>Inv MM$</t>
        </is>
      </c>
      <c r="F1444" t="n">
        <v>4.81114</v>
      </c>
    </row>
    <row r="1445">
      <c r="A1445" t="inlineStr">
        <is>
          <t>202606</t>
        </is>
      </c>
      <c r="B1445" t="inlineStr">
        <is>
          <t>Actual</t>
        </is>
      </c>
      <c r="C1445" t="inlineStr">
        <is>
          <t>Ex_Integra</t>
        </is>
      </c>
      <c r="D1445" t="inlineStr">
        <is>
          <t>Allianz - China-A</t>
        </is>
      </c>
      <c r="E1445" t="inlineStr">
        <is>
          <t>Huella</t>
        </is>
      </c>
      <c r="F1445" t="n">
        <v>146.57112</v>
      </c>
    </row>
    <row r="1446">
      <c r="A1446" t="inlineStr">
        <is>
          <t>202606</t>
        </is>
      </c>
      <c r="B1446" t="inlineStr">
        <is>
          <t>Actual</t>
        </is>
      </c>
      <c r="C1446" t="inlineStr">
        <is>
          <t>Ex_Integra</t>
        </is>
      </c>
      <c r="D1446" t="inlineStr">
        <is>
          <t>Allianz - China-A</t>
        </is>
      </c>
      <c r="E1446" t="inlineStr">
        <is>
          <t>Intensidad</t>
        </is>
      </c>
      <c r="F1446" t="n">
        <v>0.03383</v>
      </c>
    </row>
    <row r="1447">
      <c r="A1447" t="inlineStr">
        <is>
          <t>202606</t>
        </is>
      </c>
      <c r="B1447" t="inlineStr">
        <is>
          <t>Actual</t>
        </is>
      </c>
      <c r="C1447" t="inlineStr">
        <is>
          <t>Ex_Integra</t>
        </is>
      </c>
      <c r="D1447" t="inlineStr">
        <is>
          <t>Allianz - China-A</t>
        </is>
      </c>
      <c r="E1447" t="inlineStr">
        <is>
          <t>Inv MM$</t>
        </is>
      </c>
      <c r="F1447" t="n">
        <v>1.880565</v>
      </c>
    </row>
    <row r="1448">
      <c r="A1448" t="inlineStr">
        <is>
          <t>202606</t>
        </is>
      </c>
      <c r="B1448" t="inlineStr">
        <is>
          <t>Actual</t>
        </is>
      </c>
      <c r="C1448" t="inlineStr">
        <is>
          <t>Ex_Integra</t>
        </is>
      </c>
      <c r="D1448" t="inlineStr">
        <is>
          <t>Allianz - Euroland Equity Growth</t>
        </is>
      </c>
      <c r="E1448" t="inlineStr">
        <is>
          <t>Huella</t>
        </is>
      </c>
      <c r="F1448" t="n">
        <v>1.522968</v>
      </c>
    </row>
    <row r="1449">
      <c r="A1449" t="inlineStr">
        <is>
          <t>202606</t>
        </is>
      </c>
      <c r="B1449" t="inlineStr">
        <is>
          <t>Actual</t>
        </is>
      </c>
      <c r="C1449" t="inlineStr">
        <is>
          <t>Ex_Integra</t>
        </is>
      </c>
      <c r="D1449" t="inlineStr">
        <is>
          <t>Allianz - Euroland Equity Growth</t>
        </is>
      </c>
      <c r="E1449" t="inlineStr">
        <is>
          <t>Intensidad</t>
        </is>
      </c>
      <c r="F1449" t="n">
        <v>0.00039</v>
      </c>
    </row>
    <row r="1450">
      <c r="A1450" t="inlineStr">
        <is>
          <t>202606</t>
        </is>
      </c>
      <c r="B1450" t="inlineStr">
        <is>
          <t>Actual</t>
        </is>
      </c>
      <c r="C1450" t="inlineStr">
        <is>
          <t>Ex_Integra</t>
        </is>
      </c>
      <c r="D1450" t="inlineStr">
        <is>
          <t>Allianz - Euroland Equity Growth</t>
        </is>
      </c>
      <c r="E1450" t="inlineStr">
        <is>
          <t>Inv MM$</t>
        </is>
      </c>
      <c r="F1450" t="n">
        <v>0.056588</v>
      </c>
    </row>
    <row r="1451">
      <c r="A1451" t="inlineStr">
        <is>
          <t>202606</t>
        </is>
      </c>
      <c r="B1451" t="inlineStr">
        <is>
          <t>Actual</t>
        </is>
      </c>
      <c r="C1451" t="inlineStr">
        <is>
          <t>Ex_Integra</t>
        </is>
      </c>
      <c r="D1451" t="inlineStr">
        <is>
          <t>Amundi / Pioneer - Global Subordinated</t>
        </is>
      </c>
      <c r="E1451" t="inlineStr">
        <is>
          <t>Huella</t>
        </is>
      </c>
      <c r="F1451" t="n">
        <v>6.071591</v>
      </c>
    </row>
    <row r="1452">
      <c r="A1452" t="inlineStr">
        <is>
          <t>202606</t>
        </is>
      </c>
      <c r="B1452" t="inlineStr">
        <is>
          <t>Actual</t>
        </is>
      </c>
      <c r="C1452" t="inlineStr">
        <is>
          <t>Ex_Integra</t>
        </is>
      </c>
      <c r="D1452" t="inlineStr">
        <is>
          <t>Amundi / Pioneer - Global Subordinated</t>
        </is>
      </c>
      <c r="E1452" t="inlineStr">
        <is>
          <t>Intensidad</t>
        </is>
      </c>
      <c r="F1452" t="n">
        <v>0.001641</v>
      </c>
    </row>
    <row r="1453">
      <c r="A1453" t="inlineStr">
        <is>
          <t>202606</t>
        </is>
      </c>
      <c r="B1453" t="inlineStr">
        <is>
          <t>Actual</t>
        </is>
      </c>
      <c r="C1453" t="inlineStr">
        <is>
          <t>Ex_Integra</t>
        </is>
      </c>
      <c r="D1453" t="inlineStr">
        <is>
          <t>Amundi / Pioneer - Global Subordinated</t>
        </is>
      </c>
      <c r="E1453" t="inlineStr">
        <is>
          <t>Inv MM$</t>
        </is>
      </c>
      <c r="F1453" t="n">
        <v>0.136379</v>
      </c>
    </row>
    <row r="1454">
      <c r="A1454" t="inlineStr">
        <is>
          <t>202606</t>
        </is>
      </c>
      <c r="B1454" t="inlineStr">
        <is>
          <t>Actual</t>
        </is>
      </c>
      <c r="C1454" t="inlineStr">
        <is>
          <t>Ex_Integra</t>
        </is>
      </c>
      <c r="D1454" t="inlineStr">
        <is>
          <t>Ashmore - Emerging Markets Frontier Equities</t>
        </is>
      </c>
      <c r="E1454" t="inlineStr">
        <is>
          <t>Huella</t>
        </is>
      </c>
      <c r="F1454" t="n">
        <v>0.252518</v>
      </c>
    </row>
    <row r="1455">
      <c r="A1455" t="inlineStr">
        <is>
          <t>202606</t>
        </is>
      </c>
      <c r="B1455" t="inlineStr">
        <is>
          <t>Actual</t>
        </is>
      </c>
      <c r="C1455" t="inlineStr">
        <is>
          <t>Ex_Integra</t>
        </is>
      </c>
      <c r="D1455" t="inlineStr">
        <is>
          <t>Ashmore - Emerging Markets Frontier Equities</t>
        </is>
      </c>
      <c r="E1455" t="inlineStr">
        <is>
          <t>Intensidad</t>
        </is>
      </c>
      <c r="F1455" t="n">
        <v>5.6e-05</v>
      </c>
    </row>
    <row r="1456">
      <c r="A1456" t="inlineStr">
        <is>
          <t>202606</t>
        </is>
      </c>
      <c r="B1456" t="inlineStr">
        <is>
          <t>Actual</t>
        </is>
      </c>
      <c r="C1456" t="inlineStr">
        <is>
          <t>Ex_Integra</t>
        </is>
      </c>
      <c r="D1456" t="inlineStr">
        <is>
          <t>Ashmore - Emerging Markets Frontier Equities</t>
        </is>
      </c>
      <c r="E1456" t="inlineStr">
        <is>
          <t>Inv MM$</t>
        </is>
      </c>
      <c r="F1456" t="n">
        <v>0.001473</v>
      </c>
    </row>
    <row r="1457">
      <c r="A1457" t="inlineStr">
        <is>
          <t>202606</t>
        </is>
      </c>
      <c r="B1457" t="inlineStr">
        <is>
          <t>Actual</t>
        </is>
      </c>
      <c r="C1457" t="inlineStr">
        <is>
          <t>Ex_Integra</t>
        </is>
      </c>
      <c r="D1457" t="inlineStr">
        <is>
          <t>Azimut Investments SA - AZ Fund 3, AZ Bond Frontier Markets Debt</t>
        </is>
      </c>
      <c r="E1457" t="inlineStr">
        <is>
          <t>Huella</t>
        </is>
      </c>
      <c r="F1457" t="n">
        <v>19.976019</v>
      </c>
    </row>
    <row r="1458">
      <c r="A1458" t="inlineStr">
        <is>
          <t>202606</t>
        </is>
      </c>
      <c r="B1458" t="inlineStr">
        <is>
          <t>Actual</t>
        </is>
      </c>
      <c r="C1458" t="inlineStr">
        <is>
          <t>Ex_Integra</t>
        </is>
      </c>
      <c r="D1458" t="inlineStr">
        <is>
          <t>Azimut Investments SA - AZ Fund 3, AZ Bond Frontier Markets Debt</t>
        </is>
      </c>
      <c r="E1458" t="inlineStr">
        <is>
          <t>Intensidad</t>
        </is>
      </c>
      <c r="F1458" t="n">
        <v>0.003677</v>
      </c>
    </row>
    <row r="1459">
      <c r="A1459" t="inlineStr">
        <is>
          <t>202606</t>
        </is>
      </c>
      <c r="B1459" t="inlineStr">
        <is>
          <t>Actual</t>
        </is>
      </c>
      <c r="C1459" t="inlineStr">
        <is>
          <t>Ex_Integra</t>
        </is>
      </c>
      <c r="D1459" t="inlineStr">
        <is>
          <t>Azimut Investments SA - AZ Fund 3, AZ Bond Frontier Markets Debt</t>
        </is>
      </c>
      <c r="E1459" t="inlineStr">
        <is>
          <t>Inv MM$</t>
        </is>
      </c>
      <c r="F1459" t="n">
        <v>23.553765</v>
      </c>
    </row>
    <row r="1460">
      <c r="A1460" t="inlineStr">
        <is>
          <t>202606</t>
        </is>
      </c>
      <c r="B1460" t="inlineStr">
        <is>
          <t>Actual</t>
        </is>
      </c>
      <c r="C1460" t="inlineStr">
        <is>
          <t>Ex_Integra</t>
        </is>
      </c>
      <c r="D1460" t="inlineStr">
        <is>
          <t>BBVA Bancomer</t>
        </is>
      </c>
      <c r="E1460" t="inlineStr">
        <is>
          <t>Huella</t>
        </is>
      </c>
      <c r="F1460" t="n">
        <v>31.844762</v>
      </c>
    </row>
    <row r="1461">
      <c r="A1461" t="inlineStr">
        <is>
          <t>202606</t>
        </is>
      </c>
      <c r="B1461" t="inlineStr">
        <is>
          <t>Actual</t>
        </is>
      </c>
      <c r="C1461" t="inlineStr">
        <is>
          <t>Ex_Integra</t>
        </is>
      </c>
      <c r="D1461" t="inlineStr">
        <is>
          <t>BBVA Bancomer</t>
        </is>
      </c>
      <c r="E1461" t="inlineStr">
        <is>
          <t>Intensidad</t>
        </is>
      </c>
      <c r="F1461" t="n">
        <v>0.005441</v>
      </c>
    </row>
    <row r="1462">
      <c r="A1462" t="inlineStr">
        <is>
          <t>202606</t>
        </is>
      </c>
      <c r="B1462" t="inlineStr">
        <is>
          <t>Actual</t>
        </is>
      </c>
      <c r="C1462" t="inlineStr">
        <is>
          <t>Ex_Integra</t>
        </is>
      </c>
      <c r="D1462" t="inlineStr">
        <is>
          <t>BBVA Bancomer</t>
        </is>
      </c>
      <c r="E1462" t="inlineStr">
        <is>
          <t>Inv MM$</t>
        </is>
      </c>
      <c r="F1462" t="n">
        <v>41.356833</v>
      </c>
    </row>
    <row r="1463">
      <c r="A1463" t="inlineStr">
        <is>
          <t>202606</t>
        </is>
      </c>
      <c r="B1463" t="inlineStr">
        <is>
          <t>Actual</t>
        </is>
      </c>
      <c r="C1463" t="inlineStr">
        <is>
          <t>Ex_Integra</t>
        </is>
      </c>
      <c r="D1463" t="inlineStr">
        <is>
          <t>BCP</t>
        </is>
      </c>
      <c r="E1463" t="inlineStr">
        <is>
          <t>Huella</t>
        </is>
      </c>
      <c r="F1463" t="n">
        <v>1.69746</v>
      </c>
    </row>
    <row r="1464">
      <c r="A1464" t="inlineStr">
        <is>
          <t>202606</t>
        </is>
      </c>
      <c r="B1464" t="inlineStr">
        <is>
          <t>Actual</t>
        </is>
      </c>
      <c r="C1464" t="inlineStr">
        <is>
          <t>Ex_Integra</t>
        </is>
      </c>
      <c r="D1464" t="inlineStr">
        <is>
          <t>BCP</t>
        </is>
      </c>
      <c r="E1464" t="inlineStr">
        <is>
          <t>Intensidad</t>
        </is>
      </c>
      <c r="F1464" t="n">
        <v>0.000468</v>
      </c>
    </row>
    <row r="1465">
      <c r="A1465" t="inlineStr">
        <is>
          <t>202606</t>
        </is>
      </c>
      <c r="B1465" t="inlineStr">
        <is>
          <t>Actual</t>
        </is>
      </c>
      <c r="C1465" t="inlineStr">
        <is>
          <t>Ex_Integra</t>
        </is>
      </c>
      <c r="D1465" t="inlineStr">
        <is>
          <t>BCP</t>
        </is>
      </c>
      <c r="E1465" t="inlineStr">
        <is>
          <t>Inv MM$</t>
        </is>
      </c>
      <c r="F1465" t="n">
        <v>3.857863</v>
      </c>
    </row>
    <row r="1466">
      <c r="A1466" t="inlineStr">
        <is>
          <t>202606</t>
        </is>
      </c>
      <c r="B1466" t="inlineStr">
        <is>
          <t>Actual</t>
        </is>
      </c>
      <c r="C1466" t="inlineStr">
        <is>
          <t>Ex_Integra</t>
        </is>
      </c>
      <c r="D1466" t="inlineStr">
        <is>
          <t>BD Capital - Senior Loans 2</t>
        </is>
      </c>
      <c r="E1466" t="inlineStr">
        <is>
          <t>Huella</t>
        </is>
      </c>
      <c r="F1466" t="n">
        <v>9787.52181</v>
      </c>
    </row>
    <row r="1467">
      <c r="A1467" t="inlineStr">
        <is>
          <t>202606</t>
        </is>
      </c>
      <c r="B1467" t="inlineStr">
        <is>
          <t>Actual</t>
        </is>
      </c>
      <c r="C1467" t="inlineStr">
        <is>
          <t>Ex_Integra</t>
        </is>
      </c>
      <c r="D1467" t="inlineStr">
        <is>
          <t>BD Capital - Senior Loans 2</t>
        </is>
      </c>
      <c r="E1467" t="inlineStr">
        <is>
          <t>Intensidad</t>
        </is>
      </c>
      <c r="F1467" t="n">
        <v>1.677948</v>
      </c>
    </row>
    <row r="1468">
      <c r="A1468" t="inlineStr">
        <is>
          <t>202606</t>
        </is>
      </c>
      <c r="B1468" t="inlineStr">
        <is>
          <t>Actual</t>
        </is>
      </c>
      <c r="C1468" t="inlineStr">
        <is>
          <t>Ex_Integra</t>
        </is>
      </c>
      <c r="D1468" t="inlineStr">
        <is>
          <t>BD Capital - Senior Loans 2</t>
        </is>
      </c>
      <c r="E1468" t="inlineStr">
        <is>
          <t>Inv MM$</t>
        </is>
      </c>
      <c r="F1468" t="n">
        <v>101.85887</v>
      </c>
    </row>
    <row r="1469">
      <c r="A1469" t="inlineStr">
        <is>
          <t>202606</t>
        </is>
      </c>
      <c r="B1469" t="inlineStr">
        <is>
          <t>Actual</t>
        </is>
      </c>
      <c r="C1469" t="inlineStr">
        <is>
          <t>Ex_Integra</t>
        </is>
      </c>
      <c r="D1469" t="inlineStr">
        <is>
          <t>BNP Paribas - Japan Small Caps</t>
        </is>
      </c>
      <c r="E1469" t="inlineStr">
        <is>
          <t>Huella</t>
        </is>
      </c>
      <c r="F1469" t="n">
        <v>8064.237834</v>
      </c>
    </row>
    <row r="1470">
      <c r="A1470" t="inlineStr">
        <is>
          <t>202606</t>
        </is>
      </c>
      <c r="B1470" t="inlineStr">
        <is>
          <t>Actual</t>
        </is>
      </c>
      <c r="C1470" t="inlineStr">
        <is>
          <t>Ex_Integra</t>
        </is>
      </c>
      <c r="D1470" t="inlineStr">
        <is>
          <t>BNP Paribas - Japan Small Caps</t>
        </is>
      </c>
      <c r="E1470" t="inlineStr">
        <is>
          <t>Intensidad</t>
        </is>
      </c>
      <c r="F1470" t="n">
        <v>1.244463</v>
      </c>
    </row>
    <row r="1471">
      <c r="A1471" t="inlineStr">
        <is>
          <t>202606</t>
        </is>
      </c>
      <c r="B1471" t="inlineStr">
        <is>
          <t>Actual</t>
        </is>
      </c>
      <c r="C1471" t="inlineStr">
        <is>
          <t>Ex_Integra</t>
        </is>
      </c>
      <c r="D1471" t="inlineStr">
        <is>
          <t>BNP Paribas - Japan Small Caps</t>
        </is>
      </c>
      <c r="E1471" t="inlineStr">
        <is>
          <t>Inv MM$</t>
        </is>
      </c>
      <c r="F1471" t="n">
        <v>75.906526</v>
      </c>
    </row>
    <row r="1472">
      <c r="A1472" t="inlineStr">
        <is>
          <t>202606</t>
        </is>
      </c>
      <c r="B1472" t="inlineStr">
        <is>
          <t>Actual</t>
        </is>
      </c>
      <c r="C1472" t="inlineStr">
        <is>
          <t>Ex_Integra</t>
        </is>
      </c>
      <c r="D1472" t="inlineStr">
        <is>
          <t>Baillie Gifford &amp; Co Ltd - Overseas Growth Funds ICVC - Pacific Fund</t>
        </is>
      </c>
      <c r="E1472" t="inlineStr">
        <is>
          <t>Huella</t>
        </is>
      </c>
      <c r="F1472" t="n">
        <v>590.240539</v>
      </c>
    </row>
    <row r="1473">
      <c r="A1473" t="inlineStr">
        <is>
          <t>202606</t>
        </is>
      </c>
      <c r="B1473" t="inlineStr">
        <is>
          <t>Actual</t>
        </is>
      </c>
      <c r="C1473" t="inlineStr">
        <is>
          <t>Ex_Integra</t>
        </is>
      </c>
      <c r="D1473" t="inlineStr">
        <is>
          <t>Baillie Gifford &amp; Co Ltd - Overseas Growth Funds ICVC - Pacific Fund</t>
        </is>
      </c>
      <c r="E1473" t="inlineStr">
        <is>
          <t>Intensidad</t>
        </is>
      </c>
      <c r="F1473" t="n">
        <v>0.042266</v>
      </c>
    </row>
    <row r="1474">
      <c r="A1474" t="inlineStr">
        <is>
          <t>202606</t>
        </is>
      </c>
      <c r="B1474" t="inlineStr">
        <is>
          <t>Actual</t>
        </is>
      </c>
      <c r="C1474" t="inlineStr">
        <is>
          <t>Ex_Integra</t>
        </is>
      </c>
      <c r="D1474" t="inlineStr">
        <is>
          <t>Baillie Gifford &amp; Co Ltd - Overseas Growth Funds ICVC - Pacific Fund</t>
        </is>
      </c>
      <c r="E1474" t="inlineStr">
        <is>
          <t>Inv MM$</t>
        </is>
      </c>
      <c r="F1474" t="n">
        <v>27.467702</v>
      </c>
    </row>
    <row r="1475">
      <c r="A1475" t="inlineStr">
        <is>
          <t>202606</t>
        </is>
      </c>
      <c r="B1475" t="inlineStr">
        <is>
          <t>Actual</t>
        </is>
      </c>
      <c r="C1475" t="inlineStr">
        <is>
          <t>Ex_Integra</t>
        </is>
      </c>
      <c r="D1475" t="inlineStr">
        <is>
          <t>Barings - Emerging Markets Local Debt Fund</t>
        </is>
      </c>
      <c r="E1475" t="inlineStr">
        <is>
          <t>Huella</t>
        </is>
      </c>
      <c r="F1475" t="n">
        <v>0.816118</v>
      </c>
    </row>
    <row r="1476">
      <c r="A1476" t="inlineStr">
        <is>
          <t>202606</t>
        </is>
      </c>
      <c r="B1476" t="inlineStr">
        <is>
          <t>Actual</t>
        </is>
      </c>
      <c r="C1476" t="inlineStr">
        <is>
          <t>Ex_Integra</t>
        </is>
      </c>
      <c r="D1476" t="inlineStr">
        <is>
          <t>Barings - Emerging Markets Local Debt Fund</t>
        </is>
      </c>
      <c r="E1476" t="inlineStr">
        <is>
          <t>Intensidad</t>
        </is>
      </c>
      <c r="F1476" t="n">
        <v>5.9e-05</v>
      </c>
    </row>
    <row r="1477">
      <c r="A1477" t="inlineStr">
        <is>
          <t>202606</t>
        </is>
      </c>
      <c r="B1477" t="inlineStr">
        <is>
          <t>Actual</t>
        </is>
      </c>
      <c r="C1477" t="inlineStr">
        <is>
          <t>Ex_Integra</t>
        </is>
      </c>
      <c r="D1477" t="inlineStr">
        <is>
          <t>Barings - Emerging Markets Local Debt Fund</t>
        </is>
      </c>
      <c r="E1477" t="inlineStr">
        <is>
          <t>Inv MM$</t>
        </is>
      </c>
      <c r="F1477" t="n">
        <v>0.337955</v>
      </c>
    </row>
    <row r="1478">
      <c r="A1478" t="inlineStr">
        <is>
          <t>202606</t>
        </is>
      </c>
      <c r="B1478" t="inlineStr">
        <is>
          <t>Actual</t>
        </is>
      </c>
      <c r="C1478" t="inlineStr">
        <is>
          <t>Ex_Integra</t>
        </is>
      </c>
      <c r="D1478" t="inlineStr">
        <is>
          <t>Black Rock - World Technology Fund</t>
        </is>
      </c>
      <c r="E1478" t="inlineStr">
        <is>
          <t>Huella</t>
        </is>
      </c>
      <c r="F1478" t="n">
        <v>162.577405</v>
      </c>
    </row>
    <row r="1479">
      <c r="A1479" t="inlineStr">
        <is>
          <t>202606</t>
        </is>
      </c>
      <c r="B1479" t="inlineStr">
        <is>
          <t>Actual</t>
        </is>
      </c>
      <c r="C1479" t="inlineStr">
        <is>
          <t>Ex_Integra</t>
        </is>
      </c>
      <c r="D1479" t="inlineStr">
        <is>
          <t>Black Rock - World Technology Fund</t>
        </is>
      </c>
      <c r="E1479" t="inlineStr">
        <is>
          <t>Intensidad</t>
        </is>
      </c>
      <c r="F1479" t="n">
        <v>0.030974</v>
      </c>
    </row>
    <row r="1480">
      <c r="A1480" t="inlineStr">
        <is>
          <t>202606</t>
        </is>
      </c>
      <c r="B1480" t="inlineStr">
        <is>
          <t>Actual</t>
        </is>
      </c>
      <c r="C1480" t="inlineStr">
        <is>
          <t>Ex_Integra</t>
        </is>
      </c>
      <c r="D1480" t="inlineStr">
        <is>
          <t>Black Rock - World Technology Fund</t>
        </is>
      </c>
      <c r="E1480" t="inlineStr">
        <is>
          <t>Inv MM$</t>
        </is>
      </c>
      <c r="F1480" t="n">
        <v>27.618542</v>
      </c>
    </row>
    <row r="1481">
      <c r="A1481" t="inlineStr">
        <is>
          <t>202606</t>
        </is>
      </c>
      <c r="B1481" t="inlineStr">
        <is>
          <t>Actual</t>
        </is>
      </c>
      <c r="C1481" t="inlineStr">
        <is>
          <t>Ex_Integra</t>
        </is>
      </c>
      <c r="D1481" t="inlineStr">
        <is>
          <t>BlackRock - iShares -20+ Year Treasury Bond ETF</t>
        </is>
      </c>
      <c r="E1481" t="inlineStr">
        <is>
          <t>Huella</t>
        </is>
      </c>
      <c r="F1481" t="n">
        <v>4334.098385</v>
      </c>
    </row>
    <row r="1482">
      <c r="A1482" t="inlineStr">
        <is>
          <t>202606</t>
        </is>
      </c>
      <c r="B1482" t="inlineStr">
        <is>
          <t>Actual</t>
        </is>
      </c>
      <c r="C1482" t="inlineStr">
        <is>
          <t>Ex_Integra</t>
        </is>
      </c>
      <c r="D1482" t="inlineStr">
        <is>
          <t>BlackRock - iShares -20+ Year Treasury Bond ETF</t>
        </is>
      </c>
      <c r="E1482" t="inlineStr">
        <is>
          <t>Intensidad</t>
        </is>
      </c>
      <c r="F1482" t="n">
        <v>1.171206</v>
      </c>
    </row>
    <row r="1483">
      <c r="A1483" t="inlineStr">
        <is>
          <t>202606</t>
        </is>
      </c>
      <c r="B1483" t="inlineStr">
        <is>
          <t>Actual</t>
        </is>
      </c>
      <c r="C1483" t="inlineStr">
        <is>
          <t>Ex_Integra</t>
        </is>
      </c>
      <c r="D1483" t="inlineStr">
        <is>
          <t>BlackRock - iShares -20+ Year Treasury Bond ETF</t>
        </is>
      </c>
      <c r="E1483" t="inlineStr">
        <is>
          <t>Inv MM$</t>
        </is>
      </c>
      <c r="F1483" t="n">
        <v>21.393263</v>
      </c>
    </row>
    <row r="1484">
      <c r="A1484" t="inlineStr">
        <is>
          <t>202606</t>
        </is>
      </c>
      <c r="B1484" t="inlineStr">
        <is>
          <t>Actual</t>
        </is>
      </c>
      <c r="C1484" t="inlineStr">
        <is>
          <t>Ex_Integra</t>
        </is>
      </c>
      <c r="D1484" t="inlineStr">
        <is>
          <t>BlackRock - iShares Convertible Bond ETF</t>
        </is>
      </c>
      <c r="E1484" t="inlineStr">
        <is>
          <t>Huella</t>
        </is>
      </c>
      <c r="F1484" t="n">
        <v>373.105885</v>
      </c>
    </row>
    <row r="1485">
      <c r="A1485" t="inlineStr">
        <is>
          <t>202606</t>
        </is>
      </c>
      <c r="B1485" t="inlineStr">
        <is>
          <t>Actual</t>
        </is>
      </c>
      <c r="C1485" t="inlineStr">
        <is>
          <t>Ex_Integra</t>
        </is>
      </c>
      <c r="D1485" t="inlineStr">
        <is>
          <t>BlackRock - iShares Convertible Bond ETF</t>
        </is>
      </c>
      <c r="E1485" t="inlineStr">
        <is>
          <t>Intensidad</t>
        </is>
      </c>
      <c r="F1485" t="n">
        <v>0.100825</v>
      </c>
    </row>
    <row r="1486">
      <c r="A1486" t="inlineStr">
        <is>
          <t>202606</t>
        </is>
      </c>
      <c r="B1486" t="inlineStr">
        <is>
          <t>Actual</t>
        </is>
      </c>
      <c r="C1486" t="inlineStr">
        <is>
          <t>Ex_Integra</t>
        </is>
      </c>
      <c r="D1486" t="inlineStr">
        <is>
          <t>BlackRock - iShares Convertible Bond ETF</t>
        </is>
      </c>
      <c r="E1486" t="inlineStr">
        <is>
          <t>Inv MM$</t>
        </is>
      </c>
      <c r="F1486" t="n">
        <v>7.982839</v>
      </c>
    </row>
    <row r="1487">
      <c r="A1487" t="inlineStr">
        <is>
          <t>202606</t>
        </is>
      </c>
      <c r="B1487" t="inlineStr">
        <is>
          <t>Actual</t>
        </is>
      </c>
      <c r="C1487" t="inlineStr">
        <is>
          <t>Ex_Integra</t>
        </is>
      </c>
      <c r="D1487" t="inlineStr">
        <is>
          <t>BlackRock - iShares Core S&amp;P 500</t>
        </is>
      </c>
      <c r="E1487" t="inlineStr">
        <is>
          <t>Huella</t>
        </is>
      </c>
      <c r="F1487" t="n">
        <v>4409.70656</v>
      </c>
    </row>
    <row r="1488">
      <c r="A1488" t="inlineStr">
        <is>
          <t>202606</t>
        </is>
      </c>
      <c r="B1488" t="inlineStr">
        <is>
          <t>Actual</t>
        </is>
      </c>
      <c r="C1488" t="inlineStr">
        <is>
          <t>Ex_Integra</t>
        </is>
      </c>
      <c r="D1488" t="inlineStr">
        <is>
          <t>BlackRock - iShares Core S&amp;P 500</t>
        </is>
      </c>
      <c r="E1488" t="inlineStr">
        <is>
          <t>Intensidad</t>
        </is>
      </c>
      <c r="F1488" t="n">
        <v>0.594155</v>
      </c>
    </row>
    <row r="1489">
      <c r="A1489" t="inlineStr">
        <is>
          <t>202606</t>
        </is>
      </c>
      <c r="B1489" t="inlineStr">
        <is>
          <t>Actual</t>
        </is>
      </c>
      <c r="C1489" t="inlineStr">
        <is>
          <t>Ex_Integra</t>
        </is>
      </c>
      <c r="D1489" t="inlineStr">
        <is>
          <t>BlackRock - iShares Core S&amp;P 500</t>
        </is>
      </c>
      <c r="E1489" t="inlineStr">
        <is>
          <t>Inv MM$</t>
        </is>
      </c>
      <c r="F1489" t="n">
        <v>201.986767</v>
      </c>
    </row>
    <row r="1490">
      <c r="A1490" t="inlineStr">
        <is>
          <t>202606</t>
        </is>
      </c>
      <c r="B1490" t="inlineStr">
        <is>
          <t>Actual</t>
        </is>
      </c>
      <c r="C1490" t="inlineStr">
        <is>
          <t>Ex_Integra</t>
        </is>
      </c>
      <c r="D1490" t="inlineStr">
        <is>
          <t>BlackRock - iShares Core S&amp;P Small Cap</t>
        </is>
      </c>
      <c r="E1490" t="inlineStr">
        <is>
          <t>Huella</t>
        </is>
      </c>
      <c r="F1490" t="n">
        <v>0.183365</v>
      </c>
    </row>
    <row r="1491">
      <c r="A1491" t="inlineStr">
        <is>
          <t>202606</t>
        </is>
      </c>
      <c r="B1491" t="inlineStr">
        <is>
          <t>Actual</t>
        </is>
      </c>
      <c r="C1491" t="inlineStr">
        <is>
          <t>Ex_Integra</t>
        </is>
      </c>
      <c r="D1491" t="inlineStr">
        <is>
          <t>BlackRock - iShares Core S&amp;P Small Cap</t>
        </is>
      </c>
      <c r="E1491" t="inlineStr">
        <is>
          <t>Intensidad</t>
        </is>
      </c>
      <c r="F1491" t="n">
        <v>5.2e-05</v>
      </c>
    </row>
    <row r="1492">
      <c r="A1492" t="inlineStr">
        <is>
          <t>202606</t>
        </is>
      </c>
      <c r="B1492" t="inlineStr">
        <is>
          <t>Actual</t>
        </is>
      </c>
      <c r="C1492" t="inlineStr">
        <is>
          <t>Ex_Integra</t>
        </is>
      </c>
      <c r="D1492" t="inlineStr">
        <is>
          <t>BlackRock - iShares Core S&amp;P Small Cap</t>
        </is>
      </c>
      <c r="E1492" t="inlineStr">
        <is>
          <t>Inv MM$</t>
        </is>
      </c>
      <c r="F1492" t="n">
        <v>0.003146</v>
      </c>
    </row>
    <row r="1493">
      <c r="A1493" t="inlineStr">
        <is>
          <t>202606</t>
        </is>
      </c>
      <c r="B1493" t="inlineStr">
        <is>
          <t>Actual</t>
        </is>
      </c>
      <c r="C1493" t="inlineStr">
        <is>
          <t>Ex_Integra</t>
        </is>
      </c>
      <c r="D1493" t="inlineStr">
        <is>
          <t>BlackRock - iShares Global Energy ETF</t>
        </is>
      </c>
      <c r="E1493" t="inlineStr">
        <is>
          <t>Huella</t>
        </is>
      </c>
      <c r="F1493" t="n">
        <v>0.019939</v>
      </c>
    </row>
    <row r="1494">
      <c r="A1494" t="inlineStr">
        <is>
          <t>202606</t>
        </is>
      </c>
      <c r="B1494" t="inlineStr">
        <is>
          <t>Actual</t>
        </is>
      </c>
      <c r="C1494" t="inlineStr">
        <is>
          <t>Ex_Integra</t>
        </is>
      </c>
      <c r="D1494" t="inlineStr">
        <is>
          <t>BlackRock - iShares Global Energy ETF</t>
        </is>
      </c>
      <c r="E1494" t="inlineStr">
        <is>
          <t>Intensidad</t>
        </is>
      </c>
      <c r="F1494" t="n">
        <v>1e-06</v>
      </c>
    </row>
    <row r="1495">
      <c r="A1495" t="inlineStr">
        <is>
          <t>202606</t>
        </is>
      </c>
      <c r="B1495" t="inlineStr">
        <is>
          <t>Actual</t>
        </is>
      </c>
      <c r="C1495" t="inlineStr">
        <is>
          <t>Ex_Integra</t>
        </is>
      </c>
      <c r="D1495" t="inlineStr">
        <is>
          <t>BlackRock - iShares Global Energy ETF</t>
        </is>
      </c>
      <c r="E1495" t="inlineStr">
        <is>
          <t>Inv MM$</t>
        </is>
      </c>
      <c r="F1495" t="n">
        <v>9.500000000000001e-05</v>
      </c>
    </row>
    <row r="1496">
      <c r="A1496" t="inlineStr">
        <is>
          <t>202606</t>
        </is>
      </c>
      <c r="B1496" t="inlineStr">
        <is>
          <t>Actual</t>
        </is>
      </c>
      <c r="C1496" t="inlineStr">
        <is>
          <t>Ex_Integra</t>
        </is>
      </c>
      <c r="D1496" t="inlineStr">
        <is>
          <t>BlackRock - iShares JP Morgan USD EM Bond ETF</t>
        </is>
      </c>
      <c r="E1496" t="inlineStr">
        <is>
          <t>Huella</t>
        </is>
      </c>
      <c r="F1496" t="n">
        <v>2756.518256</v>
      </c>
    </row>
    <row r="1497">
      <c r="A1497" t="inlineStr">
        <is>
          <t>202606</t>
        </is>
      </c>
      <c r="B1497" t="inlineStr">
        <is>
          <t>Actual</t>
        </is>
      </c>
      <c r="C1497" t="inlineStr">
        <is>
          <t>Ex_Integra</t>
        </is>
      </c>
      <c r="D1497" t="inlineStr">
        <is>
          <t>BlackRock - iShares JP Morgan USD EM Bond ETF</t>
        </is>
      </c>
      <c r="E1497" t="inlineStr">
        <is>
          <t>Intensidad</t>
        </is>
      </c>
      <c r="F1497" t="n">
        <v>0.744896</v>
      </c>
    </row>
    <row r="1498">
      <c r="A1498" t="inlineStr">
        <is>
          <t>202606</t>
        </is>
      </c>
      <c r="B1498" t="inlineStr">
        <is>
          <t>Actual</t>
        </is>
      </c>
      <c r="C1498" t="inlineStr">
        <is>
          <t>Ex_Integra</t>
        </is>
      </c>
      <c r="D1498" t="inlineStr">
        <is>
          <t>BlackRock - iShares JP Morgan USD EM Bond ETF</t>
        </is>
      </c>
      <c r="E1498" t="inlineStr">
        <is>
          <t>Inv MM$</t>
        </is>
      </c>
      <c r="F1498" t="n">
        <v>7.187341</v>
      </c>
    </row>
    <row r="1499">
      <c r="A1499" t="inlineStr">
        <is>
          <t>202606</t>
        </is>
      </c>
      <c r="B1499" t="inlineStr">
        <is>
          <t>Actual</t>
        </is>
      </c>
      <c r="C1499" t="inlineStr">
        <is>
          <t>Ex_Integra</t>
        </is>
      </c>
      <c r="D1499" t="inlineStr">
        <is>
          <t>BlackRock - iShares JPM EM Local Government Bond</t>
        </is>
      </c>
      <c r="E1499" t="inlineStr">
        <is>
          <t>Huella</t>
        </is>
      </c>
      <c r="F1499" t="n">
        <v>0.031001</v>
      </c>
    </row>
    <row r="1500">
      <c r="A1500" t="inlineStr">
        <is>
          <t>202606</t>
        </is>
      </c>
      <c r="B1500" t="inlineStr">
        <is>
          <t>Actual</t>
        </is>
      </c>
      <c r="C1500" t="inlineStr">
        <is>
          <t>Ex_Integra</t>
        </is>
      </c>
      <c r="D1500" t="inlineStr">
        <is>
          <t>BlackRock - iShares JPM EM Local Government Bond</t>
        </is>
      </c>
      <c r="E1500" t="inlineStr">
        <is>
          <t>Intensidad</t>
        </is>
      </c>
      <c r="F1500" t="n">
        <v>8e-06</v>
      </c>
    </row>
    <row r="1501">
      <c r="A1501" t="inlineStr">
        <is>
          <t>202606</t>
        </is>
      </c>
      <c r="B1501" t="inlineStr">
        <is>
          <t>Actual</t>
        </is>
      </c>
      <c r="C1501" t="inlineStr">
        <is>
          <t>Ex_Integra</t>
        </is>
      </c>
      <c r="D1501" t="inlineStr">
        <is>
          <t>BlackRock - iShares JPM EM Local Government Bond</t>
        </is>
      </c>
      <c r="E1501" t="inlineStr">
        <is>
          <t>Inv MM$</t>
        </is>
      </c>
      <c r="F1501" t="n">
        <v>4.3e-05</v>
      </c>
    </row>
    <row r="1502">
      <c r="A1502" t="inlineStr">
        <is>
          <t>202606</t>
        </is>
      </c>
      <c r="B1502" t="inlineStr">
        <is>
          <t>Actual</t>
        </is>
      </c>
      <c r="C1502" t="inlineStr">
        <is>
          <t>Ex_Integra</t>
        </is>
      </c>
      <c r="D1502" t="inlineStr">
        <is>
          <t>BlackRock - iShares Korea</t>
        </is>
      </c>
      <c r="E1502" t="inlineStr">
        <is>
          <t>Huella</t>
        </is>
      </c>
      <c r="F1502" t="n">
        <v>58839.721748</v>
      </c>
    </row>
    <row r="1503">
      <c r="A1503" t="inlineStr">
        <is>
          <t>202606</t>
        </is>
      </c>
      <c r="B1503" t="inlineStr">
        <is>
          <t>Actual</t>
        </is>
      </c>
      <c r="C1503" t="inlineStr">
        <is>
          <t>Ex_Integra</t>
        </is>
      </c>
      <c r="D1503" t="inlineStr">
        <is>
          <t>BlackRock - iShares Korea</t>
        </is>
      </c>
      <c r="E1503" t="inlineStr">
        <is>
          <t>Intensidad</t>
        </is>
      </c>
      <c r="F1503" t="n">
        <v>8.283403</v>
      </c>
    </row>
    <row r="1504">
      <c r="A1504" t="inlineStr">
        <is>
          <t>202606</t>
        </is>
      </c>
      <c r="B1504" t="inlineStr">
        <is>
          <t>Actual</t>
        </is>
      </c>
      <c r="C1504" t="inlineStr">
        <is>
          <t>Ex_Integra</t>
        </is>
      </c>
      <c r="D1504" t="inlineStr">
        <is>
          <t>BlackRock - iShares Korea</t>
        </is>
      </c>
      <c r="E1504" t="inlineStr">
        <is>
          <t>Inv MM$</t>
        </is>
      </c>
      <c r="F1504" t="n">
        <v>1009.42668</v>
      </c>
    </row>
    <row r="1505">
      <c r="A1505" t="inlineStr">
        <is>
          <t>202606</t>
        </is>
      </c>
      <c r="B1505" t="inlineStr">
        <is>
          <t>Actual</t>
        </is>
      </c>
      <c r="C1505" t="inlineStr">
        <is>
          <t>Ex_Integra</t>
        </is>
      </c>
      <c r="D1505" t="inlineStr">
        <is>
          <t>BlackRock - iShares MSCI Brazil</t>
        </is>
      </c>
      <c r="E1505" t="inlineStr">
        <is>
          <t>Huella</t>
        </is>
      </c>
      <c r="F1505" t="n">
        <v>999.218266</v>
      </c>
    </row>
    <row r="1506">
      <c r="A1506" t="inlineStr">
        <is>
          <t>202606</t>
        </is>
      </c>
      <c r="B1506" t="inlineStr">
        <is>
          <t>Actual</t>
        </is>
      </c>
      <c r="C1506" t="inlineStr">
        <is>
          <t>Ex_Integra</t>
        </is>
      </c>
      <c r="D1506" t="inlineStr">
        <is>
          <t>BlackRock - iShares MSCI Brazil</t>
        </is>
      </c>
      <c r="E1506" t="inlineStr">
        <is>
          <t>Intensidad</t>
        </is>
      </c>
      <c r="F1506" t="n">
        <v>0.281083</v>
      </c>
    </row>
    <row r="1507">
      <c r="A1507" t="inlineStr">
        <is>
          <t>202606</t>
        </is>
      </c>
      <c r="B1507" t="inlineStr">
        <is>
          <t>Actual</t>
        </is>
      </c>
      <c r="C1507" t="inlineStr">
        <is>
          <t>Ex_Integra</t>
        </is>
      </c>
      <c r="D1507" t="inlineStr">
        <is>
          <t>BlackRock - iShares MSCI Brazil</t>
        </is>
      </c>
      <c r="E1507" t="inlineStr">
        <is>
          <t>Inv MM$</t>
        </is>
      </c>
      <c r="F1507" t="n">
        <v>10.908866</v>
      </c>
    </row>
    <row r="1508">
      <c r="A1508" t="inlineStr">
        <is>
          <t>202606</t>
        </is>
      </c>
      <c r="B1508" t="inlineStr">
        <is>
          <t>Actual</t>
        </is>
      </c>
      <c r="C1508" t="inlineStr">
        <is>
          <t>Ex_Integra</t>
        </is>
      </c>
      <c r="D1508" t="inlineStr">
        <is>
          <t>BlackRock - iShares MSCI Emerging Markets ex China</t>
        </is>
      </c>
      <c r="E1508" t="inlineStr">
        <is>
          <t>Huella</t>
        </is>
      </c>
      <c r="F1508" t="n">
        <v>2144.891241</v>
      </c>
    </row>
    <row r="1509">
      <c r="A1509" t="inlineStr">
        <is>
          <t>202606</t>
        </is>
      </c>
      <c r="B1509" t="inlineStr">
        <is>
          <t>Actual</t>
        </is>
      </c>
      <c r="C1509" t="inlineStr">
        <is>
          <t>Ex_Integra</t>
        </is>
      </c>
      <c r="D1509" t="inlineStr">
        <is>
          <t>BlackRock - iShares MSCI Emerging Markets ex China</t>
        </is>
      </c>
      <c r="E1509" t="inlineStr">
        <is>
          <t>Intensidad</t>
        </is>
      </c>
      <c r="F1509" t="n">
        <v>0.603364</v>
      </c>
    </row>
    <row r="1510">
      <c r="A1510" t="inlineStr">
        <is>
          <t>202606</t>
        </is>
      </c>
      <c r="B1510" t="inlineStr">
        <is>
          <t>Actual</t>
        </is>
      </c>
      <c r="C1510" t="inlineStr">
        <is>
          <t>Ex_Integra</t>
        </is>
      </c>
      <c r="D1510" t="inlineStr">
        <is>
          <t>BlackRock - iShares MSCI Emerging Markets ex China</t>
        </is>
      </c>
      <c r="E1510" t="inlineStr">
        <is>
          <t>Inv MM$</t>
        </is>
      </c>
      <c r="F1510" t="n">
        <v>24.880024</v>
      </c>
    </row>
    <row r="1511">
      <c r="A1511" t="inlineStr">
        <is>
          <t>202606</t>
        </is>
      </c>
      <c r="B1511" t="inlineStr">
        <is>
          <t>Actual</t>
        </is>
      </c>
      <c r="C1511" t="inlineStr">
        <is>
          <t>Ex_Integra</t>
        </is>
      </c>
      <c r="D1511" t="inlineStr">
        <is>
          <t>BlackRock - iShares MSCI Peru</t>
        </is>
      </c>
      <c r="E1511" t="inlineStr">
        <is>
          <t>Huella</t>
        </is>
      </c>
      <c r="F1511" t="n">
        <v>4784.494795</v>
      </c>
    </row>
    <row r="1512">
      <c r="A1512" t="inlineStr">
        <is>
          <t>202606</t>
        </is>
      </c>
      <c r="B1512" t="inlineStr">
        <is>
          <t>Actual</t>
        </is>
      </c>
      <c r="C1512" t="inlineStr">
        <is>
          <t>Ex_Integra</t>
        </is>
      </c>
      <c r="D1512" t="inlineStr">
        <is>
          <t>BlackRock - iShares MSCI Peru</t>
        </is>
      </c>
      <c r="E1512" t="inlineStr">
        <is>
          <t>Intensidad</t>
        </is>
      </c>
      <c r="F1512" t="n">
        <v>0.774004</v>
      </c>
    </row>
    <row r="1513">
      <c r="A1513" t="inlineStr">
        <is>
          <t>202606</t>
        </is>
      </c>
      <c r="B1513" t="inlineStr">
        <is>
          <t>Actual</t>
        </is>
      </c>
      <c r="C1513" t="inlineStr">
        <is>
          <t>Ex_Integra</t>
        </is>
      </c>
      <c r="D1513" t="inlineStr">
        <is>
          <t>BlackRock - iShares MSCI Peru</t>
        </is>
      </c>
      <c r="E1513" t="inlineStr">
        <is>
          <t>Inv MM$</t>
        </is>
      </c>
      <c r="F1513" t="n">
        <v>233.434214</v>
      </c>
    </row>
    <row r="1514">
      <c r="A1514" t="inlineStr">
        <is>
          <t>202606</t>
        </is>
      </c>
      <c r="B1514" t="inlineStr">
        <is>
          <t>Actual</t>
        </is>
      </c>
      <c r="C1514" t="inlineStr">
        <is>
          <t>Ex_Integra</t>
        </is>
      </c>
      <c r="D1514" t="inlineStr">
        <is>
          <t>BlackRock - iShares PHLX Semiconductor ETF</t>
        </is>
      </c>
      <c r="E1514" t="inlineStr">
        <is>
          <t>Huella</t>
        </is>
      </c>
      <c r="F1514" t="n">
        <v>9995.990845</v>
      </c>
    </row>
    <row r="1515">
      <c r="A1515" t="inlineStr">
        <is>
          <t>202606</t>
        </is>
      </c>
      <c r="B1515" t="inlineStr">
        <is>
          <t>Actual</t>
        </is>
      </c>
      <c r="C1515" t="inlineStr">
        <is>
          <t>Ex_Integra</t>
        </is>
      </c>
      <c r="D1515" t="inlineStr">
        <is>
          <t>BlackRock - iShares PHLX Semiconductor ETF</t>
        </is>
      </c>
      <c r="E1515" t="inlineStr">
        <is>
          <t>Intensidad</t>
        </is>
      </c>
      <c r="F1515" t="n">
        <v>1.489467</v>
      </c>
    </row>
    <row r="1516">
      <c r="A1516" t="inlineStr">
        <is>
          <t>202606</t>
        </is>
      </c>
      <c r="B1516" t="inlineStr">
        <is>
          <t>Actual</t>
        </is>
      </c>
      <c r="C1516" t="inlineStr">
        <is>
          <t>Ex_Integra</t>
        </is>
      </c>
      <c r="D1516" t="inlineStr">
        <is>
          <t>BlackRock - iShares PHLX Semiconductor ETF</t>
        </is>
      </c>
      <c r="E1516" t="inlineStr">
        <is>
          <t>Inv MM$</t>
        </is>
      </c>
      <c r="F1516" t="n">
        <v>1002.876787</v>
      </c>
    </row>
    <row r="1517">
      <c r="A1517" t="inlineStr">
        <is>
          <t>202606</t>
        </is>
      </c>
      <c r="B1517" t="inlineStr">
        <is>
          <t>Actual</t>
        </is>
      </c>
      <c r="C1517" t="inlineStr">
        <is>
          <t>Ex_Integra</t>
        </is>
      </c>
      <c r="D1517" t="inlineStr">
        <is>
          <t>BlackRock - iShares S&amp;P NA Technology-Software Fund</t>
        </is>
      </c>
      <c r="E1517" t="inlineStr">
        <is>
          <t>Huella</t>
        </is>
      </c>
      <c r="F1517" t="n">
        <v>18.772567</v>
      </c>
    </row>
    <row r="1518">
      <c r="A1518" t="inlineStr">
        <is>
          <t>202606</t>
        </is>
      </c>
      <c r="B1518" t="inlineStr">
        <is>
          <t>Actual</t>
        </is>
      </c>
      <c r="C1518" t="inlineStr">
        <is>
          <t>Ex_Integra</t>
        </is>
      </c>
      <c r="D1518" t="inlineStr">
        <is>
          <t>BlackRock - iShares S&amp;P NA Technology-Software Fund</t>
        </is>
      </c>
      <c r="E1518" t="inlineStr">
        <is>
          <t>Intensidad</t>
        </is>
      </c>
      <c r="F1518" t="n">
        <v>0.005281</v>
      </c>
    </row>
    <row r="1519">
      <c r="A1519" t="inlineStr">
        <is>
          <t>202606</t>
        </is>
      </c>
      <c r="B1519" t="inlineStr">
        <is>
          <t>Actual</t>
        </is>
      </c>
      <c r="C1519" t="inlineStr">
        <is>
          <t>Ex_Integra</t>
        </is>
      </c>
      <c r="D1519" t="inlineStr">
        <is>
          <t>BlackRock - iShares S&amp;P NA Technology-Software Fund</t>
        </is>
      </c>
      <c r="E1519" t="inlineStr">
        <is>
          <t>Inv MM$</t>
        </is>
      </c>
      <c r="F1519" t="n">
        <v>10.108091</v>
      </c>
    </row>
    <row r="1520">
      <c r="A1520" t="inlineStr">
        <is>
          <t>202606</t>
        </is>
      </c>
      <c r="B1520" t="inlineStr">
        <is>
          <t>Actual</t>
        </is>
      </c>
      <c r="C1520" t="inlineStr">
        <is>
          <t>Ex_Integra</t>
        </is>
      </c>
      <c r="D1520" t="inlineStr">
        <is>
          <t>BlackRock - iShares US Oil &amp; Gas Exploration and Production</t>
        </is>
      </c>
      <c r="E1520" t="inlineStr">
        <is>
          <t>Huella</t>
        </is>
      </c>
      <c r="F1520" t="n">
        <v>0.025476</v>
      </c>
    </row>
    <row r="1521">
      <c r="A1521" t="inlineStr">
        <is>
          <t>202606</t>
        </is>
      </c>
      <c r="B1521" t="inlineStr">
        <is>
          <t>Actual</t>
        </is>
      </c>
      <c r="C1521" t="inlineStr">
        <is>
          <t>Ex_Integra</t>
        </is>
      </c>
      <c r="D1521" t="inlineStr">
        <is>
          <t>BlackRock - iShares US Oil &amp; Gas Exploration and Production</t>
        </is>
      </c>
      <c r="E1521" t="inlineStr">
        <is>
          <t>Intensidad</t>
        </is>
      </c>
      <c r="F1521" t="n">
        <v>2e-06</v>
      </c>
    </row>
    <row r="1522">
      <c r="A1522" t="inlineStr">
        <is>
          <t>202606</t>
        </is>
      </c>
      <c r="B1522" t="inlineStr">
        <is>
          <t>Actual</t>
        </is>
      </c>
      <c r="C1522" t="inlineStr">
        <is>
          <t>Ex_Integra</t>
        </is>
      </c>
      <c r="D1522" t="inlineStr">
        <is>
          <t>BlackRock - iShares US Oil &amp; Gas Exploration and Production</t>
        </is>
      </c>
      <c r="E1522" t="inlineStr">
        <is>
          <t>Inv MM$</t>
        </is>
      </c>
      <c r="F1522" t="n">
        <v>0.000105</v>
      </c>
    </row>
    <row r="1523">
      <c r="A1523" t="inlineStr">
        <is>
          <t>202606</t>
        </is>
      </c>
      <c r="B1523" t="inlineStr">
        <is>
          <t>Actual</t>
        </is>
      </c>
      <c r="C1523" t="inlineStr">
        <is>
          <t>Ex_Integra</t>
        </is>
      </c>
      <c r="D1523" t="inlineStr">
        <is>
          <t>BlackRock - iShares iBoxx High Yield Corporate Bond</t>
        </is>
      </c>
      <c r="E1523" t="inlineStr">
        <is>
          <t>Huella</t>
        </is>
      </c>
      <c r="F1523" t="n">
        <v>10603.834753</v>
      </c>
    </row>
    <row r="1524">
      <c r="A1524" t="inlineStr">
        <is>
          <t>202606</t>
        </is>
      </c>
      <c r="B1524" t="inlineStr">
        <is>
          <t>Actual</t>
        </is>
      </c>
      <c r="C1524" t="inlineStr">
        <is>
          <t>Ex_Integra</t>
        </is>
      </c>
      <c r="D1524" t="inlineStr">
        <is>
          <t>BlackRock - iShares iBoxx High Yield Corporate Bond</t>
        </is>
      </c>
      <c r="E1524" t="inlineStr">
        <is>
          <t>Intensidad</t>
        </is>
      </c>
      <c r="F1524" t="n">
        <v>2.616571</v>
      </c>
    </row>
    <row r="1525">
      <c r="A1525" t="inlineStr">
        <is>
          <t>202606</t>
        </is>
      </c>
      <c r="B1525" t="inlineStr">
        <is>
          <t>Actual</t>
        </is>
      </c>
      <c r="C1525" t="inlineStr">
        <is>
          <t>Ex_Integra</t>
        </is>
      </c>
      <c r="D1525" t="inlineStr">
        <is>
          <t>BlackRock - iShares iBoxx High Yield Corporate Bond</t>
        </is>
      </c>
      <c r="E1525" t="inlineStr">
        <is>
          <t>Inv MM$</t>
        </is>
      </c>
      <c r="F1525" t="n">
        <v>110.35425</v>
      </c>
    </row>
    <row r="1526">
      <c r="A1526" t="inlineStr">
        <is>
          <t>202606</t>
        </is>
      </c>
      <c r="B1526" t="inlineStr">
        <is>
          <t>Actual</t>
        </is>
      </c>
      <c r="C1526" t="inlineStr">
        <is>
          <t>Ex_Integra</t>
        </is>
      </c>
      <c r="D1526" t="inlineStr">
        <is>
          <t>BlueBay - EM Debt Unconstrained</t>
        </is>
      </c>
      <c r="E1526" t="inlineStr">
        <is>
          <t>Huella</t>
        </is>
      </c>
      <c r="F1526" t="n">
        <v>7576.110466</v>
      </c>
    </row>
    <row r="1527">
      <c r="A1527" t="inlineStr">
        <is>
          <t>202606</t>
        </is>
      </c>
      <c r="B1527" t="inlineStr">
        <is>
          <t>Actual</t>
        </is>
      </c>
      <c r="C1527" t="inlineStr">
        <is>
          <t>Ex_Integra</t>
        </is>
      </c>
      <c r="D1527" t="inlineStr">
        <is>
          <t>BlueBay - EM Debt Unconstrained</t>
        </is>
      </c>
      <c r="E1527" t="inlineStr">
        <is>
          <t>Intensidad</t>
        </is>
      </c>
      <c r="F1527" t="n">
        <v>2.047298</v>
      </c>
    </row>
    <row r="1528">
      <c r="A1528" t="inlineStr">
        <is>
          <t>202606</t>
        </is>
      </c>
      <c r="B1528" t="inlineStr">
        <is>
          <t>Actual</t>
        </is>
      </c>
      <c r="C1528" t="inlineStr">
        <is>
          <t>Ex_Integra</t>
        </is>
      </c>
      <c r="D1528" t="inlineStr">
        <is>
          <t>BlueBay - EM Debt Unconstrained</t>
        </is>
      </c>
      <c r="E1528" t="inlineStr">
        <is>
          <t>Inv MM$</t>
        </is>
      </c>
      <c r="F1528" t="n">
        <v>27.771361</v>
      </c>
    </row>
    <row r="1529">
      <c r="A1529" t="inlineStr">
        <is>
          <t>202606</t>
        </is>
      </c>
      <c r="B1529" t="inlineStr">
        <is>
          <t>Actual</t>
        </is>
      </c>
      <c r="C1529" t="inlineStr">
        <is>
          <t>Ex_Integra</t>
        </is>
      </c>
      <c r="D1529" t="inlineStr">
        <is>
          <t>BlueBay - Financial Capital Bond - U</t>
        </is>
      </c>
      <c r="E1529" t="inlineStr">
        <is>
          <t>Huella</t>
        </is>
      </c>
      <c r="F1529" t="n">
        <v>0.922435</v>
      </c>
    </row>
    <row r="1530">
      <c r="A1530" t="inlineStr">
        <is>
          <t>202606</t>
        </is>
      </c>
      <c r="B1530" t="inlineStr">
        <is>
          <t>Actual</t>
        </is>
      </c>
      <c r="C1530" t="inlineStr">
        <is>
          <t>Ex_Integra</t>
        </is>
      </c>
      <c r="D1530" t="inlineStr">
        <is>
          <t>BlueBay - Financial Capital Bond - U</t>
        </is>
      </c>
      <c r="E1530" t="inlineStr">
        <is>
          <t>Intensidad</t>
        </is>
      </c>
      <c r="F1530" t="n">
        <v>0.000249</v>
      </c>
    </row>
    <row r="1531">
      <c r="A1531" t="inlineStr">
        <is>
          <t>202606</t>
        </is>
      </c>
      <c r="B1531" t="inlineStr">
        <is>
          <t>Actual</t>
        </is>
      </c>
      <c r="C1531" t="inlineStr">
        <is>
          <t>Ex_Integra</t>
        </is>
      </c>
      <c r="D1531" t="inlineStr">
        <is>
          <t>BlueBay - Financial Capital Bond - U</t>
        </is>
      </c>
      <c r="E1531" t="inlineStr">
        <is>
          <t>Inv MM$</t>
        </is>
      </c>
      <c r="F1531" t="n">
        <v>2.049353</v>
      </c>
    </row>
    <row r="1532">
      <c r="A1532" t="inlineStr">
        <is>
          <t>202606</t>
        </is>
      </c>
      <c r="B1532" t="inlineStr">
        <is>
          <t>Actual</t>
        </is>
      </c>
      <c r="C1532" t="inlineStr">
        <is>
          <t>Ex_Integra</t>
        </is>
      </c>
      <c r="D1532" t="inlineStr">
        <is>
          <t>Buenaventura*</t>
        </is>
      </c>
      <c r="E1532" t="inlineStr">
        <is>
          <t>Huella</t>
        </is>
      </c>
      <c r="F1532" t="n">
        <v>23558.223032</v>
      </c>
    </row>
    <row r="1533">
      <c r="A1533" t="inlineStr">
        <is>
          <t>202606</t>
        </is>
      </c>
      <c r="B1533" t="inlineStr">
        <is>
          <t>Actual</t>
        </is>
      </c>
      <c r="C1533" t="inlineStr">
        <is>
          <t>Ex_Integra</t>
        </is>
      </c>
      <c r="D1533" t="inlineStr">
        <is>
          <t>Buenaventura*</t>
        </is>
      </c>
      <c r="E1533" t="inlineStr">
        <is>
          <t>Intensidad</t>
        </is>
      </c>
      <c r="F1533" t="n">
        <v>3.070798</v>
      </c>
    </row>
    <row r="1534">
      <c r="A1534" t="inlineStr">
        <is>
          <t>202606</t>
        </is>
      </c>
      <c r="B1534" t="inlineStr">
        <is>
          <t>Actual</t>
        </is>
      </c>
      <c r="C1534" t="inlineStr">
        <is>
          <t>Ex_Integra</t>
        </is>
      </c>
      <c r="D1534" t="inlineStr">
        <is>
          <t>Buenaventura*</t>
        </is>
      </c>
      <c r="E1534" t="inlineStr">
        <is>
          <t>Inv MM$</t>
        </is>
      </c>
      <c r="F1534" t="n">
        <v>733.215781</v>
      </c>
    </row>
    <row r="1535">
      <c r="A1535" t="inlineStr">
        <is>
          <t>202606</t>
        </is>
      </c>
      <c r="B1535" t="inlineStr">
        <is>
          <t>Actual</t>
        </is>
      </c>
      <c r="C1535" t="inlineStr">
        <is>
          <t>Ex_Integra</t>
        </is>
      </c>
      <c r="D1535" t="inlineStr">
        <is>
          <t>COFIDE**</t>
        </is>
      </c>
      <c r="E1535" t="inlineStr">
        <is>
          <t>Huella</t>
        </is>
      </c>
      <c r="F1535" t="n">
        <v>0.002904</v>
      </c>
    </row>
    <row r="1536">
      <c r="A1536" t="inlineStr">
        <is>
          <t>202606</t>
        </is>
      </c>
      <c r="B1536" t="inlineStr">
        <is>
          <t>Actual</t>
        </is>
      </c>
      <c r="C1536" t="inlineStr">
        <is>
          <t>Ex_Integra</t>
        </is>
      </c>
      <c r="D1536" t="inlineStr">
        <is>
          <t>COFIDE**</t>
        </is>
      </c>
      <c r="E1536" t="inlineStr">
        <is>
          <t>Intensidad</t>
        </is>
      </c>
      <c r="F1536" t="n">
        <v>0</v>
      </c>
    </row>
    <row r="1537">
      <c r="A1537" t="inlineStr">
        <is>
          <t>202606</t>
        </is>
      </c>
      <c r="B1537" t="inlineStr">
        <is>
          <t>Actual</t>
        </is>
      </c>
      <c r="C1537" t="inlineStr">
        <is>
          <t>Ex_Integra</t>
        </is>
      </c>
      <c r="D1537" t="inlineStr">
        <is>
          <t>COFIDE**</t>
        </is>
      </c>
      <c r="E1537" t="inlineStr">
        <is>
          <t>Inv MM$</t>
        </is>
      </c>
      <c r="F1537" t="n">
        <v>0.058081</v>
      </c>
    </row>
    <row r="1538">
      <c r="A1538" t="inlineStr">
        <is>
          <t>202606</t>
        </is>
      </c>
      <c r="B1538" t="inlineStr">
        <is>
          <t>Actual</t>
        </is>
      </c>
      <c r="C1538" t="inlineStr">
        <is>
          <t>Ex_Integra</t>
        </is>
      </c>
      <c r="D1538" t="inlineStr">
        <is>
          <t>Calidda*</t>
        </is>
      </c>
      <c r="E1538" t="inlineStr">
        <is>
          <t>Huella</t>
        </is>
      </c>
      <c r="F1538" t="n">
        <v>0.602236</v>
      </c>
    </row>
    <row r="1539">
      <c r="A1539" t="inlineStr">
        <is>
          <t>202606</t>
        </is>
      </c>
      <c r="B1539" t="inlineStr">
        <is>
          <t>Actual</t>
        </is>
      </c>
      <c r="C1539" t="inlineStr">
        <is>
          <t>Ex_Integra</t>
        </is>
      </c>
      <c r="D1539" t="inlineStr">
        <is>
          <t>Calidda*</t>
        </is>
      </c>
      <c r="E1539" t="inlineStr">
        <is>
          <t>Intensidad</t>
        </is>
      </c>
      <c r="F1539" t="n">
        <v>4.3e-05</v>
      </c>
    </row>
    <row r="1540">
      <c r="A1540" t="inlineStr">
        <is>
          <t>202606</t>
        </is>
      </c>
      <c r="B1540" t="inlineStr">
        <is>
          <t>Actual</t>
        </is>
      </c>
      <c r="C1540" t="inlineStr">
        <is>
          <t>Ex_Integra</t>
        </is>
      </c>
      <c r="D1540" t="inlineStr">
        <is>
          <t>Calidda*</t>
        </is>
      </c>
      <c r="E1540" t="inlineStr">
        <is>
          <t>Inv MM$</t>
        </is>
      </c>
      <c r="F1540" t="n">
        <v>0.025219</v>
      </c>
    </row>
    <row r="1541">
      <c r="A1541" t="inlineStr">
        <is>
          <t>202606</t>
        </is>
      </c>
      <c r="B1541" t="inlineStr">
        <is>
          <t>Actual</t>
        </is>
      </c>
      <c r="C1541" t="inlineStr">
        <is>
          <t>Ex_Integra</t>
        </is>
      </c>
      <c r="D1541" t="inlineStr">
        <is>
          <t>Candriam - Bonds Emerging Markets</t>
        </is>
      </c>
      <c r="E1541" t="inlineStr">
        <is>
          <t>Huella</t>
        </is>
      </c>
      <c r="F1541" t="n">
        <v>0.501145</v>
      </c>
    </row>
    <row r="1542">
      <c r="A1542" t="inlineStr">
        <is>
          <t>202606</t>
        </is>
      </c>
      <c r="B1542" t="inlineStr">
        <is>
          <t>Actual</t>
        </is>
      </c>
      <c r="C1542" t="inlineStr">
        <is>
          <t>Ex_Integra</t>
        </is>
      </c>
      <c r="D1542" t="inlineStr">
        <is>
          <t>Candriam - Bonds Emerging Markets</t>
        </is>
      </c>
      <c r="E1542" t="inlineStr">
        <is>
          <t>Intensidad</t>
        </is>
      </c>
      <c r="F1542" t="n">
        <v>8.899999999999999e-05</v>
      </c>
    </row>
    <row r="1543">
      <c r="A1543" t="inlineStr">
        <is>
          <t>202606</t>
        </is>
      </c>
      <c r="B1543" t="inlineStr">
        <is>
          <t>Actual</t>
        </is>
      </c>
      <c r="C1543" t="inlineStr">
        <is>
          <t>Ex_Integra</t>
        </is>
      </c>
      <c r="D1543" t="inlineStr">
        <is>
          <t>Candriam - Bonds Emerging Markets</t>
        </is>
      </c>
      <c r="E1543" t="inlineStr">
        <is>
          <t>Inv MM$</t>
        </is>
      </c>
      <c r="F1543" t="n">
        <v>0.005815</v>
      </c>
    </row>
    <row r="1544">
      <c r="A1544" t="inlineStr">
        <is>
          <t>202606</t>
        </is>
      </c>
      <c r="B1544" t="inlineStr">
        <is>
          <t>Actual</t>
        </is>
      </c>
      <c r="C1544" t="inlineStr">
        <is>
          <t>Ex_Integra</t>
        </is>
      </c>
      <c r="D1544" t="inlineStr">
        <is>
          <t>Candriam Bonds - Global High Yield</t>
        </is>
      </c>
      <c r="E1544" t="inlineStr">
        <is>
          <t>Huella</t>
        </is>
      </c>
      <c r="F1544" t="n">
        <v>3507.538573</v>
      </c>
    </row>
    <row r="1545">
      <c r="A1545" t="inlineStr">
        <is>
          <t>202606</t>
        </is>
      </c>
      <c r="B1545" t="inlineStr">
        <is>
          <t>Actual</t>
        </is>
      </c>
      <c r="C1545" t="inlineStr">
        <is>
          <t>Ex_Integra</t>
        </is>
      </c>
      <c r="D1545" t="inlineStr">
        <is>
          <t>Candriam Bonds - Global High Yield</t>
        </is>
      </c>
      <c r="E1545" t="inlineStr">
        <is>
          <t>Intensidad</t>
        </is>
      </c>
      <c r="F1545" t="n">
        <v>0.594408</v>
      </c>
    </row>
    <row r="1546">
      <c r="A1546" t="inlineStr">
        <is>
          <t>202606</t>
        </is>
      </c>
      <c r="B1546" t="inlineStr">
        <is>
          <t>Actual</t>
        </is>
      </c>
      <c r="C1546" t="inlineStr">
        <is>
          <t>Ex_Integra</t>
        </is>
      </c>
      <c r="D1546" t="inlineStr">
        <is>
          <t>Candriam Bonds - Global High Yield</t>
        </is>
      </c>
      <c r="E1546" t="inlineStr">
        <is>
          <t>Inv MM$</t>
        </is>
      </c>
      <c r="F1546" t="n">
        <v>34.307707</v>
      </c>
    </row>
    <row r="1547">
      <c r="A1547" t="inlineStr">
        <is>
          <t>202606</t>
        </is>
      </c>
      <c r="B1547" t="inlineStr">
        <is>
          <t>Actual</t>
        </is>
      </c>
      <c r="C1547" t="inlineStr">
        <is>
          <t>Ex_Integra</t>
        </is>
      </c>
      <c r="D1547" t="inlineStr">
        <is>
          <t>Colchester Local Markets Bond Fund USD Unhedged</t>
        </is>
      </c>
      <c r="E1547" t="inlineStr">
        <is>
          <t>Huella</t>
        </is>
      </c>
      <c r="F1547" t="n">
        <v>14057.296483</v>
      </c>
    </row>
    <row r="1548">
      <c r="A1548" t="inlineStr">
        <is>
          <t>202606</t>
        </is>
      </c>
      <c r="B1548" t="inlineStr">
        <is>
          <t>Actual</t>
        </is>
      </c>
      <c r="C1548" t="inlineStr">
        <is>
          <t>Ex_Integra</t>
        </is>
      </c>
      <c r="D1548" t="inlineStr">
        <is>
          <t>Colchester Local Markets Bond Fund USD Unhedged</t>
        </is>
      </c>
      <c r="E1548" t="inlineStr">
        <is>
          <t>Intensidad</t>
        </is>
      </c>
      <c r="F1548" t="n">
        <v>3.798712</v>
      </c>
    </row>
    <row r="1549">
      <c r="A1549" t="inlineStr">
        <is>
          <t>202606</t>
        </is>
      </c>
      <c r="B1549" t="inlineStr">
        <is>
          <t>Actual</t>
        </is>
      </c>
      <c r="C1549" t="inlineStr">
        <is>
          <t>Ex_Integra</t>
        </is>
      </c>
      <c r="D1549" t="inlineStr">
        <is>
          <t>Colchester Local Markets Bond Fund USD Unhedged</t>
        </is>
      </c>
      <c r="E1549" t="inlineStr">
        <is>
          <t>Inv MM$</t>
        </is>
      </c>
      <c r="F1549" t="n">
        <v>18.771015</v>
      </c>
    </row>
    <row r="1550">
      <c r="A1550" t="inlineStr">
        <is>
          <t>202606</t>
        </is>
      </c>
      <c r="B1550" t="inlineStr">
        <is>
          <t>Actual</t>
        </is>
      </c>
      <c r="C1550" t="inlineStr">
        <is>
          <t>Ex_Integra</t>
        </is>
      </c>
      <c r="D1550" t="inlineStr">
        <is>
          <t>Comgest - Japan Growth</t>
        </is>
      </c>
      <c r="E1550" t="inlineStr">
        <is>
          <t>Huella</t>
        </is>
      </c>
      <c r="F1550" t="n">
        <v>17.482331</v>
      </c>
    </row>
    <row r="1551">
      <c r="A1551" t="inlineStr">
        <is>
          <t>202606</t>
        </is>
      </c>
      <c r="B1551" t="inlineStr">
        <is>
          <t>Actual</t>
        </is>
      </c>
      <c r="C1551" t="inlineStr">
        <is>
          <t>Ex_Integra</t>
        </is>
      </c>
      <c r="D1551" t="inlineStr">
        <is>
          <t>Comgest - Japan Growth</t>
        </is>
      </c>
      <c r="E1551" t="inlineStr">
        <is>
          <t>Intensidad</t>
        </is>
      </c>
      <c r="F1551" t="n">
        <v>0.001252</v>
      </c>
    </row>
    <row r="1552">
      <c r="A1552" t="inlineStr">
        <is>
          <t>202606</t>
        </is>
      </c>
      <c r="B1552" t="inlineStr">
        <is>
          <t>Actual</t>
        </is>
      </c>
      <c r="C1552" t="inlineStr">
        <is>
          <t>Ex_Integra</t>
        </is>
      </c>
      <c r="D1552" t="inlineStr">
        <is>
          <t>Comgest - Japan Growth</t>
        </is>
      </c>
      <c r="E1552" t="inlineStr">
        <is>
          <t>Inv MM$</t>
        </is>
      </c>
      <c r="F1552" t="n">
        <v>1.411363</v>
      </c>
    </row>
    <row r="1553">
      <c r="A1553" t="inlineStr">
        <is>
          <t>202606</t>
        </is>
      </c>
      <c r="B1553" t="inlineStr">
        <is>
          <t>Actual</t>
        </is>
      </c>
      <c r="C1553" t="inlineStr">
        <is>
          <t>Ex_Integra</t>
        </is>
      </c>
      <c r="D1553" t="inlineStr">
        <is>
          <t>Comgest- Europe Opportunities Fund</t>
        </is>
      </c>
      <c r="E1553" t="inlineStr">
        <is>
          <t>Huella</t>
        </is>
      </c>
      <c r="F1553" t="n">
        <v>0.253234</v>
      </c>
    </row>
    <row r="1554">
      <c r="A1554" t="inlineStr">
        <is>
          <t>202606</t>
        </is>
      </c>
      <c r="B1554" t="inlineStr">
        <is>
          <t>Actual</t>
        </is>
      </c>
      <c r="C1554" t="inlineStr">
        <is>
          <t>Ex_Integra</t>
        </is>
      </c>
      <c r="D1554" t="inlineStr">
        <is>
          <t>Comgest- Europe Opportunities Fund</t>
        </is>
      </c>
      <c r="E1554" t="inlineStr">
        <is>
          <t>Intensidad</t>
        </is>
      </c>
      <c r="F1554" t="n">
        <v>1.8e-05</v>
      </c>
    </row>
    <row r="1555">
      <c r="A1555" t="inlineStr">
        <is>
          <t>202606</t>
        </is>
      </c>
      <c r="B1555" t="inlineStr">
        <is>
          <t>Actual</t>
        </is>
      </c>
      <c r="C1555" t="inlineStr">
        <is>
          <t>Ex_Integra</t>
        </is>
      </c>
      <c r="D1555" t="inlineStr">
        <is>
          <t>Comgest- Europe Opportunities Fund</t>
        </is>
      </c>
      <c r="E1555" t="inlineStr">
        <is>
          <t>Inv MM$</t>
        </is>
      </c>
      <c r="F1555" t="n">
        <v>0.025106</v>
      </c>
    </row>
    <row r="1556">
      <c r="A1556" t="inlineStr">
        <is>
          <t>202606</t>
        </is>
      </c>
      <c r="B1556" t="inlineStr">
        <is>
          <t>Actual</t>
        </is>
      </c>
      <c r="C1556" t="inlineStr">
        <is>
          <t>Ex_Integra</t>
        </is>
      </c>
      <c r="D1556" t="inlineStr">
        <is>
          <t>Comisión Federal de Electricidad</t>
        </is>
      </c>
      <c r="E1556" t="inlineStr">
        <is>
          <t>Huella</t>
        </is>
      </c>
      <c r="F1556" t="n">
        <v>0.149738</v>
      </c>
    </row>
    <row r="1557">
      <c r="A1557" t="inlineStr">
        <is>
          <t>202606</t>
        </is>
      </c>
      <c r="B1557" t="inlineStr">
        <is>
          <t>Actual</t>
        </is>
      </c>
      <c r="C1557" t="inlineStr">
        <is>
          <t>Ex_Integra</t>
        </is>
      </c>
      <c r="D1557" t="inlineStr">
        <is>
          <t>Comisión Federal de Electricidad</t>
        </is>
      </c>
      <c r="E1557" t="inlineStr">
        <is>
          <t>Intensidad</t>
        </is>
      </c>
      <c r="F1557" t="n">
        <v>1.1e-05</v>
      </c>
    </row>
    <row r="1558">
      <c r="A1558" t="inlineStr">
        <is>
          <t>202606</t>
        </is>
      </c>
      <c r="B1558" t="inlineStr">
        <is>
          <t>Actual</t>
        </is>
      </c>
      <c r="C1558" t="inlineStr">
        <is>
          <t>Ex_Integra</t>
        </is>
      </c>
      <c r="D1558" t="inlineStr">
        <is>
          <t>Comisión Federal de Electricidad</t>
        </is>
      </c>
      <c r="E1558" t="inlineStr">
        <is>
          <t>Inv MM$</t>
        </is>
      </c>
      <c r="F1558" t="n">
        <v>0.000167</v>
      </c>
    </row>
    <row r="1559">
      <c r="A1559" t="inlineStr">
        <is>
          <t>202606</t>
        </is>
      </c>
      <c r="B1559" t="inlineStr">
        <is>
          <t>Actual</t>
        </is>
      </c>
      <c r="C1559" t="inlineStr">
        <is>
          <t>Ex_Integra</t>
        </is>
      </c>
      <c r="D1559" t="inlineStr">
        <is>
          <t>Credicorp*</t>
        </is>
      </c>
      <c r="E1559" t="inlineStr">
        <is>
          <t>Huella</t>
        </is>
      </c>
      <c r="F1559" t="n">
        <v>409.753137</v>
      </c>
    </row>
    <row r="1560">
      <c r="A1560" t="inlineStr">
        <is>
          <t>202606</t>
        </is>
      </c>
      <c r="B1560" t="inlineStr">
        <is>
          <t>Actual</t>
        </is>
      </c>
      <c r="C1560" t="inlineStr">
        <is>
          <t>Ex_Integra</t>
        </is>
      </c>
      <c r="D1560" t="inlineStr">
        <is>
          <t>Credicorp*</t>
        </is>
      </c>
      <c r="E1560" t="inlineStr">
        <is>
          <t>Intensidad</t>
        </is>
      </c>
      <c r="F1560" t="n">
        <v>0.052736</v>
      </c>
    </row>
    <row r="1561">
      <c r="A1561" t="inlineStr">
        <is>
          <t>202606</t>
        </is>
      </c>
      <c r="B1561" t="inlineStr">
        <is>
          <t>Actual</t>
        </is>
      </c>
      <c r="C1561" t="inlineStr">
        <is>
          <t>Ex_Integra</t>
        </is>
      </c>
      <c r="D1561" t="inlineStr">
        <is>
          <t>Credicorp*</t>
        </is>
      </c>
      <c r="E1561" t="inlineStr">
        <is>
          <t>Inv MM$</t>
        </is>
      </c>
      <c r="F1561" t="n">
        <v>871.815185</v>
      </c>
    </row>
    <row r="1562">
      <c r="A1562" t="inlineStr">
        <is>
          <t>202606</t>
        </is>
      </c>
      <c r="B1562" t="inlineStr">
        <is>
          <t>Actual</t>
        </is>
      </c>
      <c r="C1562" t="inlineStr">
        <is>
          <t>Ex_Integra</t>
        </is>
      </c>
      <c r="D1562" t="inlineStr">
        <is>
          <t>DPAM L - EM  Sustainable Debt</t>
        </is>
      </c>
      <c r="E1562" t="inlineStr">
        <is>
          <t>Huella</t>
        </is>
      </c>
      <c r="F1562" t="n">
        <v>9.857416000000001</v>
      </c>
    </row>
    <row r="1563">
      <c r="A1563" t="inlineStr">
        <is>
          <t>202606</t>
        </is>
      </c>
      <c r="B1563" t="inlineStr">
        <is>
          <t>Actual</t>
        </is>
      </c>
      <c r="C1563" t="inlineStr">
        <is>
          <t>Ex_Integra</t>
        </is>
      </c>
      <c r="D1563" t="inlineStr">
        <is>
          <t>DPAM L - EM  Sustainable Debt</t>
        </is>
      </c>
      <c r="E1563" t="inlineStr">
        <is>
          <t>Intensidad</t>
        </is>
      </c>
      <c r="F1563" t="n">
        <v>0.001602</v>
      </c>
    </row>
    <row r="1564">
      <c r="A1564" t="inlineStr">
        <is>
          <t>202606</t>
        </is>
      </c>
      <c r="B1564" t="inlineStr">
        <is>
          <t>Actual</t>
        </is>
      </c>
      <c r="C1564" t="inlineStr">
        <is>
          <t>Ex_Integra</t>
        </is>
      </c>
      <c r="D1564" t="inlineStr">
        <is>
          <t>DPAM L - EM  Sustainable Debt</t>
        </is>
      </c>
      <c r="E1564" t="inlineStr">
        <is>
          <t>Inv MM$</t>
        </is>
      </c>
      <c r="F1564" t="n">
        <v>47.358726</v>
      </c>
    </row>
    <row r="1565">
      <c r="A1565" t="inlineStr">
        <is>
          <t>202606</t>
        </is>
      </c>
      <c r="B1565" t="inlineStr">
        <is>
          <t>Actual</t>
        </is>
      </c>
      <c r="C1565" t="inlineStr">
        <is>
          <t>Ex_Integra</t>
        </is>
      </c>
      <c r="D1565" t="inlineStr">
        <is>
          <t>DWS - Brazilian Equities</t>
        </is>
      </c>
      <c r="E1565" t="inlineStr">
        <is>
          <t>Huella</t>
        </is>
      </c>
      <c r="F1565" t="n">
        <v>1936.091974</v>
      </c>
    </row>
    <row r="1566">
      <c r="A1566" t="inlineStr">
        <is>
          <t>202606</t>
        </is>
      </c>
      <c r="B1566" t="inlineStr">
        <is>
          <t>Actual</t>
        </is>
      </c>
      <c r="C1566" t="inlineStr">
        <is>
          <t>Ex_Integra</t>
        </is>
      </c>
      <c r="D1566" t="inlineStr">
        <is>
          <t>DWS - Brazilian Equities</t>
        </is>
      </c>
      <c r="E1566" t="inlineStr">
        <is>
          <t>Intensidad</t>
        </is>
      </c>
      <c r="F1566" t="n">
        <v>0.3311</v>
      </c>
    </row>
    <row r="1567">
      <c r="A1567" t="inlineStr">
        <is>
          <t>202606</t>
        </is>
      </c>
      <c r="B1567" t="inlineStr">
        <is>
          <t>Actual</t>
        </is>
      </c>
      <c r="C1567" t="inlineStr">
        <is>
          <t>Ex_Integra</t>
        </is>
      </c>
      <c r="D1567" t="inlineStr">
        <is>
          <t>DWS - Brazilian Equities</t>
        </is>
      </c>
      <c r="E1567" t="inlineStr">
        <is>
          <t>Inv MM$</t>
        </is>
      </c>
      <c r="F1567" t="n">
        <v>20.233104</v>
      </c>
    </row>
    <row r="1568">
      <c r="A1568" t="inlineStr">
        <is>
          <t>202606</t>
        </is>
      </c>
      <c r="B1568" t="inlineStr">
        <is>
          <t>Actual</t>
        </is>
      </c>
      <c r="C1568" t="inlineStr">
        <is>
          <t>Ex_Integra</t>
        </is>
      </c>
      <c r="D1568" t="inlineStr">
        <is>
          <t>DWS - Invest Global Agribusiness</t>
        </is>
      </c>
      <c r="E1568" t="inlineStr">
        <is>
          <t>Huella</t>
        </is>
      </c>
      <c r="F1568" t="n">
        <v>0.065729</v>
      </c>
    </row>
    <row r="1569">
      <c r="A1569" t="inlineStr">
        <is>
          <t>202606</t>
        </is>
      </c>
      <c r="B1569" t="inlineStr">
        <is>
          <t>Actual</t>
        </is>
      </c>
      <c r="C1569" t="inlineStr">
        <is>
          <t>Ex_Integra</t>
        </is>
      </c>
      <c r="D1569" t="inlineStr">
        <is>
          <t>DWS - Invest Global Agribusiness</t>
        </is>
      </c>
      <c r="E1569" t="inlineStr">
        <is>
          <t>Intensidad</t>
        </is>
      </c>
      <c r="F1569" t="n">
        <v>1.4e-05</v>
      </c>
    </row>
    <row r="1570">
      <c r="A1570" t="inlineStr">
        <is>
          <t>202606</t>
        </is>
      </c>
      <c r="B1570" t="inlineStr">
        <is>
          <t>Actual</t>
        </is>
      </c>
      <c r="C1570" t="inlineStr">
        <is>
          <t>Ex_Integra</t>
        </is>
      </c>
      <c r="D1570" t="inlineStr">
        <is>
          <t>DWS - Invest Global Agribusiness</t>
        </is>
      </c>
      <c r="E1570" t="inlineStr">
        <is>
          <t>Inv MM$</t>
        </is>
      </c>
      <c r="F1570" t="n">
        <v>0.000406</v>
      </c>
    </row>
    <row r="1571">
      <c r="A1571" t="inlineStr">
        <is>
          <t>202606</t>
        </is>
      </c>
      <c r="B1571" t="inlineStr">
        <is>
          <t>Actual</t>
        </is>
      </c>
      <c r="C1571" t="inlineStr">
        <is>
          <t>Ex_Integra</t>
        </is>
      </c>
      <c r="D1571" t="inlineStr">
        <is>
          <t>DWS - Invest Latin American Equities - FC50</t>
        </is>
      </c>
      <c r="E1571" t="inlineStr">
        <is>
          <t>Huella</t>
        </is>
      </c>
      <c r="F1571" t="n">
        <v>2832.340268</v>
      </c>
    </row>
    <row r="1572">
      <c r="A1572" t="inlineStr">
        <is>
          <t>202606</t>
        </is>
      </c>
      <c r="B1572" t="inlineStr">
        <is>
          <t>Actual</t>
        </is>
      </c>
      <c r="C1572" t="inlineStr">
        <is>
          <t>Ex_Integra</t>
        </is>
      </c>
      <c r="D1572" t="inlineStr">
        <is>
          <t>DWS - Invest Latin American Equities - FC50</t>
        </is>
      </c>
      <c r="E1572" t="inlineStr">
        <is>
          <t>Intensidad</t>
        </is>
      </c>
      <c r="F1572" t="n">
        <v>0.436859</v>
      </c>
    </row>
    <row r="1573">
      <c r="A1573" t="inlineStr">
        <is>
          <t>202606</t>
        </is>
      </c>
      <c r="B1573" t="inlineStr">
        <is>
          <t>Actual</t>
        </is>
      </c>
      <c r="C1573" t="inlineStr">
        <is>
          <t>Ex_Integra</t>
        </is>
      </c>
      <c r="D1573" t="inlineStr">
        <is>
          <t>DWS - Invest Latin American Equities - FC50</t>
        </is>
      </c>
      <c r="E1573" t="inlineStr">
        <is>
          <t>Inv MM$</t>
        </is>
      </c>
      <c r="F1573" t="n">
        <v>22.411341</v>
      </c>
    </row>
    <row r="1574">
      <c r="A1574" t="inlineStr">
        <is>
          <t>202606</t>
        </is>
      </c>
      <c r="B1574" t="inlineStr">
        <is>
          <t>Actual</t>
        </is>
      </c>
      <c r="C1574" t="inlineStr">
        <is>
          <t>Ex_Integra</t>
        </is>
      </c>
      <c r="D1574" t="inlineStr">
        <is>
          <t>DWS - Invest Latin American Equities - IC</t>
        </is>
      </c>
      <c r="E1574" t="inlineStr">
        <is>
          <t>Huella</t>
        </is>
      </c>
      <c r="F1574" t="n">
        <v>2169.806688</v>
      </c>
    </row>
    <row r="1575">
      <c r="A1575" t="inlineStr">
        <is>
          <t>202606</t>
        </is>
      </c>
      <c r="B1575" t="inlineStr">
        <is>
          <t>Actual</t>
        </is>
      </c>
      <c r="C1575" t="inlineStr">
        <is>
          <t>Ex_Integra</t>
        </is>
      </c>
      <c r="D1575" t="inlineStr">
        <is>
          <t>DWS - Invest Latin American Equities - IC</t>
        </is>
      </c>
      <c r="E1575" t="inlineStr">
        <is>
          <t>Intensidad</t>
        </is>
      </c>
      <c r="F1575" t="n">
        <v>0.307493</v>
      </c>
    </row>
    <row r="1576">
      <c r="A1576" t="inlineStr">
        <is>
          <t>202606</t>
        </is>
      </c>
      <c r="B1576" t="inlineStr">
        <is>
          <t>Actual</t>
        </is>
      </c>
      <c r="C1576" t="inlineStr">
        <is>
          <t>Ex_Integra</t>
        </is>
      </c>
      <c r="D1576" t="inlineStr">
        <is>
          <t>DWS - Invest Latin American Equities - IC</t>
        </is>
      </c>
      <c r="E1576" t="inlineStr">
        <is>
          <t>Inv MM$</t>
        </is>
      </c>
      <c r="F1576" t="n">
        <v>17.168939</v>
      </c>
    </row>
    <row r="1577">
      <c r="A1577" t="inlineStr">
        <is>
          <t>202606</t>
        </is>
      </c>
      <c r="B1577" t="inlineStr">
        <is>
          <t>Actual</t>
        </is>
      </c>
      <c r="C1577" t="inlineStr">
        <is>
          <t>Ex_Integra</t>
        </is>
      </c>
      <c r="D1577" t="inlineStr">
        <is>
          <t>DWS Invest - Euro High Yield Corporates</t>
        </is>
      </c>
      <c r="E1577" t="inlineStr">
        <is>
          <t>Huella</t>
        </is>
      </c>
      <c r="F1577" t="n">
        <v>0.01694</v>
      </c>
    </row>
    <row r="1578">
      <c r="A1578" t="inlineStr">
        <is>
          <t>202606</t>
        </is>
      </c>
      <c r="B1578" t="inlineStr">
        <is>
          <t>Actual</t>
        </is>
      </c>
      <c r="C1578" t="inlineStr">
        <is>
          <t>Ex_Integra</t>
        </is>
      </c>
      <c r="D1578" t="inlineStr">
        <is>
          <t>DWS Invest - Euro High Yield Corporates</t>
        </is>
      </c>
      <c r="E1578" t="inlineStr">
        <is>
          <t>Intensidad</t>
        </is>
      </c>
      <c r="F1578" t="n">
        <v>5e-06</v>
      </c>
    </row>
    <row r="1579">
      <c r="A1579" t="inlineStr">
        <is>
          <t>202606</t>
        </is>
      </c>
      <c r="B1579" t="inlineStr">
        <is>
          <t>Actual</t>
        </is>
      </c>
      <c r="C1579" t="inlineStr">
        <is>
          <t>Ex_Integra</t>
        </is>
      </c>
      <c r="D1579" t="inlineStr">
        <is>
          <t>DWS Invest - Euro High Yield Corporates</t>
        </is>
      </c>
      <c r="E1579" t="inlineStr">
        <is>
          <t>Inv MM$</t>
        </is>
      </c>
      <c r="F1579" t="n">
        <v>0.000171</v>
      </c>
    </row>
    <row r="1580">
      <c r="A1580" t="inlineStr">
        <is>
          <t>202606</t>
        </is>
      </c>
      <c r="B1580" t="inlineStr">
        <is>
          <t>Actual</t>
        </is>
      </c>
      <c r="C1580" t="inlineStr">
        <is>
          <t>Ex_Integra</t>
        </is>
      </c>
      <c r="D1580" t="inlineStr">
        <is>
          <t>Ecopetrol</t>
        </is>
      </c>
      <c r="E1580" t="inlineStr">
        <is>
          <t>Huella</t>
        </is>
      </c>
      <c r="F1580" t="n">
        <v>14440.099132</v>
      </c>
    </row>
    <row r="1581">
      <c r="A1581" t="inlineStr">
        <is>
          <t>202606</t>
        </is>
      </c>
      <c r="B1581" t="inlineStr">
        <is>
          <t>Actual</t>
        </is>
      </c>
      <c r="C1581" t="inlineStr">
        <is>
          <t>Ex_Integra</t>
        </is>
      </c>
      <c r="D1581" t="inlineStr">
        <is>
          <t>Ecopetrol</t>
        </is>
      </c>
      <c r="E1581" t="inlineStr">
        <is>
          <t>Intensidad</t>
        </is>
      </c>
      <c r="F1581" t="n">
        <v>2.379835</v>
      </c>
    </row>
    <row r="1582">
      <c r="A1582" t="inlineStr">
        <is>
          <t>202606</t>
        </is>
      </c>
      <c r="B1582" t="inlineStr">
        <is>
          <t>Actual</t>
        </is>
      </c>
      <c r="C1582" t="inlineStr">
        <is>
          <t>Ex_Integra</t>
        </is>
      </c>
      <c r="D1582" t="inlineStr">
        <is>
          <t>Ecopetrol</t>
        </is>
      </c>
      <c r="E1582" t="inlineStr">
        <is>
          <t>Inv MM$</t>
        </is>
      </c>
      <c r="F1582" t="n">
        <v>63.795446</v>
      </c>
    </row>
    <row r="1583">
      <c r="A1583" t="inlineStr">
        <is>
          <t>202606</t>
        </is>
      </c>
      <c r="B1583" t="inlineStr">
        <is>
          <t>Actual</t>
        </is>
      </c>
      <c r="C1583" t="inlineStr">
        <is>
          <t>Ex_Integra</t>
        </is>
      </c>
      <c r="D1583" t="inlineStr">
        <is>
          <t>Edmond de Rothschild - Big Data</t>
        </is>
      </c>
      <c r="E1583" t="inlineStr">
        <is>
          <t>Huella</t>
        </is>
      </c>
      <c r="F1583" t="n">
        <v>0.000546</v>
      </c>
    </row>
    <row r="1584">
      <c r="A1584" t="inlineStr">
        <is>
          <t>202606</t>
        </is>
      </c>
      <c r="B1584" t="inlineStr">
        <is>
          <t>Actual</t>
        </is>
      </c>
      <c r="C1584" t="inlineStr">
        <is>
          <t>Ex_Integra</t>
        </is>
      </c>
      <c r="D1584" t="inlineStr">
        <is>
          <t>Edmond de Rothschild - Big Data</t>
        </is>
      </c>
      <c r="E1584" t="inlineStr">
        <is>
          <t>Intensidad</t>
        </is>
      </c>
      <c r="F1584" t="n">
        <v>0</v>
      </c>
    </row>
    <row r="1585">
      <c r="A1585" t="inlineStr">
        <is>
          <t>202606</t>
        </is>
      </c>
      <c r="B1585" t="inlineStr">
        <is>
          <t>Actual</t>
        </is>
      </c>
      <c r="C1585" t="inlineStr">
        <is>
          <t>Ex_Integra</t>
        </is>
      </c>
      <c r="D1585" t="inlineStr">
        <is>
          <t>Edmond de Rothschild - Big Data</t>
        </is>
      </c>
      <c r="E1585" t="inlineStr">
        <is>
          <t>Inv MM$</t>
        </is>
      </c>
      <c r="F1585" t="n">
        <v>9.399999999999999e-05</v>
      </c>
    </row>
    <row r="1586">
      <c r="A1586" t="inlineStr">
        <is>
          <t>202606</t>
        </is>
      </c>
      <c r="B1586" t="inlineStr">
        <is>
          <t>Actual</t>
        </is>
      </c>
      <c r="C1586" t="inlineStr">
        <is>
          <t>Ex_Integra</t>
        </is>
      </c>
      <c r="D1586" t="inlineStr">
        <is>
          <t>Edmond de Rothschild - Corp EM Debt USD</t>
        </is>
      </c>
      <c r="E1586" t="inlineStr">
        <is>
          <t>Huella</t>
        </is>
      </c>
      <c r="F1586" t="n">
        <v>15904.609881</v>
      </c>
    </row>
    <row r="1587">
      <c r="A1587" t="inlineStr">
        <is>
          <t>202606</t>
        </is>
      </c>
      <c r="B1587" t="inlineStr">
        <is>
          <t>Actual</t>
        </is>
      </c>
      <c r="C1587" t="inlineStr">
        <is>
          <t>Ex_Integra</t>
        </is>
      </c>
      <c r="D1587" t="inlineStr">
        <is>
          <t>Edmond de Rothschild - Corp EM Debt USD</t>
        </is>
      </c>
      <c r="E1587" t="inlineStr">
        <is>
          <t>Intensidad</t>
        </is>
      </c>
      <c r="F1587" t="n">
        <v>3.489183</v>
      </c>
    </row>
    <row r="1588">
      <c r="A1588" t="inlineStr">
        <is>
          <t>202606</t>
        </is>
      </c>
      <c r="B1588" t="inlineStr">
        <is>
          <t>Actual</t>
        </is>
      </c>
      <c r="C1588" t="inlineStr">
        <is>
          <t>Ex_Integra</t>
        </is>
      </c>
      <c r="D1588" t="inlineStr">
        <is>
          <t>Edmond de Rothschild - Corp EM Debt USD</t>
        </is>
      </c>
      <c r="E1588" t="inlineStr">
        <is>
          <t>Inv MM$</t>
        </is>
      </c>
      <c r="F1588" t="n">
        <v>45.902583</v>
      </c>
    </row>
    <row r="1589">
      <c r="A1589" t="inlineStr">
        <is>
          <t>202606</t>
        </is>
      </c>
      <c r="B1589" t="inlineStr">
        <is>
          <t>Actual</t>
        </is>
      </c>
      <c r="C1589" t="inlineStr">
        <is>
          <t>Ex_Integra</t>
        </is>
      </c>
      <c r="D1589" t="inlineStr">
        <is>
          <t>Emp. Públicas Medellin</t>
        </is>
      </c>
      <c r="E1589" t="inlineStr">
        <is>
          <t>Huella</t>
        </is>
      </c>
      <c r="F1589" t="n">
        <v>3503.147086</v>
      </c>
    </row>
    <row r="1590">
      <c r="A1590" t="inlineStr">
        <is>
          <t>202606</t>
        </is>
      </c>
      <c r="B1590" t="inlineStr">
        <is>
          <t>Actual</t>
        </is>
      </c>
      <c r="C1590" t="inlineStr">
        <is>
          <t>Ex_Integra</t>
        </is>
      </c>
      <c r="D1590" t="inlineStr">
        <is>
          <t>Emp. Públicas Medellin</t>
        </is>
      </c>
      <c r="E1590" t="inlineStr">
        <is>
          <t>Intensidad</t>
        </is>
      </c>
      <c r="F1590" t="n">
        <v>0.565268</v>
      </c>
    </row>
    <row r="1591">
      <c r="A1591" t="inlineStr">
        <is>
          <t>202606</t>
        </is>
      </c>
      <c r="B1591" t="inlineStr">
        <is>
          <t>Actual</t>
        </is>
      </c>
      <c r="C1591" t="inlineStr">
        <is>
          <t>Ex_Integra</t>
        </is>
      </c>
      <c r="D1591" t="inlineStr">
        <is>
          <t>Emp. Públicas Medellin</t>
        </is>
      </c>
      <c r="E1591" t="inlineStr">
        <is>
          <t>Inv MM$</t>
        </is>
      </c>
      <c r="F1591" t="n">
        <v>107.359702</v>
      </c>
    </row>
    <row r="1592">
      <c r="A1592" t="inlineStr">
        <is>
          <t>202606</t>
        </is>
      </c>
      <c r="B1592" t="inlineStr">
        <is>
          <t>Actual</t>
        </is>
      </c>
      <c r="C1592" t="inlineStr">
        <is>
          <t>Ex_Integra</t>
        </is>
      </c>
      <c r="D1592" t="inlineStr">
        <is>
          <t>Ferreyros</t>
        </is>
      </c>
      <c r="E1592" t="inlineStr">
        <is>
          <t>Huella</t>
        </is>
      </c>
      <c r="F1592" t="n">
        <v>1787.595491</v>
      </c>
    </row>
    <row r="1593">
      <c r="A1593" t="inlineStr">
        <is>
          <t>202606</t>
        </is>
      </c>
      <c r="B1593" t="inlineStr">
        <is>
          <t>Actual</t>
        </is>
      </c>
      <c r="C1593" t="inlineStr">
        <is>
          <t>Ex_Integra</t>
        </is>
      </c>
      <c r="D1593" t="inlineStr">
        <is>
          <t>Ferreyros</t>
        </is>
      </c>
      <c r="E1593" t="inlineStr">
        <is>
          <t>Intensidad</t>
        </is>
      </c>
      <c r="F1593" t="n">
        <v>0.27822</v>
      </c>
    </row>
    <row r="1594">
      <c r="A1594" t="inlineStr">
        <is>
          <t>202606</t>
        </is>
      </c>
      <c r="B1594" t="inlineStr">
        <is>
          <t>Actual</t>
        </is>
      </c>
      <c r="C1594" t="inlineStr">
        <is>
          <t>Ex_Integra</t>
        </is>
      </c>
      <c r="D1594" t="inlineStr">
        <is>
          <t>Ferreyros</t>
        </is>
      </c>
      <c r="E1594" t="inlineStr">
        <is>
          <t>Inv MM$</t>
        </is>
      </c>
      <c r="F1594" t="n">
        <v>286.473636</v>
      </c>
    </row>
    <row r="1595">
      <c r="A1595" t="inlineStr">
        <is>
          <t>202606</t>
        </is>
      </c>
      <c r="B1595" t="inlineStr">
        <is>
          <t>Actual</t>
        </is>
      </c>
      <c r="C1595" t="inlineStr">
        <is>
          <t>Ex_Integra</t>
        </is>
      </c>
      <c r="D1595" t="inlineStr">
        <is>
          <t>Fidelity - Emerging Markets -Retail</t>
        </is>
      </c>
      <c r="E1595" t="inlineStr">
        <is>
          <t>Huella</t>
        </is>
      </c>
      <c r="F1595" t="n">
        <v>14.121653</v>
      </c>
    </row>
    <row r="1596">
      <c r="A1596" t="inlineStr">
        <is>
          <t>202606</t>
        </is>
      </c>
      <c r="B1596" t="inlineStr">
        <is>
          <t>Actual</t>
        </is>
      </c>
      <c r="C1596" t="inlineStr">
        <is>
          <t>Ex_Integra</t>
        </is>
      </c>
      <c r="D1596" t="inlineStr">
        <is>
          <t>Fidelity - Emerging Markets -Retail</t>
        </is>
      </c>
      <c r="E1596" t="inlineStr">
        <is>
          <t>Intensidad</t>
        </is>
      </c>
      <c r="F1596" t="n">
        <v>0.003972</v>
      </c>
    </row>
    <row r="1597">
      <c r="A1597" t="inlineStr">
        <is>
          <t>202606</t>
        </is>
      </c>
      <c r="B1597" t="inlineStr">
        <is>
          <t>Actual</t>
        </is>
      </c>
      <c r="C1597" t="inlineStr">
        <is>
          <t>Ex_Integra</t>
        </is>
      </c>
      <c r="D1597" t="inlineStr">
        <is>
          <t>Fidelity - Emerging Markets -Retail</t>
        </is>
      </c>
      <c r="E1597" t="inlineStr">
        <is>
          <t>Inv MM$</t>
        </is>
      </c>
      <c r="F1597" t="n">
        <v>0.761526</v>
      </c>
    </row>
    <row r="1598">
      <c r="A1598" t="inlineStr">
        <is>
          <t>202606</t>
        </is>
      </c>
      <c r="B1598" t="inlineStr">
        <is>
          <t>Actual</t>
        </is>
      </c>
      <c r="C1598" t="inlineStr">
        <is>
          <t>Ex_Integra</t>
        </is>
      </c>
      <c r="D1598" t="inlineStr">
        <is>
          <t>Fidelity - European Dynamic Growth</t>
        </is>
      </c>
      <c r="E1598" t="inlineStr">
        <is>
          <t>Huella</t>
        </is>
      </c>
      <c r="F1598" t="n">
        <v>0.331412</v>
      </c>
    </row>
    <row r="1599">
      <c r="A1599" t="inlineStr">
        <is>
          <t>202606</t>
        </is>
      </c>
      <c r="B1599" t="inlineStr">
        <is>
          <t>Actual</t>
        </is>
      </c>
      <c r="C1599" t="inlineStr">
        <is>
          <t>Ex_Integra</t>
        </is>
      </c>
      <c r="D1599" t="inlineStr">
        <is>
          <t>Fidelity - European Dynamic Growth</t>
        </is>
      </c>
      <c r="E1599" t="inlineStr">
        <is>
          <t>Intensidad</t>
        </is>
      </c>
      <c r="F1599" t="n">
        <v>2.4e-05</v>
      </c>
    </row>
    <row r="1600">
      <c r="A1600" t="inlineStr">
        <is>
          <t>202606</t>
        </is>
      </c>
      <c r="B1600" t="inlineStr">
        <is>
          <t>Actual</t>
        </is>
      </c>
      <c r="C1600" t="inlineStr">
        <is>
          <t>Ex_Integra</t>
        </is>
      </c>
      <c r="D1600" t="inlineStr">
        <is>
          <t>Fidelity - European Dynamic Growth</t>
        </is>
      </c>
      <c r="E1600" t="inlineStr">
        <is>
          <t>Inv MM$</t>
        </is>
      </c>
      <c r="F1600" t="n">
        <v>0.023144</v>
      </c>
    </row>
    <row r="1601">
      <c r="A1601" t="inlineStr">
        <is>
          <t>202606</t>
        </is>
      </c>
      <c r="B1601" t="inlineStr">
        <is>
          <t>Actual</t>
        </is>
      </c>
      <c r="C1601" t="inlineStr">
        <is>
          <t>Ex_Integra</t>
        </is>
      </c>
      <c r="D1601" t="inlineStr">
        <is>
          <t>Fondo Credicorp Deuda Soles II</t>
        </is>
      </c>
      <c r="E1601" t="inlineStr">
        <is>
          <t>Huella</t>
        </is>
      </c>
      <c r="F1601" t="n">
        <v>1003.461858</v>
      </c>
    </row>
    <row r="1602">
      <c r="A1602" t="inlineStr">
        <is>
          <t>202606</t>
        </is>
      </c>
      <c r="B1602" t="inlineStr">
        <is>
          <t>Actual</t>
        </is>
      </c>
      <c r="C1602" t="inlineStr">
        <is>
          <t>Ex_Integra</t>
        </is>
      </c>
      <c r="D1602" t="inlineStr">
        <is>
          <t>Fondo Credicorp Deuda Soles II</t>
        </is>
      </c>
      <c r="E1602" t="inlineStr">
        <is>
          <t>Intensidad</t>
        </is>
      </c>
      <c r="F1602" t="n">
        <v>0.15309</v>
      </c>
    </row>
    <row r="1603">
      <c r="A1603" t="inlineStr">
        <is>
          <t>202606</t>
        </is>
      </c>
      <c r="B1603" t="inlineStr">
        <is>
          <t>Actual</t>
        </is>
      </c>
      <c r="C1603" t="inlineStr">
        <is>
          <t>Ex_Integra</t>
        </is>
      </c>
      <c r="D1603" t="inlineStr">
        <is>
          <t>Fondo Credicorp Deuda Soles II</t>
        </is>
      </c>
      <c r="E1603" t="inlineStr">
        <is>
          <t>Inv MM$</t>
        </is>
      </c>
      <c r="F1603" t="n">
        <v>48.958634</v>
      </c>
    </row>
    <row r="1604">
      <c r="A1604" t="inlineStr">
        <is>
          <t>202606</t>
        </is>
      </c>
      <c r="B1604" t="inlineStr">
        <is>
          <t>Actual</t>
        </is>
      </c>
      <c r="C1604" t="inlineStr">
        <is>
          <t>Ex_Integra</t>
        </is>
      </c>
      <c r="D1604" t="inlineStr">
        <is>
          <t>Franklin Templeton - Emerging Markets Bond Fund</t>
        </is>
      </c>
      <c r="E1604" t="inlineStr">
        <is>
          <t>Huella</t>
        </is>
      </c>
      <c r="F1604" t="n">
        <v>0.09540999999999999</v>
      </c>
    </row>
    <row r="1605">
      <c r="A1605" t="inlineStr">
        <is>
          <t>202606</t>
        </is>
      </c>
      <c r="B1605" t="inlineStr">
        <is>
          <t>Actual</t>
        </is>
      </c>
      <c r="C1605" t="inlineStr">
        <is>
          <t>Ex_Integra</t>
        </is>
      </c>
      <c r="D1605" t="inlineStr">
        <is>
          <t>Franklin Templeton - Emerging Markets Bond Fund</t>
        </is>
      </c>
      <c r="E1605" t="inlineStr">
        <is>
          <t>Intensidad</t>
        </is>
      </c>
      <c r="F1605" t="n">
        <v>2.6e-05</v>
      </c>
    </row>
    <row r="1606">
      <c r="A1606" t="inlineStr">
        <is>
          <t>202606</t>
        </is>
      </c>
      <c r="B1606" t="inlineStr">
        <is>
          <t>Actual</t>
        </is>
      </c>
      <c r="C1606" t="inlineStr">
        <is>
          <t>Ex_Integra</t>
        </is>
      </c>
      <c r="D1606" t="inlineStr">
        <is>
          <t>Franklin Templeton - Emerging Markets Bond Fund</t>
        </is>
      </c>
      <c r="E1606" t="inlineStr">
        <is>
          <t>Inv MM$</t>
        </is>
      </c>
      <c r="F1606" t="n">
        <v>1.302311</v>
      </c>
    </row>
    <row r="1607">
      <c r="A1607" t="inlineStr">
        <is>
          <t>202606</t>
        </is>
      </c>
      <c r="B1607" t="inlineStr">
        <is>
          <t>Actual</t>
        </is>
      </c>
      <c r="C1607" t="inlineStr">
        <is>
          <t>Ex_Integra</t>
        </is>
      </c>
      <c r="D1607" t="inlineStr">
        <is>
          <t>Franklin Templeton - FTGF ClearBridge Infrastructure Value Fund</t>
        </is>
      </c>
      <c r="E1607" t="inlineStr">
        <is>
          <t>Huella</t>
        </is>
      </c>
      <c r="F1607" t="n">
        <v>0.010485</v>
      </c>
    </row>
    <row r="1608">
      <c r="A1608" t="inlineStr">
        <is>
          <t>202606</t>
        </is>
      </c>
      <c r="B1608" t="inlineStr">
        <is>
          <t>Actual</t>
        </is>
      </c>
      <c r="C1608" t="inlineStr">
        <is>
          <t>Ex_Integra</t>
        </is>
      </c>
      <c r="D1608" t="inlineStr">
        <is>
          <t>Franklin Templeton - FTGF ClearBridge Infrastructure Value Fund</t>
        </is>
      </c>
      <c r="E1608" t="inlineStr">
        <is>
          <t>Intensidad</t>
        </is>
      </c>
      <c r="F1608" t="n">
        <v>2e-06</v>
      </c>
    </row>
    <row r="1609">
      <c r="A1609" t="inlineStr">
        <is>
          <t>202606</t>
        </is>
      </c>
      <c r="B1609" t="inlineStr">
        <is>
          <t>Actual</t>
        </is>
      </c>
      <c r="C1609" t="inlineStr">
        <is>
          <t>Ex_Integra</t>
        </is>
      </c>
      <c r="D1609" t="inlineStr">
        <is>
          <t>Franklin Templeton - FTGF ClearBridge Infrastructure Value Fund</t>
        </is>
      </c>
      <c r="E1609" t="inlineStr">
        <is>
          <t>Inv MM$</t>
        </is>
      </c>
      <c r="F1609" t="n">
        <v>6.9e-05</v>
      </c>
    </row>
    <row r="1610">
      <c r="A1610" t="inlineStr">
        <is>
          <t>202606</t>
        </is>
      </c>
      <c r="B1610" t="inlineStr">
        <is>
          <t>Actual</t>
        </is>
      </c>
      <c r="C1610" t="inlineStr">
        <is>
          <t>Ex_Integra</t>
        </is>
      </c>
      <c r="D1610" t="inlineStr">
        <is>
          <t>Franklin Templeton - Global Convertibles</t>
        </is>
      </c>
      <c r="E1610" t="inlineStr">
        <is>
          <t>Huella</t>
        </is>
      </c>
      <c r="F1610" t="n">
        <v>121.441867</v>
      </c>
    </row>
    <row r="1611">
      <c r="A1611" t="inlineStr">
        <is>
          <t>202606</t>
        </is>
      </c>
      <c r="B1611" t="inlineStr">
        <is>
          <t>Actual</t>
        </is>
      </c>
      <c r="C1611" t="inlineStr">
        <is>
          <t>Ex_Integra</t>
        </is>
      </c>
      <c r="D1611" t="inlineStr">
        <is>
          <t>Franklin Templeton - Global Convertibles</t>
        </is>
      </c>
      <c r="E1611" t="inlineStr">
        <is>
          <t>Intensidad</t>
        </is>
      </c>
      <c r="F1611" t="n">
        <v>0.032817</v>
      </c>
    </row>
    <row r="1612">
      <c r="A1612" t="inlineStr">
        <is>
          <t>202606</t>
        </is>
      </c>
      <c r="B1612" t="inlineStr">
        <is>
          <t>Actual</t>
        </is>
      </c>
      <c r="C1612" t="inlineStr">
        <is>
          <t>Ex_Integra</t>
        </is>
      </c>
      <c r="D1612" t="inlineStr">
        <is>
          <t>Franklin Templeton - Global Convertibles</t>
        </is>
      </c>
      <c r="E1612" t="inlineStr">
        <is>
          <t>Inv MM$</t>
        </is>
      </c>
      <c r="F1612" t="n">
        <v>4.591693</v>
      </c>
    </row>
    <row r="1613">
      <c r="A1613" t="inlineStr">
        <is>
          <t>202606</t>
        </is>
      </c>
      <c r="B1613" t="inlineStr">
        <is>
          <t>Actual</t>
        </is>
      </c>
      <c r="C1613" t="inlineStr">
        <is>
          <t>Ex_Integra</t>
        </is>
      </c>
      <c r="D1613" t="inlineStr">
        <is>
          <t>GAM - Continental Europe</t>
        </is>
      </c>
      <c r="E1613" t="inlineStr">
        <is>
          <t>Huella</t>
        </is>
      </c>
      <c r="F1613" t="n">
        <v>0.008111999999999999</v>
      </c>
    </row>
    <row r="1614">
      <c r="A1614" t="inlineStr">
        <is>
          <t>202606</t>
        </is>
      </c>
      <c r="B1614" t="inlineStr">
        <is>
          <t>Actual</t>
        </is>
      </c>
      <c r="C1614" t="inlineStr">
        <is>
          <t>Ex_Integra</t>
        </is>
      </c>
      <c r="D1614" t="inlineStr">
        <is>
          <t>GAM - Continental Europe</t>
        </is>
      </c>
      <c r="E1614" t="inlineStr">
        <is>
          <t>Intensidad</t>
        </is>
      </c>
      <c r="F1614" t="n">
        <v>2e-06</v>
      </c>
    </row>
    <row r="1615">
      <c r="A1615" t="inlineStr">
        <is>
          <t>202606</t>
        </is>
      </c>
      <c r="B1615" t="inlineStr">
        <is>
          <t>Actual</t>
        </is>
      </c>
      <c r="C1615" t="inlineStr">
        <is>
          <t>Ex_Integra</t>
        </is>
      </c>
      <c r="D1615" t="inlineStr">
        <is>
          <t>GAM - Continental Europe</t>
        </is>
      </c>
      <c r="E1615" t="inlineStr">
        <is>
          <t>Inv MM$</t>
        </is>
      </c>
      <c r="F1615" t="n">
        <v>0.000146</v>
      </c>
    </row>
    <row r="1616">
      <c r="A1616" t="inlineStr">
        <is>
          <t>202606</t>
        </is>
      </c>
      <c r="B1616" t="inlineStr">
        <is>
          <t>Actual</t>
        </is>
      </c>
      <c r="C1616" t="inlineStr">
        <is>
          <t>Ex_Integra</t>
        </is>
      </c>
      <c r="D1616" t="inlineStr">
        <is>
          <t>Global Evolution Funds - Frontier Markets Fund</t>
        </is>
      </c>
      <c r="E1616" t="inlineStr">
        <is>
          <t>Huella</t>
        </is>
      </c>
      <c r="F1616" t="n">
        <v>60.635796</v>
      </c>
    </row>
    <row r="1617">
      <c r="A1617" t="inlineStr">
        <is>
          <t>202606</t>
        </is>
      </c>
      <c r="B1617" t="inlineStr">
        <is>
          <t>Actual</t>
        </is>
      </c>
      <c r="C1617" t="inlineStr">
        <is>
          <t>Ex_Integra</t>
        </is>
      </c>
      <c r="D1617" t="inlineStr">
        <is>
          <t>Global Evolution Funds - Frontier Markets Fund</t>
        </is>
      </c>
      <c r="E1617" t="inlineStr">
        <is>
          <t>Intensidad</t>
        </is>
      </c>
      <c r="F1617" t="n">
        <v>0.009076000000000001</v>
      </c>
    </row>
    <row r="1618">
      <c r="A1618" t="inlineStr">
        <is>
          <t>202606</t>
        </is>
      </c>
      <c r="B1618" t="inlineStr">
        <is>
          <t>Actual</t>
        </is>
      </c>
      <c r="C1618" t="inlineStr">
        <is>
          <t>Ex_Integra</t>
        </is>
      </c>
      <c r="D1618" t="inlineStr">
        <is>
          <t>Global Evolution Funds - Frontier Markets Fund</t>
        </is>
      </c>
      <c r="E1618" t="inlineStr">
        <is>
          <t>Inv MM$</t>
        </is>
      </c>
      <c r="F1618" t="n">
        <v>132.739417</v>
      </c>
    </row>
    <row r="1619">
      <c r="A1619" t="inlineStr">
        <is>
          <t>202606</t>
        </is>
      </c>
      <c r="B1619" t="inlineStr">
        <is>
          <t>Actual</t>
        </is>
      </c>
      <c r="C1619" t="inlineStr">
        <is>
          <t>Ex_Integra</t>
        </is>
      </c>
      <c r="D1619" t="inlineStr">
        <is>
          <t>Global X - Copper Miners ETF</t>
        </is>
      </c>
      <c r="E1619" t="inlineStr">
        <is>
          <t>Huella</t>
        </is>
      </c>
      <c r="F1619" t="n">
        <v>17108.049641</v>
      </c>
    </row>
    <row r="1620">
      <c r="A1620" t="inlineStr">
        <is>
          <t>202606</t>
        </is>
      </c>
      <c r="B1620" t="inlineStr">
        <is>
          <t>Actual</t>
        </is>
      </c>
      <c r="C1620" t="inlineStr">
        <is>
          <t>Ex_Integra</t>
        </is>
      </c>
      <c r="D1620" t="inlineStr">
        <is>
          <t>Global X - Copper Miners ETF</t>
        </is>
      </c>
      <c r="E1620" t="inlineStr">
        <is>
          <t>Intensidad</t>
        </is>
      </c>
      <c r="F1620" t="n">
        <v>2.412239</v>
      </c>
    </row>
    <row r="1621">
      <c r="A1621" t="inlineStr">
        <is>
          <t>202606</t>
        </is>
      </c>
      <c r="B1621" t="inlineStr">
        <is>
          <t>Actual</t>
        </is>
      </c>
      <c r="C1621" t="inlineStr">
        <is>
          <t>Ex_Integra</t>
        </is>
      </c>
      <c r="D1621" t="inlineStr">
        <is>
          <t>Global X - Copper Miners ETF</t>
        </is>
      </c>
      <c r="E1621" t="inlineStr">
        <is>
          <t>Inv MM$</t>
        </is>
      </c>
      <c r="F1621" t="n">
        <v>232.817736</v>
      </c>
    </row>
    <row r="1622">
      <c r="A1622" t="inlineStr">
        <is>
          <t>202606</t>
        </is>
      </c>
      <c r="B1622" t="inlineStr">
        <is>
          <t>Actual</t>
        </is>
      </c>
      <c r="C1622" t="inlineStr">
        <is>
          <t>Ex_Integra</t>
        </is>
      </c>
      <c r="D1622" t="inlineStr">
        <is>
          <t>Global X - Silvers Miners ETF</t>
        </is>
      </c>
      <c r="E1622" t="inlineStr">
        <is>
          <t>Huella</t>
        </is>
      </c>
      <c r="F1622" t="n">
        <v>4462.325894</v>
      </c>
    </row>
    <row r="1623">
      <c r="A1623" t="inlineStr">
        <is>
          <t>202606</t>
        </is>
      </c>
      <c r="B1623" t="inlineStr">
        <is>
          <t>Actual</t>
        </is>
      </c>
      <c r="C1623" t="inlineStr">
        <is>
          <t>Ex_Integra</t>
        </is>
      </c>
      <c r="D1623" t="inlineStr">
        <is>
          <t>Global X - Silvers Miners ETF</t>
        </is>
      </c>
      <c r="E1623" t="inlineStr">
        <is>
          <t>Intensidad</t>
        </is>
      </c>
      <c r="F1623" t="n">
        <v>0.58224</v>
      </c>
    </row>
    <row r="1624">
      <c r="A1624" t="inlineStr">
        <is>
          <t>202606</t>
        </is>
      </c>
      <c r="B1624" t="inlineStr">
        <is>
          <t>Actual</t>
        </is>
      </c>
      <c r="C1624" t="inlineStr">
        <is>
          <t>Ex_Integra</t>
        </is>
      </c>
      <c r="D1624" t="inlineStr">
        <is>
          <t>Global X - Silvers Miners ETF</t>
        </is>
      </c>
      <c r="E1624" t="inlineStr">
        <is>
          <t>Inv MM$</t>
        </is>
      </c>
      <c r="F1624" t="n">
        <v>174.832297</v>
      </c>
    </row>
    <row r="1625">
      <c r="A1625" t="inlineStr">
        <is>
          <t>202606</t>
        </is>
      </c>
      <c r="B1625" t="inlineStr">
        <is>
          <t>Actual</t>
        </is>
      </c>
      <c r="C1625" t="inlineStr">
        <is>
          <t>Ex_Integra</t>
        </is>
      </c>
      <c r="D1625" t="inlineStr">
        <is>
          <t>Groupama - Avenir Euro (Mid Small Caps)</t>
        </is>
      </c>
      <c r="E1625" t="inlineStr">
        <is>
          <t>Huella</t>
        </is>
      </c>
      <c r="F1625" t="n">
        <v>1.401501</v>
      </c>
    </row>
    <row r="1626">
      <c r="A1626" t="inlineStr">
        <is>
          <t>202606</t>
        </is>
      </c>
      <c r="B1626" t="inlineStr">
        <is>
          <t>Actual</t>
        </is>
      </c>
      <c r="C1626" t="inlineStr">
        <is>
          <t>Ex_Integra</t>
        </is>
      </c>
      <c r="D1626" t="inlineStr">
        <is>
          <t>Groupama - Avenir Euro (Mid Small Caps)</t>
        </is>
      </c>
      <c r="E1626" t="inlineStr">
        <is>
          <t>Intensidad</t>
        </is>
      </c>
      <c r="F1626" t="n">
        <v>0.0001</v>
      </c>
    </row>
    <row r="1627">
      <c r="A1627" t="inlineStr">
        <is>
          <t>202606</t>
        </is>
      </c>
      <c r="B1627" t="inlineStr">
        <is>
          <t>Actual</t>
        </is>
      </c>
      <c r="C1627" t="inlineStr">
        <is>
          <t>Ex_Integra</t>
        </is>
      </c>
      <c r="D1627" t="inlineStr">
        <is>
          <t>Groupama - Avenir Euro (Mid Small Caps)</t>
        </is>
      </c>
      <c r="E1627" t="inlineStr">
        <is>
          <t>Inv MM$</t>
        </is>
      </c>
      <c r="F1627" t="n">
        <v>0.024257</v>
      </c>
    </row>
    <row r="1628">
      <c r="A1628" t="inlineStr">
        <is>
          <t>202606</t>
        </is>
      </c>
      <c r="B1628" t="inlineStr">
        <is>
          <t>Actual</t>
        </is>
      </c>
      <c r="C1628" t="inlineStr">
        <is>
          <t>Ex_Integra</t>
        </is>
      </c>
      <c r="D1628" t="inlineStr">
        <is>
          <t>Groupama - G Fund Avenir Europe (Mid Small Caps) - C</t>
        </is>
      </c>
      <c r="E1628" t="inlineStr">
        <is>
          <t>Huella</t>
        </is>
      </c>
      <c r="F1628" t="n">
        <v>0.424061</v>
      </c>
    </row>
    <row r="1629">
      <c r="A1629" t="inlineStr">
        <is>
          <t>202606</t>
        </is>
      </c>
      <c r="B1629" t="inlineStr">
        <is>
          <t>Actual</t>
        </is>
      </c>
      <c r="C1629" t="inlineStr">
        <is>
          <t>Ex_Integra</t>
        </is>
      </c>
      <c r="D1629" t="inlineStr">
        <is>
          <t>Groupama - G Fund Avenir Europe (Mid Small Caps) - C</t>
        </is>
      </c>
      <c r="E1629" t="inlineStr">
        <is>
          <t>Intensidad</t>
        </is>
      </c>
      <c r="F1629" t="n">
        <v>9.1e-05</v>
      </c>
    </row>
    <row r="1630">
      <c r="A1630" t="inlineStr">
        <is>
          <t>202606</t>
        </is>
      </c>
      <c r="B1630" t="inlineStr">
        <is>
          <t>Actual</t>
        </is>
      </c>
      <c r="C1630" t="inlineStr">
        <is>
          <t>Ex_Integra</t>
        </is>
      </c>
      <c r="D1630" t="inlineStr">
        <is>
          <t>Groupama - G Fund Avenir Europe (Mid Small Caps) - C</t>
        </is>
      </c>
      <c r="E1630" t="inlineStr">
        <is>
          <t>Inv MM$</t>
        </is>
      </c>
      <c r="F1630" t="n">
        <v>0.009119</v>
      </c>
    </row>
    <row r="1631">
      <c r="A1631" t="inlineStr">
        <is>
          <t>202606</t>
        </is>
      </c>
      <c r="B1631" t="inlineStr">
        <is>
          <t>Actual</t>
        </is>
      </c>
      <c r="C1631" t="inlineStr">
        <is>
          <t>Ex_Integra</t>
        </is>
      </c>
      <c r="D1631" t="inlineStr">
        <is>
          <t>InRetail Consumer</t>
        </is>
      </c>
      <c r="E1631" t="inlineStr">
        <is>
          <t>Huella</t>
        </is>
      </c>
      <c r="F1631" t="n">
        <v>12.963915</v>
      </c>
    </row>
    <row r="1632">
      <c r="A1632" t="inlineStr">
        <is>
          <t>202606</t>
        </is>
      </c>
      <c r="B1632" t="inlineStr">
        <is>
          <t>Actual</t>
        </is>
      </c>
      <c r="C1632" t="inlineStr">
        <is>
          <t>Ex_Integra</t>
        </is>
      </c>
      <c r="D1632" t="inlineStr">
        <is>
          <t>InRetail Consumer</t>
        </is>
      </c>
      <c r="E1632" t="inlineStr">
        <is>
          <t>Intensidad</t>
        </is>
      </c>
      <c r="F1632" t="n">
        <v>0.000928</v>
      </c>
    </row>
    <row r="1633">
      <c r="A1633" t="inlineStr">
        <is>
          <t>202606</t>
        </is>
      </c>
      <c r="B1633" t="inlineStr">
        <is>
          <t>Actual</t>
        </is>
      </c>
      <c r="C1633" t="inlineStr">
        <is>
          <t>Ex_Integra</t>
        </is>
      </c>
      <c r="D1633" t="inlineStr">
        <is>
          <t>InRetail Consumer</t>
        </is>
      </c>
      <c r="E1633" t="inlineStr">
        <is>
          <t>Inv MM$</t>
        </is>
      </c>
      <c r="F1633" t="n">
        <v>0.561452</v>
      </c>
    </row>
    <row r="1634">
      <c r="A1634" t="inlineStr">
        <is>
          <t>202606</t>
        </is>
      </c>
      <c r="B1634" t="inlineStr">
        <is>
          <t>Actual</t>
        </is>
      </c>
      <c r="C1634" t="inlineStr">
        <is>
          <t>Ex_Integra</t>
        </is>
      </c>
      <c r="D1634" t="inlineStr">
        <is>
          <t>InRetail Peru</t>
        </is>
      </c>
      <c r="E1634" t="inlineStr">
        <is>
          <t>Huella</t>
        </is>
      </c>
      <c r="F1634" t="n">
        <v>9281.615671</v>
      </c>
    </row>
    <row r="1635">
      <c r="A1635" t="inlineStr">
        <is>
          <t>202606</t>
        </is>
      </c>
      <c r="B1635" t="inlineStr">
        <is>
          <t>Actual</t>
        </is>
      </c>
      <c r="C1635" t="inlineStr">
        <is>
          <t>Ex_Integra</t>
        </is>
      </c>
      <c r="D1635" t="inlineStr">
        <is>
          <t>InRetail Peru</t>
        </is>
      </c>
      <c r="E1635" t="inlineStr">
        <is>
          <t>Intensidad</t>
        </is>
      </c>
      <c r="F1635" t="n">
        <v>1.312748</v>
      </c>
    </row>
    <row r="1636">
      <c r="A1636" t="inlineStr">
        <is>
          <t>202606</t>
        </is>
      </c>
      <c r="B1636" t="inlineStr">
        <is>
          <t>Actual</t>
        </is>
      </c>
      <c r="C1636" t="inlineStr">
        <is>
          <t>Ex_Integra</t>
        </is>
      </c>
      <c r="D1636" t="inlineStr">
        <is>
          <t>InRetail Peru</t>
        </is>
      </c>
      <c r="E1636" t="inlineStr">
        <is>
          <t>Inv MM$</t>
        </is>
      </c>
      <c r="F1636" t="n">
        <v>401.97556</v>
      </c>
    </row>
    <row r="1637">
      <c r="A1637" t="inlineStr">
        <is>
          <t>202606</t>
        </is>
      </c>
      <c r="B1637" t="inlineStr">
        <is>
          <t>Actual</t>
        </is>
      </c>
      <c r="C1637" t="inlineStr">
        <is>
          <t>Ex_Integra</t>
        </is>
      </c>
      <c r="D1637" t="inlineStr">
        <is>
          <t>Intergroup</t>
        </is>
      </c>
      <c r="E1637" t="inlineStr">
        <is>
          <t>Huella</t>
        </is>
      </c>
      <c r="F1637" t="n">
        <v>57.8566</v>
      </c>
    </row>
    <row r="1638">
      <c r="A1638" t="inlineStr">
        <is>
          <t>202606</t>
        </is>
      </c>
      <c r="B1638" t="inlineStr">
        <is>
          <t>Actual</t>
        </is>
      </c>
      <c r="C1638" t="inlineStr">
        <is>
          <t>Ex_Integra</t>
        </is>
      </c>
      <c r="D1638" t="inlineStr">
        <is>
          <t>Intergroup</t>
        </is>
      </c>
      <c r="E1638" t="inlineStr">
        <is>
          <t>Intensidad</t>
        </is>
      </c>
      <c r="F1638" t="n">
        <v>0.005414</v>
      </c>
    </row>
    <row r="1639">
      <c r="A1639" t="inlineStr">
        <is>
          <t>202606</t>
        </is>
      </c>
      <c r="B1639" t="inlineStr">
        <is>
          <t>Actual</t>
        </is>
      </c>
      <c r="C1639" t="inlineStr">
        <is>
          <t>Ex_Integra</t>
        </is>
      </c>
      <c r="D1639" t="inlineStr">
        <is>
          <t>Intergroup</t>
        </is>
      </c>
      <c r="E1639" t="inlineStr">
        <is>
          <t>Inv MM$</t>
        </is>
      </c>
      <c r="F1639" t="n">
        <v>170.16647</v>
      </c>
    </row>
    <row r="1640">
      <c r="A1640" t="inlineStr">
        <is>
          <t>202606</t>
        </is>
      </c>
      <c r="B1640" t="inlineStr">
        <is>
          <t>Actual</t>
        </is>
      </c>
      <c r="C1640" t="inlineStr">
        <is>
          <t>Ex_Integra</t>
        </is>
      </c>
      <c r="D1640" t="inlineStr">
        <is>
          <t>Invesco - China Technology ETF</t>
        </is>
      </c>
      <c r="E1640" t="inlineStr">
        <is>
          <t>Huella</t>
        </is>
      </c>
      <c r="F1640" t="n">
        <v>955.53036</v>
      </c>
    </row>
    <row r="1641">
      <c r="A1641" t="inlineStr">
        <is>
          <t>202606</t>
        </is>
      </c>
      <c r="B1641" t="inlineStr">
        <is>
          <t>Actual</t>
        </is>
      </c>
      <c r="C1641" t="inlineStr">
        <is>
          <t>Ex_Integra</t>
        </is>
      </c>
      <c r="D1641" t="inlineStr">
        <is>
          <t>Invesco - China Technology ETF</t>
        </is>
      </c>
      <c r="E1641" t="inlineStr">
        <is>
          <t>Intensidad</t>
        </is>
      </c>
      <c r="F1641" t="n">
        <v>0.142994</v>
      </c>
    </row>
    <row r="1642">
      <c r="A1642" t="inlineStr">
        <is>
          <t>202606</t>
        </is>
      </c>
      <c r="B1642" t="inlineStr">
        <is>
          <t>Actual</t>
        </is>
      </c>
      <c r="C1642" t="inlineStr">
        <is>
          <t>Ex_Integra</t>
        </is>
      </c>
      <c r="D1642" t="inlineStr">
        <is>
          <t>Invesco - China Technology ETF</t>
        </is>
      </c>
      <c r="E1642" t="inlineStr">
        <is>
          <t>Inv MM$</t>
        </is>
      </c>
      <c r="F1642" t="n">
        <v>49.706922</v>
      </c>
    </row>
    <row r="1643">
      <c r="A1643" t="inlineStr">
        <is>
          <t>202606</t>
        </is>
      </c>
      <c r="B1643" t="inlineStr">
        <is>
          <t>Actual</t>
        </is>
      </c>
      <c r="C1643" t="inlineStr">
        <is>
          <t>Ex_Integra</t>
        </is>
      </c>
      <c r="D1643" t="inlineStr">
        <is>
          <t>Invesco - Global Consumer Trends Fund S</t>
        </is>
      </c>
      <c r="E1643" t="inlineStr">
        <is>
          <t>Huella</t>
        </is>
      </c>
      <c r="F1643" t="n">
        <v>0.6483950000000001</v>
      </c>
    </row>
    <row r="1644">
      <c r="A1644" t="inlineStr">
        <is>
          <t>202606</t>
        </is>
      </c>
      <c r="B1644" t="inlineStr">
        <is>
          <t>Actual</t>
        </is>
      </c>
      <c r="C1644" t="inlineStr">
        <is>
          <t>Ex_Integra</t>
        </is>
      </c>
      <c r="D1644" t="inlineStr">
        <is>
          <t>Invesco - Global Consumer Trends Fund S</t>
        </is>
      </c>
      <c r="E1644" t="inlineStr">
        <is>
          <t>Intensidad</t>
        </is>
      </c>
      <c r="F1644" t="n">
        <v>0.000182</v>
      </c>
    </row>
    <row r="1645">
      <c r="A1645" t="inlineStr">
        <is>
          <t>202606</t>
        </is>
      </c>
      <c r="B1645" t="inlineStr">
        <is>
          <t>Actual</t>
        </is>
      </c>
      <c r="C1645" t="inlineStr">
        <is>
          <t>Ex_Integra</t>
        </is>
      </c>
      <c r="D1645" t="inlineStr">
        <is>
          <t>Invesco - Global Consumer Trends Fund S</t>
        </is>
      </c>
      <c r="E1645" t="inlineStr">
        <is>
          <t>Inv MM$</t>
        </is>
      </c>
      <c r="F1645" t="n">
        <v>0.0736</v>
      </c>
    </row>
    <row r="1646">
      <c r="A1646" t="inlineStr">
        <is>
          <t>202606</t>
        </is>
      </c>
      <c r="B1646" t="inlineStr">
        <is>
          <t>Actual</t>
        </is>
      </c>
      <c r="C1646" t="inlineStr">
        <is>
          <t>Ex_Integra</t>
        </is>
      </c>
      <c r="D1646" t="inlineStr">
        <is>
          <t>Invesco - Nasdaq 100 ETF</t>
        </is>
      </c>
      <c r="E1646" t="inlineStr">
        <is>
          <t>Huella</t>
        </is>
      </c>
      <c r="F1646" t="n">
        <v>1124.017365</v>
      </c>
    </row>
    <row r="1647">
      <c r="A1647" t="inlineStr">
        <is>
          <t>202606</t>
        </is>
      </c>
      <c r="B1647" t="inlineStr">
        <is>
          <t>Actual</t>
        </is>
      </c>
      <c r="C1647" t="inlineStr">
        <is>
          <t>Ex_Integra</t>
        </is>
      </c>
      <c r="D1647" t="inlineStr">
        <is>
          <t>Invesco - Nasdaq 100 ETF</t>
        </is>
      </c>
      <c r="E1647" t="inlineStr">
        <is>
          <t>Intensidad</t>
        </is>
      </c>
      <c r="F1647" t="n">
        <v>0.092386</v>
      </c>
    </row>
    <row r="1648">
      <c r="A1648" t="inlineStr">
        <is>
          <t>202606</t>
        </is>
      </c>
      <c r="B1648" t="inlineStr">
        <is>
          <t>Actual</t>
        </is>
      </c>
      <c r="C1648" t="inlineStr">
        <is>
          <t>Ex_Integra</t>
        </is>
      </c>
      <c r="D1648" t="inlineStr">
        <is>
          <t>Invesco - Nasdaq 100 ETF</t>
        </is>
      </c>
      <c r="E1648" t="inlineStr">
        <is>
          <t>Inv MM$</t>
        </is>
      </c>
      <c r="F1648" t="n">
        <v>114.827662</v>
      </c>
    </row>
    <row r="1649">
      <c r="A1649" t="inlineStr">
        <is>
          <t>202606</t>
        </is>
      </c>
      <c r="B1649" t="inlineStr">
        <is>
          <t>Actual</t>
        </is>
      </c>
      <c r="C1649" t="inlineStr">
        <is>
          <t>Ex_Integra</t>
        </is>
      </c>
      <c r="D1649" t="inlineStr">
        <is>
          <t>Invesco - UK Opportunities Fund</t>
        </is>
      </c>
      <c r="E1649" t="inlineStr">
        <is>
          <t>Huella</t>
        </is>
      </c>
      <c r="F1649" t="n">
        <v>256.880936</v>
      </c>
    </row>
    <row r="1650">
      <c r="A1650" t="inlineStr">
        <is>
          <t>202606</t>
        </is>
      </c>
      <c r="B1650" t="inlineStr">
        <is>
          <t>Actual</t>
        </is>
      </c>
      <c r="C1650" t="inlineStr">
        <is>
          <t>Ex_Integra</t>
        </is>
      </c>
      <c r="D1650" t="inlineStr">
        <is>
          <t>Invesco - UK Opportunities Fund</t>
        </is>
      </c>
      <c r="E1650" t="inlineStr">
        <is>
          <t>Intensidad</t>
        </is>
      </c>
      <c r="F1650" t="n">
        <v>0.064818</v>
      </c>
    </row>
    <row r="1651">
      <c r="A1651" t="inlineStr">
        <is>
          <t>202606</t>
        </is>
      </c>
      <c r="B1651" t="inlineStr">
        <is>
          <t>Actual</t>
        </is>
      </c>
      <c r="C1651" t="inlineStr">
        <is>
          <t>Ex_Integra</t>
        </is>
      </c>
      <c r="D1651" t="inlineStr">
        <is>
          <t>Invesco - UK Opportunities Fund</t>
        </is>
      </c>
      <c r="E1651" t="inlineStr">
        <is>
          <t>Inv MM$</t>
        </is>
      </c>
      <c r="F1651" t="n">
        <v>3.443387</v>
      </c>
    </row>
    <row r="1652">
      <c r="A1652" t="inlineStr">
        <is>
          <t>202606</t>
        </is>
      </c>
      <c r="B1652" t="inlineStr">
        <is>
          <t>Actual</t>
        </is>
      </c>
      <c r="C1652" t="inlineStr">
        <is>
          <t>Ex_Integra</t>
        </is>
      </c>
      <c r="D1652" t="inlineStr">
        <is>
          <t>Invesco LLC - US Banks</t>
        </is>
      </c>
      <c r="E1652" t="inlineStr">
        <is>
          <t>Huella</t>
        </is>
      </c>
      <c r="F1652" t="n">
        <v>149.927921</v>
      </c>
    </row>
    <row r="1653">
      <c r="A1653" t="inlineStr">
        <is>
          <t>202606</t>
        </is>
      </c>
      <c r="B1653" t="inlineStr">
        <is>
          <t>Actual</t>
        </is>
      </c>
      <c r="C1653" t="inlineStr">
        <is>
          <t>Ex_Integra</t>
        </is>
      </c>
      <c r="D1653" t="inlineStr">
        <is>
          <t>Invesco LLC - US Banks</t>
        </is>
      </c>
      <c r="E1653" t="inlineStr">
        <is>
          <t>Intensidad</t>
        </is>
      </c>
      <c r="F1653" t="n">
        <v>0.027158</v>
      </c>
    </row>
    <row r="1654">
      <c r="A1654" t="inlineStr">
        <is>
          <t>202606</t>
        </is>
      </c>
      <c r="B1654" t="inlineStr">
        <is>
          <t>Actual</t>
        </is>
      </c>
      <c r="C1654" t="inlineStr">
        <is>
          <t>Ex_Integra</t>
        </is>
      </c>
      <c r="D1654" t="inlineStr">
        <is>
          <t>Invesco LLC - US Banks</t>
        </is>
      </c>
      <c r="E1654" t="inlineStr">
        <is>
          <t>Inv MM$</t>
        </is>
      </c>
      <c r="F1654" t="n">
        <v>187.185363</v>
      </c>
    </row>
    <row r="1655">
      <c r="A1655" t="inlineStr">
        <is>
          <t>202606</t>
        </is>
      </c>
      <c r="B1655" t="inlineStr">
        <is>
          <t>Actual</t>
        </is>
      </c>
      <c r="C1655" t="inlineStr">
        <is>
          <t>Ex_Integra</t>
        </is>
      </c>
      <c r="D1655" t="inlineStr">
        <is>
          <t>Investec - Latin American Corporate Debt</t>
        </is>
      </c>
      <c r="E1655" t="inlineStr">
        <is>
          <t>Huella</t>
        </is>
      </c>
      <c r="F1655" t="n">
        <v>0.033761</v>
      </c>
    </row>
    <row r="1656">
      <c r="A1656" t="inlineStr">
        <is>
          <t>202606</t>
        </is>
      </c>
      <c r="B1656" t="inlineStr">
        <is>
          <t>Actual</t>
        </is>
      </c>
      <c r="C1656" t="inlineStr">
        <is>
          <t>Ex_Integra</t>
        </is>
      </c>
      <c r="D1656" t="inlineStr">
        <is>
          <t>Investec - Latin American Corporate Debt</t>
        </is>
      </c>
      <c r="E1656" t="inlineStr">
        <is>
          <t>Intensidad</t>
        </is>
      </c>
      <c r="F1656" t="n">
        <v>6e-06</v>
      </c>
    </row>
    <row r="1657">
      <c r="A1657" t="inlineStr">
        <is>
          <t>202606</t>
        </is>
      </c>
      <c r="B1657" t="inlineStr">
        <is>
          <t>Actual</t>
        </is>
      </c>
      <c r="C1657" t="inlineStr">
        <is>
          <t>Ex_Integra</t>
        </is>
      </c>
      <c r="D1657" t="inlineStr">
        <is>
          <t>Investec - Latin American Corporate Debt</t>
        </is>
      </c>
      <c r="E1657" t="inlineStr">
        <is>
          <t>Inv MM$</t>
        </is>
      </c>
      <c r="F1657" t="n">
        <v>0.000111</v>
      </c>
    </row>
    <row r="1658">
      <c r="A1658" t="inlineStr">
        <is>
          <t>202606</t>
        </is>
      </c>
      <c r="B1658" t="inlineStr">
        <is>
          <t>Actual</t>
        </is>
      </c>
      <c r="C1658" t="inlineStr">
        <is>
          <t>Ex_Integra</t>
        </is>
      </c>
      <c r="D1658" t="inlineStr">
        <is>
          <t>JP Morgan - China A Share Opportunities Fund</t>
        </is>
      </c>
      <c r="E1658" t="inlineStr">
        <is>
          <t>Huella</t>
        </is>
      </c>
      <c r="F1658" t="n">
        <v>0.006408</v>
      </c>
    </row>
    <row r="1659">
      <c r="A1659" t="inlineStr">
        <is>
          <t>202606</t>
        </is>
      </c>
      <c r="B1659" t="inlineStr">
        <is>
          <t>Actual</t>
        </is>
      </c>
      <c r="C1659" t="inlineStr">
        <is>
          <t>Ex_Integra</t>
        </is>
      </c>
      <c r="D1659" t="inlineStr">
        <is>
          <t>JP Morgan - China A Share Opportunities Fund</t>
        </is>
      </c>
      <c r="E1659" t="inlineStr">
        <is>
          <t>Intensidad</t>
        </is>
      </c>
      <c r="F1659" t="n">
        <v>1e-06</v>
      </c>
    </row>
    <row r="1660">
      <c r="A1660" t="inlineStr">
        <is>
          <t>202606</t>
        </is>
      </c>
      <c r="B1660" t="inlineStr">
        <is>
          <t>Actual</t>
        </is>
      </c>
      <c r="C1660" t="inlineStr">
        <is>
          <t>Ex_Integra</t>
        </is>
      </c>
      <c r="D1660" t="inlineStr">
        <is>
          <t>JP Morgan - China A Share Opportunities Fund</t>
        </is>
      </c>
      <c r="E1660" t="inlineStr">
        <is>
          <t>Inv MM$</t>
        </is>
      </c>
      <c r="F1660" t="n">
        <v>0.000182</v>
      </c>
    </row>
    <row r="1661">
      <c r="A1661" t="inlineStr">
        <is>
          <t>202606</t>
        </is>
      </c>
      <c r="B1661" t="inlineStr">
        <is>
          <t>Actual</t>
        </is>
      </c>
      <c r="C1661" t="inlineStr">
        <is>
          <t>Ex_Integra</t>
        </is>
      </c>
      <c r="D1661" t="inlineStr">
        <is>
          <t>JP Morgan - EM Small Cap</t>
        </is>
      </c>
      <c r="E1661" t="inlineStr">
        <is>
          <t>Huella</t>
        </is>
      </c>
      <c r="F1661" t="n">
        <v>0.154554</v>
      </c>
    </row>
    <row r="1662">
      <c r="A1662" t="inlineStr">
        <is>
          <t>202606</t>
        </is>
      </c>
      <c r="B1662" t="inlineStr">
        <is>
          <t>Actual</t>
        </is>
      </c>
      <c r="C1662" t="inlineStr">
        <is>
          <t>Ex_Integra</t>
        </is>
      </c>
      <c r="D1662" t="inlineStr">
        <is>
          <t>JP Morgan - EM Small Cap</t>
        </is>
      </c>
      <c r="E1662" t="inlineStr">
        <is>
          <t>Intensidad</t>
        </is>
      </c>
      <c r="F1662" t="n">
        <v>3.2e-05</v>
      </c>
    </row>
    <row r="1663">
      <c r="A1663" t="inlineStr">
        <is>
          <t>202606</t>
        </is>
      </c>
      <c r="B1663" t="inlineStr">
        <is>
          <t>Actual</t>
        </is>
      </c>
      <c r="C1663" t="inlineStr">
        <is>
          <t>Ex_Integra</t>
        </is>
      </c>
      <c r="D1663" t="inlineStr">
        <is>
          <t>JP Morgan - EM Small Cap</t>
        </is>
      </c>
      <c r="E1663" t="inlineStr">
        <is>
          <t>Inv MM$</t>
        </is>
      </c>
      <c r="F1663" t="n">
        <v>0.007009</v>
      </c>
    </row>
    <row r="1664">
      <c r="A1664" t="inlineStr">
        <is>
          <t>202606</t>
        </is>
      </c>
      <c r="B1664" t="inlineStr">
        <is>
          <t>Actual</t>
        </is>
      </c>
      <c r="C1664" t="inlineStr">
        <is>
          <t>Ex_Integra</t>
        </is>
      </c>
      <c r="D1664" t="inlineStr">
        <is>
          <t>JP Morgan - Emerging Markets</t>
        </is>
      </c>
      <c r="E1664" t="inlineStr">
        <is>
          <t>Huella</t>
        </is>
      </c>
      <c r="F1664" t="n">
        <v>29.962216</v>
      </c>
    </row>
    <row r="1665">
      <c r="A1665" t="inlineStr">
        <is>
          <t>202606</t>
        </is>
      </c>
      <c r="B1665" t="inlineStr">
        <is>
          <t>Actual</t>
        </is>
      </c>
      <c r="C1665" t="inlineStr">
        <is>
          <t>Ex_Integra</t>
        </is>
      </c>
      <c r="D1665" t="inlineStr">
        <is>
          <t>JP Morgan - Emerging Markets</t>
        </is>
      </c>
      <c r="E1665" t="inlineStr">
        <is>
          <t>Intensidad</t>
        </is>
      </c>
      <c r="F1665" t="n">
        <v>0.00615</v>
      </c>
    </row>
    <row r="1666">
      <c r="A1666" t="inlineStr">
        <is>
          <t>202606</t>
        </is>
      </c>
      <c r="B1666" t="inlineStr">
        <is>
          <t>Actual</t>
        </is>
      </c>
      <c r="C1666" t="inlineStr">
        <is>
          <t>Ex_Integra</t>
        </is>
      </c>
      <c r="D1666" t="inlineStr">
        <is>
          <t>JP Morgan - Emerging Markets</t>
        </is>
      </c>
      <c r="E1666" t="inlineStr">
        <is>
          <t>Inv MM$</t>
        </is>
      </c>
      <c r="F1666" t="n">
        <v>1.277032</v>
      </c>
    </row>
    <row r="1667">
      <c r="A1667" t="inlineStr">
        <is>
          <t>202606</t>
        </is>
      </c>
      <c r="B1667" t="inlineStr">
        <is>
          <t>Actual</t>
        </is>
      </c>
      <c r="C1667" t="inlineStr">
        <is>
          <t>Ex_Integra</t>
        </is>
      </c>
      <c r="D1667" t="inlineStr">
        <is>
          <t>JP Morgan - Greater China Fund</t>
        </is>
      </c>
      <c r="E1667" t="inlineStr">
        <is>
          <t>Huella</t>
        </is>
      </c>
      <c r="F1667" t="n">
        <v>0.008753</v>
      </c>
    </row>
    <row r="1668">
      <c r="A1668" t="inlineStr">
        <is>
          <t>202606</t>
        </is>
      </c>
      <c r="B1668" t="inlineStr">
        <is>
          <t>Actual</t>
        </is>
      </c>
      <c r="C1668" t="inlineStr">
        <is>
          <t>Ex_Integra</t>
        </is>
      </c>
      <c r="D1668" t="inlineStr">
        <is>
          <t>JP Morgan - Greater China Fund</t>
        </is>
      </c>
      <c r="E1668" t="inlineStr">
        <is>
          <t>Intensidad</t>
        </is>
      </c>
      <c r="F1668" t="n">
        <v>2e-06</v>
      </c>
    </row>
    <row r="1669">
      <c r="A1669" t="inlineStr">
        <is>
          <t>202606</t>
        </is>
      </c>
      <c r="B1669" t="inlineStr">
        <is>
          <t>Actual</t>
        </is>
      </c>
      <c r="C1669" t="inlineStr">
        <is>
          <t>Ex_Integra</t>
        </is>
      </c>
      <c r="D1669" t="inlineStr">
        <is>
          <t>JP Morgan - Greater China Fund</t>
        </is>
      </c>
      <c r="E1669" t="inlineStr">
        <is>
          <t>Inv MM$</t>
        </is>
      </c>
      <c r="F1669" t="n">
        <v>0.00055</v>
      </c>
    </row>
    <row r="1670">
      <c r="A1670" t="inlineStr">
        <is>
          <t>202606</t>
        </is>
      </c>
      <c r="B1670" t="inlineStr">
        <is>
          <t>Actual</t>
        </is>
      </c>
      <c r="C1670" t="inlineStr">
        <is>
          <t>Ex_Integra</t>
        </is>
      </c>
      <c r="D1670" t="inlineStr">
        <is>
          <t>JP Morgan - Japan Equity Fund - I</t>
        </is>
      </c>
      <c r="E1670" t="inlineStr">
        <is>
          <t>Huella</t>
        </is>
      </c>
      <c r="F1670" t="n">
        <v>551.361489</v>
      </c>
    </row>
    <row r="1671">
      <c r="A1671" t="inlineStr">
        <is>
          <t>202606</t>
        </is>
      </c>
      <c r="B1671" t="inlineStr">
        <is>
          <t>Actual</t>
        </is>
      </c>
      <c r="C1671" t="inlineStr">
        <is>
          <t>Ex_Integra</t>
        </is>
      </c>
      <c r="D1671" t="inlineStr">
        <is>
          <t>JP Morgan - Japan Equity Fund - I</t>
        </is>
      </c>
      <c r="E1671" t="inlineStr">
        <is>
          <t>Intensidad</t>
        </is>
      </c>
      <c r="F1671" t="n">
        <v>0.092156</v>
      </c>
    </row>
    <row r="1672">
      <c r="A1672" t="inlineStr">
        <is>
          <t>202606</t>
        </is>
      </c>
      <c r="B1672" t="inlineStr">
        <is>
          <t>Actual</t>
        </is>
      </c>
      <c r="C1672" t="inlineStr">
        <is>
          <t>Ex_Integra</t>
        </is>
      </c>
      <c r="D1672" t="inlineStr">
        <is>
          <t>JP Morgan - Japan Equity Fund - I</t>
        </is>
      </c>
      <c r="E1672" t="inlineStr">
        <is>
          <t>Inv MM$</t>
        </is>
      </c>
      <c r="F1672" t="n">
        <v>29.003104</v>
      </c>
    </row>
    <row r="1673">
      <c r="A1673" t="inlineStr">
        <is>
          <t>202606</t>
        </is>
      </c>
      <c r="B1673" t="inlineStr">
        <is>
          <t>Actual</t>
        </is>
      </c>
      <c r="C1673" t="inlineStr">
        <is>
          <t>Ex_Integra</t>
        </is>
      </c>
      <c r="D1673" t="inlineStr">
        <is>
          <t>Janus Henderson - Continental European Fund</t>
        </is>
      </c>
      <c r="E1673" t="inlineStr">
        <is>
          <t>Huella</t>
        </is>
      </c>
      <c r="F1673" t="n">
        <v>0.003127</v>
      </c>
    </row>
    <row r="1674">
      <c r="A1674" t="inlineStr">
        <is>
          <t>202606</t>
        </is>
      </c>
      <c r="B1674" t="inlineStr">
        <is>
          <t>Actual</t>
        </is>
      </c>
      <c r="C1674" t="inlineStr">
        <is>
          <t>Ex_Integra</t>
        </is>
      </c>
      <c r="D1674" t="inlineStr">
        <is>
          <t>Janus Henderson - Continental European Fund</t>
        </is>
      </c>
      <c r="E1674" t="inlineStr">
        <is>
          <t>Intensidad</t>
        </is>
      </c>
      <c r="F1674" t="n">
        <v>1e-06</v>
      </c>
    </row>
    <row r="1675">
      <c r="A1675" t="inlineStr">
        <is>
          <t>202606</t>
        </is>
      </c>
      <c r="B1675" t="inlineStr">
        <is>
          <t>Actual</t>
        </is>
      </c>
      <c r="C1675" t="inlineStr">
        <is>
          <t>Ex_Integra</t>
        </is>
      </c>
      <c r="D1675" t="inlineStr">
        <is>
          <t>Janus Henderson - Continental European Fund</t>
        </is>
      </c>
      <c r="E1675" t="inlineStr">
        <is>
          <t>Inv MM$</t>
        </is>
      </c>
      <c r="F1675" t="n">
        <v>8.000000000000001e-05</v>
      </c>
    </row>
    <row r="1676">
      <c r="A1676" t="inlineStr">
        <is>
          <t>202606</t>
        </is>
      </c>
      <c r="B1676" t="inlineStr">
        <is>
          <t>Actual</t>
        </is>
      </c>
      <c r="C1676" t="inlineStr">
        <is>
          <t>Ex_Integra</t>
        </is>
      </c>
      <c r="D1676" t="inlineStr">
        <is>
          <t>Jupiter - Bonds Global High Yield</t>
        </is>
      </c>
      <c r="E1676" t="inlineStr">
        <is>
          <t>Huella</t>
        </is>
      </c>
      <c r="F1676" t="n">
        <v>49620.680242</v>
      </c>
    </row>
    <row r="1677">
      <c r="A1677" t="inlineStr">
        <is>
          <t>202606</t>
        </is>
      </c>
      <c r="B1677" t="inlineStr">
        <is>
          <t>Actual</t>
        </is>
      </c>
      <c r="C1677" t="inlineStr">
        <is>
          <t>Ex_Integra</t>
        </is>
      </c>
      <c r="D1677" t="inlineStr">
        <is>
          <t>Jupiter - Bonds Global High Yield</t>
        </is>
      </c>
      <c r="E1677" t="inlineStr">
        <is>
          <t>Intensidad</t>
        </is>
      </c>
      <c r="F1677" t="n">
        <v>4.113034</v>
      </c>
    </row>
    <row r="1678">
      <c r="A1678" t="inlineStr">
        <is>
          <t>202606</t>
        </is>
      </c>
      <c r="B1678" t="inlineStr">
        <is>
          <t>Actual</t>
        </is>
      </c>
      <c r="C1678" t="inlineStr">
        <is>
          <t>Ex_Integra</t>
        </is>
      </c>
      <c r="D1678" t="inlineStr">
        <is>
          <t>Jupiter - Bonds Global High Yield</t>
        </is>
      </c>
      <c r="E1678" t="inlineStr">
        <is>
          <t>Inv MM$</t>
        </is>
      </c>
      <c r="F1678" t="n">
        <v>174.574992</v>
      </c>
    </row>
    <row r="1679">
      <c r="A1679" t="inlineStr">
        <is>
          <t>202606</t>
        </is>
      </c>
      <c r="B1679" t="inlineStr">
        <is>
          <t>Actual</t>
        </is>
      </c>
      <c r="C1679" t="inlineStr">
        <is>
          <t>Ex_Integra</t>
        </is>
      </c>
      <c r="D1679" t="inlineStr">
        <is>
          <t>Jupiter Unit Trust - Asian Income Fund I GBP</t>
        </is>
      </c>
      <c r="E1679" t="inlineStr">
        <is>
          <t>Huella</t>
        </is>
      </c>
      <c r="F1679" t="n">
        <v>0.000128</v>
      </c>
    </row>
    <row r="1680">
      <c r="A1680" t="inlineStr">
        <is>
          <t>202606</t>
        </is>
      </c>
      <c r="B1680" t="inlineStr">
        <is>
          <t>Actual</t>
        </is>
      </c>
      <c r="C1680" t="inlineStr">
        <is>
          <t>Ex_Integra</t>
        </is>
      </c>
      <c r="D1680" t="inlineStr">
        <is>
          <t>Jupiter Unit Trust - Asian Income Fund I GBP</t>
        </is>
      </c>
      <c r="E1680" t="inlineStr">
        <is>
          <t>Intensidad</t>
        </is>
      </c>
      <c r="F1680" t="n">
        <v>0</v>
      </c>
    </row>
    <row r="1681">
      <c r="A1681" t="inlineStr">
        <is>
          <t>202606</t>
        </is>
      </c>
      <c r="B1681" t="inlineStr">
        <is>
          <t>Actual</t>
        </is>
      </c>
      <c r="C1681" t="inlineStr">
        <is>
          <t>Ex_Integra</t>
        </is>
      </c>
      <c r="D1681" t="inlineStr">
        <is>
          <t>Jupiter Unit Trust - Asian Income Fund I GBP</t>
        </is>
      </c>
      <c r="E1681" t="inlineStr">
        <is>
          <t>Inv MM$</t>
        </is>
      </c>
      <c r="F1681" t="n">
        <v>5e-06</v>
      </c>
    </row>
    <row r="1682">
      <c r="A1682" t="inlineStr">
        <is>
          <t>202606</t>
        </is>
      </c>
      <c r="B1682" t="inlineStr">
        <is>
          <t>Actual</t>
        </is>
      </c>
      <c r="C1682" t="inlineStr">
        <is>
          <t>Ex_Integra</t>
        </is>
      </c>
      <c r="D1682" t="inlineStr">
        <is>
          <t>Jupiter Unit Trust - European Fund</t>
        </is>
      </c>
      <c r="E1682" t="inlineStr">
        <is>
          <t>Huella</t>
        </is>
      </c>
      <c r="F1682" t="n">
        <v>0.482533</v>
      </c>
    </row>
    <row r="1683">
      <c r="A1683" t="inlineStr">
        <is>
          <t>202606</t>
        </is>
      </c>
      <c r="B1683" t="inlineStr">
        <is>
          <t>Actual</t>
        </is>
      </c>
      <c r="C1683" t="inlineStr">
        <is>
          <t>Ex_Integra</t>
        </is>
      </c>
      <c r="D1683" t="inlineStr">
        <is>
          <t>Jupiter Unit Trust - European Fund</t>
        </is>
      </c>
      <c r="E1683" t="inlineStr">
        <is>
          <t>Intensidad</t>
        </is>
      </c>
      <c r="F1683" t="n">
        <v>3.5e-05</v>
      </c>
    </row>
    <row r="1684">
      <c r="A1684" t="inlineStr">
        <is>
          <t>202606</t>
        </is>
      </c>
      <c r="B1684" t="inlineStr">
        <is>
          <t>Actual</t>
        </is>
      </c>
      <c r="C1684" t="inlineStr">
        <is>
          <t>Ex_Integra</t>
        </is>
      </c>
      <c r="D1684" t="inlineStr">
        <is>
          <t>Jupiter Unit Trust - European Fund</t>
        </is>
      </c>
      <c r="E1684" t="inlineStr">
        <is>
          <t>Inv MM$</t>
        </is>
      </c>
      <c r="F1684" t="n">
        <v>0.005735</v>
      </c>
    </row>
    <row r="1685">
      <c r="A1685" t="inlineStr">
        <is>
          <t>202606</t>
        </is>
      </c>
      <c r="B1685" t="inlineStr">
        <is>
          <t>Actual</t>
        </is>
      </c>
      <c r="C1685" t="inlineStr">
        <is>
          <t>Ex_Integra</t>
        </is>
      </c>
      <c r="D1685" t="inlineStr">
        <is>
          <t>Jupiter Unit Trust - European Growth</t>
        </is>
      </c>
      <c r="E1685" t="inlineStr">
        <is>
          <t>Huella</t>
        </is>
      </c>
      <c r="F1685" t="n">
        <v>0.027458</v>
      </c>
    </row>
    <row r="1686">
      <c r="A1686" t="inlineStr">
        <is>
          <t>202606</t>
        </is>
      </c>
      <c r="B1686" t="inlineStr">
        <is>
          <t>Actual</t>
        </is>
      </c>
      <c r="C1686" t="inlineStr">
        <is>
          <t>Ex_Integra</t>
        </is>
      </c>
      <c r="D1686" t="inlineStr">
        <is>
          <t>Jupiter Unit Trust - European Growth</t>
        </is>
      </c>
      <c r="E1686" t="inlineStr">
        <is>
          <t>Intensidad</t>
        </is>
      </c>
      <c r="F1686" t="n">
        <v>4e-06</v>
      </c>
    </row>
    <row r="1687">
      <c r="A1687" t="inlineStr">
        <is>
          <t>202606</t>
        </is>
      </c>
      <c r="B1687" t="inlineStr">
        <is>
          <t>Actual</t>
        </is>
      </c>
      <c r="C1687" t="inlineStr">
        <is>
          <t>Ex_Integra</t>
        </is>
      </c>
      <c r="D1687" t="inlineStr">
        <is>
          <t>Jupiter Unit Trust - European Growth</t>
        </is>
      </c>
      <c r="E1687" t="inlineStr">
        <is>
          <t>Inv MM$</t>
        </is>
      </c>
      <c r="F1687" t="n">
        <v>0.000339</v>
      </c>
    </row>
    <row r="1688">
      <c r="A1688" t="inlineStr">
        <is>
          <t>202606</t>
        </is>
      </c>
      <c r="B1688" t="inlineStr">
        <is>
          <t>Actual</t>
        </is>
      </c>
      <c r="C1688" t="inlineStr">
        <is>
          <t>Ex_Integra</t>
        </is>
      </c>
      <c r="D1688" t="inlineStr">
        <is>
          <t>Krane - CSI China Internet Fund</t>
        </is>
      </c>
      <c r="E1688" t="inlineStr">
        <is>
          <t>Huella</t>
        </is>
      </c>
      <c r="F1688" t="n">
        <v>847.282013</v>
      </c>
    </row>
    <row r="1689">
      <c r="A1689" t="inlineStr">
        <is>
          <t>202606</t>
        </is>
      </c>
      <c r="B1689" t="inlineStr">
        <is>
          <t>Actual</t>
        </is>
      </c>
      <c r="C1689" t="inlineStr">
        <is>
          <t>Ex_Integra</t>
        </is>
      </c>
      <c r="D1689" t="inlineStr">
        <is>
          <t>Krane - CSI China Internet Fund</t>
        </is>
      </c>
      <c r="E1689" t="inlineStr">
        <is>
          <t>Intensidad</t>
        </is>
      </c>
      <c r="F1689" t="n">
        <v>0.132431</v>
      </c>
    </row>
    <row r="1690">
      <c r="A1690" t="inlineStr">
        <is>
          <t>202606</t>
        </is>
      </c>
      <c r="B1690" t="inlineStr">
        <is>
          <t>Actual</t>
        </is>
      </c>
      <c r="C1690" t="inlineStr">
        <is>
          <t>Ex_Integra</t>
        </is>
      </c>
      <c r="D1690" t="inlineStr">
        <is>
          <t>Krane - CSI China Internet Fund</t>
        </is>
      </c>
      <c r="E1690" t="inlineStr">
        <is>
          <t>Inv MM$</t>
        </is>
      </c>
      <c r="F1690" t="n">
        <v>123.064887</v>
      </c>
    </row>
    <row r="1691">
      <c r="A1691" t="inlineStr">
        <is>
          <t>202606</t>
        </is>
      </c>
      <c r="B1691" t="inlineStr">
        <is>
          <t>Actual</t>
        </is>
      </c>
      <c r="C1691" t="inlineStr">
        <is>
          <t>Ex_Integra</t>
        </is>
      </c>
      <c r="D1691" t="inlineStr">
        <is>
          <t>Lazard - Convertible Europe Fund</t>
        </is>
      </c>
      <c r="E1691" t="inlineStr">
        <is>
          <t>Huella</t>
        </is>
      </c>
      <c r="F1691" t="n">
        <v>2590.730595</v>
      </c>
    </row>
    <row r="1692">
      <c r="A1692" t="inlineStr">
        <is>
          <t>202606</t>
        </is>
      </c>
      <c r="B1692" t="inlineStr">
        <is>
          <t>Actual</t>
        </is>
      </c>
      <c r="C1692" t="inlineStr">
        <is>
          <t>Ex_Integra</t>
        </is>
      </c>
      <c r="D1692" t="inlineStr">
        <is>
          <t>Lazard - Convertible Europe Fund</t>
        </is>
      </c>
      <c r="E1692" t="inlineStr">
        <is>
          <t>Intensidad</t>
        </is>
      </c>
      <c r="F1692" t="n">
        <v>0.355031</v>
      </c>
    </row>
    <row r="1693">
      <c r="A1693" t="inlineStr">
        <is>
          <t>202606</t>
        </is>
      </c>
      <c r="B1693" t="inlineStr">
        <is>
          <t>Actual</t>
        </is>
      </c>
      <c r="C1693" t="inlineStr">
        <is>
          <t>Ex_Integra</t>
        </is>
      </c>
      <c r="D1693" t="inlineStr">
        <is>
          <t>Lazard - Convertible Europe Fund</t>
        </is>
      </c>
      <c r="E1693" t="inlineStr">
        <is>
          <t>Inv MM$</t>
        </is>
      </c>
      <c r="F1693" t="n">
        <v>15.175618</v>
      </c>
    </row>
    <row r="1694">
      <c r="A1694" t="inlineStr">
        <is>
          <t>202606</t>
        </is>
      </c>
      <c r="B1694" t="inlineStr">
        <is>
          <t>Actual</t>
        </is>
      </c>
      <c r="C1694" t="inlineStr">
        <is>
          <t>Ex_Integra</t>
        </is>
      </c>
      <c r="D1694" t="inlineStr">
        <is>
          <t>Lazard - Convertible Global Fund</t>
        </is>
      </c>
      <c r="E1694" t="inlineStr">
        <is>
          <t>Huella</t>
        </is>
      </c>
      <c r="F1694" t="n">
        <v>157.645315</v>
      </c>
    </row>
    <row r="1695">
      <c r="A1695" t="inlineStr">
        <is>
          <t>202606</t>
        </is>
      </c>
      <c r="B1695" t="inlineStr">
        <is>
          <t>Actual</t>
        </is>
      </c>
      <c r="C1695" t="inlineStr">
        <is>
          <t>Ex_Integra</t>
        </is>
      </c>
      <c r="D1695" t="inlineStr">
        <is>
          <t>Lazard - Convertible Global Fund</t>
        </is>
      </c>
      <c r="E1695" t="inlineStr">
        <is>
          <t>Intensidad</t>
        </is>
      </c>
      <c r="F1695" t="n">
        <v>0.042601</v>
      </c>
    </row>
    <row r="1696">
      <c r="A1696" t="inlineStr">
        <is>
          <t>202606</t>
        </is>
      </c>
      <c r="B1696" t="inlineStr">
        <is>
          <t>Actual</t>
        </is>
      </c>
      <c r="C1696" t="inlineStr">
        <is>
          <t>Ex_Integra</t>
        </is>
      </c>
      <c r="D1696" t="inlineStr">
        <is>
          <t>Lazard - Convertible Global Fund</t>
        </is>
      </c>
      <c r="E1696" t="inlineStr">
        <is>
          <t>Inv MM$</t>
        </is>
      </c>
      <c r="F1696" t="n">
        <v>2.274336</v>
      </c>
    </row>
    <row r="1697">
      <c r="A1697" t="inlineStr">
        <is>
          <t>202606</t>
        </is>
      </c>
      <c r="B1697" t="inlineStr">
        <is>
          <t>Actual</t>
        </is>
      </c>
      <c r="C1697" t="inlineStr">
        <is>
          <t>Ex_Integra</t>
        </is>
      </c>
      <c r="D1697" t="inlineStr">
        <is>
          <t>Lazard - Japanese Strategic Equity</t>
        </is>
      </c>
      <c r="E1697" t="inlineStr">
        <is>
          <t>Huella</t>
        </is>
      </c>
      <c r="F1697" t="n">
        <v>926.66029</v>
      </c>
    </row>
    <row r="1698">
      <c r="A1698" t="inlineStr">
        <is>
          <t>202606</t>
        </is>
      </c>
      <c r="B1698" t="inlineStr">
        <is>
          <t>Actual</t>
        </is>
      </c>
      <c r="C1698" t="inlineStr">
        <is>
          <t>Ex_Integra</t>
        </is>
      </c>
      <c r="D1698" t="inlineStr">
        <is>
          <t>Lazard - Japanese Strategic Equity</t>
        </is>
      </c>
      <c r="E1698" t="inlineStr">
        <is>
          <t>Intensidad</t>
        </is>
      </c>
      <c r="F1698" t="n">
        <v>0.120121</v>
      </c>
    </row>
    <row r="1699">
      <c r="A1699" t="inlineStr">
        <is>
          <t>202606</t>
        </is>
      </c>
      <c r="B1699" t="inlineStr">
        <is>
          <t>Actual</t>
        </is>
      </c>
      <c r="C1699" t="inlineStr">
        <is>
          <t>Ex_Integra</t>
        </is>
      </c>
      <c r="D1699" t="inlineStr">
        <is>
          <t>Lazard - Japanese Strategic Equity</t>
        </is>
      </c>
      <c r="E1699" t="inlineStr">
        <is>
          <t>Inv MM$</t>
        </is>
      </c>
      <c r="F1699" t="n">
        <v>24.483878</v>
      </c>
    </row>
    <row r="1700">
      <c r="A1700" t="inlineStr">
        <is>
          <t>202606</t>
        </is>
      </c>
      <c r="B1700" t="inlineStr">
        <is>
          <t>Actual</t>
        </is>
      </c>
      <c r="C1700" t="inlineStr">
        <is>
          <t>Ex_Integra</t>
        </is>
      </c>
      <c r="D1700" t="inlineStr">
        <is>
          <t>Lazard Capital Fi</t>
        </is>
      </c>
      <c r="E1700" t="inlineStr">
        <is>
          <t>Huella</t>
        </is>
      </c>
      <c r="F1700" t="n">
        <v>0.002991</v>
      </c>
    </row>
    <row r="1701">
      <c r="A1701" t="inlineStr">
        <is>
          <t>202606</t>
        </is>
      </c>
      <c r="B1701" t="inlineStr">
        <is>
          <t>Actual</t>
        </is>
      </c>
      <c r="C1701" t="inlineStr">
        <is>
          <t>Ex_Integra</t>
        </is>
      </c>
      <c r="D1701" t="inlineStr">
        <is>
          <t>Lazard Capital Fi</t>
        </is>
      </c>
      <c r="E1701" t="inlineStr">
        <is>
          <t>Intensidad</t>
        </is>
      </c>
      <c r="F1701" t="n">
        <v>1e-06</v>
      </c>
    </row>
    <row r="1702">
      <c r="A1702" t="inlineStr">
        <is>
          <t>202606</t>
        </is>
      </c>
      <c r="B1702" t="inlineStr">
        <is>
          <t>Actual</t>
        </is>
      </c>
      <c r="C1702" t="inlineStr">
        <is>
          <t>Ex_Integra</t>
        </is>
      </c>
      <c r="D1702" t="inlineStr">
        <is>
          <t>Lazard Capital Fi</t>
        </is>
      </c>
      <c r="E1702" t="inlineStr">
        <is>
          <t>Inv MM$</t>
        </is>
      </c>
      <c r="F1702" t="n">
        <v>0.001957</v>
      </c>
    </row>
    <row r="1703">
      <c r="A1703" t="inlineStr">
        <is>
          <t>202606</t>
        </is>
      </c>
      <c r="B1703" t="inlineStr">
        <is>
          <t>Actual</t>
        </is>
      </c>
      <c r="C1703" t="inlineStr">
        <is>
          <t>Ex_Integra</t>
        </is>
      </c>
      <c r="D1703" t="inlineStr">
        <is>
          <t>Liontrust - Liontrust European Dynamic Fund S</t>
        </is>
      </c>
      <c r="E1703" t="inlineStr">
        <is>
          <t>Huella</t>
        </is>
      </c>
      <c r="F1703" t="n">
        <v>4.893818</v>
      </c>
    </row>
    <row r="1704">
      <c r="A1704" t="inlineStr">
        <is>
          <t>202606</t>
        </is>
      </c>
      <c r="B1704" t="inlineStr">
        <is>
          <t>Actual</t>
        </is>
      </c>
      <c r="C1704" t="inlineStr">
        <is>
          <t>Ex_Integra</t>
        </is>
      </c>
      <c r="D1704" t="inlineStr">
        <is>
          <t>Liontrust - Liontrust European Dynamic Fund S</t>
        </is>
      </c>
      <c r="E1704" t="inlineStr">
        <is>
          <t>Intensidad</t>
        </is>
      </c>
      <c r="F1704" t="n">
        <v>0.00078</v>
      </c>
    </row>
    <row r="1705">
      <c r="A1705" t="inlineStr">
        <is>
          <t>202606</t>
        </is>
      </c>
      <c r="B1705" t="inlineStr">
        <is>
          <t>Actual</t>
        </is>
      </c>
      <c r="C1705" t="inlineStr">
        <is>
          <t>Ex_Integra</t>
        </is>
      </c>
      <c r="D1705" t="inlineStr">
        <is>
          <t>Liontrust - Liontrust European Dynamic Fund S</t>
        </is>
      </c>
      <c r="E1705" t="inlineStr">
        <is>
          <t>Inv MM$</t>
        </is>
      </c>
      <c r="F1705" t="n">
        <v>0.030265</v>
      </c>
    </row>
    <row r="1706">
      <c r="A1706" t="inlineStr">
        <is>
          <t>202606</t>
        </is>
      </c>
      <c r="B1706" t="inlineStr">
        <is>
          <t>Actual</t>
        </is>
      </c>
      <c r="C1706" t="inlineStr">
        <is>
          <t>Ex_Integra</t>
        </is>
      </c>
      <c r="D1706" t="inlineStr">
        <is>
          <t>M&amp;G - Global Floating Rate High Yield Fund</t>
        </is>
      </c>
      <c r="E1706" t="inlineStr">
        <is>
          <t>Huella</t>
        </is>
      </c>
      <c r="F1706" t="n">
        <v>0.226492</v>
      </c>
    </row>
    <row r="1707">
      <c r="A1707" t="inlineStr">
        <is>
          <t>202606</t>
        </is>
      </c>
      <c r="B1707" t="inlineStr">
        <is>
          <t>Actual</t>
        </is>
      </c>
      <c r="C1707" t="inlineStr">
        <is>
          <t>Ex_Integra</t>
        </is>
      </c>
      <c r="D1707" t="inlineStr">
        <is>
          <t>M&amp;G - Global Floating Rate High Yield Fund</t>
        </is>
      </c>
      <c r="E1707" t="inlineStr">
        <is>
          <t>Intensidad</t>
        </is>
      </c>
      <c r="F1707" t="n">
        <v>6.1e-05</v>
      </c>
    </row>
    <row r="1708">
      <c r="A1708" t="inlineStr">
        <is>
          <t>202606</t>
        </is>
      </c>
      <c r="B1708" t="inlineStr">
        <is>
          <t>Actual</t>
        </is>
      </c>
      <c r="C1708" t="inlineStr">
        <is>
          <t>Ex_Integra</t>
        </is>
      </c>
      <c r="D1708" t="inlineStr">
        <is>
          <t>M&amp;G - Global Floating Rate High Yield Fund</t>
        </is>
      </c>
      <c r="E1708" t="inlineStr">
        <is>
          <t>Inv MM$</t>
        </is>
      </c>
      <c r="F1708" t="n">
        <v>0.010254</v>
      </c>
    </row>
    <row r="1709">
      <c r="A1709" t="inlineStr">
        <is>
          <t>202606</t>
        </is>
      </c>
      <c r="B1709" t="inlineStr">
        <is>
          <t>Actual</t>
        </is>
      </c>
      <c r="C1709" t="inlineStr">
        <is>
          <t>Ex_Integra</t>
        </is>
      </c>
      <c r="D1709" t="inlineStr">
        <is>
          <t>MSIM - Asia Opportunity</t>
        </is>
      </c>
      <c r="E1709" t="inlineStr">
        <is>
          <t>Huella</t>
        </is>
      </c>
      <c r="F1709" t="n">
        <v>0.002324</v>
      </c>
    </row>
    <row r="1710">
      <c r="A1710" t="inlineStr">
        <is>
          <t>202606</t>
        </is>
      </c>
      <c r="B1710" t="inlineStr">
        <is>
          <t>Actual</t>
        </is>
      </c>
      <c r="C1710" t="inlineStr">
        <is>
          <t>Ex_Integra</t>
        </is>
      </c>
      <c r="D1710" t="inlineStr">
        <is>
          <t>MSIM - Asia Opportunity</t>
        </is>
      </c>
      <c r="E1710" t="inlineStr">
        <is>
          <t>Intensidad</t>
        </is>
      </c>
      <c r="F1710" t="n">
        <v>0</v>
      </c>
    </row>
    <row r="1711">
      <c r="A1711" t="inlineStr">
        <is>
          <t>202606</t>
        </is>
      </c>
      <c r="B1711" t="inlineStr">
        <is>
          <t>Actual</t>
        </is>
      </c>
      <c r="C1711" t="inlineStr">
        <is>
          <t>Ex_Integra</t>
        </is>
      </c>
      <c r="D1711" t="inlineStr">
        <is>
          <t>MSIM - Asia Opportunity</t>
        </is>
      </c>
      <c r="E1711" t="inlineStr">
        <is>
          <t>Inv MM$</t>
        </is>
      </c>
      <c r="F1711" t="n">
        <v>0.000244</v>
      </c>
    </row>
    <row r="1712">
      <c r="A1712" t="inlineStr">
        <is>
          <t>202606</t>
        </is>
      </c>
      <c r="B1712" t="inlineStr">
        <is>
          <t>Actual</t>
        </is>
      </c>
      <c r="C1712" t="inlineStr">
        <is>
          <t>Ex_Integra</t>
        </is>
      </c>
      <c r="D1712" t="inlineStr">
        <is>
          <t>Man GLG - Continental European Growth</t>
        </is>
      </c>
      <c r="E1712" t="inlineStr">
        <is>
          <t>Huella</t>
        </is>
      </c>
      <c r="F1712" t="n">
        <v>0.002413</v>
      </c>
    </row>
    <row r="1713">
      <c r="A1713" t="inlineStr">
        <is>
          <t>202606</t>
        </is>
      </c>
      <c r="B1713" t="inlineStr">
        <is>
          <t>Actual</t>
        </is>
      </c>
      <c r="C1713" t="inlineStr">
        <is>
          <t>Ex_Integra</t>
        </is>
      </c>
      <c r="D1713" t="inlineStr">
        <is>
          <t>Man GLG - Continental European Growth</t>
        </is>
      </c>
      <c r="E1713" t="inlineStr">
        <is>
          <t>Intensidad</t>
        </is>
      </c>
      <c r="F1713" t="n">
        <v>0</v>
      </c>
    </row>
    <row r="1714">
      <c r="A1714" t="inlineStr">
        <is>
          <t>202606</t>
        </is>
      </c>
      <c r="B1714" t="inlineStr">
        <is>
          <t>Actual</t>
        </is>
      </c>
      <c r="C1714" t="inlineStr">
        <is>
          <t>Ex_Integra</t>
        </is>
      </c>
      <c r="D1714" t="inlineStr">
        <is>
          <t>Man GLG - Continental European Growth</t>
        </is>
      </c>
      <c r="E1714" t="inlineStr">
        <is>
          <t>Inv MM$</t>
        </is>
      </c>
      <c r="F1714" t="n">
        <v>3.8e-05</v>
      </c>
    </row>
    <row r="1715">
      <c r="A1715" t="inlineStr">
        <is>
          <t>202606</t>
        </is>
      </c>
      <c r="B1715" t="inlineStr">
        <is>
          <t>Actual</t>
        </is>
      </c>
      <c r="C1715" t="inlineStr">
        <is>
          <t>Ex_Integra</t>
        </is>
      </c>
      <c r="D1715" t="inlineStr">
        <is>
          <t>Mi Vivienda</t>
        </is>
      </c>
      <c r="E1715" t="inlineStr">
        <is>
          <t>Huella</t>
        </is>
      </c>
      <c r="F1715" t="n">
        <v>3.71234</v>
      </c>
    </row>
    <row r="1716">
      <c r="A1716" t="inlineStr">
        <is>
          <t>202606</t>
        </is>
      </c>
      <c r="B1716" t="inlineStr">
        <is>
          <t>Actual</t>
        </is>
      </c>
      <c r="C1716" t="inlineStr">
        <is>
          <t>Ex_Integra</t>
        </is>
      </c>
      <c r="D1716" t="inlineStr">
        <is>
          <t>Mi Vivienda</t>
        </is>
      </c>
      <c r="E1716" t="inlineStr">
        <is>
          <t>Intensidad</t>
        </is>
      </c>
      <c r="F1716" t="n">
        <v>0.000481</v>
      </c>
    </row>
    <row r="1717">
      <c r="A1717" t="inlineStr">
        <is>
          <t>202606</t>
        </is>
      </c>
      <c r="B1717" t="inlineStr">
        <is>
          <t>Actual</t>
        </is>
      </c>
      <c r="C1717" t="inlineStr">
        <is>
          <t>Ex_Integra</t>
        </is>
      </c>
      <c r="D1717" t="inlineStr">
        <is>
          <t>Mi Vivienda</t>
        </is>
      </c>
      <c r="E1717" t="inlineStr">
        <is>
          <t>Inv MM$</t>
        </is>
      </c>
      <c r="F1717" t="n">
        <v>11.975292</v>
      </c>
    </row>
    <row r="1718">
      <c r="A1718" t="inlineStr">
        <is>
          <t>202606</t>
        </is>
      </c>
      <c r="B1718" t="inlineStr">
        <is>
          <t>Actual</t>
        </is>
      </c>
      <c r="C1718" t="inlineStr">
        <is>
          <t>Ex_Integra</t>
        </is>
      </c>
      <c r="D1718" t="inlineStr">
        <is>
          <t>Minsur</t>
        </is>
      </c>
      <c r="E1718" t="inlineStr">
        <is>
          <t>Huella</t>
        </is>
      </c>
      <c r="F1718" t="n">
        <v>76077.18313999999</v>
      </c>
    </row>
    <row r="1719">
      <c r="A1719" t="inlineStr">
        <is>
          <t>202606</t>
        </is>
      </c>
      <c r="B1719" t="inlineStr">
        <is>
          <t>Actual</t>
        </is>
      </c>
      <c r="C1719" t="inlineStr">
        <is>
          <t>Ex_Integra</t>
        </is>
      </c>
      <c r="D1719" t="inlineStr">
        <is>
          <t>Minsur</t>
        </is>
      </c>
      <c r="E1719" t="inlineStr">
        <is>
          <t>Intensidad</t>
        </is>
      </c>
      <c r="F1719" t="n">
        <v>11.053946</v>
      </c>
    </row>
    <row r="1720">
      <c r="A1720" t="inlineStr">
        <is>
          <t>202606</t>
        </is>
      </c>
      <c r="B1720" t="inlineStr">
        <is>
          <t>Actual</t>
        </is>
      </c>
      <c r="C1720" t="inlineStr">
        <is>
          <t>Ex_Integra</t>
        </is>
      </c>
      <c r="D1720" t="inlineStr">
        <is>
          <t>Minsur</t>
        </is>
      </c>
      <c r="E1720" t="inlineStr">
        <is>
          <t>Inv MM$</t>
        </is>
      </c>
      <c r="F1720" t="n">
        <v>650.844239</v>
      </c>
    </row>
    <row r="1721">
      <c r="A1721" t="inlineStr">
        <is>
          <t>202606</t>
        </is>
      </c>
      <c r="B1721" t="inlineStr">
        <is>
          <t>Actual</t>
        </is>
      </c>
      <c r="C1721" t="inlineStr">
        <is>
          <t>Ex_Integra</t>
        </is>
      </c>
      <c r="D1721" t="inlineStr">
        <is>
          <t>Neuberger Berman - Emerging Market Debt HC</t>
        </is>
      </c>
      <c r="E1721" t="inlineStr">
        <is>
          <t>Huella</t>
        </is>
      </c>
      <c r="F1721" t="n">
        <v>6654.740733</v>
      </c>
    </row>
    <row r="1722">
      <c r="A1722" t="inlineStr">
        <is>
          <t>202606</t>
        </is>
      </c>
      <c r="B1722" t="inlineStr">
        <is>
          <t>Actual</t>
        </is>
      </c>
      <c r="C1722" t="inlineStr">
        <is>
          <t>Ex_Integra</t>
        </is>
      </c>
      <c r="D1722" t="inlineStr">
        <is>
          <t>Neuberger Berman - Emerging Market Debt HC</t>
        </is>
      </c>
      <c r="E1722" t="inlineStr">
        <is>
          <t>Intensidad</t>
        </is>
      </c>
      <c r="F1722" t="n">
        <v>1.798315</v>
      </c>
    </row>
    <row r="1723">
      <c r="A1723" t="inlineStr">
        <is>
          <t>202606</t>
        </is>
      </c>
      <c r="B1723" t="inlineStr">
        <is>
          <t>Actual</t>
        </is>
      </c>
      <c r="C1723" t="inlineStr">
        <is>
          <t>Ex_Integra</t>
        </is>
      </c>
      <c r="D1723" t="inlineStr">
        <is>
          <t>Neuberger Berman - Emerging Market Debt HC</t>
        </is>
      </c>
      <c r="E1723" t="inlineStr">
        <is>
          <t>Inv MM$</t>
        </is>
      </c>
      <c r="F1723" t="n">
        <v>11.519677</v>
      </c>
    </row>
    <row r="1724">
      <c r="A1724" t="inlineStr">
        <is>
          <t>202606</t>
        </is>
      </c>
      <c r="B1724" t="inlineStr">
        <is>
          <t>Actual</t>
        </is>
      </c>
      <c r="C1724" t="inlineStr">
        <is>
          <t>Ex_Integra</t>
        </is>
      </c>
      <c r="D1724" t="inlineStr">
        <is>
          <t>Nexa Resources</t>
        </is>
      </c>
      <c r="E1724" t="inlineStr">
        <is>
          <t>Huella</t>
        </is>
      </c>
      <c r="F1724" t="n">
        <v>16223.067375</v>
      </c>
    </row>
    <row r="1725">
      <c r="A1725" t="inlineStr">
        <is>
          <t>202606</t>
        </is>
      </c>
      <c r="B1725" t="inlineStr">
        <is>
          <t>Actual</t>
        </is>
      </c>
      <c r="C1725" t="inlineStr">
        <is>
          <t>Ex_Integra</t>
        </is>
      </c>
      <c r="D1725" t="inlineStr">
        <is>
          <t>Nexa Resources</t>
        </is>
      </c>
      <c r="E1725" t="inlineStr">
        <is>
          <t>Intensidad</t>
        </is>
      </c>
      <c r="F1725" t="n">
        <v>2.564385</v>
      </c>
    </row>
    <row r="1726">
      <c r="A1726" t="inlineStr">
        <is>
          <t>202606</t>
        </is>
      </c>
      <c r="B1726" t="inlineStr">
        <is>
          <t>Actual</t>
        </is>
      </c>
      <c r="C1726" t="inlineStr">
        <is>
          <t>Ex_Integra</t>
        </is>
      </c>
      <c r="D1726" t="inlineStr">
        <is>
          <t>Nexa Resources</t>
        </is>
      </c>
      <c r="E1726" t="inlineStr">
        <is>
          <t>Inv MM$</t>
        </is>
      </c>
      <c r="F1726" t="n">
        <v>78.410185</v>
      </c>
    </row>
    <row r="1727">
      <c r="A1727" t="inlineStr">
        <is>
          <t>202606</t>
        </is>
      </c>
      <c r="B1727" t="inlineStr">
        <is>
          <t>Actual</t>
        </is>
      </c>
      <c r="C1727" t="inlineStr">
        <is>
          <t>Ex_Integra</t>
        </is>
      </c>
      <c r="D1727" t="inlineStr">
        <is>
          <t>Nexa Resources Perú</t>
        </is>
      </c>
      <c r="E1727" t="inlineStr">
        <is>
          <t>Huella</t>
        </is>
      </c>
      <c r="F1727" t="n">
        <v>2666.64531</v>
      </c>
    </row>
    <row r="1728">
      <c r="A1728" t="inlineStr">
        <is>
          <t>202606</t>
        </is>
      </c>
      <c r="B1728" t="inlineStr">
        <is>
          <t>Actual</t>
        </is>
      </c>
      <c r="C1728" t="inlineStr">
        <is>
          <t>Ex_Integra</t>
        </is>
      </c>
      <c r="D1728" t="inlineStr">
        <is>
          <t>Nexa Resources Perú</t>
        </is>
      </c>
      <c r="E1728" t="inlineStr">
        <is>
          <t>Intensidad</t>
        </is>
      </c>
      <c r="F1728" t="n">
        <v>0.551148</v>
      </c>
    </row>
    <row r="1729">
      <c r="A1729" t="inlineStr">
        <is>
          <t>202606</t>
        </is>
      </c>
      <c r="B1729" t="inlineStr">
        <is>
          <t>Actual</t>
        </is>
      </c>
      <c r="C1729" t="inlineStr">
        <is>
          <t>Ex_Integra</t>
        </is>
      </c>
      <c r="D1729" t="inlineStr">
        <is>
          <t>Nexa Resources Perú</t>
        </is>
      </c>
      <c r="E1729" t="inlineStr">
        <is>
          <t>Inv MM$</t>
        </is>
      </c>
      <c r="F1729" t="n">
        <v>15.909822</v>
      </c>
    </row>
    <row r="1730">
      <c r="A1730" t="inlineStr">
        <is>
          <t>202606</t>
        </is>
      </c>
      <c r="B1730" t="inlineStr">
        <is>
          <t>Actual</t>
        </is>
      </c>
      <c r="C1730" t="inlineStr">
        <is>
          <t>Ex_Integra</t>
        </is>
      </c>
      <c r="D1730" t="inlineStr">
        <is>
          <t>Ninety One - Global Natural Resources Fund I</t>
        </is>
      </c>
      <c r="E1730" t="inlineStr">
        <is>
          <t>Huella</t>
        </is>
      </c>
      <c r="F1730" t="n">
        <v>2254.161564</v>
      </c>
    </row>
    <row r="1731">
      <c r="A1731" t="inlineStr">
        <is>
          <t>202606</t>
        </is>
      </c>
      <c r="B1731" t="inlineStr">
        <is>
          <t>Actual</t>
        </is>
      </c>
      <c r="C1731" t="inlineStr">
        <is>
          <t>Ex_Integra</t>
        </is>
      </c>
      <c r="D1731" t="inlineStr">
        <is>
          <t>Ninety One - Global Natural Resources Fund I</t>
        </is>
      </c>
      <c r="E1731" t="inlineStr">
        <is>
          <t>Intensidad</t>
        </is>
      </c>
      <c r="F1731" t="n">
        <v>0.6340440000000001</v>
      </c>
    </row>
    <row r="1732">
      <c r="A1732" t="inlineStr">
        <is>
          <t>202606</t>
        </is>
      </c>
      <c r="B1732" t="inlineStr">
        <is>
          <t>Actual</t>
        </is>
      </c>
      <c r="C1732" t="inlineStr">
        <is>
          <t>Ex_Integra</t>
        </is>
      </c>
      <c r="D1732" t="inlineStr">
        <is>
          <t>Ninety One - Global Natural Resources Fund I</t>
        </is>
      </c>
      <c r="E1732" t="inlineStr">
        <is>
          <t>Inv MM$</t>
        </is>
      </c>
      <c r="F1732" t="n">
        <v>8.059001</v>
      </c>
    </row>
    <row r="1733">
      <c r="A1733" t="inlineStr">
        <is>
          <t>202606</t>
        </is>
      </c>
      <c r="B1733" t="inlineStr">
        <is>
          <t>Actual</t>
        </is>
      </c>
      <c r="C1733" t="inlineStr">
        <is>
          <t>Ex_Integra</t>
        </is>
      </c>
      <c r="D1733" t="inlineStr">
        <is>
          <t>Nomura - Indian Equity</t>
        </is>
      </c>
      <c r="E1733" t="inlineStr">
        <is>
          <t>Huella</t>
        </is>
      </c>
      <c r="F1733" t="n">
        <v>0.119926</v>
      </c>
    </row>
    <row r="1734">
      <c r="A1734" t="inlineStr">
        <is>
          <t>202606</t>
        </is>
      </c>
      <c r="B1734" t="inlineStr">
        <is>
          <t>Actual</t>
        </is>
      </c>
      <c r="C1734" t="inlineStr">
        <is>
          <t>Ex_Integra</t>
        </is>
      </c>
      <c r="D1734" t="inlineStr">
        <is>
          <t>Nomura - Indian Equity</t>
        </is>
      </c>
      <c r="E1734" t="inlineStr">
        <is>
          <t>Intensidad</t>
        </is>
      </c>
      <c r="F1734" t="n">
        <v>2.7e-05</v>
      </c>
    </row>
    <row r="1735">
      <c r="A1735" t="inlineStr">
        <is>
          <t>202606</t>
        </is>
      </c>
      <c r="B1735" t="inlineStr">
        <is>
          <t>Actual</t>
        </is>
      </c>
      <c r="C1735" t="inlineStr">
        <is>
          <t>Ex_Integra</t>
        </is>
      </c>
      <c r="D1735" t="inlineStr">
        <is>
          <t>Nomura - Indian Equity</t>
        </is>
      </c>
      <c r="E1735" t="inlineStr">
        <is>
          <t>Inv MM$</t>
        </is>
      </c>
      <c r="F1735" t="n">
        <v>0.001006</v>
      </c>
    </row>
    <row r="1736">
      <c r="A1736" t="inlineStr">
        <is>
          <t>202606</t>
        </is>
      </c>
      <c r="B1736" t="inlineStr">
        <is>
          <t>Actual</t>
        </is>
      </c>
      <c r="C1736" t="inlineStr">
        <is>
          <t>Ex_Integra</t>
        </is>
      </c>
      <c r="D1736" t="inlineStr">
        <is>
          <t>Nomura - US High Yield Bond Fund</t>
        </is>
      </c>
      <c r="E1736" t="inlineStr">
        <is>
          <t>Huella</t>
        </is>
      </c>
      <c r="F1736" t="n">
        <v>0.151383</v>
      </c>
    </row>
    <row r="1737">
      <c r="A1737" t="inlineStr">
        <is>
          <t>202606</t>
        </is>
      </c>
      <c r="B1737" t="inlineStr">
        <is>
          <t>Actual</t>
        </is>
      </c>
      <c r="C1737" t="inlineStr">
        <is>
          <t>Ex_Integra</t>
        </is>
      </c>
      <c r="D1737" t="inlineStr">
        <is>
          <t>Nomura - US High Yield Bond Fund</t>
        </is>
      </c>
      <c r="E1737" t="inlineStr">
        <is>
          <t>Intensidad</t>
        </is>
      </c>
      <c r="F1737" t="n">
        <v>2.8e-05</v>
      </c>
    </row>
    <row r="1738">
      <c r="A1738" t="inlineStr">
        <is>
          <t>202606</t>
        </is>
      </c>
      <c r="B1738" t="inlineStr">
        <is>
          <t>Actual</t>
        </is>
      </c>
      <c r="C1738" t="inlineStr">
        <is>
          <t>Ex_Integra</t>
        </is>
      </c>
      <c r="D1738" t="inlineStr">
        <is>
          <t>Nomura - US High Yield Bond Fund</t>
        </is>
      </c>
      <c r="E1738" t="inlineStr">
        <is>
          <t>Inv MM$</t>
        </is>
      </c>
      <c r="F1738" t="n">
        <v>0.001237</v>
      </c>
    </row>
    <row r="1739">
      <c r="A1739" t="inlineStr">
        <is>
          <t>202606</t>
        </is>
      </c>
      <c r="B1739" t="inlineStr">
        <is>
          <t>Actual</t>
        </is>
      </c>
      <c r="C1739" t="inlineStr">
        <is>
          <t>Ex_Integra</t>
        </is>
      </c>
      <c r="D1739" t="inlineStr">
        <is>
          <t>Nomura Funds Ireland - Japan Strategic Value Fund</t>
        </is>
      </c>
      <c r="E1739" t="inlineStr">
        <is>
          <t>Huella</t>
        </is>
      </c>
      <c r="F1739" t="n">
        <v>613.224125</v>
      </c>
    </row>
    <row r="1740">
      <c r="A1740" t="inlineStr">
        <is>
          <t>202606</t>
        </is>
      </c>
      <c r="B1740" t="inlineStr">
        <is>
          <t>Actual</t>
        </is>
      </c>
      <c r="C1740" t="inlineStr">
        <is>
          <t>Ex_Integra</t>
        </is>
      </c>
      <c r="D1740" t="inlineStr">
        <is>
          <t>Nomura Funds Ireland - Japan Strategic Value Fund</t>
        </is>
      </c>
      <c r="E1740" t="inlineStr">
        <is>
          <t>Intensidad</t>
        </is>
      </c>
      <c r="F1740" t="n">
        <v>0.069993</v>
      </c>
    </row>
    <row r="1741">
      <c r="A1741" t="inlineStr">
        <is>
          <t>202606</t>
        </is>
      </c>
      <c r="B1741" t="inlineStr">
        <is>
          <t>Actual</t>
        </is>
      </c>
      <c r="C1741" t="inlineStr">
        <is>
          <t>Ex_Integra</t>
        </is>
      </c>
      <c r="D1741" t="inlineStr">
        <is>
          <t>Nomura Funds Ireland - Japan Strategic Value Fund</t>
        </is>
      </c>
      <c r="E1741" t="inlineStr">
        <is>
          <t>Inv MM$</t>
        </is>
      </c>
      <c r="F1741" t="n">
        <v>22.708283</v>
      </c>
    </row>
    <row r="1742">
      <c r="A1742" t="inlineStr">
        <is>
          <t>202606</t>
        </is>
      </c>
      <c r="B1742" t="inlineStr">
        <is>
          <t>Actual</t>
        </is>
      </c>
      <c r="C1742" t="inlineStr">
        <is>
          <t>Ex_Integra</t>
        </is>
      </c>
      <c r="D1742" t="inlineStr">
        <is>
          <t>Northern Trust - EM Hard Currency</t>
        </is>
      </c>
      <c r="E1742" t="inlineStr">
        <is>
          <t>Huella</t>
        </is>
      </c>
      <c r="F1742" t="n">
        <v>643.995426</v>
      </c>
    </row>
    <row r="1743">
      <c r="A1743" t="inlineStr">
        <is>
          <t>202606</t>
        </is>
      </c>
      <c r="B1743" t="inlineStr">
        <is>
          <t>Actual</t>
        </is>
      </c>
      <c r="C1743" t="inlineStr">
        <is>
          <t>Ex_Integra</t>
        </is>
      </c>
      <c r="D1743" t="inlineStr">
        <is>
          <t>Northern Trust - EM Hard Currency</t>
        </is>
      </c>
      <c r="E1743" t="inlineStr">
        <is>
          <t>Intensidad</t>
        </is>
      </c>
      <c r="F1743" t="n">
        <v>0.174027</v>
      </c>
    </row>
    <row r="1744">
      <c r="A1744" t="inlineStr">
        <is>
          <t>202606</t>
        </is>
      </c>
      <c r="B1744" t="inlineStr">
        <is>
          <t>Actual</t>
        </is>
      </c>
      <c r="C1744" t="inlineStr">
        <is>
          <t>Ex_Integra</t>
        </is>
      </c>
      <c r="D1744" t="inlineStr">
        <is>
          <t>Northern Trust - EM Hard Currency</t>
        </is>
      </c>
      <c r="E1744" t="inlineStr">
        <is>
          <t>Inv MM$</t>
        </is>
      </c>
      <c r="F1744" t="n">
        <v>2.119846</v>
      </c>
    </row>
    <row r="1745">
      <c r="A1745" t="inlineStr">
        <is>
          <t>202606</t>
        </is>
      </c>
      <c r="B1745" t="inlineStr">
        <is>
          <t>Actual</t>
        </is>
      </c>
      <c r="C1745" t="inlineStr">
        <is>
          <t>Ex_Integra</t>
        </is>
      </c>
      <c r="D1745" t="inlineStr">
        <is>
          <t>PIMCO - Asia High Yield Bond Fund</t>
        </is>
      </c>
      <c r="E1745" t="inlineStr">
        <is>
          <t>Huella</t>
        </is>
      </c>
      <c r="F1745" t="n">
        <v>0.017311</v>
      </c>
    </row>
    <row r="1746">
      <c r="A1746" t="inlineStr">
        <is>
          <t>202606</t>
        </is>
      </c>
      <c r="B1746" t="inlineStr">
        <is>
          <t>Actual</t>
        </is>
      </c>
      <c r="C1746" t="inlineStr">
        <is>
          <t>Ex_Integra</t>
        </is>
      </c>
      <c r="D1746" t="inlineStr">
        <is>
          <t>PIMCO - Asia High Yield Bond Fund</t>
        </is>
      </c>
      <c r="E1746" t="inlineStr">
        <is>
          <t>Intensidad</t>
        </is>
      </c>
      <c r="F1746" t="n">
        <v>3e-06</v>
      </c>
    </row>
    <row r="1747">
      <c r="A1747" t="inlineStr">
        <is>
          <t>202606</t>
        </is>
      </c>
      <c r="B1747" t="inlineStr">
        <is>
          <t>Actual</t>
        </is>
      </c>
      <c r="C1747" t="inlineStr">
        <is>
          <t>Ex_Integra</t>
        </is>
      </c>
      <c r="D1747" t="inlineStr">
        <is>
          <t>PIMCO - Asia High Yield Bond Fund</t>
        </is>
      </c>
      <c r="E1747" t="inlineStr">
        <is>
          <t>Inv MM$</t>
        </is>
      </c>
      <c r="F1747" t="n">
        <v>3.6e-05</v>
      </c>
    </row>
    <row r="1748">
      <c r="A1748" t="inlineStr">
        <is>
          <t>202606</t>
        </is>
      </c>
      <c r="B1748" t="inlineStr">
        <is>
          <t>Actual</t>
        </is>
      </c>
      <c r="C1748" t="inlineStr">
        <is>
          <t>Ex_Integra</t>
        </is>
      </c>
      <c r="D1748" t="inlineStr">
        <is>
          <t>Parvest - USA Small Cap</t>
        </is>
      </c>
      <c r="E1748" t="inlineStr">
        <is>
          <t>Huella</t>
        </is>
      </c>
      <c r="F1748" t="n">
        <v>4.883395</v>
      </c>
    </row>
    <row r="1749">
      <c r="A1749" t="inlineStr">
        <is>
          <t>202606</t>
        </is>
      </c>
      <c r="B1749" t="inlineStr">
        <is>
          <t>Actual</t>
        </is>
      </c>
      <c r="C1749" t="inlineStr">
        <is>
          <t>Ex_Integra</t>
        </is>
      </c>
      <c r="D1749" t="inlineStr">
        <is>
          <t>Parvest - USA Small Cap</t>
        </is>
      </c>
      <c r="E1749" t="inlineStr">
        <is>
          <t>Intensidad</t>
        </is>
      </c>
      <c r="F1749" t="n">
        <v>0.001343</v>
      </c>
    </row>
    <row r="1750">
      <c r="A1750" t="inlineStr">
        <is>
          <t>202606</t>
        </is>
      </c>
      <c r="B1750" t="inlineStr">
        <is>
          <t>Actual</t>
        </is>
      </c>
      <c r="C1750" t="inlineStr">
        <is>
          <t>Ex_Integra</t>
        </is>
      </c>
      <c r="D1750" t="inlineStr">
        <is>
          <t>Parvest - USA Small Cap</t>
        </is>
      </c>
      <c r="E1750" t="inlineStr">
        <is>
          <t>Inv MM$</t>
        </is>
      </c>
      <c r="F1750" t="n">
        <v>0.136644</v>
      </c>
    </row>
    <row r="1751">
      <c r="A1751" t="inlineStr">
        <is>
          <t>202606</t>
        </is>
      </c>
      <c r="B1751" t="inlineStr">
        <is>
          <t>Actual</t>
        </is>
      </c>
      <c r="C1751" t="inlineStr">
        <is>
          <t>Ex_Integra</t>
        </is>
      </c>
      <c r="D1751" t="inlineStr">
        <is>
          <t>Perú LNG</t>
        </is>
      </c>
      <c r="E1751" t="inlineStr">
        <is>
          <t>Huella</t>
        </is>
      </c>
      <c r="F1751" t="n">
        <v>0</v>
      </c>
    </row>
    <row r="1752">
      <c r="A1752" t="inlineStr">
        <is>
          <t>202606</t>
        </is>
      </c>
      <c r="B1752" t="inlineStr">
        <is>
          <t>Actual</t>
        </is>
      </c>
      <c r="C1752" t="inlineStr">
        <is>
          <t>Ex_Integra</t>
        </is>
      </c>
      <c r="D1752" t="inlineStr">
        <is>
          <t>Perú LNG</t>
        </is>
      </c>
      <c r="E1752" t="inlineStr">
        <is>
          <t>Intensidad</t>
        </is>
      </c>
      <c r="F1752" t="n">
        <v>0</v>
      </c>
    </row>
    <row r="1753">
      <c r="A1753" t="inlineStr">
        <is>
          <t>202606</t>
        </is>
      </c>
      <c r="B1753" t="inlineStr">
        <is>
          <t>Actual</t>
        </is>
      </c>
      <c r="C1753" t="inlineStr">
        <is>
          <t>Ex_Integra</t>
        </is>
      </c>
      <c r="D1753" t="inlineStr">
        <is>
          <t>Perú LNG</t>
        </is>
      </c>
      <c r="E1753" t="inlineStr">
        <is>
          <t>Inv MM$</t>
        </is>
      </c>
      <c r="F1753" t="n">
        <v>0</v>
      </c>
    </row>
    <row r="1754">
      <c r="A1754" t="inlineStr">
        <is>
          <t>202606</t>
        </is>
      </c>
      <c r="B1754" t="inlineStr">
        <is>
          <t>Actual</t>
        </is>
      </c>
      <c r="C1754" t="inlineStr">
        <is>
          <t>Ex_Integra</t>
        </is>
      </c>
      <c r="D1754" t="inlineStr">
        <is>
          <t>Pictet - Digital</t>
        </is>
      </c>
      <c r="E1754" t="inlineStr">
        <is>
          <t>Huella</t>
        </is>
      </c>
      <c r="F1754" t="n">
        <v>100.635306</v>
      </c>
    </row>
    <row r="1755">
      <c r="A1755" t="inlineStr">
        <is>
          <t>202606</t>
        </is>
      </c>
      <c r="B1755" t="inlineStr">
        <is>
          <t>Actual</t>
        </is>
      </c>
      <c r="C1755" t="inlineStr">
        <is>
          <t>Ex_Integra</t>
        </is>
      </c>
      <c r="D1755" t="inlineStr">
        <is>
          <t>Pictet - Digital</t>
        </is>
      </c>
      <c r="E1755" t="inlineStr">
        <is>
          <t>Intensidad</t>
        </is>
      </c>
      <c r="F1755" t="n">
        <v>0.014385</v>
      </c>
    </row>
    <row r="1756">
      <c r="A1756" t="inlineStr">
        <is>
          <t>202606</t>
        </is>
      </c>
      <c r="B1756" t="inlineStr">
        <is>
          <t>Actual</t>
        </is>
      </c>
      <c r="C1756" t="inlineStr">
        <is>
          <t>Ex_Integra</t>
        </is>
      </c>
      <c r="D1756" t="inlineStr">
        <is>
          <t>Pictet - Digital</t>
        </is>
      </c>
      <c r="E1756" t="inlineStr">
        <is>
          <t>Inv MM$</t>
        </is>
      </c>
      <c r="F1756" t="n">
        <v>28.20795</v>
      </c>
    </row>
    <row r="1757">
      <c r="A1757" t="inlineStr">
        <is>
          <t>202606</t>
        </is>
      </c>
      <c r="B1757" t="inlineStr">
        <is>
          <t>Actual</t>
        </is>
      </c>
      <c r="C1757" t="inlineStr">
        <is>
          <t>Ex_Integra</t>
        </is>
      </c>
      <c r="D1757" t="inlineStr">
        <is>
          <t>Pimco - 25+ Zero coupon US Treasury ETF</t>
        </is>
      </c>
      <c r="E1757" t="inlineStr">
        <is>
          <t>Huella</t>
        </is>
      </c>
      <c r="F1757" t="n">
        <v>677.5840020000001</v>
      </c>
    </row>
    <row r="1758">
      <c r="A1758" t="inlineStr">
        <is>
          <t>202606</t>
        </is>
      </c>
      <c r="B1758" t="inlineStr">
        <is>
          <t>Actual</t>
        </is>
      </c>
      <c r="C1758" t="inlineStr">
        <is>
          <t>Ex_Integra</t>
        </is>
      </c>
      <c r="D1758" t="inlineStr">
        <is>
          <t>Pimco - 25+ Zero coupon US Treasury ETF</t>
        </is>
      </c>
      <c r="E1758" t="inlineStr">
        <is>
          <t>Intensidad</t>
        </is>
      </c>
      <c r="F1758" t="n">
        <v>0.048521</v>
      </c>
    </row>
    <row r="1759">
      <c r="A1759" t="inlineStr">
        <is>
          <t>202606</t>
        </is>
      </c>
      <c r="B1759" t="inlineStr">
        <is>
          <t>Actual</t>
        </is>
      </c>
      <c r="C1759" t="inlineStr">
        <is>
          <t>Ex_Integra</t>
        </is>
      </c>
      <c r="D1759" t="inlineStr">
        <is>
          <t>Pimco - 25+ Zero coupon US Treasury ETF</t>
        </is>
      </c>
      <c r="E1759" t="inlineStr">
        <is>
          <t>Inv MM$</t>
        </is>
      </c>
      <c r="F1759" t="n">
        <v>3.344579</v>
      </c>
    </row>
    <row r="1760">
      <c r="A1760" t="inlineStr">
        <is>
          <t>202606</t>
        </is>
      </c>
      <c r="B1760" t="inlineStr">
        <is>
          <t>Actual</t>
        </is>
      </c>
      <c r="C1760" t="inlineStr">
        <is>
          <t>Ex_Integra</t>
        </is>
      </c>
      <c r="D1760" t="inlineStr">
        <is>
          <t>Pimco - Emerging Markets Bond Fund</t>
        </is>
      </c>
      <c r="E1760" t="inlineStr">
        <is>
          <t>Huella</t>
        </is>
      </c>
      <c r="F1760" t="n">
        <v>9666.778186</v>
      </c>
    </row>
    <row r="1761">
      <c r="A1761" t="inlineStr">
        <is>
          <t>202606</t>
        </is>
      </c>
      <c r="B1761" t="inlineStr">
        <is>
          <t>Actual</t>
        </is>
      </c>
      <c r="C1761" t="inlineStr">
        <is>
          <t>Ex_Integra</t>
        </is>
      </c>
      <c r="D1761" t="inlineStr">
        <is>
          <t>Pimco - Emerging Markets Bond Fund</t>
        </is>
      </c>
      <c r="E1761" t="inlineStr">
        <is>
          <t>Intensidad</t>
        </is>
      </c>
      <c r="F1761" t="n">
        <v>2.61226</v>
      </c>
    </row>
    <row r="1762">
      <c r="A1762" t="inlineStr">
        <is>
          <t>202606</t>
        </is>
      </c>
      <c r="B1762" t="inlineStr">
        <is>
          <t>Actual</t>
        </is>
      </c>
      <c r="C1762" t="inlineStr">
        <is>
          <t>Ex_Integra</t>
        </is>
      </c>
      <c r="D1762" t="inlineStr">
        <is>
          <t>Pimco - Emerging Markets Bond Fund</t>
        </is>
      </c>
      <c r="E1762" t="inlineStr">
        <is>
          <t>Inv MM$</t>
        </is>
      </c>
      <c r="F1762" t="n">
        <v>21.409739</v>
      </c>
    </row>
    <row r="1763">
      <c r="A1763" t="inlineStr">
        <is>
          <t>202606</t>
        </is>
      </c>
      <c r="B1763" t="inlineStr">
        <is>
          <t>Actual</t>
        </is>
      </c>
      <c r="C1763" t="inlineStr">
        <is>
          <t>Ex_Integra</t>
        </is>
      </c>
      <c r="D1763" t="inlineStr">
        <is>
          <t>Pimco - Emerging Markets Local Bond Fund</t>
        </is>
      </c>
      <c r="E1763" t="inlineStr">
        <is>
          <t>Huella</t>
        </is>
      </c>
      <c r="F1763" t="n">
        <v>14223.621895</v>
      </c>
    </row>
    <row r="1764">
      <c r="A1764" t="inlineStr">
        <is>
          <t>202606</t>
        </is>
      </c>
      <c r="B1764" t="inlineStr">
        <is>
          <t>Actual</t>
        </is>
      </c>
      <c r="C1764" t="inlineStr">
        <is>
          <t>Ex_Integra</t>
        </is>
      </c>
      <c r="D1764" t="inlineStr">
        <is>
          <t>Pimco - Emerging Markets Local Bond Fund</t>
        </is>
      </c>
      <c r="E1764" t="inlineStr">
        <is>
          <t>Intensidad</t>
        </is>
      </c>
      <c r="F1764" t="n">
        <v>2.707188</v>
      </c>
    </row>
    <row r="1765">
      <c r="A1765" t="inlineStr">
        <is>
          <t>202606</t>
        </is>
      </c>
      <c r="B1765" t="inlineStr">
        <is>
          <t>Actual</t>
        </is>
      </c>
      <c r="C1765" t="inlineStr">
        <is>
          <t>Ex_Integra</t>
        </is>
      </c>
      <c r="D1765" t="inlineStr">
        <is>
          <t>Pimco - Emerging Markets Local Bond Fund</t>
        </is>
      </c>
      <c r="E1765" t="inlineStr">
        <is>
          <t>Inv MM$</t>
        </is>
      </c>
      <c r="F1765" t="n">
        <v>155.85463</v>
      </c>
    </row>
    <row r="1766">
      <c r="A1766" t="inlineStr">
        <is>
          <t>202606</t>
        </is>
      </c>
      <c r="B1766" t="inlineStr">
        <is>
          <t>Actual</t>
        </is>
      </c>
      <c r="C1766" t="inlineStr">
        <is>
          <t>Ex_Integra</t>
        </is>
      </c>
      <c r="D1766" t="inlineStr">
        <is>
          <t>Pimco - GIS Income Fund</t>
        </is>
      </c>
      <c r="E1766" t="inlineStr">
        <is>
          <t>Huella</t>
        </is>
      </c>
      <c r="F1766" t="n">
        <v>334.86486</v>
      </c>
    </row>
    <row r="1767">
      <c r="A1767" t="inlineStr">
        <is>
          <t>202606</t>
        </is>
      </c>
      <c r="B1767" t="inlineStr">
        <is>
          <t>Actual</t>
        </is>
      </c>
      <c r="C1767" t="inlineStr">
        <is>
          <t>Ex_Integra</t>
        </is>
      </c>
      <c r="D1767" t="inlineStr">
        <is>
          <t>Pimco - GIS Income Fund</t>
        </is>
      </c>
      <c r="E1767" t="inlineStr">
        <is>
          <t>Intensidad</t>
        </is>
      </c>
      <c r="F1767" t="n">
        <v>0.090491</v>
      </c>
    </row>
    <row r="1768">
      <c r="A1768" t="inlineStr">
        <is>
          <t>202606</t>
        </is>
      </c>
      <c r="B1768" t="inlineStr">
        <is>
          <t>Actual</t>
        </is>
      </c>
      <c r="C1768" t="inlineStr">
        <is>
          <t>Ex_Integra</t>
        </is>
      </c>
      <c r="D1768" t="inlineStr">
        <is>
          <t>Pimco - GIS Income Fund</t>
        </is>
      </c>
      <c r="E1768" t="inlineStr">
        <is>
          <t>Inv MM$</t>
        </is>
      </c>
      <c r="F1768" t="n">
        <v>4.888733</v>
      </c>
    </row>
    <row r="1769">
      <c r="A1769" t="inlineStr">
        <is>
          <t>202606</t>
        </is>
      </c>
      <c r="B1769" t="inlineStr">
        <is>
          <t>Actual</t>
        </is>
      </c>
      <c r="C1769" t="inlineStr">
        <is>
          <t>Ex_Integra</t>
        </is>
      </c>
      <c r="D1769" t="inlineStr">
        <is>
          <t>Pimco - Global High Yield Bond Fund</t>
        </is>
      </c>
      <c r="E1769" t="inlineStr">
        <is>
          <t>Huella</t>
        </is>
      </c>
      <c r="F1769" t="n">
        <v>0.003016</v>
      </c>
    </row>
    <row r="1770">
      <c r="A1770" t="inlineStr">
        <is>
          <t>202606</t>
        </is>
      </c>
      <c r="B1770" t="inlineStr">
        <is>
          <t>Actual</t>
        </is>
      </c>
      <c r="C1770" t="inlineStr">
        <is>
          <t>Ex_Integra</t>
        </is>
      </c>
      <c r="D1770" t="inlineStr">
        <is>
          <t>Pimco - Global High Yield Bond Fund</t>
        </is>
      </c>
      <c r="E1770" t="inlineStr">
        <is>
          <t>Intensidad</t>
        </is>
      </c>
      <c r="F1770" t="n">
        <v>1e-06</v>
      </c>
    </row>
    <row r="1771">
      <c r="A1771" t="inlineStr">
        <is>
          <t>202606</t>
        </is>
      </c>
      <c r="B1771" t="inlineStr">
        <is>
          <t>Actual</t>
        </is>
      </c>
      <c r="C1771" t="inlineStr">
        <is>
          <t>Ex_Integra</t>
        </is>
      </c>
      <c r="D1771" t="inlineStr">
        <is>
          <t>Pimco - Global High Yield Bond Fund</t>
        </is>
      </c>
      <c r="E1771" t="inlineStr">
        <is>
          <t>Inv MM$</t>
        </is>
      </c>
      <c r="F1771" t="n">
        <v>3.3e-05</v>
      </c>
    </row>
    <row r="1772">
      <c r="A1772" t="inlineStr">
        <is>
          <t>202606</t>
        </is>
      </c>
      <c r="B1772" t="inlineStr">
        <is>
          <t>Actual</t>
        </is>
      </c>
      <c r="C1772" t="inlineStr">
        <is>
          <t>Ex_Integra</t>
        </is>
      </c>
      <c r="D1772" t="inlineStr">
        <is>
          <t>Pinebridge - Asia Ex-Japan Small Caps</t>
        </is>
      </c>
      <c r="E1772" t="inlineStr">
        <is>
          <t>Huella</t>
        </is>
      </c>
      <c r="F1772" t="n">
        <v>1.99746</v>
      </c>
    </row>
    <row r="1773">
      <c r="A1773" t="inlineStr">
        <is>
          <t>202606</t>
        </is>
      </c>
      <c r="B1773" t="inlineStr">
        <is>
          <t>Actual</t>
        </is>
      </c>
      <c r="C1773" t="inlineStr">
        <is>
          <t>Ex_Integra</t>
        </is>
      </c>
      <c r="D1773" t="inlineStr">
        <is>
          <t>Pinebridge - Asia Ex-Japan Small Caps</t>
        </is>
      </c>
      <c r="E1773" t="inlineStr">
        <is>
          <t>Intensidad</t>
        </is>
      </c>
      <c r="F1773" t="n">
        <v>0.000416</v>
      </c>
    </row>
    <row r="1774">
      <c r="A1774" t="inlineStr">
        <is>
          <t>202606</t>
        </is>
      </c>
      <c r="B1774" t="inlineStr">
        <is>
          <t>Actual</t>
        </is>
      </c>
      <c r="C1774" t="inlineStr">
        <is>
          <t>Ex_Integra</t>
        </is>
      </c>
      <c r="D1774" t="inlineStr">
        <is>
          <t>Pinebridge - Asia Ex-Japan Small Caps</t>
        </is>
      </c>
      <c r="E1774" t="inlineStr">
        <is>
          <t>Inv MM$</t>
        </is>
      </c>
      <c r="F1774" t="n">
        <v>0.036065</v>
      </c>
    </row>
    <row r="1775">
      <c r="A1775" t="inlineStr">
        <is>
          <t>202606</t>
        </is>
      </c>
      <c r="B1775" t="inlineStr">
        <is>
          <t>Actual</t>
        </is>
      </c>
      <c r="C1775" t="inlineStr">
        <is>
          <t>Ex_Integra</t>
        </is>
      </c>
      <c r="D1775" t="inlineStr">
        <is>
          <t>Rams UT - India Equities Portfolio Fund II</t>
        </is>
      </c>
      <c r="E1775" t="inlineStr">
        <is>
          <t>Huella</t>
        </is>
      </c>
      <c r="F1775" t="n">
        <v>0.149858</v>
      </c>
    </row>
    <row r="1776">
      <c r="A1776" t="inlineStr">
        <is>
          <t>202606</t>
        </is>
      </c>
      <c r="B1776" t="inlineStr">
        <is>
          <t>Actual</t>
        </is>
      </c>
      <c r="C1776" t="inlineStr">
        <is>
          <t>Ex_Integra</t>
        </is>
      </c>
      <c r="D1776" t="inlineStr">
        <is>
          <t>Rams UT - India Equities Portfolio Fund II</t>
        </is>
      </c>
      <c r="E1776" t="inlineStr">
        <is>
          <t>Intensidad</t>
        </is>
      </c>
      <c r="F1776" t="n">
        <v>3.1e-05</v>
      </c>
    </row>
    <row r="1777">
      <c r="A1777" t="inlineStr">
        <is>
          <t>202606</t>
        </is>
      </c>
      <c r="B1777" t="inlineStr">
        <is>
          <t>Actual</t>
        </is>
      </c>
      <c r="C1777" t="inlineStr">
        <is>
          <t>Ex_Integra</t>
        </is>
      </c>
      <c r="D1777" t="inlineStr">
        <is>
          <t>Rams UT - India Equities Portfolio Fund II</t>
        </is>
      </c>
      <c r="E1777" t="inlineStr">
        <is>
          <t>Inv MM$</t>
        </is>
      </c>
      <c r="F1777" t="n">
        <v>0.000751</v>
      </c>
    </row>
    <row r="1778">
      <c r="A1778" t="inlineStr">
        <is>
          <t>202606</t>
        </is>
      </c>
      <c r="B1778" t="inlineStr">
        <is>
          <t>Actual</t>
        </is>
      </c>
      <c r="C1778" t="inlineStr">
        <is>
          <t>Ex_Integra</t>
        </is>
      </c>
      <c r="D1778" t="inlineStr">
        <is>
          <t>Red de Energía del Perú</t>
        </is>
      </c>
      <c r="E1778" t="inlineStr">
        <is>
          <t>Huella</t>
        </is>
      </c>
      <c r="F1778" t="n">
        <v>3.777574</v>
      </c>
    </row>
    <row r="1779">
      <c r="A1779" t="inlineStr">
        <is>
          <t>202606</t>
        </is>
      </c>
      <c r="B1779" t="inlineStr">
        <is>
          <t>Actual</t>
        </is>
      </c>
      <c r="C1779" t="inlineStr">
        <is>
          <t>Ex_Integra</t>
        </is>
      </c>
      <c r="D1779" t="inlineStr">
        <is>
          <t>Red de Energía del Perú</t>
        </is>
      </c>
      <c r="E1779" t="inlineStr">
        <is>
          <t>Intensidad</t>
        </is>
      </c>
      <c r="F1779" t="n">
        <v>0.000567</v>
      </c>
    </row>
    <row r="1780">
      <c r="A1780" t="inlineStr">
        <is>
          <t>202606</t>
        </is>
      </c>
      <c r="B1780" t="inlineStr">
        <is>
          <t>Actual</t>
        </is>
      </c>
      <c r="C1780" t="inlineStr">
        <is>
          <t>Ex_Integra</t>
        </is>
      </c>
      <c r="D1780" t="inlineStr">
        <is>
          <t>Red de Energía del Perú</t>
        </is>
      </c>
      <c r="E1780" t="inlineStr">
        <is>
          <t>Inv MM$</t>
        </is>
      </c>
      <c r="F1780" t="n">
        <v>0.144679</v>
      </c>
    </row>
    <row r="1781">
      <c r="A1781" t="inlineStr">
        <is>
          <t>202606</t>
        </is>
      </c>
      <c r="B1781" t="inlineStr">
        <is>
          <t>Actual</t>
        </is>
      </c>
      <c r="C1781" t="inlineStr">
        <is>
          <t>Ex_Integra</t>
        </is>
      </c>
      <c r="D1781" t="inlineStr">
        <is>
          <t>Robeco - Chinese Equities</t>
        </is>
      </c>
      <c r="E1781" t="inlineStr">
        <is>
          <t>Huella</t>
        </is>
      </c>
      <c r="F1781" t="n">
        <v>22.933937</v>
      </c>
    </row>
    <row r="1782">
      <c r="A1782" t="inlineStr">
        <is>
          <t>202606</t>
        </is>
      </c>
      <c r="B1782" t="inlineStr">
        <is>
          <t>Actual</t>
        </is>
      </c>
      <c r="C1782" t="inlineStr">
        <is>
          <t>Ex_Integra</t>
        </is>
      </c>
      <c r="D1782" t="inlineStr">
        <is>
          <t>Robeco - Chinese Equities</t>
        </is>
      </c>
      <c r="E1782" t="inlineStr">
        <is>
          <t>Intensidad</t>
        </is>
      </c>
      <c r="F1782" t="n">
        <v>0.006446</v>
      </c>
    </row>
    <row r="1783">
      <c r="A1783" t="inlineStr">
        <is>
          <t>202606</t>
        </is>
      </c>
      <c r="B1783" t="inlineStr">
        <is>
          <t>Actual</t>
        </is>
      </c>
      <c r="C1783" t="inlineStr">
        <is>
          <t>Ex_Integra</t>
        </is>
      </c>
      <c r="D1783" t="inlineStr">
        <is>
          <t>Robeco - Chinese Equities</t>
        </is>
      </c>
      <c r="E1783" t="inlineStr">
        <is>
          <t>Inv MM$</t>
        </is>
      </c>
      <c r="F1783" t="n">
        <v>0.298574</v>
      </c>
    </row>
    <row r="1784">
      <c r="A1784" t="inlineStr">
        <is>
          <t>202606</t>
        </is>
      </c>
      <c r="B1784" t="inlineStr">
        <is>
          <t>Actual</t>
        </is>
      </c>
      <c r="C1784" t="inlineStr">
        <is>
          <t>Ex_Integra</t>
        </is>
      </c>
      <c r="D1784" t="inlineStr">
        <is>
          <t>Robeco - Consumer Trends</t>
        </is>
      </c>
      <c r="E1784" t="inlineStr">
        <is>
          <t>Huella</t>
        </is>
      </c>
      <c r="F1784" t="n">
        <v>0.409264</v>
      </c>
    </row>
    <row r="1785">
      <c r="A1785" t="inlineStr">
        <is>
          <t>202606</t>
        </is>
      </c>
      <c r="B1785" t="inlineStr">
        <is>
          <t>Actual</t>
        </is>
      </c>
      <c r="C1785" t="inlineStr">
        <is>
          <t>Ex_Integra</t>
        </is>
      </c>
      <c r="D1785" t="inlineStr">
        <is>
          <t>Robeco - Consumer Trends</t>
        </is>
      </c>
      <c r="E1785" t="inlineStr">
        <is>
          <t>Intensidad</t>
        </is>
      </c>
      <c r="F1785" t="n">
        <v>0.000115</v>
      </c>
    </row>
    <row r="1786">
      <c r="A1786" t="inlineStr">
        <is>
          <t>202606</t>
        </is>
      </c>
      <c r="B1786" t="inlineStr">
        <is>
          <t>Actual</t>
        </is>
      </c>
      <c r="C1786" t="inlineStr">
        <is>
          <t>Ex_Integra</t>
        </is>
      </c>
      <c r="D1786" t="inlineStr">
        <is>
          <t>Robeco - Consumer Trends</t>
        </is>
      </c>
      <c r="E1786" t="inlineStr">
        <is>
          <t>Inv MM$</t>
        </is>
      </c>
      <c r="F1786" t="n">
        <v>0.06551700000000001</v>
      </c>
    </row>
    <row r="1787">
      <c r="A1787" t="inlineStr">
        <is>
          <t>202606</t>
        </is>
      </c>
      <c r="B1787" t="inlineStr">
        <is>
          <t>Actual</t>
        </is>
      </c>
      <c r="C1787" t="inlineStr">
        <is>
          <t>Ex_Integra</t>
        </is>
      </c>
      <c r="D1787" t="inlineStr">
        <is>
          <t>Robeco - QI Emerging Markets Active Equities</t>
        </is>
      </c>
      <c r="E1787" t="inlineStr">
        <is>
          <t>Huella</t>
        </is>
      </c>
      <c r="F1787" t="n">
        <v>2687.192827</v>
      </c>
    </row>
    <row r="1788">
      <c r="A1788" t="inlineStr">
        <is>
          <t>202606</t>
        </is>
      </c>
      <c r="B1788" t="inlineStr">
        <is>
          <t>Actual</t>
        </is>
      </c>
      <c r="C1788" t="inlineStr">
        <is>
          <t>Ex_Integra</t>
        </is>
      </c>
      <c r="D1788" t="inlineStr">
        <is>
          <t>Robeco - QI Emerging Markets Active Equities</t>
        </is>
      </c>
      <c r="E1788" t="inlineStr">
        <is>
          <t>Intensidad</t>
        </is>
      </c>
      <c r="F1788" t="n">
        <v>0.29436</v>
      </c>
    </row>
    <row r="1789">
      <c r="A1789" t="inlineStr">
        <is>
          <t>202606</t>
        </is>
      </c>
      <c r="B1789" t="inlineStr">
        <is>
          <t>Actual</t>
        </is>
      </c>
      <c r="C1789" t="inlineStr">
        <is>
          <t>Ex_Integra</t>
        </is>
      </c>
      <c r="D1789" t="inlineStr">
        <is>
          <t>Robeco - QI Emerging Markets Active Equities</t>
        </is>
      </c>
      <c r="E1789" t="inlineStr">
        <is>
          <t>Inv MM$</t>
        </is>
      </c>
      <c r="F1789" t="n">
        <v>36.495129</v>
      </c>
    </row>
    <row r="1790">
      <c r="A1790" t="inlineStr">
        <is>
          <t>202606</t>
        </is>
      </c>
      <c r="B1790" t="inlineStr">
        <is>
          <t>Actual</t>
        </is>
      </c>
      <c r="C1790" t="inlineStr">
        <is>
          <t>Ex_Integra</t>
        </is>
      </c>
      <c r="D1790" t="inlineStr">
        <is>
          <t>Roundhill Memory ETF</t>
        </is>
      </c>
      <c r="E1790" t="inlineStr">
        <is>
          <t>Huella</t>
        </is>
      </c>
      <c r="F1790" t="n">
        <v>1472.424104</v>
      </c>
    </row>
    <row r="1791">
      <c r="A1791" t="inlineStr">
        <is>
          <t>202606</t>
        </is>
      </c>
      <c r="B1791" t="inlineStr">
        <is>
          <t>Actual</t>
        </is>
      </c>
      <c r="C1791" t="inlineStr">
        <is>
          <t>Ex_Integra</t>
        </is>
      </c>
      <c r="D1791" t="inlineStr">
        <is>
          <t>Roundhill Memory ETF</t>
        </is>
      </c>
      <c r="E1791" t="inlineStr">
        <is>
          <t>Intensidad</t>
        </is>
      </c>
      <c r="F1791" t="n">
        <v>0.195707</v>
      </c>
    </row>
    <row r="1792">
      <c r="A1792" t="inlineStr">
        <is>
          <t>202606</t>
        </is>
      </c>
      <c r="B1792" t="inlineStr">
        <is>
          <t>Actual</t>
        </is>
      </c>
      <c r="C1792" t="inlineStr">
        <is>
          <t>Ex_Integra</t>
        </is>
      </c>
      <c r="D1792" t="inlineStr">
        <is>
          <t>Roundhill Memory ETF</t>
        </is>
      </c>
      <c r="E1792" t="inlineStr">
        <is>
          <t>Inv MM$</t>
        </is>
      </c>
      <c r="F1792" t="n">
        <v>54.926893</v>
      </c>
    </row>
    <row r="1793">
      <c r="A1793" t="inlineStr">
        <is>
          <t>202606</t>
        </is>
      </c>
      <c r="B1793" t="inlineStr">
        <is>
          <t>Actual</t>
        </is>
      </c>
      <c r="C1793" t="inlineStr">
        <is>
          <t>Ex_Integra</t>
        </is>
      </c>
      <c r="D1793" t="inlineStr">
        <is>
          <t>SSGA - Bloomberg Barclays Convertible Securities</t>
        </is>
      </c>
      <c r="E1793" t="inlineStr">
        <is>
          <t>Huella</t>
        </is>
      </c>
      <c r="F1793" t="n">
        <v>6876.777402</v>
      </c>
    </row>
    <row r="1794">
      <c r="A1794" t="inlineStr">
        <is>
          <t>202606</t>
        </is>
      </c>
      <c r="B1794" t="inlineStr">
        <is>
          <t>Actual</t>
        </is>
      </c>
      <c r="C1794" t="inlineStr">
        <is>
          <t>Ex_Integra</t>
        </is>
      </c>
      <c r="D1794" t="inlineStr">
        <is>
          <t>SSGA - Bloomberg Barclays Convertible Securities</t>
        </is>
      </c>
      <c r="E1794" t="inlineStr">
        <is>
          <t>Intensidad</t>
        </is>
      </c>
      <c r="F1794" t="n">
        <v>0.656027</v>
      </c>
    </row>
    <row r="1795">
      <c r="A1795" t="inlineStr">
        <is>
          <t>202606</t>
        </is>
      </c>
      <c r="B1795" t="inlineStr">
        <is>
          <t>Actual</t>
        </is>
      </c>
      <c r="C1795" t="inlineStr">
        <is>
          <t>Ex_Integra</t>
        </is>
      </c>
      <c r="D1795" t="inlineStr">
        <is>
          <t>SSGA - Bloomberg Barclays Convertible Securities</t>
        </is>
      </c>
      <c r="E1795" t="inlineStr">
        <is>
          <t>Inv MM$</t>
        </is>
      </c>
      <c r="F1795" t="n">
        <v>147.752081</v>
      </c>
    </row>
    <row r="1796">
      <c r="A1796" t="inlineStr">
        <is>
          <t>202606</t>
        </is>
      </c>
      <c r="B1796" t="inlineStr">
        <is>
          <t>Actual</t>
        </is>
      </c>
      <c r="C1796" t="inlineStr">
        <is>
          <t>Ex_Integra</t>
        </is>
      </c>
      <c r="D1796" t="inlineStr">
        <is>
          <t>SSGA Funds Management, Inc.</t>
        </is>
      </c>
      <c r="E1796" t="inlineStr">
        <is>
          <t>Huella</t>
        </is>
      </c>
      <c r="F1796" t="n">
        <v>2.662097</v>
      </c>
    </row>
    <row r="1797">
      <c r="A1797" t="inlineStr">
        <is>
          <t>202606</t>
        </is>
      </c>
      <c r="B1797" t="inlineStr">
        <is>
          <t>Actual</t>
        </is>
      </c>
      <c r="C1797" t="inlineStr">
        <is>
          <t>Ex_Integra</t>
        </is>
      </c>
      <c r="D1797" t="inlineStr">
        <is>
          <t>SSGA Funds Management, Inc.</t>
        </is>
      </c>
      <c r="E1797" t="inlineStr">
        <is>
          <t>Intensidad</t>
        </is>
      </c>
      <c r="F1797" t="n">
        <v>0.000191</v>
      </c>
    </row>
    <row r="1798">
      <c r="A1798" t="inlineStr">
        <is>
          <t>202606</t>
        </is>
      </c>
      <c r="B1798" t="inlineStr">
        <is>
          <t>Actual</t>
        </is>
      </c>
      <c r="C1798" t="inlineStr">
        <is>
          <t>Ex_Integra</t>
        </is>
      </c>
      <c r="D1798" t="inlineStr">
        <is>
          <t>SSGA Funds Management, Inc.</t>
        </is>
      </c>
      <c r="E1798" t="inlineStr">
        <is>
          <t>Inv MM$</t>
        </is>
      </c>
      <c r="F1798" t="n">
        <v>0.121916</v>
      </c>
    </row>
    <row r="1799">
      <c r="A1799" t="inlineStr">
        <is>
          <t>202606</t>
        </is>
      </c>
      <c r="B1799" t="inlineStr">
        <is>
          <t>Actual</t>
        </is>
      </c>
      <c r="C1799" t="inlineStr">
        <is>
          <t>Ex_Integra</t>
        </is>
      </c>
      <c r="D1799" t="inlineStr">
        <is>
          <t>Santander - Latin America Corporate Bond</t>
        </is>
      </c>
      <c r="E1799" t="inlineStr">
        <is>
          <t>Huella</t>
        </is>
      </c>
      <c r="F1799" t="n">
        <v>1.466109</v>
      </c>
    </row>
    <row r="1800">
      <c r="A1800" t="inlineStr">
        <is>
          <t>202606</t>
        </is>
      </c>
      <c r="B1800" t="inlineStr">
        <is>
          <t>Actual</t>
        </is>
      </c>
      <c r="C1800" t="inlineStr">
        <is>
          <t>Ex_Integra</t>
        </is>
      </c>
      <c r="D1800" t="inlineStr">
        <is>
          <t>Santander - Latin America Corporate Bond</t>
        </is>
      </c>
      <c r="E1800" t="inlineStr">
        <is>
          <t>Intensidad</t>
        </is>
      </c>
      <c r="F1800" t="n">
        <v>0.000272</v>
      </c>
    </row>
    <row r="1801">
      <c r="A1801" t="inlineStr">
        <is>
          <t>202606</t>
        </is>
      </c>
      <c r="B1801" t="inlineStr">
        <is>
          <t>Actual</t>
        </is>
      </c>
      <c r="C1801" t="inlineStr">
        <is>
          <t>Ex_Integra</t>
        </is>
      </c>
      <c r="D1801" t="inlineStr">
        <is>
          <t>Santander - Latin America Corporate Bond</t>
        </is>
      </c>
      <c r="E1801" t="inlineStr">
        <is>
          <t>Inv MM$</t>
        </is>
      </c>
      <c r="F1801" t="n">
        <v>0.007661</v>
      </c>
    </row>
    <row r="1802">
      <c r="A1802" t="inlineStr">
        <is>
          <t>202606</t>
        </is>
      </c>
      <c r="B1802" t="inlineStr">
        <is>
          <t>Actual</t>
        </is>
      </c>
      <c r="C1802" t="inlineStr">
        <is>
          <t>Ex_Integra</t>
        </is>
      </c>
      <c r="D1802" t="inlineStr">
        <is>
          <t>Schroder - International Selection Fund China A</t>
        </is>
      </c>
      <c r="E1802" t="inlineStr">
        <is>
          <t>Huella</t>
        </is>
      </c>
      <c r="F1802" t="n">
        <v>0.052916</v>
      </c>
    </row>
    <row r="1803">
      <c r="A1803" t="inlineStr">
        <is>
          <t>202606</t>
        </is>
      </c>
      <c r="B1803" t="inlineStr">
        <is>
          <t>Actual</t>
        </is>
      </c>
      <c r="C1803" t="inlineStr">
        <is>
          <t>Ex_Integra</t>
        </is>
      </c>
      <c r="D1803" t="inlineStr">
        <is>
          <t>Schroder - International Selection Fund China A</t>
        </is>
      </c>
      <c r="E1803" t="inlineStr">
        <is>
          <t>Intensidad</t>
        </is>
      </c>
      <c r="F1803" t="n">
        <v>1.1e-05</v>
      </c>
    </row>
    <row r="1804">
      <c r="A1804" t="inlineStr">
        <is>
          <t>202606</t>
        </is>
      </c>
      <c r="B1804" t="inlineStr">
        <is>
          <t>Actual</t>
        </is>
      </c>
      <c r="C1804" t="inlineStr">
        <is>
          <t>Ex_Integra</t>
        </is>
      </c>
      <c r="D1804" t="inlineStr">
        <is>
          <t>Schroder - International Selection Fund China A</t>
        </is>
      </c>
      <c r="E1804" t="inlineStr">
        <is>
          <t>Inv MM$</t>
        </is>
      </c>
      <c r="F1804" t="n">
        <v>0.000709</v>
      </c>
    </row>
    <row r="1805">
      <c r="A1805" t="inlineStr">
        <is>
          <t>202606</t>
        </is>
      </c>
      <c r="B1805" t="inlineStr">
        <is>
          <t>Actual</t>
        </is>
      </c>
      <c r="C1805" t="inlineStr">
        <is>
          <t>Ex_Integra</t>
        </is>
      </c>
      <c r="D1805" t="inlineStr">
        <is>
          <t>Schroder - Selection Fund China Local Currency Bond</t>
        </is>
      </c>
      <c r="E1805" t="inlineStr">
        <is>
          <t>Huella</t>
        </is>
      </c>
      <c r="F1805" t="n">
        <v>2.412651</v>
      </c>
    </row>
    <row r="1806">
      <c r="A1806" t="inlineStr">
        <is>
          <t>202606</t>
        </is>
      </c>
      <c r="B1806" t="inlineStr">
        <is>
          <t>Actual</t>
        </is>
      </c>
      <c r="C1806" t="inlineStr">
        <is>
          <t>Ex_Integra</t>
        </is>
      </c>
      <c r="D1806" t="inlineStr">
        <is>
          <t>Schroder - Selection Fund China Local Currency Bond</t>
        </is>
      </c>
      <c r="E1806" t="inlineStr">
        <is>
          <t>Intensidad</t>
        </is>
      </c>
      <c r="F1806" t="n">
        <v>0.000173</v>
      </c>
    </row>
    <row r="1807">
      <c r="A1807" t="inlineStr">
        <is>
          <t>202606</t>
        </is>
      </c>
      <c r="B1807" t="inlineStr">
        <is>
          <t>Actual</t>
        </is>
      </c>
      <c r="C1807" t="inlineStr">
        <is>
          <t>Ex_Integra</t>
        </is>
      </c>
      <c r="D1807" t="inlineStr">
        <is>
          <t>Schroder - Selection Fund China Local Currency Bond</t>
        </is>
      </c>
      <c r="E1807" t="inlineStr">
        <is>
          <t>Inv MM$</t>
        </is>
      </c>
      <c r="F1807" t="n">
        <v>1.162559</v>
      </c>
    </row>
    <row r="1808">
      <c r="A1808" t="inlineStr">
        <is>
          <t>202606</t>
        </is>
      </c>
      <c r="B1808" t="inlineStr">
        <is>
          <t>Actual</t>
        </is>
      </c>
      <c r="C1808" t="inlineStr">
        <is>
          <t>Ex_Integra</t>
        </is>
      </c>
      <c r="D1808" t="inlineStr">
        <is>
          <t>Schroders - Emerging Europe</t>
        </is>
      </c>
      <c r="E1808" t="inlineStr">
        <is>
          <t>Huella</t>
        </is>
      </c>
      <c r="F1808" t="n">
        <v>4951.34406</v>
      </c>
    </row>
    <row r="1809">
      <c r="A1809" t="inlineStr">
        <is>
          <t>202606</t>
        </is>
      </c>
      <c r="B1809" t="inlineStr">
        <is>
          <t>Actual</t>
        </is>
      </c>
      <c r="C1809" t="inlineStr">
        <is>
          <t>Ex_Integra</t>
        </is>
      </c>
      <c r="D1809" t="inlineStr">
        <is>
          <t>Schroders - Emerging Europe</t>
        </is>
      </c>
      <c r="E1809" t="inlineStr">
        <is>
          <t>Intensidad</t>
        </is>
      </c>
      <c r="F1809" t="n">
        <v>0.750784</v>
      </c>
    </row>
    <row r="1810">
      <c r="A1810" t="inlineStr">
        <is>
          <t>202606</t>
        </is>
      </c>
      <c r="B1810" t="inlineStr">
        <is>
          <t>Actual</t>
        </is>
      </c>
      <c r="C1810" t="inlineStr">
        <is>
          <t>Ex_Integra</t>
        </is>
      </c>
      <c r="D1810" t="inlineStr">
        <is>
          <t>Schroders - Emerging Europe</t>
        </is>
      </c>
      <c r="E1810" t="inlineStr">
        <is>
          <t>Inv MM$</t>
        </is>
      </c>
      <c r="F1810" t="n">
        <v>58.344868</v>
      </c>
    </row>
    <row r="1811">
      <c r="A1811" t="inlineStr">
        <is>
          <t>202606</t>
        </is>
      </c>
      <c r="B1811" t="inlineStr">
        <is>
          <t>Actual</t>
        </is>
      </c>
      <c r="C1811" t="inlineStr">
        <is>
          <t>Ex_Integra</t>
        </is>
      </c>
      <c r="D1811" t="inlineStr">
        <is>
          <t>State Street - S&amp;P Metals &amp; Mining ETF</t>
        </is>
      </c>
      <c r="E1811" t="inlineStr">
        <is>
          <t>Huella</t>
        </is>
      </c>
      <c r="F1811" t="n">
        <v>3382.664145</v>
      </c>
    </row>
    <row r="1812">
      <c r="A1812" t="inlineStr">
        <is>
          <t>202606</t>
        </is>
      </c>
      <c r="B1812" t="inlineStr">
        <is>
          <t>Actual</t>
        </is>
      </c>
      <c r="C1812" t="inlineStr">
        <is>
          <t>Ex_Integra</t>
        </is>
      </c>
      <c r="D1812" t="inlineStr">
        <is>
          <t>State Street - S&amp;P Metals &amp; Mining ETF</t>
        </is>
      </c>
      <c r="E1812" t="inlineStr">
        <is>
          <t>Intensidad</t>
        </is>
      </c>
      <c r="F1812" t="n">
        <v>0.951553</v>
      </c>
    </row>
    <row r="1813">
      <c r="A1813" t="inlineStr">
        <is>
          <t>202606</t>
        </is>
      </c>
      <c r="B1813" t="inlineStr">
        <is>
          <t>Actual</t>
        </is>
      </c>
      <c r="C1813" t="inlineStr">
        <is>
          <t>Ex_Integra</t>
        </is>
      </c>
      <c r="D1813" t="inlineStr">
        <is>
          <t>State Street - S&amp;P Metals &amp; Mining ETF</t>
        </is>
      </c>
      <c r="E1813" t="inlineStr">
        <is>
          <t>Inv MM$</t>
        </is>
      </c>
      <c r="F1813" t="n">
        <v>7.241226</v>
      </c>
    </row>
    <row r="1814">
      <c r="A1814" t="inlineStr">
        <is>
          <t>202606</t>
        </is>
      </c>
      <c r="B1814" t="inlineStr">
        <is>
          <t>Actual</t>
        </is>
      </c>
      <c r="C1814" t="inlineStr">
        <is>
          <t>Ex_Integra</t>
        </is>
      </c>
      <c r="D1814" t="inlineStr">
        <is>
          <t>Telefónica</t>
        </is>
      </c>
      <c r="E1814" t="inlineStr">
        <is>
          <t>Huella</t>
        </is>
      </c>
      <c r="F1814" t="n">
        <v>165.987973</v>
      </c>
    </row>
    <row r="1815">
      <c r="A1815" t="inlineStr">
        <is>
          <t>202606</t>
        </is>
      </c>
      <c r="B1815" t="inlineStr">
        <is>
          <t>Actual</t>
        </is>
      </c>
      <c r="C1815" t="inlineStr">
        <is>
          <t>Ex_Integra</t>
        </is>
      </c>
      <c r="D1815" t="inlineStr">
        <is>
          <t>Telefónica</t>
        </is>
      </c>
      <c r="E1815" t="inlineStr">
        <is>
          <t>Intensidad</t>
        </is>
      </c>
      <c r="F1815" t="n">
        <v>0.017765</v>
      </c>
    </row>
    <row r="1816">
      <c r="A1816" t="inlineStr">
        <is>
          <t>202606</t>
        </is>
      </c>
      <c r="B1816" t="inlineStr">
        <is>
          <t>Actual</t>
        </is>
      </c>
      <c r="C1816" t="inlineStr">
        <is>
          <t>Ex_Integra</t>
        </is>
      </c>
      <c r="D1816" t="inlineStr">
        <is>
          <t>Telefónica</t>
        </is>
      </c>
      <c r="E1816" t="inlineStr">
        <is>
          <t>Inv MM$</t>
        </is>
      </c>
      <c r="F1816" t="n">
        <v>69.16165599999999</v>
      </c>
    </row>
    <row r="1817">
      <c r="A1817" t="inlineStr">
        <is>
          <t>202606</t>
        </is>
      </c>
      <c r="B1817" t="inlineStr">
        <is>
          <t>Actual</t>
        </is>
      </c>
      <c r="C1817" t="inlineStr">
        <is>
          <t>Ex_Integra</t>
        </is>
      </c>
      <c r="D1817" t="inlineStr">
        <is>
          <t>UBS - China Opportunity - A3</t>
        </is>
      </c>
      <c r="E1817" t="inlineStr">
        <is>
          <t>Huella</t>
        </is>
      </c>
      <c r="F1817" t="n">
        <v>0.015716</v>
      </c>
    </row>
    <row r="1818">
      <c r="A1818" t="inlineStr">
        <is>
          <t>202606</t>
        </is>
      </c>
      <c r="B1818" t="inlineStr">
        <is>
          <t>Actual</t>
        </is>
      </c>
      <c r="C1818" t="inlineStr">
        <is>
          <t>Ex_Integra</t>
        </is>
      </c>
      <c r="D1818" t="inlineStr">
        <is>
          <t>UBS - China Opportunity - A3</t>
        </is>
      </c>
      <c r="E1818" t="inlineStr">
        <is>
          <t>Intensidad</t>
        </is>
      </c>
      <c r="F1818" t="n">
        <v>3e-06</v>
      </c>
    </row>
    <row r="1819">
      <c r="A1819" t="inlineStr">
        <is>
          <t>202606</t>
        </is>
      </c>
      <c r="B1819" t="inlineStr">
        <is>
          <t>Actual</t>
        </is>
      </c>
      <c r="C1819" t="inlineStr">
        <is>
          <t>Ex_Integra</t>
        </is>
      </c>
      <c r="D1819" t="inlineStr">
        <is>
          <t>UBS - China Opportunity - A3</t>
        </is>
      </c>
      <c r="E1819" t="inlineStr">
        <is>
          <t>Inv MM$</t>
        </is>
      </c>
      <c r="F1819" t="n">
        <v>0.000248</v>
      </c>
    </row>
    <row r="1820">
      <c r="A1820" t="inlineStr">
        <is>
          <t>202606</t>
        </is>
      </c>
      <c r="B1820" t="inlineStr">
        <is>
          <t>Actual</t>
        </is>
      </c>
      <c r="C1820" t="inlineStr">
        <is>
          <t>Ex_Integra</t>
        </is>
      </c>
      <c r="D1820" t="inlineStr">
        <is>
          <t>UTI - Indian Equity</t>
        </is>
      </c>
      <c r="E1820" t="inlineStr">
        <is>
          <t>Huella</t>
        </is>
      </c>
      <c r="F1820" t="n">
        <v>0.00098</v>
      </c>
    </row>
    <row r="1821">
      <c r="A1821" t="inlineStr">
        <is>
          <t>202606</t>
        </is>
      </c>
      <c r="B1821" t="inlineStr">
        <is>
          <t>Actual</t>
        </is>
      </c>
      <c r="C1821" t="inlineStr">
        <is>
          <t>Ex_Integra</t>
        </is>
      </c>
      <c r="D1821" t="inlineStr">
        <is>
          <t>UTI - Indian Equity</t>
        </is>
      </c>
      <c r="E1821" t="inlineStr">
        <is>
          <t>Intensidad</t>
        </is>
      </c>
      <c r="F1821" t="n">
        <v>0</v>
      </c>
    </row>
    <row r="1822">
      <c r="A1822" t="inlineStr">
        <is>
          <t>202606</t>
        </is>
      </c>
      <c r="B1822" t="inlineStr">
        <is>
          <t>Actual</t>
        </is>
      </c>
      <c r="C1822" t="inlineStr">
        <is>
          <t>Ex_Integra</t>
        </is>
      </c>
      <c r="D1822" t="inlineStr">
        <is>
          <t>UTI - Indian Equity</t>
        </is>
      </c>
      <c r="E1822" t="inlineStr">
        <is>
          <t>Inv MM$</t>
        </is>
      </c>
      <c r="F1822" t="n">
        <v>4.6e-05</v>
      </c>
    </row>
    <row r="1823">
      <c r="A1823" t="inlineStr">
        <is>
          <t>202606</t>
        </is>
      </c>
      <c r="B1823" t="inlineStr">
        <is>
          <t>Actual</t>
        </is>
      </c>
      <c r="C1823" t="inlineStr">
        <is>
          <t>Ex_Integra</t>
        </is>
      </c>
      <c r="D1823" t="inlineStr">
        <is>
          <t>VanEck - Gold Miners ETF</t>
        </is>
      </c>
      <c r="E1823" t="inlineStr">
        <is>
          <t>Huella</t>
        </is>
      </c>
      <c r="F1823" t="n">
        <v>18084.415594</v>
      </c>
    </row>
    <row r="1824">
      <c r="A1824" t="inlineStr">
        <is>
          <t>202606</t>
        </is>
      </c>
      <c r="B1824" t="inlineStr">
        <is>
          <t>Actual</t>
        </is>
      </c>
      <c r="C1824" t="inlineStr">
        <is>
          <t>Ex_Integra</t>
        </is>
      </c>
      <c r="D1824" t="inlineStr">
        <is>
          <t>VanEck - Gold Miners ETF</t>
        </is>
      </c>
      <c r="E1824" t="inlineStr">
        <is>
          <t>Intensidad</t>
        </is>
      </c>
      <c r="F1824" t="n">
        <v>2.512221</v>
      </c>
    </row>
    <row r="1825">
      <c r="A1825" t="inlineStr">
        <is>
          <t>202606</t>
        </is>
      </c>
      <c r="B1825" t="inlineStr">
        <is>
          <t>Actual</t>
        </is>
      </c>
      <c r="C1825" t="inlineStr">
        <is>
          <t>Ex_Integra</t>
        </is>
      </c>
      <c r="D1825" t="inlineStr">
        <is>
          <t>VanEck - Gold Miners ETF</t>
        </is>
      </c>
      <c r="E1825" t="inlineStr">
        <is>
          <t>Inv MM$</t>
        </is>
      </c>
      <c r="F1825" t="n">
        <v>412.826956</v>
      </c>
    </row>
    <row r="1826">
      <c r="A1826" t="inlineStr">
        <is>
          <t>202606</t>
        </is>
      </c>
      <c r="B1826" t="inlineStr">
        <is>
          <t>Actual</t>
        </is>
      </c>
      <c r="C1826" t="inlineStr">
        <is>
          <t>Ex_Integra</t>
        </is>
      </c>
      <c r="D1826" t="inlineStr">
        <is>
          <t>VanEck - JPM EM LC Bond ETF</t>
        </is>
      </c>
      <c r="E1826" t="inlineStr">
        <is>
          <t>Huella</t>
        </is>
      </c>
      <c r="F1826" t="n">
        <v>117.885294</v>
      </c>
    </row>
    <row r="1827">
      <c r="A1827" t="inlineStr">
        <is>
          <t>202606</t>
        </is>
      </c>
      <c r="B1827" t="inlineStr">
        <is>
          <t>Actual</t>
        </is>
      </c>
      <c r="C1827" t="inlineStr">
        <is>
          <t>Ex_Integra</t>
        </is>
      </c>
      <c r="D1827" t="inlineStr">
        <is>
          <t>VanEck - JPM EM LC Bond ETF</t>
        </is>
      </c>
      <c r="E1827" t="inlineStr">
        <is>
          <t>Intensidad</t>
        </is>
      </c>
      <c r="F1827" t="n">
        <v>0.031856</v>
      </c>
    </row>
    <row r="1828">
      <c r="A1828" t="inlineStr">
        <is>
          <t>202606</t>
        </is>
      </c>
      <c r="B1828" t="inlineStr">
        <is>
          <t>Actual</t>
        </is>
      </c>
      <c r="C1828" t="inlineStr">
        <is>
          <t>Ex_Integra</t>
        </is>
      </c>
      <c r="D1828" t="inlineStr">
        <is>
          <t>VanEck - JPM EM LC Bond ETF</t>
        </is>
      </c>
      <c r="E1828" t="inlineStr">
        <is>
          <t>Inv MM$</t>
        </is>
      </c>
      <c r="F1828" t="n">
        <v>11.999041</v>
      </c>
    </row>
    <row r="1829">
      <c r="A1829" t="inlineStr">
        <is>
          <t>202606</t>
        </is>
      </c>
      <c r="B1829" t="inlineStr">
        <is>
          <t>Actual</t>
        </is>
      </c>
      <c r="C1829" t="inlineStr">
        <is>
          <t>Ex_Integra</t>
        </is>
      </c>
      <c r="D1829" t="inlineStr">
        <is>
          <t>VanEck Semiconductor ETF</t>
        </is>
      </c>
      <c r="E1829" t="inlineStr">
        <is>
          <t>Huella</t>
        </is>
      </c>
      <c r="F1829" t="n">
        <v>4732.829505</v>
      </c>
    </row>
    <row r="1830">
      <c r="A1830" t="inlineStr">
        <is>
          <t>202606</t>
        </is>
      </c>
      <c r="B1830" t="inlineStr">
        <is>
          <t>Actual</t>
        </is>
      </c>
      <c r="C1830" t="inlineStr">
        <is>
          <t>Ex_Integra</t>
        </is>
      </c>
      <c r="D1830" t="inlineStr">
        <is>
          <t>VanEck Semiconductor ETF</t>
        </is>
      </c>
      <c r="E1830" t="inlineStr">
        <is>
          <t>Intensidad</t>
        </is>
      </c>
      <c r="F1830" t="n">
        <v>0.687378</v>
      </c>
    </row>
    <row r="1831">
      <c r="A1831" t="inlineStr">
        <is>
          <t>202606</t>
        </is>
      </c>
      <c r="B1831" t="inlineStr">
        <is>
          <t>Actual</t>
        </is>
      </c>
      <c r="C1831" t="inlineStr">
        <is>
          <t>Ex_Integra</t>
        </is>
      </c>
      <c r="D1831" t="inlineStr">
        <is>
          <t>VanEck Semiconductor ETF</t>
        </is>
      </c>
      <c r="E1831" t="inlineStr">
        <is>
          <t>Inv MM$</t>
        </is>
      </c>
      <c r="F1831" t="n">
        <v>669.8527759999999</v>
      </c>
    </row>
    <row r="1832">
      <c r="A1832" t="inlineStr">
        <is>
          <t>202606</t>
        </is>
      </c>
      <c r="B1832" t="inlineStr">
        <is>
          <t>Actual</t>
        </is>
      </c>
      <c r="C1832" t="inlineStr">
        <is>
          <t>Ex_Integra</t>
        </is>
      </c>
      <c r="D1832" t="inlineStr">
        <is>
          <t>Vanguard - S&amp;P 500 ETF</t>
        </is>
      </c>
      <c r="E1832" t="inlineStr">
        <is>
          <t>Huella</t>
        </is>
      </c>
      <c r="F1832" t="n">
        <v>2827.998682</v>
      </c>
    </row>
    <row r="1833">
      <c r="A1833" t="inlineStr">
        <is>
          <t>202606</t>
        </is>
      </c>
      <c r="B1833" t="inlineStr">
        <is>
          <t>Actual</t>
        </is>
      </c>
      <c r="C1833" t="inlineStr">
        <is>
          <t>Ex_Integra</t>
        </is>
      </c>
      <c r="D1833" t="inlineStr">
        <is>
          <t>Vanguard - S&amp;P 500 ETF</t>
        </is>
      </c>
      <c r="E1833" t="inlineStr">
        <is>
          <t>Intensidad</t>
        </is>
      </c>
      <c r="F1833" t="n">
        <v>0.497139</v>
      </c>
    </row>
    <row r="1834">
      <c r="A1834" t="inlineStr">
        <is>
          <t>202606</t>
        </is>
      </c>
      <c r="B1834" t="inlineStr">
        <is>
          <t>Actual</t>
        </is>
      </c>
      <c r="C1834" t="inlineStr">
        <is>
          <t>Ex_Integra</t>
        </is>
      </c>
      <c r="D1834" t="inlineStr">
        <is>
          <t>Vanguard - S&amp;P 500 ETF</t>
        </is>
      </c>
      <c r="E1834" t="inlineStr">
        <is>
          <t>Inv MM$</t>
        </is>
      </c>
      <c r="F1834" t="n">
        <v>129.288564</v>
      </c>
    </row>
    <row r="1835">
      <c r="A1835" t="inlineStr">
        <is>
          <t>202606</t>
        </is>
      </c>
      <c r="B1835" t="inlineStr">
        <is>
          <t>Actual</t>
        </is>
      </c>
      <c r="C1835" t="inlineStr">
        <is>
          <t>Ex_Integra</t>
        </is>
      </c>
      <c r="D1835" t="inlineStr">
        <is>
          <t>Volcan*</t>
        </is>
      </c>
      <c r="E1835" t="inlineStr">
        <is>
          <t>Huella</t>
        </is>
      </c>
      <c r="F1835" t="n">
        <v>5402.758896</v>
      </c>
    </row>
    <row r="1836">
      <c r="A1836" t="inlineStr">
        <is>
          <t>202606</t>
        </is>
      </c>
      <c r="B1836" t="inlineStr">
        <is>
          <t>Actual</t>
        </is>
      </c>
      <c r="C1836" t="inlineStr">
        <is>
          <t>Ex_Integra</t>
        </is>
      </c>
      <c r="D1836" t="inlineStr">
        <is>
          <t>Volcan*</t>
        </is>
      </c>
      <c r="E1836" t="inlineStr">
        <is>
          <t>Intensidad</t>
        </is>
      </c>
      <c r="F1836" t="n">
        <v>1.087813</v>
      </c>
    </row>
    <row r="1837">
      <c r="A1837" t="inlineStr">
        <is>
          <t>202606</t>
        </is>
      </c>
      <c r="B1837" t="inlineStr">
        <is>
          <t>Actual</t>
        </is>
      </c>
      <c r="C1837" t="inlineStr">
        <is>
          <t>Ex_Integra</t>
        </is>
      </c>
      <c r="D1837" t="inlineStr">
        <is>
          <t>Volcan*</t>
        </is>
      </c>
      <c r="E1837" t="inlineStr">
        <is>
          <t>Inv MM$</t>
        </is>
      </c>
      <c r="F1837" t="n">
        <v>47.455063</v>
      </c>
    </row>
    <row r="1838">
      <c r="A1838" t="inlineStr">
        <is>
          <t>202606</t>
        </is>
      </c>
      <c r="B1838" t="inlineStr">
        <is>
          <t>Actual</t>
        </is>
      </c>
      <c r="C1838" t="inlineStr">
        <is>
          <t>Ex_Integra</t>
        </is>
      </c>
      <c r="D1838" t="inlineStr">
        <is>
          <t>Vontobel - Credit Opportunities</t>
        </is>
      </c>
      <c r="E1838" t="inlineStr">
        <is>
          <t>Huella</t>
        </is>
      </c>
      <c r="F1838" t="n">
        <v>3469.454492</v>
      </c>
    </row>
    <row r="1839">
      <c r="A1839" t="inlineStr">
        <is>
          <t>202606</t>
        </is>
      </c>
      <c r="B1839" t="inlineStr">
        <is>
          <t>Actual</t>
        </is>
      </c>
      <c r="C1839" t="inlineStr">
        <is>
          <t>Ex_Integra</t>
        </is>
      </c>
      <c r="D1839" t="inlineStr">
        <is>
          <t>Vontobel - Credit Opportunities</t>
        </is>
      </c>
      <c r="E1839" t="inlineStr">
        <is>
          <t>Intensidad</t>
        </is>
      </c>
      <c r="F1839" t="n">
        <v>0.687098</v>
      </c>
    </row>
    <row r="1840">
      <c r="A1840" t="inlineStr">
        <is>
          <t>202606</t>
        </is>
      </c>
      <c r="B1840" t="inlineStr">
        <is>
          <t>Actual</t>
        </is>
      </c>
      <c r="C1840" t="inlineStr">
        <is>
          <t>Ex_Integra</t>
        </is>
      </c>
      <c r="D1840" t="inlineStr">
        <is>
          <t>Vontobel - Credit Opportunities</t>
        </is>
      </c>
      <c r="E1840" t="inlineStr">
        <is>
          <t>Inv MM$</t>
        </is>
      </c>
      <c r="F1840" t="n">
        <v>82.482615</v>
      </c>
    </row>
    <row r="1841">
      <c r="A1841" t="inlineStr">
        <is>
          <t>202606</t>
        </is>
      </c>
      <c r="B1841" t="inlineStr">
        <is>
          <t>Actual</t>
        </is>
      </c>
      <c r="C1841" t="inlineStr">
        <is>
          <t>Ex_Integra</t>
        </is>
      </c>
      <c r="D1841" t="inlineStr">
        <is>
          <t>Vontobel - Emerging Markets Corporate</t>
        </is>
      </c>
      <c r="E1841" t="inlineStr">
        <is>
          <t>Huella</t>
        </is>
      </c>
      <c r="F1841" t="n">
        <v>0.244786</v>
      </c>
    </row>
    <row r="1842">
      <c r="A1842" t="inlineStr">
        <is>
          <t>202606</t>
        </is>
      </c>
      <c r="B1842" t="inlineStr">
        <is>
          <t>Actual</t>
        </is>
      </c>
      <c r="C1842" t="inlineStr">
        <is>
          <t>Ex_Integra</t>
        </is>
      </c>
      <c r="D1842" t="inlineStr">
        <is>
          <t>Vontobel - Emerging Markets Corporate</t>
        </is>
      </c>
      <c r="E1842" t="inlineStr">
        <is>
          <t>Intensidad</t>
        </is>
      </c>
      <c r="F1842" t="n">
        <v>4.4e-05</v>
      </c>
    </row>
    <row r="1843">
      <c r="A1843" t="inlineStr">
        <is>
          <t>202606</t>
        </is>
      </c>
      <c r="B1843" t="inlineStr">
        <is>
          <t>Actual</t>
        </is>
      </c>
      <c r="C1843" t="inlineStr">
        <is>
          <t>Ex_Integra</t>
        </is>
      </c>
      <c r="D1843" t="inlineStr">
        <is>
          <t>Vontobel - Emerging Markets Corporate</t>
        </is>
      </c>
      <c r="E1843" t="inlineStr">
        <is>
          <t>Inv MM$</t>
        </is>
      </c>
      <c r="F1843" t="n">
        <v>0.00057</v>
      </c>
    </row>
    <row r="1844">
      <c r="A1844" t="inlineStr">
        <is>
          <t>202606</t>
        </is>
      </c>
      <c r="B1844" t="inlineStr">
        <is>
          <t>Actual</t>
        </is>
      </c>
      <c r="C1844" t="inlineStr">
        <is>
          <t>Ex_Integra</t>
        </is>
      </c>
      <c r="D1844" t="inlineStr">
        <is>
          <t>Vontobel - Emerging Markets Debt</t>
        </is>
      </c>
      <c r="E1844" t="inlineStr">
        <is>
          <t>Huella</t>
        </is>
      </c>
      <c r="F1844" t="n">
        <v>25866.029547</v>
      </c>
    </row>
    <row r="1845">
      <c r="A1845" t="inlineStr">
        <is>
          <t>202606</t>
        </is>
      </c>
      <c r="B1845" t="inlineStr">
        <is>
          <t>Actual</t>
        </is>
      </c>
      <c r="C1845" t="inlineStr">
        <is>
          <t>Ex_Integra</t>
        </is>
      </c>
      <c r="D1845" t="inlineStr">
        <is>
          <t>Vontobel - Emerging Markets Debt</t>
        </is>
      </c>
      <c r="E1845" t="inlineStr">
        <is>
          <t>Intensidad</t>
        </is>
      </c>
      <c r="F1845" t="n">
        <v>5.996738</v>
      </c>
    </row>
    <row r="1846">
      <c r="A1846" t="inlineStr">
        <is>
          <t>202606</t>
        </is>
      </c>
      <c r="B1846" t="inlineStr">
        <is>
          <t>Actual</t>
        </is>
      </c>
      <c r="C1846" t="inlineStr">
        <is>
          <t>Ex_Integra</t>
        </is>
      </c>
      <c r="D1846" t="inlineStr">
        <is>
          <t>Vontobel - Emerging Markets Debt</t>
        </is>
      </c>
      <c r="E1846" t="inlineStr">
        <is>
          <t>Inv MM$</t>
        </is>
      </c>
      <c r="F1846" t="n">
        <v>64.716351</v>
      </c>
    </row>
    <row r="1847">
      <c r="A1847" t="inlineStr">
        <is>
          <t>202606</t>
        </is>
      </c>
      <c r="B1847" t="inlineStr">
        <is>
          <t>Actual</t>
        </is>
      </c>
      <c r="C1847" t="inlineStr">
        <is>
          <t>Ex_Integra</t>
        </is>
      </c>
      <c r="D1847" t="inlineStr">
        <is>
          <t>Wellington Luxembourg - Asia Technology Fund</t>
        </is>
      </c>
      <c r="E1847" t="inlineStr">
        <is>
          <t>Huella</t>
        </is>
      </c>
      <c r="F1847" t="n">
        <v>521.422971</v>
      </c>
    </row>
    <row r="1848">
      <c r="A1848" t="inlineStr">
        <is>
          <t>202606</t>
        </is>
      </c>
      <c r="B1848" t="inlineStr">
        <is>
          <t>Actual</t>
        </is>
      </c>
      <c r="C1848" t="inlineStr">
        <is>
          <t>Ex_Integra</t>
        </is>
      </c>
      <c r="D1848" t="inlineStr">
        <is>
          <t>Wellington Luxembourg - Asia Technology Fund</t>
        </is>
      </c>
      <c r="E1848" t="inlineStr">
        <is>
          <t>Intensidad</t>
        </is>
      </c>
      <c r="F1848" t="n">
        <v>0.08604000000000001</v>
      </c>
    </row>
    <row r="1849">
      <c r="A1849" t="inlineStr">
        <is>
          <t>202606</t>
        </is>
      </c>
      <c r="B1849" t="inlineStr">
        <is>
          <t>Actual</t>
        </is>
      </c>
      <c r="C1849" t="inlineStr">
        <is>
          <t>Ex_Integra</t>
        </is>
      </c>
      <c r="D1849" t="inlineStr">
        <is>
          <t>Wellington Luxembourg - Asia Technology Fund</t>
        </is>
      </c>
      <c r="E1849" t="inlineStr">
        <is>
          <t>Inv MM$</t>
        </is>
      </c>
      <c r="F1849" t="n">
        <v>42.798745</v>
      </c>
    </row>
    <row r="1850">
      <c r="A1850" t="inlineStr">
        <is>
          <t>202606</t>
        </is>
      </c>
      <c r="B1850" t="inlineStr">
        <is>
          <t>Actual</t>
        </is>
      </c>
      <c r="C1850" t="inlineStr">
        <is>
          <t>Ex_Integra</t>
        </is>
      </c>
      <c r="D1850" t="inlineStr">
        <is>
          <t>WisdomTree - Cloud Computing</t>
        </is>
      </c>
      <c r="E1850" t="inlineStr">
        <is>
          <t>Huella</t>
        </is>
      </c>
      <c r="F1850" t="n">
        <v>31.759237</v>
      </c>
    </row>
    <row r="1851">
      <c r="A1851" t="inlineStr">
        <is>
          <t>202606</t>
        </is>
      </c>
      <c r="B1851" t="inlineStr">
        <is>
          <t>Actual</t>
        </is>
      </c>
      <c r="C1851" t="inlineStr">
        <is>
          <t>Ex_Integra</t>
        </is>
      </c>
      <c r="D1851" t="inlineStr">
        <is>
          <t>WisdomTree - Cloud Computing</t>
        </is>
      </c>
      <c r="E1851" t="inlineStr">
        <is>
          <t>Intensidad</t>
        </is>
      </c>
      <c r="F1851" t="n">
        <v>0.00474</v>
      </c>
    </row>
    <row r="1852">
      <c r="A1852" t="inlineStr">
        <is>
          <t>202606</t>
        </is>
      </c>
      <c r="B1852" t="inlineStr">
        <is>
          <t>Actual</t>
        </is>
      </c>
      <c r="C1852" t="inlineStr">
        <is>
          <t>Ex_Integra</t>
        </is>
      </c>
      <c r="D1852" t="inlineStr">
        <is>
          <t>WisdomTree - Cloud Computing</t>
        </is>
      </c>
      <c r="E1852" t="inlineStr">
        <is>
          <t>Inv MM$</t>
        </is>
      </c>
      <c r="F1852" t="n">
        <v>31.55573</v>
      </c>
    </row>
    <row r="1853">
      <c r="A1853" t="inlineStr">
        <is>
          <t>202606</t>
        </is>
      </c>
      <c r="B1853" t="inlineStr">
        <is>
          <t>Actual</t>
        </is>
      </c>
      <c r="C1853" t="inlineStr">
        <is>
          <t>Ex_Integra</t>
        </is>
      </c>
      <c r="D1853" t="inlineStr">
        <is>
          <t>WisdomTree - Quality Growth</t>
        </is>
      </c>
      <c r="E1853" t="inlineStr">
        <is>
          <t>Huella</t>
        </is>
      </c>
      <c r="F1853" t="n">
        <v>497.479409</v>
      </c>
    </row>
    <row r="1854">
      <c r="A1854" t="inlineStr">
        <is>
          <t>202606</t>
        </is>
      </c>
      <c r="B1854" t="inlineStr">
        <is>
          <t>Actual</t>
        </is>
      </c>
      <c r="C1854" t="inlineStr">
        <is>
          <t>Ex_Integra</t>
        </is>
      </c>
      <c r="D1854" t="inlineStr">
        <is>
          <t>WisdomTree - Quality Growth</t>
        </is>
      </c>
      <c r="E1854" t="inlineStr">
        <is>
          <t>Intensidad</t>
        </is>
      </c>
      <c r="F1854" t="n">
        <v>0.051941</v>
      </c>
    </row>
    <row r="1855">
      <c r="A1855" t="inlineStr">
        <is>
          <t>202606</t>
        </is>
      </c>
      <c r="B1855" t="inlineStr">
        <is>
          <t>Actual</t>
        </is>
      </c>
      <c r="C1855" t="inlineStr">
        <is>
          <t>Ex_Integra</t>
        </is>
      </c>
      <c r="D1855" t="inlineStr">
        <is>
          <t>WisdomTree - Quality Growth</t>
        </is>
      </c>
      <c r="E1855" t="inlineStr">
        <is>
          <t>Inv MM$</t>
        </is>
      </c>
      <c r="F1855" t="n">
        <v>60.778505</v>
      </c>
    </row>
    <row r="1856">
      <c r="A1856" t="inlineStr">
        <is>
          <t>202606</t>
        </is>
      </c>
      <c r="B1856" t="inlineStr">
        <is>
          <t>Actual</t>
        </is>
      </c>
      <c r="C1856" t="inlineStr">
        <is>
          <t>Habitat</t>
        </is>
      </c>
      <c r="D1856" t="inlineStr">
        <is>
          <t>AXA - US High Yield Bonds</t>
        </is>
      </c>
      <c r="E1856" t="inlineStr">
        <is>
          <t>Huella</t>
        </is>
      </c>
      <c r="F1856" t="n">
        <v>0.045295</v>
      </c>
    </row>
    <row r="1857">
      <c r="A1857" t="inlineStr">
        <is>
          <t>202606</t>
        </is>
      </c>
      <c r="B1857" t="inlineStr">
        <is>
          <t>Actual</t>
        </is>
      </c>
      <c r="C1857" t="inlineStr">
        <is>
          <t>Habitat</t>
        </is>
      </c>
      <c r="D1857" t="inlineStr">
        <is>
          <t>AXA - US High Yield Bonds</t>
        </is>
      </c>
      <c r="E1857" t="inlineStr">
        <is>
          <t>Intensidad</t>
        </is>
      </c>
      <c r="F1857" t="n">
        <v>9.000000000000001e-05</v>
      </c>
    </row>
    <row r="1858">
      <c r="A1858" t="inlineStr">
        <is>
          <t>202606</t>
        </is>
      </c>
      <c r="B1858" t="inlineStr">
        <is>
          <t>Actual</t>
        </is>
      </c>
      <c r="C1858" t="inlineStr">
        <is>
          <t>Habitat</t>
        </is>
      </c>
      <c r="D1858" t="inlineStr">
        <is>
          <t>AXA - US High Yield Bonds</t>
        </is>
      </c>
      <c r="E1858" t="inlineStr">
        <is>
          <t>Inv MM$</t>
        </is>
      </c>
      <c r="F1858" t="n">
        <v>0.000568</v>
      </c>
    </row>
    <row r="1859">
      <c r="A1859" t="inlineStr">
        <is>
          <t>202606</t>
        </is>
      </c>
      <c r="B1859" t="inlineStr">
        <is>
          <t>Actual</t>
        </is>
      </c>
      <c r="C1859" t="inlineStr">
        <is>
          <t>Habitat</t>
        </is>
      </c>
      <c r="D1859" t="inlineStr">
        <is>
          <t>AXA - US Short Duration High Yield</t>
        </is>
      </c>
      <c r="E1859" t="inlineStr">
        <is>
          <t>Huella</t>
        </is>
      </c>
      <c r="F1859" t="n">
        <v>0.028286</v>
      </c>
    </row>
    <row r="1860">
      <c r="A1860" t="inlineStr">
        <is>
          <t>202606</t>
        </is>
      </c>
      <c r="B1860" t="inlineStr">
        <is>
          <t>Actual</t>
        </is>
      </c>
      <c r="C1860" t="inlineStr">
        <is>
          <t>Habitat</t>
        </is>
      </c>
      <c r="D1860" t="inlineStr">
        <is>
          <t>AXA - US Short Duration High Yield</t>
        </is>
      </c>
      <c r="E1860" t="inlineStr">
        <is>
          <t>Intensidad</t>
        </is>
      </c>
      <c r="F1860" t="n">
        <v>5.6e-05</v>
      </c>
    </row>
    <row r="1861">
      <c r="A1861" t="inlineStr">
        <is>
          <t>202606</t>
        </is>
      </c>
      <c r="B1861" t="inlineStr">
        <is>
          <t>Actual</t>
        </is>
      </c>
      <c r="C1861" t="inlineStr">
        <is>
          <t>Habitat</t>
        </is>
      </c>
      <c r="D1861" t="inlineStr">
        <is>
          <t>AXA - US Short Duration High Yield</t>
        </is>
      </c>
      <c r="E1861" t="inlineStr">
        <is>
          <t>Inv MM$</t>
        </is>
      </c>
      <c r="F1861" t="n">
        <v>0.000384</v>
      </c>
    </row>
    <row r="1862">
      <c r="A1862" t="inlineStr">
        <is>
          <t>202606</t>
        </is>
      </c>
      <c r="B1862" t="inlineStr">
        <is>
          <t>Actual</t>
        </is>
      </c>
      <c r="C1862" t="inlineStr">
        <is>
          <t>Habitat</t>
        </is>
      </c>
      <c r="D1862" t="inlineStr">
        <is>
          <t>AXA - World Funds Framligton Digital Economy</t>
        </is>
      </c>
      <c r="E1862" t="inlineStr">
        <is>
          <t>Huella</t>
        </is>
      </c>
      <c r="F1862" t="n">
        <v>0.06501800000000001</v>
      </c>
    </row>
    <row r="1863">
      <c r="A1863" t="inlineStr">
        <is>
          <t>202606</t>
        </is>
      </c>
      <c r="B1863" t="inlineStr">
        <is>
          <t>Actual</t>
        </is>
      </c>
      <c r="C1863" t="inlineStr">
        <is>
          <t>Habitat</t>
        </is>
      </c>
      <c r="D1863" t="inlineStr">
        <is>
          <t>AXA - World Funds Framligton Digital Economy</t>
        </is>
      </c>
      <c r="E1863" t="inlineStr">
        <is>
          <t>Intensidad</t>
        </is>
      </c>
      <c r="F1863" t="n">
        <v>3.7e-05</v>
      </c>
    </row>
    <row r="1864">
      <c r="A1864" t="inlineStr">
        <is>
          <t>202606</t>
        </is>
      </c>
      <c r="B1864" t="inlineStr">
        <is>
          <t>Actual</t>
        </is>
      </c>
      <c r="C1864" t="inlineStr">
        <is>
          <t>Habitat</t>
        </is>
      </c>
      <c r="D1864" t="inlineStr">
        <is>
          <t>AXA - World Funds Framligton Digital Economy</t>
        </is>
      </c>
      <c r="E1864" t="inlineStr">
        <is>
          <t>Inv MM$</t>
        </is>
      </c>
      <c r="F1864" t="n">
        <v>0.054673</v>
      </c>
    </row>
    <row r="1865">
      <c r="A1865" t="inlineStr">
        <is>
          <t>202606</t>
        </is>
      </c>
      <c r="B1865" t="inlineStr">
        <is>
          <t>Actual</t>
        </is>
      </c>
      <c r="C1865" t="inlineStr">
        <is>
          <t>Habitat</t>
        </is>
      </c>
      <c r="D1865" t="inlineStr">
        <is>
          <t>AXA World Funds - US Dynamic High Yield</t>
        </is>
      </c>
      <c r="E1865" t="inlineStr">
        <is>
          <t>Huella</t>
        </is>
      </c>
      <c r="F1865" t="n">
        <v>0.002185</v>
      </c>
    </row>
    <row r="1866">
      <c r="A1866" t="inlineStr">
        <is>
          <t>202606</t>
        </is>
      </c>
      <c r="B1866" t="inlineStr">
        <is>
          <t>Actual</t>
        </is>
      </c>
      <c r="C1866" t="inlineStr">
        <is>
          <t>Habitat</t>
        </is>
      </c>
      <c r="D1866" t="inlineStr">
        <is>
          <t>AXA World Funds - US Dynamic High Yield</t>
        </is>
      </c>
      <c r="E1866" t="inlineStr">
        <is>
          <t>Intensidad</t>
        </is>
      </c>
      <c r="F1866" t="n">
        <v>4e-06</v>
      </c>
    </row>
    <row r="1867">
      <c r="A1867" t="inlineStr">
        <is>
          <t>202606</t>
        </is>
      </c>
      <c r="B1867" t="inlineStr">
        <is>
          <t>Actual</t>
        </is>
      </c>
      <c r="C1867" t="inlineStr">
        <is>
          <t>Habitat</t>
        </is>
      </c>
      <c r="D1867" t="inlineStr">
        <is>
          <t>AXA World Funds - US Dynamic High Yield</t>
        </is>
      </c>
      <c r="E1867" t="inlineStr">
        <is>
          <t>Inv MM$</t>
        </is>
      </c>
      <c r="F1867" t="n">
        <v>2.1e-05</v>
      </c>
    </row>
    <row r="1868">
      <c r="A1868" t="inlineStr">
        <is>
          <t>202606</t>
        </is>
      </c>
      <c r="B1868" t="inlineStr">
        <is>
          <t>Actual</t>
        </is>
      </c>
      <c r="C1868" t="inlineStr">
        <is>
          <t>Habitat</t>
        </is>
      </c>
      <c r="D1868" t="inlineStr">
        <is>
          <t>Aberdeen - Frontier Markets Bond Fund</t>
        </is>
      </c>
      <c r="E1868" t="inlineStr">
        <is>
          <t>Huella</t>
        </is>
      </c>
      <c r="F1868" t="n">
        <v>33.813159</v>
      </c>
    </row>
    <row r="1869">
      <c r="A1869" t="inlineStr">
        <is>
          <t>202606</t>
        </is>
      </c>
      <c r="B1869" t="inlineStr">
        <is>
          <t>Actual</t>
        </is>
      </c>
      <c r="C1869" t="inlineStr">
        <is>
          <t>Habitat</t>
        </is>
      </c>
      <c r="D1869" t="inlineStr">
        <is>
          <t>Aberdeen - Frontier Markets Bond Fund</t>
        </is>
      </c>
      <c r="E1869" t="inlineStr">
        <is>
          <t>Intensidad</t>
        </is>
      </c>
      <c r="F1869" t="n">
        <v>0.067327</v>
      </c>
    </row>
    <row r="1870">
      <c r="A1870" t="inlineStr">
        <is>
          <t>202606</t>
        </is>
      </c>
      <c r="B1870" t="inlineStr">
        <is>
          <t>Actual</t>
        </is>
      </c>
      <c r="C1870" t="inlineStr">
        <is>
          <t>Habitat</t>
        </is>
      </c>
      <c r="D1870" t="inlineStr">
        <is>
          <t>Aberdeen - Frontier Markets Bond Fund</t>
        </is>
      </c>
      <c r="E1870" t="inlineStr">
        <is>
          <t>Inv MM$</t>
        </is>
      </c>
      <c r="F1870" t="n">
        <v>8.146571</v>
      </c>
    </row>
    <row r="1871">
      <c r="A1871" t="inlineStr">
        <is>
          <t>202606</t>
        </is>
      </c>
      <c r="B1871" t="inlineStr">
        <is>
          <t>Actual</t>
        </is>
      </c>
      <c r="C1871" t="inlineStr">
        <is>
          <t>Habitat</t>
        </is>
      </c>
      <c r="D1871" t="inlineStr">
        <is>
          <t>Aegon High Yield Global Bond Fund</t>
        </is>
      </c>
      <c r="E1871" t="inlineStr">
        <is>
          <t>Huella</t>
        </is>
      </c>
      <c r="F1871" t="n">
        <v>385.930819</v>
      </c>
    </row>
    <row r="1872">
      <c r="A1872" t="inlineStr">
        <is>
          <t>202606</t>
        </is>
      </c>
      <c r="B1872" t="inlineStr">
        <is>
          <t>Actual</t>
        </is>
      </c>
      <c r="C1872" t="inlineStr">
        <is>
          <t>Habitat</t>
        </is>
      </c>
      <c r="D1872" t="inlineStr">
        <is>
          <t>Aegon High Yield Global Bond Fund</t>
        </is>
      </c>
      <c r="E1872" t="inlineStr">
        <is>
          <t>Intensidad</t>
        </is>
      </c>
      <c r="F1872" t="n">
        <v>0.768442</v>
      </c>
    </row>
    <row r="1873">
      <c r="A1873" t="inlineStr">
        <is>
          <t>202606</t>
        </is>
      </c>
      <c r="B1873" t="inlineStr">
        <is>
          <t>Actual</t>
        </is>
      </c>
      <c r="C1873" t="inlineStr">
        <is>
          <t>Habitat</t>
        </is>
      </c>
      <c r="D1873" t="inlineStr">
        <is>
          <t>Aegon High Yield Global Bond Fund</t>
        </is>
      </c>
      <c r="E1873" t="inlineStr">
        <is>
          <t>Inv MM$</t>
        </is>
      </c>
      <c r="F1873" t="n">
        <v>3.602356</v>
      </c>
    </row>
    <row r="1874">
      <c r="A1874" t="inlineStr">
        <is>
          <t>202606</t>
        </is>
      </c>
      <c r="B1874" t="inlineStr">
        <is>
          <t>Actual</t>
        </is>
      </c>
      <c r="C1874" t="inlineStr">
        <is>
          <t>Habitat</t>
        </is>
      </c>
      <c r="D1874" t="inlineStr">
        <is>
          <t>Aenza</t>
        </is>
      </c>
      <c r="E1874" t="inlineStr">
        <is>
          <t>Huella</t>
        </is>
      </c>
      <c r="F1874" t="n">
        <v>3364.476201</v>
      </c>
    </row>
    <row r="1875">
      <c r="A1875" t="inlineStr">
        <is>
          <t>202606</t>
        </is>
      </c>
      <c r="B1875" t="inlineStr">
        <is>
          <t>Actual</t>
        </is>
      </c>
      <c r="C1875" t="inlineStr">
        <is>
          <t>Habitat</t>
        </is>
      </c>
      <c r="D1875" t="inlineStr">
        <is>
          <t>Aenza</t>
        </is>
      </c>
      <c r="E1875" t="inlineStr">
        <is>
          <t>Intensidad</t>
        </is>
      </c>
      <c r="F1875" t="n">
        <v>1.699814</v>
      </c>
    </row>
    <row r="1876">
      <c r="A1876" t="inlineStr">
        <is>
          <t>202606</t>
        </is>
      </c>
      <c r="B1876" t="inlineStr">
        <is>
          <t>Actual</t>
        </is>
      </c>
      <c r="C1876" t="inlineStr">
        <is>
          <t>Habitat</t>
        </is>
      </c>
      <c r="D1876" t="inlineStr">
        <is>
          <t>Aenza</t>
        </is>
      </c>
      <c r="E1876" t="inlineStr">
        <is>
          <t>Inv MM$</t>
        </is>
      </c>
      <c r="F1876" t="n">
        <v>23.927716</v>
      </c>
    </row>
    <row r="1877">
      <c r="A1877" t="inlineStr">
        <is>
          <t>202606</t>
        </is>
      </c>
      <c r="B1877" t="inlineStr">
        <is>
          <t>Actual</t>
        </is>
      </c>
      <c r="C1877" t="inlineStr">
        <is>
          <t>Habitat</t>
        </is>
      </c>
      <c r="D1877" t="inlineStr">
        <is>
          <t>Alliance Bernstein - Emerging Markets Growth</t>
        </is>
      </c>
      <c r="E1877" t="inlineStr">
        <is>
          <t>Huella</t>
        </is>
      </c>
      <c r="F1877" t="n">
        <v>0.00585</v>
      </c>
    </row>
    <row r="1878">
      <c r="A1878" t="inlineStr">
        <is>
          <t>202606</t>
        </is>
      </c>
      <c r="B1878" t="inlineStr">
        <is>
          <t>Actual</t>
        </is>
      </c>
      <c r="C1878" t="inlineStr">
        <is>
          <t>Habitat</t>
        </is>
      </c>
      <c r="D1878" t="inlineStr">
        <is>
          <t>Alliance Bernstein - Emerging Markets Growth</t>
        </is>
      </c>
      <c r="E1878" t="inlineStr">
        <is>
          <t>Intensidad</t>
        </is>
      </c>
      <c r="F1878" t="n">
        <v>6e-06</v>
      </c>
    </row>
    <row r="1879">
      <c r="A1879" t="inlineStr">
        <is>
          <t>202606</t>
        </is>
      </c>
      <c r="B1879" t="inlineStr">
        <is>
          <t>Actual</t>
        </is>
      </c>
      <c r="C1879" t="inlineStr">
        <is>
          <t>Habitat</t>
        </is>
      </c>
      <c r="D1879" t="inlineStr">
        <is>
          <t>Alliance Bernstein - Emerging Markets Growth</t>
        </is>
      </c>
      <c r="E1879" t="inlineStr">
        <is>
          <t>Inv MM$</t>
        </is>
      </c>
      <c r="F1879" t="n">
        <v>0.000203</v>
      </c>
    </row>
    <row r="1880">
      <c r="A1880" t="inlineStr">
        <is>
          <t>202606</t>
        </is>
      </c>
      <c r="B1880" t="inlineStr">
        <is>
          <t>Actual</t>
        </is>
      </c>
      <c r="C1880" t="inlineStr">
        <is>
          <t>Habitat</t>
        </is>
      </c>
      <c r="D1880" t="inlineStr">
        <is>
          <t>Allianz - Artificial Intelligence</t>
        </is>
      </c>
      <c r="E1880" t="inlineStr">
        <is>
          <t>Huella</t>
        </is>
      </c>
      <c r="F1880" t="n">
        <v>41.880404</v>
      </c>
    </row>
    <row r="1881">
      <c r="A1881" t="inlineStr">
        <is>
          <t>202606</t>
        </is>
      </c>
      <c r="B1881" t="inlineStr">
        <is>
          <t>Actual</t>
        </is>
      </c>
      <c r="C1881" t="inlineStr">
        <is>
          <t>Habitat</t>
        </is>
      </c>
      <c r="D1881" t="inlineStr">
        <is>
          <t>Allianz - Artificial Intelligence</t>
        </is>
      </c>
      <c r="E1881" t="inlineStr">
        <is>
          <t>Intensidad</t>
        </is>
      </c>
      <c r="F1881" t="n">
        <v>0.02403</v>
      </c>
    </row>
    <row r="1882">
      <c r="A1882" t="inlineStr">
        <is>
          <t>202606</t>
        </is>
      </c>
      <c r="B1882" t="inlineStr">
        <is>
          <t>Actual</t>
        </is>
      </c>
      <c r="C1882" t="inlineStr">
        <is>
          <t>Habitat</t>
        </is>
      </c>
      <c r="D1882" t="inlineStr">
        <is>
          <t>Allianz - Artificial Intelligence</t>
        </is>
      </c>
      <c r="E1882" t="inlineStr">
        <is>
          <t>Inv MM$</t>
        </is>
      </c>
      <c r="F1882" t="n">
        <v>4.969655</v>
      </c>
    </row>
    <row r="1883">
      <c r="A1883" t="inlineStr">
        <is>
          <t>202606</t>
        </is>
      </c>
      <c r="B1883" t="inlineStr">
        <is>
          <t>Actual</t>
        </is>
      </c>
      <c r="C1883" t="inlineStr">
        <is>
          <t>Habitat</t>
        </is>
      </c>
      <c r="D1883" t="inlineStr">
        <is>
          <t>Allianz - China-A</t>
        </is>
      </c>
      <c r="E1883" t="inlineStr">
        <is>
          <t>Huella</t>
        </is>
      </c>
      <c r="F1883" t="n">
        <v>149.466252</v>
      </c>
    </row>
    <row r="1884">
      <c r="A1884" t="inlineStr">
        <is>
          <t>202606</t>
        </is>
      </c>
      <c r="B1884" t="inlineStr">
        <is>
          <t>Actual</t>
        </is>
      </c>
      <c r="C1884" t="inlineStr">
        <is>
          <t>Habitat</t>
        </is>
      </c>
      <c r="D1884" t="inlineStr">
        <is>
          <t>Allianz - China-A</t>
        </is>
      </c>
      <c r="E1884" t="inlineStr">
        <is>
          <t>Intensidad</t>
        </is>
      </c>
      <c r="F1884" t="n">
        <v>0.076122</v>
      </c>
    </row>
    <row r="1885">
      <c r="A1885" t="inlineStr">
        <is>
          <t>202606</t>
        </is>
      </c>
      <c r="B1885" t="inlineStr">
        <is>
          <t>Actual</t>
        </is>
      </c>
      <c r="C1885" t="inlineStr">
        <is>
          <t>Habitat</t>
        </is>
      </c>
      <c r="D1885" t="inlineStr">
        <is>
          <t>Allianz - China-A</t>
        </is>
      </c>
      <c r="E1885" t="inlineStr">
        <is>
          <t>Inv MM$</t>
        </is>
      </c>
      <c r="F1885" t="n">
        <v>1.91771</v>
      </c>
    </row>
    <row r="1886">
      <c r="A1886" t="inlineStr">
        <is>
          <t>202606</t>
        </is>
      </c>
      <c r="B1886" t="inlineStr">
        <is>
          <t>Actual</t>
        </is>
      </c>
      <c r="C1886" t="inlineStr">
        <is>
          <t>Habitat</t>
        </is>
      </c>
      <c r="D1886" t="inlineStr">
        <is>
          <t>Allianz - Euroland Equity Growth</t>
        </is>
      </c>
      <c r="E1886" t="inlineStr">
        <is>
          <t>Huella</t>
        </is>
      </c>
      <c r="F1886" t="n">
        <v>1.474551</v>
      </c>
    </row>
    <row r="1887">
      <c r="A1887" t="inlineStr">
        <is>
          <t>202606</t>
        </is>
      </c>
      <c r="B1887" t="inlineStr">
        <is>
          <t>Actual</t>
        </is>
      </c>
      <c r="C1887" t="inlineStr">
        <is>
          <t>Habitat</t>
        </is>
      </c>
      <c r="D1887" t="inlineStr">
        <is>
          <t>Allianz - Euroland Equity Growth</t>
        </is>
      </c>
      <c r="E1887" t="inlineStr">
        <is>
          <t>Intensidad</t>
        </is>
      </c>
      <c r="F1887" t="n">
        <v>0.002086</v>
      </c>
    </row>
    <row r="1888">
      <c r="A1888" t="inlineStr">
        <is>
          <t>202606</t>
        </is>
      </c>
      <c r="B1888" t="inlineStr">
        <is>
          <t>Actual</t>
        </is>
      </c>
      <c r="C1888" t="inlineStr">
        <is>
          <t>Habitat</t>
        </is>
      </c>
      <c r="D1888" t="inlineStr">
        <is>
          <t>Allianz - Euroland Equity Growth</t>
        </is>
      </c>
      <c r="E1888" t="inlineStr">
        <is>
          <t>Inv MM$</t>
        </is>
      </c>
      <c r="F1888" t="n">
        <v>0.054789</v>
      </c>
    </row>
    <row r="1889">
      <c r="A1889" t="inlineStr">
        <is>
          <t>202606</t>
        </is>
      </c>
      <c r="B1889" t="inlineStr">
        <is>
          <t>Actual</t>
        </is>
      </c>
      <c r="C1889" t="inlineStr">
        <is>
          <t>Habitat</t>
        </is>
      </c>
      <c r="D1889" t="inlineStr">
        <is>
          <t>Amundi / Pioneer - Global Subordinated</t>
        </is>
      </c>
      <c r="E1889" t="inlineStr">
        <is>
          <t>Huella</t>
        </is>
      </c>
      <c r="F1889" t="n">
        <v>5.694095</v>
      </c>
    </row>
    <row r="1890">
      <c r="A1890" t="inlineStr">
        <is>
          <t>202606</t>
        </is>
      </c>
      <c r="B1890" t="inlineStr">
        <is>
          <t>Actual</t>
        </is>
      </c>
      <c r="C1890" t="inlineStr">
        <is>
          <t>Habitat</t>
        </is>
      </c>
      <c r="D1890" t="inlineStr">
        <is>
          <t>Amundi / Pioneer - Global Subordinated</t>
        </is>
      </c>
      <c r="E1890" t="inlineStr">
        <is>
          <t>Intensidad</t>
        </is>
      </c>
      <c r="F1890" t="n">
        <v>0.011338</v>
      </c>
    </row>
    <row r="1891">
      <c r="A1891" t="inlineStr">
        <is>
          <t>202606</t>
        </is>
      </c>
      <c r="B1891" t="inlineStr">
        <is>
          <t>Actual</t>
        </is>
      </c>
      <c r="C1891" t="inlineStr">
        <is>
          <t>Habitat</t>
        </is>
      </c>
      <c r="D1891" t="inlineStr">
        <is>
          <t>Amundi / Pioneer - Global Subordinated</t>
        </is>
      </c>
      <c r="E1891" t="inlineStr">
        <is>
          <t>Inv MM$</t>
        </is>
      </c>
      <c r="F1891" t="n">
        <v>0.1279</v>
      </c>
    </row>
    <row r="1892">
      <c r="A1892" t="inlineStr">
        <is>
          <t>202606</t>
        </is>
      </c>
      <c r="B1892" t="inlineStr">
        <is>
          <t>Actual</t>
        </is>
      </c>
      <c r="C1892" t="inlineStr">
        <is>
          <t>Habitat</t>
        </is>
      </c>
      <c r="D1892" t="inlineStr">
        <is>
          <t>Ashmore - Emerging Markets Frontier Equities</t>
        </is>
      </c>
      <c r="E1892" t="inlineStr">
        <is>
          <t>Huella</t>
        </is>
      </c>
      <c r="F1892" t="n">
        <v>0.250521</v>
      </c>
    </row>
    <row r="1893">
      <c r="A1893" t="inlineStr">
        <is>
          <t>202606</t>
        </is>
      </c>
      <c r="B1893" t="inlineStr">
        <is>
          <t>Actual</t>
        </is>
      </c>
      <c r="C1893" t="inlineStr">
        <is>
          <t>Habitat</t>
        </is>
      </c>
      <c r="D1893" t="inlineStr">
        <is>
          <t>Ashmore - Emerging Markets Frontier Equities</t>
        </is>
      </c>
      <c r="E1893" t="inlineStr">
        <is>
          <t>Intensidad</t>
        </is>
      </c>
      <c r="F1893" t="n">
        <v>0.000216</v>
      </c>
    </row>
    <row r="1894">
      <c r="A1894" t="inlineStr">
        <is>
          <t>202606</t>
        </is>
      </c>
      <c r="B1894" t="inlineStr">
        <is>
          <t>Actual</t>
        </is>
      </c>
      <c r="C1894" t="inlineStr">
        <is>
          <t>Habitat</t>
        </is>
      </c>
      <c r="D1894" t="inlineStr">
        <is>
          <t>Ashmore - Emerging Markets Frontier Equities</t>
        </is>
      </c>
      <c r="E1894" t="inlineStr">
        <is>
          <t>Inv MM$</t>
        </is>
      </c>
      <c r="F1894" t="n">
        <v>0.001461</v>
      </c>
    </row>
    <row r="1895">
      <c r="A1895" t="inlineStr">
        <is>
          <t>202606</t>
        </is>
      </c>
      <c r="B1895" t="inlineStr">
        <is>
          <t>Actual</t>
        </is>
      </c>
      <c r="C1895" t="inlineStr">
        <is>
          <t>Habitat</t>
        </is>
      </c>
      <c r="D1895" t="inlineStr">
        <is>
          <t>BD Capital - Senior Loans 2</t>
        </is>
      </c>
      <c r="E1895" t="inlineStr">
        <is>
          <t>Huella</t>
        </is>
      </c>
      <c r="F1895" t="n">
        <v>696.910106</v>
      </c>
    </row>
    <row r="1896">
      <c r="A1896" t="inlineStr">
        <is>
          <t>202606</t>
        </is>
      </c>
      <c r="B1896" t="inlineStr">
        <is>
          <t>Actual</t>
        </is>
      </c>
      <c r="C1896" t="inlineStr">
        <is>
          <t>Habitat</t>
        </is>
      </c>
      <c r="D1896" t="inlineStr">
        <is>
          <t>BD Capital - Senior Loans 2</t>
        </is>
      </c>
      <c r="E1896" t="inlineStr">
        <is>
          <t>Intensidad</t>
        </is>
      </c>
      <c r="F1896" t="n">
        <v>0.284873</v>
      </c>
    </row>
    <row r="1897">
      <c r="A1897" t="inlineStr">
        <is>
          <t>202606</t>
        </is>
      </c>
      <c r="B1897" t="inlineStr">
        <is>
          <t>Actual</t>
        </is>
      </c>
      <c r="C1897" t="inlineStr">
        <is>
          <t>Habitat</t>
        </is>
      </c>
      <c r="D1897" t="inlineStr">
        <is>
          <t>BD Capital - Senior Loans 2</t>
        </is>
      </c>
      <c r="E1897" t="inlineStr">
        <is>
          <t>Inv MM$</t>
        </is>
      </c>
      <c r="F1897" t="n">
        <v>7.252753</v>
      </c>
    </row>
    <row r="1898">
      <c r="A1898" t="inlineStr">
        <is>
          <t>202606</t>
        </is>
      </c>
      <c r="B1898" t="inlineStr">
        <is>
          <t>Actual</t>
        </is>
      </c>
      <c r="C1898" t="inlineStr">
        <is>
          <t>Habitat</t>
        </is>
      </c>
      <c r="D1898" t="inlineStr">
        <is>
          <t>BNP Paribas - Japan Small Caps</t>
        </is>
      </c>
      <c r="E1898" t="inlineStr">
        <is>
          <t>Huella</t>
        </is>
      </c>
      <c r="F1898" t="n">
        <v>8068.823224</v>
      </c>
    </row>
    <row r="1899">
      <c r="A1899" t="inlineStr">
        <is>
          <t>202606</t>
        </is>
      </c>
      <c r="B1899" t="inlineStr">
        <is>
          <t>Actual</t>
        </is>
      </c>
      <c r="C1899" t="inlineStr">
        <is>
          <t>Habitat</t>
        </is>
      </c>
      <c r="D1899" t="inlineStr">
        <is>
          <t>BNP Paribas - Japan Small Caps</t>
        </is>
      </c>
      <c r="E1899" t="inlineStr">
        <is>
          <t>Intensidad</t>
        </is>
      </c>
      <c r="F1899" t="n">
        <v>3.189379</v>
      </c>
    </row>
    <row r="1900">
      <c r="A1900" t="inlineStr">
        <is>
          <t>202606</t>
        </is>
      </c>
      <c r="B1900" t="inlineStr">
        <is>
          <t>Actual</t>
        </is>
      </c>
      <c r="C1900" t="inlineStr">
        <is>
          <t>Habitat</t>
        </is>
      </c>
      <c r="D1900" t="inlineStr">
        <is>
          <t>BNP Paribas - Japan Small Caps</t>
        </is>
      </c>
      <c r="E1900" t="inlineStr">
        <is>
          <t>Inv MM$</t>
        </is>
      </c>
      <c r="F1900" t="n">
        <v>75.949687</v>
      </c>
    </row>
    <row r="1901">
      <c r="A1901" t="inlineStr">
        <is>
          <t>202606</t>
        </is>
      </c>
      <c r="B1901" t="inlineStr">
        <is>
          <t>Actual</t>
        </is>
      </c>
      <c r="C1901" t="inlineStr">
        <is>
          <t>Habitat</t>
        </is>
      </c>
      <c r="D1901" t="inlineStr">
        <is>
          <t>Barings - Emerging Markets Local Debt Fund</t>
        </is>
      </c>
      <c r="E1901" t="inlineStr">
        <is>
          <t>Huella</t>
        </is>
      </c>
      <c r="F1901" t="n">
        <v>0.800916</v>
      </c>
    </row>
    <row r="1902">
      <c r="A1902" t="inlineStr">
        <is>
          <t>202606</t>
        </is>
      </c>
      <c r="B1902" t="inlineStr">
        <is>
          <t>Actual</t>
        </is>
      </c>
      <c r="C1902" t="inlineStr">
        <is>
          <t>Habitat</t>
        </is>
      </c>
      <c r="D1902" t="inlineStr">
        <is>
          <t>Barings - Emerging Markets Local Debt Fund</t>
        </is>
      </c>
      <c r="E1902" t="inlineStr">
        <is>
          <t>Intensidad</t>
        </is>
      </c>
      <c r="F1902" t="n">
        <v>0.000196</v>
      </c>
    </row>
    <row r="1903">
      <c r="A1903" t="inlineStr">
        <is>
          <t>202606</t>
        </is>
      </c>
      <c r="B1903" t="inlineStr">
        <is>
          <t>Actual</t>
        </is>
      </c>
      <c r="C1903" t="inlineStr">
        <is>
          <t>Habitat</t>
        </is>
      </c>
      <c r="D1903" t="inlineStr">
        <is>
          <t>Barings - Emerging Markets Local Debt Fund</t>
        </is>
      </c>
      <c r="E1903" t="inlineStr">
        <is>
          <t>Inv MM$</t>
        </is>
      </c>
      <c r="F1903" t="n">
        <v>0.33166</v>
      </c>
    </row>
    <row r="1904">
      <c r="A1904" t="inlineStr">
        <is>
          <t>202606</t>
        </is>
      </c>
      <c r="B1904" t="inlineStr">
        <is>
          <t>Actual</t>
        </is>
      </c>
      <c r="C1904" t="inlineStr">
        <is>
          <t>Habitat</t>
        </is>
      </c>
      <c r="D1904" t="inlineStr">
        <is>
          <t>Black Rock - World Technology Fund</t>
        </is>
      </c>
      <c r="E1904" t="inlineStr">
        <is>
          <t>Huella</t>
        </is>
      </c>
      <c r="F1904" t="n">
        <v>164.309661</v>
      </c>
    </row>
    <row r="1905">
      <c r="A1905" t="inlineStr">
        <is>
          <t>202606</t>
        </is>
      </c>
      <c r="B1905" t="inlineStr">
        <is>
          <t>Actual</t>
        </is>
      </c>
      <c r="C1905" t="inlineStr">
        <is>
          <t>Habitat</t>
        </is>
      </c>
      <c r="D1905" t="inlineStr">
        <is>
          <t>Black Rock - World Technology Fund</t>
        </is>
      </c>
      <c r="E1905" t="inlineStr">
        <is>
          <t>Intensidad</t>
        </is>
      </c>
      <c r="F1905" t="n">
        <v>0.07154000000000001</v>
      </c>
    </row>
    <row r="1906">
      <c r="A1906" t="inlineStr">
        <is>
          <t>202606</t>
        </is>
      </c>
      <c r="B1906" t="inlineStr">
        <is>
          <t>Actual</t>
        </is>
      </c>
      <c r="C1906" t="inlineStr">
        <is>
          <t>Habitat</t>
        </is>
      </c>
      <c r="D1906" t="inlineStr">
        <is>
          <t>Black Rock - World Technology Fund</t>
        </is>
      </c>
      <c r="E1906" t="inlineStr">
        <is>
          <t>Inv MM$</t>
        </is>
      </c>
      <c r="F1906" t="n">
        <v>27.912817</v>
      </c>
    </row>
    <row r="1907">
      <c r="A1907" t="inlineStr">
        <is>
          <t>202606</t>
        </is>
      </c>
      <c r="B1907" t="inlineStr">
        <is>
          <t>Actual</t>
        </is>
      </c>
      <c r="C1907" t="inlineStr">
        <is>
          <t>Habitat</t>
        </is>
      </c>
      <c r="D1907" t="inlineStr">
        <is>
          <t>BlackRock - iShares -20+ Year Treasury Bond ETF</t>
        </is>
      </c>
      <c r="E1907" t="inlineStr">
        <is>
          <t>Huella</t>
        </is>
      </c>
      <c r="F1907" t="n">
        <v>2258.662128</v>
      </c>
    </row>
    <row r="1908">
      <c r="A1908" t="inlineStr">
        <is>
          <t>202606</t>
        </is>
      </c>
      <c r="B1908" t="inlineStr">
        <is>
          <t>Actual</t>
        </is>
      </c>
      <c r="C1908" t="inlineStr">
        <is>
          <t>Habitat</t>
        </is>
      </c>
      <c r="D1908" t="inlineStr">
        <is>
          <t>BlackRock - iShares -20+ Year Treasury Bond ETF</t>
        </is>
      </c>
      <c r="E1908" t="inlineStr">
        <is>
          <t>Intensidad</t>
        </is>
      </c>
      <c r="F1908" t="n">
        <v>4.497313</v>
      </c>
    </row>
    <row r="1909">
      <c r="A1909" t="inlineStr">
        <is>
          <t>202606</t>
        </is>
      </c>
      <c r="B1909" t="inlineStr">
        <is>
          <t>Actual</t>
        </is>
      </c>
      <c r="C1909" t="inlineStr">
        <is>
          <t>Habitat</t>
        </is>
      </c>
      <c r="D1909" t="inlineStr">
        <is>
          <t>BlackRock - iShares -20+ Year Treasury Bond ETF</t>
        </is>
      </c>
      <c r="E1909" t="inlineStr">
        <is>
          <t>Inv MM$</t>
        </is>
      </c>
      <c r="F1909" t="n">
        <v>11.148836</v>
      </c>
    </row>
    <row r="1910">
      <c r="A1910" t="inlineStr">
        <is>
          <t>202606</t>
        </is>
      </c>
      <c r="B1910" t="inlineStr">
        <is>
          <t>Actual</t>
        </is>
      </c>
      <c r="C1910" t="inlineStr">
        <is>
          <t>Habitat</t>
        </is>
      </c>
      <c r="D1910" t="inlineStr">
        <is>
          <t>BlackRock - iShares Core S&amp;P 500</t>
        </is>
      </c>
      <c r="E1910" t="inlineStr">
        <is>
          <t>Huella</t>
        </is>
      </c>
      <c r="F1910" t="n">
        <v>4396.155207</v>
      </c>
    </row>
    <row r="1911">
      <c r="A1911" t="inlineStr">
        <is>
          <t>202606</t>
        </is>
      </c>
      <c r="B1911" t="inlineStr">
        <is>
          <t>Actual</t>
        </is>
      </c>
      <c r="C1911" t="inlineStr">
        <is>
          <t>Habitat</t>
        </is>
      </c>
      <c r="D1911" t="inlineStr">
        <is>
          <t>BlackRock - iShares Core S&amp;P 500</t>
        </is>
      </c>
      <c r="E1911" t="inlineStr">
        <is>
          <t>Intensidad</t>
        </is>
      </c>
      <c r="F1911" t="n">
        <v>1.525922</v>
      </c>
    </row>
    <row r="1912">
      <c r="A1912" t="inlineStr">
        <is>
          <t>202606</t>
        </is>
      </c>
      <c r="B1912" t="inlineStr">
        <is>
          <t>Actual</t>
        </is>
      </c>
      <c r="C1912" t="inlineStr">
        <is>
          <t>Habitat</t>
        </is>
      </c>
      <c r="D1912" t="inlineStr">
        <is>
          <t>BlackRock - iShares Core S&amp;P 500</t>
        </is>
      </c>
      <c r="E1912" t="inlineStr">
        <is>
          <t>Inv MM$</t>
        </is>
      </c>
      <c r="F1912" t="n">
        <v>201.366047</v>
      </c>
    </row>
    <row r="1913">
      <c r="A1913" t="inlineStr">
        <is>
          <t>202606</t>
        </is>
      </c>
      <c r="B1913" t="inlineStr">
        <is>
          <t>Actual</t>
        </is>
      </c>
      <c r="C1913" t="inlineStr">
        <is>
          <t>Habitat</t>
        </is>
      </c>
      <c r="D1913" t="inlineStr">
        <is>
          <t>BlackRock - iShares Global Energy ETF</t>
        </is>
      </c>
      <c r="E1913" t="inlineStr">
        <is>
          <t>Huella</t>
        </is>
      </c>
      <c r="F1913" t="n">
        <v>0.019568</v>
      </c>
    </row>
    <row r="1914">
      <c r="A1914" t="inlineStr">
        <is>
          <t>202606</t>
        </is>
      </c>
      <c r="B1914" t="inlineStr">
        <is>
          <t>Actual</t>
        </is>
      </c>
      <c r="C1914" t="inlineStr">
        <is>
          <t>Habitat</t>
        </is>
      </c>
      <c r="D1914" t="inlineStr">
        <is>
          <t>BlackRock - iShares Global Energy ETF</t>
        </is>
      </c>
      <c r="E1914" t="inlineStr">
        <is>
          <t>Intensidad</t>
        </is>
      </c>
      <c r="F1914" t="n">
        <v>5e-06</v>
      </c>
    </row>
    <row r="1915">
      <c r="A1915" t="inlineStr">
        <is>
          <t>202606</t>
        </is>
      </c>
      <c r="B1915" t="inlineStr">
        <is>
          <t>Actual</t>
        </is>
      </c>
      <c r="C1915" t="inlineStr">
        <is>
          <t>Habitat</t>
        </is>
      </c>
      <c r="D1915" t="inlineStr">
        <is>
          <t>BlackRock - iShares Global Energy ETF</t>
        </is>
      </c>
      <c r="E1915" t="inlineStr">
        <is>
          <t>Inv MM$</t>
        </is>
      </c>
      <c r="F1915" t="n">
        <v>9.399999999999999e-05</v>
      </c>
    </row>
    <row r="1916">
      <c r="A1916" t="inlineStr">
        <is>
          <t>202606</t>
        </is>
      </c>
      <c r="B1916" t="inlineStr">
        <is>
          <t>Actual</t>
        </is>
      </c>
      <c r="C1916" t="inlineStr">
        <is>
          <t>Habitat</t>
        </is>
      </c>
      <c r="D1916" t="inlineStr">
        <is>
          <t>BlackRock - iShares JP Morgan USD EM Bond ETF</t>
        </is>
      </c>
      <c r="E1916" t="inlineStr">
        <is>
          <t>Huella</t>
        </is>
      </c>
      <c r="F1916" t="n">
        <v>2585.134065</v>
      </c>
    </row>
    <row r="1917">
      <c r="A1917" t="inlineStr">
        <is>
          <t>202606</t>
        </is>
      </c>
      <c r="B1917" t="inlineStr">
        <is>
          <t>Actual</t>
        </is>
      </c>
      <c r="C1917" t="inlineStr">
        <is>
          <t>Habitat</t>
        </is>
      </c>
      <c r="D1917" t="inlineStr">
        <is>
          <t>BlackRock - iShares JP Morgan USD EM Bond ETF</t>
        </is>
      </c>
      <c r="E1917" t="inlineStr">
        <is>
          <t>Intensidad</t>
        </is>
      </c>
      <c r="F1917" t="n">
        <v>5.147365</v>
      </c>
    </row>
    <row r="1918">
      <c r="A1918" t="inlineStr">
        <is>
          <t>202606</t>
        </is>
      </c>
      <c r="B1918" t="inlineStr">
        <is>
          <t>Actual</t>
        </is>
      </c>
      <c r="C1918" t="inlineStr">
        <is>
          <t>Habitat</t>
        </is>
      </c>
      <c r="D1918" t="inlineStr">
        <is>
          <t>BlackRock - iShares JP Morgan USD EM Bond ETF</t>
        </is>
      </c>
      <c r="E1918" t="inlineStr">
        <is>
          <t>Inv MM$</t>
        </is>
      </c>
      <c r="F1918" t="n">
        <v>6.740474</v>
      </c>
    </row>
    <row r="1919">
      <c r="A1919" t="inlineStr">
        <is>
          <t>202606</t>
        </is>
      </c>
      <c r="B1919" t="inlineStr">
        <is>
          <t>Actual</t>
        </is>
      </c>
      <c r="C1919" t="inlineStr">
        <is>
          <t>Habitat</t>
        </is>
      </c>
      <c r="D1919" t="inlineStr">
        <is>
          <t>BlackRock - iShares Korea</t>
        </is>
      </c>
      <c r="E1919" t="inlineStr">
        <is>
          <t>Huella</t>
        </is>
      </c>
      <c r="F1919" t="n">
        <v>13450.715436</v>
      </c>
    </row>
    <row r="1920">
      <c r="A1920" t="inlineStr">
        <is>
          <t>202606</t>
        </is>
      </c>
      <c r="B1920" t="inlineStr">
        <is>
          <t>Actual</t>
        </is>
      </c>
      <c r="C1920" t="inlineStr">
        <is>
          <t>Habitat</t>
        </is>
      </c>
      <c r="D1920" t="inlineStr">
        <is>
          <t>BlackRock - iShares Korea</t>
        </is>
      </c>
      <c r="E1920" t="inlineStr">
        <is>
          <t>Intensidad</t>
        </is>
      </c>
      <c r="F1920" t="n">
        <v>5.389704</v>
      </c>
    </row>
    <row r="1921">
      <c r="A1921" t="inlineStr">
        <is>
          <t>202606</t>
        </is>
      </c>
      <c r="B1921" t="inlineStr">
        <is>
          <t>Actual</t>
        </is>
      </c>
      <c r="C1921" t="inlineStr">
        <is>
          <t>Habitat</t>
        </is>
      </c>
      <c r="D1921" t="inlineStr">
        <is>
          <t>BlackRock - iShares Korea</t>
        </is>
      </c>
      <c r="E1921" t="inlineStr">
        <is>
          <t>Inv MM$</t>
        </is>
      </c>
      <c r="F1921" t="n">
        <v>230.754168</v>
      </c>
    </row>
    <row r="1922">
      <c r="A1922" t="inlineStr">
        <is>
          <t>202606</t>
        </is>
      </c>
      <c r="B1922" t="inlineStr">
        <is>
          <t>Actual</t>
        </is>
      </c>
      <c r="C1922" t="inlineStr">
        <is>
          <t>Habitat</t>
        </is>
      </c>
      <c r="D1922" t="inlineStr">
        <is>
          <t>BlackRock - iShares MSCI Emerging Markets ex China</t>
        </is>
      </c>
      <c r="E1922" t="inlineStr">
        <is>
          <t>Huella</t>
        </is>
      </c>
      <c r="F1922" t="n">
        <v>2215.665427</v>
      </c>
    </row>
    <row r="1923">
      <c r="A1923" t="inlineStr">
        <is>
          <t>202606</t>
        </is>
      </c>
      <c r="B1923" t="inlineStr">
        <is>
          <t>Actual</t>
        </is>
      </c>
      <c r="C1923" t="inlineStr">
        <is>
          <t>Habitat</t>
        </is>
      </c>
      <c r="D1923" t="inlineStr">
        <is>
          <t>BlackRock - iShares MSCI Emerging Markets ex China</t>
        </is>
      </c>
      <c r="E1923" t="inlineStr">
        <is>
          <t>Intensidad</t>
        </is>
      </c>
      <c r="F1923" t="n">
        <v>1.271957</v>
      </c>
    </row>
    <row r="1924">
      <c r="A1924" t="inlineStr">
        <is>
          <t>202606</t>
        </is>
      </c>
      <c r="B1924" t="inlineStr">
        <is>
          <t>Actual</t>
        </is>
      </c>
      <c r="C1924" t="inlineStr">
        <is>
          <t>Habitat</t>
        </is>
      </c>
      <c r="D1924" t="inlineStr">
        <is>
          <t>BlackRock - iShares MSCI Emerging Markets ex China</t>
        </is>
      </c>
      <c r="E1924" t="inlineStr">
        <is>
          <t>Inv MM$</t>
        </is>
      </c>
      <c r="F1924" t="n">
        <v>25.700981</v>
      </c>
    </row>
    <row r="1925">
      <c r="A1925" t="inlineStr">
        <is>
          <t>202606</t>
        </is>
      </c>
      <c r="B1925" t="inlineStr">
        <is>
          <t>Actual</t>
        </is>
      </c>
      <c r="C1925" t="inlineStr">
        <is>
          <t>Habitat</t>
        </is>
      </c>
      <c r="D1925" t="inlineStr">
        <is>
          <t>BlackRock - iShares PHLX Semiconductor ETF</t>
        </is>
      </c>
      <c r="E1925" t="inlineStr">
        <is>
          <t>Huella</t>
        </is>
      </c>
      <c r="F1925" t="n">
        <v>2425.890099</v>
      </c>
    </row>
    <row r="1926">
      <c r="A1926" t="inlineStr">
        <is>
          <t>202606</t>
        </is>
      </c>
      <c r="B1926" t="inlineStr">
        <is>
          <t>Actual</t>
        </is>
      </c>
      <c r="C1926" t="inlineStr">
        <is>
          <t>Habitat</t>
        </is>
      </c>
      <c r="D1926" t="inlineStr">
        <is>
          <t>BlackRock - iShares PHLX Semiconductor ETF</t>
        </is>
      </c>
      <c r="E1926" t="inlineStr">
        <is>
          <t>Intensidad</t>
        </is>
      </c>
      <c r="F1926" t="n">
        <v>1.010978</v>
      </c>
    </row>
    <row r="1927">
      <c r="A1927" t="inlineStr">
        <is>
          <t>202606</t>
        </is>
      </c>
      <c r="B1927" t="inlineStr">
        <is>
          <t>Actual</t>
        </is>
      </c>
      <c r="C1927" t="inlineStr">
        <is>
          <t>Habitat</t>
        </is>
      </c>
      <c r="D1927" t="inlineStr">
        <is>
          <t>BlackRock - iShares PHLX Semiconductor ETF</t>
        </is>
      </c>
      <c r="E1927" t="inlineStr">
        <is>
          <t>Inv MM$</t>
        </is>
      </c>
      <c r="F1927" t="n">
        <v>243.384463</v>
      </c>
    </row>
    <row r="1928">
      <c r="A1928" t="inlineStr">
        <is>
          <t>202606</t>
        </is>
      </c>
      <c r="B1928" t="inlineStr">
        <is>
          <t>Actual</t>
        </is>
      </c>
      <c r="C1928" t="inlineStr">
        <is>
          <t>Habitat</t>
        </is>
      </c>
      <c r="D1928" t="inlineStr">
        <is>
          <t>BlackRock - iShares iBoxx High Yield Corporate Bond</t>
        </is>
      </c>
      <c r="E1928" t="inlineStr">
        <is>
          <t>Huella</t>
        </is>
      </c>
      <c r="F1928" t="n">
        <v>2783.879246</v>
      </c>
    </row>
    <row r="1929">
      <c r="A1929" t="inlineStr">
        <is>
          <t>202606</t>
        </is>
      </c>
      <c r="B1929" t="inlineStr">
        <is>
          <t>Actual</t>
        </is>
      </c>
      <c r="C1929" t="inlineStr">
        <is>
          <t>Habitat</t>
        </is>
      </c>
      <c r="D1929" t="inlineStr">
        <is>
          <t>BlackRock - iShares iBoxx High Yield Corporate Bond</t>
        </is>
      </c>
      <c r="E1929" t="inlineStr">
        <is>
          <t>Intensidad</t>
        </is>
      </c>
      <c r="F1929" t="n">
        <v>5.543094</v>
      </c>
    </row>
    <row r="1930">
      <c r="A1930" t="inlineStr">
        <is>
          <t>202606</t>
        </is>
      </c>
      <c r="B1930" t="inlineStr">
        <is>
          <t>Actual</t>
        </is>
      </c>
      <c r="C1930" t="inlineStr">
        <is>
          <t>Habitat</t>
        </is>
      </c>
      <c r="D1930" t="inlineStr">
        <is>
          <t>BlackRock - iShares iBoxx High Yield Corporate Bond</t>
        </is>
      </c>
      <c r="E1930" t="inlineStr">
        <is>
          <t>Inv MM$</t>
        </is>
      </c>
      <c r="F1930" t="n">
        <v>28.971868</v>
      </c>
    </row>
    <row r="1931">
      <c r="A1931" t="inlineStr">
        <is>
          <t>202606</t>
        </is>
      </c>
      <c r="B1931" t="inlineStr">
        <is>
          <t>Actual</t>
        </is>
      </c>
      <c r="C1931" t="inlineStr">
        <is>
          <t>Habitat</t>
        </is>
      </c>
      <c r="D1931" t="inlineStr">
        <is>
          <t>BlueBay - EM Debt Unconstrained</t>
        </is>
      </c>
      <c r="E1931" t="inlineStr">
        <is>
          <t>Huella</t>
        </is>
      </c>
      <c r="F1931" t="n">
        <v>2579.404281</v>
      </c>
    </row>
    <row r="1932">
      <c r="A1932" t="inlineStr">
        <is>
          <t>202606</t>
        </is>
      </c>
      <c r="B1932" t="inlineStr">
        <is>
          <t>Actual</t>
        </is>
      </c>
      <c r="C1932" t="inlineStr">
        <is>
          <t>Habitat</t>
        </is>
      </c>
      <c r="D1932" t="inlineStr">
        <is>
          <t>BlueBay - EM Debt Unconstrained</t>
        </is>
      </c>
      <c r="E1932" t="inlineStr">
        <is>
          <t>Intensidad</t>
        </is>
      </c>
      <c r="F1932" t="n">
        <v>5.135871</v>
      </c>
    </row>
    <row r="1933">
      <c r="A1933" t="inlineStr">
        <is>
          <t>202606</t>
        </is>
      </c>
      <c r="B1933" t="inlineStr">
        <is>
          <t>Actual</t>
        </is>
      </c>
      <c r="C1933" t="inlineStr">
        <is>
          <t>Habitat</t>
        </is>
      </c>
      <c r="D1933" t="inlineStr">
        <is>
          <t>BlueBay - EM Debt Unconstrained</t>
        </is>
      </c>
      <c r="E1933" t="inlineStr">
        <is>
          <t>Inv MM$</t>
        </is>
      </c>
      <c r="F1933" t="n">
        <v>9.45519</v>
      </c>
    </row>
    <row r="1934">
      <c r="A1934" t="inlineStr">
        <is>
          <t>202606</t>
        </is>
      </c>
      <c r="B1934" t="inlineStr">
        <is>
          <t>Actual</t>
        </is>
      </c>
      <c r="C1934" t="inlineStr">
        <is>
          <t>Habitat</t>
        </is>
      </c>
      <c r="D1934" t="inlineStr">
        <is>
          <t>BlueBay - Financial Capital Bond - U</t>
        </is>
      </c>
      <c r="E1934" t="inlineStr">
        <is>
          <t>Huella</t>
        </is>
      </c>
      <c r="F1934" t="n">
        <v>0.864941</v>
      </c>
    </row>
    <row r="1935">
      <c r="A1935" t="inlineStr">
        <is>
          <t>202606</t>
        </is>
      </c>
      <c r="B1935" t="inlineStr">
        <is>
          <t>Actual</t>
        </is>
      </c>
      <c r="C1935" t="inlineStr">
        <is>
          <t>Habitat</t>
        </is>
      </c>
      <c r="D1935" t="inlineStr">
        <is>
          <t>BlueBay - Financial Capital Bond - U</t>
        </is>
      </c>
      <c r="E1935" t="inlineStr">
        <is>
          <t>Intensidad</t>
        </is>
      </c>
      <c r="F1935" t="n">
        <v>0.001722</v>
      </c>
    </row>
    <row r="1936">
      <c r="A1936" t="inlineStr">
        <is>
          <t>202606</t>
        </is>
      </c>
      <c r="B1936" t="inlineStr">
        <is>
          <t>Actual</t>
        </is>
      </c>
      <c r="C1936" t="inlineStr">
        <is>
          <t>Habitat</t>
        </is>
      </c>
      <c r="D1936" t="inlineStr">
        <is>
          <t>BlueBay - Financial Capital Bond - U</t>
        </is>
      </c>
      <c r="E1936" t="inlineStr">
        <is>
          <t>Inv MM$</t>
        </is>
      </c>
      <c r="F1936" t="n">
        <v>1.921619</v>
      </c>
    </row>
    <row r="1937">
      <c r="A1937" t="inlineStr">
        <is>
          <t>202606</t>
        </is>
      </c>
      <c r="B1937" t="inlineStr">
        <is>
          <t>Actual</t>
        </is>
      </c>
      <c r="C1937" t="inlineStr">
        <is>
          <t>Habitat</t>
        </is>
      </c>
      <c r="D1937" t="inlineStr">
        <is>
          <t>Buenaventura*</t>
        </is>
      </c>
      <c r="E1937" t="inlineStr">
        <is>
          <t>Huella</t>
        </is>
      </c>
      <c r="F1937" t="n">
        <v>10856.705211</v>
      </c>
    </row>
    <row r="1938">
      <c r="A1938" t="inlineStr">
        <is>
          <t>202606</t>
        </is>
      </c>
      <c r="B1938" t="inlineStr">
        <is>
          <t>Actual</t>
        </is>
      </c>
      <c r="C1938" t="inlineStr">
        <is>
          <t>Habitat</t>
        </is>
      </c>
      <c r="D1938" t="inlineStr">
        <is>
          <t>Buenaventura*</t>
        </is>
      </c>
      <c r="E1938" t="inlineStr">
        <is>
          <t>Intensidad</t>
        </is>
      </c>
      <c r="F1938" t="n">
        <v>3.931999</v>
      </c>
    </row>
    <row r="1939">
      <c r="A1939" t="inlineStr">
        <is>
          <t>202606</t>
        </is>
      </c>
      <c r="B1939" t="inlineStr">
        <is>
          <t>Actual</t>
        </is>
      </c>
      <c r="C1939" t="inlineStr">
        <is>
          <t>Habitat</t>
        </is>
      </c>
      <c r="D1939" t="inlineStr">
        <is>
          <t>Buenaventura*</t>
        </is>
      </c>
      <c r="E1939" t="inlineStr">
        <is>
          <t>Inv MM$</t>
        </is>
      </c>
      <c r="F1939" t="n">
        <v>337.899322</v>
      </c>
    </row>
    <row r="1940">
      <c r="A1940" t="inlineStr">
        <is>
          <t>202606</t>
        </is>
      </c>
      <c r="B1940" t="inlineStr">
        <is>
          <t>Actual</t>
        </is>
      </c>
      <c r="C1940" t="inlineStr">
        <is>
          <t>Habitat</t>
        </is>
      </c>
      <c r="D1940" t="inlineStr">
        <is>
          <t>COFIDE**</t>
        </is>
      </c>
      <c r="E1940" t="inlineStr">
        <is>
          <t>Huella</t>
        </is>
      </c>
      <c r="F1940" t="n">
        <v>0.002809</v>
      </c>
    </row>
    <row r="1941">
      <c r="A1941" t="inlineStr">
        <is>
          <t>202606</t>
        </is>
      </c>
      <c r="B1941" t="inlineStr">
        <is>
          <t>Actual</t>
        </is>
      </c>
      <c r="C1941" t="inlineStr">
        <is>
          <t>Habitat</t>
        </is>
      </c>
      <c r="D1941" t="inlineStr">
        <is>
          <t>COFIDE**</t>
        </is>
      </c>
      <c r="E1941" t="inlineStr">
        <is>
          <t>Intensidad</t>
        </is>
      </c>
      <c r="F1941" t="n">
        <v>2e-06</v>
      </c>
    </row>
    <row r="1942">
      <c r="A1942" t="inlineStr">
        <is>
          <t>202606</t>
        </is>
      </c>
      <c r="B1942" t="inlineStr">
        <is>
          <t>Actual</t>
        </is>
      </c>
      <c r="C1942" t="inlineStr">
        <is>
          <t>Habitat</t>
        </is>
      </c>
      <c r="D1942" t="inlineStr">
        <is>
          <t>COFIDE**</t>
        </is>
      </c>
      <c r="E1942" t="inlineStr">
        <is>
          <t>Inv MM$</t>
        </is>
      </c>
      <c r="F1942" t="n">
        <v>0.056188</v>
      </c>
    </row>
    <row r="1943">
      <c r="A1943" t="inlineStr">
        <is>
          <t>202606</t>
        </is>
      </c>
      <c r="B1943" t="inlineStr">
        <is>
          <t>Actual</t>
        </is>
      </c>
      <c r="C1943" t="inlineStr">
        <is>
          <t>Habitat</t>
        </is>
      </c>
      <c r="D1943" t="inlineStr">
        <is>
          <t>Calidda*</t>
        </is>
      </c>
      <c r="E1943" t="inlineStr">
        <is>
          <t>Huella</t>
        </is>
      </c>
      <c r="F1943" t="n">
        <v>0.591029</v>
      </c>
    </row>
    <row r="1944">
      <c r="A1944" t="inlineStr">
        <is>
          <t>202606</t>
        </is>
      </c>
      <c r="B1944" t="inlineStr">
        <is>
          <t>Actual</t>
        </is>
      </c>
      <c r="C1944" t="inlineStr">
        <is>
          <t>Habitat</t>
        </is>
      </c>
      <c r="D1944" t="inlineStr">
        <is>
          <t>Calidda*</t>
        </is>
      </c>
      <c r="E1944" t="inlineStr">
        <is>
          <t>Intensidad</t>
        </is>
      </c>
      <c r="F1944" t="n">
        <v>0.000144</v>
      </c>
    </row>
    <row r="1945">
      <c r="A1945" t="inlineStr">
        <is>
          <t>202606</t>
        </is>
      </c>
      <c r="B1945" t="inlineStr">
        <is>
          <t>Actual</t>
        </is>
      </c>
      <c r="C1945" t="inlineStr">
        <is>
          <t>Habitat</t>
        </is>
      </c>
      <c r="D1945" t="inlineStr">
        <is>
          <t>Calidda*</t>
        </is>
      </c>
      <c r="E1945" t="inlineStr">
        <is>
          <t>Inv MM$</t>
        </is>
      </c>
      <c r="F1945" t="n">
        <v>0.02475</v>
      </c>
    </row>
    <row r="1946">
      <c r="A1946" t="inlineStr">
        <is>
          <t>202606</t>
        </is>
      </c>
      <c r="B1946" t="inlineStr">
        <is>
          <t>Actual</t>
        </is>
      </c>
      <c r="C1946" t="inlineStr">
        <is>
          <t>Habitat</t>
        </is>
      </c>
      <c r="D1946" t="inlineStr">
        <is>
          <t>Candriam - Bonds Emerging Markets</t>
        </is>
      </c>
      <c r="E1946" t="inlineStr">
        <is>
          <t>Huella</t>
        </is>
      </c>
      <c r="F1946" t="n">
        <v>0.480103</v>
      </c>
    </row>
    <row r="1947">
      <c r="A1947" t="inlineStr">
        <is>
          <t>202606</t>
        </is>
      </c>
      <c r="B1947" t="inlineStr">
        <is>
          <t>Actual</t>
        </is>
      </c>
      <c r="C1947" t="inlineStr">
        <is>
          <t>Habitat</t>
        </is>
      </c>
      <c r="D1947" t="inlineStr">
        <is>
          <t>Candriam - Bonds Emerging Markets</t>
        </is>
      </c>
      <c r="E1947" t="inlineStr">
        <is>
          <t>Intensidad</t>
        </is>
      </c>
      <c r="F1947" t="n">
        <v>0.000558</v>
      </c>
    </row>
    <row r="1948">
      <c r="A1948" t="inlineStr">
        <is>
          <t>202606</t>
        </is>
      </c>
      <c r="B1948" t="inlineStr">
        <is>
          <t>Actual</t>
        </is>
      </c>
      <c r="C1948" t="inlineStr">
        <is>
          <t>Habitat</t>
        </is>
      </c>
      <c r="D1948" t="inlineStr">
        <is>
          <t>Candriam - Bonds Emerging Markets</t>
        </is>
      </c>
      <c r="E1948" t="inlineStr">
        <is>
          <t>Inv MM$</t>
        </is>
      </c>
      <c r="F1948" t="n">
        <v>0.00557</v>
      </c>
    </row>
    <row r="1949">
      <c r="A1949" t="inlineStr">
        <is>
          <t>202606</t>
        </is>
      </c>
      <c r="B1949" t="inlineStr">
        <is>
          <t>Actual</t>
        </is>
      </c>
      <c r="C1949" t="inlineStr">
        <is>
          <t>Habitat</t>
        </is>
      </c>
      <c r="D1949" t="inlineStr">
        <is>
          <t>Credicorp*</t>
        </is>
      </c>
      <c r="E1949" t="inlineStr">
        <is>
          <t>Huella</t>
        </is>
      </c>
      <c r="F1949" t="n">
        <v>109.507627</v>
      </c>
    </row>
    <row r="1950">
      <c r="A1950" t="inlineStr">
        <is>
          <t>202606</t>
        </is>
      </c>
      <c r="B1950" t="inlineStr">
        <is>
          <t>Actual</t>
        </is>
      </c>
      <c r="C1950" t="inlineStr">
        <is>
          <t>Habitat</t>
        </is>
      </c>
      <c r="D1950" t="inlineStr">
        <is>
          <t>Credicorp*</t>
        </is>
      </c>
      <c r="E1950" t="inlineStr">
        <is>
          <t>Intensidad</t>
        </is>
      </c>
      <c r="F1950" t="n">
        <v>0.040671</v>
      </c>
    </row>
    <row r="1951">
      <c r="A1951" t="inlineStr">
        <is>
          <t>202606</t>
        </is>
      </c>
      <c r="B1951" t="inlineStr">
        <is>
          <t>Actual</t>
        </is>
      </c>
      <c r="C1951" t="inlineStr">
        <is>
          <t>Habitat</t>
        </is>
      </c>
      <c r="D1951" t="inlineStr">
        <is>
          <t>Credicorp*</t>
        </is>
      </c>
      <c r="E1951" t="inlineStr">
        <is>
          <t>Inv MM$</t>
        </is>
      </c>
      <c r="F1951" t="n">
        <v>232.994951</v>
      </c>
    </row>
    <row r="1952">
      <c r="A1952" t="inlineStr">
        <is>
          <t>202606</t>
        </is>
      </c>
      <c r="B1952" t="inlineStr">
        <is>
          <t>Actual</t>
        </is>
      </c>
      <c r="C1952" t="inlineStr">
        <is>
          <t>Habitat</t>
        </is>
      </c>
      <c r="D1952" t="inlineStr">
        <is>
          <t>DPAM L - EM  Sustainable Debt</t>
        </is>
      </c>
      <c r="E1952" t="inlineStr">
        <is>
          <t>Huella</t>
        </is>
      </c>
      <c r="F1952" t="n">
        <v>0.270167</v>
      </c>
    </row>
    <row r="1953">
      <c r="A1953" t="inlineStr">
        <is>
          <t>202606</t>
        </is>
      </c>
      <c r="B1953" t="inlineStr">
        <is>
          <t>Actual</t>
        </is>
      </c>
      <c r="C1953" t="inlineStr">
        <is>
          <t>Habitat</t>
        </is>
      </c>
      <c r="D1953" t="inlineStr">
        <is>
          <t>DPAM L - EM  Sustainable Debt</t>
        </is>
      </c>
      <c r="E1953" t="inlineStr">
        <is>
          <t>Intensidad</t>
        </is>
      </c>
      <c r="F1953" t="n">
        <v>0.000515</v>
      </c>
    </row>
    <row r="1954">
      <c r="A1954" t="inlineStr">
        <is>
          <t>202606</t>
        </is>
      </c>
      <c r="B1954" t="inlineStr">
        <is>
          <t>Actual</t>
        </is>
      </c>
      <c r="C1954" t="inlineStr">
        <is>
          <t>Habitat</t>
        </is>
      </c>
      <c r="D1954" t="inlineStr">
        <is>
          <t>DPAM L - EM  Sustainable Debt</t>
        </is>
      </c>
      <c r="E1954" t="inlineStr">
        <is>
          <t>Inv MM$</t>
        </is>
      </c>
      <c r="F1954" t="n">
        <v>1.297982</v>
      </c>
    </row>
    <row r="1955">
      <c r="A1955" t="inlineStr">
        <is>
          <t>202606</t>
        </is>
      </c>
      <c r="B1955" t="inlineStr">
        <is>
          <t>Actual</t>
        </is>
      </c>
      <c r="C1955" t="inlineStr">
        <is>
          <t>Habitat</t>
        </is>
      </c>
      <c r="D1955" t="inlineStr">
        <is>
          <t>DWS - Brazilian Equities</t>
        </is>
      </c>
      <c r="E1955" t="inlineStr">
        <is>
          <t>Huella</t>
        </is>
      </c>
      <c r="F1955" t="n">
        <v>1947.234254</v>
      </c>
    </row>
    <row r="1956">
      <c r="A1956" t="inlineStr">
        <is>
          <t>202606</t>
        </is>
      </c>
      <c r="B1956" t="inlineStr">
        <is>
          <t>Actual</t>
        </is>
      </c>
      <c r="C1956" t="inlineStr">
        <is>
          <t>Habitat</t>
        </is>
      </c>
      <c r="D1956" t="inlineStr">
        <is>
          <t>DWS - Brazilian Equities</t>
        </is>
      </c>
      <c r="E1956" t="inlineStr">
        <is>
          <t>Intensidad</t>
        </is>
      </c>
      <c r="F1956" t="n">
        <v>0.791012</v>
      </c>
    </row>
    <row r="1957">
      <c r="A1957" t="inlineStr">
        <is>
          <t>202606</t>
        </is>
      </c>
      <c r="B1957" t="inlineStr">
        <is>
          <t>Actual</t>
        </is>
      </c>
      <c r="C1957" t="inlineStr">
        <is>
          <t>Habitat</t>
        </is>
      </c>
      <c r="D1957" t="inlineStr">
        <is>
          <t>DWS - Brazilian Equities</t>
        </is>
      </c>
      <c r="E1957" t="inlineStr">
        <is>
          <t>Inv MM$</t>
        </is>
      </c>
      <c r="F1957" t="n">
        <v>20.349547</v>
      </c>
    </row>
    <row r="1958">
      <c r="A1958" t="inlineStr">
        <is>
          <t>202606</t>
        </is>
      </c>
      <c r="B1958" t="inlineStr">
        <is>
          <t>Actual</t>
        </is>
      </c>
      <c r="C1958" t="inlineStr">
        <is>
          <t>Habitat</t>
        </is>
      </c>
      <c r="D1958" t="inlineStr">
        <is>
          <t>DWS - Invest Global Agribusiness</t>
        </is>
      </c>
      <c r="E1958" t="inlineStr">
        <is>
          <t>Huella</t>
        </is>
      </c>
      <c r="F1958" t="n">
        <v>0.06473</v>
      </c>
    </row>
    <row r="1959">
      <c r="A1959" t="inlineStr">
        <is>
          <t>202606</t>
        </is>
      </c>
      <c r="B1959" t="inlineStr">
        <is>
          <t>Actual</t>
        </is>
      </c>
      <c r="C1959" t="inlineStr">
        <is>
          <t>Habitat</t>
        </is>
      </c>
      <c r="D1959" t="inlineStr">
        <is>
          <t>DWS - Invest Global Agribusiness</t>
        </is>
      </c>
      <c r="E1959" t="inlineStr">
        <is>
          <t>Intensidad</t>
        </is>
      </c>
      <c r="F1959" t="n">
        <v>5.9e-05</v>
      </c>
    </row>
    <row r="1960">
      <c r="A1960" t="inlineStr">
        <is>
          <t>202606</t>
        </is>
      </c>
      <c r="B1960" t="inlineStr">
        <is>
          <t>Actual</t>
        </is>
      </c>
      <c r="C1960" t="inlineStr">
        <is>
          <t>Habitat</t>
        </is>
      </c>
      <c r="D1960" t="inlineStr">
        <is>
          <t>DWS - Invest Global Agribusiness</t>
        </is>
      </c>
      <c r="E1960" t="inlineStr">
        <is>
          <t>Inv MM$</t>
        </is>
      </c>
      <c r="F1960" t="n">
        <v>0.0004</v>
      </c>
    </row>
    <row r="1961">
      <c r="A1961" t="inlineStr">
        <is>
          <t>202606</t>
        </is>
      </c>
      <c r="B1961" t="inlineStr">
        <is>
          <t>Actual</t>
        </is>
      </c>
      <c r="C1961" t="inlineStr">
        <is>
          <t>Habitat</t>
        </is>
      </c>
      <c r="D1961" t="inlineStr">
        <is>
          <t>DWS - Invest Latin American Equities - FC50</t>
        </is>
      </c>
      <c r="E1961" t="inlineStr">
        <is>
          <t>Huella</t>
        </is>
      </c>
      <c r="F1961" t="n">
        <v>2831.126586</v>
      </c>
    </row>
    <row r="1962">
      <c r="A1962" t="inlineStr">
        <is>
          <t>202606</t>
        </is>
      </c>
      <c r="B1962" t="inlineStr">
        <is>
          <t>Actual</t>
        </is>
      </c>
      <c r="C1962" t="inlineStr">
        <is>
          <t>Habitat</t>
        </is>
      </c>
      <c r="D1962" t="inlineStr">
        <is>
          <t>DWS - Invest Latin American Equities - FC50</t>
        </is>
      </c>
      <c r="E1962" t="inlineStr">
        <is>
          <t>Intensidad</t>
        </is>
      </c>
      <c r="F1962" t="n">
        <v>1.158532</v>
      </c>
    </row>
    <row r="1963">
      <c r="A1963" t="inlineStr">
        <is>
          <t>202606</t>
        </is>
      </c>
      <c r="B1963" t="inlineStr">
        <is>
          <t>Actual</t>
        </is>
      </c>
      <c r="C1963" t="inlineStr">
        <is>
          <t>Habitat</t>
        </is>
      </c>
      <c r="D1963" t="inlineStr">
        <is>
          <t>DWS - Invest Latin American Equities - FC50</t>
        </is>
      </c>
      <c r="E1963" t="inlineStr">
        <is>
          <t>Inv MM$</t>
        </is>
      </c>
      <c r="F1963" t="n">
        <v>22.401737</v>
      </c>
    </row>
    <row r="1964">
      <c r="A1964" t="inlineStr">
        <is>
          <t>202606</t>
        </is>
      </c>
      <c r="B1964" t="inlineStr">
        <is>
          <t>Actual</t>
        </is>
      </c>
      <c r="C1964" t="inlineStr">
        <is>
          <t>Habitat</t>
        </is>
      </c>
      <c r="D1964" t="inlineStr">
        <is>
          <t>DWS Invest - Euro High Yield Corporates</t>
        </is>
      </c>
      <c r="E1964" t="inlineStr">
        <is>
          <t>Huella</t>
        </is>
      </c>
      <c r="F1964" t="n">
        <v>0.015887</v>
      </c>
    </row>
    <row r="1965">
      <c r="A1965" t="inlineStr">
        <is>
          <t>202606</t>
        </is>
      </c>
      <c r="B1965" t="inlineStr">
        <is>
          <t>Actual</t>
        </is>
      </c>
      <c r="C1965" t="inlineStr">
        <is>
          <t>Habitat</t>
        </is>
      </c>
      <c r="D1965" t="inlineStr">
        <is>
          <t>DWS Invest - Euro High Yield Corporates</t>
        </is>
      </c>
      <c r="E1965" t="inlineStr">
        <is>
          <t>Intensidad</t>
        </is>
      </c>
      <c r="F1965" t="n">
        <v>3.2e-05</v>
      </c>
    </row>
    <row r="1966">
      <c r="A1966" t="inlineStr">
        <is>
          <t>202606</t>
        </is>
      </c>
      <c r="B1966" t="inlineStr">
        <is>
          <t>Actual</t>
        </is>
      </c>
      <c r="C1966" t="inlineStr">
        <is>
          <t>Habitat</t>
        </is>
      </c>
      <c r="D1966" t="inlineStr">
        <is>
          <t>DWS Invest - Euro High Yield Corporates</t>
        </is>
      </c>
      <c r="E1966" t="inlineStr">
        <is>
          <t>Inv MM$</t>
        </is>
      </c>
      <c r="F1966" t="n">
        <v>0.000161</v>
      </c>
    </row>
    <row r="1967">
      <c r="A1967" t="inlineStr">
        <is>
          <t>202606</t>
        </is>
      </c>
      <c r="B1967" t="inlineStr">
        <is>
          <t>Actual</t>
        </is>
      </c>
      <c r="C1967" t="inlineStr">
        <is>
          <t>Habitat</t>
        </is>
      </c>
      <c r="D1967" t="inlineStr">
        <is>
          <t>Ecopetrol</t>
        </is>
      </c>
      <c r="E1967" t="inlineStr">
        <is>
          <t>Huella</t>
        </is>
      </c>
      <c r="F1967" t="n">
        <v>2300.406263</v>
      </c>
    </row>
    <row r="1968">
      <c r="A1968" t="inlineStr">
        <is>
          <t>202606</t>
        </is>
      </c>
      <c r="B1968" t="inlineStr">
        <is>
          <t>Actual</t>
        </is>
      </c>
      <c r="C1968" t="inlineStr">
        <is>
          <t>Habitat</t>
        </is>
      </c>
      <c r="D1968" t="inlineStr">
        <is>
          <t>Ecopetrol</t>
        </is>
      </c>
      <c r="E1968" t="inlineStr">
        <is>
          <t>Intensidad</t>
        </is>
      </c>
      <c r="F1968" t="n">
        <v>3.529286</v>
      </c>
    </row>
    <row r="1969">
      <c r="A1969" t="inlineStr">
        <is>
          <t>202606</t>
        </is>
      </c>
      <c r="B1969" t="inlineStr">
        <is>
          <t>Actual</t>
        </is>
      </c>
      <c r="C1969" t="inlineStr">
        <is>
          <t>Habitat</t>
        </is>
      </c>
      <c r="D1969" t="inlineStr">
        <is>
          <t>Ecopetrol</t>
        </is>
      </c>
      <c r="E1969" t="inlineStr">
        <is>
          <t>Inv MM$</t>
        </is>
      </c>
      <c r="F1969" t="n">
        <v>10.16305</v>
      </c>
    </row>
    <row r="1970">
      <c r="A1970" t="inlineStr">
        <is>
          <t>202606</t>
        </is>
      </c>
      <c r="B1970" t="inlineStr">
        <is>
          <t>Actual</t>
        </is>
      </c>
      <c r="C1970" t="inlineStr">
        <is>
          <t>Habitat</t>
        </is>
      </c>
      <c r="D1970" t="inlineStr">
        <is>
          <t>Edmond de Rothschild - Corp EM Debt USD</t>
        </is>
      </c>
      <c r="E1970" t="inlineStr">
        <is>
          <t>Huella</t>
        </is>
      </c>
      <c r="F1970" t="n">
        <v>3014.238703</v>
      </c>
    </row>
    <row r="1971">
      <c r="A1971" t="inlineStr">
        <is>
          <t>202606</t>
        </is>
      </c>
      <c r="B1971" t="inlineStr">
        <is>
          <t>Actual</t>
        </is>
      </c>
      <c r="C1971" t="inlineStr">
        <is>
          <t>Habitat</t>
        </is>
      </c>
      <c r="D1971" t="inlineStr">
        <is>
          <t>Edmond de Rothschild - Corp EM Debt USD</t>
        </is>
      </c>
      <c r="E1971" t="inlineStr">
        <is>
          <t>Intensidad</t>
        </is>
      </c>
      <c r="F1971" t="n">
        <v>6.001644</v>
      </c>
    </row>
    <row r="1972">
      <c r="A1972" t="inlineStr">
        <is>
          <t>202606</t>
        </is>
      </c>
      <c r="B1972" t="inlineStr">
        <is>
          <t>Actual</t>
        </is>
      </c>
      <c r="C1972" t="inlineStr">
        <is>
          <t>Habitat</t>
        </is>
      </c>
      <c r="D1972" t="inlineStr">
        <is>
          <t>Edmond de Rothschild - Corp EM Debt USD</t>
        </is>
      </c>
      <c r="E1972" t="inlineStr">
        <is>
          <t>Inv MM$</t>
        </is>
      </c>
      <c r="F1972" t="n">
        <v>8.699449</v>
      </c>
    </row>
    <row r="1973">
      <c r="A1973" t="inlineStr">
        <is>
          <t>202606</t>
        </is>
      </c>
      <c r="B1973" t="inlineStr">
        <is>
          <t>Actual</t>
        </is>
      </c>
      <c r="C1973" t="inlineStr">
        <is>
          <t>Habitat</t>
        </is>
      </c>
      <c r="D1973" t="inlineStr">
        <is>
          <t>Emp. Públicas Medellin</t>
        </is>
      </c>
      <c r="E1973" t="inlineStr">
        <is>
          <t>Huella</t>
        </is>
      </c>
      <c r="F1973" t="n">
        <v>961.437078</v>
      </c>
    </row>
    <row r="1974">
      <c r="A1974" t="inlineStr">
        <is>
          <t>202606</t>
        </is>
      </c>
      <c r="B1974" t="inlineStr">
        <is>
          <t>Actual</t>
        </is>
      </c>
      <c r="C1974" t="inlineStr">
        <is>
          <t>Habitat</t>
        </is>
      </c>
      <c r="D1974" t="inlineStr">
        <is>
          <t>Emp. Públicas Medellin</t>
        </is>
      </c>
      <c r="E1974" t="inlineStr">
        <is>
          <t>Intensidad</t>
        </is>
      </c>
      <c r="F1974" t="n">
        <v>0.63504</v>
      </c>
    </row>
    <row r="1975">
      <c r="A1975" t="inlineStr">
        <is>
          <t>202606</t>
        </is>
      </c>
      <c r="B1975" t="inlineStr">
        <is>
          <t>Actual</t>
        </is>
      </c>
      <c r="C1975" t="inlineStr">
        <is>
          <t>Habitat</t>
        </is>
      </c>
      <c r="D1975" t="inlineStr">
        <is>
          <t>Emp. Públicas Medellin</t>
        </is>
      </c>
      <c r="E1975" t="inlineStr">
        <is>
          <t>Inv MM$</t>
        </is>
      </c>
      <c r="F1975" t="n">
        <v>29.46482</v>
      </c>
    </row>
    <row r="1976">
      <c r="A1976" t="inlineStr">
        <is>
          <t>202606</t>
        </is>
      </c>
      <c r="B1976" t="inlineStr">
        <is>
          <t>Actual</t>
        </is>
      </c>
      <c r="C1976" t="inlineStr">
        <is>
          <t>Habitat</t>
        </is>
      </c>
      <c r="D1976" t="inlineStr">
        <is>
          <t>Ferreyros</t>
        </is>
      </c>
      <c r="E1976" t="inlineStr">
        <is>
          <t>Huella</t>
        </is>
      </c>
      <c r="F1976" t="n">
        <v>739.36374</v>
      </c>
    </row>
    <row r="1977">
      <c r="A1977" t="inlineStr">
        <is>
          <t>202606</t>
        </is>
      </c>
      <c r="B1977" t="inlineStr">
        <is>
          <t>Actual</t>
        </is>
      </c>
      <c r="C1977" t="inlineStr">
        <is>
          <t>Habitat</t>
        </is>
      </c>
      <c r="D1977" t="inlineStr">
        <is>
          <t>Ferreyros</t>
        </is>
      </c>
      <c r="E1977" t="inlineStr">
        <is>
          <t>Intensidad</t>
        </is>
      </c>
      <c r="F1977" t="n">
        <v>0.33117</v>
      </c>
    </row>
    <row r="1978">
      <c r="A1978" t="inlineStr">
        <is>
          <t>202606</t>
        </is>
      </c>
      <c r="B1978" t="inlineStr">
        <is>
          <t>Actual</t>
        </is>
      </c>
      <c r="C1978" t="inlineStr">
        <is>
          <t>Habitat</t>
        </is>
      </c>
      <c r="D1978" t="inlineStr">
        <is>
          <t>Ferreyros</t>
        </is>
      </c>
      <c r="E1978" t="inlineStr">
        <is>
          <t>Inv MM$</t>
        </is>
      </c>
      <c r="F1978" t="n">
        <v>118.487779</v>
      </c>
    </row>
    <row r="1979">
      <c r="A1979" t="inlineStr">
        <is>
          <t>202606</t>
        </is>
      </c>
      <c r="B1979" t="inlineStr">
        <is>
          <t>Actual</t>
        </is>
      </c>
      <c r="C1979" t="inlineStr">
        <is>
          <t>Habitat</t>
        </is>
      </c>
      <c r="D1979" t="inlineStr">
        <is>
          <t>Fidelity - Emerging Markets -Retail</t>
        </is>
      </c>
      <c r="E1979" t="inlineStr">
        <is>
          <t>Huella</t>
        </is>
      </c>
      <c r="F1979" t="n">
        <v>14.587527</v>
      </c>
    </row>
    <row r="1980">
      <c r="A1980" t="inlineStr">
        <is>
          <t>202606</t>
        </is>
      </c>
      <c r="B1980" t="inlineStr">
        <is>
          <t>Actual</t>
        </is>
      </c>
      <c r="C1980" t="inlineStr">
        <is>
          <t>Habitat</t>
        </is>
      </c>
      <c r="D1980" t="inlineStr">
        <is>
          <t>Fidelity - Emerging Markets -Retail</t>
        </is>
      </c>
      <c r="E1980" t="inlineStr">
        <is>
          <t>Intensidad</t>
        </is>
      </c>
      <c r="F1980" t="n">
        <v>0.008373999999999999</v>
      </c>
    </row>
    <row r="1981">
      <c r="A1981" t="inlineStr">
        <is>
          <t>202606</t>
        </is>
      </c>
      <c r="B1981" t="inlineStr">
        <is>
          <t>Actual</t>
        </is>
      </c>
      <c r="C1981" t="inlineStr">
        <is>
          <t>Habitat</t>
        </is>
      </c>
      <c r="D1981" t="inlineStr">
        <is>
          <t>Fidelity - Emerging Markets -Retail</t>
        </is>
      </c>
      <c r="E1981" t="inlineStr">
        <is>
          <t>Inv MM$</t>
        </is>
      </c>
      <c r="F1981" t="n">
        <v>0.786648</v>
      </c>
    </row>
    <row r="1982">
      <c r="A1982" t="inlineStr">
        <is>
          <t>202606</t>
        </is>
      </c>
      <c r="B1982" t="inlineStr">
        <is>
          <t>Actual</t>
        </is>
      </c>
      <c r="C1982" t="inlineStr">
        <is>
          <t>Habitat</t>
        </is>
      </c>
      <c r="D1982" t="inlineStr">
        <is>
          <t>Franklin Templeton - Emerging Markets Bond Fund</t>
        </is>
      </c>
      <c r="E1982" t="inlineStr">
        <is>
          <t>Huella</t>
        </is>
      </c>
      <c r="F1982" t="n">
        <v>0.089478</v>
      </c>
    </row>
    <row r="1983">
      <c r="A1983" t="inlineStr">
        <is>
          <t>202606</t>
        </is>
      </c>
      <c r="B1983" t="inlineStr">
        <is>
          <t>Actual</t>
        </is>
      </c>
      <c r="C1983" t="inlineStr">
        <is>
          <t>Habitat</t>
        </is>
      </c>
      <c r="D1983" t="inlineStr">
        <is>
          <t>Franklin Templeton - Emerging Markets Bond Fund</t>
        </is>
      </c>
      <c r="E1983" t="inlineStr">
        <is>
          <t>Intensidad</t>
        </is>
      </c>
      <c r="F1983" t="n">
        <v>0.000178</v>
      </c>
    </row>
    <row r="1984">
      <c r="A1984" t="inlineStr">
        <is>
          <t>202606</t>
        </is>
      </c>
      <c r="B1984" t="inlineStr">
        <is>
          <t>Actual</t>
        </is>
      </c>
      <c r="C1984" t="inlineStr">
        <is>
          <t>Habitat</t>
        </is>
      </c>
      <c r="D1984" t="inlineStr">
        <is>
          <t>Franklin Templeton - Emerging Markets Bond Fund</t>
        </is>
      </c>
      <c r="E1984" t="inlineStr">
        <is>
          <t>Inv MM$</t>
        </is>
      </c>
      <c r="F1984" t="n">
        <v>1.221341</v>
      </c>
    </row>
    <row r="1985">
      <c r="A1985" t="inlineStr">
        <is>
          <t>202606</t>
        </is>
      </c>
      <c r="B1985" t="inlineStr">
        <is>
          <t>Actual</t>
        </is>
      </c>
      <c r="C1985" t="inlineStr">
        <is>
          <t>Habitat</t>
        </is>
      </c>
      <c r="D1985" t="inlineStr">
        <is>
          <t>Franklin Templeton - FTGF ClearBridge Infrastructure Value Fund</t>
        </is>
      </c>
      <c r="E1985" t="inlineStr">
        <is>
          <t>Huella</t>
        </is>
      </c>
      <c r="F1985" t="n">
        <v>0.010326</v>
      </c>
    </row>
    <row r="1986">
      <c r="A1986" t="inlineStr">
        <is>
          <t>202606</t>
        </is>
      </c>
      <c r="B1986" t="inlineStr">
        <is>
          <t>Actual</t>
        </is>
      </c>
      <c r="C1986" t="inlineStr">
        <is>
          <t>Habitat</t>
        </is>
      </c>
      <c r="D1986" t="inlineStr">
        <is>
          <t>Franklin Templeton - FTGF ClearBridge Infrastructure Value Fund</t>
        </is>
      </c>
      <c r="E1986" t="inlineStr">
        <is>
          <t>Intensidad</t>
        </is>
      </c>
      <c r="F1986" t="n">
        <v>9e-06</v>
      </c>
    </row>
    <row r="1987">
      <c r="A1987" t="inlineStr">
        <is>
          <t>202606</t>
        </is>
      </c>
      <c r="B1987" t="inlineStr">
        <is>
          <t>Actual</t>
        </is>
      </c>
      <c r="C1987" t="inlineStr">
        <is>
          <t>Habitat</t>
        </is>
      </c>
      <c r="D1987" t="inlineStr">
        <is>
          <t>Franklin Templeton - FTGF ClearBridge Infrastructure Value Fund</t>
        </is>
      </c>
      <c r="E1987" t="inlineStr">
        <is>
          <t>Inv MM$</t>
        </is>
      </c>
      <c r="F1987" t="n">
        <v>6.8e-05</v>
      </c>
    </row>
    <row r="1988">
      <c r="A1988" t="inlineStr">
        <is>
          <t>202606</t>
        </is>
      </c>
      <c r="B1988" t="inlineStr">
        <is>
          <t>Actual</t>
        </is>
      </c>
      <c r="C1988" t="inlineStr">
        <is>
          <t>Habitat</t>
        </is>
      </c>
      <c r="D1988" t="inlineStr">
        <is>
          <t>Franklin Templeton - Global Convertibles</t>
        </is>
      </c>
      <c r="E1988" t="inlineStr">
        <is>
          <t>Huella</t>
        </is>
      </c>
      <c r="F1988" t="n">
        <v>113.891322</v>
      </c>
    </row>
    <row r="1989">
      <c r="A1989" t="inlineStr">
        <is>
          <t>202606</t>
        </is>
      </c>
      <c r="B1989" t="inlineStr">
        <is>
          <t>Actual</t>
        </is>
      </c>
      <c r="C1989" t="inlineStr">
        <is>
          <t>Habitat</t>
        </is>
      </c>
      <c r="D1989" t="inlineStr">
        <is>
          <t>Franklin Templeton - Global Convertibles</t>
        </is>
      </c>
      <c r="E1989" t="inlineStr">
        <is>
          <t>Intensidad</t>
        </is>
      </c>
      <c r="F1989" t="n">
        <v>0.226774</v>
      </c>
    </row>
    <row r="1990">
      <c r="A1990" t="inlineStr">
        <is>
          <t>202606</t>
        </is>
      </c>
      <c r="B1990" t="inlineStr">
        <is>
          <t>Actual</t>
        </is>
      </c>
      <c r="C1990" t="inlineStr">
        <is>
          <t>Habitat</t>
        </is>
      </c>
      <c r="D1990" t="inlineStr">
        <is>
          <t>Franklin Templeton - Global Convertibles</t>
        </is>
      </c>
      <c r="E1990" t="inlineStr">
        <is>
          <t>Inv MM$</t>
        </is>
      </c>
      <c r="F1990" t="n">
        <v>4.306208</v>
      </c>
    </row>
    <row r="1991">
      <c r="A1991" t="inlineStr">
        <is>
          <t>202606</t>
        </is>
      </c>
      <c r="B1991" t="inlineStr">
        <is>
          <t>Actual</t>
        </is>
      </c>
      <c r="C1991" t="inlineStr">
        <is>
          <t>Habitat</t>
        </is>
      </c>
      <c r="D1991" t="inlineStr">
        <is>
          <t>GAM - Continental Europe</t>
        </is>
      </c>
      <c r="E1991" t="inlineStr">
        <is>
          <t>Huella</t>
        </is>
      </c>
      <c r="F1991" t="n">
        <v>0.007989</v>
      </c>
    </row>
    <row r="1992">
      <c r="A1992" t="inlineStr">
        <is>
          <t>202606</t>
        </is>
      </c>
      <c r="B1992" t="inlineStr">
        <is>
          <t>Actual</t>
        </is>
      </c>
      <c r="C1992" t="inlineStr">
        <is>
          <t>Habitat</t>
        </is>
      </c>
      <c r="D1992" t="inlineStr">
        <is>
          <t>GAM - Continental Europe</t>
        </is>
      </c>
      <c r="E1992" t="inlineStr">
        <is>
          <t>Intensidad</t>
        </is>
      </c>
      <c r="F1992" t="n">
        <v>7e-06</v>
      </c>
    </row>
    <row r="1993">
      <c r="A1993" t="inlineStr">
        <is>
          <t>202606</t>
        </is>
      </c>
      <c r="B1993" t="inlineStr">
        <is>
          <t>Actual</t>
        </is>
      </c>
      <c r="C1993" t="inlineStr">
        <is>
          <t>Habitat</t>
        </is>
      </c>
      <c r="D1993" t="inlineStr">
        <is>
          <t>GAM - Continental Europe</t>
        </is>
      </c>
      <c r="E1993" t="inlineStr">
        <is>
          <t>Inv MM$</t>
        </is>
      </c>
      <c r="F1993" t="n">
        <v>0.000143</v>
      </c>
    </row>
    <row r="1994">
      <c r="A1994" t="inlineStr">
        <is>
          <t>202606</t>
        </is>
      </c>
      <c r="B1994" t="inlineStr">
        <is>
          <t>Actual</t>
        </is>
      </c>
      <c r="C1994" t="inlineStr">
        <is>
          <t>Habitat</t>
        </is>
      </c>
      <c r="D1994" t="inlineStr">
        <is>
          <t>Global X - Copper Miners ETF</t>
        </is>
      </c>
      <c r="E1994" t="inlineStr">
        <is>
          <t>Huella</t>
        </is>
      </c>
      <c r="F1994" t="n">
        <v>2589.067383</v>
      </c>
    </row>
    <row r="1995">
      <c r="A1995" t="inlineStr">
        <is>
          <t>202606</t>
        </is>
      </c>
      <c r="B1995" t="inlineStr">
        <is>
          <t>Actual</t>
        </is>
      </c>
      <c r="C1995" t="inlineStr">
        <is>
          <t>Habitat</t>
        </is>
      </c>
      <c r="D1995" t="inlineStr">
        <is>
          <t>Global X - Copper Miners ETF</t>
        </is>
      </c>
      <c r="E1995" t="inlineStr">
        <is>
          <t>Intensidad</t>
        </is>
      </c>
      <c r="F1995" t="n">
        <v>1.486317</v>
      </c>
    </row>
    <row r="1996">
      <c r="A1996" t="inlineStr">
        <is>
          <t>202606</t>
        </is>
      </c>
      <c r="B1996" t="inlineStr">
        <is>
          <t>Actual</t>
        </is>
      </c>
      <c r="C1996" t="inlineStr">
        <is>
          <t>Habitat</t>
        </is>
      </c>
      <c r="D1996" t="inlineStr">
        <is>
          <t>Global X - Copper Miners ETF</t>
        </is>
      </c>
      <c r="E1996" t="inlineStr">
        <is>
          <t>Inv MM$</t>
        </is>
      </c>
      <c r="F1996" t="n">
        <v>35.233754</v>
      </c>
    </row>
    <row r="1997">
      <c r="A1997" t="inlineStr">
        <is>
          <t>202606</t>
        </is>
      </c>
      <c r="B1997" t="inlineStr">
        <is>
          <t>Actual</t>
        </is>
      </c>
      <c r="C1997" t="inlineStr">
        <is>
          <t>Habitat</t>
        </is>
      </c>
      <c r="D1997" t="inlineStr">
        <is>
          <t>Groupama - Avenir Euro (Mid Small Caps)</t>
        </is>
      </c>
      <c r="E1997" t="inlineStr">
        <is>
          <t>Huella</t>
        </is>
      </c>
      <c r="F1997" t="n">
        <v>0.027508</v>
      </c>
    </row>
    <row r="1998">
      <c r="A1998" t="inlineStr">
        <is>
          <t>202606</t>
        </is>
      </c>
      <c r="B1998" t="inlineStr">
        <is>
          <t>Actual</t>
        </is>
      </c>
      <c r="C1998" t="inlineStr">
        <is>
          <t>Habitat</t>
        </is>
      </c>
      <c r="D1998" t="inlineStr">
        <is>
          <t>Groupama - Avenir Euro (Mid Small Caps)</t>
        </is>
      </c>
      <c r="E1998" t="inlineStr">
        <is>
          <t>Intensidad</t>
        </is>
      </c>
      <c r="F1998" t="n">
        <v>7e-06</v>
      </c>
    </row>
    <row r="1999">
      <c r="A1999" t="inlineStr">
        <is>
          <t>202606</t>
        </is>
      </c>
      <c r="B1999" t="inlineStr">
        <is>
          <t>Actual</t>
        </is>
      </c>
      <c r="C1999" t="inlineStr">
        <is>
          <t>Habitat</t>
        </is>
      </c>
      <c r="D1999" t="inlineStr">
        <is>
          <t>Groupama - Avenir Euro (Mid Small Caps)</t>
        </is>
      </c>
      <c r="E1999" t="inlineStr">
        <is>
          <t>Inv MM$</t>
        </is>
      </c>
      <c r="F1999" t="n">
        <v>0.000476</v>
      </c>
    </row>
    <row r="2000">
      <c r="A2000" t="inlineStr">
        <is>
          <t>202606</t>
        </is>
      </c>
      <c r="B2000" t="inlineStr">
        <is>
          <t>Actual</t>
        </is>
      </c>
      <c r="C2000" t="inlineStr">
        <is>
          <t>Habitat</t>
        </is>
      </c>
      <c r="D2000" t="inlineStr">
        <is>
          <t>Groupama - G Fund Avenir Europe (Mid Small Caps) - C</t>
        </is>
      </c>
      <c r="E2000" t="inlineStr">
        <is>
          <t>Huella</t>
        </is>
      </c>
      <c r="F2000" t="n">
        <v>0.418206</v>
      </c>
    </row>
    <row r="2001">
      <c r="A2001" t="inlineStr">
        <is>
          <t>202606</t>
        </is>
      </c>
      <c r="B2001" t="inlineStr">
        <is>
          <t>Actual</t>
        </is>
      </c>
      <c r="C2001" t="inlineStr">
        <is>
          <t>Habitat</t>
        </is>
      </c>
      <c r="D2001" t="inlineStr">
        <is>
          <t>Groupama - G Fund Avenir Europe (Mid Small Caps) - C</t>
        </is>
      </c>
      <c r="E2001" t="inlineStr">
        <is>
          <t>Intensidad</t>
        </is>
      </c>
      <c r="F2001" t="n">
        <v>0.000383</v>
      </c>
    </row>
    <row r="2002">
      <c r="A2002" t="inlineStr">
        <is>
          <t>202606</t>
        </is>
      </c>
      <c r="B2002" t="inlineStr">
        <is>
          <t>Actual</t>
        </is>
      </c>
      <c r="C2002" t="inlineStr">
        <is>
          <t>Habitat</t>
        </is>
      </c>
      <c r="D2002" t="inlineStr">
        <is>
          <t>Groupama - G Fund Avenir Europe (Mid Small Caps) - C</t>
        </is>
      </c>
      <c r="E2002" t="inlineStr">
        <is>
          <t>Inv MM$</t>
        </is>
      </c>
      <c r="F2002" t="n">
        <v>0.008992999999999999</v>
      </c>
    </row>
    <row r="2003">
      <c r="A2003" t="inlineStr">
        <is>
          <t>202606</t>
        </is>
      </c>
      <c r="B2003" t="inlineStr">
        <is>
          <t>Actual</t>
        </is>
      </c>
      <c r="C2003" t="inlineStr">
        <is>
          <t>Habitat</t>
        </is>
      </c>
      <c r="D2003" t="inlineStr">
        <is>
          <t>InRetail Consumer</t>
        </is>
      </c>
      <c r="E2003" t="inlineStr">
        <is>
          <t>Huella</t>
        </is>
      </c>
      <c r="F2003" t="n">
        <v>12.722666</v>
      </c>
    </row>
    <row r="2004">
      <c r="A2004" t="inlineStr">
        <is>
          <t>202606</t>
        </is>
      </c>
      <c r="B2004" t="inlineStr">
        <is>
          <t>Actual</t>
        </is>
      </c>
      <c r="C2004" t="inlineStr">
        <is>
          <t>Habitat</t>
        </is>
      </c>
      <c r="D2004" t="inlineStr">
        <is>
          <t>InRetail Consumer</t>
        </is>
      </c>
      <c r="E2004" t="inlineStr">
        <is>
          <t>Intensidad</t>
        </is>
      </c>
      <c r="F2004" t="n">
        <v>0.003107</v>
      </c>
    </row>
    <row r="2005">
      <c r="A2005" t="inlineStr">
        <is>
          <t>202606</t>
        </is>
      </c>
      <c r="B2005" t="inlineStr">
        <is>
          <t>Actual</t>
        </is>
      </c>
      <c r="C2005" t="inlineStr">
        <is>
          <t>Habitat</t>
        </is>
      </c>
      <c r="D2005" t="inlineStr">
        <is>
          <t>InRetail Consumer</t>
        </is>
      </c>
      <c r="E2005" t="inlineStr">
        <is>
          <t>Inv MM$</t>
        </is>
      </c>
      <c r="F2005" t="n">
        <v>0.551003</v>
      </c>
    </row>
    <row r="2006">
      <c r="A2006" t="inlineStr">
        <is>
          <t>202606</t>
        </is>
      </c>
      <c r="B2006" t="inlineStr">
        <is>
          <t>Actual</t>
        </is>
      </c>
      <c r="C2006" t="inlineStr">
        <is>
          <t>Habitat</t>
        </is>
      </c>
      <c r="D2006" t="inlineStr">
        <is>
          <t>InRetail Peru</t>
        </is>
      </c>
      <c r="E2006" t="inlineStr">
        <is>
          <t>Huella</t>
        </is>
      </c>
      <c r="F2006" t="n">
        <v>2545.788912</v>
      </c>
    </row>
    <row r="2007">
      <c r="A2007" t="inlineStr">
        <is>
          <t>202606</t>
        </is>
      </c>
      <c r="B2007" t="inlineStr">
        <is>
          <t>Actual</t>
        </is>
      </c>
      <c r="C2007" t="inlineStr">
        <is>
          <t>Habitat</t>
        </is>
      </c>
      <c r="D2007" t="inlineStr">
        <is>
          <t>InRetail Peru</t>
        </is>
      </c>
      <c r="E2007" t="inlineStr">
        <is>
          <t>Intensidad</t>
        </is>
      </c>
      <c r="F2007" t="n">
        <v>1.15235</v>
      </c>
    </row>
    <row r="2008">
      <c r="A2008" t="inlineStr">
        <is>
          <t>202606</t>
        </is>
      </c>
      <c r="B2008" t="inlineStr">
        <is>
          <t>Actual</t>
        </is>
      </c>
      <c r="C2008" t="inlineStr">
        <is>
          <t>Habitat</t>
        </is>
      </c>
      <c r="D2008" t="inlineStr">
        <is>
          <t>InRetail Peru</t>
        </is>
      </c>
      <c r="E2008" t="inlineStr">
        <is>
          <t>Inv MM$</t>
        </is>
      </c>
      <c r="F2008" t="n">
        <v>110.255042</v>
      </c>
    </row>
    <row r="2009">
      <c r="A2009" t="inlineStr">
        <is>
          <t>202606</t>
        </is>
      </c>
      <c r="B2009" t="inlineStr">
        <is>
          <t>Actual</t>
        </is>
      </c>
      <c r="C2009" t="inlineStr">
        <is>
          <t>Habitat</t>
        </is>
      </c>
      <c r="D2009" t="inlineStr">
        <is>
          <t>Intergroup</t>
        </is>
      </c>
      <c r="E2009" t="inlineStr">
        <is>
          <t>Huella</t>
        </is>
      </c>
      <c r="F2009" t="n">
        <v>26.50619</v>
      </c>
    </row>
    <row r="2010">
      <c r="A2010" t="inlineStr">
        <is>
          <t>202606</t>
        </is>
      </c>
      <c r="B2010" t="inlineStr">
        <is>
          <t>Actual</t>
        </is>
      </c>
      <c r="C2010" t="inlineStr">
        <is>
          <t>Habitat</t>
        </is>
      </c>
      <c r="D2010" t="inlineStr">
        <is>
          <t>Intergroup</t>
        </is>
      </c>
      <c r="E2010" t="inlineStr">
        <is>
          <t>Intensidad</t>
        </is>
      </c>
      <c r="F2010" t="n">
        <v>0.007821</v>
      </c>
    </row>
    <row r="2011">
      <c r="A2011" t="inlineStr">
        <is>
          <t>202606</t>
        </is>
      </c>
      <c r="B2011" t="inlineStr">
        <is>
          <t>Actual</t>
        </is>
      </c>
      <c r="C2011" t="inlineStr">
        <is>
          <t>Habitat</t>
        </is>
      </c>
      <c r="D2011" t="inlineStr">
        <is>
          <t>Intergroup</t>
        </is>
      </c>
      <c r="E2011" t="inlineStr">
        <is>
          <t>Inv MM$</t>
        </is>
      </c>
      <c r="F2011" t="n">
        <v>77.95938200000001</v>
      </c>
    </row>
    <row r="2012">
      <c r="A2012" t="inlineStr">
        <is>
          <t>202606</t>
        </is>
      </c>
      <c r="B2012" t="inlineStr">
        <is>
          <t>Actual</t>
        </is>
      </c>
      <c r="C2012" t="inlineStr">
        <is>
          <t>Habitat</t>
        </is>
      </c>
      <c r="D2012" t="inlineStr">
        <is>
          <t>Invesco - Global Consumer Trends Fund S</t>
        </is>
      </c>
      <c r="E2012" t="inlineStr">
        <is>
          <t>Huella</t>
        </is>
      </c>
      <c r="F2012" t="n">
        <v>0.669781</v>
      </c>
    </row>
    <row r="2013">
      <c r="A2013" t="inlineStr">
        <is>
          <t>202606</t>
        </is>
      </c>
      <c r="B2013" t="inlineStr">
        <is>
          <t>Actual</t>
        </is>
      </c>
      <c r="C2013" t="inlineStr">
        <is>
          <t>Habitat</t>
        </is>
      </c>
      <c r="D2013" t="inlineStr">
        <is>
          <t>Invesco - Global Consumer Trends Fund S</t>
        </is>
      </c>
      <c r="E2013" t="inlineStr">
        <is>
          <t>Intensidad</t>
        </is>
      </c>
      <c r="F2013" t="n">
        <v>0.000384</v>
      </c>
    </row>
    <row r="2014">
      <c r="A2014" t="inlineStr">
        <is>
          <t>202606</t>
        </is>
      </c>
      <c r="B2014" t="inlineStr">
        <is>
          <t>Actual</t>
        </is>
      </c>
      <c r="C2014" t="inlineStr">
        <is>
          <t>Habitat</t>
        </is>
      </c>
      <c r="D2014" t="inlineStr">
        <is>
          <t>Invesco - Global Consumer Trends Fund S</t>
        </is>
      </c>
      <c r="E2014" t="inlineStr">
        <is>
          <t>Inv MM$</t>
        </is>
      </c>
      <c r="F2014" t="n">
        <v>0.076028</v>
      </c>
    </row>
    <row r="2015">
      <c r="A2015" t="inlineStr">
        <is>
          <t>202606</t>
        </is>
      </c>
      <c r="B2015" t="inlineStr">
        <is>
          <t>Actual</t>
        </is>
      </c>
      <c r="C2015" t="inlineStr">
        <is>
          <t>Habitat</t>
        </is>
      </c>
      <c r="D2015" t="inlineStr">
        <is>
          <t>Invesco - UK Opportunities Fund</t>
        </is>
      </c>
      <c r="E2015" t="inlineStr">
        <is>
          <t>Huella</t>
        </is>
      </c>
      <c r="F2015" t="n">
        <v>262.646871</v>
      </c>
    </row>
    <row r="2016">
      <c r="A2016" t="inlineStr">
        <is>
          <t>202606</t>
        </is>
      </c>
      <c r="B2016" t="inlineStr">
        <is>
          <t>Actual</t>
        </is>
      </c>
      <c r="C2016" t="inlineStr">
        <is>
          <t>Habitat</t>
        </is>
      </c>
      <c r="D2016" t="inlineStr">
        <is>
          <t>Invesco - UK Opportunities Fund</t>
        </is>
      </c>
      <c r="E2016" t="inlineStr">
        <is>
          <t>Intensidad</t>
        </is>
      </c>
      <c r="F2016" t="n">
        <v>0.152081</v>
      </c>
    </row>
    <row r="2017">
      <c r="A2017" t="inlineStr">
        <is>
          <t>202606</t>
        </is>
      </c>
      <c r="B2017" t="inlineStr">
        <is>
          <t>Actual</t>
        </is>
      </c>
      <c r="C2017" t="inlineStr">
        <is>
          <t>Habitat</t>
        </is>
      </c>
      <c r="D2017" t="inlineStr">
        <is>
          <t>Invesco - UK Opportunities Fund</t>
        </is>
      </c>
      <c r="E2017" t="inlineStr">
        <is>
          <t>Inv MM$</t>
        </is>
      </c>
      <c r="F2017" t="n">
        <v>3.520677</v>
      </c>
    </row>
    <row r="2018">
      <c r="A2018" t="inlineStr">
        <is>
          <t>202606</t>
        </is>
      </c>
      <c r="B2018" t="inlineStr">
        <is>
          <t>Actual</t>
        </is>
      </c>
      <c r="C2018" t="inlineStr">
        <is>
          <t>Habitat</t>
        </is>
      </c>
      <c r="D2018" t="inlineStr">
        <is>
          <t>Invesco LLC - US Banks</t>
        </is>
      </c>
      <c r="E2018" t="inlineStr">
        <is>
          <t>Huella</t>
        </is>
      </c>
      <c r="F2018" t="n">
        <v>151.179408</v>
      </c>
    </row>
    <row r="2019">
      <c r="A2019" t="inlineStr">
        <is>
          <t>202606</t>
        </is>
      </c>
      <c r="B2019" t="inlineStr">
        <is>
          <t>Actual</t>
        </is>
      </c>
      <c r="C2019" t="inlineStr">
        <is>
          <t>Habitat</t>
        </is>
      </c>
      <c r="D2019" t="inlineStr">
        <is>
          <t>Invesco LLC - US Banks</t>
        </is>
      </c>
      <c r="E2019" t="inlineStr">
        <is>
          <t>Intensidad</t>
        </is>
      </c>
      <c r="F2019" t="n">
        <v>0.06360499999999999</v>
      </c>
    </row>
    <row r="2020">
      <c r="A2020" t="inlineStr">
        <is>
          <t>202606</t>
        </is>
      </c>
      <c r="B2020" t="inlineStr">
        <is>
          <t>Actual</t>
        </is>
      </c>
      <c r="C2020" t="inlineStr">
        <is>
          <t>Habitat</t>
        </is>
      </c>
      <c r="D2020" t="inlineStr">
        <is>
          <t>Invesco LLC - US Banks</t>
        </is>
      </c>
      <c r="E2020" t="inlineStr">
        <is>
          <t>Inv MM$</t>
        </is>
      </c>
      <c r="F2020" t="n">
        <v>188.747848</v>
      </c>
    </row>
    <row r="2021">
      <c r="A2021" t="inlineStr">
        <is>
          <t>202606</t>
        </is>
      </c>
      <c r="B2021" t="inlineStr">
        <is>
          <t>Actual</t>
        </is>
      </c>
      <c r="C2021" t="inlineStr">
        <is>
          <t>Habitat</t>
        </is>
      </c>
      <c r="D2021" t="inlineStr">
        <is>
          <t>Investec - Latin American Corporate Debt</t>
        </is>
      </c>
      <c r="E2021" t="inlineStr">
        <is>
          <t>Huella</t>
        </is>
      </c>
      <c r="F2021" t="n">
        <v>0.032389</v>
      </c>
    </row>
    <row r="2022">
      <c r="A2022" t="inlineStr">
        <is>
          <t>202606</t>
        </is>
      </c>
      <c r="B2022" t="inlineStr">
        <is>
          <t>Actual</t>
        </is>
      </c>
      <c r="C2022" t="inlineStr">
        <is>
          <t>Habitat</t>
        </is>
      </c>
      <c r="D2022" t="inlineStr">
        <is>
          <t>Investec - Latin American Corporate Debt</t>
        </is>
      </c>
      <c r="E2022" t="inlineStr">
        <is>
          <t>Intensidad</t>
        </is>
      </c>
      <c r="F2022" t="n">
        <v>3.6e-05</v>
      </c>
    </row>
    <row r="2023">
      <c r="A2023" t="inlineStr">
        <is>
          <t>202606</t>
        </is>
      </c>
      <c r="B2023" t="inlineStr">
        <is>
          <t>Actual</t>
        </is>
      </c>
      <c r="C2023" t="inlineStr">
        <is>
          <t>Habitat</t>
        </is>
      </c>
      <c r="D2023" t="inlineStr">
        <is>
          <t>Investec - Latin American Corporate Debt</t>
        </is>
      </c>
      <c r="E2023" t="inlineStr">
        <is>
          <t>Inv MM$</t>
        </is>
      </c>
      <c r="F2023" t="n">
        <v>0.000106</v>
      </c>
    </row>
    <row r="2024">
      <c r="A2024" t="inlineStr">
        <is>
          <t>202606</t>
        </is>
      </c>
      <c r="B2024" t="inlineStr">
        <is>
          <t>Actual</t>
        </is>
      </c>
      <c r="C2024" t="inlineStr">
        <is>
          <t>Habitat</t>
        </is>
      </c>
      <c r="D2024" t="inlineStr">
        <is>
          <t>JP Morgan - Emerging Markets</t>
        </is>
      </c>
      <c r="E2024" t="inlineStr">
        <is>
          <t>Huella</t>
        </is>
      </c>
      <c r="F2024" t="n">
        <v>30.39005</v>
      </c>
    </row>
    <row r="2025">
      <c r="A2025" t="inlineStr">
        <is>
          <t>202606</t>
        </is>
      </c>
      <c r="B2025" t="inlineStr">
        <is>
          <t>Actual</t>
        </is>
      </c>
      <c r="C2025" t="inlineStr">
        <is>
          <t>Habitat</t>
        </is>
      </c>
      <c r="D2025" t="inlineStr">
        <is>
          <t>JP Morgan - Emerging Markets</t>
        </is>
      </c>
      <c r="E2025" t="inlineStr">
        <is>
          <t>Intensidad</t>
        </is>
      </c>
      <c r="F2025" t="n">
        <v>0.013928</v>
      </c>
    </row>
    <row r="2026">
      <c r="A2026" t="inlineStr">
        <is>
          <t>202606</t>
        </is>
      </c>
      <c r="B2026" t="inlineStr">
        <is>
          <t>Actual</t>
        </is>
      </c>
      <c r="C2026" t="inlineStr">
        <is>
          <t>Habitat</t>
        </is>
      </c>
      <c r="D2026" t="inlineStr">
        <is>
          <t>JP Morgan - Emerging Markets</t>
        </is>
      </c>
      <c r="E2026" t="inlineStr">
        <is>
          <t>Inv MM$</t>
        </is>
      </c>
      <c r="F2026" t="n">
        <v>1.295267</v>
      </c>
    </row>
    <row r="2027">
      <c r="A2027" t="inlineStr">
        <is>
          <t>202606</t>
        </is>
      </c>
      <c r="B2027" t="inlineStr">
        <is>
          <t>Actual</t>
        </is>
      </c>
      <c r="C2027" t="inlineStr">
        <is>
          <t>Habitat</t>
        </is>
      </c>
      <c r="D2027" t="inlineStr">
        <is>
          <t>JP Morgan - Greater China Fund</t>
        </is>
      </c>
      <c r="E2027" t="inlineStr">
        <is>
          <t>Huella</t>
        </is>
      </c>
      <c r="F2027" t="n">
        <v>0.008489</v>
      </c>
    </row>
    <row r="2028">
      <c r="A2028" t="inlineStr">
        <is>
          <t>202606</t>
        </is>
      </c>
      <c r="B2028" t="inlineStr">
        <is>
          <t>Actual</t>
        </is>
      </c>
      <c r="C2028" t="inlineStr">
        <is>
          <t>Habitat</t>
        </is>
      </c>
      <c r="D2028" t="inlineStr">
        <is>
          <t>JP Morgan - Greater China Fund</t>
        </is>
      </c>
      <c r="E2028" t="inlineStr">
        <is>
          <t>Intensidad</t>
        </is>
      </c>
      <c r="F2028" t="n">
        <v>9e-06</v>
      </c>
    </row>
    <row r="2029">
      <c r="A2029" t="inlineStr">
        <is>
          <t>202606</t>
        </is>
      </c>
      <c r="B2029" t="inlineStr">
        <is>
          <t>Actual</t>
        </is>
      </c>
      <c r="C2029" t="inlineStr">
        <is>
          <t>Habitat</t>
        </is>
      </c>
      <c r="D2029" t="inlineStr">
        <is>
          <t>JP Morgan - Greater China Fund</t>
        </is>
      </c>
      <c r="E2029" t="inlineStr">
        <is>
          <t>Inv MM$</t>
        </is>
      </c>
      <c r="F2029" t="n">
        <v>0.000534</v>
      </c>
    </row>
    <row r="2030">
      <c r="A2030" t="inlineStr">
        <is>
          <t>202606</t>
        </is>
      </c>
      <c r="B2030" t="inlineStr">
        <is>
          <t>Actual</t>
        </is>
      </c>
      <c r="C2030" t="inlineStr">
        <is>
          <t>Habitat</t>
        </is>
      </c>
      <c r="D2030" t="inlineStr">
        <is>
          <t>Janus Henderson - Continental European Fund</t>
        </is>
      </c>
      <c r="E2030" t="inlineStr">
        <is>
          <t>Huella</t>
        </is>
      </c>
      <c r="F2030" t="n">
        <v>0.003079</v>
      </c>
    </row>
    <row r="2031">
      <c r="A2031" t="inlineStr">
        <is>
          <t>202606</t>
        </is>
      </c>
      <c r="B2031" t="inlineStr">
        <is>
          <t>Actual</t>
        </is>
      </c>
      <c r="C2031" t="inlineStr">
        <is>
          <t>Habitat</t>
        </is>
      </c>
      <c r="D2031" t="inlineStr">
        <is>
          <t>Janus Henderson - Continental European Fund</t>
        </is>
      </c>
      <c r="E2031" t="inlineStr">
        <is>
          <t>Intensidad</t>
        </is>
      </c>
      <c r="F2031" t="n">
        <v>3e-06</v>
      </c>
    </row>
    <row r="2032">
      <c r="A2032" t="inlineStr">
        <is>
          <t>202606</t>
        </is>
      </c>
      <c r="B2032" t="inlineStr">
        <is>
          <t>Actual</t>
        </is>
      </c>
      <c r="C2032" t="inlineStr">
        <is>
          <t>Habitat</t>
        </is>
      </c>
      <c r="D2032" t="inlineStr">
        <is>
          <t>Janus Henderson - Continental European Fund</t>
        </is>
      </c>
      <c r="E2032" t="inlineStr">
        <is>
          <t>Inv MM$</t>
        </is>
      </c>
      <c r="F2032" t="n">
        <v>7.9e-05</v>
      </c>
    </row>
    <row r="2033">
      <c r="A2033" t="inlineStr">
        <is>
          <t>202606</t>
        </is>
      </c>
      <c r="B2033" t="inlineStr">
        <is>
          <t>Actual</t>
        </is>
      </c>
      <c r="C2033" t="inlineStr">
        <is>
          <t>Habitat</t>
        </is>
      </c>
      <c r="D2033" t="inlineStr">
        <is>
          <t>Jupiter - Bonds Global High Yield</t>
        </is>
      </c>
      <c r="E2033" t="inlineStr">
        <is>
          <t>Huella</t>
        </is>
      </c>
      <c r="F2033" t="n">
        <v>48574.496763</v>
      </c>
    </row>
    <row r="2034">
      <c r="A2034" t="inlineStr">
        <is>
          <t>202606</t>
        </is>
      </c>
      <c r="B2034" t="inlineStr">
        <is>
          <t>Actual</t>
        </is>
      </c>
      <c r="C2034" t="inlineStr">
        <is>
          <t>Habitat</t>
        </is>
      </c>
      <c r="D2034" t="inlineStr">
        <is>
          <t>Jupiter - Bonds Global High Yield</t>
        </is>
      </c>
      <c r="E2034" t="inlineStr">
        <is>
          <t>Intensidad</t>
        </is>
      </c>
      <c r="F2034" t="n">
        <v>16.47913</v>
      </c>
    </row>
    <row r="2035">
      <c r="A2035" t="inlineStr">
        <is>
          <t>202606</t>
        </is>
      </c>
      <c r="B2035" t="inlineStr">
        <is>
          <t>Actual</t>
        </is>
      </c>
      <c r="C2035" t="inlineStr">
        <is>
          <t>Habitat</t>
        </is>
      </c>
      <c r="D2035" t="inlineStr">
        <is>
          <t>Jupiter - Bonds Global High Yield</t>
        </is>
      </c>
      <c r="E2035" t="inlineStr">
        <is>
          <t>Inv MM$</t>
        </is>
      </c>
      <c r="F2035" t="n">
        <v>170.89432</v>
      </c>
    </row>
    <row r="2036">
      <c r="A2036" t="inlineStr">
        <is>
          <t>202606</t>
        </is>
      </c>
      <c r="B2036" t="inlineStr">
        <is>
          <t>Actual</t>
        </is>
      </c>
      <c r="C2036" t="inlineStr">
        <is>
          <t>Habitat</t>
        </is>
      </c>
      <c r="D2036" t="inlineStr">
        <is>
          <t>Jupiter Unit Trust - Asian Income Fund I GBP</t>
        </is>
      </c>
      <c r="E2036" t="inlineStr">
        <is>
          <t>Huella</t>
        </is>
      </c>
      <c r="F2036" t="n">
        <v>0.00012</v>
      </c>
    </row>
    <row r="2037">
      <c r="A2037" t="inlineStr">
        <is>
          <t>202606</t>
        </is>
      </c>
      <c r="B2037" t="inlineStr">
        <is>
          <t>Actual</t>
        </is>
      </c>
      <c r="C2037" t="inlineStr">
        <is>
          <t>Habitat</t>
        </is>
      </c>
      <c r="D2037" t="inlineStr">
        <is>
          <t>Jupiter Unit Trust - Asian Income Fund I GBP</t>
        </is>
      </c>
      <c r="E2037" t="inlineStr">
        <is>
          <t>Intensidad</t>
        </is>
      </c>
      <c r="F2037" t="n">
        <v>0</v>
      </c>
    </row>
    <row r="2038">
      <c r="A2038" t="inlineStr">
        <is>
          <t>202606</t>
        </is>
      </c>
      <c r="B2038" t="inlineStr">
        <is>
          <t>Actual</t>
        </is>
      </c>
      <c r="C2038" t="inlineStr">
        <is>
          <t>Habitat</t>
        </is>
      </c>
      <c r="D2038" t="inlineStr">
        <is>
          <t>Jupiter Unit Trust - Asian Income Fund I GBP</t>
        </is>
      </c>
      <c r="E2038" t="inlineStr">
        <is>
          <t>Inv MM$</t>
        </is>
      </c>
      <c r="F2038" t="n">
        <v>5e-06</v>
      </c>
    </row>
    <row r="2039">
      <c r="A2039" t="inlineStr">
        <is>
          <t>202606</t>
        </is>
      </c>
      <c r="B2039" t="inlineStr">
        <is>
          <t>Actual</t>
        </is>
      </c>
      <c r="C2039" t="inlineStr">
        <is>
          <t>Habitat</t>
        </is>
      </c>
      <c r="D2039" t="inlineStr">
        <is>
          <t>Jupiter Unit Trust - European Growth</t>
        </is>
      </c>
      <c r="E2039" t="inlineStr">
        <is>
          <t>Huella</t>
        </is>
      </c>
      <c r="F2039" t="n">
        <v>0.027486</v>
      </c>
    </row>
    <row r="2040">
      <c r="A2040" t="inlineStr">
        <is>
          <t>202606</t>
        </is>
      </c>
      <c r="B2040" t="inlineStr">
        <is>
          <t>Actual</t>
        </is>
      </c>
      <c r="C2040" t="inlineStr">
        <is>
          <t>Habitat</t>
        </is>
      </c>
      <c r="D2040" t="inlineStr">
        <is>
          <t>Jupiter Unit Trust - European Growth</t>
        </is>
      </c>
      <c r="E2040" t="inlineStr">
        <is>
          <t>Intensidad</t>
        </is>
      </c>
      <c r="F2040" t="n">
        <v>1e-05</v>
      </c>
    </row>
    <row r="2041">
      <c r="A2041" t="inlineStr">
        <is>
          <t>202606</t>
        </is>
      </c>
      <c r="B2041" t="inlineStr">
        <is>
          <t>Actual</t>
        </is>
      </c>
      <c r="C2041" t="inlineStr">
        <is>
          <t>Habitat</t>
        </is>
      </c>
      <c r="D2041" t="inlineStr">
        <is>
          <t>Jupiter Unit Trust - European Growth</t>
        </is>
      </c>
      <c r="E2041" t="inlineStr">
        <is>
          <t>Inv MM$</t>
        </is>
      </c>
      <c r="F2041" t="n">
        <v>0.000339</v>
      </c>
    </row>
    <row r="2042">
      <c r="A2042" t="inlineStr">
        <is>
          <t>202606</t>
        </is>
      </c>
      <c r="B2042" t="inlineStr">
        <is>
          <t>Actual</t>
        </is>
      </c>
      <c r="C2042" t="inlineStr">
        <is>
          <t>Habitat</t>
        </is>
      </c>
      <c r="D2042" t="inlineStr">
        <is>
          <t>Krane - CSI China Internet Fund</t>
        </is>
      </c>
      <c r="E2042" t="inlineStr">
        <is>
          <t>Huella</t>
        </is>
      </c>
      <c r="F2042" t="n">
        <v>404.853045</v>
      </c>
    </row>
    <row r="2043">
      <c r="A2043" t="inlineStr">
        <is>
          <t>202606</t>
        </is>
      </c>
      <c r="B2043" t="inlineStr">
        <is>
          <t>Actual</t>
        </is>
      </c>
      <c r="C2043" t="inlineStr">
        <is>
          <t>Habitat</t>
        </is>
      </c>
      <c r="D2043" t="inlineStr">
        <is>
          <t>Krane - CSI China Internet Fund</t>
        </is>
      </c>
      <c r="E2043" t="inlineStr">
        <is>
          <t>Intensidad</t>
        </is>
      </c>
      <c r="F2043" t="n">
        <v>0.166903</v>
      </c>
    </row>
    <row r="2044">
      <c r="A2044" t="inlineStr">
        <is>
          <t>202606</t>
        </is>
      </c>
      <c r="B2044" t="inlineStr">
        <is>
          <t>Actual</t>
        </is>
      </c>
      <c r="C2044" t="inlineStr">
        <is>
          <t>Habitat</t>
        </is>
      </c>
      <c r="D2044" t="inlineStr">
        <is>
          <t>Krane - CSI China Internet Fund</t>
        </is>
      </c>
      <c r="E2044" t="inlineStr">
        <is>
          <t>Inv MM$</t>
        </is>
      </c>
      <c r="F2044" t="n">
        <v>58.803555</v>
      </c>
    </row>
    <row r="2045">
      <c r="A2045" t="inlineStr">
        <is>
          <t>202606</t>
        </is>
      </c>
      <c r="B2045" t="inlineStr">
        <is>
          <t>Actual</t>
        </is>
      </c>
      <c r="C2045" t="inlineStr">
        <is>
          <t>Habitat</t>
        </is>
      </c>
      <c r="D2045" t="inlineStr">
        <is>
          <t>Lazard - Convertible Global Fund</t>
        </is>
      </c>
      <c r="E2045" t="inlineStr">
        <is>
          <t>Huella</t>
        </is>
      </c>
      <c r="F2045" t="n">
        <v>147.843851</v>
      </c>
    </row>
    <row r="2046">
      <c r="A2046" t="inlineStr">
        <is>
          <t>202606</t>
        </is>
      </c>
      <c r="B2046" t="inlineStr">
        <is>
          <t>Actual</t>
        </is>
      </c>
      <c r="C2046" t="inlineStr">
        <is>
          <t>Habitat</t>
        </is>
      </c>
      <c r="D2046" t="inlineStr">
        <is>
          <t>Lazard - Convertible Global Fund</t>
        </is>
      </c>
      <c r="E2046" t="inlineStr">
        <is>
          <t>Intensidad</t>
        </is>
      </c>
      <c r="F2046" t="n">
        <v>0.294378</v>
      </c>
    </row>
    <row r="2047">
      <c r="A2047" t="inlineStr">
        <is>
          <t>202606</t>
        </is>
      </c>
      <c r="B2047" t="inlineStr">
        <is>
          <t>Actual</t>
        </is>
      </c>
      <c r="C2047" t="inlineStr">
        <is>
          <t>Habitat</t>
        </is>
      </c>
      <c r="D2047" t="inlineStr">
        <is>
          <t>Lazard - Convertible Global Fund</t>
        </is>
      </c>
      <c r="E2047" t="inlineStr">
        <is>
          <t>Inv MM$</t>
        </is>
      </c>
      <c r="F2047" t="n">
        <v>2.132931</v>
      </c>
    </row>
    <row r="2048">
      <c r="A2048" t="inlineStr">
        <is>
          <t>202606</t>
        </is>
      </c>
      <c r="B2048" t="inlineStr">
        <is>
          <t>Actual</t>
        </is>
      </c>
      <c r="C2048" t="inlineStr">
        <is>
          <t>Habitat</t>
        </is>
      </c>
      <c r="D2048" t="inlineStr">
        <is>
          <t>Liontrust - Liontrust European Dynamic Fund S</t>
        </is>
      </c>
      <c r="E2048" t="inlineStr">
        <is>
          <t>Huella</t>
        </is>
      </c>
      <c r="F2048" t="n">
        <v>0.001144</v>
      </c>
    </row>
    <row r="2049">
      <c r="A2049" t="inlineStr">
        <is>
          <t>202606</t>
        </is>
      </c>
      <c r="B2049" t="inlineStr">
        <is>
          <t>Actual</t>
        </is>
      </c>
      <c r="C2049" t="inlineStr">
        <is>
          <t>Habitat</t>
        </is>
      </c>
      <c r="D2049" t="inlineStr">
        <is>
          <t>Liontrust - Liontrust European Dynamic Fund S</t>
        </is>
      </c>
      <c r="E2049" t="inlineStr">
        <is>
          <t>Intensidad</t>
        </is>
      </c>
      <c r="F2049" t="n">
        <v>1e-06</v>
      </c>
    </row>
    <row r="2050">
      <c r="A2050" t="inlineStr">
        <is>
          <t>202606</t>
        </is>
      </c>
      <c r="B2050" t="inlineStr">
        <is>
          <t>Actual</t>
        </is>
      </c>
      <c r="C2050" t="inlineStr">
        <is>
          <t>Habitat</t>
        </is>
      </c>
      <c r="D2050" t="inlineStr">
        <is>
          <t>Liontrust - Liontrust European Dynamic Fund S</t>
        </is>
      </c>
      <c r="E2050" t="inlineStr">
        <is>
          <t>Inv MM$</t>
        </is>
      </c>
      <c r="F2050" t="n">
        <v>7e-06</v>
      </c>
    </row>
    <row r="2051">
      <c r="A2051" t="inlineStr">
        <is>
          <t>202606</t>
        </is>
      </c>
      <c r="B2051" t="inlineStr">
        <is>
          <t>Actual</t>
        </is>
      </c>
      <c r="C2051" t="inlineStr">
        <is>
          <t>Habitat</t>
        </is>
      </c>
      <c r="D2051" t="inlineStr">
        <is>
          <t>M&amp;G - Global Floating Rate High Yield Fund</t>
        </is>
      </c>
      <c r="E2051" t="inlineStr">
        <is>
          <t>Huella</t>
        </is>
      </c>
      <c r="F2051" t="n">
        <v>0.21241</v>
      </c>
    </row>
    <row r="2052">
      <c r="A2052" t="inlineStr">
        <is>
          <t>202606</t>
        </is>
      </c>
      <c r="B2052" t="inlineStr">
        <is>
          <t>Actual</t>
        </is>
      </c>
      <c r="C2052" t="inlineStr">
        <is>
          <t>Habitat</t>
        </is>
      </c>
      <c r="D2052" t="inlineStr">
        <is>
          <t>M&amp;G - Global Floating Rate High Yield Fund</t>
        </is>
      </c>
      <c r="E2052" t="inlineStr">
        <is>
          <t>Intensidad</t>
        </is>
      </c>
      <c r="F2052" t="n">
        <v>0.000423</v>
      </c>
    </row>
    <row r="2053">
      <c r="A2053" t="inlineStr">
        <is>
          <t>202606</t>
        </is>
      </c>
      <c r="B2053" t="inlineStr">
        <is>
          <t>Actual</t>
        </is>
      </c>
      <c r="C2053" t="inlineStr">
        <is>
          <t>Habitat</t>
        </is>
      </c>
      <c r="D2053" t="inlineStr">
        <is>
          <t>M&amp;G - Global Floating Rate High Yield Fund</t>
        </is>
      </c>
      <c r="E2053" t="inlineStr">
        <is>
          <t>Inv MM$</t>
        </is>
      </c>
      <c r="F2053" t="n">
        <v>0.009617000000000001</v>
      </c>
    </row>
    <row r="2054">
      <c r="A2054" t="inlineStr">
        <is>
          <t>202606</t>
        </is>
      </c>
      <c r="B2054" t="inlineStr">
        <is>
          <t>Actual</t>
        </is>
      </c>
      <c r="C2054" t="inlineStr">
        <is>
          <t>Habitat</t>
        </is>
      </c>
      <c r="D2054" t="inlineStr">
        <is>
          <t>MSIM - Asia Opportunity</t>
        </is>
      </c>
      <c r="E2054" t="inlineStr">
        <is>
          <t>Huella</t>
        </is>
      </c>
      <c r="F2054" t="n">
        <v>0.002284</v>
      </c>
    </row>
    <row r="2055">
      <c r="A2055" t="inlineStr">
        <is>
          <t>202606</t>
        </is>
      </c>
      <c r="B2055" t="inlineStr">
        <is>
          <t>Actual</t>
        </is>
      </c>
      <c r="C2055" t="inlineStr">
        <is>
          <t>Habitat</t>
        </is>
      </c>
      <c r="D2055" t="inlineStr">
        <is>
          <t>MSIM - Asia Opportunity</t>
        </is>
      </c>
      <c r="E2055" t="inlineStr">
        <is>
          <t>Intensidad</t>
        </is>
      </c>
      <c r="F2055" t="n">
        <v>2e-06</v>
      </c>
    </row>
    <row r="2056">
      <c r="A2056" t="inlineStr">
        <is>
          <t>202606</t>
        </is>
      </c>
      <c r="B2056" t="inlineStr">
        <is>
          <t>Actual</t>
        </is>
      </c>
      <c r="C2056" t="inlineStr">
        <is>
          <t>Habitat</t>
        </is>
      </c>
      <c r="D2056" t="inlineStr">
        <is>
          <t>MSIM - Asia Opportunity</t>
        </is>
      </c>
      <c r="E2056" t="inlineStr">
        <is>
          <t>Inv MM$</t>
        </is>
      </c>
      <c r="F2056" t="n">
        <v>0.00024</v>
      </c>
    </row>
    <row r="2057">
      <c r="A2057" t="inlineStr">
        <is>
          <t>202606</t>
        </is>
      </c>
      <c r="B2057" t="inlineStr">
        <is>
          <t>Actual</t>
        </is>
      </c>
      <c r="C2057" t="inlineStr">
        <is>
          <t>Habitat</t>
        </is>
      </c>
      <c r="D2057" t="inlineStr">
        <is>
          <t>Man GLG - Continental European Growth</t>
        </is>
      </c>
      <c r="E2057" t="inlineStr">
        <is>
          <t>Huella</t>
        </is>
      </c>
      <c r="F2057" t="n">
        <v>0.00242</v>
      </c>
    </row>
    <row r="2058">
      <c r="A2058" t="inlineStr">
        <is>
          <t>202606</t>
        </is>
      </c>
      <c r="B2058" t="inlineStr">
        <is>
          <t>Actual</t>
        </is>
      </c>
      <c r="C2058" t="inlineStr">
        <is>
          <t>Habitat</t>
        </is>
      </c>
      <c r="D2058" t="inlineStr">
        <is>
          <t>Man GLG - Continental European Growth</t>
        </is>
      </c>
      <c r="E2058" t="inlineStr">
        <is>
          <t>Intensidad</t>
        </is>
      </c>
      <c r="F2058" t="n">
        <v>1e-06</v>
      </c>
    </row>
    <row r="2059">
      <c r="A2059" t="inlineStr">
        <is>
          <t>202606</t>
        </is>
      </c>
      <c r="B2059" t="inlineStr">
        <is>
          <t>Actual</t>
        </is>
      </c>
      <c r="C2059" t="inlineStr">
        <is>
          <t>Habitat</t>
        </is>
      </c>
      <c r="D2059" t="inlineStr">
        <is>
          <t>Man GLG - Continental European Growth</t>
        </is>
      </c>
      <c r="E2059" t="inlineStr">
        <is>
          <t>Inv MM$</t>
        </is>
      </c>
      <c r="F2059" t="n">
        <v>3.8e-05</v>
      </c>
    </row>
    <row r="2060">
      <c r="A2060" t="inlineStr">
        <is>
          <t>202606</t>
        </is>
      </c>
      <c r="B2060" t="inlineStr">
        <is>
          <t>Actual</t>
        </is>
      </c>
      <c r="C2060" t="inlineStr">
        <is>
          <t>Habitat</t>
        </is>
      </c>
      <c r="D2060" t="inlineStr">
        <is>
          <t>Mi Vivienda</t>
        </is>
      </c>
      <c r="E2060" t="inlineStr">
        <is>
          <t>Huella</t>
        </is>
      </c>
      <c r="F2060" t="n">
        <v>3.477988</v>
      </c>
    </row>
    <row r="2061">
      <c r="A2061" t="inlineStr">
        <is>
          <t>202606</t>
        </is>
      </c>
      <c r="B2061" t="inlineStr">
        <is>
          <t>Actual</t>
        </is>
      </c>
      <c r="C2061" t="inlineStr">
        <is>
          <t>Habitat</t>
        </is>
      </c>
      <c r="D2061" t="inlineStr">
        <is>
          <t>Mi Vivienda</t>
        </is>
      </c>
      <c r="E2061" t="inlineStr">
        <is>
          <t>Intensidad</t>
        </is>
      </c>
      <c r="F2061" t="n">
        <v>0.002535</v>
      </c>
    </row>
    <row r="2062">
      <c r="A2062" t="inlineStr">
        <is>
          <t>202606</t>
        </is>
      </c>
      <c r="B2062" t="inlineStr">
        <is>
          <t>Actual</t>
        </is>
      </c>
      <c r="C2062" t="inlineStr">
        <is>
          <t>Habitat</t>
        </is>
      </c>
      <c r="D2062" t="inlineStr">
        <is>
          <t>Mi Vivienda</t>
        </is>
      </c>
      <c r="E2062" t="inlineStr">
        <is>
          <t>Inv MM$</t>
        </is>
      </c>
      <c r="F2062" t="n">
        <v>11.219317</v>
      </c>
    </row>
    <row r="2063">
      <c r="A2063" t="inlineStr">
        <is>
          <t>202606</t>
        </is>
      </c>
      <c r="B2063" t="inlineStr">
        <is>
          <t>Actual</t>
        </is>
      </c>
      <c r="C2063" t="inlineStr">
        <is>
          <t>Habitat</t>
        </is>
      </c>
      <c r="D2063" t="inlineStr">
        <is>
          <t>Minsur</t>
        </is>
      </c>
      <c r="E2063" t="inlineStr">
        <is>
          <t>Huella</t>
        </is>
      </c>
      <c r="F2063" t="n">
        <v>21175.2643</v>
      </c>
    </row>
    <row r="2064">
      <c r="A2064" t="inlineStr">
        <is>
          <t>202606</t>
        </is>
      </c>
      <c r="B2064" t="inlineStr">
        <is>
          <t>Actual</t>
        </is>
      </c>
      <c r="C2064" t="inlineStr">
        <is>
          <t>Habitat</t>
        </is>
      </c>
      <c r="D2064" t="inlineStr">
        <is>
          <t>Minsur</t>
        </is>
      </c>
      <c r="E2064" t="inlineStr">
        <is>
          <t>Intensidad</t>
        </is>
      </c>
      <c r="F2064" t="n">
        <v>9.877503000000001</v>
      </c>
    </row>
    <row r="2065">
      <c r="A2065" t="inlineStr">
        <is>
          <t>202606</t>
        </is>
      </c>
      <c r="B2065" t="inlineStr">
        <is>
          <t>Actual</t>
        </is>
      </c>
      <c r="C2065" t="inlineStr">
        <is>
          <t>Habitat</t>
        </is>
      </c>
      <c r="D2065" t="inlineStr">
        <is>
          <t>Minsur</t>
        </is>
      </c>
      <c r="E2065" t="inlineStr">
        <is>
          <t>Inv MM$</t>
        </is>
      </c>
      <c r="F2065" t="n">
        <v>181.155482</v>
      </c>
    </row>
    <row r="2066">
      <c r="A2066" t="inlineStr">
        <is>
          <t>202606</t>
        </is>
      </c>
      <c r="B2066" t="inlineStr">
        <is>
          <t>Actual</t>
        </is>
      </c>
      <c r="C2066" t="inlineStr">
        <is>
          <t>Habitat</t>
        </is>
      </c>
      <c r="D2066" t="inlineStr">
        <is>
          <t>Nexa Resources</t>
        </is>
      </c>
      <c r="E2066" t="inlineStr">
        <is>
          <t>Huella</t>
        </is>
      </c>
      <c r="F2066" t="n">
        <v>6261.928195</v>
      </c>
    </row>
    <row r="2067">
      <c r="A2067" t="inlineStr">
        <is>
          <t>202606</t>
        </is>
      </c>
      <c r="B2067" t="inlineStr">
        <is>
          <t>Actual</t>
        </is>
      </c>
      <c r="C2067" t="inlineStr">
        <is>
          <t>Habitat</t>
        </is>
      </c>
      <c r="D2067" t="inlineStr">
        <is>
          <t>Nexa Resources</t>
        </is>
      </c>
      <c r="E2067" t="inlineStr">
        <is>
          <t>Intensidad</t>
        </is>
      </c>
      <c r="F2067" t="n">
        <v>2.946602</v>
      </c>
    </row>
    <row r="2068">
      <c r="A2068" t="inlineStr">
        <is>
          <t>202606</t>
        </is>
      </c>
      <c r="B2068" t="inlineStr">
        <is>
          <t>Actual</t>
        </is>
      </c>
      <c r="C2068" t="inlineStr">
        <is>
          <t>Habitat</t>
        </is>
      </c>
      <c r="D2068" t="inlineStr">
        <is>
          <t>Nexa Resources</t>
        </is>
      </c>
      <c r="E2068" t="inlineStr">
        <is>
          <t>Inv MM$</t>
        </is>
      </c>
      <c r="F2068" t="n">
        <v>30.265482</v>
      </c>
    </row>
    <row r="2069">
      <c r="A2069" t="inlineStr">
        <is>
          <t>202606</t>
        </is>
      </c>
      <c r="B2069" t="inlineStr">
        <is>
          <t>Actual</t>
        </is>
      </c>
      <c r="C2069" t="inlineStr">
        <is>
          <t>Habitat</t>
        </is>
      </c>
      <c r="D2069" t="inlineStr">
        <is>
          <t>Nexa Resources Perú</t>
        </is>
      </c>
      <c r="E2069" t="inlineStr">
        <is>
          <t>Huella</t>
        </is>
      </c>
      <c r="F2069" t="n">
        <v>1047.348403</v>
      </c>
    </row>
    <row r="2070">
      <c r="A2070" t="inlineStr">
        <is>
          <t>202606</t>
        </is>
      </c>
      <c r="B2070" t="inlineStr">
        <is>
          <t>Actual</t>
        </is>
      </c>
      <c r="C2070" t="inlineStr">
        <is>
          <t>Habitat</t>
        </is>
      </c>
      <c r="D2070" t="inlineStr">
        <is>
          <t>Nexa Resources Perú</t>
        </is>
      </c>
      <c r="E2070" t="inlineStr">
        <is>
          <t>Intensidad</t>
        </is>
      </c>
      <c r="F2070" t="n">
        <v>0.356899</v>
      </c>
    </row>
    <row r="2071">
      <c r="A2071" t="inlineStr">
        <is>
          <t>202606</t>
        </is>
      </c>
      <c r="B2071" t="inlineStr">
        <is>
          <t>Actual</t>
        </is>
      </c>
      <c r="C2071" t="inlineStr">
        <is>
          <t>Habitat</t>
        </is>
      </c>
      <c r="D2071" t="inlineStr">
        <is>
          <t>Nexa Resources Perú</t>
        </is>
      </c>
      <c r="E2071" t="inlineStr">
        <is>
          <t>Inv MM$</t>
        </is>
      </c>
      <c r="F2071" t="n">
        <v>6.248723</v>
      </c>
    </row>
    <row r="2072">
      <c r="A2072" t="inlineStr">
        <is>
          <t>202606</t>
        </is>
      </c>
      <c r="B2072" t="inlineStr">
        <is>
          <t>Actual</t>
        </is>
      </c>
      <c r="C2072" t="inlineStr">
        <is>
          <t>Habitat</t>
        </is>
      </c>
      <c r="D2072" t="inlineStr">
        <is>
          <t>Ninety One - Global Natural Resources Fund I</t>
        </is>
      </c>
      <c r="E2072" t="inlineStr">
        <is>
          <t>Huella</t>
        </is>
      </c>
      <c r="F2072" t="n">
        <v>2328.072017</v>
      </c>
    </row>
    <row r="2073">
      <c r="A2073" t="inlineStr">
        <is>
          <t>202606</t>
        </is>
      </c>
      <c r="B2073" t="inlineStr">
        <is>
          <t>Actual</t>
        </is>
      </c>
      <c r="C2073" t="inlineStr">
        <is>
          <t>Habitat</t>
        </is>
      </c>
      <c r="D2073" t="inlineStr">
        <is>
          <t>Ninety One - Global Natural Resources Fund I</t>
        </is>
      </c>
      <c r="E2073" t="inlineStr">
        <is>
          <t>Intensidad</t>
        </is>
      </c>
      <c r="F2073" t="n">
        <v>1.343022</v>
      </c>
    </row>
    <row r="2074">
      <c r="A2074" t="inlineStr">
        <is>
          <t>202606</t>
        </is>
      </c>
      <c r="B2074" t="inlineStr">
        <is>
          <t>Actual</t>
        </is>
      </c>
      <c r="C2074" t="inlineStr">
        <is>
          <t>Habitat</t>
        </is>
      </c>
      <c r="D2074" t="inlineStr">
        <is>
          <t>Ninety One - Global Natural Resources Fund I</t>
        </is>
      </c>
      <c r="E2074" t="inlineStr">
        <is>
          <t>Inv MM$</t>
        </is>
      </c>
      <c r="F2074" t="n">
        <v>8.323243</v>
      </c>
    </row>
    <row r="2075">
      <c r="A2075" t="inlineStr">
        <is>
          <t>202606</t>
        </is>
      </c>
      <c r="B2075" t="inlineStr">
        <is>
          <t>Actual</t>
        </is>
      </c>
      <c r="C2075" t="inlineStr">
        <is>
          <t>Habitat</t>
        </is>
      </c>
      <c r="D2075" t="inlineStr">
        <is>
          <t>Nomura - Indian Equity</t>
        </is>
      </c>
      <c r="E2075" t="inlineStr">
        <is>
          <t>Huella</t>
        </is>
      </c>
      <c r="F2075" t="n">
        <v>0.117606</v>
      </c>
    </row>
    <row r="2076">
      <c r="A2076" t="inlineStr">
        <is>
          <t>202606</t>
        </is>
      </c>
      <c r="B2076" t="inlineStr">
        <is>
          <t>Actual</t>
        </is>
      </c>
      <c r="C2076" t="inlineStr">
        <is>
          <t>Habitat</t>
        </is>
      </c>
      <c r="D2076" t="inlineStr">
        <is>
          <t>Nomura - Indian Equity</t>
        </is>
      </c>
      <c r="E2076" t="inlineStr">
        <is>
          <t>Intensidad</t>
        </is>
      </c>
      <c r="F2076" t="n">
        <v>0.000125</v>
      </c>
    </row>
    <row r="2077">
      <c r="A2077" t="inlineStr">
        <is>
          <t>202606</t>
        </is>
      </c>
      <c r="B2077" t="inlineStr">
        <is>
          <t>Actual</t>
        </is>
      </c>
      <c r="C2077" t="inlineStr">
        <is>
          <t>Habitat</t>
        </is>
      </c>
      <c r="D2077" t="inlineStr">
        <is>
          <t>Nomura - Indian Equity</t>
        </is>
      </c>
      <c r="E2077" t="inlineStr">
        <is>
          <t>Inv MM$</t>
        </is>
      </c>
      <c r="F2077" t="n">
        <v>0.0009859999999999999</v>
      </c>
    </row>
    <row r="2078">
      <c r="A2078" t="inlineStr">
        <is>
          <t>202606</t>
        </is>
      </c>
      <c r="B2078" t="inlineStr">
        <is>
          <t>Actual</t>
        </is>
      </c>
      <c r="C2078" t="inlineStr">
        <is>
          <t>Habitat</t>
        </is>
      </c>
      <c r="D2078" t="inlineStr">
        <is>
          <t>Nomura - US High Yield Bond Fund</t>
        </is>
      </c>
      <c r="E2078" t="inlineStr">
        <is>
          <t>Huella</t>
        </is>
      </c>
      <c r="F2078" t="n">
        <v>0.144747</v>
      </c>
    </row>
    <row r="2079">
      <c r="A2079" t="inlineStr">
        <is>
          <t>202606</t>
        </is>
      </c>
      <c r="B2079" t="inlineStr">
        <is>
          <t>Actual</t>
        </is>
      </c>
      <c r="C2079" t="inlineStr">
        <is>
          <t>Habitat</t>
        </is>
      </c>
      <c r="D2079" t="inlineStr">
        <is>
          <t>Nomura - US High Yield Bond Fund</t>
        </is>
      </c>
      <c r="E2079" t="inlineStr">
        <is>
          <t>Intensidad</t>
        </is>
      </c>
      <c r="F2079" t="n">
        <v>0.000179</v>
      </c>
    </row>
    <row r="2080">
      <c r="A2080" t="inlineStr">
        <is>
          <t>202606</t>
        </is>
      </c>
      <c r="B2080" t="inlineStr">
        <is>
          <t>Actual</t>
        </is>
      </c>
      <c r="C2080" t="inlineStr">
        <is>
          <t>Habitat</t>
        </is>
      </c>
      <c r="D2080" t="inlineStr">
        <is>
          <t>Nomura - US High Yield Bond Fund</t>
        </is>
      </c>
      <c r="E2080" t="inlineStr">
        <is>
          <t>Inv MM$</t>
        </is>
      </c>
      <c r="F2080" t="n">
        <v>0.001183</v>
      </c>
    </row>
    <row r="2081">
      <c r="A2081" t="inlineStr">
        <is>
          <t>202606</t>
        </is>
      </c>
      <c r="B2081" t="inlineStr">
        <is>
          <t>Actual</t>
        </is>
      </c>
      <c r="C2081" t="inlineStr">
        <is>
          <t>Habitat</t>
        </is>
      </c>
      <c r="D2081" t="inlineStr">
        <is>
          <t>Northern Trust - EM Hard Currency</t>
        </is>
      </c>
      <c r="E2081" t="inlineStr">
        <is>
          <t>Huella</t>
        </is>
      </c>
      <c r="F2081" t="n">
        <v>603.955555</v>
      </c>
    </row>
    <row r="2082">
      <c r="A2082" t="inlineStr">
        <is>
          <t>202606</t>
        </is>
      </c>
      <c r="B2082" t="inlineStr">
        <is>
          <t>Actual</t>
        </is>
      </c>
      <c r="C2082" t="inlineStr">
        <is>
          <t>Habitat</t>
        </is>
      </c>
      <c r="D2082" t="inlineStr">
        <is>
          <t>Northern Trust - EM Hard Currency</t>
        </is>
      </c>
      <c r="E2082" t="inlineStr">
        <is>
          <t>Intensidad</t>
        </is>
      </c>
      <c r="F2082" t="n">
        <v>1.20256</v>
      </c>
    </row>
    <row r="2083">
      <c r="A2083" t="inlineStr">
        <is>
          <t>202606</t>
        </is>
      </c>
      <c r="B2083" t="inlineStr">
        <is>
          <t>Actual</t>
        </is>
      </c>
      <c r="C2083" t="inlineStr">
        <is>
          <t>Habitat</t>
        </is>
      </c>
      <c r="D2083" t="inlineStr">
        <is>
          <t>Northern Trust - EM Hard Currency</t>
        </is>
      </c>
      <c r="E2083" t="inlineStr">
        <is>
          <t>Inv MM$</t>
        </is>
      </c>
      <c r="F2083" t="n">
        <v>1.988047</v>
      </c>
    </row>
    <row r="2084">
      <c r="A2084" t="inlineStr">
        <is>
          <t>202606</t>
        </is>
      </c>
      <c r="B2084" t="inlineStr">
        <is>
          <t>Actual</t>
        </is>
      </c>
      <c r="C2084" t="inlineStr">
        <is>
          <t>Habitat</t>
        </is>
      </c>
      <c r="D2084" t="inlineStr">
        <is>
          <t>PIMCO - Asia High Yield Bond Fund</t>
        </is>
      </c>
      <c r="E2084" t="inlineStr">
        <is>
          <t>Huella</t>
        </is>
      </c>
      <c r="F2084" t="n">
        <v>0.016695</v>
      </c>
    </row>
    <row r="2085">
      <c r="A2085" t="inlineStr">
        <is>
          <t>202606</t>
        </is>
      </c>
      <c r="B2085" t="inlineStr">
        <is>
          <t>Actual</t>
        </is>
      </c>
      <c r="C2085" t="inlineStr">
        <is>
          <t>Habitat</t>
        </is>
      </c>
      <c r="D2085" t="inlineStr">
        <is>
          <t>PIMCO - Asia High Yield Bond Fund</t>
        </is>
      </c>
      <c r="E2085" t="inlineStr">
        <is>
          <t>Intensidad</t>
        </is>
      </c>
      <c r="F2085" t="n">
        <v>1.5e-05</v>
      </c>
    </row>
    <row r="2086">
      <c r="A2086" t="inlineStr">
        <is>
          <t>202606</t>
        </is>
      </c>
      <c r="B2086" t="inlineStr">
        <is>
          <t>Actual</t>
        </is>
      </c>
      <c r="C2086" t="inlineStr">
        <is>
          <t>Habitat</t>
        </is>
      </c>
      <c r="D2086" t="inlineStr">
        <is>
          <t>PIMCO - Asia High Yield Bond Fund</t>
        </is>
      </c>
      <c r="E2086" t="inlineStr">
        <is>
          <t>Inv MM$</t>
        </is>
      </c>
      <c r="F2086" t="n">
        <v>3.5e-05</v>
      </c>
    </row>
    <row r="2087">
      <c r="A2087" t="inlineStr">
        <is>
          <t>202606</t>
        </is>
      </c>
      <c r="B2087" t="inlineStr">
        <is>
          <t>Actual</t>
        </is>
      </c>
      <c r="C2087" t="inlineStr">
        <is>
          <t>Habitat</t>
        </is>
      </c>
      <c r="D2087" t="inlineStr">
        <is>
          <t>Parvest - USA Small Cap</t>
        </is>
      </c>
      <c r="E2087" t="inlineStr">
        <is>
          <t>Huella</t>
        </is>
      </c>
      <c r="F2087" t="n">
        <v>4.852138</v>
      </c>
    </row>
    <row r="2088">
      <c r="A2088" t="inlineStr">
        <is>
          <t>202606</t>
        </is>
      </c>
      <c r="B2088" t="inlineStr">
        <is>
          <t>Actual</t>
        </is>
      </c>
      <c r="C2088" t="inlineStr">
        <is>
          <t>Habitat</t>
        </is>
      </c>
      <c r="D2088" t="inlineStr">
        <is>
          <t>Parvest - USA Small Cap</t>
        </is>
      </c>
      <c r="E2088" t="inlineStr">
        <is>
          <t>Intensidad</t>
        </is>
      </c>
      <c r="F2088" t="n">
        <v>0.005429</v>
      </c>
    </row>
    <row r="2089">
      <c r="A2089" t="inlineStr">
        <is>
          <t>202606</t>
        </is>
      </c>
      <c r="B2089" t="inlineStr">
        <is>
          <t>Actual</t>
        </is>
      </c>
      <c r="C2089" t="inlineStr">
        <is>
          <t>Habitat</t>
        </is>
      </c>
      <c r="D2089" t="inlineStr">
        <is>
          <t>Parvest - USA Small Cap</t>
        </is>
      </c>
      <c r="E2089" t="inlineStr">
        <is>
          <t>Inv MM$</t>
        </is>
      </c>
      <c r="F2089" t="n">
        <v>0.13577</v>
      </c>
    </row>
    <row r="2090">
      <c r="A2090" t="inlineStr">
        <is>
          <t>202606</t>
        </is>
      </c>
      <c r="B2090" t="inlineStr">
        <is>
          <t>Actual</t>
        </is>
      </c>
      <c r="C2090" t="inlineStr">
        <is>
          <t>Habitat</t>
        </is>
      </c>
      <c r="D2090" t="inlineStr">
        <is>
          <t>Perú LNG</t>
        </is>
      </c>
      <c r="E2090" t="inlineStr">
        <is>
          <t>Huella</t>
        </is>
      </c>
      <c r="F2090" t="n">
        <v>0</v>
      </c>
    </row>
    <row r="2091">
      <c r="A2091" t="inlineStr">
        <is>
          <t>202606</t>
        </is>
      </c>
      <c r="B2091" t="inlineStr">
        <is>
          <t>Actual</t>
        </is>
      </c>
      <c r="C2091" t="inlineStr">
        <is>
          <t>Habitat</t>
        </is>
      </c>
      <c r="D2091" t="inlineStr">
        <is>
          <t>Perú LNG</t>
        </is>
      </c>
      <c r="E2091" t="inlineStr">
        <is>
          <t>Intensidad</t>
        </is>
      </c>
      <c r="F2091" t="n">
        <v>0</v>
      </c>
    </row>
    <row r="2092">
      <c r="A2092" t="inlineStr">
        <is>
          <t>202606</t>
        </is>
      </c>
      <c r="B2092" t="inlineStr">
        <is>
          <t>Actual</t>
        </is>
      </c>
      <c r="C2092" t="inlineStr">
        <is>
          <t>Habitat</t>
        </is>
      </c>
      <c r="D2092" t="inlineStr">
        <is>
          <t>Perú LNG</t>
        </is>
      </c>
      <c r="E2092" t="inlineStr">
        <is>
          <t>Inv MM$</t>
        </is>
      </c>
      <c r="F2092" t="n">
        <v>0</v>
      </c>
    </row>
    <row r="2093">
      <c r="A2093" t="inlineStr">
        <is>
          <t>202606</t>
        </is>
      </c>
      <c r="B2093" t="inlineStr">
        <is>
          <t>Actual</t>
        </is>
      </c>
      <c r="C2093" t="inlineStr">
        <is>
          <t>Habitat</t>
        </is>
      </c>
      <c r="D2093" t="inlineStr">
        <is>
          <t>Pictet - Digital</t>
        </is>
      </c>
      <c r="E2093" t="inlineStr">
        <is>
          <t>Huella</t>
        </is>
      </c>
      <c r="F2093" t="n">
        <v>100.52921</v>
      </c>
    </row>
    <row r="2094">
      <c r="A2094" t="inlineStr">
        <is>
          <t>202606</t>
        </is>
      </c>
      <c r="B2094" t="inlineStr">
        <is>
          <t>Actual</t>
        </is>
      </c>
      <c r="C2094" t="inlineStr">
        <is>
          <t>Habitat</t>
        </is>
      </c>
      <c r="D2094" t="inlineStr">
        <is>
          <t>Pictet - Digital</t>
        </is>
      </c>
      <c r="E2094" t="inlineStr">
        <is>
          <t>Intensidad</t>
        </is>
      </c>
      <c r="F2094" t="n">
        <v>0.036215</v>
      </c>
    </row>
    <row r="2095">
      <c r="A2095" t="inlineStr">
        <is>
          <t>202606</t>
        </is>
      </c>
      <c r="B2095" t="inlineStr">
        <is>
          <t>Actual</t>
        </is>
      </c>
      <c r="C2095" t="inlineStr">
        <is>
          <t>Habitat</t>
        </is>
      </c>
      <c r="D2095" t="inlineStr">
        <is>
          <t>Pictet - Digital</t>
        </is>
      </c>
      <c r="E2095" t="inlineStr">
        <is>
          <t>Inv MM$</t>
        </is>
      </c>
      <c r="F2095" t="n">
        <v>28.178212</v>
      </c>
    </row>
    <row r="2096">
      <c r="A2096" t="inlineStr">
        <is>
          <t>202606</t>
        </is>
      </c>
      <c r="B2096" t="inlineStr">
        <is>
          <t>Actual</t>
        </is>
      </c>
      <c r="C2096" t="inlineStr">
        <is>
          <t>Habitat</t>
        </is>
      </c>
      <c r="D2096" t="inlineStr">
        <is>
          <t>Pimco - 25+ Zero coupon US Treasury ETF</t>
        </is>
      </c>
      <c r="E2096" t="inlineStr">
        <is>
          <t>Huella</t>
        </is>
      </c>
      <c r="F2096" t="n">
        <v>664.974634</v>
      </c>
    </row>
    <row r="2097">
      <c r="A2097" t="inlineStr">
        <is>
          <t>202606</t>
        </is>
      </c>
      <c r="B2097" t="inlineStr">
        <is>
          <t>Actual</t>
        </is>
      </c>
      <c r="C2097" t="inlineStr">
        <is>
          <t>Habitat</t>
        </is>
      </c>
      <c r="D2097" t="inlineStr">
        <is>
          <t>Pimco - 25+ Zero coupon US Treasury ETF</t>
        </is>
      </c>
      <c r="E2097" t="inlineStr">
        <is>
          <t>Intensidad</t>
        </is>
      </c>
      <c r="F2097" t="n">
        <v>0.162387</v>
      </c>
    </row>
    <row r="2098">
      <c r="A2098" t="inlineStr">
        <is>
          <t>202606</t>
        </is>
      </c>
      <c r="B2098" t="inlineStr">
        <is>
          <t>Actual</t>
        </is>
      </c>
      <c r="C2098" t="inlineStr">
        <is>
          <t>Habitat</t>
        </is>
      </c>
      <c r="D2098" t="inlineStr">
        <is>
          <t>Pimco - 25+ Zero coupon US Treasury ETF</t>
        </is>
      </c>
      <c r="E2098" t="inlineStr">
        <is>
          <t>Inv MM$</t>
        </is>
      </c>
      <c r="F2098" t="n">
        <v>3.282338</v>
      </c>
    </row>
    <row r="2099">
      <c r="A2099" t="inlineStr">
        <is>
          <t>202606</t>
        </is>
      </c>
      <c r="B2099" t="inlineStr">
        <is>
          <t>Actual</t>
        </is>
      </c>
      <c r="C2099" t="inlineStr">
        <is>
          <t>Habitat</t>
        </is>
      </c>
      <c r="D2099" t="inlineStr">
        <is>
          <t>Pimco - Emerging Markets Local Bond Fund</t>
        </is>
      </c>
      <c r="E2099" t="inlineStr">
        <is>
          <t>Huella</t>
        </is>
      </c>
      <c r="F2099" t="n">
        <v>2549.059409</v>
      </c>
    </row>
    <row r="2100">
      <c r="A2100" t="inlineStr">
        <is>
          <t>202606</t>
        </is>
      </c>
      <c r="B2100" t="inlineStr">
        <is>
          <t>Actual</t>
        </is>
      </c>
      <c r="C2100" t="inlineStr">
        <is>
          <t>Habitat</t>
        </is>
      </c>
      <c r="D2100" t="inlineStr">
        <is>
          <t>Pimco - Emerging Markets Local Bond Fund</t>
        </is>
      </c>
      <c r="E2100" t="inlineStr">
        <is>
          <t>Intensidad</t>
        </is>
      </c>
      <c r="F2100" t="n">
        <v>2.12241</v>
      </c>
    </row>
    <row r="2101">
      <c r="A2101" t="inlineStr">
        <is>
          <t>202606</t>
        </is>
      </c>
      <c r="B2101" t="inlineStr">
        <is>
          <t>Actual</t>
        </is>
      </c>
      <c r="C2101" t="inlineStr">
        <is>
          <t>Habitat</t>
        </is>
      </c>
      <c r="D2101" t="inlineStr">
        <is>
          <t>Pimco - Emerging Markets Local Bond Fund</t>
        </is>
      </c>
      <c r="E2101" t="inlineStr">
        <is>
          <t>Inv MM$</t>
        </is>
      </c>
      <c r="F2101" t="n">
        <v>27.931192</v>
      </c>
    </row>
    <row r="2102">
      <c r="A2102" t="inlineStr">
        <is>
          <t>202606</t>
        </is>
      </c>
      <c r="B2102" t="inlineStr">
        <is>
          <t>Actual</t>
        </is>
      </c>
      <c r="C2102" t="inlineStr">
        <is>
          <t>Habitat</t>
        </is>
      </c>
      <c r="D2102" t="inlineStr">
        <is>
          <t>Pimco - Global High Yield Bond Fund</t>
        </is>
      </c>
      <c r="E2102" t="inlineStr">
        <is>
          <t>Huella</t>
        </is>
      </c>
      <c r="F2102" t="n">
        <v>0.002828</v>
      </c>
    </row>
    <row r="2103">
      <c r="A2103" t="inlineStr">
        <is>
          <t>202606</t>
        </is>
      </c>
      <c r="B2103" t="inlineStr">
        <is>
          <t>Actual</t>
        </is>
      </c>
      <c r="C2103" t="inlineStr">
        <is>
          <t>Habitat</t>
        </is>
      </c>
      <c r="D2103" t="inlineStr">
        <is>
          <t>Pimco - Global High Yield Bond Fund</t>
        </is>
      </c>
      <c r="E2103" t="inlineStr">
        <is>
          <t>Intensidad</t>
        </is>
      </c>
      <c r="F2103" t="n">
        <v>6e-06</v>
      </c>
    </row>
    <row r="2104">
      <c r="A2104" t="inlineStr">
        <is>
          <t>202606</t>
        </is>
      </c>
      <c r="B2104" t="inlineStr">
        <is>
          <t>Actual</t>
        </is>
      </c>
      <c r="C2104" t="inlineStr">
        <is>
          <t>Habitat</t>
        </is>
      </c>
      <c r="D2104" t="inlineStr">
        <is>
          <t>Pimco - Global High Yield Bond Fund</t>
        </is>
      </c>
      <c r="E2104" t="inlineStr">
        <is>
          <t>Inv MM$</t>
        </is>
      </c>
      <c r="F2104" t="n">
        <v>3.1e-05</v>
      </c>
    </row>
    <row r="2105">
      <c r="A2105" t="inlineStr">
        <is>
          <t>202606</t>
        </is>
      </c>
      <c r="B2105" t="inlineStr">
        <is>
          <t>Actual</t>
        </is>
      </c>
      <c r="C2105" t="inlineStr">
        <is>
          <t>Habitat</t>
        </is>
      </c>
      <c r="D2105" t="inlineStr">
        <is>
          <t>Rams UT - India Equities Portfolio Fund II</t>
        </is>
      </c>
      <c r="E2105" t="inlineStr">
        <is>
          <t>Huella</t>
        </is>
      </c>
      <c r="F2105" t="n">
        <v>0.147453</v>
      </c>
    </row>
    <row r="2106">
      <c r="A2106" t="inlineStr">
        <is>
          <t>202606</t>
        </is>
      </c>
      <c r="B2106" t="inlineStr">
        <is>
          <t>Actual</t>
        </is>
      </c>
      <c r="C2106" t="inlineStr">
        <is>
          <t>Habitat</t>
        </is>
      </c>
      <c r="D2106" t="inlineStr">
        <is>
          <t>Rams UT - India Equities Portfolio Fund II</t>
        </is>
      </c>
      <c r="E2106" t="inlineStr">
        <is>
          <t>Intensidad</t>
        </is>
      </c>
      <c r="F2106" t="n">
        <v>0.000132</v>
      </c>
    </row>
    <row r="2107">
      <c r="A2107" t="inlineStr">
        <is>
          <t>202606</t>
        </is>
      </c>
      <c r="B2107" t="inlineStr">
        <is>
          <t>Actual</t>
        </is>
      </c>
      <c r="C2107" t="inlineStr">
        <is>
          <t>Habitat</t>
        </is>
      </c>
      <c r="D2107" t="inlineStr">
        <is>
          <t>Rams UT - India Equities Portfolio Fund II</t>
        </is>
      </c>
      <c r="E2107" t="inlineStr">
        <is>
          <t>Inv MM$</t>
        </is>
      </c>
      <c r="F2107" t="n">
        <v>0.000739</v>
      </c>
    </row>
    <row r="2108">
      <c r="A2108" t="inlineStr">
        <is>
          <t>202606</t>
        </is>
      </c>
      <c r="B2108" t="inlineStr">
        <is>
          <t>Actual</t>
        </is>
      </c>
      <c r="C2108" t="inlineStr">
        <is>
          <t>Habitat</t>
        </is>
      </c>
      <c r="D2108" t="inlineStr">
        <is>
          <t>Red de Energía del Perú</t>
        </is>
      </c>
      <c r="E2108" t="inlineStr">
        <is>
          <t>Huella</t>
        </is>
      </c>
      <c r="F2108" t="n">
        <v>3.642144</v>
      </c>
    </row>
    <row r="2109">
      <c r="A2109" t="inlineStr">
        <is>
          <t>202606</t>
        </is>
      </c>
      <c r="B2109" t="inlineStr">
        <is>
          <t>Actual</t>
        </is>
      </c>
      <c r="C2109" t="inlineStr">
        <is>
          <t>Habitat</t>
        </is>
      </c>
      <c r="D2109" t="inlineStr">
        <is>
          <t>Red de Energía del Perú</t>
        </is>
      </c>
      <c r="E2109" t="inlineStr">
        <is>
          <t>Intensidad</t>
        </is>
      </c>
      <c r="F2109" t="n">
        <v>0.003339</v>
      </c>
    </row>
    <row r="2110">
      <c r="A2110" t="inlineStr">
        <is>
          <t>202606</t>
        </is>
      </c>
      <c r="B2110" t="inlineStr">
        <is>
          <t>Actual</t>
        </is>
      </c>
      <c r="C2110" t="inlineStr">
        <is>
          <t>Habitat</t>
        </is>
      </c>
      <c r="D2110" t="inlineStr">
        <is>
          <t>Red de Energía del Perú</t>
        </is>
      </c>
      <c r="E2110" t="inlineStr">
        <is>
          <t>Inv MM$</t>
        </is>
      </c>
      <c r="F2110" t="n">
        <v>0.139492</v>
      </c>
    </row>
    <row r="2111">
      <c r="A2111" t="inlineStr">
        <is>
          <t>202606</t>
        </is>
      </c>
      <c r="B2111" t="inlineStr">
        <is>
          <t>Actual</t>
        </is>
      </c>
      <c r="C2111" t="inlineStr">
        <is>
          <t>Habitat</t>
        </is>
      </c>
      <c r="D2111" t="inlineStr">
        <is>
          <t>Robeco - Chinese Equities</t>
        </is>
      </c>
      <c r="E2111" t="inlineStr">
        <is>
          <t>Huella</t>
        </is>
      </c>
      <c r="F2111" t="n">
        <v>23.685159</v>
      </c>
    </row>
    <row r="2112">
      <c r="A2112" t="inlineStr">
        <is>
          <t>202606</t>
        </is>
      </c>
      <c r="B2112" t="inlineStr">
        <is>
          <t>Actual</t>
        </is>
      </c>
      <c r="C2112" t="inlineStr">
        <is>
          <t>Habitat</t>
        </is>
      </c>
      <c r="D2112" t="inlineStr">
        <is>
          <t>Robeco - Chinese Equities</t>
        </is>
      </c>
      <c r="E2112" t="inlineStr">
        <is>
          <t>Intensidad</t>
        </is>
      </c>
      <c r="F2112" t="n">
        <v>0.01365</v>
      </c>
    </row>
    <row r="2113">
      <c r="A2113" t="inlineStr">
        <is>
          <t>202606</t>
        </is>
      </c>
      <c r="B2113" t="inlineStr">
        <is>
          <t>Actual</t>
        </is>
      </c>
      <c r="C2113" t="inlineStr">
        <is>
          <t>Habitat</t>
        </is>
      </c>
      <c r="D2113" t="inlineStr">
        <is>
          <t>Robeco - Chinese Equities</t>
        </is>
      </c>
      <c r="E2113" t="inlineStr">
        <is>
          <t>Inv MM$</t>
        </is>
      </c>
      <c r="F2113" t="n">
        <v>0.308354</v>
      </c>
    </row>
    <row r="2114">
      <c r="A2114" t="inlineStr">
        <is>
          <t>202606</t>
        </is>
      </c>
      <c r="B2114" t="inlineStr">
        <is>
          <t>Actual</t>
        </is>
      </c>
      <c r="C2114" t="inlineStr">
        <is>
          <t>Habitat</t>
        </is>
      </c>
      <c r="D2114" t="inlineStr">
        <is>
          <t>Robeco - Consumer Trends</t>
        </is>
      </c>
      <c r="E2114" t="inlineStr">
        <is>
          <t>Huella</t>
        </is>
      </c>
      <c r="F2114" t="n">
        <v>0.422653</v>
      </c>
    </row>
    <row r="2115">
      <c r="A2115" t="inlineStr">
        <is>
          <t>202606</t>
        </is>
      </c>
      <c r="B2115" t="inlineStr">
        <is>
          <t>Actual</t>
        </is>
      </c>
      <c r="C2115" t="inlineStr">
        <is>
          <t>Habitat</t>
        </is>
      </c>
      <c r="D2115" t="inlineStr">
        <is>
          <t>Robeco - Consumer Trends</t>
        </is>
      </c>
      <c r="E2115" t="inlineStr">
        <is>
          <t>Intensidad</t>
        </is>
      </c>
      <c r="F2115" t="n">
        <v>0.000242</v>
      </c>
    </row>
    <row r="2116">
      <c r="A2116" t="inlineStr">
        <is>
          <t>202606</t>
        </is>
      </c>
      <c r="B2116" t="inlineStr">
        <is>
          <t>Actual</t>
        </is>
      </c>
      <c r="C2116" t="inlineStr">
        <is>
          <t>Habitat</t>
        </is>
      </c>
      <c r="D2116" t="inlineStr">
        <is>
          <t>Robeco - Consumer Trends</t>
        </is>
      </c>
      <c r="E2116" t="inlineStr">
        <is>
          <t>Inv MM$</t>
        </is>
      </c>
      <c r="F2116" t="n">
        <v>0.067661</v>
      </c>
    </row>
    <row r="2117">
      <c r="A2117" t="inlineStr">
        <is>
          <t>202606</t>
        </is>
      </c>
      <c r="B2117" t="inlineStr">
        <is>
          <t>Actual</t>
        </is>
      </c>
      <c r="C2117" t="inlineStr">
        <is>
          <t>Habitat</t>
        </is>
      </c>
      <c r="D2117" t="inlineStr">
        <is>
          <t>Roundhill Memory ETF</t>
        </is>
      </c>
      <c r="E2117" t="inlineStr">
        <is>
          <t>Huella</t>
        </is>
      </c>
      <c r="F2117" t="n">
        <v>1467.238651</v>
      </c>
    </row>
    <row r="2118">
      <c r="A2118" t="inlineStr">
        <is>
          <t>202606</t>
        </is>
      </c>
      <c r="B2118" t="inlineStr">
        <is>
          <t>Actual</t>
        </is>
      </c>
      <c r="C2118" t="inlineStr">
        <is>
          <t>Habitat</t>
        </is>
      </c>
      <c r="D2118" t="inlineStr">
        <is>
          <t>Roundhill Memory ETF</t>
        </is>
      </c>
      <c r="E2118" t="inlineStr">
        <is>
          <t>Intensidad</t>
        </is>
      </c>
      <c r="F2118" t="n">
        <v>0.50499</v>
      </c>
    </row>
    <row r="2119">
      <c r="A2119" t="inlineStr">
        <is>
          <t>202606</t>
        </is>
      </c>
      <c r="B2119" t="inlineStr">
        <is>
          <t>Actual</t>
        </is>
      </c>
      <c r="C2119" t="inlineStr">
        <is>
          <t>Habitat</t>
        </is>
      </c>
      <c r="D2119" t="inlineStr">
        <is>
          <t>Roundhill Memory ETF</t>
        </is>
      </c>
      <c r="E2119" t="inlineStr">
        <is>
          <t>Inv MM$</t>
        </is>
      </c>
      <c r="F2119" t="n">
        <v>54.733456</v>
      </c>
    </row>
    <row r="2120">
      <c r="A2120" t="inlineStr">
        <is>
          <t>202606</t>
        </is>
      </c>
      <c r="B2120" t="inlineStr">
        <is>
          <t>Actual</t>
        </is>
      </c>
      <c r="C2120" t="inlineStr">
        <is>
          <t>Habitat</t>
        </is>
      </c>
      <c r="D2120" t="inlineStr">
        <is>
          <t>SSGA - Bloomberg Barclays Convertible Securities</t>
        </is>
      </c>
      <c r="E2120" t="inlineStr">
        <is>
          <t>Huella</t>
        </is>
      </c>
      <c r="F2120" t="n">
        <v>5036.666591</v>
      </c>
    </row>
    <row r="2121">
      <c r="A2121" t="inlineStr">
        <is>
          <t>202606</t>
        </is>
      </c>
      <c r="B2121" t="inlineStr">
        <is>
          <t>Actual</t>
        </is>
      </c>
      <c r="C2121" t="inlineStr">
        <is>
          <t>Habitat</t>
        </is>
      </c>
      <c r="D2121" t="inlineStr">
        <is>
          <t>SSGA - Bloomberg Barclays Convertible Securities</t>
        </is>
      </c>
      <c r="E2121" t="inlineStr">
        <is>
          <t>Intensidad</t>
        </is>
      </c>
      <c r="F2121" t="n">
        <v>1.415033</v>
      </c>
    </row>
    <row r="2122">
      <c r="A2122" t="inlineStr">
        <is>
          <t>202606</t>
        </is>
      </c>
      <c r="B2122" t="inlineStr">
        <is>
          <t>Actual</t>
        </is>
      </c>
      <c r="C2122" t="inlineStr">
        <is>
          <t>Habitat</t>
        </is>
      </c>
      <c r="D2122" t="inlineStr">
        <is>
          <t>SSGA - Bloomberg Barclays Convertible Securities</t>
        </is>
      </c>
      <c r="E2122" t="inlineStr">
        <is>
          <t>Inv MM$</t>
        </is>
      </c>
      <c r="F2122" t="n">
        <v>108.216091</v>
      </c>
    </row>
    <row r="2123">
      <c r="A2123" t="inlineStr">
        <is>
          <t>202606</t>
        </is>
      </c>
      <c r="B2123" t="inlineStr">
        <is>
          <t>Actual</t>
        </is>
      </c>
      <c r="C2123" t="inlineStr">
        <is>
          <t>Habitat</t>
        </is>
      </c>
      <c r="D2123" t="inlineStr">
        <is>
          <t>Santander - Latin America Corporate Bond</t>
        </is>
      </c>
      <c r="E2123" t="inlineStr">
        <is>
          <t>Huella</t>
        </is>
      </c>
      <c r="F2123" t="n">
        <v>1.402238</v>
      </c>
    </row>
    <row r="2124">
      <c r="A2124" t="inlineStr">
        <is>
          <t>202606</t>
        </is>
      </c>
      <c r="B2124" t="inlineStr">
        <is>
          <t>Actual</t>
        </is>
      </c>
      <c r="C2124" t="inlineStr">
        <is>
          <t>Habitat</t>
        </is>
      </c>
      <c r="D2124" t="inlineStr">
        <is>
          <t>Santander - Latin America Corporate Bond</t>
        </is>
      </c>
      <c r="E2124" t="inlineStr">
        <is>
          <t>Intensidad</t>
        </is>
      </c>
      <c r="F2124" t="n">
        <v>0.001718</v>
      </c>
    </row>
    <row r="2125">
      <c r="A2125" t="inlineStr">
        <is>
          <t>202606</t>
        </is>
      </c>
      <c r="B2125" t="inlineStr">
        <is>
          <t>Actual</t>
        </is>
      </c>
      <c r="C2125" t="inlineStr">
        <is>
          <t>Habitat</t>
        </is>
      </c>
      <c r="D2125" t="inlineStr">
        <is>
          <t>Santander - Latin America Corporate Bond</t>
        </is>
      </c>
      <c r="E2125" t="inlineStr">
        <is>
          <t>Inv MM$</t>
        </is>
      </c>
      <c r="F2125" t="n">
        <v>0.007327</v>
      </c>
    </row>
    <row r="2126">
      <c r="A2126" t="inlineStr">
        <is>
          <t>202606</t>
        </is>
      </c>
      <c r="B2126" t="inlineStr">
        <is>
          <t>Actual</t>
        </is>
      </c>
      <c r="C2126" t="inlineStr">
        <is>
          <t>Habitat</t>
        </is>
      </c>
      <c r="D2126" t="inlineStr">
        <is>
          <t>Schroder - International Selection Fund China A</t>
        </is>
      </c>
      <c r="E2126" t="inlineStr">
        <is>
          <t>Huella</t>
        </is>
      </c>
      <c r="F2126" t="n">
        <v>0.052134</v>
      </c>
    </row>
    <row r="2127">
      <c r="A2127" t="inlineStr">
        <is>
          <t>202606</t>
        </is>
      </c>
      <c r="B2127" t="inlineStr">
        <is>
          <t>Actual</t>
        </is>
      </c>
      <c r="C2127" t="inlineStr">
        <is>
          <t>Habitat</t>
        </is>
      </c>
      <c r="D2127" t="inlineStr">
        <is>
          <t>Schroder - International Selection Fund China A</t>
        </is>
      </c>
      <c r="E2127" t="inlineStr">
        <is>
          <t>Intensidad</t>
        </is>
      </c>
      <c r="F2127" t="n">
        <v>4.4e-05</v>
      </c>
    </row>
    <row r="2128">
      <c r="A2128" t="inlineStr">
        <is>
          <t>202606</t>
        </is>
      </c>
      <c r="B2128" t="inlineStr">
        <is>
          <t>Actual</t>
        </is>
      </c>
      <c r="C2128" t="inlineStr">
        <is>
          <t>Habitat</t>
        </is>
      </c>
      <c r="D2128" t="inlineStr">
        <is>
          <t>Schroder - International Selection Fund China A</t>
        </is>
      </c>
      <c r="E2128" t="inlineStr">
        <is>
          <t>Inv MM$</t>
        </is>
      </c>
      <c r="F2128" t="n">
        <v>0.000699</v>
      </c>
    </row>
    <row r="2129">
      <c r="A2129" t="inlineStr">
        <is>
          <t>202606</t>
        </is>
      </c>
      <c r="B2129" t="inlineStr">
        <is>
          <t>Actual</t>
        </is>
      </c>
      <c r="C2129" t="inlineStr">
        <is>
          <t>Habitat</t>
        </is>
      </c>
      <c r="D2129" t="inlineStr">
        <is>
          <t>Schroder - Selection Fund China Local Currency Bond</t>
        </is>
      </c>
      <c r="E2129" t="inlineStr">
        <is>
          <t>Huella</t>
        </is>
      </c>
      <c r="F2129" t="n">
        <v>2.367753</v>
      </c>
    </row>
    <row r="2130">
      <c r="A2130" t="inlineStr">
        <is>
          <t>202606</t>
        </is>
      </c>
      <c r="B2130" t="inlineStr">
        <is>
          <t>Actual</t>
        </is>
      </c>
      <c r="C2130" t="inlineStr">
        <is>
          <t>Habitat</t>
        </is>
      </c>
      <c r="D2130" t="inlineStr">
        <is>
          <t>Schroder - Selection Fund China Local Currency Bond</t>
        </is>
      </c>
      <c r="E2130" t="inlineStr">
        <is>
          <t>Intensidad</t>
        </is>
      </c>
      <c r="F2130" t="n">
        <v>0.000578</v>
      </c>
    </row>
    <row r="2131">
      <c r="A2131" t="inlineStr">
        <is>
          <t>202606</t>
        </is>
      </c>
      <c r="B2131" t="inlineStr">
        <is>
          <t>Actual</t>
        </is>
      </c>
      <c r="C2131" t="inlineStr">
        <is>
          <t>Habitat</t>
        </is>
      </c>
      <c r="D2131" t="inlineStr">
        <is>
          <t>Schroder - Selection Fund China Local Currency Bond</t>
        </is>
      </c>
      <c r="E2131" t="inlineStr">
        <is>
          <t>Inv MM$</t>
        </is>
      </c>
      <c r="F2131" t="n">
        <v>1.140925</v>
      </c>
    </row>
    <row r="2132">
      <c r="A2132" t="inlineStr">
        <is>
          <t>202606</t>
        </is>
      </c>
      <c r="B2132" t="inlineStr">
        <is>
          <t>Actual</t>
        </is>
      </c>
      <c r="C2132" t="inlineStr">
        <is>
          <t>Habitat</t>
        </is>
      </c>
      <c r="D2132" t="inlineStr">
        <is>
          <t>Schroders - Emerging Europe</t>
        </is>
      </c>
      <c r="E2132" t="inlineStr">
        <is>
          <t>Huella</t>
        </is>
      </c>
      <c r="F2132" t="n">
        <v>3147.876052</v>
      </c>
    </row>
    <row r="2133">
      <c r="A2133" t="inlineStr">
        <is>
          <t>202606</t>
        </is>
      </c>
      <c r="B2133" t="inlineStr">
        <is>
          <t>Actual</t>
        </is>
      </c>
      <c r="C2133" t="inlineStr">
        <is>
          <t>Habitat</t>
        </is>
      </c>
      <c r="D2133" t="inlineStr">
        <is>
          <t>Schroders - Emerging Europe</t>
        </is>
      </c>
      <c r="E2133" t="inlineStr">
        <is>
          <t>Intensidad</t>
        </is>
      </c>
      <c r="F2133" t="n">
        <v>1.300612</v>
      </c>
    </row>
    <row r="2134">
      <c r="A2134" t="inlineStr">
        <is>
          <t>202606</t>
        </is>
      </c>
      <c r="B2134" t="inlineStr">
        <is>
          <t>Actual</t>
        </is>
      </c>
      <c r="C2134" t="inlineStr">
        <is>
          <t>Habitat</t>
        </is>
      </c>
      <c r="D2134" t="inlineStr">
        <is>
          <t>Schroders - Emerging Europe</t>
        </is>
      </c>
      <c r="E2134" t="inlineStr">
        <is>
          <t>Inv MM$</t>
        </is>
      </c>
      <c r="F2134" t="n">
        <v>37.093446</v>
      </c>
    </row>
    <row r="2135">
      <c r="A2135" t="inlineStr">
        <is>
          <t>202606</t>
        </is>
      </c>
      <c r="B2135" t="inlineStr">
        <is>
          <t>Actual</t>
        </is>
      </c>
      <c r="C2135" t="inlineStr">
        <is>
          <t>Habitat</t>
        </is>
      </c>
      <c r="D2135" t="inlineStr">
        <is>
          <t>Telefónica</t>
        </is>
      </c>
      <c r="E2135" t="inlineStr">
        <is>
          <t>Huella</t>
        </is>
      </c>
      <c r="F2135" t="n">
        <v>2.84182</v>
      </c>
    </row>
    <row r="2136">
      <c r="A2136" t="inlineStr">
        <is>
          <t>202606</t>
        </is>
      </c>
      <c r="B2136" t="inlineStr">
        <is>
          <t>Actual</t>
        </is>
      </c>
      <c r="C2136" t="inlineStr">
        <is>
          <t>Habitat</t>
        </is>
      </c>
      <c r="D2136" t="inlineStr">
        <is>
          <t>Telefónica</t>
        </is>
      </c>
      <c r="E2136" t="inlineStr">
        <is>
          <t>Intensidad</t>
        </is>
      </c>
      <c r="F2136" t="n">
        <v>0.000694</v>
      </c>
    </row>
    <row r="2137">
      <c r="A2137" t="inlineStr">
        <is>
          <t>202606</t>
        </is>
      </c>
      <c r="B2137" t="inlineStr">
        <is>
          <t>Actual</t>
        </is>
      </c>
      <c r="C2137" t="inlineStr">
        <is>
          <t>Habitat</t>
        </is>
      </c>
      <c r="D2137" t="inlineStr">
        <is>
          <t>Telefónica</t>
        </is>
      </c>
      <c r="E2137" t="inlineStr">
        <is>
          <t>Inv MM$</t>
        </is>
      </c>
      <c r="F2137" t="n">
        <v>1.184092</v>
      </c>
    </row>
    <row r="2138">
      <c r="A2138" t="inlineStr">
        <is>
          <t>202606</t>
        </is>
      </c>
      <c r="B2138" t="inlineStr">
        <is>
          <t>Actual</t>
        </is>
      </c>
      <c r="C2138" t="inlineStr">
        <is>
          <t>Habitat</t>
        </is>
      </c>
      <c r="D2138" t="inlineStr">
        <is>
          <t>UBS - China Opportunity - A3</t>
        </is>
      </c>
      <c r="E2138" t="inlineStr">
        <is>
          <t>Huella</t>
        </is>
      </c>
      <c r="F2138" t="n">
        <v>0.015526</v>
      </c>
    </row>
    <row r="2139">
      <c r="A2139" t="inlineStr">
        <is>
          <t>202606</t>
        </is>
      </c>
      <c r="B2139" t="inlineStr">
        <is>
          <t>Actual</t>
        </is>
      </c>
      <c r="C2139" t="inlineStr">
        <is>
          <t>Habitat</t>
        </is>
      </c>
      <c r="D2139" t="inlineStr">
        <is>
          <t>UBS - China Opportunity - A3</t>
        </is>
      </c>
      <c r="E2139" t="inlineStr">
        <is>
          <t>Intensidad</t>
        </is>
      </c>
      <c r="F2139" t="n">
        <v>1.3e-05</v>
      </c>
    </row>
    <row r="2140">
      <c r="A2140" t="inlineStr">
        <is>
          <t>202606</t>
        </is>
      </c>
      <c r="B2140" t="inlineStr">
        <is>
          <t>Actual</t>
        </is>
      </c>
      <c r="C2140" t="inlineStr">
        <is>
          <t>Habitat</t>
        </is>
      </c>
      <c r="D2140" t="inlineStr">
        <is>
          <t>UBS - China Opportunity - A3</t>
        </is>
      </c>
      <c r="E2140" t="inlineStr">
        <is>
          <t>Inv MM$</t>
        </is>
      </c>
      <c r="F2140" t="n">
        <v>0.000245</v>
      </c>
    </row>
    <row r="2141">
      <c r="A2141" t="inlineStr">
        <is>
          <t>202606</t>
        </is>
      </c>
      <c r="B2141" t="inlineStr">
        <is>
          <t>Actual</t>
        </is>
      </c>
      <c r="C2141" t="inlineStr">
        <is>
          <t>Habitat</t>
        </is>
      </c>
      <c r="D2141" t="inlineStr">
        <is>
          <t>UTI - Indian Equity</t>
        </is>
      </c>
      <c r="E2141" t="inlineStr">
        <is>
          <t>Huella</t>
        </is>
      </c>
      <c r="F2141" t="n">
        <v>0.0009810000000000001</v>
      </c>
    </row>
    <row r="2142">
      <c r="A2142" t="inlineStr">
        <is>
          <t>202606</t>
        </is>
      </c>
      <c r="B2142" t="inlineStr">
        <is>
          <t>Actual</t>
        </is>
      </c>
      <c r="C2142" t="inlineStr">
        <is>
          <t>Habitat</t>
        </is>
      </c>
      <c r="D2142" t="inlineStr">
        <is>
          <t>UTI - Indian Equity</t>
        </is>
      </c>
      <c r="E2142" t="inlineStr">
        <is>
          <t>Intensidad</t>
        </is>
      </c>
      <c r="F2142" t="n">
        <v>0</v>
      </c>
    </row>
    <row r="2143">
      <c r="A2143" t="inlineStr">
        <is>
          <t>202606</t>
        </is>
      </c>
      <c r="B2143" t="inlineStr">
        <is>
          <t>Actual</t>
        </is>
      </c>
      <c r="C2143" t="inlineStr">
        <is>
          <t>Habitat</t>
        </is>
      </c>
      <c r="D2143" t="inlineStr">
        <is>
          <t>UTI - Indian Equity</t>
        </is>
      </c>
      <c r="E2143" t="inlineStr">
        <is>
          <t>Inv MM$</t>
        </is>
      </c>
      <c r="F2143" t="n">
        <v>4.6e-05</v>
      </c>
    </row>
    <row r="2144">
      <c r="A2144" t="inlineStr">
        <is>
          <t>202606</t>
        </is>
      </c>
      <c r="B2144" t="inlineStr">
        <is>
          <t>Actual</t>
        </is>
      </c>
      <c r="C2144" t="inlineStr">
        <is>
          <t>Habitat</t>
        </is>
      </c>
      <c r="D2144" t="inlineStr">
        <is>
          <t>VanEck - Gold Miners ETF</t>
        </is>
      </c>
      <c r="E2144" t="inlineStr">
        <is>
          <t>Huella</t>
        </is>
      </c>
      <c r="F2144" t="n">
        <v>3450.916511</v>
      </c>
    </row>
    <row r="2145">
      <c r="A2145" t="inlineStr">
        <is>
          <t>202606</t>
        </is>
      </c>
      <c r="B2145" t="inlineStr">
        <is>
          <t>Actual</t>
        </is>
      </c>
      <c r="C2145" t="inlineStr">
        <is>
          <t>Habitat</t>
        </is>
      </c>
      <c r="D2145" t="inlineStr">
        <is>
          <t>VanEck - Gold Miners ETF</t>
        </is>
      </c>
      <c r="E2145" t="inlineStr">
        <is>
          <t>Intensidad</t>
        </is>
      </c>
      <c r="F2145" t="n">
        <v>1.746844</v>
      </c>
    </row>
    <row r="2146">
      <c r="A2146" t="inlineStr">
        <is>
          <t>202606</t>
        </is>
      </c>
      <c r="B2146" t="inlineStr">
        <is>
          <t>Actual</t>
        </is>
      </c>
      <c r="C2146" t="inlineStr">
        <is>
          <t>Habitat</t>
        </is>
      </c>
      <c r="D2146" t="inlineStr">
        <is>
          <t>VanEck - Gold Miners ETF</t>
        </is>
      </c>
      <c r="E2146" t="inlineStr">
        <is>
          <t>Inv MM$</t>
        </is>
      </c>
      <c r="F2146" t="n">
        <v>78.776743</v>
      </c>
    </row>
    <row r="2147">
      <c r="A2147" t="inlineStr">
        <is>
          <t>202606</t>
        </is>
      </c>
      <c r="B2147" t="inlineStr">
        <is>
          <t>Actual</t>
        </is>
      </c>
      <c r="C2147" t="inlineStr">
        <is>
          <t>Habitat</t>
        </is>
      </c>
      <c r="D2147" t="inlineStr">
        <is>
          <t>VanEck - JPM EM LC Bond ETF</t>
        </is>
      </c>
      <c r="E2147" t="inlineStr">
        <is>
          <t>Huella</t>
        </is>
      </c>
      <c r="F2147" t="n">
        <v>110.555876</v>
      </c>
    </row>
    <row r="2148">
      <c r="A2148" t="inlineStr">
        <is>
          <t>202606</t>
        </is>
      </c>
      <c r="B2148" t="inlineStr">
        <is>
          <t>Actual</t>
        </is>
      </c>
      <c r="C2148" t="inlineStr">
        <is>
          <t>Habitat</t>
        </is>
      </c>
      <c r="D2148" t="inlineStr">
        <is>
          <t>VanEck - JPM EM LC Bond ETF</t>
        </is>
      </c>
      <c r="E2148" t="inlineStr">
        <is>
          <t>Intensidad</t>
        </is>
      </c>
      <c r="F2148" t="n">
        <v>0.220132</v>
      </c>
    </row>
    <row r="2149">
      <c r="A2149" t="inlineStr">
        <is>
          <t>202606</t>
        </is>
      </c>
      <c r="B2149" t="inlineStr">
        <is>
          <t>Actual</t>
        </is>
      </c>
      <c r="C2149" t="inlineStr">
        <is>
          <t>Habitat</t>
        </is>
      </c>
      <c r="D2149" t="inlineStr">
        <is>
          <t>VanEck - JPM EM LC Bond ETF</t>
        </is>
      </c>
      <c r="E2149" t="inlineStr">
        <is>
          <t>Inv MM$</t>
        </is>
      </c>
      <c r="F2149" t="n">
        <v>11.253011</v>
      </c>
    </row>
    <row r="2150">
      <c r="A2150" t="inlineStr">
        <is>
          <t>202606</t>
        </is>
      </c>
      <c r="B2150" t="inlineStr">
        <is>
          <t>Actual</t>
        </is>
      </c>
      <c r="C2150" t="inlineStr">
        <is>
          <t>Habitat</t>
        </is>
      </c>
      <c r="D2150" t="inlineStr">
        <is>
          <t>VanEck Semiconductor ETF</t>
        </is>
      </c>
      <c r="E2150" t="inlineStr">
        <is>
          <t>Huella</t>
        </is>
      </c>
      <c r="F2150" t="n">
        <v>1827.852149</v>
      </c>
    </row>
    <row r="2151">
      <c r="A2151" t="inlineStr">
        <is>
          <t>202606</t>
        </is>
      </c>
      <c r="B2151" t="inlineStr">
        <is>
          <t>Actual</t>
        </is>
      </c>
      <c r="C2151" t="inlineStr">
        <is>
          <t>Habitat</t>
        </is>
      </c>
      <c r="D2151" t="inlineStr">
        <is>
          <t>VanEck Semiconductor ETF</t>
        </is>
      </c>
      <c r="E2151" t="inlineStr">
        <is>
          <t>Intensidad</t>
        </is>
      </c>
      <c r="F2151" t="n">
        <v>0.76567</v>
      </c>
    </row>
    <row r="2152">
      <c r="A2152" t="inlineStr">
        <is>
          <t>202606</t>
        </is>
      </c>
      <c r="B2152" t="inlineStr">
        <is>
          <t>Actual</t>
        </is>
      </c>
      <c r="C2152" t="inlineStr">
        <is>
          <t>Habitat</t>
        </is>
      </c>
      <c r="D2152" t="inlineStr">
        <is>
          <t>VanEck Semiconductor ETF</t>
        </is>
      </c>
      <c r="E2152" t="inlineStr">
        <is>
          <t>Inv MM$</t>
        </is>
      </c>
      <c r="F2152" t="n">
        <v>258.701869</v>
      </c>
    </row>
    <row r="2153">
      <c r="A2153" t="inlineStr">
        <is>
          <t>202606</t>
        </is>
      </c>
      <c r="B2153" t="inlineStr">
        <is>
          <t>Actual</t>
        </is>
      </c>
      <c r="C2153" t="inlineStr">
        <is>
          <t>Habitat</t>
        </is>
      </c>
      <c r="D2153" t="inlineStr">
        <is>
          <t>Vanguard - S&amp;P 500 ETF</t>
        </is>
      </c>
      <c r="E2153" t="inlineStr">
        <is>
          <t>Huella</t>
        </is>
      </c>
      <c r="F2153" t="n">
        <v>2847.88024</v>
      </c>
    </row>
    <row r="2154">
      <c r="A2154" t="inlineStr">
        <is>
          <t>202606</t>
        </is>
      </c>
      <c r="B2154" t="inlineStr">
        <is>
          <t>Actual</t>
        </is>
      </c>
      <c r="C2154" t="inlineStr">
        <is>
          <t>Habitat</t>
        </is>
      </c>
      <c r="D2154" t="inlineStr">
        <is>
          <t>Vanguard - S&amp;P 500 ETF</t>
        </is>
      </c>
      <c r="E2154" t="inlineStr">
        <is>
          <t>Intensidad</t>
        </is>
      </c>
      <c r="F2154" t="n">
        <v>1.174235</v>
      </c>
    </row>
    <row r="2155">
      <c r="A2155" t="inlineStr">
        <is>
          <t>202606</t>
        </is>
      </c>
      <c r="B2155" t="inlineStr">
        <is>
          <t>Actual</t>
        </is>
      </c>
      <c r="C2155" t="inlineStr">
        <is>
          <t>Habitat</t>
        </is>
      </c>
      <c r="D2155" t="inlineStr">
        <is>
          <t>Vanguard - S&amp;P 500 ETF</t>
        </is>
      </c>
      <c r="E2155" t="inlineStr">
        <is>
          <t>Inv MM$</t>
        </is>
      </c>
      <c r="F2155" t="n">
        <v>130.197495</v>
      </c>
    </row>
    <row r="2156">
      <c r="A2156" t="inlineStr">
        <is>
          <t>202606</t>
        </is>
      </c>
      <c r="B2156" t="inlineStr">
        <is>
          <t>Actual</t>
        </is>
      </c>
      <c r="C2156" t="inlineStr">
        <is>
          <t>Habitat</t>
        </is>
      </c>
      <c r="D2156" t="inlineStr">
        <is>
          <t>Volcan*</t>
        </is>
      </c>
      <c r="E2156" t="inlineStr">
        <is>
          <t>Huella</t>
        </is>
      </c>
      <c r="F2156" t="n">
        <v>3503.05625</v>
      </c>
    </row>
    <row r="2157">
      <c r="A2157" t="inlineStr">
        <is>
          <t>202606</t>
        </is>
      </c>
      <c r="B2157" t="inlineStr">
        <is>
          <t>Actual</t>
        </is>
      </c>
      <c r="C2157" t="inlineStr">
        <is>
          <t>Habitat</t>
        </is>
      </c>
      <c r="D2157" t="inlineStr">
        <is>
          <t>Volcan*</t>
        </is>
      </c>
      <c r="E2157" t="inlineStr">
        <is>
          <t>Intensidad</t>
        </is>
      </c>
      <c r="F2157" t="n">
        <v>1.824477</v>
      </c>
    </row>
    <row r="2158">
      <c r="A2158" t="inlineStr">
        <is>
          <t>202606</t>
        </is>
      </c>
      <c r="B2158" t="inlineStr">
        <is>
          <t>Actual</t>
        </is>
      </c>
      <c r="C2158" t="inlineStr">
        <is>
          <t>Habitat</t>
        </is>
      </c>
      <c r="D2158" t="inlineStr">
        <is>
          <t>Volcan*</t>
        </is>
      </c>
      <c r="E2158" t="inlineStr">
        <is>
          <t>Inv MM$</t>
        </is>
      </c>
      <c r="F2158" t="n">
        <v>30.769049</v>
      </c>
    </row>
    <row r="2159">
      <c r="A2159" t="inlineStr">
        <is>
          <t>202606</t>
        </is>
      </c>
      <c r="B2159" t="inlineStr">
        <is>
          <t>Actual</t>
        </is>
      </c>
      <c r="C2159" t="inlineStr">
        <is>
          <t>Habitat</t>
        </is>
      </c>
      <c r="D2159" t="inlineStr">
        <is>
          <t>Vontobel - Emerging Markets Corporate</t>
        </is>
      </c>
      <c r="E2159" t="inlineStr">
        <is>
          <t>Huella</t>
        </is>
      </c>
      <c r="F2159" t="n">
        <v>0.234474</v>
      </c>
    </row>
    <row r="2160">
      <c r="A2160" t="inlineStr">
        <is>
          <t>202606</t>
        </is>
      </c>
      <c r="B2160" t="inlineStr">
        <is>
          <t>Actual</t>
        </is>
      </c>
      <c r="C2160" t="inlineStr">
        <is>
          <t>Habitat</t>
        </is>
      </c>
      <c r="D2160" t="inlineStr">
        <is>
          <t>Vontobel - Emerging Markets Corporate</t>
        </is>
      </c>
      <c r="E2160" t="inlineStr">
        <is>
          <t>Intensidad</t>
        </is>
      </c>
      <c r="F2160" t="n">
        <v>0.000274</v>
      </c>
    </row>
    <row r="2161">
      <c r="A2161" t="inlineStr">
        <is>
          <t>202606</t>
        </is>
      </c>
      <c r="B2161" t="inlineStr">
        <is>
          <t>Actual</t>
        </is>
      </c>
      <c r="C2161" t="inlineStr">
        <is>
          <t>Habitat</t>
        </is>
      </c>
      <c r="D2161" t="inlineStr">
        <is>
          <t>Vontobel - Emerging Markets Corporate</t>
        </is>
      </c>
      <c r="E2161" t="inlineStr">
        <is>
          <t>Inv MM$</t>
        </is>
      </c>
      <c r="F2161" t="n">
        <v>0.000546</v>
      </c>
    </row>
    <row r="2162">
      <c r="A2162" t="inlineStr">
        <is>
          <t>202606</t>
        </is>
      </c>
      <c r="B2162" t="inlineStr">
        <is>
          <t>Actual</t>
        </is>
      </c>
      <c r="C2162" t="inlineStr">
        <is>
          <t>Habitat</t>
        </is>
      </c>
      <c r="D2162" t="inlineStr">
        <is>
          <t>Vontobel - Emerging Markets Debt</t>
        </is>
      </c>
      <c r="E2162" t="inlineStr">
        <is>
          <t>Huella</t>
        </is>
      </c>
      <c r="F2162" t="n">
        <v>2936.356459</v>
      </c>
    </row>
    <row r="2163">
      <c r="A2163" t="inlineStr">
        <is>
          <t>202606</t>
        </is>
      </c>
      <c r="B2163" t="inlineStr">
        <is>
          <t>Actual</t>
        </is>
      </c>
      <c r="C2163" t="inlineStr">
        <is>
          <t>Habitat</t>
        </is>
      </c>
      <c r="D2163" t="inlineStr">
        <is>
          <t>Vontobel - Emerging Markets Debt</t>
        </is>
      </c>
      <c r="E2163" t="inlineStr">
        <is>
          <t>Intensidad</t>
        </is>
      </c>
      <c r="F2163" t="n">
        <v>2.098323</v>
      </c>
    </row>
    <row r="2164">
      <c r="A2164" t="inlineStr">
        <is>
          <t>202606</t>
        </is>
      </c>
      <c r="B2164" t="inlineStr">
        <is>
          <t>Actual</t>
        </is>
      </c>
      <c r="C2164" t="inlineStr">
        <is>
          <t>Habitat</t>
        </is>
      </c>
      <c r="D2164" t="inlineStr">
        <is>
          <t>Vontobel - Emerging Markets Debt</t>
        </is>
      </c>
      <c r="E2164" t="inlineStr">
        <is>
          <t>Inv MM$</t>
        </is>
      </c>
      <c r="F2164" t="n">
        <v>7.346712</v>
      </c>
    </row>
    <row r="2165">
      <c r="A2165" t="inlineStr">
        <is>
          <t>202606</t>
        </is>
      </c>
      <c r="B2165" t="inlineStr">
        <is>
          <t>Actual</t>
        </is>
      </c>
      <c r="C2165" t="inlineStr">
        <is>
          <t>Integra</t>
        </is>
      </c>
      <c r="D2165" t="inlineStr">
        <is>
          <t>AXA World Funds - US Dynamic High Yield</t>
        </is>
      </c>
      <c r="E2165" t="inlineStr">
        <is>
          <t>Huella</t>
        </is>
      </c>
      <c r="F2165" t="n">
        <v>0.066748</v>
      </c>
    </row>
    <row r="2166">
      <c r="A2166" t="inlineStr">
        <is>
          <t>202606</t>
        </is>
      </c>
      <c r="B2166" t="inlineStr">
        <is>
          <t>Actual</t>
        </is>
      </c>
      <c r="C2166" t="inlineStr">
        <is>
          <t>Integra</t>
        </is>
      </c>
      <c r="D2166" t="inlineStr">
        <is>
          <t>AXA World Funds - US Dynamic High Yield</t>
        </is>
      </c>
      <c r="E2166" t="inlineStr">
        <is>
          <t>Intensidad</t>
        </is>
      </c>
      <c r="F2166" t="n">
        <v>1.8e-05</v>
      </c>
    </row>
    <row r="2167">
      <c r="A2167" t="inlineStr">
        <is>
          <t>202606</t>
        </is>
      </c>
      <c r="B2167" t="inlineStr">
        <is>
          <t>Actual</t>
        </is>
      </c>
      <c r="C2167" t="inlineStr">
        <is>
          <t>Integra</t>
        </is>
      </c>
      <c r="D2167" t="inlineStr">
        <is>
          <t>AXA World Funds - US Dynamic High Yield</t>
        </is>
      </c>
      <c r="E2167" t="inlineStr">
        <is>
          <t>Inv MM$</t>
        </is>
      </c>
      <c r="F2167" t="n">
        <v>0.000633</v>
      </c>
    </row>
    <row r="2168">
      <c r="A2168" t="inlineStr">
        <is>
          <t>202606</t>
        </is>
      </c>
      <c r="B2168" t="inlineStr">
        <is>
          <t>Actual</t>
        </is>
      </c>
      <c r="C2168" t="inlineStr">
        <is>
          <t>Integra</t>
        </is>
      </c>
      <c r="D2168" t="inlineStr">
        <is>
          <t>Aberdeen - Frontier Markets Bond Fund</t>
        </is>
      </c>
      <c r="E2168" t="inlineStr">
        <is>
          <t>Huella</t>
        </is>
      </c>
      <c r="F2168" t="n">
        <v>124.272007</v>
      </c>
    </row>
    <row r="2169">
      <c r="A2169" t="inlineStr">
        <is>
          <t>202606</t>
        </is>
      </c>
      <c r="B2169" t="inlineStr">
        <is>
          <t>Actual</t>
        </is>
      </c>
      <c r="C2169" t="inlineStr">
        <is>
          <t>Integra</t>
        </is>
      </c>
      <c r="D2169" t="inlineStr">
        <is>
          <t>Aberdeen - Frontier Markets Bond Fund</t>
        </is>
      </c>
      <c r="E2169" t="inlineStr">
        <is>
          <t>Intensidad</t>
        </is>
      </c>
      <c r="F2169" t="n">
        <v>0.056245</v>
      </c>
    </row>
    <row r="2170">
      <c r="A2170" t="inlineStr">
        <is>
          <t>202606</t>
        </is>
      </c>
      <c r="B2170" t="inlineStr">
        <is>
          <t>Actual</t>
        </is>
      </c>
      <c r="C2170" t="inlineStr">
        <is>
          <t>Integra</t>
        </is>
      </c>
      <c r="D2170" t="inlineStr">
        <is>
          <t>Aberdeen - Frontier Markets Bond Fund</t>
        </is>
      </c>
      <c r="E2170" t="inlineStr">
        <is>
          <t>Inv MM$</t>
        </is>
      </c>
      <c r="F2170" t="n">
        <v>29.940732</v>
      </c>
    </row>
    <row r="2171">
      <c r="A2171" t="inlineStr">
        <is>
          <t>202606</t>
        </is>
      </c>
      <c r="B2171" t="inlineStr">
        <is>
          <t>Actual</t>
        </is>
      </c>
      <c r="C2171" t="inlineStr">
        <is>
          <t>Integra</t>
        </is>
      </c>
      <c r="D2171" t="inlineStr">
        <is>
          <t>Aenza</t>
        </is>
      </c>
      <c r="E2171" t="inlineStr">
        <is>
          <t>Huella</t>
        </is>
      </c>
      <c r="F2171" t="n">
        <v>2976.111965</v>
      </c>
    </row>
    <row r="2172">
      <c r="A2172" t="inlineStr">
        <is>
          <t>202606</t>
        </is>
      </c>
      <c r="B2172" t="inlineStr">
        <is>
          <t>Actual</t>
        </is>
      </c>
      <c r="C2172" t="inlineStr">
        <is>
          <t>Integra</t>
        </is>
      </c>
      <c r="D2172" t="inlineStr">
        <is>
          <t>Aenza</t>
        </is>
      </c>
      <c r="E2172" t="inlineStr">
        <is>
          <t>Intensidad</t>
        </is>
      </c>
      <c r="F2172" t="n">
        <v>1.986206</v>
      </c>
    </row>
    <row r="2173">
      <c r="A2173" t="inlineStr">
        <is>
          <t>202606</t>
        </is>
      </c>
      <c r="B2173" t="inlineStr">
        <is>
          <t>Actual</t>
        </is>
      </c>
      <c r="C2173" t="inlineStr">
        <is>
          <t>Integra</t>
        </is>
      </c>
      <c r="D2173" t="inlineStr">
        <is>
          <t>Aenza</t>
        </is>
      </c>
      <c r="E2173" t="inlineStr">
        <is>
          <t>Inv MM$</t>
        </is>
      </c>
      <c r="F2173" t="n">
        <v>21.165721</v>
      </c>
    </row>
    <row r="2174">
      <c r="A2174" t="inlineStr">
        <is>
          <t>202606</t>
        </is>
      </c>
      <c r="B2174" t="inlineStr">
        <is>
          <t>Actual</t>
        </is>
      </c>
      <c r="C2174" t="inlineStr">
        <is>
          <t>Integra</t>
        </is>
      </c>
      <c r="D2174" t="inlineStr">
        <is>
          <t>Alicorp</t>
        </is>
      </c>
      <c r="E2174" t="inlineStr">
        <is>
          <t>Huella</t>
        </is>
      </c>
      <c r="F2174" t="n">
        <v>840.688328</v>
      </c>
    </row>
    <row r="2175">
      <c r="A2175" t="inlineStr">
        <is>
          <t>202606</t>
        </is>
      </c>
      <c r="B2175" t="inlineStr">
        <is>
          <t>Actual</t>
        </is>
      </c>
      <c r="C2175" t="inlineStr">
        <is>
          <t>Integra</t>
        </is>
      </c>
      <c r="D2175" t="inlineStr">
        <is>
          <t>Alicorp</t>
        </is>
      </c>
      <c r="E2175" t="inlineStr">
        <is>
          <t>Intensidad</t>
        </is>
      </c>
      <c r="F2175" t="n">
        <v>0.188999</v>
      </c>
    </row>
    <row r="2176">
      <c r="A2176" t="inlineStr">
        <is>
          <t>202606</t>
        </is>
      </c>
      <c r="B2176" t="inlineStr">
        <is>
          <t>Actual</t>
        </is>
      </c>
      <c r="C2176" t="inlineStr">
        <is>
          <t>Integra</t>
        </is>
      </c>
      <c r="D2176" t="inlineStr">
        <is>
          <t>Alicorp</t>
        </is>
      </c>
      <c r="E2176" t="inlineStr">
        <is>
          <t>Inv MM$</t>
        </is>
      </c>
      <c r="F2176" t="n">
        <v>23.522337</v>
      </c>
    </row>
    <row r="2177">
      <c r="A2177" t="inlineStr">
        <is>
          <t>202606</t>
        </is>
      </c>
      <c r="B2177" t="inlineStr">
        <is>
          <t>Actual</t>
        </is>
      </c>
      <c r="C2177" t="inlineStr">
        <is>
          <t>Integra</t>
        </is>
      </c>
      <c r="D2177" t="inlineStr">
        <is>
          <t>Allianz - China-A</t>
        </is>
      </c>
      <c r="E2177" t="inlineStr">
        <is>
          <t>Huella</t>
        </is>
      </c>
      <c r="F2177" t="n">
        <v>0.923922</v>
      </c>
    </row>
    <row r="2178">
      <c r="A2178" t="inlineStr">
        <is>
          <t>202606</t>
        </is>
      </c>
      <c r="B2178" t="inlineStr">
        <is>
          <t>Actual</t>
        </is>
      </c>
      <c r="C2178" t="inlineStr">
        <is>
          <t>Integra</t>
        </is>
      </c>
      <c r="D2178" t="inlineStr">
        <is>
          <t>Allianz - China-A</t>
        </is>
      </c>
      <c r="E2178" t="inlineStr">
        <is>
          <t>Intensidad</t>
        </is>
      </c>
      <c r="F2178" t="n">
        <v>0.00035</v>
      </c>
    </row>
    <row r="2179">
      <c r="A2179" t="inlineStr">
        <is>
          <t>202606</t>
        </is>
      </c>
      <c r="B2179" t="inlineStr">
        <is>
          <t>Actual</t>
        </is>
      </c>
      <c r="C2179" t="inlineStr">
        <is>
          <t>Integra</t>
        </is>
      </c>
      <c r="D2179" t="inlineStr">
        <is>
          <t>Allianz - China-A</t>
        </is>
      </c>
      <c r="E2179" t="inlineStr">
        <is>
          <t>Inv MM$</t>
        </is>
      </c>
      <c r="F2179" t="n">
        <v>0.011854</v>
      </c>
    </row>
    <row r="2180">
      <c r="A2180" t="inlineStr">
        <is>
          <t>202606</t>
        </is>
      </c>
      <c r="B2180" t="inlineStr">
        <is>
          <t>Actual</t>
        </is>
      </c>
      <c r="C2180" t="inlineStr">
        <is>
          <t>Integra</t>
        </is>
      </c>
      <c r="D2180" t="inlineStr">
        <is>
          <t>Allianz - Euroland Equity Growth</t>
        </is>
      </c>
      <c r="E2180" t="inlineStr">
        <is>
          <t>Huella</t>
        </is>
      </c>
      <c r="F2180" t="n">
        <v>0.207051</v>
      </c>
    </row>
    <row r="2181">
      <c r="A2181" t="inlineStr">
        <is>
          <t>202606</t>
        </is>
      </c>
      <c r="B2181" t="inlineStr">
        <is>
          <t>Actual</t>
        </is>
      </c>
      <c r="C2181" t="inlineStr">
        <is>
          <t>Integra</t>
        </is>
      </c>
      <c r="D2181" t="inlineStr">
        <is>
          <t>Allianz - Euroland Equity Growth</t>
        </is>
      </c>
      <c r="E2181" t="inlineStr">
        <is>
          <t>Intensidad</t>
        </is>
      </c>
      <c r="F2181" t="n">
        <v>0.000113</v>
      </c>
    </row>
    <row r="2182">
      <c r="A2182" t="inlineStr">
        <is>
          <t>202606</t>
        </is>
      </c>
      <c r="B2182" t="inlineStr">
        <is>
          <t>Actual</t>
        </is>
      </c>
      <c r="C2182" t="inlineStr">
        <is>
          <t>Integra</t>
        </is>
      </c>
      <c r="D2182" t="inlineStr">
        <is>
          <t>Allianz - Euroland Equity Growth</t>
        </is>
      </c>
      <c r="E2182" t="inlineStr">
        <is>
          <t>Inv MM$</t>
        </is>
      </c>
      <c r="F2182" t="n">
        <v>0.007693</v>
      </c>
    </row>
    <row r="2183">
      <c r="A2183" t="inlineStr">
        <is>
          <t>202606</t>
        </is>
      </c>
      <c r="B2183" t="inlineStr">
        <is>
          <t>Actual</t>
        </is>
      </c>
      <c r="C2183" t="inlineStr">
        <is>
          <t>Integra</t>
        </is>
      </c>
      <c r="D2183" t="inlineStr">
        <is>
          <t>Aval</t>
        </is>
      </c>
      <c r="E2183" t="inlineStr">
        <is>
          <t>Huella</t>
        </is>
      </c>
      <c r="F2183" t="n">
        <v>12.248024</v>
      </c>
    </row>
    <row r="2184">
      <c r="A2184" t="inlineStr">
        <is>
          <t>202606</t>
        </is>
      </c>
      <c r="B2184" t="inlineStr">
        <is>
          <t>Actual</t>
        </is>
      </c>
      <c r="C2184" t="inlineStr">
        <is>
          <t>Integra</t>
        </is>
      </c>
      <c r="D2184" t="inlineStr">
        <is>
          <t>Aval</t>
        </is>
      </c>
      <c r="E2184" t="inlineStr">
        <is>
          <t>Intensidad</t>
        </is>
      </c>
      <c r="F2184" t="n">
        <v>0.001588</v>
      </c>
    </row>
    <row r="2185">
      <c r="A2185" t="inlineStr">
        <is>
          <t>202606</t>
        </is>
      </c>
      <c r="B2185" t="inlineStr">
        <is>
          <t>Actual</t>
        </is>
      </c>
      <c r="C2185" t="inlineStr">
        <is>
          <t>Integra</t>
        </is>
      </c>
      <c r="D2185" t="inlineStr">
        <is>
          <t>Aval</t>
        </is>
      </c>
      <c r="E2185" t="inlineStr">
        <is>
          <t>Inv MM$</t>
        </is>
      </c>
      <c r="F2185" t="n">
        <v>1.111436</v>
      </c>
    </row>
    <row r="2186">
      <c r="A2186" t="inlineStr">
        <is>
          <t>202606</t>
        </is>
      </c>
      <c r="B2186" t="inlineStr">
        <is>
          <t>Actual</t>
        </is>
      </c>
      <c r="C2186" t="inlineStr">
        <is>
          <t>Integra</t>
        </is>
      </c>
      <c r="D2186" t="inlineStr">
        <is>
          <t>BBVA Bancomer</t>
        </is>
      </c>
      <c r="E2186" t="inlineStr">
        <is>
          <t>Huella</t>
        </is>
      </c>
      <c r="F2186" t="n">
        <v>22.514798</v>
      </c>
    </row>
    <row r="2187">
      <c r="A2187" t="inlineStr">
        <is>
          <t>202606</t>
        </is>
      </c>
      <c r="B2187" t="inlineStr">
        <is>
          <t>Actual</t>
        </is>
      </c>
      <c r="C2187" t="inlineStr">
        <is>
          <t>Integra</t>
        </is>
      </c>
      <c r="D2187" t="inlineStr">
        <is>
          <t>BBVA Bancomer</t>
        </is>
      </c>
      <c r="E2187" t="inlineStr">
        <is>
          <t>Intensidad</t>
        </is>
      </c>
      <c r="F2187" t="n">
        <v>0.006418</v>
      </c>
    </row>
    <row r="2188">
      <c r="A2188" t="inlineStr">
        <is>
          <t>202606</t>
        </is>
      </c>
      <c r="B2188" t="inlineStr">
        <is>
          <t>Actual</t>
        </is>
      </c>
      <c r="C2188" t="inlineStr">
        <is>
          <t>Integra</t>
        </is>
      </c>
      <c r="D2188" t="inlineStr">
        <is>
          <t>BBVA Bancomer</t>
        </is>
      </c>
      <c r="E2188" t="inlineStr">
        <is>
          <t>Inv MM$</t>
        </is>
      </c>
      <c r="F2188" t="n">
        <v>29.239998</v>
      </c>
    </row>
    <row r="2189">
      <c r="A2189" t="inlineStr">
        <is>
          <t>202606</t>
        </is>
      </c>
      <c r="B2189" t="inlineStr">
        <is>
          <t>Actual</t>
        </is>
      </c>
      <c r="C2189" t="inlineStr">
        <is>
          <t>Integra</t>
        </is>
      </c>
      <c r="D2189" t="inlineStr">
        <is>
          <t>BNP Paribas - China Equity Class</t>
        </is>
      </c>
      <c r="E2189" t="inlineStr">
        <is>
          <t>Huella</t>
        </is>
      </c>
      <c r="F2189" t="n">
        <v>0.02767</v>
      </c>
    </row>
    <row r="2190">
      <c r="A2190" t="inlineStr">
        <is>
          <t>202606</t>
        </is>
      </c>
      <c r="B2190" t="inlineStr">
        <is>
          <t>Actual</t>
        </is>
      </c>
      <c r="C2190" t="inlineStr">
        <is>
          <t>Integra</t>
        </is>
      </c>
      <c r="D2190" t="inlineStr">
        <is>
          <t>BNP Paribas - China Equity Class</t>
        </is>
      </c>
      <c r="E2190" t="inlineStr">
        <is>
          <t>Intensidad</t>
        </is>
      </c>
      <c r="F2190" t="n">
        <v>1.4e-05</v>
      </c>
    </row>
    <row r="2191">
      <c r="A2191" t="inlineStr">
        <is>
          <t>202606</t>
        </is>
      </c>
      <c r="B2191" t="inlineStr">
        <is>
          <t>Actual</t>
        </is>
      </c>
      <c r="C2191" t="inlineStr">
        <is>
          <t>Integra</t>
        </is>
      </c>
      <c r="D2191" t="inlineStr">
        <is>
          <t>BNP Paribas - China Equity Class</t>
        </is>
      </c>
      <c r="E2191" t="inlineStr">
        <is>
          <t>Inv MM$</t>
        </is>
      </c>
      <c r="F2191" t="n">
        <v>0.001898</v>
      </c>
    </row>
    <row r="2192">
      <c r="A2192" t="inlineStr">
        <is>
          <t>202606</t>
        </is>
      </c>
      <c r="B2192" t="inlineStr">
        <is>
          <t>Actual</t>
        </is>
      </c>
      <c r="C2192" t="inlineStr">
        <is>
          <t>Integra</t>
        </is>
      </c>
      <c r="D2192" t="inlineStr">
        <is>
          <t>BNP Paribas - Japan Small Caps</t>
        </is>
      </c>
      <c r="E2192" t="inlineStr">
        <is>
          <t>Huella</t>
        </is>
      </c>
      <c r="F2192" t="n">
        <v>10796.805558</v>
      </c>
    </row>
    <row r="2193">
      <c r="A2193" t="inlineStr">
        <is>
          <t>202606</t>
        </is>
      </c>
      <c r="B2193" t="inlineStr">
        <is>
          <t>Actual</t>
        </is>
      </c>
      <c r="C2193" t="inlineStr">
        <is>
          <t>Integra</t>
        </is>
      </c>
      <c r="D2193" t="inlineStr">
        <is>
          <t>BNP Paribas - Japan Small Caps</t>
        </is>
      </c>
      <c r="E2193" t="inlineStr">
        <is>
          <t>Intensidad</t>
        </is>
      </c>
      <c r="F2193" t="n">
        <v>3.252364</v>
      </c>
    </row>
    <row r="2194">
      <c r="A2194" t="inlineStr">
        <is>
          <t>202606</t>
        </is>
      </c>
      <c r="B2194" t="inlineStr">
        <is>
          <t>Actual</t>
        </is>
      </c>
      <c r="C2194" t="inlineStr">
        <is>
          <t>Integra</t>
        </is>
      </c>
      <c r="D2194" t="inlineStr">
        <is>
          <t>BNP Paribas - Japan Small Caps</t>
        </is>
      </c>
      <c r="E2194" t="inlineStr">
        <is>
          <t>Inv MM$</t>
        </is>
      </c>
      <c r="F2194" t="n">
        <v>101.62746</v>
      </c>
    </row>
    <row r="2195">
      <c r="A2195" t="inlineStr">
        <is>
          <t>202606</t>
        </is>
      </c>
      <c r="B2195" t="inlineStr">
        <is>
          <t>Actual</t>
        </is>
      </c>
      <c r="C2195" t="inlineStr">
        <is>
          <t>Integra</t>
        </is>
      </c>
      <c r="D2195" t="inlineStr">
        <is>
          <t>Baillie Gifford &amp; Co Ltd - Overseas Growth Funds ICVC - Pacific Fund</t>
        </is>
      </c>
      <c r="E2195" t="inlineStr">
        <is>
          <t>Huella</t>
        </is>
      </c>
      <c r="F2195" t="n">
        <v>1393.316422</v>
      </c>
    </row>
    <row r="2196">
      <c r="A2196" t="inlineStr">
        <is>
          <t>202606</t>
        </is>
      </c>
      <c r="B2196" t="inlineStr">
        <is>
          <t>Actual</t>
        </is>
      </c>
      <c r="C2196" t="inlineStr">
        <is>
          <t>Integra</t>
        </is>
      </c>
      <c r="D2196" t="inlineStr">
        <is>
          <t>Baillie Gifford &amp; Co Ltd - Overseas Growth Funds ICVC - Pacific Fund</t>
        </is>
      </c>
      <c r="E2196" t="inlineStr">
        <is>
          <t>Intensidad</t>
        </is>
      </c>
      <c r="F2196" t="n">
        <v>0.389039</v>
      </c>
    </row>
    <row r="2197">
      <c r="A2197" t="inlineStr">
        <is>
          <t>202606</t>
        </is>
      </c>
      <c r="B2197" t="inlineStr">
        <is>
          <t>Actual</t>
        </is>
      </c>
      <c r="C2197" t="inlineStr">
        <is>
          <t>Integra</t>
        </is>
      </c>
      <c r="D2197" t="inlineStr">
        <is>
          <t>Baillie Gifford &amp; Co Ltd - Overseas Growth Funds ICVC - Pacific Fund</t>
        </is>
      </c>
      <c r="E2197" t="inlineStr">
        <is>
          <t>Inv MM$</t>
        </is>
      </c>
      <c r="F2197" t="n">
        <v>64.840007</v>
      </c>
    </row>
    <row r="2198">
      <c r="A2198" t="inlineStr">
        <is>
          <t>202606</t>
        </is>
      </c>
      <c r="B2198" t="inlineStr">
        <is>
          <t>Actual</t>
        </is>
      </c>
      <c r="C2198" t="inlineStr">
        <is>
          <t>Integra</t>
        </is>
      </c>
      <c r="D2198" t="inlineStr">
        <is>
          <t>Banorte</t>
        </is>
      </c>
      <c r="E2198" t="inlineStr">
        <is>
          <t>Huella</t>
        </is>
      </c>
      <c r="F2198" t="n">
        <v>32.736304</v>
      </c>
    </row>
    <row r="2199">
      <c r="A2199" t="inlineStr">
        <is>
          <t>202606</t>
        </is>
      </c>
      <c r="B2199" t="inlineStr">
        <is>
          <t>Actual</t>
        </is>
      </c>
      <c r="C2199" t="inlineStr">
        <is>
          <t>Integra</t>
        </is>
      </c>
      <c r="D2199" t="inlineStr">
        <is>
          <t>Banorte</t>
        </is>
      </c>
      <c r="E2199" t="inlineStr">
        <is>
          <t>Intensidad</t>
        </is>
      </c>
      <c r="F2199" t="n">
        <v>0.006907</v>
      </c>
    </row>
    <row r="2200">
      <c r="A2200" t="inlineStr">
        <is>
          <t>202606</t>
        </is>
      </c>
      <c r="B2200" t="inlineStr">
        <is>
          <t>Actual</t>
        </is>
      </c>
      <c r="C2200" t="inlineStr">
        <is>
          <t>Integra</t>
        </is>
      </c>
      <c r="D2200" t="inlineStr">
        <is>
          <t>Banorte</t>
        </is>
      </c>
      <c r="E2200" t="inlineStr">
        <is>
          <t>Inv MM$</t>
        </is>
      </c>
      <c r="F2200" t="n">
        <v>25.981193</v>
      </c>
    </row>
    <row r="2201">
      <c r="A2201" t="inlineStr">
        <is>
          <t>202606</t>
        </is>
      </c>
      <c r="B2201" t="inlineStr">
        <is>
          <t>Actual</t>
        </is>
      </c>
      <c r="C2201" t="inlineStr">
        <is>
          <t>Integra</t>
        </is>
      </c>
      <c r="D2201" t="inlineStr">
        <is>
          <t>Barings - Emerging Markets Local Debt Fund</t>
        </is>
      </c>
      <c r="E2201" t="inlineStr">
        <is>
          <t>Huella</t>
        </is>
      </c>
      <c r="F2201" t="n">
        <v>0.000816</v>
      </c>
    </row>
    <row r="2202">
      <c r="A2202" t="inlineStr">
        <is>
          <t>202606</t>
        </is>
      </c>
      <c r="B2202" t="inlineStr">
        <is>
          <t>Actual</t>
        </is>
      </c>
      <c r="C2202" t="inlineStr">
        <is>
          <t>Integra</t>
        </is>
      </c>
      <c r="D2202" t="inlineStr">
        <is>
          <t>Barings - Emerging Markets Local Debt Fund</t>
        </is>
      </c>
      <c r="E2202" t="inlineStr">
        <is>
          <t>Intensidad</t>
        </is>
      </c>
      <c r="F2202" t="n">
        <v>0</v>
      </c>
    </row>
    <row r="2203">
      <c r="A2203" t="inlineStr">
        <is>
          <t>202606</t>
        </is>
      </c>
      <c r="B2203" t="inlineStr">
        <is>
          <t>Actual</t>
        </is>
      </c>
      <c r="C2203" t="inlineStr">
        <is>
          <t>Integra</t>
        </is>
      </c>
      <c r="D2203" t="inlineStr">
        <is>
          <t>Barings - Emerging Markets Local Debt Fund</t>
        </is>
      </c>
      <c r="E2203" t="inlineStr">
        <is>
          <t>Inv MM$</t>
        </is>
      </c>
      <c r="F2203" t="n">
        <v>0.000338</v>
      </c>
    </row>
    <row r="2204">
      <c r="A2204" t="inlineStr">
        <is>
          <t>202606</t>
        </is>
      </c>
      <c r="B2204" t="inlineStr">
        <is>
          <t>Actual</t>
        </is>
      </c>
      <c r="C2204" t="inlineStr">
        <is>
          <t>Integra</t>
        </is>
      </c>
      <c r="D2204" t="inlineStr">
        <is>
          <t>Barings - Emerging Markets Sovereign Debt Fund</t>
        </is>
      </c>
      <c r="E2204" t="inlineStr">
        <is>
          <t>Huella</t>
        </is>
      </c>
      <c r="F2204" t="n">
        <v>0.039232</v>
      </c>
    </row>
    <row r="2205">
      <c r="A2205" t="inlineStr">
        <is>
          <t>202606</t>
        </is>
      </c>
      <c r="B2205" t="inlineStr">
        <is>
          <t>Actual</t>
        </is>
      </c>
      <c r="C2205" t="inlineStr">
        <is>
          <t>Integra</t>
        </is>
      </c>
      <c r="D2205" t="inlineStr">
        <is>
          <t>Barings - Emerging Markets Sovereign Debt Fund</t>
        </is>
      </c>
      <c r="E2205" t="inlineStr">
        <is>
          <t>Intensidad</t>
        </is>
      </c>
      <c r="F2205" t="n">
        <v>1.8e-05</v>
      </c>
    </row>
    <row r="2206">
      <c r="A2206" t="inlineStr">
        <is>
          <t>202606</t>
        </is>
      </c>
      <c r="B2206" t="inlineStr">
        <is>
          <t>Actual</t>
        </is>
      </c>
      <c r="C2206" t="inlineStr">
        <is>
          <t>Integra</t>
        </is>
      </c>
      <c r="D2206" t="inlineStr">
        <is>
          <t>Barings - Emerging Markets Sovereign Debt Fund</t>
        </is>
      </c>
      <c r="E2206" t="inlineStr">
        <is>
          <t>Inv MM$</t>
        </is>
      </c>
      <c r="F2206" t="n">
        <v>0.000112</v>
      </c>
    </row>
    <row r="2207">
      <c r="A2207" t="inlineStr">
        <is>
          <t>202606</t>
        </is>
      </c>
      <c r="B2207" t="inlineStr">
        <is>
          <t>Actual</t>
        </is>
      </c>
      <c r="C2207" t="inlineStr">
        <is>
          <t>Integra</t>
        </is>
      </c>
      <c r="D2207" t="inlineStr">
        <is>
          <t>BlackRock - iShares Convertible Bond ETF</t>
        </is>
      </c>
      <c r="E2207" t="inlineStr">
        <is>
          <t>Huella</t>
        </is>
      </c>
      <c r="F2207" t="n">
        <v>620.812154</v>
      </c>
    </row>
    <row r="2208">
      <c r="A2208" t="inlineStr">
        <is>
          <t>202606</t>
        </is>
      </c>
      <c r="B2208" t="inlineStr">
        <is>
          <t>Actual</t>
        </is>
      </c>
      <c r="C2208" t="inlineStr">
        <is>
          <t>Integra</t>
        </is>
      </c>
      <c r="D2208" t="inlineStr">
        <is>
          <t>BlackRock - iShares Convertible Bond ETF</t>
        </is>
      </c>
      <c r="E2208" t="inlineStr">
        <is>
          <t>Intensidad</t>
        </is>
      </c>
      <c r="F2208" t="n">
        <v>0.65288</v>
      </c>
    </row>
    <row r="2209">
      <c r="A2209" t="inlineStr">
        <is>
          <t>202606</t>
        </is>
      </c>
      <c r="B2209" t="inlineStr">
        <is>
          <t>Actual</t>
        </is>
      </c>
      <c r="C2209" t="inlineStr">
        <is>
          <t>Integra</t>
        </is>
      </c>
      <c r="D2209" t="inlineStr">
        <is>
          <t>BlackRock - iShares Convertible Bond ETF</t>
        </is>
      </c>
      <c r="E2209" t="inlineStr">
        <is>
          <t>Inv MM$</t>
        </is>
      </c>
      <c r="F2209" t="n">
        <v>13.282673</v>
      </c>
    </row>
    <row r="2210">
      <c r="A2210" t="inlineStr">
        <is>
          <t>202606</t>
        </is>
      </c>
      <c r="B2210" t="inlineStr">
        <is>
          <t>Actual</t>
        </is>
      </c>
      <c r="C2210" t="inlineStr">
        <is>
          <t>Integra</t>
        </is>
      </c>
      <c r="D2210" t="inlineStr">
        <is>
          <t>BlackRock - iShares Korea</t>
        </is>
      </c>
      <c r="E2210" t="inlineStr">
        <is>
          <t>Huella</t>
        </is>
      </c>
      <c r="F2210" t="n">
        <v>29906.275791</v>
      </c>
    </row>
    <row r="2211">
      <c r="A2211" t="inlineStr">
        <is>
          <t>202606</t>
        </is>
      </c>
      <c r="B2211" t="inlineStr">
        <is>
          <t>Actual</t>
        </is>
      </c>
      <c r="C2211" t="inlineStr">
        <is>
          <t>Integra</t>
        </is>
      </c>
      <c r="D2211" t="inlineStr">
        <is>
          <t>BlackRock - iShares Korea</t>
        </is>
      </c>
      <c r="E2211" t="inlineStr">
        <is>
          <t>Intensidad</t>
        </is>
      </c>
      <c r="F2211" t="n">
        <v>8.9528</v>
      </c>
    </row>
    <row r="2212">
      <c r="A2212" t="inlineStr">
        <is>
          <t>202606</t>
        </is>
      </c>
      <c r="B2212" t="inlineStr">
        <is>
          <t>Actual</t>
        </is>
      </c>
      <c r="C2212" t="inlineStr">
        <is>
          <t>Integra</t>
        </is>
      </c>
      <c r="D2212" t="inlineStr">
        <is>
          <t>BlackRock - iShares Korea</t>
        </is>
      </c>
      <c r="E2212" t="inlineStr">
        <is>
          <t>Inv MM$</t>
        </is>
      </c>
      <c r="F2212" t="n">
        <v>513.058046</v>
      </c>
    </row>
    <row r="2213">
      <c r="A2213" t="inlineStr">
        <is>
          <t>202606</t>
        </is>
      </c>
      <c r="B2213" t="inlineStr">
        <is>
          <t>Actual</t>
        </is>
      </c>
      <c r="C2213" t="inlineStr">
        <is>
          <t>Integra</t>
        </is>
      </c>
      <c r="D2213" t="inlineStr">
        <is>
          <t>BlackRock - iShares MSCI Emerging Markets ex China</t>
        </is>
      </c>
      <c r="E2213" t="inlineStr">
        <is>
          <t>Huella</t>
        </is>
      </c>
      <c r="F2213" t="n">
        <v>2558.087462</v>
      </c>
    </row>
    <row r="2214">
      <c r="A2214" t="inlineStr">
        <is>
          <t>202606</t>
        </is>
      </c>
      <c r="B2214" t="inlineStr">
        <is>
          <t>Actual</t>
        </is>
      </c>
      <c r="C2214" t="inlineStr">
        <is>
          <t>Integra</t>
        </is>
      </c>
      <c r="D2214" t="inlineStr">
        <is>
          <t>BlackRock - iShares MSCI Emerging Markets ex China</t>
        </is>
      </c>
      <c r="E2214" t="inlineStr">
        <is>
          <t>Intensidad</t>
        </is>
      </c>
      <c r="F2214" t="n">
        <v>0.797555</v>
      </c>
    </row>
    <row r="2215">
      <c r="A2215" t="inlineStr">
        <is>
          <t>202606</t>
        </is>
      </c>
      <c r="B2215" t="inlineStr">
        <is>
          <t>Actual</t>
        </is>
      </c>
      <c r="C2215" t="inlineStr">
        <is>
          <t>Integra</t>
        </is>
      </c>
      <c r="D2215" t="inlineStr">
        <is>
          <t>BlackRock - iShares MSCI Emerging Markets ex China</t>
        </is>
      </c>
      <c r="E2215" t="inlineStr">
        <is>
          <t>Inv MM$</t>
        </is>
      </c>
      <c r="F2215" t="n">
        <v>29.672963</v>
      </c>
    </row>
    <row r="2216">
      <c r="A2216" t="inlineStr">
        <is>
          <t>202606</t>
        </is>
      </c>
      <c r="B2216" t="inlineStr">
        <is>
          <t>Actual</t>
        </is>
      </c>
      <c r="C2216" t="inlineStr">
        <is>
          <t>Integra</t>
        </is>
      </c>
      <c r="D2216" t="inlineStr">
        <is>
          <t>BlackRock - iShares MSCI Peru</t>
        </is>
      </c>
      <c r="E2216" t="inlineStr">
        <is>
          <t>Huella</t>
        </is>
      </c>
      <c r="F2216" t="n">
        <v>727.241085</v>
      </c>
    </row>
    <row r="2217">
      <c r="A2217" t="inlineStr">
        <is>
          <t>202606</t>
        </is>
      </c>
      <c r="B2217" t="inlineStr">
        <is>
          <t>Actual</t>
        </is>
      </c>
      <c r="C2217" t="inlineStr">
        <is>
          <t>Integra</t>
        </is>
      </c>
      <c r="D2217" t="inlineStr">
        <is>
          <t>BlackRock - iShares MSCI Peru</t>
        </is>
      </c>
      <c r="E2217" t="inlineStr">
        <is>
          <t>Intensidad</t>
        </is>
      </c>
      <c r="F2217" t="n">
        <v>0.629597</v>
      </c>
    </row>
    <row r="2218">
      <c r="A2218" t="inlineStr">
        <is>
          <t>202606</t>
        </is>
      </c>
      <c r="B2218" t="inlineStr">
        <is>
          <t>Actual</t>
        </is>
      </c>
      <c r="C2218" t="inlineStr">
        <is>
          <t>Integra</t>
        </is>
      </c>
      <c r="D2218" t="inlineStr">
        <is>
          <t>BlackRock - iShares MSCI Peru</t>
        </is>
      </c>
      <c r="E2218" t="inlineStr">
        <is>
          <t>Inv MM$</t>
        </is>
      </c>
      <c r="F2218" t="n">
        <v>35.481897</v>
      </c>
    </row>
    <row r="2219">
      <c r="A2219" t="inlineStr">
        <is>
          <t>202606</t>
        </is>
      </c>
      <c r="B2219" t="inlineStr">
        <is>
          <t>Actual</t>
        </is>
      </c>
      <c r="C2219" t="inlineStr">
        <is>
          <t>Integra</t>
        </is>
      </c>
      <c r="D2219" t="inlineStr">
        <is>
          <t>BlackRock - iShares PHLX Semiconductor ETF</t>
        </is>
      </c>
      <c r="E2219" t="inlineStr">
        <is>
          <t>Huella</t>
        </is>
      </c>
      <c r="F2219" t="n">
        <v>5094.168042</v>
      </c>
    </row>
    <row r="2220">
      <c r="A2220" t="inlineStr">
        <is>
          <t>202606</t>
        </is>
      </c>
      <c r="B2220" t="inlineStr">
        <is>
          <t>Actual</t>
        </is>
      </c>
      <c r="C2220" t="inlineStr">
        <is>
          <t>Integra</t>
        </is>
      </c>
      <c r="D2220" t="inlineStr">
        <is>
          <t>BlackRock - iShares PHLX Semiconductor ETF</t>
        </is>
      </c>
      <c r="E2220" t="inlineStr">
        <is>
          <t>Intensidad</t>
        </is>
      </c>
      <c r="F2220" t="n">
        <v>1.567853</v>
      </c>
    </row>
    <row r="2221">
      <c r="A2221" t="inlineStr">
        <is>
          <t>202606</t>
        </is>
      </c>
      <c r="B2221" t="inlineStr">
        <is>
          <t>Actual</t>
        </is>
      </c>
      <c r="C2221" t="inlineStr">
        <is>
          <t>Integra</t>
        </is>
      </c>
      <c r="D2221" t="inlineStr">
        <is>
          <t>BlackRock - iShares PHLX Semiconductor ETF</t>
        </is>
      </c>
      <c r="E2221" t="inlineStr">
        <is>
          <t>Inv MM$</t>
        </is>
      </c>
      <c r="F2221" t="n">
        <v>511.08719</v>
      </c>
    </row>
    <row r="2222">
      <c r="A2222" t="inlineStr">
        <is>
          <t>202606</t>
        </is>
      </c>
      <c r="B2222" t="inlineStr">
        <is>
          <t>Actual</t>
        </is>
      </c>
      <c r="C2222" t="inlineStr">
        <is>
          <t>Integra</t>
        </is>
      </c>
      <c r="D2222" t="inlineStr">
        <is>
          <t>BlackRock - iShares Taiwan</t>
        </is>
      </c>
      <c r="E2222" t="inlineStr">
        <is>
          <t>Huella</t>
        </is>
      </c>
      <c r="F2222" t="n">
        <v>2988.405132</v>
      </c>
    </row>
    <row r="2223">
      <c r="A2223" t="inlineStr">
        <is>
          <t>202606</t>
        </is>
      </c>
      <c r="B2223" t="inlineStr">
        <is>
          <t>Actual</t>
        </is>
      </c>
      <c r="C2223" t="inlineStr">
        <is>
          <t>Integra</t>
        </is>
      </c>
      <c r="D2223" t="inlineStr">
        <is>
          <t>BlackRock - iShares Taiwan</t>
        </is>
      </c>
      <c r="E2223" t="inlineStr">
        <is>
          <t>Intensidad</t>
        </is>
      </c>
      <c r="F2223" t="n">
        <v>0.9898439999999999</v>
      </c>
    </row>
    <row r="2224">
      <c r="A2224" t="inlineStr">
        <is>
          <t>202606</t>
        </is>
      </c>
      <c r="B2224" t="inlineStr">
        <is>
          <t>Actual</t>
        </is>
      </c>
      <c r="C2224" t="inlineStr">
        <is>
          <t>Integra</t>
        </is>
      </c>
      <c r="D2224" t="inlineStr">
        <is>
          <t>BlackRock - iShares Taiwan</t>
        </is>
      </c>
      <c r="E2224" t="inlineStr">
        <is>
          <t>Inv MM$</t>
        </is>
      </c>
      <c r="F2224" t="n">
        <v>53.897232</v>
      </c>
    </row>
    <row r="2225">
      <c r="A2225" t="inlineStr">
        <is>
          <t>202606</t>
        </is>
      </c>
      <c r="B2225" t="inlineStr">
        <is>
          <t>Actual</t>
        </is>
      </c>
      <c r="C2225" t="inlineStr">
        <is>
          <t>Integra</t>
        </is>
      </c>
      <c r="D2225" t="inlineStr">
        <is>
          <t>BlueBay - Financial Capital Bond - E</t>
        </is>
      </c>
      <c r="E2225" t="inlineStr">
        <is>
          <t>Huella</t>
        </is>
      </c>
      <c r="F2225" t="n">
        <v>0.475911</v>
      </c>
    </row>
    <row r="2226">
      <c r="A2226" t="inlineStr">
        <is>
          <t>202606</t>
        </is>
      </c>
      <c r="B2226" t="inlineStr">
        <is>
          <t>Actual</t>
        </is>
      </c>
      <c r="C2226" t="inlineStr">
        <is>
          <t>Integra</t>
        </is>
      </c>
      <c r="D2226" t="inlineStr">
        <is>
          <t>BlueBay - Financial Capital Bond - E</t>
        </is>
      </c>
      <c r="E2226" t="inlineStr">
        <is>
          <t>Intensidad</t>
        </is>
      </c>
      <c r="F2226" t="n">
        <v>0.000111</v>
      </c>
    </row>
    <row r="2227">
      <c r="A2227" t="inlineStr">
        <is>
          <t>202606</t>
        </is>
      </c>
      <c r="B2227" t="inlineStr">
        <is>
          <t>Actual</t>
        </is>
      </c>
      <c r="C2227" t="inlineStr">
        <is>
          <t>Integra</t>
        </is>
      </c>
      <c r="D2227" t="inlineStr">
        <is>
          <t>BlueBay - Financial Capital Bond - E</t>
        </is>
      </c>
      <c r="E2227" t="inlineStr">
        <is>
          <t>Inv MM$</t>
        </is>
      </c>
      <c r="F2227" t="n">
        <v>1.057321</v>
      </c>
    </row>
    <row r="2228">
      <c r="A2228" t="inlineStr">
        <is>
          <t>202606</t>
        </is>
      </c>
      <c r="B2228" t="inlineStr">
        <is>
          <t>Actual</t>
        </is>
      </c>
      <c r="C2228" t="inlineStr">
        <is>
          <t>Integra</t>
        </is>
      </c>
      <c r="D2228" t="inlineStr">
        <is>
          <t>Buenaventura*</t>
        </is>
      </c>
      <c r="E2228" t="inlineStr">
        <is>
          <t>Huella</t>
        </is>
      </c>
      <c r="F2228" t="n">
        <v>11810.168694</v>
      </c>
    </row>
    <row r="2229">
      <c r="A2229" t="inlineStr">
        <is>
          <t>202606</t>
        </is>
      </c>
      <c r="B2229" t="inlineStr">
        <is>
          <t>Actual</t>
        </is>
      </c>
      <c r="C2229" t="inlineStr">
        <is>
          <t>Integra</t>
        </is>
      </c>
      <c r="D2229" t="inlineStr">
        <is>
          <t>Buenaventura*</t>
        </is>
      </c>
      <c r="E2229" t="inlineStr">
        <is>
          <t>Intensidad</t>
        </is>
      </c>
      <c r="F2229" t="n">
        <v>3.142275</v>
      </c>
    </row>
    <row r="2230">
      <c r="A2230" t="inlineStr">
        <is>
          <t>202606</t>
        </is>
      </c>
      <c r="B2230" t="inlineStr">
        <is>
          <t>Actual</t>
        </is>
      </c>
      <c r="C2230" t="inlineStr">
        <is>
          <t>Integra</t>
        </is>
      </c>
      <c r="D2230" t="inlineStr">
        <is>
          <t>Buenaventura*</t>
        </is>
      </c>
      <c r="E2230" t="inlineStr">
        <is>
          <t>Inv MM$</t>
        </is>
      </c>
      <c r="F2230" t="n">
        <v>367.5745</v>
      </c>
    </row>
    <row r="2231">
      <c r="A2231" t="inlineStr">
        <is>
          <t>202606</t>
        </is>
      </c>
      <c r="B2231" t="inlineStr">
        <is>
          <t>Actual</t>
        </is>
      </c>
      <c r="C2231" t="inlineStr">
        <is>
          <t>Integra</t>
        </is>
      </c>
      <c r="D2231" t="inlineStr">
        <is>
          <t>Credicorp*</t>
        </is>
      </c>
      <c r="E2231" t="inlineStr">
        <is>
          <t>Huella</t>
        </is>
      </c>
      <c r="F2231" t="n">
        <v>200.022949</v>
      </c>
    </row>
    <row r="2232">
      <c r="A2232" t="inlineStr">
        <is>
          <t>202606</t>
        </is>
      </c>
      <c r="B2232" t="inlineStr">
        <is>
          <t>Actual</t>
        </is>
      </c>
      <c r="C2232" t="inlineStr">
        <is>
          <t>Integra</t>
        </is>
      </c>
      <c r="D2232" t="inlineStr">
        <is>
          <t>Credicorp*</t>
        </is>
      </c>
      <c r="E2232" t="inlineStr">
        <is>
          <t>Intensidad</t>
        </is>
      </c>
      <c r="F2232" t="n">
        <v>0.054641</v>
      </c>
    </row>
    <row r="2233">
      <c r="A2233" t="inlineStr">
        <is>
          <t>202606</t>
        </is>
      </c>
      <c r="B2233" t="inlineStr">
        <is>
          <t>Actual</t>
        </is>
      </c>
      <c r="C2233" t="inlineStr">
        <is>
          <t>Integra</t>
        </is>
      </c>
      <c r="D2233" t="inlineStr">
        <is>
          <t>Credicorp*</t>
        </is>
      </c>
      <c r="E2233" t="inlineStr">
        <is>
          <t>Inv MM$</t>
        </is>
      </c>
      <c r="F2233" t="n">
        <v>425.580742</v>
      </c>
    </row>
    <row r="2234">
      <c r="A2234" t="inlineStr">
        <is>
          <t>202606</t>
        </is>
      </c>
      <c r="B2234" t="inlineStr">
        <is>
          <t>Actual</t>
        </is>
      </c>
      <c r="C2234" t="inlineStr">
        <is>
          <t>Integra</t>
        </is>
      </c>
      <c r="D2234" t="inlineStr">
        <is>
          <t>DFA - US Large Cap Value</t>
        </is>
      </c>
      <c r="E2234" t="inlineStr">
        <is>
          <t>Huella</t>
        </is>
      </c>
      <c r="F2234" t="n">
        <v>0.003106</v>
      </c>
    </row>
    <row r="2235">
      <c r="A2235" t="inlineStr">
        <is>
          <t>202606</t>
        </is>
      </c>
      <c r="B2235" t="inlineStr">
        <is>
          <t>Actual</t>
        </is>
      </c>
      <c r="C2235" t="inlineStr">
        <is>
          <t>Integra</t>
        </is>
      </c>
      <c r="D2235" t="inlineStr">
        <is>
          <t>DFA - US Large Cap Value</t>
        </is>
      </c>
      <c r="E2235" t="inlineStr">
        <is>
          <t>Intensidad</t>
        </is>
      </c>
      <c r="F2235" t="n">
        <v>0</v>
      </c>
    </row>
    <row r="2236">
      <c r="A2236" t="inlineStr">
        <is>
          <t>202606</t>
        </is>
      </c>
      <c r="B2236" t="inlineStr">
        <is>
          <t>Actual</t>
        </is>
      </c>
      <c r="C2236" t="inlineStr">
        <is>
          <t>Integra</t>
        </is>
      </c>
      <c r="D2236" t="inlineStr">
        <is>
          <t>DFA - US Large Cap Value</t>
        </is>
      </c>
      <c r="E2236" t="inlineStr">
        <is>
          <t>Inv MM$</t>
        </is>
      </c>
      <c r="F2236" t="n">
        <v>6.3e-05</v>
      </c>
    </row>
    <row r="2237">
      <c r="A2237" t="inlineStr">
        <is>
          <t>202606</t>
        </is>
      </c>
      <c r="B2237" t="inlineStr">
        <is>
          <t>Actual</t>
        </is>
      </c>
      <c r="C2237" t="inlineStr">
        <is>
          <t>Integra</t>
        </is>
      </c>
      <c r="D2237" t="inlineStr">
        <is>
          <t>DNCA - Alpha Bonds</t>
        </is>
      </c>
      <c r="E2237" t="inlineStr">
        <is>
          <t>Huella</t>
        </is>
      </c>
      <c r="F2237" t="n">
        <v>634.5884150000001</v>
      </c>
    </row>
    <row r="2238">
      <c r="A2238" t="inlineStr">
        <is>
          <t>202606</t>
        </is>
      </c>
      <c r="B2238" t="inlineStr">
        <is>
          <t>Actual</t>
        </is>
      </c>
      <c r="C2238" t="inlineStr">
        <is>
          <t>Integra</t>
        </is>
      </c>
      <c r="D2238" t="inlineStr">
        <is>
          <t>DNCA - Alpha Bonds</t>
        </is>
      </c>
      <c r="E2238" t="inlineStr">
        <is>
          <t>Intensidad</t>
        </is>
      </c>
      <c r="F2238" t="n">
        <v>0.129354</v>
      </c>
    </row>
    <row r="2239">
      <c r="A2239" t="inlineStr">
        <is>
          <t>202606</t>
        </is>
      </c>
      <c r="B2239" t="inlineStr">
        <is>
          <t>Actual</t>
        </is>
      </c>
      <c r="C2239" t="inlineStr">
        <is>
          <t>Integra</t>
        </is>
      </c>
      <c r="D2239" t="inlineStr">
        <is>
          <t>DNCA - Alpha Bonds</t>
        </is>
      </c>
      <c r="E2239" t="inlineStr">
        <is>
          <t>Inv MM$</t>
        </is>
      </c>
      <c r="F2239" t="n">
        <v>32.284431</v>
      </c>
    </row>
    <row r="2240">
      <c r="A2240" t="inlineStr">
        <is>
          <t>202606</t>
        </is>
      </c>
      <c r="B2240" t="inlineStr">
        <is>
          <t>Actual</t>
        </is>
      </c>
      <c r="C2240" t="inlineStr">
        <is>
          <t>Integra</t>
        </is>
      </c>
      <c r="D2240" t="inlineStr">
        <is>
          <t>DPAM L - EM  Sustainable Debt</t>
        </is>
      </c>
      <c r="E2240" t="inlineStr">
        <is>
          <t>Huella</t>
        </is>
      </c>
      <c r="F2240" t="n">
        <v>4.416259</v>
      </c>
    </row>
    <row r="2241">
      <c r="A2241" t="inlineStr">
        <is>
          <t>202606</t>
        </is>
      </c>
      <c r="B2241" t="inlineStr">
        <is>
          <t>Actual</t>
        </is>
      </c>
      <c r="C2241" t="inlineStr">
        <is>
          <t>Integra</t>
        </is>
      </c>
      <c r="D2241" t="inlineStr">
        <is>
          <t>DPAM L - EM  Sustainable Debt</t>
        </is>
      </c>
      <c r="E2241" t="inlineStr">
        <is>
          <t>Intensidad</t>
        </is>
      </c>
      <c r="F2241" t="n">
        <v>0.002036</v>
      </c>
    </row>
    <row r="2242">
      <c r="A2242" t="inlineStr">
        <is>
          <t>202606</t>
        </is>
      </c>
      <c r="B2242" t="inlineStr">
        <is>
          <t>Actual</t>
        </is>
      </c>
      <c r="C2242" t="inlineStr">
        <is>
          <t>Integra</t>
        </is>
      </c>
      <c r="D2242" t="inlineStr">
        <is>
          <t>DPAM L - EM  Sustainable Debt</t>
        </is>
      </c>
      <c r="E2242" t="inlineStr">
        <is>
          <t>Inv MM$</t>
        </is>
      </c>
      <c r="F2242" t="n">
        <v>21.217366</v>
      </c>
    </row>
    <row r="2243">
      <c r="A2243" t="inlineStr">
        <is>
          <t>202606</t>
        </is>
      </c>
      <c r="B2243" t="inlineStr">
        <is>
          <t>Actual</t>
        </is>
      </c>
      <c r="C2243" t="inlineStr">
        <is>
          <t>Integra</t>
        </is>
      </c>
      <c r="D2243" t="inlineStr">
        <is>
          <t>Eastspring - Japan Dynamic Fund</t>
        </is>
      </c>
      <c r="E2243" t="inlineStr">
        <is>
          <t>Huella</t>
        </is>
      </c>
      <c r="F2243" t="n">
        <v>0.004064</v>
      </c>
    </row>
    <row r="2244">
      <c r="A2244" t="inlineStr">
        <is>
          <t>202606</t>
        </is>
      </c>
      <c r="B2244" t="inlineStr">
        <is>
          <t>Actual</t>
        </is>
      </c>
      <c r="C2244" t="inlineStr">
        <is>
          <t>Integra</t>
        </is>
      </c>
      <c r="D2244" t="inlineStr">
        <is>
          <t>Eastspring - Japan Dynamic Fund</t>
        </is>
      </c>
      <c r="E2244" t="inlineStr">
        <is>
          <t>Intensidad</t>
        </is>
      </c>
      <c r="F2244" t="n">
        <v>2e-06</v>
      </c>
    </row>
    <row r="2245">
      <c r="A2245" t="inlineStr">
        <is>
          <t>202606</t>
        </is>
      </c>
      <c r="B2245" t="inlineStr">
        <is>
          <t>Actual</t>
        </is>
      </c>
      <c r="C2245" t="inlineStr">
        <is>
          <t>Integra</t>
        </is>
      </c>
      <c r="D2245" t="inlineStr">
        <is>
          <t>Eastspring - Japan Dynamic Fund</t>
        </is>
      </c>
      <c r="E2245" t="inlineStr">
        <is>
          <t>Inv MM$</t>
        </is>
      </c>
      <c r="F2245" t="n">
        <v>4.3e-05</v>
      </c>
    </row>
    <row r="2246">
      <c r="A2246" t="inlineStr">
        <is>
          <t>202606</t>
        </is>
      </c>
      <c r="B2246" t="inlineStr">
        <is>
          <t>Actual</t>
        </is>
      </c>
      <c r="C2246" t="inlineStr">
        <is>
          <t>Integra</t>
        </is>
      </c>
      <c r="D2246" t="inlineStr">
        <is>
          <t>Ecopetrol</t>
        </is>
      </c>
      <c r="E2246" t="inlineStr">
        <is>
          <t>Huella</t>
        </is>
      </c>
      <c r="F2246" t="n">
        <v>17354.47578</v>
      </c>
    </row>
    <row r="2247">
      <c r="A2247" t="inlineStr">
        <is>
          <t>202606</t>
        </is>
      </c>
      <c r="B2247" t="inlineStr">
        <is>
          <t>Actual</t>
        </is>
      </c>
      <c r="C2247" t="inlineStr">
        <is>
          <t>Integra</t>
        </is>
      </c>
      <c r="D2247" t="inlineStr">
        <is>
          <t>Ecopetrol</t>
        </is>
      </c>
      <c r="E2247" t="inlineStr">
        <is>
          <t>Intensidad</t>
        </is>
      </c>
      <c r="F2247" t="n">
        <v>4.094842</v>
      </c>
    </row>
    <row r="2248">
      <c r="A2248" t="inlineStr">
        <is>
          <t>202606</t>
        </is>
      </c>
      <c r="B2248" t="inlineStr">
        <is>
          <t>Actual</t>
        </is>
      </c>
      <c r="C2248" t="inlineStr">
        <is>
          <t>Integra</t>
        </is>
      </c>
      <c r="D2248" t="inlineStr">
        <is>
          <t>Ecopetrol</t>
        </is>
      </c>
      <c r="E2248" t="inlineStr">
        <is>
          <t>Inv MM$</t>
        </is>
      </c>
      <c r="F2248" t="n">
        <v>76.67097800000001</v>
      </c>
    </row>
    <row r="2249">
      <c r="A2249" t="inlineStr">
        <is>
          <t>202606</t>
        </is>
      </c>
      <c r="B2249" t="inlineStr">
        <is>
          <t>Actual</t>
        </is>
      </c>
      <c r="C2249" t="inlineStr">
        <is>
          <t>Integra</t>
        </is>
      </c>
      <c r="D2249" t="inlineStr">
        <is>
          <t>Emp. Públicas Medellin</t>
        </is>
      </c>
      <c r="E2249" t="inlineStr">
        <is>
          <t>Huella</t>
        </is>
      </c>
      <c r="F2249" t="n">
        <v>1638.898949</v>
      </c>
    </row>
    <row r="2250">
      <c r="A2250" t="inlineStr">
        <is>
          <t>202606</t>
        </is>
      </c>
      <c r="B2250" t="inlineStr">
        <is>
          <t>Actual</t>
        </is>
      </c>
      <c r="C2250" t="inlineStr">
        <is>
          <t>Integra</t>
        </is>
      </c>
      <c r="D2250" t="inlineStr">
        <is>
          <t>Emp. Públicas Medellin</t>
        </is>
      </c>
      <c r="E2250" t="inlineStr">
        <is>
          <t>Intensidad</t>
        </is>
      </c>
      <c r="F2250" t="n">
        <v>0.428393</v>
      </c>
    </row>
    <row r="2251">
      <c r="A2251" t="inlineStr">
        <is>
          <t>202606</t>
        </is>
      </c>
      <c r="B2251" t="inlineStr">
        <is>
          <t>Actual</t>
        </is>
      </c>
      <c r="C2251" t="inlineStr">
        <is>
          <t>Integra</t>
        </is>
      </c>
      <c r="D2251" t="inlineStr">
        <is>
          <t>Emp. Públicas Medellin</t>
        </is>
      </c>
      <c r="E2251" t="inlineStr">
        <is>
          <t>Inv MM$</t>
        </is>
      </c>
      <c r="F2251" t="n">
        <v>50.226753</v>
      </c>
    </row>
    <row r="2252">
      <c r="A2252" t="inlineStr">
        <is>
          <t>202606</t>
        </is>
      </c>
      <c r="B2252" t="inlineStr">
        <is>
          <t>Actual</t>
        </is>
      </c>
      <c r="C2252" t="inlineStr">
        <is>
          <t>Integra</t>
        </is>
      </c>
      <c r="D2252" t="inlineStr">
        <is>
          <t>Ferreyros</t>
        </is>
      </c>
      <c r="E2252" t="inlineStr">
        <is>
          <t>Huella</t>
        </is>
      </c>
      <c r="F2252" t="n">
        <v>899.786466</v>
      </c>
    </row>
    <row r="2253">
      <c r="A2253" t="inlineStr">
        <is>
          <t>202606</t>
        </is>
      </c>
      <c r="B2253" t="inlineStr">
        <is>
          <t>Actual</t>
        </is>
      </c>
      <c r="C2253" t="inlineStr">
        <is>
          <t>Integra</t>
        </is>
      </c>
      <c r="D2253" t="inlineStr">
        <is>
          <t>Ferreyros</t>
        </is>
      </c>
      <c r="E2253" t="inlineStr">
        <is>
          <t>Intensidad</t>
        </is>
      </c>
      <c r="F2253" t="n">
        <v>0.294474</v>
      </c>
    </row>
    <row r="2254">
      <c r="A2254" t="inlineStr">
        <is>
          <t>202606</t>
        </is>
      </c>
      <c r="B2254" t="inlineStr">
        <is>
          <t>Actual</t>
        </is>
      </c>
      <c r="C2254" t="inlineStr">
        <is>
          <t>Integra</t>
        </is>
      </c>
      <c r="D2254" t="inlineStr">
        <is>
          <t>Ferreyros</t>
        </is>
      </c>
      <c r="E2254" t="inlineStr">
        <is>
          <t>Inv MM$</t>
        </is>
      </c>
      <c r="F2254" t="n">
        <v>144.196549</v>
      </c>
    </row>
    <row r="2255">
      <c r="A2255" t="inlineStr">
        <is>
          <t>202606</t>
        </is>
      </c>
      <c r="B2255" t="inlineStr">
        <is>
          <t>Actual</t>
        </is>
      </c>
      <c r="C2255" t="inlineStr">
        <is>
          <t>Integra</t>
        </is>
      </c>
      <c r="D2255" t="inlineStr">
        <is>
          <t>Fidelity - European Dynamic Growth</t>
        </is>
      </c>
      <c r="E2255" t="inlineStr">
        <is>
          <t>Huella</t>
        </is>
      </c>
      <c r="F2255" t="n">
        <v>0.0008229999999999999</v>
      </c>
    </row>
    <row r="2256">
      <c r="A2256" t="inlineStr">
        <is>
          <t>202606</t>
        </is>
      </c>
      <c r="B2256" t="inlineStr">
        <is>
          <t>Actual</t>
        </is>
      </c>
      <c r="C2256" t="inlineStr">
        <is>
          <t>Integra</t>
        </is>
      </c>
      <c r="D2256" t="inlineStr">
        <is>
          <t>Fidelity - European Dynamic Growth</t>
        </is>
      </c>
      <c r="E2256" t="inlineStr">
        <is>
          <t>Intensidad</t>
        </is>
      </c>
      <c r="F2256" t="n">
        <v>0</v>
      </c>
    </row>
    <row r="2257">
      <c r="A2257" t="inlineStr">
        <is>
          <t>202606</t>
        </is>
      </c>
      <c r="B2257" t="inlineStr">
        <is>
          <t>Actual</t>
        </is>
      </c>
      <c r="C2257" t="inlineStr">
        <is>
          <t>Integra</t>
        </is>
      </c>
      <c r="D2257" t="inlineStr">
        <is>
          <t>Fidelity - European Dynamic Growth</t>
        </is>
      </c>
      <c r="E2257" t="inlineStr">
        <is>
          <t>Inv MM$</t>
        </is>
      </c>
      <c r="F2257" t="n">
        <v>5.7e-05</v>
      </c>
    </row>
    <row r="2258">
      <c r="A2258" t="inlineStr">
        <is>
          <t>202606</t>
        </is>
      </c>
      <c r="B2258" t="inlineStr">
        <is>
          <t>Actual</t>
        </is>
      </c>
      <c r="C2258" t="inlineStr">
        <is>
          <t>Integra</t>
        </is>
      </c>
      <c r="D2258" t="inlineStr">
        <is>
          <t>Global Evolution Funds - Frontier Markets Fund</t>
        </is>
      </c>
      <c r="E2258" t="inlineStr">
        <is>
          <t>Huella</t>
        </is>
      </c>
      <c r="F2258" t="n">
        <v>27.620383</v>
      </c>
    </row>
    <row r="2259">
      <c r="A2259" t="inlineStr">
        <is>
          <t>202606</t>
        </is>
      </c>
      <c r="B2259" t="inlineStr">
        <is>
          <t>Actual</t>
        </is>
      </c>
      <c r="C2259" t="inlineStr">
        <is>
          <t>Integra</t>
        </is>
      </c>
      <c r="D2259" t="inlineStr">
        <is>
          <t>Global Evolution Funds - Frontier Markets Fund</t>
        </is>
      </c>
      <c r="E2259" t="inlineStr">
        <is>
          <t>Intensidad</t>
        </is>
      </c>
      <c r="F2259" t="n">
        <v>0.012732</v>
      </c>
    </row>
    <row r="2260">
      <c r="A2260" t="inlineStr">
        <is>
          <t>202606</t>
        </is>
      </c>
      <c r="B2260" t="inlineStr">
        <is>
          <t>Actual</t>
        </is>
      </c>
      <c r="C2260" t="inlineStr">
        <is>
          <t>Integra</t>
        </is>
      </c>
      <c r="D2260" t="inlineStr">
        <is>
          <t>Global Evolution Funds - Frontier Markets Fund</t>
        </is>
      </c>
      <c r="E2260" t="inlineStr">
        <is>
          <t>Inv MM$</t>
        </is>
      </c>
      <c r="F2260" t="n">
        <v>60.464507</v>
      </c>
    </row>
    <row r="2261">
      <c r="A2261" t="inlineStr">
        <is>
          <t>202606</t>
        </is>
      </c>
      <c r="B2261" t="inlineStr">
        <is>
          <t>Actual</t>
        </is>
      </c>
      <c r="C2261" t="inlineStr">
        <is>
          <t>Integra</t>
        </is>
      </c>
      <c r="D2261" t="inlineStr">
        <is>
          <t>Global X - Copper Miners ETF</t>
        </is>
      </c>
      <c r="E2261" t="inlineStr">
        <is>
          <t>Huella</t>
        </is>
      </c>
      <c r="F2261" t="n">
        <v>12101.395553</v>
      </c>
    </row>
    <row r="2262">
      <c r="A2262" t="inlineStr">
        <is>
          <t>202606</t>
        </is>
      </c>
      <c r="B2262" t="inlineStr">
        <is>
          <t>Actual</t>
        </is>
      </c>
      <c r="C2262" t="inlineStr">
        <is>
          <t>Integra</t>
        </is>
      </c>
      <c r="D2262" t="inlineStr">
        <is>
          <t>Global X - Copper Miners ETF</t>
        </is>
      </c>
      <c r="E2262" t="inlineStr">
        <is>
          <t>Intensidad</t>
        </is>
      </c>
      <c r="F2262" t="n">
        <v>3.824247</v>
      </c>
    </row>
    <row r="2263">
      <c r="A2263" t="inlineStr">
        <is>
          <t>202606</t>
        </is>
      </c>
      <c r="B2263" t="inlineStr">
        <is>
          <t>Actual</t>
        </is>
      </c>
      <c r="C2263" t="inlineStr">
        <is>
          <t>Integra</t>
        </is>
      </c>
      <c r="D2263" t="inlineStr">
        <is>
          <t>Global X - Copper Miners ETF</t>
        </is>
      </c>
      <c r="E2263" t="inlineStr">
        <is>
          <t>Inv MM$</t>
        </is>
      </c>
      <c r="F2263" t="n">
        <v>164.683852</v>
      </c>
    </row>
    <row r="2264">
      <c r="A2264" t="inlineStr">
        <is>
          <t>202606</t>
        </is>
      </c>
      <c r="B2264" t="inlineStr">
        <is>
          <t>Actual</t>
        </is>
      </c>
      <c r="C2264" t="inlineStr">
        <is>
          <t>Integra</t>
        </is>
      </c>
      <c r="D2264" t="inlineStr">
        <is>
          <t>Global X - Data Center &amp; Digital Infrastructure ETF</t>
        </is>
      </c>
      <c r="E2264" t="inlineStr">
        <is>
          <t>Huella</t>
        </is>
      </c>
      <c r="F2264" t="n">
        <v>186.853547</v>
      </c>
    </row>
    <row r="2265">
      <c r="A2265" t="inlineStr">
        <is>
          <t>202606</t>
        </is>
      </c>
      <c r="B2265" t="inlineStr">
        <is>
          <t>Actual</t>
        </is>
      </c>
      <c r="C2265" t="inlineStr">
        <is>
          <t>Integra</t>
        </is>
      </c>
      <c r="D2265" t="inlineStr">
        <is>
          <t>Global X - Data Center &amp; Digital Infrastructure ETF</t>
        </is>
      </c>
      <c r="E2265" t="inlineStr">
        <is>
          <t>Intensidad</t>
        </is>
      </c>
      <c r="F2265" t="n">
        <v>0.196505</v>
      </c>
    </row>
    <row r="2266">
      <c r="A2266" t="inlineStr">
        <is>
          <t>202606</t>
        </is>
      </c>
      <c r="B2266" t="inlineStr">
        <is>
          <t>Actual</t>
        </is>
      </c>
      <c r="C2266" t="inlineStr">
        <is>
          <t>Integra</t>
        </is>
      </c>
      <c r="D2266" t="inlineStr">
        <is>
          <t>Global X - Data Center &amp; Digital Infrastructure ETF</t>
        </is>
      </c>
      <c r="E2266" t="inlineStr">
        <is>
          <t>Inv MM$</t>
        </is>
      </c>
      <c r="F2266" t="n">
        <v>7.057624</v>
      </c>
    </row>
    <row r="2267">
      <c r="A2267" t="inlineStr">
        <is>
          <t>202606</t>
        </is>
      </c>
      <c r="B2267" t="inlineStr">
        <is>
          <t>Actual</t>
        </is>
      </c>
      <c r="C2267" t="inlineStr">
        <is>
          <t>Integra</t>
        </is>
      </c>
      <c r="D2267" t="inlineStr">
        <is>
          <t>Goldman Sachs - Emerging Markets Corporate Debt</t>
        </is>
      </c>
      <c r="E2267" t="inlineStr">
        <is>
          <t>Huella</t>
        </is>
      </c>
      <c r="F2267" t="n">
        <v>0.048279</v>
      </c>
    </row>
    <row r="2268">
      <c r="A2268" t="inlineStr">
        <is>
          <t>202606</t>
        </is>
      </c>
      <c r="B2268" t="inlineStr">
        <is>
          <t>Actual</t>
        </is>
      </c>
      <c r="C2268" t="inlineStr">
        <is>
          <t>Integra</t>
        </is>
      </c>
      <c r="D2268" t="inlineStr">
        <is>
          <t>Goldman Sachs - Emerging Markets Corporate Debt</t>
        </is>
      </c>
      <c r="E2268" t="inlineStr">
        <is>
          <t>Intensidad</t>
        </is>
      </c>
      <c r="F2268" t="n">
        <v>2.2e-05</v>
      </c>
    </row>
    <row r="2269">
      <c r="A2269" t="inlineStr">
        <is>
          <t>202606</t>
        </is>
      </c>
      <c r="B2269" t="inlineStr">
        <is>
          <t>Actual</t>
        </is>
      </c>
      <c r="C2269" t="inlineStr">
        <is>
          <t>Integra</t>
        </is>
      </c>
      <c r="D2269" t="inlineStr">
        <is>
          <t>Goldman Sachs - Emerging Markets Corporate Debt</t>
        </is>
      </c>
      <c r="E2269" t="inlineStr">
        <is>
          <t>Inv MM$</t>
        </is>
      </c>
      <c r="F2269" t="n">
        <v>0.000144</v>
      </c>
    </row>
    <row r="2270">
      <c r="A2270" t="inlineStr">
        <is>
          <t>202606</t>
        </is>
      </c>
      <c r="B2270" t="inlineStr">
        <is>
          <t>Actual</t>
        </is>
      </c>
      <c r="C2270" t="inlineStr">
        <is>
          <t>Integra</t>
        </is>
      </c>
      <c r="D2270" t="inlineStr">
        <is>
          <t>Goldman Sachs - India Equity Portfolio</t>
        </is>
      </c>
      <c r="E2270" t="inlineStr">
        <is>
          <t>Huella</t>
        </is>
      </c>
      <c r="F2270" t="n">
        <v>0.015807</v>
      </c>
    </row>
    <row r="2271">
      <c r="A2271" t="inlineStr">
        <is>
          <t>202606</t>
        </is>
      </c>
      <c r="B2271" t="inlineStr">
        <is>
          <t>Actual</t>
        </is>
      </c>
      <c r="C2271" t="inlineStr">
        <is>
          <t>Integra</t>
        </is>
      </c>
      <c r="D2271" t="inlineStr">
        <is>
          <t>Goldman Sachs - India Equity Portfolio</t>
        </is>
      </c>
      <c r="E2271" t="inlineStr">
        <is>
          <t>Intensidad</t>
        </is>
      </c>
      <c r="F2271" t="n">
        <v>9e-06</v>
      </c>
    </row>
    <row r="2272">
      <c r="A2272" t="inlineStr">
        <is>
          <t>202606</t>
        </is>
      </c>
      <c r="B2272" t="inlineStr">
        <is>
          <t>Actual</t>
        </is>
      </c>
      <c r="C2272" t="inlineStr">
        <is>
          <t>Integra</t>
        </is>
      </c>
      <c r="D2272" t="inlineStr">
        <is>
          <t>Goldman Sachs - India Equity Portfolio</t>
        </is>
      </c>
      <c r="E2272" t="inlineStr">
        <is>
          <t>Inv MM$</t>
        </is>
      </c>
      <c r="F2272" t="n">
        <v>9.8e-05</v>
      </c>
    </row>
    <row r="2273">
      <c r="A2273" t="inlineStr">
        <is>
          <t>202606</t>
        </is>
      </c>
      <c r="B2273" t="inlineStr">
        <is>
          <t>Actual</t>
        </is>
      </c>
      <c r="C2273" t="inlineStr">
        <is>
          <t>Integra</t>
        </is>
      </c>
      <c r="D2273" t="inlineStr">
        <is>
          <t>Groupama - Avenir Euro (Mid Small Caps)</t>
        </is>
      </c>
      <c r="E2273" t="inlineStr">
        <is>
          <t>Huella</t>
        </is>
      </c>
      <c r="F2273" t="n">
        <v>0.113475</v>
      </c>
    </row>
    <row r="2274">
      <c r="A2274" t="inlineStr">
        <is>
          <t>202606</t>
        </is>
      </c>
      <c r="B2274" t="inlineStr">
        <is>
          <t>Actual</t>
        </is>
      </c>
      <c r="C2274" t="inlineStr">
        <is>
          <t>Integra</t>
        </is>
      </c>
      <c r="D2274" t="inlineStr">
        <is>
          <t>Groupama - Avenir Euro (Mid Small Caps)</t>
        </is>
      </c>
      <c r="E2274" t="inlineStr">
        <is>
          <t>Intensidad</t>
        </is>
      </c>
      <c r="F2274" t="n">
        <v>5.9e-05</v>
      </c>
    </row>
    <row r="2275">
      <c r="A2275" t="inlineStr">
        <is>
          <t>202606</t>
        </is>
      </c>
      <c r="B2275" t="inlineStr">
        <is>
          <t>Actual</t>
        </is>
      </c>
      <c r="C2275" t="inlineStr">
        <is>
          <t>Integra</t>
        </is>
      </c>
      <c r="D2275" t="inlineStr">
        <is>
          <t>Groupama - Avenir Euro (Mid Small Caps)</t>
        </is>
      </c>
      <c r="E2275" t="inlineStr">
        <is>
          <t>Inv MM$</t>
        </is>
      </c>
      <c r="F2275" t="n">
        <v>0.001964</v>
      </c>
    </row>
    <row r="2276">
      <c r="A2276" t="inlineStr">
        <is>
          <t>202606</t>
        </is>
      </c>
      <c r="B2276" t="inlineStr">
        <is>
          <t>Actual</t>
        </is>
      </c>
      <c r="C2276" t="inlineStr">
        <is>
          <t>Integra</t>
        </is>
      </c>
      <c r="D2276" t="inlineStr">
        <is>
          <t>InRetail Peru</t>
        </is>
      </c>
      <c r="E2276" t="inlineStr">
        <is>
          <t>Huella</t>
        </is>
      </c>
      <c r="F2276" t="n">
        <v>3545.987217</v>
      </c>
    </row>
    <row r="2277">
      <c r="A2277" t="inlineStr">
        <is>
          <t>202606</t>
        </is>
      </c>
      <c r="B2277" t="inlineStr">
        <is>
          <t>Actual</t>
        </is>
      </c>
      <c r="C2277" t="inlineStr">
        <is>
          <t>Integra</t>
        </is>
      </c>
      <c r="D2277" t="inlineStr">
        <is>
          <t>InRetail Peru</t>
        </is>
      </c>
      <c r="E2277" t="inlineStr">
        <is>
          <t>Intensidad</t>
        </is>
      </c>
      <c r="F2277" t="n">
        <v>0.985259</v>
      </c>
    </row>
    <row r="2278">
      <c r="A2278" t="inlineStr">
        <is>
          <t>202606</t>
        </is>
      </c>
      <c r="B2278" t="inlineStr">
        <is>
          <t>Actual</t>
        </is>
      </c>
      <c r="C2278" t="inlineStr">
        <is>
          <t>Integra</t>
        </is>
      </c>
      <c r="D2278" t="inlineStr">
        <is>
          <t>InRetail Peru</t>
        </is>
      </c>
      <c r="E2278" t="inlineStr">
        <is>
          <t>Inv MM$</t>
        </is>
      </c>
      <c r="F2278" t="n">
        <v>153.572422</v>
      </c>
    </row>
    <row r="2279">
      <c r="A2279" t="inlineStr">
        <is>
          <t>202606</t>
        </is>
      </c>
      <c r="B2279" t="inlineStr">
        <is>
          <t>Actual</t>
        </is>
      </c>
      <c r="C2279" t="inlineStr">
        <is>
          <t>Integra</t>
        </is>
      </c>
      <c r="D2279" t="inlineStr">
        <is>
          <t>Intergroup</t>
        </is>
      </c>
      <c r="E2279" t="inlineStr">
        <is>
          <t>Huella</t>
        </is>
      </c>
      <c r="F2279" t="n">
        <v>31.035482</v>
      </c>
    </row>
    <row r="2280">
      <c r="A2280" t="inlineStr">
        <is>
          <t>202606</t>
        </is>
      </c>
      <c r="B2280" t="inlineStr">
        <is>
          <t>Actual</t>
        </is>
      </c>
      <c r="C2280" t="inlineStr">
        <is>
          <t>Integra</t>
        </is>
      </c>
      <c r="D2280" t="inlineStr">
        <is>
          <t>Intergroup</t>
        </is>
      </c>
      <c r="E2280" t="inlineStr">
        <is>
          <t>Intensidad</t>
        </is>
      </c>
      <c r="F2280" t="n">
        <v>0.005691</v>
      </c>
    </row>
    <row r="2281">
      <c r="A2281" t="inlineStr">
        <is>
          <t>202606</t>
        </is>
      </c>
      <c r="B2281" t="inlineStr">
        <is>
          <t>Actual</t>
        </is>
      </c>
      <c r="C2281" t="inlineStr">
        <is>
          <t>Integra</t>
        </is>
      </c>
      <c r="D2281" t="inlineStr">
        <is>
          <t>Intergroup</t>
        </is>
      </c>
      <c r="E2281" t="inlineStr">
        <is>
          <t>Inv MM$</t>
        </is>
      </c>
      <c r="F2281" t="n">
        <v>91.280829</v>
      </c>
    </row>
    <row r="2282">
      <c r="A2282" t="inlineStr">
        <is>
          <t>202606</t>
        </is>
      </c>
      <c r="B2282" t="inlineStr">
        <is>
          <t>Actual</t>
        </is>
      </c>
      <c r="C2282" t="inlineStr">
        <is>
          <t>Integra</t>
        </is>
      </c>
      <c r="D2282" t="inlineStr">
        <is>
          <t>Invesco  - Euro Equity Fund</t>
        </is>
      </c>
      <c r="E2282" t="inlineStr">
        <is>
          <t>Huella</t>
        </is>
      </c>
      <c r="F2282" t="n">
        <v>0.002606</v>
      </c>
    </row>
    <row r="2283">
      <c r="A2283" t="inlineStr">
        <is>
          <t>202606</t>
        </is>
      </c>
      <c r="B2283" t="inlineStr">
        <is>
          <t>Actual</t>
        </is>
      </c>
      <c r="C2283" t="inlineStr">
        <is>
          <t>Integra</t>
        </is>
      </c>
      <c r="D2283" t="inlineStr">
        <is>
          <t>Invesco  - Euro Equity Fund</t>
        </is>
      </c>
      <c r="E2283" t="inlineStr">
        <is>
          <t>Intensidad</t>
        </is>
      </c>
      <c r="F2283" t="n">
        <v>0</v>
      </c>
    </row>
    <row r="2284">
      <c r="A2284" t="inlineStr">
        <is>
          <t>202606</t>
        </is>
      </c>
      <c r="B2284" t="inlineStr">
        <is>
          <t>Actual</t>
        </is>
      </c>
      <c r="C2284" t="inlineStr">
        <is>
          <t>Integra</t>
        </is>
      </c>
      <c r="D2284" t="inlineStr">
        <is>
          <t>Invesco  - Euro Equity Fund</t>
        </is>
      </c>
      <c r="E2284" t="inlineStr">
        <is>
          <t>Inv MM$</t>
        </is>
      </c>
      <c r="F2284" t="n">
        <v>2.6e-05</v>
      </c>
    </row>
    <row r="2285">
      <c r="A2285" t="inlineStr">
        <is>
          <t>202606</t>
        </is>
      </c>
      <c r="B2285" t="inlineStr">
        <is>
          <t>Actual</t>
        </is>
      </c>
      <c r="C2285" t="inlineStr">
        <is>
          <t>Integra</t>
        </is>
      </c>
      <c r="D2285" t="inlineStr">
        <is>
          <t>Invesco - China Technology ETF</t>
        </is>
      </c>
      <c r="E2285" t="inlineStr">
        <is>
          <t>Huella</t>
        </is>
      </c>
      <c r="F2285" t="n">
        <v>827.251829</v>
      </c>
    </row>
    <row r="2286">
      <c r="A2286" t="inlineStr">
        <is>
          <t>202606</t>
        </is>
      </c>
      <c r="B2286" t="inlineStr">
        <is>
          <t>Actual</t>
        </is>
      </c>
      <c r="C2286" t="inlineStr">
        <is>
          <t>Integra</t>
        </is>
      </c>
      <c r="D2286" t="inlineStr">
        <is>
          <t>Invesco - China Technology ETF</t>
        </is>
      </c>
      <c r="E2286" t="inlineStr">
        <is>
          <t>Intensidad</t>
        </is>
      </c>
      <c r="F2286" t="n">
        <v>0.235934</v>
      </c>
    </row>
    <row r="2287">
      <c r="A2287" t="inlineStr">
        <is>
          <t>202606</t>
        </is>
      </c>
      <c r="B2287" t="inlineStr">
        <is>
          <t>Actual</t>
        </is>
      </c>
      <c r="C2287" t="inlineStr">
        <is>
          <t>Integra</t>
        </is>
      </c>
      <c r="D2287" t="inlineStr">
        <is>
          <t>Invesco - China Technology ETF</t>
        </is>
      </c>
      <c r="E2287" t="inlineStr">
        <is>
          <t>Inv MM$</t>
        </is>
      </c>
      <c r="F2287" t="n">
        <v>43.033841</v>
      </c>
    </row>
    <row r="2288">
      <c r="A2288" t="inlineStr">
        <is>
          <t>202606</t>
        </is>
      </c>
      <c r="B2288" t="inlineStr">
        <is>
          <t>Actual</t>
        </is>
      </c>
      <c r="C2288" t="inlineStr">
        <is>
          <t>Integra</t>
        </is>
      </c>
      <c r="D2288" t="inlineStr">
        <is>
          <t>Invesco LLC - US Banks</t>
        </is>
      </c>
      <c r="E2288" t="inlineStr">
        <is>
          <t>Huella</t>
        </is>
      </c>
      <c r="F2288" t="n">
        <v>12.367701</v>
      </c>
    </row>
    <row r="2289">
      <c r="A2289" t="inlineStr">
        <is>
          <t>202606</t>
        </is>
      </c>
      <c r="B2289" t="inlineStr">
        <is>
          <t>Actual</t>
        </is>
      </c>
      <c r="C2289" t="inlineStr">
        <is>
          <t>Integra</t>
        </is>
      </c>
      <c r="D2289" t="inlineStr">
        <is>
          <t>Invesco LLC - US Banks</t>
        </is>
      </c>
      <c r="E2289" t="inlineStr">
        <is>
          <t>Intensidad</t>
        </is>
      </c>
      <c r="F2289" t="n">
        <v>0.013007</v>
      </c>
    </row>
    <row r="2290">
      <c r="A2290" t="inlineStr">
        <is>
          <t>202606</t>
        </is>
      </c>
      <c r="B2290" t="inlineStr">
        <is>
          <t>Actual</t>
        </is>
      </c>
      <c r="C2290" t="inlineStr">
        <is>
          <t>Integra</t>
        </is>
      </c>
      <c r="D2290" t="inlineStr">
        <is>
          <t>Invesco LLC - US Banks</t>
        </is>
      </c>
      <c r="E2290" t="inlineStr">
        <is>
          <t>Inv MM$</t>
        </is>
      </c>
      <c r="F2290" t="n">
        <v>15.441104</v>
      </c>
    </row>
    <row r="2291">
      <c r="A2291" t="inlineStr">
        <is>
          <t>202606</t>
        </is>
      </c>
      <c r="B2291" t="inlineStr">
        <is>
          <t>Actual</t>
        </is>
      </c>
      <c r="C2291" t="inlineStr">
        <is>
          <t>Integra</t>
        </is>
      </c>
      <c r="D2291" t="inlineStr">
        <is>
          <t>JP Morgan - Japan Equity Fund - C</t>
        </is>
      </c>
      <c r="E2291" t="inlineStr">
        <is>
          <t>Huella</t>
        </is>
      </c>
      <c r="F2291" t="n">
        <v>397.558771</v>
      </c>
    </row>
    <row r="2292">
      <c r="A2292" t="inlineStr">
        <is>
          <t>202606</t>
        </is>
      </c>
      <c r="B2292" t="inlineStr">
        <is>
          <t>Actual</t>
        </is>
      </c>
      <c r="C2292" t="inlineStr">
        <is>
          <t>Integra</t>
        </is>
      </c>
      <c r="D2292" t="inlineStr">
        <is>
          <t>JP Morgan - Japan Equity Fund - C</t>
        </is>
      </c>
      <c r="E2292" t="inlineStr">
        <is>
          <t>Intensidad</t>
        </is>
      </c>
      <c r="F2292" t="n">
        <v>0.120542</v>
      </c>
    </row>
    <row r="2293">
      <c r="A2293" t="inlineStr">
        <is>
          <t>202606</t>
        </is>
      </c>
      <c r="B2293" t="inlineStr">
        <is>
          <t>Actual</t>
        </is>
      </c>
      <c r="C2293" t="inlineStr">
        <is>
          <t>Integra</t>
        </is>
      </c>
      <c r="D2293" t="inlineStr">
        <is>
          <t>JP Morgan - Japan Equity Fund - C</t>
        </is>
      </c>
      <c r="E2293" t="inlineStr">
        <is>
          <t>Inv MM$</t>
        </is>
      </c>
      <c r="F2293" t="n">
        <v>20.912666</v>
      </c>
    </row>
    <row r="2294">
      <c r="A2294" t="inlineStr">
        <is>
          <t>202606</t>
        </is>
      </c>
      <c r="B2294" t="inlineStr">
        <is>
          <t>Actual</t>
        </is>
      </c>
      <c r="C2294" t="inlineStr">
        <is>
          <t>Integra</t>
        </is>
      </c>
      <c r="D2294" t="inlineStr">
        <is>
          <t>JP Morgan - Korea Equity Fund</t>
        </is>
      </c>
      <c r="E2294" t="inlineStr">
        <is>
          <t>Huella</t>
        </is>
      </c>
      <c r="F2294" t="n">
        <v>5014.838298</v>
      </c>
    </row>
    <row r="2295">
      <c r="A2295" t="inlineStr">
        <is>
          <t>202606</t>
        </is>
      </c>
      <c r="B2295" t="inlineStr">
        <is>
          <t>Actual</t>
        </is>
      </c>
      <c r="C2295" t="inlineStr">
        <is>
          <t>Integra</t>
        </is>
      </c>
      <c r="D2295" t="inlineStr">
        <is>
          <t>JP Morgan - Korea Equity Fund</t>
        </is>
      </c>
      <c r="E2295" t="inlineStr">
        <is>
          <t>Intensidad</t>
        </is>
      </c>
      <c r="F2295" t="n">
        <v>1.602555</v>
      </c>
    </row>
    <row r="2296">
      <c r="A2296" t="inlineStr">
        <is>
          <t>202606</t>
        </is>
      </c>
      <c r="B2296" t="inlineStr">
        <is>
          <t>Actual</t>
        </is>
      </c>
      <c r="C2296" t="inlineStr">
        <is>
          <t>Integra</t>
        </is>
      </c>
      <c r="D2296" t="inlineStr">
        <is>
          <t>JP Morgan - Korea Equity Fund</t>
        </is>
      </c>
      <c r="E2296" t="inlineStr">
        <is>
          <t>Inv MM$</t>
        </is>
      </c>
      <c r="F2296" t="n">
        <v>65.674325</v>
      </c>
    </row>
    <row r="2297">
      <c r="A2297" t="inlineStr">
        <is>
          <t>202606</t>
        </is>
      </c>
      <c r="B2297" t="inlineStr">
        <is>
          <t>Actual</t>
        </is>
      </c>
      <c r="C2297" t="inlineStr">
        <is>
          <t>Integra</t>
        </is>
      </c>
      <c r="D2297" t="inlineStr">
        <is>
          <t>Lazard - Convertible Global Fund</t>
        </is>
      </c>
      <c r="E2297" t="inlineStr">
        <is>
          <t>Huella</t>
        </is>
      </c>
      <c r="F2297" t="n">
        <v>0.128853</v>
      </c>
    </row>
    <row r="2298">
      <c r="A2298" t="inlineStr">
        <is>
          <t>202606</t>
        </is>
      </c>
      <c r="B2298" t="inlineStr">
        <is>
          <t>Actual</t>
        </is>
      </c>
      <c r="C2298" t="inlineStr">
        <is>
          <t>Integra</t>
        </is>
      </c>
      <c r="D2298" t="inlineStr">
        <is>
          <t>Lazard - Convertible Global Fund</t>
        </is>
      </c>
      <c r="E2298" t="inlineStr">
        <is>
          <t>Intensidad</t>
        </is>
      </c>
      <c r="F2298" t="n">
        <v>5.9e-05</v>
      </c>
    </row>
    <row r="2299">
      <c r="A2299" t="inlineStr">
        <is>
          <t>202606</t>
        </is>
      </c>
      <c r="B2299" t="inlineStr">
        <is>
          <t>Actual</t>
        </is>
      </c>
      <c r="C2299" t="inlineStr">
        <is>
          <t>Integra</t>
        </is>
      </c>
      <c r="D2299" t="inlineStr">
        <is>
          <t>Lazard - Convertible Global Fund</t>
        </is>
      </c>
      <c r="E2299" t="inlineStr">
        <is>
          <t>Inv MM$</t>
        </is>
      </c>
      <c r="F2299" t="n">
        <v>0.001859</v>
      </c>
    </row>
    <row r="2300">
      <c r="A2300" t="inlineStr">
        <is>
          <t>202606</t>
        </is>
      </c>
      <c r="B2300" t="inlineStr">
        <is>
          <t>Actual</t>
        </is>
      </c>
      <c r="C2300" t="inlineStr">
        <is>
          <t>Integra</t>
        </is>
      </c>
      <c r="D2300" t="inlineStr">
        <is>
          <t>Lazard - Japanese Strategic Equity</t>
        </is>
      </c>
      <c r="E2300" t="inlineStr">
        <is>
          <t>Huella</t>
        </is>
      </c>
      <c r="F2300" t="n">
        <v>0.000348</v>
      </c>
    </row>
    <row r="2301">
      <c r="A2301" t="inlineStr">
        <is>
          <t>202606</t>
        </is>
      </c>
      <c r="B2301" t="inlineStr">
        <is>
          <t>Actual</t>
        </is>
      </c>
      <c r="C2301" t="inlineStr">
        <is>
          <t>Integra</t>
        </is>
      </c>
      <c r="D2301" t="inlineStr">
        <is>
          <t>Lazard - Japanese Strategic Equity</t>
        </is>
      </c>
      <c r="E2301" t="inlineStr">
        <is>
          <t>Intensidad</t>
        </is>
      </c>
      <c r="F2301" t="n">
        <v>0</v>
      </c>
    </row>
    <row r="2302">
      <c r="A2302" t="inlineStr">
        <is>
          <t>202606</t>
        </is>
      </c>
      <c r="B2302" t="inlineStr">
        <is>
          <t>Actual</t>
        </is>
      </c>
      <c r="C2302" t="inlineStr">
        <is>
          <t>Integra</t>
        </is>
      </c>
      <c r="D2302" t="inlineStr">
        <is>
          <t>Lazard - Japanese Strategic Equity</t>
        </is>
      </c>
      <c r="E2302" t="inlineStr">
        <is>
          <t>Inv MM$</t>
        </is>
      </c>
      <c r="F2302" t="n">
        <v>9e-06</v>
      </c>
    </row>
    <row r="2303">
      <c r="A2303" t="inlineStr">
        <is>
          <t>202606</t>
        </is>
      </c>
      <c r="B2303" t="inlineStr">
        <is>
          <t>Actual</t>
        </is>
      </c>
      <c r="C2303" t="inlineStr">
        <is>
          <t>Integra</t>
        </is>
      </c>
      <c r="D2303" t="inlineStr">
        <is>
          <t>Lazard Capital Fi</t>
        </is>
      </c>
      <c r="E2303" t="inlineStr">
        <is>
          <t>Huella</t>
        </is>
      </c>
      <c r="F2303" t="n">
        <v>0.079822</v>
      </c>
    </row>
    <row r="2304">
      <c r="A2304" t="inlineStr">
        <is>
          <t>202606</t>
        </is>
      </c>
      <c r="B2304" t="inlineStr">
        <is>
          <t>Actual</t>
        </is>
      </c>
      <c r="C2304" t="inlineStr">
        <is>
          <t>Integra</t>
        </is>
      </c>
      <c r="D2304" t="inlineStr">
        <is>
          <t>Lazard Capital Fi</t>
        </is>
      </c>
      <c r="E2304" t="inlineStr">
        <is>
          <t>Intensidad</t>
        </is>
      </c>
      <c r="F2304" t="n">
        <v>1.9e-05</v>
      </c>
    </row>
    <row r="2305">
      <c r="A2305" t="inlineStr">
        <is>
          <t>202606</t>
        </is>
      </c>
      <c r="B2305" t="inlineStr">
        <is>
          <t>Actual</t>
        </is>
      </c>
      <c r="C2305" t="inlineStr">
        <is>
          <t>Integra</t>
        </is>
      </c>
      <c r="D2305" t="inlineStr">
        <is>
          <t>Lazard Capital Fi</t>
        </is>
      </c>
      <c r="E2305" t="inlineStr">
        <is>
          <t>Inv MM$</t>
        </is>
      </c>
      <c r="F2305" t="n">
        <v>0.052233</v>
      </c>
    </row>
    <row r="2306">
      <c r="A2306" t="inlineStr">
        <is>
          <t>202606</t>
        </is>
      </c>
      <c r="B2306" t="inlineStr">
        <is>
          <t>Actual</t>
        </is>
      </c>
      <c r="C2306" t="inlineStr">
        <is>
          <t>Integra</t>
        </is>
      </c>
      <c r="D2306" t="inlineStr">
        <is>
          <t>Liontrust - Liontrust European Dynamic Fund S</t>
        </is>
      </c>
      <c r="E2306" t="inlineStr">
        <is>
          <t>Huella</t>
        </is>
      </c>
      <c r="F2306" t="n">
        <v>0.001231</v>
      </c>
    </row>
    <row r="2307">
      <c r="A2307" t="inlineStr">
        <is>
          <t>202606</t>
        </is>
      </c>
      <c r="B2307" t="inlineStr">
        <is>
          <t>Actual</t>
        </is>
      </c>
      <c r="C2307" t="inlineStr">
        <is>
          <t>Integra</t>
        </is>
      </c>
      <c r="D2307" t="inlineStr">
        <is>
          <t>Liontrust - Liontrust European Dynamic Fund S</t>
        </is>
      </c>
      <c r="E2307" t="inlineStr">
        <is>
          <t>Intensidad</t>
        </is>
      </c>
      <c r="F2307" t="n">
        <v>1e-06</v>
      </c>
    </row>
    <row r="2308">
      <c r="A2308" t="inlineStr">
        <is>
          <t>202606</t>
        </is>
      </c>
      <c r="B2308" t="inlineStr">
        <is>
          <t>Actual</t>
        </is>
      </c>
      <c r="C2308" t="inlineStr">
        <is>
          <t>Integra</t>
        </is>
      </c>
      <c r="D2308" t="inlineStr">
        <is>
          <t>Liontrust - Liontrust European Dynamic Fund S</t>
        </is>
      </c>
      <c r="E2308" t="inlineStr">
        <is>
          <t>Inv MM$</t>
        </is>
      </c>
      <c r="F2308" t="n">
        <v>8e-06</v>
      </c>
    </row>
    <row r="2309">
      <c r="A2309" t="inlineStr">
        <is>
          <t>202606</t>
        </is>
      </c>
      <c r="B2309" t="inlineStr">
        <is>
          <t>Actual</t>
        </is>
      </c>
      <c r="C2309" t="inlineStr">
        <is>
          <t>Integra</t>
        </is>
      </c>
      <c r="D2309" t="inlineStr">
        <is>
          <t>Man GLG - Continental European Growth</t>
        </is>
      </c>
      <c r="E2309" t="inlineStr">
        <is>
          <t>Huella</t>
        </is>
      </c>
      <c r="F2309" t="n">
        <v>0.002019</v>
      </c>
    </row>
    <row r="2310">
      <c r="A2310" t="inlineStr">
        <is>
          <t>202606</t>
        </is>
      </c>
      <c r="B2310" t="inlineStr">
        <is>
          <t>Actual</t>
        </is>
      </c>
      <c r="C2310" t="inlineStr">
        <is>
          <t>Integra</t>
        </is>
      </c>
      <c r="D2310" t="inlineStr">
        <is>
          <t>Man GLG - Continental European Growth</t>
        </is>
      </c>
      <c r="E2310" t="inlineStr">
        <is>
          <t>Intensidad</t>
        </is>
      </c>
      <c r="F2310" t="n">
        <v>1e-06</v>
      </c>
    </row>
    <row r="2311">
      <c r="A2311" t="inlineStr">
        <is>
          <t>202606</t>
        </is>
      </c>
      <c r="B2311" t="inlineStr">
        <is>
          <t>Actual</t>
        </is>
      </c>
      <c r="C2311" t="inlineStr">
        <is>
          <t>Integra</t>
        </is>
      </c>
      <c r="D2311" t="inlineStr">
        <is>
          <t>Man GLG - Continental European Growth</t>
        </is>
      </c>
      <c r="E2311" t="inlineStr">
        <is>
          <t>Inv MM$</t>
        </is>
      </c>
      <c r="F2311" t="n">
        <v>3.2e-05</v>
      </c>
    </row>
    <row r="2312">
      <c r="A2312" t="inlineStr">
        <is>
          <t>202606</t>
        </is>
      </c>
      <c r="B2312" t="inlineStr">
        <is>
          <t>Actual</t>
        </is>
      </c>
      <c r="C2312" t="inlineStr">
        <is>
          <t>Integra</t>
        </is>
      </c>
      <c r="D2312" t="inlineStr">
        <is>
          <t>Minsur</t>
        </is>
      </c>
      <c r="E2312" t="inlineStr">
        <is>
          <t>Huella</t>
        </is>
      </c>
      <c r="F2312" t="n">
        <v>40217.965762</v>
      </c>
    </row>
    <row r="2313">
      <c r="A2313" t="inlineStr">
        <is>
          <t>202606</t>
        </is>
      </c>
      <c r="B2313" t="inlineStr">
        <is>
          <t>Actual</t>
        </is>
      </c>
      <c r="C2313" t="inlineStr">
        <is>
          <t>Integra</t>
        </is>
      </c>
      <c r="D2313" t="inlineStr">
        <is>
          <t>Minsur</t>
        </is>
      </c>
      <c r="E2313" t="inlineStr">
        <is>
          <t>Intensidad</t>
        </is>
      </c>
      <c r="F2313" t="n">
        <v>12.03338</v>
      </c>
    </row>
    <row r="2314">
      <c r="A2314" t="inlineStr">
        <is>
          <t>202606</t>
        </is>
      </c>
      <c r="B2314" t="inlineStr">
        <is>
          <t>Actual</t>
        </is>
      </c>
      <c r="C2314" t="inlineStr">
        <is>
          <t>Integra</t>
        </is>
      </c>
      <c r="D2314" t="inlineStr">
        <is>
          <t>Minsur</t>
        </is>
      </c>
      <c r="E2314" t="inlineStr">
        <is>
          <t>Inv MM$</t>
        </is>
      </c>
      <c r="F2314" t="n">
        <v>344.066779</v>
      </c>
    </row>
    <row r="2315">
      <c r="A2315" t="inlineStr">
        <is>
          <t>202606</t>
        </is>
      </c>
      <c r="B2315" t="inlineStr">
        <is>
          <t>Actual</t>
        </is>
      </c>
      <c r="C2315" t="inlineStr">
        <is>
          <t>Integra</t>
        </is>
      </c>
      <c r="D2315" t="inlineStr">
        <is>
          <t>Nexa Resources</t>
        </is>
      </c>
      <c r="E2315" t="inlineStr">
        <is>
          <t>Huella</t>
        </is>
      </c>
      <c r="F2315" t="n">
        <v>2611.933418</v>
      </c>
    </row>
    <row r="2316">
      <c r="A2316" t="inlineStr">
        <is>
          <t>202606</t>
        </is>
      </c>
      <c r="B2316" t="inlineStr">
        <is>
          <t>Actual</t>
        </is>
      </c>
      <c r="C2316" t="inlineStr">
        <is>
          <t>Integra</t>
        </is>
      </c>
      <c r="D2316" t="inlineStr">
        <is>
          <t>Nexa Resources</t>
        </is>
      </c>
      <c r="E2316" t="inlineStr">
        <is>
          <t>Intensidad</t>
        </is>
      </c>
      <c r="F2316" t="n">
        <v>1.008998</v>
      </c>
    </row>
    <row r="2317">
      <c r="A2317" t="inlineStr">
        <is>
          <t>202606</t>
        </is>
      </c>
      <c r="B2317" t="inlineStr">
        <is>
          <t>Actual</t>
        </is>
      </c>
      <c r="C2317" t="inlineStr">
        <is>
          <t>Integra</t>
        </is>
      </c>
      <c r="D2317" t="inlineStr">
        <is>
          <t>Nexa Resources</t>
        </is>
      </c>
      <c r="E2317" t="inlineStr">
        <is>
          <t>Inv MM$</t>
        </is>
      </c>
      <c r="F2317" t="n">
        <v>12.624134</v>
      </c>
    </row>
    <row r="2318">
      <c r="A2318" t="inlineStr">
        <is>
          <t>202606</t>
        </is>
      </c>
      <c r="B2318" t="inlineStr">
        <is>
          <t>Actual</t>
        </is>
      </c>
      <c r="C2318" t="inlineStr">
        <is>
          <t>Integra</t>
        </is>
      </c>
      <c r="D2318" t="inlineStr">
        <is>
          <t>Nexa Resources Perú</t>
        </is>
      </c>
      <c r="E2318" t="inlineStr">
        <is>
          <t>Huella</t>
        </is>
      </c>
      <c r="F2318" t="n">
        <v>19644.463059</v>
      </c>
    </row>
    <row r="2319">
      <c r="A2319" t="inlineStr">
        <is>
          <t>202606</t>
        </is>
      </c>
      <c r="B2319" t="inlineStr">
        <is>
          <t>Actual</t>
        </is>
      </c>
      <c r="C2319" t="inlineStr">
        <is>
          <t>Integra</t>
        </is>
      </c>
      <c r="D2319" t="inlineStr">
        <is>
          <t>Nexa Resources Perú</t>
        </is>
      </c>
      <c r="E2319" t="inlineStr">
        <is>
          <t>Intensidad</t>
        </is>
      </c>
      <c r="F2319" t="n">
        <v>4.486321</v>
      </c>
    </row>
    <row r="2320">
      <c r="A2320" t="inlineStr">
        <is>
          <t>202606</t>
        </is>
      </c>
      <c r="B2320" t="inlineStr">
        <is>
          <t>Actual</t>
        </is>
      </c>
      <c r="C2320" t="inlineStr">
        <is>
          <t>Integra</t>
        </is>
      </c>
      <c r="D2320" t="inlineStr">
        <is>
          <t>Nexa Resources Perú</t>
        </is>
      </c>
      <c r="E2320" t="inlineStr">
        <is>
          <t>Inv MM$</t>
        </is>
      </c>
      <c r="F2320" t="n">
        <v>117.203407</v>
      </c>
    </row>
    <row r="2321">
      <c r="A2321" t="inlineStr">
        <is>
          <t>202606</t>
        </is>
      </c>
      <c r="B2321" t="inlineStr">
        <is>
          <t>Actual</t>
        </is>
      </c>
      <c r="C2321" t="inlineStr">
        <is>
          <t>Integra</t>
        </is>
      </c>
      <c r="D2321" t="inlineStr">
        <is>
          <t>Nomura - US High Yield Bond Fund</t>
        </is>
      </c>
      <c r="E2321" t="inlineStr">
        <is>
          <t>Huella</t>
        </is>
      </c>
      <c r="F2321" t="n">
        <v>0.106162</v>
      </c>
    </row>
    <row r="2322">
      <c r="A2322" t="inlineStr">
        <is>
          <t>202606</t>
        </is>
      </c>
      <c r="B2322" t="inlineStr">
        <is>
          <t>Actual</t>
        </is>
      </c>
      <c r="C2322" t="inlineStr">
        <is>
          <t>Integra</t>
        </is>
      </c>
      <c r="D2322" t="inlineStr">
        <is>
          <t>Nomura - US High Yield Bond Fund</t>
        </is>
      </c>
      <c r="E2322" t="inlineStr">
        <is>
          <t>Intensidad</t>
        </is>
      </c>
      <c r="F2322" t="n">
        <v>3.1e-05</v>
      </c>
    </row>
    <row r="2323">
      <c r="A2323" t="inlineStr">
        <is>
          <t>202606</t>
        </is>
      </c>
      <c r="B2323" t="inlineStr">
        <is>
          <t>Actual</t>
        </is>
      </c>
      <c r="C2323" t="inlineStr">
        <is>
          <t>Integra</t>
        </is>
      </c>
      <c r="D2323" t="inlineStr">
        <is>
          <t>Nomura - US High Yield Bond Fund</t>
        </is>
      </c>
      <c r="E2323" t="inlineStr">
        <is>
          <t>Inv MM$</t>
        </is>
      </c>
      <c r="F2323" t="n">
        <v>0.000868</v>
      </c>
    </row>
    <row r="2324">
      <c r="A2324" t="inlineStr">
        <is>
          <t>202606</t>
        </is>
      </c>
      <c r="B2324" t="inlineStr">
        <is>
          <t>Actual</t>
        </is>
      </c>
      <c r="C2324" t="inlineStr">
        <is>
          <t>Integra</t>
        </is>
      </c>
      <c r="D2324" t="inlineStr">
        <is>
          <t>PIMCO - Asia High Yield Bond Fund</t>
        </is>
      </c>
      <c r="E2324" t="inlineStr">
        <is>
          <t>Huella</t>
        </is>
      </c>
      <c r="F2324" t="n">
        <v>286.409219</v>
      </c>
    </row>
    <row r="2325">
      <c r="A2325" t="inlineStr">
        <is>
          <t>202606</t>
        </is>
      </c>
      <c r="B2325" t="inlineStr">
        <is>
          <t>Actual</t>
        </is>
      </c>
      <c r="C2325" t="inlineStr">
        <is>
          <t>Integra</t>
        </is>
      </c>
      <c r="D2325" t="inlineStr">
        <is>
          <t>PIMCO - Asia High Yield Bond Fund</t>
        </is>
      </c>
      <c r="E2325" t="inlineStr">
        <is>
          <t>Intensidad</t>
        </is>
      </c>
      <c r="F2325" t="n">
        <v>0.132022</v>
      </c>
    </row>
    <row r="2326">
      <c r="A2326" t="inlineStr">
        <is>
          <t>202606</t>
        </is>
      </c>
      <c r="B2326" t="inlineStr">
        <is>
          <t>Actual</t>
        </is>
      </c>
      <c r="C2326" t="inlineStr">
        <is>
          <t>Integra</t>
        </is>
      </c>
      <c r="D2326" t="inlineStr">
        <is>
          <t>PIMCO - Asia High Yield Bond Fund</t>
        </is>
      </c>
      <c r="E2326" t="inlineStr">
        <is>
          <t>Inv MM$</t>
        </is>
      </c>
      <c r="F2326" t="n">
        <v>0.603007</v>
      </c>
    </row>
    <row r="2327">
      <c r="A2327" t="inlineStr">
        <is>
          <t>202606</t>
        </is>
      </c>
      <c r="B2327" t="inlineStr">
        <is>
          <t>Actual</t>
        </is>
      </c>
      <c r="C2327" t="inlineStr">
        <is>
          <t>Integra</t>
        </is>
      </c>
      <c r="D2327" t="inlineStr">
        <is>
          <t>Pictet Chinese LC Debt</t>
        </is>
      </c>
      <c r="E2327" t="inlineStr">
        <is>
          <t>Huella</t>
        </is>
      </c>
      <c r="F2327" t="n">
        <v>0.008802000000000001</v>
      </c>
    </row>
    <row r="2328">
      <c r="A2328" t="inlineStr">
        <is>
          <t>202606</t>
        </is>
      </c>
      <c r="B2328" t="inlineStr">
        <is>
          <t>Actual</t>
        </is>
      </c>
      <c r="C2328" t="inlineStr">
        <is>
          <t>Integra</t>
        </is>
      </c>
      <c r="D2328" t="inlineStr">
        <is>
          <t>Pictet Chinese LC Debt</t>
        </is>
      </c>
      <c r="E2328" t="inlineStr">
        <is>
          <t>Intensidad</t>
        </is>
      </c>
      <c r="F2328" t="n">
        <v>3e-06</v>
      </c>
    </row>
    <row r="2329">
      <c r="A2329" t="inlineStr">
        <is>
          <t>202606</t>
        </is>
      </c>
      <c r="B2329" t="inlineStr">
        <is>
          <t>Actual</t>
        </is>
      </c>
      <c r="C2329" t="inlineStr">
        <is>
          <t>Integra</t>
        </is>
      </c>
      <c r="D2329" t="inlineStr">
        <is>
          <t>Pictet Chinese LC Debt</t>
        </is>
      </c>
      <c r="E2329" t="inlineStr">
        <is>
          <t>Inv MM$</t>
        </is>
      </c>
      <c r="F2329" t="n">
        <v>0.00034</v>
      </c>
    </row>
    <row r="2330">
      <c r="A2330" t="inlineStr">
        <is>
          <t>202606</t>
        </is>
      </c>
      <c r="B2330" t="inlineStr">
        <is>
          <t>Actual</t>
        </is>
      </c>
      <c r="C2330" t="inlineStr">
        <is>
          <t>Integra</t>
        </is>
      </c>
      <c r="D2330" t="inlineStr">
        <is>
          <t>Pimco - Emerging Markets Local Bond Fund</t>
        </is>
      </c>
      <c r="E2330" t="inlineStr">
        <is>
          <t>Huella</t>
        </is>
      </c>
      <c r="F2330" t="n">
        <v>16608.05671</v>
      </c>
    </row>
    <row r="2331">
      <c r="A2331" t="inlineStr">
        <is>
          <t>202606</t>
        </is>
      </c>
      <c r="B2331" t="inlineStr">
        <is>
          <t>Actual</t>
        </is>
      </c>
      <c r="C2331" t="inlineStr">
        <is>
          <t>Integra</t>
        </is>
      </c>
      <c r="D2331" t="inlineStr">
        <is>
          <t>Pimco - Emerging Markets Local Bond Fund</t>
        </is>
      </c>
      <c r="E2331" t="inlineStr">
        <is>
          <t>Intensidad</t>
        </is>
      </c>
      <c r="F2331" t="n">
        <v>3.685793</v>
      </c>
    </row>
    <row r="2332">
      <c r="A2332" t="inlineStr">
        <is>
          <t>202606</t>
        </is>
      </c>
      <c r="B2332" t="inlineStr">
        <is>
          <t>Actual</t>
        </is>
      </c>
      <c r="C2332" t="inlineStr">
        <is>
          <t>Integra</t>
        </is>
      </c>
      <c r="D2332" t="inlineStr">
        <is>
          <t>Pimco - Emerging Markets Local Bond Fund</t>
        </is>
      </c>
      <c r="E2332" t="inlineStr">
        <is>
          <t>Inv MM$</t>
        </is>
      </c>
      <c r="F2332" t="n">
        <v>181.981956</v>
      </c>
    </row>
    <row r="2333">
      <c r="A2333" t="inlineStr">
        <is>
          <t>202606</t>
        </is>
      </c>
      <c r="B2333" t="inlineStr">
        <is>
          <t>Actual</t>
        </is>
      </c>
      <c r="C2333" t="inlineStr">
        <is>
          <t>Integra</t>
        </is>
      </c>
      <c r="D2333" t="inlineStr">
        <is>
          <t>Pimco - GIS Income Fund</t>
        </is>
      </c>
      <c r="E2333" t="inlineStr">
        <is>
          <t>Huella</t>
        </is>
      </c>
      <c r="F2333" t="n">
        <v>183.776408</v>
      </c>
    </row>
    <row r="2334">
      <c r="A2334" t="inlineStr">
        <is>
          <t>202606</t>
        </is>
      </c>
      <c r="B2334" t="inlineStr">
        <is>
          <t>Actual</t>
        </is>
      </c>
      <c r="C2334" t="inlineStr">
        <is>
          <t>Integra</t>
        </is>
      </c>
      <c r="D2334" t="inlineStr">
        <is>
          <t>Pimco - GIS Income Fund</t>
        </is>
      </c>
      <c r="E2334" t="inlineStr">
        <is>
          <t>Intensidad</t>
        </is>
      </c>
      <c r="F2334" t="n">
        <v>0.084713</v>
      </c>
    </row>
    <row r="2335">
      <c r="A2335" t="inlineStr">
        <is>
          <t>202606</t>
        </is>
      </c>
      <c r="B2335" t="inlineStr">
        <is>
          <t>Actual</t>
        </is>
      </c>
      <c r="C2335" t="inlineStr">
        <is>
          <t>Integra</t>
        </is>
      </c>
      <c r="D2335" t="inlineStr">
        <is>
          <t>Pimco - GIS Income Fund</t>
        </is>
      </c>
      <c r="E2335" t="inlineStr">
        <is>
          <t>Inv MM$</t>
        </is>
      </c>
      <c r="F2335" t="n">
        <v>2.682974</v>
      </c>
    </row>
    <row r="2336">
      <c r="A2336" t="inlineStr">
        <is>
          <t>202606</t>
        </is>
      </c>
      <c r="B2336" t="inlineStr">
        <is>
          <t>Actual</t>
        </is>
      </c>
      <c r="C2336" t="inlineStr">
        <is>
          <t>Integra</t>
        </is>
      </c>
      <c r="D2336" t="inlineStr">
        <is>
          <t>Pimco - US High Yield Bond</t>
        </is>
      </c>
      <c r="E2336" t="inlineStr">
        <is>
          <t>Huella</t>
        </is>
      </c>
      <c r="F2336" t="n">
        <v>0.007837</v>
      </c>
    </row>
    <row r="2337">
      <c r="A2337" t="inlineStr">
        <is>
          <t>202606</t>
        </is>
      </c>
      <c r="B2337" t="inlineStr">
        <is>
          <t>Actual</t>
        </is>
      </c>
      <c r="C2337" t="inlineStr">
        <is>
          <t>Integra</t>
        </is>
      </c>
      <c r="D2337" t="inlineStr">
        <is>
          <t>Pimco - US High Yield Bond</t>
        </is>
      </c>
      <c r="E2337" t="inlineStr">
        <is>
          <t>Intensidad</t>
        </is>
      </c>
      <c r="F2337" t="n">
        <v>2e-06</v>
      </c>
    </row>
    <row r="2338">
      <c r="A2338" t="inlineStr">
        <is>
          <t>202606</t>
        </is>
      </c>
      <c r="B2338" t="inlineStr">
        <is>
          <t>Actual</t>
        </is>
      </c>
      <c r="C2338" t="inlineStr">
        <is>
          <t>Integra</t>
        </is>
      </c>
      <c r="D2338" t="inlineStr">
        <is>
          <t>Pimco - US High Yield Bond</t>
        </is>
      </c>
      <c r="E2338" t="inlineStr">
        <is>
          <t>Inv MM$</t>
        </is>
      </c>
      <c r="F2338" t="n">
        <v>9.399999999999999e-05</v>
      </c>
    </row>
    <row r="2339">
      <c r="A2339" t="inlineStr">
        <is>
          <t>202606</t>
        </is>
      </c>
      <c r="B2339" t="inlineStr">
        <is>
          <t>Actual</t>
        </is>
      </c>
      <c r="C2339" t="inlineStr">
        <is>
          <t>Integra</t>
        </is>
      </c>
      <c r="D2339" t="inlineStr">
        <is>
          <t>Pinebridge - Asia Ex-Japan Small Caps</t>
        </is>
      </c>
      <c r="E2339" t="inlineStr">
        <is>
          <t>Huella</t>
        </is>
      </c>
      <c r="F2339" t="n">
        <v>0.147165</v>
      </c>
    </row>
    <row r="2340">
      <c r="A2340" t="inlineStr">
        <is>
          <t>202606</t>
        </is>
      </c>
      <c r="B2340" t="inlineStr">
        <is>
          <t>Actual</t>
        </is>
      </c>
      <c r="C2340" t="inlineStr">
        <is>
          <t>Integra</t>
        </is>
      </c>
      <c r="D2340" t="inlineStr">
        <is>
          <t>Pinebridge - Asia Ex-Japan Small Caps</t>
        </is>
      </c>
      <c r="E2340" t="inlineStr">
        <is>
          <t>Intensidad</t>
        </is>
      </c>
      <c r="F2340" t="n">
        <v>8.000000000000001e-05</v>
      </c>
    </row>
    <row r="2341">
      <c r="A2341" t="inlineStr">
        <is>
          <t>202606</t>
        </is>
      </c>
      <c r="B2341" t="inlineStr">
        <is>
          <t>Actual</t>
        </is>
      </c>
      <c r="C2341" t="inlineStr">
        <is>
          <t>Integra</t>
        </is>
      </c>
      <c r="D2341" t="inlineStr">
        <is>
          <t>Pinebridge - Asia Ex-Japan Small Caps</t>
        </is>
      </c>
      <c r="E2341" t="inlineStr">
        <is>
          <t>Inv MM$</t>
        </is>
      </c>
      <c r="F2341" t="n">
        <v>0.002657</v>
      </c>
    </row>
    <row r="2342">
      <c r="A2342" t="inlineStr">
        <is>
          <t>202606</t>
        </is>
      </c>
      <c r="B2342" t="inlineStr">
        <is>
          <t>Actual</t>
        </is>
      </c>
      <c r="C2342" t="inlineStr">
        <is>
          <t>Integra</t>
        </is>
      </c>
      <c r="D2342" t="inlineStr">
        <is>
          <t>Premier Miton - European Opportunities Fund</t>
        </is>
      </c>
      <c r="E2342" t="inlineStr">
        <is>
          <t>Huella</t>
        </is>
      </c>
      <c r="F2342" t="n">
        <v>1.6e-05</v>
      </c>
    </row>
    <row r="2343">
      <c r="A2343" t="inlineStr">
        <is>
          <t>202606</t>
        </is>
      </c>
      <c r="B2343" t="inlineStr">
        <is>
          <t>Actual</t>
        </is>
      </c>
      <c r="C2343" t="inlineStr">
        <is>
          <t>Integra</t>
        </is>
      </c>
      <c r="D2343" t="inlineStr">
        <is>
          <t>Premier Miton - European Opportunities Fund</t>
        </is>
      </c>
      <c r="E2343" t="inlineStr">
        <is>
          <t>Intensidad</t>
        </is>
      </c>
      <c r="F2343" t="n">
        <v>0</v>
      </c>
    </row>
    <row r="2344">
      <c r="A2344" t="inlineStr">
        <is>
          <t>202606</t>
        </is>
      </c>
      <c r="B2344" t="inlineStr">
        <is>
          <t>Actual</t>
        </is>
      </c>
      <c r="C2344" t="inlineStr">
        <is>
          <t>Integra</t>
        </is>
      </c>
      <c r="D2344" t="inlineStr">
        <is>
          <t>Premier Miton - European Opportunities Fund</t>
        </is>
      </c>
      <c r="E2344" t="inlineStr">
        <is>
          <t>Inv MM$</t>
        </is>
      </c>
      <c r="F2344" t="n">
        <v>6e-06</v>
      </c>
    </row>
    <row r="2345">
      <c r="A2345" t="inlineStr">
        <is>
          <t>202606</t>
        </is>
      </c>
      <c r="B2345" t="inlineStr">
        <is>
          <t>Actual</t>
        </is>
      </c>
      <c r="C2345" t="inlineStr">
        <is>
          <t>Integra</t>
        </is>
      </c>
      <c r="D2345" t="inlineStr">
        <is>
          <t>Robeco - Chinese Equities</t>
        </is>
      </c>
      <c r="E2345" t="inlineStr">
        <is>
          <t>Huella</t>
        </is>
      </c>
      <c r="F2345" t="n">
        <v>0.027325</v>
      </c>
    </row>
    <row r="2346">
      <c r="A2346" t="inlineStr">
        <is>
          <t>202606</t>
        </is>
      </c>
      <c r="B2346" t="inlineStr">
        <is>
          <t>Actual</t>
        </is>
      </c>
      <c r="C2346" t="inlineStr">
        <is>
          <t>Integra</t>
        </is>
      </c>
      <c r="D2346" t="inlineStr">
        <is>
          <t>Robeco - Chinese Equities</t>
        </is>
      </c>
      <c r="E2346" t="inlineStr">
        <is>
          <t>Intensidad</t>
        </is>
      </c>
      <c r="F2346" t="n">
        <v>1.6e-05</v>
      </c>
    </row>
    <row r="2347">
      <c r="A2347" t="inlineStr">
        <is>
          <t>202606</t>
        </is>
      </c>
      <c r="B2347" t="inlineStr">
        <is>
          <t>Actual</t>
        </is>
      </c>
      <c r="C2347" t="inlineStr">
        <is>
          <t>Integra</t>
        </is>
      </c>
      <c r="D2347" t="inlineStr">
        <is>
          <t>Robeco - Chinese Equities</t>
        </is>
      </c>
      <c r="E2347" t="inlineStr">
        <is>
          <t>Inv MM$</t>
        </is>
      </c>
      <c r="F2347" t="n">
        <v>0.000356</v>
      </c>
    </row>
    <row r="2348">
      <c r="A2348" t="inlineStr">
        <is>
          <t>202606</t>
        </is>
      </c>
      <c r="B2348" t="inlineStr">
        <is>
          <t>Actual</t>
        </is>
      </c>
      <c r="C2348" t="inlineStr">
        <is>
          <t>Integra</t>
        </is>
      </c>
      <c r="D2348" t="inlineStr">
        <is>
          <t>Robeco Luxembourg S.A.</t>
        </is>
      </c>
      <c r="E2348" t="inlineStr">
        <is>
          <t>Huella</t>
        </is>
      </c>
      <c r="F2348" t="n">
        <v>0.043361</v>
      </c>
    </row>
    <row r="2349">
      <c r="A2349" t="inlineStr">
        <is>
          <t>202606</t>
        </is>
      </c>
      <c r="B2349" t="inlineStr">
        <is>
          <t>Actual</t>
        </is>
      </c>
      <c r="C2349" t="inlineStr">
        <is>
          <t>Integra</t>
        </is>
      </c>
      <c r="D2349" t="inlineStr">
        <is>
          <t>Robeco Luxembourg S.A.</t>
        </is>
      </c>
      <c r="E2349" t="inlineStr">
        <is>
          <t>Intensidad</t>
        </is>
      </c>
      <c r="F2349" t="n">
        <v>2e-05</v>
      </c>
    </row>
    <row r="2350">
      <c r="A2350" t="inlineStr">
        <is>
          <t>202606</t>
        </is>
      </c>
      <c r="B2350" t="inlineStr">
        <is>
          <t>Actual</t>
        </is>
      </c>
      <c r="C2350" t="inlineStr">
        <is>
          <t>Integra</t>
        </is>
      </c>
      <c r="D2350" t="inlineStr">
        <is>
          <t>Robeco Luxembourg S.A.</t>
        </is>
      </c>
      <c r="E2350" t="inlineStr">
        <is>
          <t>Inv MM$</t>
        </is>
      </c>
      <c r="F2350" t="n">
        <v>0.000395</v>
      </c>
    </row>
    <row r="2351">
      <c r="A2351" t="inlineStr">
        <is>
          <t>202606</t>
        </is>
      </c>
      <c r="B2351" t="inlineStr">
        <is>
          <t>Actual</t>
        </is>
      </c>
      <c r="C2351" t="inlineStr">
        <is>
          <t>Integra</t>
        </is>
      </c>
      <c r="D2351" t="inlineStr">
        <is>
          <t>SSGA - Bloomberg Barclays Convertible Securities</t>
        </is>
      </c>
      <c r="E2351" t="inlineStr">
        <is>
          <t>Huella</t>
        </is>
      </c>
      <c r="F2351" t="n">
        <v>3666.978546</v>
      </c>
    </row>
    <row r="2352">
      <c r="A2352" t="inlineStr">
        <is>
          <t>202606</t>
        </is>
      </c>
      <c r="B2352" t="inlineStr">
        <is>
          <t>Actual</t>
        </is>
      </c>
      <c r="C2352" t="inlineStr">
        <is>
          <t>Integra</t>
        </is>
      </c>
      <c r="D2352" t="inlineStr">
        <is>
          <t>SSGA - Bloomberg Barclays Convertible Securities</t>
        </is>
      </c>
      <c r="E2352" t="inlineStr">
        <is>
          <t>Intensidad</t>
        </is>
      </c>
      <c r="F2352" t="n">
        <v>1.069916</v>
      </c>
    </row>
    <row r="2353">
      <c r="A2353" t="inlineStr">
        <is>
          <t>202606</t>
        </is>
      </c>
      <c r="B2353" t="inlineStr">
        <is>
          <t>Actual</t>
        </is>
      </c>
      <c r="C2353" t="inlineStr">
        <is>
          <t>Integra</t>
        </is>
      </c>
      <c r="D2353" t="inlineStr">
        <is>
          <t>SSGA - Bloomberg Barclays Convertible Securities</t>
        </is>
      </c>
      <c r="E2353" t="inlineStr">
        <is>
          <t>Inv MM$</t>
        </is>
      </c>
      <c r="F2353" t="n">
        <v>78.78744399999999</v>
      </c>
    </row>
    <row r="2354">
      <c r="A2354" t="inlineStr">
        <is>
          <t>202606</t>
        </is>
      </c>
      <c r="B2354" t="inlineStr">
        <is>
          <t>Actual</t>
        </is>
      </c>
      <c r="C2354" t="inlineStr">
        <is>
          <t>Integra</t>
        </is>
      </c>
      <c r="D2354" t="inlineStr">
        <is>
          <t>Schroder - International Selection Fund China A</t>
        </is>
      </c>
      <c r="E2354" t="inlineStr">
        <is>
          <t>Huella</t>
        </is>
      </c>
      <c r="F2354" t="n">
        <v>0.045122</v>
      </c>
    </row>
    <row r="2355">
      <c r="A2355" t="inlineStr">
        <is>
          <t>202606</t>
        </is>
      </c>
      <c r="B2355" t="inlineStr">
        <is>
          <t>Actual</t>
        </is>
      </c>
      <c r="C2355" t="inlineStr">
        <is>
          <t>Integra</t>
        </is>
      </c>
      <c r="D2355" t="inlineStr">
        <is>
          <t>Schroder - International Selection Fund China A</t>
        </is>
      </c>
      <c r="E2355" t="inlineStr">
        <is>
          <t>Intensidad</t>
        </is>
      </c>
      <c r="F2355" t="n">
        <v>2.9e-05</v>
      </c>
    </row>
    <row r="2356">
      <c r="A2356" t="inlineStr">
        <is>
          <t>202606</t>
        </is>
      </c>
      <c r="B2356" t="inlineStr">
        <is>
          <t>Actual</t>
        </is>
      </c>
      <c r="C2356" t="inlineStr">
        <is>
          <t>Integra</t>
        </is>
      </c>
      <c r="D2356" t="inlineStr">
        <is>
          <t>Schroder - International Selection Fund China A</t>
        </is>
      </c>
      <c r="E2356" t="inlineStr">
        <is>
          <t>Inv MM$</t>
        </is>
      </c>
      <c r="F2356" t="n">
        <v>0.000605</v>
      </c>
    </row>
    <row r="2357">
      <c r="A2357" t="inlineStr">
        <is>
          <t>202606</t>
        </is>
      </c>
      <c r="B2357" t="inlineStr">
        <is>
          <t>Actual</t>
        </is>
      </c>
      <c r="C2357" t="inlineStr">
        <is>
          <t>Integra</t>
        </is>
      </c>
      <c r="D2357" t="inlineStr">
        <is>
          <t>Schroders - Asian Opportunities</t>
        </is>
      </c>
      <c r="E2357" t="inlineStr">
        <is>
          <t>Huella</t>
        </is>
      </c>
      <c r="F2357" t="n">
        <v>0.002632</v>
      </c>
    </row>
    <row r="2358">
      <c r="A2358" t="inlineStr">
        <is>
          <t>202606</t>
        </is>
      </c>
      <c r="B2358" t="inlineStr">
        <is>
          <t>Actual</t>
        </is>
      </c>
      <c r="C2358" t="inlineStr">
        <is>
          <t>Integra</t>
        </is>
      </c>
      <c r="D2358" t="inlineStr">
        <is>
          <t>Schroders - Asian Opportunities</t>
        </is>
      </c>
      <c r="E2358" t="inlineStr">
        <is>
          <t>Intensidad</t>
        </is>
      </c>
      <c r="F2358" t="n">
        <v>1e-06</v>
      </c>
    </row>
    <row r="2359">
      <c r="A2359" t="inlineStr">
        <is>
          <t>202606</t>
        </is>
      </c>
      <c r="B2359" t="inlineStr">
        <is>
          <t>Actual</t>
        </is>
      </c>
      <c r="C2359" t="inlineStr">
        <is>
          <t>Integra</t>
        </is>
      </c>
      <c r="D2359" t="inlineStr">
        <is>
          <t>Schroders - Asian Opportunities</t>
        </is>
      </c>
      <c r="E2359" t="inlineStr">
        <is>
          <t>Inv MM$</t>
        </is>
      </c>
      <c r="F2359" t="n">
        <v>0.000141</v>
      </c>
    </row>
    <row r="2360">
      <c r="A2360" t="inlineStr">
        <is>
          <t>202606</t>
        </is>
      </c>
      <c r="B2360" t="inlineStr">
        <is>
          <t>Actual</t>
        </is>
      </c>
      <c r="C2360" t="inlineStr">
        <is>
          <t>Integra</t>
        </is>
      </c>
      <c r="D2360" t="inlineStr">
        <is>
          <t>Schroders - Emerging Europe</t>
        </is>
      </c>
      <c r="E2360" t="inlineStr">
        <is>
          <t>Huella</t>
        </is>
      </c>
      <c r="F2360" t="n">
        <v>2273.916689</v>
      </c>
    </row>
    <row r="2361">
      <c r="A2361" t="inlineStr">
        <is>
          <t>202606</t>
        </is>
      </c>
      <c r="B2361" t="inlineStr">
        <is>
          <t>Actual</t>
        </is>
      </c>
      <c r="C2361" t="inlineStr">
        <is>
          <t>Integra</t>
        </is>
      </c>
      <c r="D2361" t="inlineStr">
        <is>
          <t>Schroders - Emerging Europe</t>
        </is>
      </c>
      <c r="E2361" t="inlineStr">
        <is>
          <t>Intensidad</t>
        </is>
      </c>
      <c r="F2361" t="n">
        <v>0.785086</v>
      </c>
    </row>
    <row r="2362">
      <c r="A2362" t="inlineStr">
        <is>
          <t>202606</t>
        </is>
      </c>
      <c r="B2362" t="inlineStr">
        <is>
          <t>Actual</t>
        </is>
      </c>
      <c r="C2362" t="inlineStr">
        <is>
          <t>Integra</t>
        </is>
      </c>
      <c r="D2362" t="inlineStr">
        <is>
          <t>Schroders - Emerging Europe</t>
        </is>
      </c>
      <c r="E2362" t="inlineStr">
        <is>
          <t>Inv MM$</t>
        </is>
      </c>
      <c r="F2362" t="n">
        <v>26.795021</v>
      </c>
    </row>
    <row r="2363">
      <c r="A2363" t="inlineStr">
        <is>
          <t>202606</t>
        </is>
      </c>
      <c r="B2363" t="inlineStr">
        <is>
          <t>Actual</t>
        </is>
      </c>
      <c r="C2363" t="inlineStr">
        <is>
          <t>Integra</t>
        </is>
      </c>
      <c r="D2363" t="inlineStr">
        <is>
          <t>State Street - Regional Banks</t>
        </is>
      </c>
      <c r="E2363" t="inlineStr">
        <is>
          <t>Huella</t>
        </is>
      </c>
      <c r="F2363" t="n">
        <v>117.696213</v>
      </c>
    </row>
    <row r="2364">
      <c r="A2364" t="inlineStr">
        <is>
          <t>202606</t>
        </is>
      </c>
      <c r="B2364" t="inlineStr">
        <is>
          <t>Actual</t>
        </is>
      </c>
      <c r="C2364" t="inlineStr">
        <is>
          <t>Integra</t>
        </is>
      </c>
      <c r="D2364" t="inlineStr">
        <is>
          <t>State Street - Regional Banks</t>
        </is>
      </c>
      <c r="E2364" t="inlineStr">
        <is>
          <t>Intensidad</t>
        </is>
      </c>
      <c r="F2364" t="n">
        <v>0.031173</v>
      </c>
    </row>
    <row r="2365">
      <c r="A2365" t="inlineStr">
        <is>
          <t>202606</t>
        </is>
      </c>
      <c r="B2365" t="inlineStr">
        <is>
          <t>Actual</t>
        </is>
      </c>
      <c r="C2365" t="inlineStr">
        <is>
          <t>Integra</t>
        </is>
      </c>
      <c r="D2365" t="inlineStr">
        <is>
          <t>State Street - Regional Banks</t>
        </is>
      </c>
      <c r="E2365" t="inlineStr">
        <is>
          <t>Inv MM$</t>
        </is>
      </c>
      <c r="F2365" t="n">
        <v>75.59690500000001</v>
      </c>
    </row>
    <row r="2366">
      <c r="A2366" t="inlineStr">
        <is>
          <t>202606</t>
        </is>
      </c>
      <c r="B2366" t="inlineStr">
        <is>
          <t>Actual</t>
        </is>
      </c>
      <c r="C2366" t="inlineStr">
        <is>
          <t>Integra</t>
        </is>
      </c>
      <c r="D2366" t="inlineStr">
        <is>
          <t>State Street - S&amp;P 500 ETF</t>
        </is>
      </c>
      <c r="E2366" t="inlineStr">
        <is>
          <t>Huella</t>
        </is>
      </c>
      <c r="F2366" t="n">
        <v>439.35859</v>
      </c>
    </row>
    <row r="2367">
      <c r="A2367" t="inlineStr">
        <is>
          <t>202606</t>
        </is>
      </c>
      <c r="B2367" t="inlineStr">
        <is>
          <t>Actual</t>
        </is>
      </c>
      <c r="C2367" t="inlineStr">
        <is>
          <t>Integra</t>
        </is>
      </c>
      <c r="D2367" t="inlineStr">
        <is>
          <t>State Street - S&amp;P 500 ETF</t>
        </is>
      </c>
      <c r="E2367" t="inlineStr">
        <is>
          <t>Intensidad</t>
        </is>
      </c>
      <c r="F2367" t="n">
        <v>0.462054</v>
      </c>
    </row>
    <row r="2368">
      <c r="A2368" t="inlineStr">
        <is>
          <t>202606</t>
        </is>
      </c>
      <c r="B2368" t="inlineStr">
        <is>
          <t>Actual</t>
        </is>
      </c>
      <c r="C2368" t="inlineStr">
        <is>
          <t>Integra</t>
        </is>
      </c>
      <c r="D2368" t="inlineStr">
        <is>
          <t>State Street - S&amp;P 500 ETF</t>
        </is>
      </c>
      <c r="E2368" t="inlineStr">
        <is>
          <t>Inv MM$</t>
        </is>
      </c>
      <c r="F2368" t="n">
        <v>20.109163</v>
      </c>
    </row>
    <row r="2369">
      <c r="A2369" t="inlineStr">
        <is>
          <t>202606</t>
        </is>
      </c>
      <c r="B2369" t="inlineStr">
        <is>
          <t>Actual</t>
        </is>
      </c>
      <c r="C2369" t="inlineStr">
        <is>
          <t>Integra</t>
        </is>
      </c>
      <c r="D2369" t="inlineStr">
        <is>
          <t>Telefónica</t>
        </is>
      </c>
      <c r="E2369" t="inlineStr">
        <is>
          <t>Huella</t>
        </is>
      </c>
      <c r="F2369" t="n">
        <v>74.14626</v>
      </c>
    </row>
    <row r="2370">
      <c r="A2370" t="inlineStr">
        <is>
          <t>202606</t>
        </is>
      </c>
      <c r="B2370" t="inlineStr">
        <is>
          <t>Actual</t>
        </is>
      </c>
      <c r="C2370" t="inlineStr">
        <is>
          <t>Integra</t>
        </is>
      </c>
      <c r="D2370" t="inlineStr">
        <is>
          <t>Telefónica</t>
        </is>
      </c>
      <c r="E2370" t="inlineStr">
        <is>
          <t>Intensidad</t>
        </is>
      </c>
      <c r="F2370" t="n">
        <v>0.017141</v>
      </c>
    </row>
    <row r="2371">
      <c r="A2371" t="inlineStr">
        <is>
          <t>202606</t>
        </is>
      </c>
      <c r="B2371" t="inlineStr">
        <is>
          <t>Actual</t>
        </is>
      </c>
      <c r="C2371" t="inlineStr">
        <is>
          <t>Integra</t>
        </is>
      </c>
      <c r="D2371" t="inlineStr">
        <is>
          <t>Telefónica</t>
        </is>
      </c>
      <c r="E2371" t="inlineStr">
        <is>
          <t>Inv MM$</t>
        </is>
      </c>
      <c r="F2371" t="n">
        <v>30.894275</v>
      </c>
    </row>
    <row r="2372">
      <c r="A2372" t="inlineStr">
        <is>
          <t>202606</t>
        </is>
      </c>
      <c r="B2372" t="inlineStr">
        <is>
          <t>Actual</t>
        </is>
      </c>
      <c r="C2372" t="inlineStr">
        <is>
          <t>Integra</t>
        </is>
      </c>
      <c r="D2372" t="inlineStr">
        <is>
          <t>UBS - China Opportunity - A3</t>
        </is>
      </c>
      <c r="E2372" t="inlineStr">
        <is>
          <t>Huella</t>
        </is>
      </c>
      <c r="F2372" t="n">
        <v>0.010352</v>
      </c>
    </row>
    <row r="2373">
      <c r="A2373" t="inlineStr">
        <is>
          <t>202606</t>
        </is>
      </c>
      <c r="B2373" t="inlineStr">
        <is>
          <t>Actual</t>
        </is>
      </c>
      <c r="C2373" t="inlineStr">
        <is>
          <t>Integra</t>
        </is>
      </c>
      <c r="D2373" t="inlineStr">
        <is>
          <t>UBS - China Opportunity - A3</t>
        </is>
      </c>
      <c r="E2373" t="inlineStr">
        <is>
          <t>Intensidad</t>
        </is>
      </c>
      <c r="F2373" t="n">
        <v>6e-06</v>
      </c>
    </row>
    <row r="2374">
      <c r="A2374" t="inlineStr">
        <is>
          <t>202606</t>
        </is>
      </c>
      <c r="B2374" t="inlineStr">
        <is>
          <t>Actual</t>
        </is>
      </c>
      <c r="C2374" t="inlineStr">
        <is>
          <t>Integra</t>
        </is>
      </c>
      <c r="D2374" t="inlineStr">
        <is>
          <t>UBS - China Opportunity - A3</t>
        </is>
      </c>
      <c r="E2374" t="inlineStr">
        <is>
          <t>Inv MM$</t>
        </is>
      </c>
      <c r="F2374" t="n">
        <v>0.000163</v>
      </c>
    </row>
    <row r="2375">
      <c r="A2375" t="inlineStr">
        <is>
          <t>202606</t>
        </is>
      </c>
      <c r="B2375" t="inlineStr">
        <is>
          <t>Actual</t>
        </is>
      </c>
      <c r="C2375" t="inlineStr">
        <is>
          <t>Integra</t>
        </is>
      </c>
      <c r="D2375" t="inlineStr">
        <is>
          <t>VanEck Semiconductor ETF</t>
        </is>
      </c>
      <c r="E2375" t="inlineStr">
        <is>
          <t>Huella</t>
        </is>
      </c>
      <c r="F2375" t="n">
        <v>3231.813834</v>
      </c>
    </row>
    <row r="2376">
      <c r="A2376" t="inlineStr">
        <is>
          <t>202606</t>
        </is>
      </c>
      <c r="B2376" t="inlineStr">
        <is>
          <t>Actual</t>
        </is>
      </c>
      <c r="C2376" t="inlineStr">
        <is>
          <t>Integra</t>
        </is>
      </c>
      <c r="D2376" t="inlineStr">
        <is>
          <t>VanEck Semiconductor ETF</t>
        </is>
      </c>
      <c r="E2376" t="inlineStr">
        <is>
          <t>Intensidad</t>
        </is>
      </c>
      <c r="F2376" t="n">
        <v>1.00726</v>
      </c>
    </row>
    <row r="2377">
      <c r="A2377" t="inlineStr">
        <is>
          <t>202606</t>
        </is>
      </c>
      <c r="B2377" t="inlineStr">
        <is>
          <t>Actual</t>
        </is>
      </c>
      <c r="C2377" t="inlineStr">
        <is>
          <t>Integra</t>
        </is>
      </c>
      <c r="D2377" t="inlineStr">
        <is>
          <t>VanEck Semiconductor ETF</t>
        </is>
      </c>
      <c r="E2377" t="inlineStr">
        <is>
          <t>Inv MM$</t>
        </is>
      </c>
      <c r="F2377" t="n">
        <v>457.409139</v>
      </c>
    </row>
    <row r="2378">
      <c r="A2378" t="inlineStr">
        <is>
          <t>202606</t>
        </is>
      </c>
      <c r="B2378" t="inlineStr">
        <is>
          <t>Actual</t>
        </is>
      </c>
      <c r="C2378" t="inlineStr">
        <is>
          <t>Integra</t>
        </is>
      </c>
      <c r="D2378" t="inlineStr">
        <is>
          <t>Vanguard - Emerging Markets Bond Fund - I Retail</t>
        </is>
      </c>
      <c r="E2378" t="inlineStr">
        <is>
          <t>Huella</t>
        </is>
      </c>
      <c r="F2378" t="n">
        <v>0.160714</v>
      </c>
    </row>
    <row r="2379">
      <c r="A2379" t="inlineStr">
        <is>
          <t>202606</t>
        </is>
      </c>
      <c r="B2379" t="inlineStr">
        <is>
          <t>Actual</t>
        </is>
      </c>
      <c r="C2379" t="inlineStr">
        <is>
          <t>Integra</t>
        </is>
      </c>
      <c r="D2379" t="inlineStr">
        <is>
          <t>Vanguard - Emerging Markets Bond Fund - I Retail</t>
        </is>
      </c>
      <c r="E2379" t="inlineStr">
        <is>
          <t>Intensidad</t>
        </is>
      </c>
      <c r="F2379" t="n">
        <v>8.7e-05</v>
      </c>
    </row>
    <row r="2380">
      <c r="A2380" t="inlineStr">
        <is>
          <t>202606</t>
        </is>
      </c>
      <c r="B2380" t="inlineStr">
        <is>
          <t>Actual</t>
        </is>
      </c>
      <c r="C2380" t="inlineStr">
        <is>
          <t>Integra</t>
        </is>
      </c>
      <c r="D2380" t="inlineStr">
        <is>
          <t>Vanguard - Emerging Markets Bond Fund - I Retail</t>
        </is>
      </c>
      <c r="E2380" t="inlineStr">
        <is>
          <t>Inv MM$</t>
        </is>
      </c>
      <c r="F2380" t="n">
        <v>0.000432</v>
      </c>
    </row>
    <row r="2381">
      <c r="A2381" t="inlineStr">
        <is>
          <t>202606</t>
        </is>
      </c>
      <c r="B2381" t="inlineStr">
        <is>
          <t>Actual</t>
        </is>
      </c>
      <c r="C2381" t="inlineStr">
        <is>
          <t>Integra</t>
        </is>
      </c>
      <c r="D2381" t="inlineStr">
        <is>
          <t>Vanguard - Emerging Markets Bond Fund - II Institutional</t>
        </is>
      </c>
      <c r="E2381" t="inlineStr">
        <is>
          <t>Huella</t>
        </is>
      </c>
      <c r="F2381" t="n">
        <v>0.271935</v>
      </c>
    </row>
    <row r="2382">
      <c r="A2382" t="inlineStr">
        <is>
          <t>202606</t>
        </is>
      </c>
      <c r="B2382" t="inlineStr">
        <is>
          <t>Actual</t>
        </is>
      </c>
      <c r="C2382" t="inlineStr">
        <is>
          <t>Integra</t>
        </is>
      </c>
      <c r="D2382" t="inlineStr">
        <is>
          <t>Vanguard - Emerging Markets Bond Fund - II Institutional</t>
        </is>
      </c>
      <c r="E2382" t="inlineStr">
        <is>
          <t>Intensidad</t>
        </is>
      </c>
      <c r="F2382" t="n">
        <v>0.00016</v>
      </c>
    </row>
    <row r="2383">
      <c r="A2383" t="inlineStr">
        <is>
          <t>202606</t>
        </is>
      </c>
      <c r="B2383" t="inlineStr">
        <is>
          <t>Actual</t>
        </is>
      </c>
      <c r="C2383" t="inlineStr">
        <is>
          <t>Integra</t>
        </is>
      </c>
      <c r="D2383" t="inlineStr">
        <is>
          <t>Vanguard - Emerging Markets Bond Fund - II Institutional</t>
        </is>
      </c>
      <c r="E2383" t="inlineStr">
        <is>
          <t>Inv MM$</t>
        </is>
      </c>
      <c r="F2383" t="n">
        <v>0.000732</v>
      </c>
    </row>
    <row r="2384">
      <c r="A2384" t="inlineStr">
        <is>
          <t>202606</t>
        </is>
      </c>
      <c r="B2384" t="inlineStr">
        <is>
          <t>Actual</t>
        </is>
      </c>
      <c r="C2384" t="inlineStr">
        <is>
          <t>Integra</t>
        </is>
      </c>
      <c r="D2384" t="inlineStr">
        <is>
          <t>Volcan*</t>
        </is>
      </c>
      <c r="E2384" t="inlineStr">
        <is>
          <t>Huella</t>
        </is>
      </c>
      <c r="F2384" t="n">
        <v>2720.191265</v>
      </c>
    </row>
    <row r="2385">
      <c r="A2385" t="inlineStr">
        <is>
          <t>202606</t>
        </is>
      </c>
      <c r="B2385" t="inlineStr">
        <is>
          <t>Actual</t>
        </is>
      </c>
      <c r="C2385" t="inlineStr">
        <is>
          <t>Integra</t>
        </is>
      </c>
      <c r="D2385" t="inlineStr">
        <is>
          <t>Volcan*</t>
        </is>
      </c>
      <c r="E2385" t="inlineStr">
        <is>
          <t>Intensidad</t>
        </is>
      </c>
      <c r="F2385" t="n">
        <v>1.202485</v>
      </c>
    </row>
    <row r="2386">
      <c r="A2386" t="inlineStr">
        <is>
          <t>202606</t>
        </is>
      </c>
      <c r="B2386" t="inlineStr">
        <is>
          <t>Actual</t>
        </is>
      </c>
      <c r="C2386" t="inlineStr">
        <is>
          <t>Integra</t>
        </is>
      </c>
      <c r="D2386" t="inlineStr">
        <is>
          <t>Volcan*</t>
        </is>
      </c>
      <c r="E2386" t="inlineStr">
        <is>
          <t>Inv MM$</t>
        </is>
      </c>
      <c r="F2386" t="n">
        <v>23.892765</v>
      </c>
    </row>
    <row r="2387">
      <c r="A2387" t="inlineStr">
        <is>
          <t>202606</t>
        </is>
      </c>
      <c r="B2387" t="inlineStr">
        <is>
          <t>Actual</t>
        </is>
      </c>
      <c r="C2387" t="inlineStr">
        <is>
          <t>Integra</t>
        </is>
      </c>
      <c r="D2387" t="inlineStr">
        <is>
          <t>Vontobel - Credit Opportunities</t>
        </is>
      </c>
      <c r="E2387" t="inlineStr">
        <is>
          <t>Huella</t>
        </is>
      </c>
      <c r="F2387" t="n">
        <v>6586.082763</v>
      </c>
    </row>
    <row r="2388">
      <c r="A2388" t="inlineStr">
        <is>
          <t>202606</t>
        </is>
      </c>
      <c r="B2388" t="inlineStr">
        <is>
          <t>Actual</t>
        </is>
      </c>
      <c r="C2388" t="inlineStr">
        <is>
          <t>Integra</t>
        </is>
      </c>
      <c r="D2388" t="inlineStr">
        <is>
          <t>Vontobel - Credit Opportunities</t>
        </is>
      </c>
      <c r="E2388" t="inlineStr">
        <is>
          <t>Intensidad</t>
        </is>
      </c>
      <c r="F2388" t="n">
        <v>2.436753</v>
      </c>
    </row>
    <row r="2389">
      <c r="A2389" t="inlineStr">
        <is>
          <t>202606</t>
        </is>
      </c>
      <c r="B2389" t="inlineStr">
        <is>
          <t>Actual</t>
        </is>
      </c>
      <c r="C2389" t="inlineStr">
        <is>
          <t>Integra</t>
        </is>
      </c>
      <c r="D2389" t="inlineStr">
        <is>
          <t>Vontobel - Credit Opportunities</t>
        </is>
      </c>
      <c r="E2389" t="inlineStr">
        <is>
          <t>Inv MM$</t>
        </is>
      </c>
      <c r="F2389" t="n">
        <v>156.577159</v>
      </c>
    </row>
    <row r="2390">
      <c r="A2390" t="inlineStr">
        <is>
          <t>202606</t>
        </is>
      </c>
      <c r="B2390" t="inlineStr">
        <is>
          <t>Actual</t>
        </is>
      </c>
      <c r="C2390" t="inlineStr">
        <is>
          <t>Integra</t>
        </is>
      </c>
      <c r="D2390" t="inlineStr">
        <is>
          <t>Vontobel - Emerging Markets Corporate</t>
        </is>
      </c>
      <c r="E2390" t="inlineStr">
        <is>
          <t>Huella</t>
        </is>
      </c>
      <c r="F2390" t="n">
        <v>0.359231</v>
      </c>
    </row>
    <row r="2391">
      <c r="A2391" t="inlineStr">
        <is>
          <t>202606</t>
        </is>
      </c>
      <c r="B2391" t="inlineStr">
        <is>
          <t>Actual</t>
        </is>
      </c>
      <c r="C2391" t="inlineStr">
        <is>
          <t>Integra</t>
        </is>
      </c>
      <c r="D2391" t="inlineStr">
        <is>
          <t>Vontobel - Emerging Markets Corporate</t>
        </is>
      </c>
      <c r="E2391" t="inlineStr">
        <is>
          <t>Intensidad</t>
        </is>
      </c>
      <c r="F2391" t="n">
        <v>9.1e-05</v>
      </c>
    </row>
    <row r="2392">
      <c r="A2392" t="inlineStr">
        <is>
          <t>202606</t>
        </is>
      </c>
      <c r="B2392" t="inlineStr">
        <is>
          <t>Actual</t>
        </is>
      </c>
      <c r="C2392" t="inlineStr">
        <is>
          <t>Integra</t>
        </is>
      </c>
      <c r="D2392" t="inlineStr">
        <is>
          <t>Vontobel - Emerging Markets Corporate</t>
        </is>
      </c>
      <c r="E2392" t="inlineStr">
        <is>
          <t>Inv MM$</t>
        </is>
      </c>
      <c r="F2392" t="n">
        <v>0.000837</v>
      </c>
    </row>
    <row r="2393">
      <c r="A2393" t="inlineStr">
        <is>
          <t>202606</t>
        </is>
      </c>
      <c r="B2393" t="inlineStr">
        <is>
          <t>Actual</t>
        </is>
      </c>
      <c r="C2393" t="inlineStr">
        <is>
          <t>Integra</t>
        </is>
      </c>
      <c r="D2393" t="inlineStr">
        <is>
          <t>Vontobel - Emerging Markets Debt</t>
        </is>
      </c>
      <c r="E2393" t="inlineStr">
        <is>
          <t>Huella</t>
        </is>
      </c>
      <c r="F2393" t="n">
        <v>10526.28989</v>
      </c>
    </row>
    <row r="2394">
      <c r="A2394" t="inlineStr">
        <is>
          <t>202606</t>
        </is>
      </c>
      <c r="B2394" t="inlineStr">
        <is>
          <t>Actual</t>
        </is>
      </c>
      <c r="C2394" t="inlineStr">
        <is>
          <t>Integra</t>
        </is>
      </c>
      <c r="D2394" t="inlineStr">
        <is>
          <t>Vontobel - Emerging Markets Debt</t>
        </is>
      </c>
      <c r="E2394" t="inlineStr">
        <is>
          <t>Intensidad</t>
        </is>
      </c>
      <c r="F2394" t="n">
        <v>4.852209</v>
      </c>
    </row>
    <row r="2395">
      <c r="A2395" t="inlineStr">
        <is>
          <t>202606</t>
        </is>
      </c>
      <c r="B2395" t="inlineStr">
        <is>
          <t>Actual</t>
        </is>
      </c>
      <c r="C2395" t="inlineStr">
        <is>
          <t>Integra</t>
        </is>
      </c>
      <c r="D2395" t="inlineStr">
        <is>
          <t>Vontobel - Emerging Markets Debt</t>
        </is>
      </c>
      <c r="E2395" t="inlineStr">
        <is>
          <t>Inv MM$</t>
        </is>
      </c>
      <c r="F2395" t="n">
        <v>26.336592</v>
      </c>
    </row>
    <row r="2396">
      <c r="A2396" t="inlineStr">
        <is>
          <t>202606</t>
        </is>
      </c>
      <c r="B2396" t="inlineStr">
        <is>
          <t>Actual</t>
        </is>
      </c>
      <c r="C2396" t="inlineStr">
        <is>
          <t>Integra</t>
        </is>
      </c>
      <c r="D2396" t="inlineStr">
        <is>
          <t>WisdomTree - Japan Hedged Equity</t>
        </is>
      </c>
      <c r="E2396" t="inlineStr">
        <is>
          <t>Huella</t>
        </is>
      </c>
      <c r="F2396" t="n">
        <v>4393.695517</v>
      </c>
    </row>
    <row r="2397">
      <c r="A2397" t="inlineStr">
        <is>
          <t>202606</t>
        </is>
      </c>
      <c r="B2397" t="inlineStr">
        <is>
          <t>Actual</t>
        </is>
      </c>
      <c r="C2397" t="inlineStr">
        <is>
          <t>Integra</t>
        </is>
      </c>
      <c r="D2397" t="inlineStr">
        <is>
          <t>WisdomTree - Japan Hedged Equity</t>
        </is>
      </c>
      <c r="E2397" t="inlineStr">
        <is>
          <t>Intensidad</t>
        </is>
      </c>
      <c r="F2397" t="n">
        <v>1.373023</v>
      </c>
    </row>
    <row r="2398">
      <c r="A2398" t="inlineStr">
        <is>
          <t>202606</t>
        </is>
      </c>
      <c r="B2398" t="inlineStr">
        <is>
          <t>Actual</t>
        </is>
      </c>
      <c r="C2398" t="inlineStr">
        <is>
          <t>Integra</t>
        </is>
      </c>
      <c r="D2398" t="inlineStr">
        <is>
          <t>WisdomTree - Japan Hedged Equity</t>
        </is>
      </c>
      <c r="E2398" t="inlineStr">
        <is>
          <t>Inv MM$</t>
        </is>
      </c>
      <c r="F2398" t="n">
        <v>63.464322</v>
      </c>
    </row>
    <row r="2399">
      <c r="A2399" t="inlineStr">
        <is>
          <t>202606</t>
        </is>
      </c>
      <c r="B2399" t="inlineStr">
        <is>
          <t>Actual</t>
        </is>
      </c>
      <c r="C2399" t="inlineStr">
        <is>
          <t>Prima</t>
        </is>
      </c>
      <c r="D2399" t="inlineStr">
        <is>
          <t>Aberdeen - Select Emerging Markets Bond</t>
        </is>
      </c>
      <c r="E2399" t="inlineStr">
        <is>
          <t>Huella</t>
        </is>
      </c>
      <c r="F2399" t="n">
        <v>1.7e-05</v>
      </c>
    </row>
    <row r="2400">
      <c r="A2400" t="inlineStr">
        <is>
          <t>202606</t>
        </is>
      </c>
      <c r="B2400" t="inlineStr">
        <is>
          <t>Actual</t>
        </is>
      </c>
      <c r="C2400" t="inlineStr">
        <is>
          <t>Prima</t>
        </is>
      </c>
      <c r="D2400" t="inlineStr">
        <is>
          <t>Aberdeen - Select Emerging Markets Bond</t>
        </is>
      </c>
      <c r="E2400" t="inlineStr">
        <is>
          <t>Intensidad</t>
        </is>
      </c>
      <c r="F2400" t="n">
        <v>0</v>
      </c>
    </row>
    <row r="2401">
      <c r="A2401" t="inlineStr">
        <is>
          <t>202606</t>
        </is>
      </c>
      <c r="B2401" t="inlineStr">
        <is>
          <t>Actual</t>
        </is>
      </c>
      <c r="C2401" t="inlineStr">
        <is>
          <t>Prima</t>
        </is>
      </c>
      <c r="D2401" t="inlineStr">
        <is>
          <t>Aberdeen - Select Emerging Markets Bond</t>
        </is>
      </c>
      <c r="E2401" t="inlineStr">
        <is>
          <t>Inv MM$</t>
        </is>
      </c>
      <c r="F2401" t="n">
        <v>0</v>
      </c>
    </row>
    <row r="2402">
      <c r="A2402" t="inlineStr">
        <is>
          <t>202606</t>
        </is>
      </c>
      <c r="B2402" t="inlineStr">
        <is>
          <t>Actual</t>
        </is>
      </c>
      <c r="C2402" t="inlineStr">
        <is>
          <t>Prima</t>
        </is>
      </c>
      <c r="D2402" t="inlineStr">
        <is>
          <t>Aegon High Yield Global Bond Fund</t>
        </is>
      </c>
      <c r="E2402" t="inlineStr">
        <is>
          <t>Huella</t>
        </is>
      </c>
      <c r="F2402" t="n">
        <v>3353.10763</v>
      </c>
    </row>
    <row r="2403">
      <c r="A2403" t="inlineStr">
        <is>
          <t>202606</t>
        </is>
      </c>
      <c r="B2403" t="inlineStr">
        <is>
          <t>Actual</t>
        </is>
      </c>
      <c r="C2403" t="inlineStr">
        <is>
          <t>Prima</t>
        </is>
      </c>
      <c r="D2403" t="inlineStr">
        <is>
          <t>Aegon High Yield Global Bond Fund</t>
        </is>
      </c>
      <c r="E2403" t="inlineStr">
        <is>
          <t>Intensidad</t>
        </is>
      </c>
      <c r="F2403" t="n">
        <v>1.224738</v>
      </c>
    </row>
    <row r="2404">
      <c r="A2404" t="inlineStr">
        <is>
          <t>202606</t>
        </is>
      </c>
      <c r="B2404" t="inlineStr">
        <is>
          <t>Actual</t>
        </is>
      </c>
      <c r="C2404" t="inlineStr">
        <is>
          <t>Prima</t>
        </is>
      </c>
      <c r="D2404" t="inlineStr">
        <is>
          <t>Aegon High Yield Global Bond Fund</t>
        </is>
      </c>
      <c r="E2404" t="inlineStr">
        <is>
          <t>Inv MM$</t>
        </is>
      </c>
      <c r="F2404" t="n">
        <v>31.298578</v>
      </c>
    </row>
    <row r="2405">
      <c r="A2405" t="inlineStr">
        <is>
          <t>202606</t>
        </is>
      </c>
      <c r="B2405" t="inlineStr">
        <is>
          <t>Actual</t>
        </is>
      </c>
      <c r="C2405" t="inlineStr">
        <is>
          <t>Prima</t>
        </is>
      </c>
      <c r="D2405" t="inlineStr">
        <is>
          <t>Aenza</t>
        </is>
      </c>
      <c r="E2405" t="inlineStr">
        <is>
          <t>Huella</t>
        </is>
      </c>
      <c r="F2405" t="n">
        <v>3762.269176</v>
      </c>
    </row>
    <row r="2406">
      <c r="A2406" t="inlineStr">
        <is>
          <t>202606</t>
        </is>
      </c>
      <c r="B2406" t="inlineStr">
        <is>
          <t>Actual</t>
        </is>
      </c>
      <c r="C2406" t="inlineStr">
        <is>
          <t>Prima</t>
        </is>
      </c>
      <c r="D2406" t="inlineStr">
        <is>
          <t>Aenza</t>
        </is>
      </c>
      <c r="E2406" t="inlineStr">
        <is>
          <t>Intensidad</t>
        </is>
      </c>
      <c r="F2406" t="n">
        <v>2.141748</v>
      </c>
    </row>
    <row r="2407">
      <c r="A2407" t="inlineStr">
        <is>
          <t>202606</t>
        </is>
      </c>
      <c r="B2407" t="inlineStr">
        <is>
          <t>Actual</t>
        </is>
      </c>
      <c r="C2407" t="inlineStr">
        <is>
          <t>Prima</t>
        </is>
      </c>
      <c r="D2407" t="inlineStr">
        <is>
          <t>Aenza</t>
        </is>
      </c>
      <c r="E2407" t="inlineStr">
        <is>
          <t>Inv MM$</t>
        </is>
      </c>
      <c r="F2407" t="n">
        <v>26.756768</v>
      </c>
    </row>
    <row r="2408">
      <c r="A2408" t="inlineStr">
        <is>
          <t>202606</t>
        </is>
      </c>
      <c r="B2408" t="inlineStr">
        <is>
          <t>Actual</t>
        </is>
      </c>
      <c r="C2408" t="inlineStr">
        <is>
          <t>Prima</t>
        </is>
      </c>
      <c r="D2408" t="inlineStr">
        <is>
          <t>Azimut Investments SA - AZ Fund 3, AZ Bond Frontier Markets Debt</t>
        </is>
      </c>
      <c r="E2408" t="inlineStr">
        <is>
          <t>Huella</t>
        </is>
      </c>
      <c r="F2408" t="n">
        <v>20.500301</v>
      </c>
    </row>
    <row r="2409">
      <c r="A2409" t="inlineStr">
        <is>
          <t>202606</t>
        </is>
      </c>
      <c r="B2409" t="inlineStr">
        <is>
          <t>Actual</t>
        </is>
      </c>
      <c r="C2409" t="inlineStr">
        <is>
          <t>Prima</t>
        </is>
      </c>
      <c r="D2409" t="inlineStr">
        <is>
          <t>Azimut Investments SA - AZ Fund 3, AZ Bond Frontier Markets Debt</t>
        </is>
      </c>
      <c r="E2409" t="inlineStr">
        <is>
          <t>Intensidad</t>
        </is>
      </c>
      <c r="F2409" t="n">
        <v>0.007565</v>
      </c>
    </row>
    <row r="2410">
      <c r="A2410" t="inlineStr">
        <is>
          <t>202606</t>
        </is>
      </c>
      <c r="B2410" t="inlineStr">
        <is>
          <t>Actual</t>
        </is>
      </c>
      <c r="C2410" t="inlineStr">
        <is>
          <t>Prima</t>
        </is>
      </c>
      <c r="D2410" t="inlineStr">
        <is>
          <t>Azimut Investments SA - AZ Fund 3, AZ Bond Frontier Markets Debt</t>
        </is>
      </c>
      <c r="E2410" t="inlineStr">
        <is>
          <t>Inv MM$</t>
        </is>
      </c>
      <c r="F2410" t="n">
        <v>24.171947</v>
      </c>
    </row>
    <row r="2411">
      <c r="A2411" t="inlineStr">
        <is>
          <t>202606</t>
        </is>
      </c>
      <c r="B2411" t="inlineStr">
        <is>
          <t>Actual</t>
        </is>
      </c>
      <c r="C2411" t="inlineStr">
        <is>
          <t>Prima</t>
        </is>
      </c>
      <c r="D2411" t="inlineStr">
        <is>
          <t>BBVA Bancomer</t>
        </is>
      </c>
      <c r="E2411" t="inlineStr">
        <is>
          <t>Huella</t>
        </is>
      </c>
      <c r="F2411" t="n">
        <v>32.652392</v>
      </c>
    </row>
    <row r="2412">
      <c r="A2412" t="inlineStr">
        <is>
          <t>202606</t>
        </is>
      </c>
      <c r="B2412" t="inlineStr">
        <is>
          <t>Actual</t>
        </is>
      </c>
      <c r="C2412" t="inlineStr">
        <is>
          <t>Prima</t>
        </is>
      </c>
      <c r="D2412" t="inlineStr">
        <is>
          <t>BBVA Bancomer</t>
        </is>
      </c>
      <c r="E2412" t="inlineStr">
        <is>
          <t>Intensidad</t>
        </is>
      </c>
      <c r="F2412" t="n">
        <v>0.011708</v>
      </c>
    </row>
    <row r="2413">
      <c r="A2413" t="inlineStr">
        <is>
          <t>202606</t>
        </is>
      </c>
      <c r="B2413" t="inlineStr">
        <is>
          <t>Actual</t>
        </is>
      </c>
      <c r="C2413" t="inlineStr">
        <is>
          <t>Prima</t>
        </is>
      </c>
      <c r="D2413" t="inlineStr">
        <is>
          <t>BBVA Bancomer</t>
        </is>
      </c>
      <c r="E2413" t="inlineStr">
        <is>
          <t>Inv MM$</t>
        </is>
      </c>
      <c r="F2413" t="n">
        <v>42.405704</v>
      </c>
    </row>
    <row r="2414">
      <c r="A2414" t="inlineStr">
        <is>
          <t>202606</t>
        </is>
      </c>
      <c r="B2414" t="inlineStr">
        <is>
          <t>Actual</t>
        </is>
      </c>
      <c r="C2414" t="inlineStr">
        <is>
          <t>Prima</t>
        </is>
      </c>
      <c r="D2414" t="inlineStr">
        <is>
          <t>BCP</t>
        </is>
      </c>
      <c r="E2414" t="inlineStr">
        <is>
          <t>Huella</t>
        </is>
      </c>
      <c r="F2414" t="n">
        <v>1.715613</v>
      </c>
    </row>
    <row r="2415">
      <c r="A2415" t="inlineStr">
        <is>
          <t>202606</t>
        </is>
      </c>
      <c r="B2415" t="inlineStr">
        <is>
          <t>Actual</t>
        </is>
      </c>
      <c r="C2415" t="inlineStr">
        <is>
          <t>Prima</t>
        </is>
      </c>
      <c r="D2415" t="inlineStr">
        <is>
          <t>BCP</t>
        </is>
      </c>
      <c r="E2415" t="inlineStr">
        <is>
          <t>Intensidad</t>
        </is>
      </c>
      <c r="F2415" t="n">
        <v>0.001458</v>
      </c>
    </row>
    <row r="2416">
      <c r="A2416" t="inlineStr">
        <is>
          <t>202606</t>
        </is>
      </c>
      <c r="B2416" t="inlineStr">
        <is>
          <t>Actual</t>
        </is>
      </c>
      <c r="C2416" t="inlineStr">
        <is>
          <t>Prima</t>
        </is>
      </c>
      <c r="D2416" t="inlineStr">
        <is>
          <t>BCP</t>
        </is>
      </c>
      <c r="E2416" t="inlineStr">
        <is>
          <t>Inv MM$</t>
        </is>
      </c>
      <c r="F2416" t="n">
        <v>3.899119</v>
      </c>
    </row>
    <row r="2417">
      <c r="A2417" t="inlineStr">
        <is>
          <t>202606</t>
        </is>
      </c>
      <c r="B2417" t="inlineStr">
        <is>
          <t>Actual</t>
        </is>
      </c>
      <c r="C2417" t="inlineStr">
        <is>
          <t>Prima</t>
        </is>
      </c>
      <c r="D2417" t="inlineStr">
        <is>
          <t>BD Capital - Senior Loans 2</t>
        </is>
      </c>
      <c r="E2417" t="inlineStr">
        <is>
          <t>Huella</t>
        </is>
      </c>
      <c r="F2417" t="n">
        <v>4446.326588</v>
      </c>
    </row>
    <row r="2418">
      <c r="A2418" t="inlineStr">
        <is>
          <t>202606</t>
        </is>
      </c>
      <c r="B2418" t="inlineStr">
        <is>
          <t>Actual</t>
        </is>
      </c>
      <c r="C2418" t="inlineStr">
        <is>
          <t>Prima</t>
        </is>
      </c>
      <c r="D2418" t="inlineStr">
        <is>
          <t>BD Capital - Senior Loans 2</t>
        </is>
      </c>
      <c r="E2418" t="inlineStr">
        <is>
          <t>Intensidad</t>
        </is>
      </c>
      <c r="F2418" t="n">
        <v>1.748014</v>
      </c>
    </row>
    <row r="2419">
      <c r="A2419" t="inlineStr">
        <is>
          <t>202606</t>
        </is>
      </c>
      <c r="B2419" t="inlineStr">
        <is>
          <t>Actual</t>
        </is>
      </c>
      <c r="C2419" t="inlineStr">
        <is>
          <t>Prima</t>
        </is>
      </c>
      <c r="D2419" t="inlineStr">
        <is>
          <t>BD Capital - Senior Loans 2</t>
        </is>
      </c>
      <c r="E2419" t="inlineStr">
        <is>
          <t>Inv MM$</t>
        </is>
      </c>
      <c r="F2419" t="n">
        <v>46.27298</v>
      </c>
    </row>
    <row r="2420">
      <c r="A2420" t="inlineStr">
        <is>
          <t>202606</t>
        </is>
      </c>
      <c r="B2420" t="inlineStr">
        <is>
          <t>Actual</t>
        </is>
      </c>
      <c r="C2420" t="inlineStr">
        <is>
          <t>Prima</t>
        </is>
      </c>
      <c r="D2420" t="inlineStr">
        <is>
          <t>BlackRock - iShares -20+ Year Treasury Bond ETF</t>
        </is>
      </c>
      <c r="E2420" t="inlineStr">
        <is>
          <t>Huella</t>
        </is>
      </c>
      <c r="F2420" t="n">
        <v>1977.760292</v>
      </c>
    </row>
    <row r="2421">
      <c r="A2421" t="inlineStr">
        <is>
          <t>202606</t>
        </is>
      </c>
      <c r="B2421" t="inlineStr">
        <is>
          <t>Actual</t>
        </is>
      </c>
      <c r="C2421" t="inlineStr">
        <is>
          <t>Prima</t>
        </is>
      </c>
      <c r="D2421" t="inlineStr">
        <is>
          <t>BlackRock - iShares -20+ Year Treasury Bond ETF</t>
        </is>
      </c>
      <c r="E2421" t="inlineStr">
        <is>
          <t>Intensidad</t>
        </is>
      </c>
      <c r="F2421" t="n">
        <v>1.045651</v>
      </c>
    </row>
    <row r="2422">
      <c r="A2422" t="inlineStr">
        <is>
          <t>202606</t>
        </is>
      </c>
      <c r="B2422" t="inlineStr">
        <is>
          <t>Actual</t>
        </is>
      </c>
      <c r="C2422" t="inlineStr">
        <is>
          <t>Prima</t>
        </is>
      </c>
      <c r="D2422" t="inlineStr">
        <is>
          <t>BlackRock - iShares -20+ Year Treasury Bond ETF</t>
        </is>
      </c>
      <c r="E2422" t="inlineStr">
        <is>
          <t>Inv MM$</t>
        </is>
      </c>
      <c r="F2422" t="n">
        <v>9.762295</v>
      </c>
    </row>
    <row r="2423">
      <c r="A2423" t="inlineStr">
        <is>
          <t>202606</t>
        </is>
      </c>
      <c r="B2423" t="inlineStr">
        <is>
          <t>Actual</t>
        </is>
      </c>
      <c r="C2423" t="inlineStr">
        <is>
          <t>Prima</t>
        </is>
      </c>
      <c r="D2423" t="inlineStr">
        <is>
          <t>BlackRock - iShares Korea</t>
        </is>
      </c>
      <c r="E2423" t="inlineStr">
        <is>
          <t>Huella</t>
        </is>
      </c>
      <c r="F2423" t="n">
        <v>28478.461127</v>
      </c>
    </row>
    <row r="2424">
      <c r="A2424" t="inlineStr">
        <is>
          <t>202606</t>
        </is>
      </c>
      <c r="B2424" t="inlineStr">
        <is>
          <t>Actual</t>
        </is>
      </c>
      <c r="C2424" t="inlineStr">
        <is>
          <t>Prima</t>
        </is>
      </c>
      <c r="D2424" t="inlineStr">
        <is>
          <t>BlackRock - iShares Korea</t>
        </is>
      </c>
      <c r="E2424" t="inlineStr">
        <is>
          <t>Intensidad</t>
        </is>
      </c>
      <c r="F2424" t="n">
        <v>10.402756</v>
      </c>
    </row>
    <row r="2425">
      <c r="A2425" t="inlineStr">
        <is>
          <t>202606</t>
        </is>
      </c>
      <c r="B2425" t="inlineStr">
        <is>
          <t>Actual</t>
        </is>
      </c>
      <c r="C2425" t="inlineStr">
        <is>
          <t>Prima</t>
        </is>
      </c>
      <c r="D2425" t="inlineStr">
        <is>
          <t>BlackRock - iShares Korea</t>
        </is>
      </c>
      <c r="E2425" t="inlineStr">
        <is>
          <t>Inv MM$</t>
        </is>
      </c>
      <c r="F2425" t="n">
        <v>488.563127</v>
      </c>
    </row>
    <row r="2426">
      <c r="A2426" t="inlineStr">
        <is>
          <t>202606</t>
        </is>
      </c>
      <c r="B2426" t="inlineStr">
        <is>
          <t>Actual</t>
        </is>
      </c>
      <c r="C2426" t="inlineStr">
        <is>
          <t>Prima</t>
        </is>
      </c>
      <c r="D2426" t="inlineStr">
        <is>
          <t>BlackRock - iShares MSCI Brazil</t>
        </is>
      </c>
      <c r="E2426" t="inlineStr">
        <is>
          <t>Huella</t>
        </is>
      </c>
      <c r="F2426" t="n">
        <v>994.508123</v>
      </c>
    </row>
    <row r="2427">
      <c r="A2427" t="inlineStr">
        <is>
          <t>202606</t>
        </is>
      </c>
      <c r="B2427" t="inlineStr">
        <is>
          <t>Actual</t>
        </is>
      </c>
      <c r="C2427" t="inlineStr">
        <is>
          <t>Prima</t>
        </is>
      </c>
      <c r="D2427" t="inlineStr">
        <is>
          <t>BlackRock - iShares MSCI Brazil</t>
        </is>
      </c>
      <c r="E2427" t="inlineStr">
        <is>
          <t>Intensidad</t>
        </is>
      </c>
      <c r="F2427" t="n">
        <v>1.156073</v>
      </c>
    </row>
    <row r="2428">
      <c r="A2428" t="inlineStr">
        <is>
          <t>202606</t>
        </is>
      </c>
      <c r="B2428" t="inlineStr">
        <is>
          <t>Actual</t>
        </is>
      </c>
      <c r="C2428" t="inlineStr">
        <is>
          <t>Prima</t>
        </is>
      </c>
      <c r="D2428" t="inlineStr">
        <is>
          <t>BlackRock - iShares MSCI Brazil</t>
        </is>
      </c>
      <c r="E2428" t="inlineStr">
        <is>
          <t>Inv MM$</t>
        </is>
      </c>
      <c r="F2428" t="n">
        <v>10.857444</v>
      </c>
    </row>
    <row r="2429">
      <c r="A2429" t="inlineStr">
        <is>
          <t>202606</t>
        </is>
      </c>
      <c r="B2429" t="inlineStr">
        <is>
          <t>Actual</t>
        </is>
      </c>
      <c r="C2429" t="inlineStr">
        <is>
          <t>Prima</t>
        </is>
      </c>
      <c r="D2429" t="inlineStr">
        <is>
          <t>BlackRock - iShares PHLX Semiconductor ETF</t>
        </is>
      </c>
      <c r="E2429" t="inlineStr">
        <is>
          <t>Huella</t>
        </is>
      </c>
      <c r="F2429" t="n">
        <v>5129.494103</v>
      </c>
    </row>
    <row r="2430">
      <c r="A2430" t="inlineStr">
        <is>
          <t>202606</t>
        </is>
      </c>
      <c r="B2430" t="inlineStr">
        <is>
          <t>Actual</t>
        </is>
      </c>
      <c r="C2430" t="inlineStr">
        <is>
          <t>Prima</t>
        </is>
      </c>
      <c r="D2430" t="inlineStr">
        <is>
          <t>BlackRock - iShares PHLX Semiconductor ETF</t>
        </is>
      </c>
      <c r="E2430" t="inlineStr">
        <is>
          <t>Intensidad</t>
        </is>
      </c>
      <c r="F2430" t="n">
        <v>2.021661</v>
      </c>
    </row>
    <row r="2431">
      <c r="A2431" t="inlineStr">
        <is>
          <t>202606</t>
        </is>
      </c>
      <c r="B2431" t="inlineStr">
        <is>
          <t>Actual</t>
        </is>
      </c>
      <c r="C2431" t="inlineStr">
        <is>
          <t>Prima</t>
        </is>
      </c>
      <c r="D2431" t="inlineStr">
        <is>
          <t>BlackRock - iShares PHLX Semiconductor ETF</t>
        </is>
      </c>
      <c r="E2431" t="inlineStr">
        <is>
          <t>Inv MM$</t>
        </is>
      </c>
      <c r="F2431" t="n">
        <v>514.63138</v>
      </c>
    </row>
    <row r="2432">
      <c r="A2432" t="inlineStr">
        <is>
          <t>202606</t>
        </is>
      </c>
      <c r="B2432" t="inlineStr">
        <is>
          <t>Actual</t>
        </is>
      </c>
      <c r="C2432" t="inlineStr">
        <is>
          <t>Prima</t>
        </is>
      </c>
      <c r="D2432" t="inlineStr">
        <is>
          <t>BlackRock - iShares S&amp;P NA Technology-Software Fund</t>
        </is>
      </c>
      <c r="E2432" t="inlineStr">
        <is>
          <t>Huella</t>
        </is>
      </c>
      <c r="F2432" t="n">
        <v>18.684076</v>
      </c>
    </row>
    <row r="2433">
      <c r="A2433" t="inlineStr">
        <is>
          <t>202606</t>
        </is>
      </c>
      <c r="B2433" t="inlineStr">
        <is>
          <t>Actual</t>
        </is>
      </c>
      <c r="C2433" t="inlineStr">
        <is>
          <t>Prima</t>
        </is>
      </c>
      <c r="D2433" t="inlineStr">
        <is>
          <t>BlackRock - iShares S&amp;P NA Technology-Software Fund</t>
        </is>
      </c>
      <c r="E2433" t="inlineStr">
        <is>
          <t>Intensidad</t>
        </is>
      </c>
      <c r="F2433" t="n">
        <v>0.021719</v>
      </c>
    </row>
    <row r="2434">
      <c r="A2434" t="inlineStr">
        <is>
          <t>202606</t>
        </is>
      </c>
      <c r="B2434" t="inlineStr">
        <is>
          <t>Actual</t>
        </is>
      </c>
      <c r="C2434" t="inlineStr">
        <is>
          <t>Prima</t>
        </is>
      </c>
      <c r="D2434" t="inlineStr">
        <is>
          <t>BlackRock - iShares S&amp;P NA Technology-Software Fund</t>
        </is>
      </c>
      <c r="E2434" t="inlineStr">
        <is>
          <t>Inv MM$</t>
        </is>
      </c>
      <c r="F2434" t="n">
        <v>10.060443</v>
      </c>
    </row>
    <row r="2435">
      <c r="A2435" t="inlineStr">
        <is>
          <t>202606</t>
        </is>
      </c>
      <c r="B2435" t="inlineStr">
        <is>
          <t>Actual</t>
        </is>
      </c>
      <c r="C2435" t="inlineStr">
        <is>
          <t>Prima</t>
        </is>
      </c>
      <c r="D2435" t="inlineStr">
        <is>
          <t>BlackRock - iShares iBoxx High Yield Corporate Bond</t>
        </is>
      </c>
      <c r="E2435" t="inlineStr">
        <is>
          <t>Huella</t>
        </is>
      </c>
      <c r="F2435" t="n">
        <v>1252.276193</v>
      </c>
    </row>
    <row r="2436">
      <c r="A2436" t="inlineStr">
        <is>
          <t>202606</t>
        </is>
      </c>
      <c r="B2436" t="inlineStr">
        <is>
          <t>Actual</t>
        </is>
      </c>
      <c r="C2436" t="inlineStr">
        <is>
          <t>Prima</t>
        </is>
      </c>
      <c r="D2436" t="inlineStr">
        <is>
          <t>BlackRock - iShares iBoxx High Yield Corporate Bond</t>
        </is>
      </c>
      <c r="E2436" t="inlineStr">
        <is>
          <t>Intensidad</t>
        </is>
      </c>
      <c r="F2436" t="n">
        <v>0.662084</v>
      </c>
    </row>
    <row r="2437">
      <c r="A2437" t="inlineStr">
        <is>
          <t>202606</t>
        </is>
      </c>
      <c r="B2437" t="inlineStr">
        <is>
          <t>Actual</t>
        </is>
      </c>
      <c r="C2437" t="inlineStr">
        <is>
          <t>Prima</t>
        </is>
      </c>
      <c r="D2437" t="inlineStr">
        <is>
          <t>BlackRock - iShares iBoxx High Yield Corporate Bond</t>
        </is>
      </c>
      <c r="E2437" t="inlineStr">
        <is>
          <t>Inv MM$</t>
        </is>
      </c>
      <c r="F2437" t="n">
        <v>13.032455</v>
      </c>
    </row>
    <row r="2438">
      <c r="A2438" t="inlineStr">
        <is>
          <t>202606</t>
        </is>
      </c>
      <c r="B2438" t="inlineStr">
        <is>
          <t>Actual</t>
        </is>
      </c>
      <c r="C2438" t="inlineStr">
        <is>
          <t>Prima</t>
        </is>
      </c>
      <c r="D2438" t="inlineStr">
        <is>
          <t>Buenaventura*</t>
        </is>
      </c>
      <c r="E2438" t="inlineStr">
        <is>
          <t>Huella</t>
        </is>
      </c>
      <c r="F2438" t="n">
        <v>9616.769885</v>
      </c>
    </row>
    <row r="2439">
      <c r="A2439" t="inlineStr">
        <is>
          <t>202606</t>
        </is>
      </c>
      <c r="B2439" t="inlineStr">
        <is>
          <t>Actual</t>
        </is>
      </c>
      <c r="C2439" t="inlineStr">
        <is>
          <t>Prima</t>
        </is>
      </c>
      <c r="D2439" t="inlineStr">
        <is>
          <t>Buenaventura*</t>
        </is>
      </c>
      <c r="E2439" t="inlineStr">
        <is>
          <t>Intensidad</t>
        </is>
      </c>
      <c r="F2439" t="n">
        <v>3.212952</v>
      </c>
    </row>
    <row r="2440">
      <c r="A2440" t="inlineStr">
        <is>
          <t>202606</t>
        </is>
      </c>
      <c r="B2440" t="inlineStr">
        <is>
          <t>Actual</t>
        </is>
      </c>
      <c r="C2440" t="inlineStr">
        <is>
          <t>Prima</t>
        </is>
      </c>
      <c r="D2440" t="inlineStr">
        <is>
          <t>Buenaventura*</t>
        </is>
      </c>
      <c r="E2440" t="inlineStr">
        <is>
          <t>Inv MM$</t>
        </is>
      </c>
      <c r="F2440" t="n">
        <v>299.30812</v>
      </c>
    </row>
    <row r="2441">
      <c r="A2441" t="inlineStr">
        <is>
          <t>202606</t>
        </is>
      </c>
      <c r="B2441" t="inlineStr">
        <is>
          <t>Actual</t>
        </is>
      </c>
      <c r="C2441" t="inlineStr">
        <is>
          <t>Prima</t>
        </is>
      </c>
      <c r="D2441" t="inlineStr">
        <is>
          <t>Candriam Bonds - Global High Yield</t>
        </is>
      </c>
      <c r="E2441" t="inlineStr">
        <is>
          <t>Huella</t>
        </is>
      </c>
      <c r="F2441" t="n">
        <v>3599.125241</v>
      </c>
    </row>
    <row r="2442">
      <c r="A2442" t="inlineStr">
        <is>
          <t>202606</t>
        </is>
      </c>
      <c r="B2442" t="inlineStr">
        <is>
          <t>Actual</t>
        </is>
      </c>
      <c r="C2442" t="inlineStr">
        <is>
          <t>Prima</t>
        </is>
      </c>
      <c r="D2442" t="inlineStr">
        <is>
          <t>Candriam Bonds - Global High Yield</t>
        </is>
      </c>
      <c r="E2442" t="inlineStr">
        <is>
          <t>Intensidad</t>
        </is>
      </c>
      <c r="F2442" t="n">
        <v>1.230497</v>
      </c>
    </row>
    <row r="2443">
      <c r="A2443" t="inlineStr">
        <is>
          <t>202606</t>
        </is>
      </c>
      <c r="B2443" t="inlineStr">
        <is>
          <t>Actual</t>
        </is>
      </c>
      <c r="C2443" t="inlineStr">
        <is>
          <t>Prima</t>
        </is>
      </c>
      <c r="D2443" t="inlineStr">
        <is>
          <t>Candriam Bonds - Global High Yield</t>
        </is>
      </c>
      <c r="E2443" t="inlineStr">
        <is>
          <t>Inv MM$</t>
        </is>
      </c>
      <c r="F2443" t="n">
        <v>35.203528</v>
      </c>
    </row>
    <row r="2444">
      <c r="A2444" t="inlineStr">
        <is>
          <t>202606</t>
        </is>
      </c>
      <c r="B2444" t="inlineStr">
        <is>
          <t>Actual</t>
        </is>
      </c>
      <c r="C2444" t="inlineStr">
        <is>
          <t>Prima</t>
        </is>
      </c>
      <c r="D2444" t="inlineStr">
        <is>
          <t>Colchester Local Markets Bond Fund USD Unhedged</t>
        </is>
      </c>
      <c r="E2444" t="inlineStr">
        <is>
          <t>Huella</t>
        </is>
      </c>
      <c r="F2444" t="n">
        <v>14437.359118</v>
      </c>
    </row>
    <row r="2445">
      <c r="A2445" t="inlineStr">
        <is>
          <t>202606</t>
        </is>
      </c>
      <c r="B2445" t="inlineStr">
        <is>
          <t>Actual</t>
        </is>
      </c>
      <c r="C2445" t="inlineStr">
        <is>
          <t>Prima</t>
        </is>
      </c>
      <c r="D2445" t="inlineStr">
        <is>
          <t>Colchester Local Markets Bond Fund USD Unhedged</t>
        </is>
      </c>
      <c r="E2445" t="inlineStr">
        <is>
          <t>Intensidad</t>
        </is>
      </c>
      <c r="F2445" t="n">
        <v>7.633096</v>
      </c>
    </row>
    <row r="2446">
      <c r="A2446" t="inlineStr">
        <is>
          <t>202606</t>
        </is>
      </c>
      <c r="B2446" t="inlineStr">
        <is>
          <t>Actual</t>
        </is>
      </c>
      <c r="C2446" t="inlineStr">
        <is>
          <t>Prima</t>
        </is>
      </c>
      <c r="D2446" t="inlineStr">
        <is>
          <t>Colchester Local Markets Bond Fund USD Unhedged</t>
        </is>
      </c>
      <c r="E2446" t="inlineStr">
        <is>
          <t>Inv MM$</t>
        </is>
      </c>
      <c r="F2446" t="n">
        <v>19.278521</v>
      </c>
    </row>
    <row r="2447">
      <c r="A2447" t="inlineStr">
        <is>
          <t>202606</t>
        </is>
      </c>
      <c r="B2447" t="inlineStr">
        <is>
          <t>Actual</t>
        </is>
      </c>
      <c r="C2447" t="inlineStr">
        <is>
          <t>Prima</t>
        </is>
      </c>
      <c r="D2447" t="inlineStr">
        <is>
          <t>Comgest - Japan Growth</t>
        </is>
      </c>
      <c r="E2447" t="inlineStr">
        <is>
          <t>Huella</t>
        </is>
      </c>
      <c r="F2447" t="n">
        <v>17.92311</v>
      </c>
    </row>
    <row r="2448">
      <c r="A2448" t="inlineStr">
        <is>
          <t>202606</t>
        </is>
      </c>
      <c r="B2448" t="inlineStr">
        <is>
          <t>Actual</t>
        </is>
      </c>
      <c r="C2448" t="inlineStr">
        <is>
          <t>Prima</t>
        </is>
      </c>
      <c r="D2448" t="inlineStr">
        <is>
          <t>Comgest - Japan Growth</t>
        </is>
      </c>
      <c r="E2448" t="inlineStr">
        <is>
          <t>Intensidad</t>
        </is>
      </c>
      <c r="F2448" t="n">
        <v>0.00287</v>
      </c>
    </row>
    <row r="2449">
      <c r="A2449" t="inlineStr">
        <is>
          <t>202606</t>
        </is>
      </c>
      <c r="B2449" t="inlineStr">
        <is>
          <t>Actual</t>
        </is>
      </c>
      <c r="C2449" t="inlineStr">
        <is>
          <t>Prima</t>
        </is>
      </c>
      <c r="D2449" t="inlineStr">
        <is>
          <t>Comgest - Japan Growth</t>
        </is>
      </c>
      <c r="E2449" t="inlineStr">
        <is>
          <t>Inv MM$</t>
        </is>
      </c>
      <c r="F2449" t="n">
        <v>1.446947</v>
      </c>
    </row>
    <row r="2450">
      <c r="A2450" t="inlineStr">
        <is>
          <t>202606</t>
        </is>
      </c>
      <c r="B2450" t="inlineStr">
        <is>
          <t>Actual</t>
        </is>
      </c>
      <c r="C2450" t="inlineStr">
        <is>
          <t>Prima</t>
        </is>
      </c>
      <c r="D2450" t="inlineStr">
        <is>
          <t>Comgest- Europe Opportunities Fund</t>
        </is>
      </c>
      <c r="E2450" t="inlineStr">
        <is>
          <t>Huella</t>
        </is>
      </c>
      <c r="F2450" t="n">
        <v>0.259618</v>
      </c>
    </row>
    <row r="2451">
      <c r="A2451" t="inlineStr">
        <is>
          <t>202606</t>
        </is>
      </c>
      <c r="B2451" t="inlineStr">
        <is>
          <t>Actual</t>
        </is>
      </c>
      <c r="C2451" t="inlineStr">
        <is>
          <t>Prima</t>
        </is>
      </c>
      <c r="D2451" t="inlineStr">
        <is>
          <t>Comgest- Europe Opportunities Fund</t>
        </is>
      </c>
      <c r="E2451" t="inlineStr">
        <is>
          <t>Intensidad</t>
        </is>
      </c>
      <c r="F2451" t="n">
        <v>4.2e-05</v>
      </c>
    </row>
    <row r="2452">
      <c r="A2452" t="inlineStr">
        <is>
          <t>202606</t>
        </is>
      </c>
      <c r="B2452" t="inlineStr">
        <is>
          <t>Actual</t>
        </is>
      </c>
      <c r="C2452" t="inlineStr">
        <is>
          <t>Prima</t>
        </is>
      </c>
      <c r="D2452" t="inlineStr">
        <is>
          <t>Comgest- Europe Opportunities Fund</t>
        </is>
      </c>
      <c r="E2452" t="inlineStr">
        <is>
          <t>Inv MM$</t>
        </is>
      </c>
      <c r="F2452" t="n">
        <v>0.025739</v>
      </c>
    </row>
    <row r="2453">
      <c r="A2453" t="inlineStr">
        <is>
          <t>202606</t>
        </is>
      </c>
      <c r="B2453" t="inlineStr">
        <is>
          <t>Actual</t>
        </is>
      </c>
      <c r="C2453" t="inlineStr">
        <is>
          <t>Prima</t>
        </is>
      </c>
      <c r="D2453" t="inlineStr">
        <is>
          <t>Comisión Federal de Electricidad</t>
        </is>
      </c>
      <c r="E2453" t="inlineStr">
        <is>
          <t>Huella</t>
        </is>
      </c>
      <c r="F2453" t="n">
        <v>0.153513</v>
      </c>
    </row>
    <row r="2454">
      <c r="A2454" t="inlineStr">
        <is>
          <t>202606</t>
        </is>
      </c>
      <c r="B2454" t="inlineStr">
        <is>
          <t>Actual</t>
        </is>
      </c>
      <c r="C2454" t="inlineStr">
        <is>
          <t>Prima</t>
        </is>
      </c>
      <c r="D2454" t="inlineStr">
        <is>
          <t>Comisión Federal de Electricidad</t>
        </is>
      </c>
      <c r="E2454" t="inlineStr">
        <is>
          <t>Intensidad</t>
        </is>
      </c>
      <c r="F2454" t="n">
        <v>2.5e-05</v>
      </c>
    </row>
    <row r="2455">
      <c r="A2455" t="inlineStr">
        <is>
          <t>202606</t>
        </is>
      </c>
      <c r="B2455" t="inlineStr">
        <is>
          <t>Actual</t>
        </is>
      </c>
      <c r="C2455" t="inlineStr">
        <is>
          <t>Prima</t>
        </is>
      </c>
      <c r="D2455" t="inlineStr">
        <is>
          <t>Comisión Federal de Electricidad</t>
        </is>
      </c>
      <c r="E2455" t="inlineStr">
        <is>
          <t>Inv MM$</t>
        </is>
      </c>
      <c r="F2455" t="n">
        <v>0.000171</v>
      </c>
    </row>
    <row r="2456">
      <c r="A2456" t="inlineStr">
        <is>
          <t>202606</t>
        </is>
      </c>
      <c r="B2456" t="inlineStr">
        <is>
          <t>Actual</t>
        </is>
      </c>
      <c r="C2456" t="inlineStr">
        <is>
          <t>Prima</t>
        </is>
      </c>
      <c r="D2456" t="inlineStr">
        <is>
          <t>Credicorp*</t>
        </is>
      </c>
      <c r="E2456" t="inlineStr">
        <is>
          <t>Huella</t>
        </is>
      </c>
      <c r="F2456" t="n">
        <v>202.579893</v>
      </c>
    </row>
    <row r="2457">
      <c r="A2457" t="inlineStr">
        <is>
          <t>202606</t>
        </is>
      </c>
      <c r="B2457" t="inlineStr">
        <is>
          <t>Actual</t>
        </is>
      </c>
      <c r="C2457" t="inlineStr">
        <is>
          <t>Prima</t>
        </is>
      </c>
      <c r="D2457" t="inlineStr">
        <is>
          <t>Credicorp*</t>
        </is>
      </c>
      <c r="E2457" t="inlineStr">
        <is>
          <t>Intensidad</t>
        </is>
      </c>
      <c r="F2457" t="n">
        <v>0.064384</v>
      </c>
    </row>
    <row r="2458">
      <c r="A2458" t="inlineStr">
        <is>
          <t>202606</t>
        </is>
      </c>
      <c r="B2458" t="inlineStr">
        <is>
          <t>Actual</t>
        </is>
      </c>
      <c r="C2458" t="inlineStr">
        <is>
          <t>Prima</t>
        </is>
      </c>
      <c r="D2458" t="inlineStr">
        <is>
          <t>Credicorp*</t>
        </is>
      </c>
      <c r="E2458" t="inlineStr">
        <is>
          <t>Inv MM$</t>
        </is>
      </c>
      <c r="F2458" t="n">
        <v>431.021049</v>
      </c>
    </row>
    <row r="2459">
      <c r="A2459" t="inlineStr">
        <is>
          <t>202606</t>
        </is>
      </c>
      <c r="B2459" t="inlineStr">
        <is>
          <t>Actual</t>
        </is>
      </c>
      <c r="C2459" t="inlineStr">
        <is>
          <t>Prima</t>
        </is>
      </c>
      <c r="D2459" t="inlineStr">
        <is>
          <t>DPAM L - EM  Sustainable Debt</t>
        </is>
      </c>
      <c r="E2459" t="inlineStr">
        <is>
          <t>Huella</t>
        </is>
      </c>
      <c r="F2459" t="n">
        <v>9.818982999999999</v>
      </c>
    </row>
    <row r="2460">
      <c r="A2460" t="inlineStr">
        <is>
          <t>202606</t>
        </is>
      </c>
      <c r="B2460" t="inlineStr">
        <is>
          <t>Actual</t>
        </is>
      </c>
      <c r="C2460" t="inlineStr">
        <is>
          <t>Prima</t>
        </is>
      </c>
      <c r="D2460" t="inlineStr">
        <is>
          <t>DPAM L - EM  Sustainable Debt</t>
        </is>
      </c>
      <c r="E2460" t="inlineStr">
        <is>
          <t>Intensidad</t>
        </is>
      </c>
      <c r="F2460" t="n">
        <v>0.003177</v>
      </c>
    </row>
    <row r="2461">
      <c r="A2461" t="inlineStr">
        <is>
          <t>202606</t>
        </is>
      </c>
      <c r="B2461" t="inlineStr">
        <is>
          <t>Actual</t>
        </is>
      </c>
      <c r="C2461" t="inlineStr">
        <is>
          <t>Prima</t>
        </is>
      </c>
      <c r="D2461" t="inlineStr">
        <is>
          <t>DPAM L - EM  Sustainable Debt</t>
        </is>
      </c>
      <c r="E2461" t="inlineStr">
        <is>
          <t>Inv MM$</t>
        </is>
      </c>
      <c r="F2461" t="n">
        <v>47.17408</v>
      </c>
    </row>
    <row r="2462">
      <c r="A2462" t="inlineStr">
        <is>
          <t>202606</t>
        </is>
      </c>
      <c r="B2462" t="inlineStr">
        <is>
          <t>Actual</t>
        </is>
      </c>
      <c r="C2462" t="inlineStr">
        <is>
          <t>Prima</t>
        </is>
      </c>
      <c r="D2462" t="inlineStr">
        <is>
          <t>Ecopetrol</t>
        </is>
      </c>
      <c r="E2462" t="inlineStr">
        <is>
          <t>Huella</t>
        </is>
      </c>
      <c r="F2462" t="n">
        <v>11758.194492</v>
      </c>
    </row>
    <row r="2463">
      <c r="A2463" t="inlineStr">
        <is>
          <t>202606</t>
        </is>
      </c>
      <c r="B2463" t="inlineStr">
        <is>
          <t>Actual</t>
        </is>
      </c>
      <c r="C2463" t="inlineStr">
        <is>
          <t>Prima</t>
        </is>
      </c>
      <c r="D2463" t="inlineStr">
        <is>
          <t>Ecopetrol</t>
        </is>
      </c>
      <c r="E2463" t="inlineStr">
        <is>
          <t>Intensidad</t>
        </is>
      </c>
      <c r="F2463" t="n">
        <v>3.552218</v>
      </c>
    </row>
    <row r="2464">
      <c r="A2464" t="inlineStr">
        <is>
          <t>202606</t>
        </is>
      </c>
      <c r="B2464" t="inlineStr">
        <is>
          <t>Actual</t>
        </is>
      </c>
      <c r="C2464" t="inlineStr">
        <is>
          <t>Prima</t>
        </is>
      </c>
      <c r="D2464" t="inlineStr">
        <is>
          <t>Ecopetrol</t>
        </is>
      </c>
      <c r="E2464" t="inlineStr">
        <is>
          <t>Inv MM$</t>
        </is>
      </c>
      <c r="F2464" t="n">
        <v>51.94696</v>
      </c>
    </row>
    <row r="2465">
      <c r="A2465" t="inlineStr">
        <is>
          <t>202606</t>
        </is>
      </c>
      <c r="B2465" t="inlineStr">
        <is>
          <t>Actual</t>
        </is>
      </c>
      <c r="C2465" t="inlineStr">
        <is>
          <t>Prima</t>
        </is>
      </c>
      <c r="D2465" t="inlineStr">
        <is>
          <t>Edmond de Rothschild - Corp EM Debt USD</t>
        </is>
      </c>
      <c r="E2465" t="inlineStr">
        <is>
          <t>Huella</t>
        </is>
      </c>
      <c r="F2465" t="n">
        <v>13026.23184</v>
      </c>
    </row>
    <row r="2466">
      <c r="A2466" t="inlineStr">
        <is>
          <t>202606</t>
        </is>
      </c>
      <c r="B2466" t="inlineStr">
        <is>
          <t>Actual</t>
        </is>
      </c>
      <c r="C2466" t="inlineStr">
        <is>
          <t>Prima</t>
        </is>
      </c>
      <c r="D2466" t="inlineStr">
        <is>
          <t>Edmond de Rothschild - Corp EM Debt USD</t>
        </is>
      </c>
      <c r="E2466" t="inlineStr">
        <is>
          <t>Intensidad</t>
        </is>
      </c>
      <c r="F2466" t="n">
        <v>5.348499</v>
      </c>
    </row>
    <row r="2467">
      <c r="A2467" t="inlineStr">
        <is>
          <t>202606</t>
        </is>
      </c>
      <c r="B2467" t="inlineStr">
        <is>
          <t>Actual</t>
        </is>
      </c>
      <c r="C2467" t="inlineStr">
        <is>
          <t>Prima</t>
        </is>
      </c>
      <c r="D2467" t="inlineStr">
        <is>
          <t>Edmond de Rothschild - Corp EM Debt USD</t>
        </is>
      </c>
      <c r="E2467" t="inlineStr">
        <is>
          <t>Inv MM$</t>
        </is>
      </c>
      <c r="F2467" t="n">
        <v>37.595244</v>
      </c>
    </row>
    <row r="2468">
      <c r="A2468" t="inlineStr">
        <is>
          <t>202606</t>
        </is>
      </c>
      <c r="B2468" t="inlineStr">
        <is>
          <t>Actual</t>
        </is>
      </c>
      <c r="C2468" t="inlineStr">
        <is>
          <t>Prima</t>
        </is>
      </c>
      <c r="D2468" t="inlineStr">
        <is>
          <t>Emp. Públicas Medellin</t>
        </is>
      </c>
      <c r="E2468" t="inlineStr">
        <is>
          <t>Huella</t>
        </is>
      </c>
      <c r="F2468" t="n">
        <v>2569.155717</v>
      </c>
    </row>
    <row r="2469">
      <c r="A2469" t="inlineStr">
        <is>
          <t>202606</t>
        </is>
      </c>
      <c r="B2469" t="inlineStr">
        <is>
          <t>Actual</t>
        </is>
      </c>
      <c r="C2469" t="inlineStr">
        <is>
          <t>Prima</t>
        </is>
      </c>
      <c r="D2469" t="inlineStr">
        <is>
          <t>Emp. Públicas Medellin</t>
        </is>
      </c>
      <c r="E2469" t="inlineStr">
        <is>
          <t>Intensidad</t>
        </is>
      </c>
      <c r="F2469" t="n">
        <v>0.916251</v>
      </c>
    </row>
    <row r="2470">
      <c r="A2470" t="inlineStr">
        <is>
          <t>202606</t>
        </is>
      </c>
      <c r="B2470" t="inlineStr">
        <is>
          <t>Actual</t>
        </is>
      </c>
      <c r="C2470" t="inlineStr">
        <is>
          <t>Prima</t>
        </is>
      </c>
      <c r="D2470" t="inlineStr">
        <is>
          <t>Emp. Públicas Medellin</t>
        </is>
      </c>
      <c r="E2470" t="inlineStr">
        <is>
          <t>Inv MM$</t>
        </is>
      </c>
      <c r="F2470" t="n">
        <v>78.736001</v>
      </c>
    </row>
    <row r="2471">
      <c r="A2471" t="inlineStr">
        <is>
          <t>202606</t>
        </is>
      </c>
      <c r="B2471" t="inlineStr">
        <is>
          <t>Actual</t>
        </is>
      </c>
      <c r="C2471" t="inlineStr">
        <is>
          <t>Prima</t>
        </is>
      </c>
      <c r="D2471" t="inlineStr">
        <is>
          <t>Ferreyros</t>
        </is>
      </c>
      <c r="E2471" t="inlineStr">
        <is>
          <t>Huella</t>
        </is>
      </c>
      <c r="F2471" t="n">
        <v>670.271766</v>
      </c>
    </row>
    <row r="2472">
      <c r="A2472" t="inlineStr">
        <is>
          <t>202606</t>
        </is>
      </c>
      <c r="B2472" t="inlineStr">
        <is>
          <t>Actual</t>
        </is>
      </c>
      <c r="C2472" t="inlineStr">
        <is>
          <t>Prima</t>
        </is>
      </c>
      <c r="D2472" t="inlineStr">
        <is>
          <t>Ferreyros</t>
        </is>
      </c>
      <c r="E2472" t="inlineStr">
        <is>
          <t>Intensidad</t>
        </is>
      </c>
      <c r="F2472" t="n">
        <v>0.285148</v>
      </c>
    </row>
    <row r="2473">
      <c r="A2473" t="inlineStr">
        <is>
          <t>202606</t>
        </is>
      </c>
      <c r="B2473" t="inlineStr">
        <is>
          <t>Actual</t>
        </is>
      </c>
      <c r="C2473" t="inlineStr">
        <is>
          <t>Prima</t>
        </is>
      </c>
      <c r="D2473" t="inlineStr">
        <is>
          <t>Ferreyros</t>
        </is>
      </c>
      <c r="E2473" t="inlineStr">
        <is>
          <t>Inv MM$</t>
        </is>
      </c>
      <c r="F2473" t="n">
        <v>107.415347</v>
      </c>
    </row>
    <row r="2474">
      <c r="A2474" t="inlineStr">
        <is>
          <t>202606</t>
        </is>
      </c>
      <c r="B2474" t="inlineStr">
        <is>
          <t>Actual</t>
        </is>
      </c>
      <c r="C2474" t="inlineStr">
        <is>
          <t>Prima</t>
        </is>
      </c>
      <c r="D2474" t="inlineStr">
        <is>
          <t>Fidelity - European Dynamic Growth</t>
        </is>
      </c>
      <c r="E2474" t="inlineStr">
        <is>
          <t>Huella</t>
        </is>
      </c>
      <c r="F2474" t="n">
        <v>0.339768</v>
      </c>
    </row>
    <row r="2475">
      <c r="A2475" t="inlineStr">
        <is>
          <t>202606</t>
        </is>
      </c>
      <c r="B2475" t="inlineStr">
        <is>
          <t>Actual</t>
        </is>
      </c>
      <c r="C2475" t="inlineStr">
        <is>
          <t>Prima</t>
        </is>
      </c>
      <c r="D2475" t="inlineStr">
        <is>
          <t>Fidelity - European Dynamic Growth</t>
        </is>
      </c>
      <c r="E2475" t="inlineStr">
        <is>
          <t>Intensidad</t>
        </is>
      </c>
      <c r="F2475" t="n">
        <v>5.4e-05</v>
      </c>
    </row>
    <row r="2476">
      <c r="A2476" t="inlineStr">
        <is>
          <t>202606</t>
        </is>
      </c>
      <c r="B2476" t="inlineStr">
        <is>
          <t>Actual</t>
        </is>
      </c>
      <c r="C2476" t="inlineStr">
        <is>
          <t>Prima</t>
        </is>
      </c>
      <c r="D2476" t="inlineStr">
        <is>
          <t>Fidelity - European Dynamic Growth</t>
        </is>
      </c>
      <c r="E2476" t="inlineStr">
        <is>
          <t>Inv MM$</t>
        </is>
      </c>
      <c r="F2476" t="n">
        <v>0.023727</v>
      </c>
    </row>
    <row r="2477">
      <c r="A2477" t="inlineStr">
        <is>
          <t>202606</t>
        </is>
      </c>
      <c r="B2477" t="inlineStr">
        <is>
          <t>Actual</t>
        </is>
      </c>
      <c r="C2477" t="inlineStr">
        <is>
          <t>Prima</t>
        </is>
      </c>
      <c r="D2477" t="inlineStr">
        <is>
          <t>Fondo Credicorp Deuda Soles II</t>
        </is>
      </c>
      <c r="E2477" t="inlineStr">
        <is>
          <t>Huella</t>
        </is>
      </c>
      <c r="F2477" t="n">
        <v>433.555905</v>
      </c>
    </row>
    <row r="2478">
      <c r="A2478" t="inlineStr">
        <is>
          <t>202606</t>
        </is>
      </c>
      <c r="B2478" t="inlineStr">
        <is>
          <t>Actual</t>
        </is>
      </c>
      <c r="C2478" t="inlineStr">
        <is>
          <t>Prima</t>
        </is>
      </c>
      <c r="D2478" t="inlineStr">
        <is>
          <t>Fondo Credicorp Deuda Soles II</t>
        </is>
      </c>
      <c r="E2478" t="inlineStr">
        <is>
          <t>Intensidad</t>
        </is>
      </c>
      <c r="F2478" t="n">
        <v>0.135212</v>
      </c>
    </row>
    <row r="2479">
      <c r="A2479" t="inlineStr">
        <is>
          <t>202606</t>
        </is>
      </c>
      <c r="B2479" t="inlineStr">
        <is>
          <t>Actual</t>
        </is>
      </c>
      <c r="C2479" t="inlineStr">
        <is>
          <t>Prima</t>
        </is>
      </c>
      <c r="D2479" t="inlineStr">
        <is>
          <t>Fondo Credicorp Deuda Soles II</t>
        </is>
      </c>
      <c r="E2479" t="inlineStr">
        <is>
          <t>Inv MM$</t>
        </is>
      </c>
      <c r="F2479" t="n">
        <v>21.153076</v>
      </c>
    </row>
    <row r="2480">
      <c r="A2480" t="inlineStr">
        <is>
          <t>202606</t>
        </is>
      </c>
      <c r="B2480" t="inlineStr">
        <is>
          <t>Actual</t>
        </is>
      </c>
      <c r="C2480" t="inlineStr">
        <is>
          <t>Prima</t>
        </is>
      </c>
      <c r="D2480" t="inlineStr">
        <is>
          <t>Global Evolution Funds - Frontier Markets Fund</t>
        </is>
      </c>
      <c r="E2480" t="inlineStr">
        <is>
          <t>Huella</t>
        </is>
      </c>
      <c r="F2480" t="n">
        <v>52.762133</v>
      </c>
    </row>
    <row r="2481">
      <c r="A2481" t="inlineStr">
        <is>
          <t>202606</t>
        </is>
      </c>
      <c r="B2481" t="inlineStr">
        <is>
          <t>Actual</t>
        </is>
      </c>
      <c r="C2481" t="inlineStr">
        <is>
          <t>Prima</t>
        </is>
      </c>
      <c r="D2481" t="inlineStr">
        <is>
          <t>Global Evolution Funds - Frontier Markets Fund</t>
        </is>
      </c>
      <c r="E2481" t="inlineStr">
        <is>
          <t>Intensidad</t>
        </is>
      </c>
      <c r="F2481" t="n">
        <v>0.018826</v>
      </c>
    </row>
    <row r="2482">
      <c r="A2482" t="inlineStr">
        <is>
          <t>202606</t>
        </is>
      </c>
      <c r="B2482" t="inlineStr">
        <is>
          <t>Actual</t>
        </is>
      </c>
      <c r="C2482" t="inlineStr">
        <is>
          <t>Prima</t>
        </is>
      </c>
      <c r="D2482" t="inlineStr">
        <is>
          <t>Global Evolution Funds - Frontier Markets Fund</t>
        </is>
      </c>
      <c r="E2482" t="inlineStr">
        <is>
          <t>Inv MM$</t>
        </is>
      </c>
      <c r="F2482" t="n">
        <v>115.502974</v>
      </c>
    </row>
    <row r="2483">
      <c r="A2483" t="inlineStr">
        <is>
          <t>202606</t>
        </is>
      </c>
      <c r="B2483" t="inlineStr">
        <is>
          <t>Actual</t>
        </is>
      </c>
      <c r="C2483" t="inlineStr">
        <is>
          <t>Prima</t>
        </is>
      </c>
      <c r="D2483" t="inlineStr">
        <is>
          <t>Global X - Copper Miners ETF</t>
        </is>
      </c>
      <c r="E2483" t="inlineStr">
        <is>
          <t>Huella</t>
        </is>
      </c>
      <c r="F2483" t="n">
        <v>12639.634721</v>
      </c>
    </row>
    <row r="2484">
      <c r="A2484" t="inlineStr">
        <is>
          <t>202606</t>
        </is>
      </c>
      <c r="B2484" t="inlineStr">
        <is>
          <t>Actual</t>
        </is>
      </c>
      <c r="C2484" t="inlineStr">
        <is>
          <t>Prima</t>
        </is>
      </c>
      <c r="D2484" t="inlineStr">
        <is>
          <t>Global X - Copper Miners ETF</t>
        </is>
      </c>
      <c r="E2484" t="inlineStr">
        <is>
          <t>Intensidad</t>
        </is>
      </c>
      <c r="F2484" t="n">
        <v>3.680209</v>
      </c>
    </row>
    <row r="2485">
      <c r="A2485" t="inlineStr">
        <is>
          <t>202606</t>
        </is>
      </c>
      <c r="B2485" t="inlineStr">
        <is>
          <t>Actual</t>
        </is>
      </c>
      <c r="C2485" t="inlineStr">
        <is>
          <t>Prima</t>
        </is>
      </c>
      <c r="D2485" t="inlineStr">
        <is>
          <t>Global X - Copper Miners ETF</t>
        </is>
      </c>
      <c r="E2485" t="inlineStr">
        <is>
          <t>Inv MM$</t>
        </is>
      </c>
      <c r="F2485" t="n">
        <v>172.008569</v>
      </c>
    </row>
    <row r="2486">
      <c r="A2486" t="inlineStr">
        <is>
          <t>202606</t>
        </is>
      </c>
      <c r="B2486" t="inlineStr">
        <is>
          <t>Actual</t>
        </is>
      </c>
      <c r="C2486" t="inlineStr">
        <is>
          <t>Prima</t>
        </is>
      </c>
      <c r="D2486" t="inlineStr">
        <is>
          <t>Global X - Silvers Miners ETF</t>
        </is>
      </c>
      <c r="E2486" t="inlineStr">
        <is>
          <t>Huella</t>
        </is>
      </c>
      <c r="F2486" t="n">
        <v>87.239178</v>
      </c>
    </row>
    <row r="2487">
      <c r="A2487" t="inlineStr">
        <is>
          <t>202606</t>
        </is>
      </c>
      <c r="B2487" t="inlineStr">
        <is>
          <t>Actual</t>
        </is>
      </c>
      <c r="C2487" t="inlineStr">
        <is>
          <t>Prima</t>
        </is>
      </c>
      <c r="D2487" t="inlineStr">
        <is>
          <t>Global X - Silvers Miners ETF</t>
        </is>
      </c>
      <c r="E2487" t="inlineStr">
        <is>
          <t>Intensidad</t>
        </is>
      </c>
      <c r="F2487" t="n">
        <v>0.101412</v>
      </c>
    </row>
    <row r="2488">
      <c r="A2488" t="inlineStr">
        <is>
          <t>202606</t>
        </is>
      </c>
      <c r="B2488" t="inlineStr">
        <is>
          <t>Actual</t>
        </is>
      </c>
      <c r="C2488" t="inlineStr">
        <is>
          <t>Prima</t>
        </is>
      </c>
      <c r="D2488" t="inlineStr">
        <is>
          <t>Global X - Silvers Miners ETF</t>
        </is>
      </c>
      <c r="E2488" t="inlineStr">
        <is>
          <t>Inv MM$</t>
        </is>
      </c>
      <c r="F2488" t="n">
        <v>3.417999</v>
      </c>
    </row>
    <row r="2489">
      <c r="A2489" t="inlineStr">
        <is>
          <t>202606</t>
        </is>
      </c>
      <c r="B2489" t="inlineStr">
        <is>
          <t>Actual</t>
        </is>
      </c>
      <c r="C2489" t="inlineStr">
        <is>
          <t>Prima</t>
        </is>
      </c>
      <c r="D2489" t="inlineStr">
        <is>
          <t>Groupama - Avenir Euro (Mid Small Caps)</t>
        </is>
      </c>
      <c r="E2489" t="inlineStr">
        <is>
          <t>Huella</t>
        </is>
      </c>
      <c r="F2489" t="n">
        <v>1.4081</v>
      </c>
    </row>
    <row r="2490">
      <c r="A2490" t="inlineStr">
        <is>
          <t>202606</t>
        </is>
      </c>
      <c r="B2490" t="inlineStr">
        <is>
          <t>Actual</t>
        </is>
      </c>
      <c r="C2490" t="inlineStr">
        <is>
          <t>Prima</t>
        </is>
      </c>
      <c r="D2490" t="inlineStr">
        <is>
          <t>Groupama - Avenir Euro (Mid Small Caps)</t>
        </is>
      </c>
      <c r="E2490" t="inlineStr">
        <is>
          <t>Intensidad</t>
        </is>
      </c>
      <c r="F2490" t="n">
        <v>0.000225</v>
      </c>
    </row>
    <row r="2491">
      <c r="A2491" t="inlineStr">
        <is>
          <t>202606</t>
        </is>
      </c>
      <c r="B2491" t="inlineStr">
        <is>
          <t>Actual</t>
        </is>
      </c>
      <c r="C2491" t="inlineStr">
        <is>
          <t>Prima</t>
        </is>
      </c>
      <c r="D2491" t="inlineStr">
        <is>
          <t>Groupama - Avenir Euro (Mid Small Caps)</t>
        </is>
      </c>
      <c r="E2491" t="inlineStr">
        <is>
          <t>Inv MM$</t>
        </is>
      </c>
      <c r="F2491" t="n">
        <v>0.024371</v>
      </c>
    </row>
    <row r="2492">
      <c r="A2492" t="inlineStr">
        <is>
          <t>202606</t>
        </is>
      </c>
      <c r="B2492" t="inlineStr">
        <is>
          <t>Actual</t>
        </is>
      </c>
      <c r="C2492" t="inlineStr">
        <is>
          <t>Prima</t>
        </is>
      </c>
      <c r="D2492" t="inlineStr">
        <is>
          <t>InRetail Peru</t>
        </is>
      </c>
      <c r="E2492" t="inlineStr">
        <is>
          <t>Huella</t>
        </is>
      </c>
      <c r="F2492" t="n">
        <v>4180.699481</v>
      </c>
    </row>
    <row r="2493">
      <c r="A2493" t="inlineStr">
        <is>
          <t>202606</t>
        </is>
      </c>
      <c r="B2493" t="inlineStr">
        <is>
          <t>Actual</t>
        </is>
      </c>
      <c r="C2493" t="inlineStr">
        <is>
          <t>Prima</t>
        </is>
      </c>
      <c r="D2493" t="inlineStr">
        <is>
          <t>InRetail Peru</t>
        </is>
      </c>
      <c r="E2493" t="inlineStr">
        <is>
          <t>Intensidad</t>
        </is>
      </c>
      <c r="F2493" t="n">
        <v>1.339412</v>
      </c>
    </row>
    <row r="2494">
      <c r="A2494" t="inlineStr">
        <is>
          <t>202606</t>
        </is>
      </c>
      <c r="B2494" t="inlineStr">
        <is>
          <t>Actual</t>
        </is>
      </c>
      <c r="C2494" t="inlineStr">
        <is>
          <t>Prima</t>
        </is>
      </c>
      <c r="D2494" t="inlineStr">
        <is>
          <t>InRetail Peru</t>
        </is>
      </c>
      <c r="E2494" t="inlineStr">
        <is>
          <t>Inv MM$</t>
        </is>
      </c>
      <c r="F2494" t="n">
        <v>181.061043</v>
      </c>
    </row>
    <row r="2495">
      <c r="A2495" t="inlineStr">
        <is>
          <t>202606</t>
        </is>
      </c>
      <c r="B2495" t="inlineStr">
        <is>
          <t>Actual</t>
        </is>
      </c>
      <c r="C2495" t="inlineStr">
        <is>
          <t>Prima</t>
        </is>
      </c>
      <c r="D2495" t="inlineStr">
        <is>
          <t>Intergroup</t>
        </is>
      </c>
      <c r="E2495" t="inlineStr">
        <is>
          <t>Huella</t>
        </is>
      </c>
      <c r="F2495" t="n">
        <v>31.60858</v>
      </c>
    </row>
    <row r="2496">
      <c r="A2496" t="inlineStr">
        <is>
          <t>202606</t>
        </is>
      </c>
      <c r="B2496" t="inlineStr">
        <is>
          <t>Actual</t>
        </is>
      </c>
      <c r="C2496" t="inlineStr">
        <is>
          <t>Prima</t>
        </is>
      </c>
      <c r="D2496" t="inlineStr">
        <is>
          <t>Intergroup</t>
        </is>
      </c>
      <c r="E2496" t="inlineStr">
        <is>
          <t>Intensidad</t>
        </is>
      </c>
      <c r="F2496" t="n">
        <v>0.008448000000000001</v>
      </c>
    </row>
    <row r="2497">
      <c r="A2497" t="inlineStr">
        <is>
          <t>202606</t>
        </is>
      </c>
      <c r="B2497" t="inlineStr">
        <is>
          <t>Actual</t>
        </is>
      </c>
      <c r="C2497" t="inlineStr">
        <is>
          <t>Prima</t>
        </is>
      </c>
      <c r="D2497" t="inlineStr">
        <is>
          <t>Intergroup</t>
        </is>
      </c>
      <c r="E2497" t="inlineStr">
        <is>
          <t>Inv MM$</t>
        </is>
      </c>
      <c r="F2497" t="n">
        <v>92.96641099999999</v>
      </c>
    </row>
    <row r="2498">
      <c r="A2498" t="inlineStr">
        <is>
          <t>202606</t>
        </is>
      </c>
      <c r="B2498" t="inlineStr">
        <is>
          <t>Actual</t>
        </is>
      </c>
      <c r="C2498" t="inlineStr">
        <is>
          <t>Prima</t>
        </is>
      </c>
      <c r="D2498" t="inlineStr">
        <is>
          <t>Invesco - China Technology ETF</t>
        </is>
      </c>
      <c r="E2498" t="inlineStr">
        <is>
          <t>Huella</t>
        </is>
      </c>
      <c r="F2498" t="n">
        <v>969.006318</v>
      </c>
    </row>
    <row r="2499">
      <c r="A2499" t="inlineStr">
        <is>
          <t>202606</t>
        </is>
      </c>
      <c r="B2499" t="inlineStr">
        <is>
          <t>Actual</t>
        </is>
      </c>
      <c r="C2499" t="inlineStr">
        <is>
          <t>Prima</t>
        </is>
      </c>
      <c r="D2499" t="inlineStr">
        <is>
          <t>Invesco - China Technology ETF</t>
        </is>
      </c>
      <c r="E2499" t="inlineStr">
        <is>
          <t>Intensidad</t>
        </is>
      </c>
      <c r="F2499" t="n">
        <v>0.509432</v>
      </c>
    </row>
    <row r="2500">
      <c r="A2500" t="inlineStr">
        <is>
          <t>202606</t>
        </is>
      </c>
      <c r="B2500" t="inlineStr">
        <is>
          <t>Actual</t>
        </is>
      </c>
      <c r="C2500" t="inlineStr">
        <is>
          <t>Prima</t>
        </is>
      </c>
      <c r="D2500" t="inlineStr">
        <is>
          <t>Invesco - China Technology ETF</t>
        </is>
      </c>
      <c r="E2500" t="inlineStr">
        <is>
          <t>Inv MM$</t>
        </is>
      </c>
      <c r="F2500" t="n">
        <v>50.407944</v>
      </c>
    </row>
    <row r="2501">
      <c r="A2501" t="inlineStr">
        <is>
          <t>202606</t>
        </is>
      </c>
      <c r="B2501" t="inlineStr">
        <is>
          <t>Actual</t>
        </is>
      </c>
      <c r="C2501" t="inlineStr">
        <is>
          <t>Prima</t>
        </is>
      </c>
      <c r="D2501" t="inlineStr">
        <is>
          <t>Invesco - Nasdaq 100 ETF</t>
        </is>
      </c>
      <c r="E2501" t="inlineStr">
        <is>
          <t>Huella</t>
        </is>
      </c>
      <c r="F2501" t="n">
        <v>1150.659166</v>
      </c>
    </row>
    <row r="2502">
      <c r="A2502" t="inlineStr">
        <is>
          <t>202606</t>
        </is>
      </c>
      <c r="B2502" t="inlineStr">
        <is>
          <t>Actual</t>
        </is>
      </c>
      <c r="C2502" t="inlineStr">
        <is>
          <t>Prima</t>
        </is>
      </c>
      <c r="D2502" t="inlineStr">
        <is>
          <t>Invesco - Nasdaq 100 ETF</t>
        </is>
      </c>
      <c r="E2502" t="inlineStr">
        <is>
          <t>Intensidad</t>
        </is>
      </c>
      <c r="F2502" t="n">
        <v>0.240861</v>
      </c>
    </row>
    <row r="2503">
      <c r="A2503" t="inlineStr">
        <is>
          <t>202606</t>
        </is>
      </c>
      <c r="B2503" t="inlineStr">
        <is>
          <t>Actual</t>
        </is>
      </c>
      <c r="C2503" t="inlineStr">
        <is>
          <t>Prima</t>
        </is>
      </c>
      <c r="D2503" t="inlineStr">
        <is>
          <t>Invesco - Nasdaq 100 ETF</t>
        </is>
      </c>
      <c r="E2503" t="inlineStr">
        <is>
          <t>Inv MM$</t>
        </is>
      </c>
      <c r="F2503" t="n">
        <v>117.549342</v>
      </c>
    </row>
    <row r="2504">
      <c r="A2504" t="inlineStr">
        <is>
          <t>202606</t>
        </is>
      </c>
      <c r="B2504" t="inlineStr">
        <is>
          <t>Actual</t>
        </is>
      </c>
      <c r="C2504" t="inlineStr">
        <is>
          <t>Prima</t>
        </is>
      </c>
      <c r="D2504" t="inlineStr">
        <is>
          <t>JP Morgan - EM Small Cap</t>
        </is>
      </c>
      <c r="E2504" t="inlineStr">
        <is>
          <t>Huella</t>
        </is>
      </c>
      <c r="F2504" t="n">
        <v>0.156963</v>
      </c>
    </row>
    <row r="2505">
      <c r="A2505" t="inlineStr">
        <is>
          <t>202606</t>
        </is>
      </c>
      <c r="B2505" t="inlineStr">
        <is>
          <t>Actual</t>
        </is>
      </c>
      <c r="C2505" t="inlineStr">
        <is>
          <t>Prima</t>
        </is>
      </c>
      <c r="D2505" t="inlineStr">
        <is>
          <t>JP Morgan - EM Small Cap</t>
        </is>
      </c>
      <c r="E2505" t="inlineStr">
        <is>
          <t>Intensidad</t>
        </is>
      </c>
      <c r="F2505" t="n">
        <v>9.7e-05</v>
      </c>
    </row>
    <row r="2506">
      <c r="A2506" t="inlineStr">
        <is>
          <t>202606</t>
        </is>
      </c>
      <c r="B2506" t="inlineStr">
        <is>
          <t>Actual</t>
        </is>
      </c>
      <c r="C2506" t="inlineStr">
        <is>
          <t>Prima</t>
        </is>
      </c>
      <c r="D2506" t="inlineStr">
        <is>
          <t>JP Morgan - EM Small Cap</t>
        </is>
      </c>
      <c r="E2506" t="inlineStr">
        <is>
          <t>Inv MM$</t>
        </is>
      </c>
      <c r="F2506" t="n">
        <v>0.007118</v>
      </c>
    </row>
    <row r="2507">
      <c r="A2507" t="inlineStr">
        <is>
          <t>202606</t>
        </is>
      </c>
      <c r="B2507" t="inlineStr">
        <is>
          <t>Actual</t>
        </is>
      </c>
      <c r="C2507" t="inlineStr">
        <is>
          <t>Prima</t>
        </is>
      </c>
      <c r="D2507" t="inlineStr">
        <is>
          <t>Jupiter Unit Trust - European Fund</t>
        </is>
      </c>
      <c r="E2507" t="inlineStr">
        <is>
          <t>Huella</t>
        </is>
      </c>
      <c r="F2507" t="n">
        <v>0.494698</v>
      </c>
    </row>
    <row r="2508">
      <c r="A2508" t="inlineStr">
        <is>
          <t>202606</t>
        </is>
      </c>
      <c r="B2508" t="inlineStr">
        <is>
          <t>Actual</t>
        </is>
      </c>
      <c r="C2508" t="inlineStr">
        <is>
          <t>Prima</t>
        </is>
      </c>
      <c r="D2508" t="inlineStr">
        <is>
          <t>Jupiter Unit Trust - European Fund</t>
        </is>
      </c>
      <c r="E2508" t="inlineStr">
        <is>
          <t>Intensidad</t>
        </is>
      </c>
      <c r="F2508" t="n">
        <v>7.9e-05</v>
      </c>
    </row>
    <row r="2509">
      <c r="A2509" t="inlineStr">
        <is>
          <t>202606</t>
        </is>
      </c>
      <c r="B2509" t="inlineStr">
        <is>
          <t>Actual</t>
        </is>
      </c>
      <c r="C2509" t="inlineStr">
        <is>
          <t>Prima</t>
        </is>
      </c>
      <c r="D2509" t="inlineStr">
        <is>
          <t>Jupiter Unit Trust - European Fund</t>
        </is>
      </c>
      <c r="E2509" t="inlineStr">
        <is>
          <t>Inv MM$</t>
        </is>
      </c>
      <c r="F2509" t="n">
        <v>0.00588</v>
      </c>
    </row>
    <row r="2510">
      <c r="A2510" t="inlineStr">
        <is>
          <t>202606</t>
        </is>
      </c>
      <c r="B2510" t="inlineStr">
        <is>
          <t>Actual</t>
        </is>
      </c>
      <c r="C2510" t="inlineStr">
        <is>
          <t>Prima</t>
        </is>
      </c>
      <c r="D2510" t="inlineStr">
        <is>
          <t>Krane - CSI China Internet Fund</t>
        </is>
      </c>
      <c r="E2510" t="inlineStr">
        <is>
          <t>Huella</t>
        </is>
      </c>
      <c r="F2510" t="n">
        <v>25.723204</v>
      </c>
    </row>
    <row r="2511">
      <c r="A2511" t="inlineStr">
        <is>
          <t>202606</t>
        </is>
      </c>
      <c r="B2511" t="inlineStr">
        <is>
          <t>Actual</t>
        </is>
      </c>
      <c r="C2511" t="inlineStr">
        <is>
          <t>Prima</t>
        </is>
      </c>
      <c r="D2511" t="inlineStr">
        <is>
          <t>Krane - CSI China Internet Fund</t>
        </is>
      </c>
      <c r="E2511" t="inlineStr">
        <is>
          <t>Intensidad</t>
        </is>
      </c>
      <c r="F2511" t="n">
        <v>0.029902</v>
      </c>
    </row>
    <row r="2512">
      <c r="A2512" t="inlineStr">
        <is>
          <t>202606</t>
        </is>
      </c>
      <c r="B2512" t="inlineStr">
        <is>
          <t>Actual</t>
        </is>
      </c>
      <c r="C2512" t="inlineStr">
        <is>
          <t>Prima</t>
        </is>
      </c>
      <c r="D2512" t="inlineStr">
        <is>
          <t>Krane - CSI China Internet Fund</t>
        </is>
      </c>
      <c r="E2512" t="inlineStr">
        <is>
          <t>Inv MM$</t>
        </is>
      </c>
      <c r="F2512" t="n">
        <v>3.73621</v>
      </c>
    </row>
    <row r="2513">
      <c r="A2513" t="inlineStr">
        <is>
          <t>202606</t>
        </is>
      </c>
      <c r="B2513" t="inlineStr">
        <is>
          <t>Actual</t>
        </is>
      </c>
      <c r="C2513" t="inlineStr">
        <is>
          <t>Prima</t>
        </is>
      </c>
      <c r="D2513" t="inlineStr">
        <is>
          <t>Lazard - Convertible Europe Fund</t>
        </is>
      </c>
      <c r="E2513" t="inlineStr">
        <is>
          <t>Huella</t>
        </is>
      </c>
      <c r="F2513" t="n">
        <v>2657.606699</v>
      </c>
    </row>
    <row r="2514">
      <c r="A2514" t="inlineStr">
        <is>
          <t>202606</t>
        </is>
      </c>
      <c r="B2514" t="inlineStr">
        <is>
          <t>Actual</t>
        </is>
      </c>
      <c r="C2514" t="inlineStr">
        <is>
          <t>Prima</t>
        </is>
      </c>
      <c r="D2514" t="inlineStr">
        <is>
          <t>Lazard - Convertible Europe Fund</t>
        </is>
      </c>
      <c r="E2514" t="inlineStr">
        <is>
          <t>Intensidad</t>
        </is>
      </c>
      <c r="F2514" t="n">
        <v>0.74864</v>
      </c>
    </row>
    <row r="2515">
      <c r="A2515" t="inlineStr">
        <is>
          <t>202606</t>
        </is>
      </c>
      <c r="B2515" t="inlineStr">
        <is>
          <t>Actual</t>
        </is>
      </c>
      <c r="C2515" t="inlineStr">
        <is>
          <t>Prima</t>
        </is>
      </c>
      <c r="D2515" t="inlineStr">
        <is>
          <t>Lazard - Convertible Europe Fund</t>
        </is>
      </c>
      <c r="E2515" t="inlineStr">
        <is>
          <t>Inv MM$</t>
        </is>
      </c>
      <c r="F2515" t="n">
        <v>15.567355</v>
      </c>
    </row>
    <row r="2516">
      <c r="A2516" t="inlineStr">
        <is>
          <t>202606</t>
        </is>
      </c>
      <c r="B2516" t="inlineStr">
        <is>
          <t>Actual</t>
        </is>
      </c>
      <c r="C2516" t="inlineStr">
        <is>
          <t>Prima</t>
        </is>
      </c>
      <c r="D2516" t="inlineStr">
        <is>
          <t>Lazard - Japanese Strategic Equity</t>
        </is>
      </c>
      <c r="E2516" t="inlineStr">
        <is>
          <t>Huella</t>
        </is>
      </c>
      <c r="F2516" t="n">
        <v>942.351032</v>
      </c>
    </row>
    <row r="2517">
      <c r="A2517" t="inlineStr">
        <is>
          <t>202606</t>
        </is>
      </c>
      <c r="B2517" t="inlineStr">
        <is>
          <t>Actual</t>
        </is>
      </c>
      <c r="C2517" t="inlineStr">
        <is>
          <t>Prima</t>
        </is>
      </c>
      <c r="D2517" t="inlineStr">
        <is>
          <t>Lazard - Japanese Strategic Equity</t>
        </is>
      </c>
      <c r="E2517" t="inlineStr">
        <is>
          <t>Intensidad</t>
        </is>
      </c>
      <c r="F2517" t="n">
        <v>0.406682</v>
      </c>
    </row>
    <row r="2518">
      <c r="A2518" t="inlineStr">
        <is>
          <t>202606</t>
        </is>
      </c>
      <c r="B2518" t="inlineStr">
        <is>
          <t>Actual</t>
        </is>
      </c>
      <c r="C2518" t="inlineStr">
        <is>
          <t>Prima</t>
        </is>
      </c>
      <c r="D2518" t="inlineStr">
        <is>
          <t>Lazard - Japanese Strategic Equity</t>
        </is>
      </c>
      <c r="E2518" t="inlineStr">
        <is>
          <t>Inv MM$</t>
        </is>
      </c>
      <c r="F2518" t="n">
        <v>24.898453</v>
      </c>
    </row>
    <row r="2519">
      <c r="A2519" t="inlineStr">
        <is>
          <t>202606</t>
        </is>
      </c>
      <c r="B2519" t="inlineStr">
        <is>
          <t>Actual</t>
        </is>
      </c>
      <c r="C2519" t="inlineStr">
        <is>
          <t>Prima</t>
        </is>
      </c>
      <c r="D2519" t="inlineStr">
        <is>
          <t>Liontrust - Liontrust European Dynamic Fund S</t>
        </is>
      </c>
      <c r="E2519" t="inlineStr">
        <is>
          <t>Huella</t>
        </is>
      </c>
      <c r="F2519" t="n">
        <v>4.998901</v>
      </c>
    </row>
    <row r="2520">
      <c r="A2520" t="inlineStr">
        <is>
          <t>202606</t>
        </is>
      </c>
      <c r="B2520" t="inlineStr">
        <is>
          <t>Actual</t>
        </is>
      </c>
      <c r="C2520" t="inlineStr">
        <is>
          <t>Prima</t>
        </is>
      </c>
      <c r="D2520" t="inlineStr">
        <is>
          <t>Liontrust - Liontrust European Dynamic Fund S</t>
        </is>
      </c>
      <c r="E2520" t="inlineStr">
        <is>
          <t>Intensidad</t>
        </is>
      </c>
      <c r="F2520" t="n">
        <v>0.002013</v>
      </c>
    </row>
    <row r="2521">
      <c r="A2521" t="inlineStr">
        <is>
          <t>202606</t>
        </is>
      </c>
      <c r="B2521" t="inlineStr">
        <is>
          <t>Actual</t>
        </is>
      </c>
      <c r="C2521" t="inlineStr">
        <is>
          <t>Prima</t>
        </is>
      </c>
      <c r="D2521" t="inlineStr">
        <is>
          <t>Liontrust - Liontrust European Dynamic Fund S</t>
        </is>
      </c>
      <c r="E2521" t="inlineStr">
        <is>
          <t>Inv MM$</t>
        </is>
      </c>
      <c r="F2521" t="n">
        <v>0.030915</v>
      </c>
    </row>
    <row r="2522">
      <c r="A2522" t="inlineStr">
        <is>
          <t>202606</t>
        </is>
      </c>
      <c r="B2522" t="inlineStr">
        <is>
          <t>Actual</t>
        </is>
      </c>
      <c r="C2522" t="inlineStr">
        <is>
          <t>Prima</t>
        </is>
      </c>
      <c r="D2522" t="inlineStr">
        <is>
          <t>Minsur</t>
        </is>
      </c>
      <c r="E2522" t="inlineStr">
        <is>
          <t>Huella</t>
        </is>
      </c>
      <c r="F2522" t="n">
        <v>38991.332552</v>
      </c>
    </row>
    <row r="2523">
      <c r="A2523" t="inlineStr">
        <is>
          <t>202606</t>
        </is>
      </c>
      <c r="B2523" t="inlineStr">
        <is>
          <t>Actual</t>
        </is>
      </c>
      <c r="C2523" t="inlineStr">
        <is>
          <t>Prima</t>
        </is>
      </c>
      <c r="D2523" t="inlineStr">
        <is>
          <t>Minsur</t>
        </is>
      </c>
      <c r="E2523" t="inlineStr">
        <is>
          <t>Intensidad</t>
        </is>
      </c>
      <c r="F2523" t="n">
        <v>12.955599</v>
      </c>
    </row>
    <row r="2524">
      <c r="A2524" t="inlineStr">
        <is>
          <t>202606</t>
        </is>
      </c>
      <c r="B2524" t="inlineStr">
        <is>
          <t>Actual</t>
        </is>
      </c>
      <c r="C2524" t="inlineStr">
        <is>
          <t>Prima</t>
        </is>
      </c>
      <c r="D2524" t="inlineStr">
        <is>
          <t>Minsur</t>
        </is>
      </c>
      <c r="E2524" t="inlineStr">
        <is>
          <t>Inv MM$</t>
        </is>
      </c>
      <c r="F2524" t="n">
        <v>333.572868</v>
      </c>
    </row>
    <row r="2525">
      <c r="A2525" t="inlineStr">
        <is>
          <t>202606</t>
        </is>
      </c>
      <c r="B2525" t="inlineStr">
        <is>
          <t>Actual</t>
        </is>
      </c>
      <c r="C2525" t="inlineStr">
        <is>
          <t>Prima</t>
        </is>
      </c>
      <c r="D2525" t="inlineStr">
        <is>
          <t>Neuberger Berman - Emerging Market Debt HC</t>
        </is>
      </c>
      <c r="E2525" t="inlineStr">
        <is>
          <t>Huella</t>
        </is>
      </c>
      <c r="F2525" t="n">
        <v>6834.662832</v>
      </c>
    </row>
    <row r="2526">
      <c r="A2526" t="inlineStr">
        <is>
          <t>202606</t>
        </is>
      </c>
      <c r="B2526" t="inlineStr">
        <is>
          <t>Actual</t>
        </is>
      </c>
      <c r="C2526" t="inlineStr">
        <is>
          <t>Prima</t>
        </is>
      </c>
      <c r="D2526" t="inlineStr">
        <is>
          <t>Neuberger Berman - Emerging Market Debt HC</t>
        </is>
      </c>
      <c r="E2526" t="inlineStr">
        <is>
          <t>Intensidad</t>
        </is>
      </c>
      <c r="F2526" t="n">
        <v>3.613517</v>
      </c>
    </row>
    <row r="2527">
      <c r="A2527" t="inlineStr">
        <is>
          <t>202606</t>
        </is>
      </c>
      <c r="B2527" t="inlineStr">
        <is>
          <t>Actual</t>
        </is>
      </c>
      <c r="C2527" t="inlineStr">
        <is>
          <t>Prima</t>
        </is>
      </c>
      <c r="D2527" t="inlineStr">
        <is>
          <t>Neuberger Berman - Emerging Market Debt HC</t>
        </is>
      </c>
      <c r="E2527" t="inlineStr">
        <is>
          <t>Inv MM$</t>
        </is>
      </c>
      <c r="F2527" t="n">
        <v>11.831131</v>
      </c>
    </row>
    <row r="2528">
      <c r="A2528" t="inlineStr">
        <is>
          <t>202606</t>
        </is>
      </c>
      <c r="B2528" t="inlineStr">
        <is>
          <t>Actual</t>
        </is>
      </c>
      <c r="C2528" t="inlineStr">
        <is>
          <t>Prima</t>
        </is>
      </c>
      <c r="D2528" t="inlineStr">
        <is>
          <t>Nexa Resources</t>
        </is>
      </c>
      <c r="E2528" t="inlineStr">
        <is>
          <t>Huella</t>
        </is>
      </c>
      <c r="F2528" t="n">
        <v>10237.859403</v>
      </c>
    </row>
    <row r="2529">
      <c r="A2529" t="inlineStr">
        <is>
          <t>202606</t>
        </is>
      </c>
      <c r="B2529" t="inlineStr">
        <is>
          <t>Actual</t>
        </is>
      </c>
      <c r="C2529" t="inlineStr">
        <is>
          <t>Prima</t>
        </is>
      </c>
      <c r="D2529" t="inlineStr">
        <is>
          <t>Nexa Resources</t>
        </is>
      </c>
      <c r="E2529" t="inlineStr">
        <is>
          <t>Intensidad</t>
        </is>
      </c>
      <c r="F2529" t="n">
        <v>4.12965</v>
      </c>
    </row>
    <row r="2530">
      <c r="A2530" t="inlineStr">
        <is>
          <t>202606</t>
        </is>
      </c>
      <c r="B2530" t="inlineStr">
        <is>
          <t>Actual</t>
        </is>
      </c>
      <c r="C2530" t="inlineStr">
        <is>
          <t>Prima</t>
        </is>
      </c>
      <c r="D2530" t="inlineStr">
        <is>
          <t>Nexa Resources</t>
        </is>
      </c>
      <c r="E2530" t="inlineStr">
        <is>
          <t>Inv MM$</t>
        </is>
      </c>
      <c r="F2530" t="n">
        <v>49.482162</v>
      </c>
    </row>
    <row r="2531">
      <c r="A2531" t="inlineStr">
        <is>
          <t>202606</t>
        </is>
      </c>
      <c r="B2531" t="inlineStr">
        <is>
          <t>Actual</t>
        </is>
      </c>
      <c r="C2531" t="inlineStr">
        <is>
          <t>Prima</t>
        </is>
      </c>
      <c r="D2531" t="inlineStr">
        <is>
          <t>Nexa Resources Perú</t>
        </is>
      </c>
      <c r="E2531" t="inlineStr">
        <is>
          <t>Huella</t>
        </is>
      </c>
      <c r="F2531" t="n">
        <v>1569.707711</v>
      </c>
    </row>
    <row r="2532">
      <c r="A2532" t="inlineStr">
        <is>
          <t>202606</t>
        </is>
      </c>
      <c r="B2532" t="inlineStr">
        <is>
          <t>Actual</t>
        </is>
      </c>
      <c r="C2532" t="inlineStr">
        <is>
          <t>Prima</t>
        </is>
      </c>
      <c r="D2532" t="inlineStr">
        <is>
          <t>Nexa Resources Perú</t>
        </is>
      </c>
      <c r="E2532" t="inlineStr">
        <is>
          <t>Intensidad</t>
        </is>
      </c>
      <c r="F2532" t="n">
        <v>1.624489</v>
      </c>
    </row>
    <row r="2533">
      <c r="A2533" t="inlineStr">
        <is>
          <t>202606</t>
        </is>
      </c>
      <c r="B2533" t="inlineStr">
        <is>
          <t>Actual</t>
        </is>
      </c>
      <c r="C2533" t="inlineStr">
        <is>
          <t>Prima</t>
        </is>
      </c>
      <c r="D2533" t="inlineStr">
        <is>
          <t>Nexa Resources Perú</t>
        </is>
      </c>
      <c r="E2533" t="inlineStr">
        <is>
          <t>Inv MM$</t>
        </is>
      </c>
      <c r="F2533" t="n">
        <v>9.365239000000001</v>
      </c>
    </row>
    <row r="2534">
      <c r="A2534" t="inlineStr">
        <is>
          <t>202606</t>
        </is>
      </c>
      <c r="B2534" t="inlineStr">
        <is>
          <t>Actual</t>
        </is>
      </c>
      <c r="C2534" t="inlineStr">
        <is>
          <t>Prima</t>
        </is>
      </c>
      <c r="D2534" t="inlineStr">
        <is>
          <t>Nomura Funds Ireland - Japan Strategic Value Fund</t>
        </is>
      </c>
      <c r="E2534" t="inlineStr">
        <is>
          <t>Huella</t>
        </is>
      </c>
      <c r="F2534" t="n">
        <v>624.963123</v>
      </c>
    </row>
    <row r="2535">
      <c r="A2535" t="inlineStr">
        <is>
          <t>202606</t>
        </is>
      </c>
      <c r="B2535" t="inlineStr">
        <is>
          <t>Actual</t>
        </is>
      </c>
      <c r="C2535" t="inlineStr">
        <is>
          <t>Prima</t>
        </is>
      </c>
      <c r="D2535" t="inlineStr">
        <is>
          <t>Nomura Funds Ireland - Japan Strategic Value Fund</t>
        </is>
      </c>
      <c r="E2535" t="inlineStr">
        <is>
          <t>Intensidad</t>
        </is>
      </c>
      <c r="F2535" t="n">
        <v>0.224155</v>
      </c>
    </row>
    <row r="2536">
      <c r="A2536" t="inlineStr">
        <is>
          <t>202606</t>
        </is>
      </c>
      <c r="B2536" t="inlineStr">
        <is>
          <t>Actual</t>
        </is>
      </c>
      <c r="C2536" t="inlineStr">
        <is>
          <t>Prima</t>
        </is>
      </c>
      <c r="D2536" t="inlineStr">
        <is>
          <t>Nomura Funds Ireland - Japan Strategic Value Fund</t>
        </is>
      </c>
      <c r="E2536" t="inlineStr">
        <is>
          <t>Inv MM$</t>
        </is>
      </c>
      <c r="F2536" t="n">
        <v>23.14299</v>
      </c>
    </row>
    <row r="2537">
      <c r="A2537" t="inlineStr">
        <is>
          <t>202606</t>
        </is>
      </c>
      <c r="B2537" t="inlineStr">
        <is>
          <t>Actual</t>
        </is>
      </c>
      <c r="C2537" t="inlineStr">
        <is>
          <t>Prima</t>
        </is>
      </c>
      <c r="D2537" t="inlineStr">
        <is>
          <t>Pimco - Emerging Markets Bond Fund</t>
        </is>
      </c>
      <c r="E2537" t="inlineStr">
        <is>
          <t>Huella</t>
        </is>
      </c>
      <c r="F2537" t="n">
        <v>9928.135780000001</v>
      </c>
    </row>
    <row r="2538">
      <c r="A2538" t="inlineStr">
        <is>
          <t>202606</t>
        </is>
      </c>
      <c r="B2538" t="inlineStr">
        <is>
          <t>Actual</t>
        </is>
      </c>
      <c r="C2538" t="inlineStr">
        <is>
          <t>Prima</t>
        </is>
      </c>
      <c r="D2538" t="inlineStr">
        <is>
          <t>Pimco - Emerging Markets Bond Fund</t>
        </is>
      </c>
      <c r="E2538" t="inlineStr">
        <is>
          <t>Intensidad</t>
        </is>
      </c>
      <c r="F2538" t="n">
        <v>5.249049</v>
      </c>
    </row>
    <row r="2539">
      <c r="A2539" t="inlineStr">
        <is>
          <t>202606</t>
        </is>
      </c>
      <c r="B2539" t="inlineStr">
        <is>
          <t>Actual</t>
        </is>
      </c>
      <c r="C2539" t="inlineStr">
        <is>
          <t>Prima</t>
        </is>
      </c>
      <c r="D2539" t="inlineStr">
        <is>
          <t>Pimco - Emerging Markets Bond Fund</t>
        </is>
      </c>
      <c r="E2539" t="inlineStr">
        <is>
          <t>Inv MM$</t>
        </is>
      </c>
      <c r="F2539" t="n">
        <v>21.988588</v>
      </c>
    </row>
    <row r="2540">
      <c r="A2540" t="inlineStr">
        <is>
          <t>202606</t>
        </is>
      </c>
      <c r="B2540" t="inlineStr">
        <is>
          <t>Actual</t>
        </is>
      </c>
      <c r="C2540" t="inlineStr">
        <is>
          <t>Prima</t>
        </is>
      </c>
      <c r="D2540" t="inlineStr">
        <is>
          <t>Pimco - Emerging Markets Local Bond Fund</t>
        </is>
      </c>
      <c r="E2540" t="inlineStr">
        <is>
          <t>Huella</t>
        </is>
      </c>
      <c r="F2540" t="n">
        <v>8285.794388</v>
      </c>
    </row>
    <row r="2541">
      <c r="A2541" t="inlineStr">
        <is>
          <t>202606</t>
        </is>
      </c>
      <c r="B2541" t="inlineStr">
        <is>
          <t>Actual</t>
        </is>
      </c>
      <c r="C2541" t="inlineStr">
        <is>
          <t>Prima</t>
        </is>
      </c>
      <c r="D2541" t="inlineStr">
        <is>
          <t>Pimco - Emerging Markets Local Bond Fund</t>
        </is>
      </c>
      <c r="E2541" t="inlineStr">
        <is>
          <t>Intensidad</t>
        </is>
      </c>
      <c r="F2541" t="n">
        <v>3.034005</v>
      </c>
    </row>
    <row r="2542">
      <c r="A2542" t="inlineStr">
        <is>
          <t>202606</t>
        </is>
      </c>
      <c r="B2542" t="inlineStr">
        <is>
          <t>Actual</t>
        </is>
      </c>
      <c r="C2542" t="inlineStr">
        <is>
          <t>Prima</t>
        </is>
      </c>
      <c r="D2542" t="inlineStr">
        <is>
          <t>Pimco - Emerging Markets Local Bond Fund</t>
        </is>
      </c>
      <c r="E2542" t="inlineStr">
        <is>
          <t>Inv MM$</t>
        </is>
      </c>
      <c r="F2542" t="n">
        <v>90.79118</v>
      </c>
    </row>
    <row r="2543">
      <c r="A2543" t="inlineStr">
        <is>
          <t>202606</t>
        </is>
      </c>
      <c r="B2543" t="inlineStr">
        <is>
          <t>Actual</t>
        </is>
      </c>
      <c r="C2543" t="inlineStr">
        <is>
          <t>Prima</t>
        </is>
      </c>
      <c r="D2543" t="inlineStr">
        <is>
          <t>Pinebridge - Asia Ex-Japan Small Caps</t>
        </is>
      </c>
      <c r="E2543" t="inlineStr">
        <is>
          <t>Huella</t>
        </is>
      </c>
      <c r="F2543" t="n">
        <v>2.02859</v>
      </c>
    </row>
    <row r="2544">
      <c r="A2544" t="inlineStr">
        <is>
          <t>202606</t>
        </is>
      </c>
      <c r="B2544" t="inlineStr">
        <is>
          <t>Actual</t>
        </is>
      </c>
      <c r="C2544" t="inlineStr">
        <is>
          <t>Prima</t>
        </is>
      </c>
      <c r="D2544" t="inlineStr">
        <is>
          <t>Pinebridge - Asia Ex-Japan Small Caps</t>
        </is>
      </c>
      <c r="E2544" t="inlineStr">
        <is>
          <t>Intensidad</t>
        </is>
      </c>
      <c r="F2544" t="n">
        <v>0.001252</v>
      </c>
    </row>
    <row r="2545">
      <c r="A2545" t="inlineStr">
        <is>
          <t>202606</t>
        </is>
      </c>
      <c r="B2545" t="inlineStr">
        <is>
          <t>Actual</t>
        </is>
      </c>
      <c r="C2545" t="inlineStr">
        <is>
          <t>Prima</t>
        </is>
      </c>
      <c r="D2545" t="inlineStr">
        <is>
          <t>Pinebridge - Asia Ex-Japan Small Caps</t>
        </is>
      </c>
      <c r="E2545" t="inlineStr">
        <is>
          <t>Inv MM$</t>
        </is>
      </c>
      <c r="F2545" t="n">
        <v>0.036627</v>
      </c>
    </row>
    <row r="2546">
      <c r="A2546" t="inlineStr">
        <is>
          <t>202606</t>
        </is>
      </c>
      <c r="B2546" t="inlineStr">
        <is>
          <t>Actual</t>
        </is>
      </c>
      <c r="C2546" t="inlineStr">
        <is>
          <t>Prima</t>
        </is>
      </c>
      <c r="D2546" t="inlineStr">
        <is>
          <t>Robeco - QI Emerging Markets Active Equities</t>
        </is>
      </c>
      <c r="E2546" t="inlineStr">
        <is>
          <t>Huella</t>
        </is>
      </c>
      <c r="F2546" t="n">
        <v>2740.396913</v>
      </c>
    </row>
    <row r="2547">
      <c r="A2547" t="inlineStr">
        <is>
          <t>202606</t>
        </is>
      </c>
      <c r="B2547" t="inlineStr">
        <is>
          <t>Actual</t>
        </is>
      </c>
      <c r="C2547" t="inlineStr">
        <is>
          <t>Prima</t>
        </is>
      </c>
      <c r="D2547" t="inlineStr">
        <is>
          <t>Robeco - QI Emerging Markets Active Equities</t>
        </is>
      </c>
      <c r="E2547" t="inlineStr">
        <is>
          <t>Intensidad</t>
        </is>
      </c>
      <c r="F2547" t="n">
        <v>0.92378</v>
      </c>
    </row>
    <row r="2548">
      <c r="A2548" t="inlineStr">
        <is>
          <t>202606</t>
        </is>
      </c>
      <c r="B2548" t="inlineStr">
        <is>
          <t>Actual</t>
        </is>
      </c>
      <c r="C2548" t="inlineStr">
        <is>
          <t>Prima</t>
        </is>
      </c>
      <c r="D2548" t="inlineStr">
        <is>
          <t>Robeco - QI Emerging Markets Active Equities</t>
        </is>
      </c>
      <c r="E2548" t="inlineStr">
        <is>
          <t>Inv MM$</t>
        </is>
      </c>
      <c r="F2548" t="n">
        <v>37.217701</v>
      </c>
    </row>
    <row r="2549">
      <c r="A2549" t="inlineStr">
        <is>
          <t>202606</t>
        </is>
      </c>
      <c r="B2549" t="inlineStr">
        <is>
          <t>Actual</t>
        </is>
      </c>
      <c r="C2549" t="inlineStr">
        <is>
          <t>Prima</t>
        </is>
      </c>
      <c r="D2549" t="inlineStr">
        <is>
          <t>SSGA - Bloomberg Barclays Convertible Securities</t>
        </is>
      </c>
      <c r="E2549" t="inlineStr">
        <is>
          <t>Huella</t>
        </is>
      </c>
      <c r="F2549" t="n">
        <v>1810.778782</v>
      </c>
    </row>
    <row r="2550">
      <c r="A2550" t="inlineStr">
        <is>
          <t>202606</t>
        </is>
      </c>
      <c r="B2550" t="inlineStr">
        <is>
          <t>Actual</t>
        </is>
      </c>
      <c r="C2550" t="inlineStr">
        <is>
          <t>Prima</t>
        </is>
      </c>
      <c r="D2550" t="inlineStr">
        <is>
          <t>SSGA - Bloomberg Barclays Convertible Securities</t>
        </is>
      </c>
      <c r="E2550" t="inlineStr">
        <is>
          <t>Intensidad</t>
        </is>
      </c>
      <c r="F2550" t="n">
        <v>0.52641</v>
      </c>
    </row>
    <row r="2551">
      <c r="A2551" t="inlineStr">
        <is>
          <t>202606</t>
        </is>
      </c>
      <c r="B2551" t="inlineStr">
        <is>
          <t>Actual</t>
        </is>
      </c>
      <c r="C2551" t="inlineStr">
        <is>
          <t>Prima</t>
        </is>
      </c>
      <c r="D2551" t="inlineStr">
        <is>
          <t>SSGA - Bloomberg Barclays Convertible Securities</t>
        </is>
      </c>
      <c r="E2551" t="inlineStr">
        <is>
          <t>Inv MM$</t>
        </is>
      </c>
      <c r="F2551" t="n">
        <v>38.905772</v>
      </c>
    </row>
    <row r="2552">
      <c r="A2552" t="inlineStr">
        <is>
          <t>202606</t>
        </is>
      </c>
      <c r="B2552" t="inlineStr">
        <is>
          <t>Actual</t>
        </is>
      </c>
      <c r="C2552" t="inlineStr">
        <is>
          <t>Prima</t>
        </is>
      </c>
      <c r="D2552" t="inlineStr">
        <is>
          <t>SSGA Funds Management, Inc.</t>
        </is>
      </c>
      <c r="E2552" t="inlineStr">
        <is>
          <t>Huella</t>
        </is>
      </c>
      <c r="F2552" t="n">
        <v>2.729216</v>
      </c>
    </row>
    <row r="2553">
      <c r="A2553" t="inlineStr">
        <is>
          <t>202606</t>
        </is>
      </c>
      <c r="B2553" t="inlineStr">
        <is>
          <t>Actual</t>
        </is>
      </c>
      <c r="C2553" t="inlineStr">
        <is>
          <t>Prima</t>
        </is>
      </c>
      <c r="D2553" t="inlineStr">
        <is>
          <t>SSGA Funds Management, Inc.</t>
        </is>
      </c>
      <c r="E2553" t="inlineStr">
        <is>
          <t>Intensidad</t>
        </is>
      </c>
      <c r="F2553" t="n">
        <v>0.000437</v>
      </c>
    </row>
    <row r="2554">
      <c r="A2554" t="inlineStr">
        <is>
          <t>202606</t>
        </is>
      </c>
      <c r="B2554" t="inlineStr">
        <is>
          <t>Actual</t>
        </is>
      </c>
      <c r="C2554" t="inlineStr">
        <is>
          <t>Prima</t>
        </is>
      </c>
      <c r="D2554" t="inlineStr">
        <is>
          <t>SSGA Funds Management, Inc.</t>
        </is>
      </c>
      <c r="E2554" t="inlineStr">
        <is>
          <t>Inv MM$</t>
        </is>
      </c>
      <c r="F2554" t="n">
        <v>0.12499</v>
      </c>
    </row>
    <row r="2555">
      <c r="A2555" t="inlineStr">
        <is>
          <t>202606</t>
        </is>
      </c>
      <c r="B2555" t="inlineStr">
        <is>
          <t>Actual</t>
        </is>
      </c>
      <c r="C2555" t="inlineStr">
        <is>
          <t>Prima</t>
        </is>
      </c>
      <c r="D2555" t="inlineStr">
        <is>
          <t>Schroders - Emerging Europe</t>
        </is>
      </c>
      <c r="E2555" t="inlineStr">
        <is>
          <t>Huella</t>
        </is>
      </c>
      <c r="F2555" t="n">
        <v>3.940969</v>
      </c>
    </row>
    <row r="2556">
      <c r="A2556" t="inlineStr">
        <is>
          <t>202606</t>
        </is>
      </c>
      <c r="B2556" t="inlineStr">
        <is>
          <t>Actual</t>
        </is>
      </c>
      <c r="C2556" t="inlineStr">
        <is>
          <t>Prima</t>
        </is>
      </c>
      <c r="D2556" t="inlineStr">
        <is>
          <t>Schroders - Emerging Europe</t>
        </is>
      </c>
      <c r="E2556" t="inlineStr">
        <is>
          <t>Intensidad</t>
        </is>
      </c>
      <c r="F2556" t="n">
        <v>0.0006310000000000001</v>
      </c>
    </row>
    <row r="2557">
      <c r="A2557" t="inlineStr">
        <is>
          <t>202606</t>
        </is>
      </c>
      <c r="B2557" t="inlineStr">
        <is>
          <t>Actual</t>
        </is>
      </c>
      <c r="C2557" t="inlineStr">
        <is>
          <t>Prima</t>
        </is>
      </c>
      <c r="D2557" t="inlineStr">
        <is>
          <t>Schroders - Emerging Europe</t>
        </is>
      </c>
      <c r="E2557" t="inlineStr">
        <is>
          <t>Inv MM$</t>
        </is>
      </c>
      <c r="F2557" t="n">
        <v>0.046439</v>
      </c>
    </row>
    <row r="2558">
      <c r="A2558" t="inlineStr">
        <is>
          <t>202606</t>
        </is>
      </c>
      <c r="B2558" t="inlineStr">
        <is>
          <t>Actual</t>
        </is>
      </c>
      <c r="C2558" t="inlineStr">
        <is>
          <t>Prima</t>
        </is>
      </c>
      <c r="D2558" t="inlineStr">
        <is>
          <t>State Street - S&amp;P Metals &amp; Mining ETF</t>
        </is>
      </c>
      <c r="E2558" t="inlineStr">
        <is>
          <t>Huella</t>
        </is>
      </c>
      <c r="F2558" t="n">
        <v>3366.718847</v>
      </c>
    </row>
    <row r="2559">
      <c r="A2559" t="inlineStr">
        <is>
          <t>202606</t>
        </is>
      </c>
      <c r="B2559" t="inlineStr">
        <is>
          <t>Actual</t>
        </is>
      </c>
      <c r="C2559" t="inlineStr">
        <is>
          <t>Prima</t>
        </is>
      </c>
      <c r="D2559" t="inlineStr">
        <is>
          <t>State Street - S&amp;P Metals &amp; Mining ETF</t>
        </is>
      </c>
      <c r="E2559" t="inlineStr">
        <is>
          <t>Intensidad</t>
        </is>
      </c>
      <c r="F2559" t="n">
        <v>3.913665</v>
      </c>
    </row>
    <row r="2560">
      <c r="A2560" t="inlineStr">
        <is>
          <t>202606</t>
        </is>
      </c>
      <c r="B2560" t="inlineStr">
        <is>
          <t>Actual</t>
        </is>
      </c>
      <c r="C2560" t="inlineStr">
        <is>
          <t>Prima</t>
        </is>
      </c>
      <c r="D2560" t="inlineStr">
        <is>
          <t>State Street - S&amp;P Metals &amp; Mining ETF</t>
        </is>
      </c>
      <c r="E2560" t="inlineStr">
        <is>
          <t>Inv MM$</t>
        </is>
      </c>
      <c r="F2560" t="n">
        <v>7.207092</v>
      </c>
    </row>
    <row r="2561">
      <c r="A2561" t="inlineStr">
        <is>
          <t>202606</t>
        </is>
      </c>
      <c r="B2561" t="inlineStr">
        <is>
          <t>Actual</t>
        </is>
      </c>
      <c r="C2561" t="inlineStr">
        <is>
          <t>Prima</t>
        </is>
      </c>
      <c r="D2561" t="inlineStr">
        <is>
          <t>Telefónica</t>
        </is>
      </c>
      <c r="E2561" t="inlineStr">
        <is>
          <t>Huella</t>
        </is>
      </c>
      <c r="F2561" t="n">
        <v>167.203065</v>
      </c>
    </row>
    <row r="2562">
      <c r="A2562" t="inlineStr">
        <is>
          <t>202606</t>
        </is>
      </c>
      <c r="B2562" t="inlineStr">
        <is>
          <t>Actual</t>
        </is>
      </c>
      <c r="C2562" t="inlineStr">
        <is>
          <t>Prima</t>
        </is>
      </c>
      <c r="D2562" t="inlineStr">
        <is>
          <t>Telefónica</t>
        </is>
      </c>
      <c r="E2562" t="inlineStr">
        <is>
          <t>Intensidad</t>
        </is>
      </c>
      <c r="F2562" t="n">
        <v>0.03798</v>
      </c>
    </row>
    <row r="2563">
      <c r="A2563" t="inlineStr">
        <is>
          <t>202606</t>
        </is>
      </c>
      <c r="B2563" t="inlineStr">
        <is>
          <t>Actual</t>
        </is>
      </c>
      <c r="C2563" t="inlineStr">
        <is>
          <t>Prima</t>
        </is>
      </c>
      <c r="D2563" t="inlineStr">
        <is>
          <t>Telefónica</t>
        </is>
      </c>
      <c r="E2563" t="inlineStr">
        <is>
          <t>Inv MM$</t>
        </is>
      </c>
      <c r="F2563" t="n">
        <v>69.66794400000001</v>
      </c>
    </row>
    <row r="2564">
      <c r="A2564" t="inlineStr">
        <is>
          <t>202606</t>
        </is>
      </c>
      <c r="B2564" t="inlineStr">
        <is>
          <t>Actual</t>
        </is>
      </c>
      <c r="C2564" t="inlineStr">
        <is>
          <t>Prima</t>
        </is>
      </c>
      <c r="D2564" t="inlineStr">
        <is>
          <t>VanEck - Gold Miners ETF</t>
        </is>
      </c>
      <c r="E2564" t="inlineStr">
        <is>
          <t>Huella</t>
        </is>
      </c>
      <c r="F2564" t="n">
        <v>5055.591155</v>
      </c>
    </row>
    <row r="2565">
      <c r="A2565" t="inlineStr">
        <is>
          <t>202606</t>
        </is>
      </c>
      <c r="B2565" t="inlineStr">
        <is>
          <t>Actual</t>
        </is>
      </c>
      <c r="C2565" t="inlineStr">
        <is>
          <t>Prima</t>
        </is>
      </c>
      <c r="D2565" t="inlineStr">
        <is>
          <t>VanEck - Gold Miners ETF</t>
        </is>
      </c>
      <c r="E2565" t="inlineStr">
        <is>
          <t>Intensidad</t>
        </is>
      </c>
      <c r="F2565" t="n">
        <v>1.340828</v>
      </c>
    </row>
    <row r="2566">
      <c r="A2566" t="inlineStr">
        <is>
          <t>202606</t>
        </is>
      </c>
      <c r="B2566" t="inlineStr">
        <is>
          <t>Actual</t>
        </is>
      </c>
      <c r="C2566" t="inlineStr">
        <is>
          <t>Prima</t>
        </is>
      </c>
      <c r="D2566" t="inlineStr">
        <is>
          <t>VanEck - Gold Miners ETF</t>
        </is>
      </c>
      <c r="E2566" t="inlineStr">
        <is>
          <t>Inv MM$</t>
        </is>
      </c>
      <c r="F2566" t="n">
        <v>115.407893</v>
      </c>
    </row>
    <row r="2567">
      <c r="A2567" t="inlineStr">
        <is>
          <t>202606</t>
        </is>
      </c>
      <c r="B2567" t="inlineStr">
        <is>
          <t>Actual</t>
        </is>
      </c>
      <c r="C2567" t="inlineStr">
        <is>
          <t>Prima</t>
        </is>
      </c>
      <c r="D2567" t="inlineStr">
        <is>
          <t>VanEck Semiconductor ETF</t>
        </is>
      </c>
      <c r="E2567" t="inlineStr">
        <is>
          <t>Huella</t>
        </is>
      </c>
      <c r="F2567" t="n">
        <v>1889.245648</v>
      </c>
    </row>
    <row r="2568">
      <c r="A2568" t="inlineStr">
        <is>
          <t>202606</t>
        </is>
      </c>
      <c r="B2568" t="inlineStr">
        <is>
          <t>Actual</t>
        </is>
      </c>
      <c r="C2568" t="inlineStr">
        <is>
          <t>Prima</t>
        </is>
      </c>
      <c r="D2568" t="inlineStr">
        <is>
          <t>VanEck Semiconductor ETF</t>
        </is>
      </c>
      <c r="E2568" t="inlineStr">
        <is>
          <t>Intensidad</t>
        </is>
      </c>
      <c r="F2568" t="n">
        <v>0.862348</v>
      </c>
    </row>
    <row r="2569">
      <c r="A2569" t="inlineStr">
        <is>
          <t>202606</t>
        </is>
      </c>
      <c r="B2569" t="inlineStr">
        <is>
          <t>Actual</t>
        </is>
      </c>
      <c r="C2569" t="inlineStr">
        <is>
          <t>Prima</t>
        </is>
      </c>
      <c r="D2569" t="inlineStr">
        <is>
          <t>VanEck Semiconductor ETF</t>
        </is>
      </c>
      <c r="E2569" t="inlineStr">
        <is>
          <t>Inv MM$</t>
        </is>
      </c>
      <c r="F2569" t="n">
        <v>267.391091</v>
      </c>
    </row>
    <row r="2570">
      <c r="A2570" t="inlineStr">
        <is>
          <t>202606</t>
        </is>
      </c>
      <c r="B2570" t="inlineStr">
        <is>
          <t>Actual</t>
        </is>
      </c>
      <c r="C2570" t="inlineStr">
        <is>
          <t>Prima</t>
        </is>
      </c>
      <c r="D2570" t="inlineStr">
        <is>
          <t>Volcan*</t>
        </is>
      </c>
      <c r="E2570" t="inlineStr">
        <is>
          <t>Huella</t>
        </is>
      </c>
      <c r="F2570" t="n">
        <v>1948.698167</v>
      </c>
    </row>
    <row r="2571">
      <c r="A2571" t="inlineStr">
        <is>
          <t>202606</t>
        </is>
      </c>
      <c r="B2571" t="inlineStr">
        <is>
          <t>Actual</t>
        </is>
      </c>
      <c r="C2571" t="inlineStr">
        <is>
          <t>Prima</t>
        </is>
      </c>
      <c r="D2571" t="inlineStr">
        <is>
          <t>Volcan*</t>
        </is>
      </c>
      <c r="E2571" t="inlineStr">
        <is>
          <t>Intensidad</t>
        </is>
      </c>
      <c r="F2571" t="n">
        <v>1.35034</v>
      </c>
    </row>
    <row r="2572">
      <c r="A2572" t="inlineStr">
        <is>
          <t>202606</t>
        </is>
      </c>
      <c r="B2572" t="inlineStr">
        <is>
          <t>Actual</t>
        </is>
      </c>
      <c r="C2572" t="inlineStr">
        <is>
          <t>Prima</t>
        </is>
      </c>
      <c r="D2572" t="inlineStr">
        <is>
          <t>Volcan*</t>
        </is>
      </c>
      <c r="E2572" t="inlineStr">
        <is>
          <t>Inv MM$</t>
        </is>
      </c>
      <c r="F2572" t="n">
        <v>17.116365</v>
      </c>
    </row>
    <row r="2573">
      <c r="A2573" t="inlineStr">
        <is>
          <t>202606</t>
        </is>
      </c>
      <c r="B2573" t="inlineStr">
        <is>
          <t>Actual</t>
        </is>
      </c>
      <c r="C2573" t="inlineStr">
        <is>
          <t>Prima</t>
        </is>
      </c>
      <c r="D2573" t="inlineStr">
        <is>
          <t>Vontobel - Emerging Markets Debt</t>
        </is>
      </c>
      <c r="E2573" t="inlineStr">
        <is>
          <t>Huella</t>
        </is>
      </c>
      <c r="F2573" t="n">
        <v>4261.808855</v>
      </c>
    </row>
    <row r="2574">
      <c r="A2574" t="inlineStr">
        <is>
          <t>202606</t>
        </is>
      </c>
      <c r="B2574" t="inlineStr">
        <is>
          <t>Actual</t>
        </is>
      </c>
      <c r="C2574" t="inlineStr">
        <is>
          <t>Prima</t>
        </is>
      </c>
      <c r="D2574" t="inlineStr">
        <is>
          <t>Vontobel - Emerging Markets Debt</t>
        </is>
      </c>
      <c r="E2574" t="inlineStr">
        <is>
          <t>Intensidad</t>
        </is>
      </c>
      <c r="F2574" t="n">
        <v>2.253237</v>
      </c>
    </row>
    <row r="2575">
      <c r="A2575" t="inlineStr">
        <is>
          <t>202606</t>
        </is>
      </c>
      <c r="B2575" t="inlineStr">
        <is>
          <t>Actual</t>
        </is>
      </c>
      <c r="C2575" t="inlineStr">
        <is>
          <t>Prima</t>
        </is>
      </c>
      <c r="D2575" t="inlineStr">
        <is>
          <t>Vontobel - Emerging Markets Debt</t>
        </is>
      </c>
      <c r="E2575" t="inlineStr">
        <is>
          <t>Inv MM$</t>
        </is>
      </c>
      <c r="F2575" t="n">
        <v>10.662971</v>
      </c>
    </row>
    <row r="2576">
      <c r="A2576" t="inlineStr">
        <is>
          <t>202606</t>
        </is>
      </c>
      <c r="B2576" t="inlineStr">
        <is>
          <t>Actual</t>
        </is>
      </c>
      <c r="C2576" t="inlineStr">
        <is>
          <t>Prima</t>
        </is>
      </c>
      <c r="D2576" t="inlineStr">
        <is>
          <t>Wellington Luxembourg - Asia Technology Fund</t>
        </is>
      </c>
      <c r="E2576" t="inlineStr">
        <is>
          <t>Huella</t>
        </is>
      </c>
      <c r="F2576" t="n">
        <v>527.924538</v>
      </c>
    </row>
    <row r="2577">
      <c r="A2577" t="inlineStr">
        <is>
          <t>202606</t>
        </is>
      </c>
      <c r="B2577" t="inlineStr">
        <is>
          <t>Actual</t>
        </is>
      </c>
      <c r="C2577" t="inlineStr">
        <is>
          <t>Prima</t>
        </is>
      </c>
      <c r="D2577" t="inlineStr">
        <is>
          <t>Wellington Luxembourg - Asia Technology Fund</t>
        </is>
      </c>
      <c r="E2577" t="inlineStr">
        <is>
          <t>Intensidad</t>
        </is>
      </c>
      <c r="F2577" t="n">
        <v>0.310498</v>
      </c>
    </row>
    <row r="2578">
      <c r="A2578" t="inlineStr">
        <is>
          <t>202606</t>
        </is>
      </c>
      <c r="B2578" t="inlineStr">
        <is>
          <t>Actual</t>
        </is>
      </c>
      <c r="C2578" t="inlineStr">
        <is>
          <t>Prima</t>
        </is>
      </c>
      <c r="D2578" t="inlineStr">
        <is>
          <t>Wellington Luxembourg - Asia Technology Fund</t>
        </is>
      </c>
      <c r="E2578" t="inlineStr">
        <is>
          <t>Inv MM$</t>
        </is>
      </c>
      <c r="F2578" t="n">
        <v>43.332398</v>
      </c>
    </row>
    <row r="2579">
      <c r="A2579" t="inlineStr">
        <is>
          <t>202606</t>
        </is>
      </c>
      <c r="B2579" t="inlineStr">
        <is>
          <t>Actual</t>
        </is>
      </c>
      <c r="C2579" t="inlineStr">
        <is>
          <t>Prima</t>
        </is>
      </c>
      <c r="D2579" t="inlineStr">
        <is>
          <t>WisdomTree - Quality Growth</t>
        </is>
      </c>
      <c r="E2579" t="inlineStr">
        <is>
          <t>Huella</t>
        </is>
      </c>
      <c r="F2579" t="n">
        <v>507.693585</v>
      </c>
    </row>
    <row r="2580">
      <c r="A2580" t="inlineStr">
        <is>
          <t>202606</t>
        </is>
      </c>
      <c r="B2580" t="inlineStr">
        <is>
          <t>Actual</t>
        </is>
      </c>
      <c r="C2580" t="inlineStr">
        <is>
          <t>Prima</t>
        </is>
      </c>
      <c r="D2580" t="inlineStr">
        <is>
          <t>WisdomTree - Quality Growth</t>
        </is>
      </c>
      <c r="E2580" t="inlineStr">
        <is>
          <t>Intensidad</t>
        </is>
      </c>
      <c r="F2580" t="n">
        <v>0.158927</v>
      </c>
    </row>
    <row r="2581">
      <c r="A2581" t="inlineStr">
        <is>
          <t>202606</t>
        </is>
      </c>
      <c r="B2581" t="inlineStr">
        <is>
          <t>Actual</t>
        </is>
      </c>
      <c r="C2581" t="inlineStr">
        <is>
          <t>Prima</t>
        </is>
      </c>
      <c r="D2581" t="inlineStr">
        <is>
          <t>WisdomTree - Quality Growth</t>
        </is>
      </c>
      <c r="E2581" t="inlineStr">
        <is>
          <t>Inv MM$</t>
        </is>
      </c>
      <c r="F2581" t="n">
        <v>62.026401</v>
      </c>
    </row>
    <row r="2582">
      <c r="A2582" t="inlineStr">
        <is>
          <t>202606</t>
        </is>
      </c>
      <c r="B2582" t="inlineStr">
        <is>
          <t>Actual</t>
        </is>
      </c>
      <c r="C2582" t="inlineStr">
        <is>
          <t>Profuturo</t>
        </is>
      </c>
      <c r="D2582" t="inlineStr">
        <is>
          <t>Aberdeen - Frontier Markets Bond Fund</t>
        </is>
      </c>
      <c r="E2582" t="inlineStr">
        <is>
          <t>Huella</t>
        </is>
      </c>
      <c r="F2582" t="n">
        <v>21.235237</v>
      </c>
    </row>
    <row r="2583">
      <c r="A2583" t="inlineStr">
        <is>
          <t>202606</t>
        </is>
      </c>
      <c r="B2583" t="inlineStr">
        <is>
          <t>Actual</t>
        </is>
      </c>
      <c r="C2583" t="inlineStr">
        <is>
          <t>Profuturo</t>
        </is>
      </c>
      <c r="D2583" t="inlineStr">
        <is>
          <t>Aberdeen - Frontier Markets Bond Fund</t>
        </is>
      </c>
      <c r="E2583" t="inlineStr">
        <is>
          <t>Intensidad</t>
        </is>
      </c>
      <c r="F2583" t="n">
        <v>0.016249</v>
      </c>
    </row>
    <row r="2584">
      <c r="A2584" t="inlineStr">
        <is>
          <t>202606</t>
        </is>
      </c>
      <c r="B2584" t="inlineStr">
        <is>
          <t>Actual</t>
        </is>
      </c>
      <c r="C2584" t="inlineStr">
        <is>
          <t>Profuturo</t>
        </is>
      </c>
      <c r="D2584" t="inlineStr">
        <is>
          <t>Aberdeen - Frontier Markets Bond Fund</t>
        </is>
      </c>
      <c r="E2584" t="inlineStr">
        <is>
          <t>Inv MM$</t>
        </is>
      </c>
      <c r="F2584" t="n">
        <v>5.116185</v>
      </c>
    </row>
    <row r="2585">
      <c r="A2585" t="inlineStr">
        <is>
          <t>202606</t>
        </is>
      </c>
      <c r="B2585" t="inlineStr">
        <is>
          <t>Actual</t>
        </is>
      </c>
      <c r="C2585" t="inlineStr">
        <is>
          <t>Profuturo</t>
        </is>
      </c>
      <c r="D2585" t="inlineStr">
        <is>
          <t>Aenza</t>
        </is>
      </c>
      <c r="E2585" t="inlineStr">
        <is>
          <t>Huella</t>
        </is>
      </c>
      <c r="F2585" t="n">
        <v>2945.924273</v>
      </c>
    </row>
    <row r="2586">
      <c r="A2586" t="inlineStr">
        <is>
          <t>202606</t>
        </is>
      </c>
      <c r="B2586" t="inlineStr">
        <is>
          <t>Actual</t>
        </is>
      </c>
      <c r="C2586" t="inlineStr">
        <is>
          <t>Profuturo</t>
        </is>
      </c>
      <c r="D2586" t="inlineStr">
        <is>
          <t>Aenza</t>
        </is>
      </c>
      <c r="E2586" t="inlineStr">
        <is>
          <t>Intensidad</t>
        </is>
      </c>
      <c r="F2586" t="n">
        <v>2.343582</v>
      </c>
    </row>
    <row r="2587">
      <c r="A2587" t="inlineStr">
        <is>
          <t>202606</t>
        </is>
      </c>
      <c r="B2587" t="inlineStr">
        <is>
          <t>Actual</t>
        </is>
      </c>
      <c r="C2587" t="inlineStr">
        <is>
          <t>Profuturo</t>
        </is>
      </c>
      <c r="D2587" t="inlineStr">
        <is>
          <t>Aenza</t>
        </is>
      </c>
      <c r="E2587" t="inlineStr">
        <is>
          <t>Inv MM$</t>
        </is>
      </c>
      <c r="F2587" t="n">
        <v>20.95103</v>
      </c>
    </row>
    <row r="2588">
      <c r="A2588" t="inlineStr">
        <is>
          <t>202606</t>
        </is>
      </c>
      <c r="B2588" t="inlineStr">
        <is>
          <t>Actual</t>
        </is>
      </c>
      <c r="C2588" t="inlineStr">
        <is>
          <t>Profuturo</t>
        </is>
      </c>
      <c r="D2588" t="inlineStr">
        <is>
          <t>BD Capital - Senior Loans 2</t>
        </is>
      </c>
      <c r="E2588" t="inlineStr">
        <is>
          <t>Huella</t>
        </is>
      </c>
      <c r="F2588" t="n">
        <v>4661.903852</v>
      </c>
    </row>
    <row r="2589">
      <c r="A2589" t="inlineStr">
        <is>
          <t>202606</t>
        </is>
      </c>
      <c r="B2589" t="inlineStr">
        <is>
          <t>Actual</t>
        </is>
      </c>
      <c r="C2589" t="inlineStr">
        <is>
          <t>Profuturo</t>
        </is>
      </c>
      <c r="D2589" t="inlineStr">
        <is>
          <t>BD Capital - Senior Loans 2</t>
        </is>
      </c>
      <c r="E2589" t="inlineStr">
        <is>
          <t>Intensidad</t>
        </is>
      </c>
      <c r="F2589" t="n">
        <v>2.306732</v>
      </c>
    </row>
    <row r="2590">
      <c r="A2590" t="inlineStr">
        <is>
          <t>202606</t>
        </is>
      </c>
      <c r="B2590" t="inlineStr">
        <is>
          <t>Actual</t>
        </is>
      </c>
      <c r="C2590" t="inlineStr">
        <is>
          <t>Profuturo</t>
        </is>
      </c>
      <c r="D2590" t="inlineStr">
        <is>
          <t>BD Capital - Senior Loans 2</t>
        </is>
      </c>
      <c r="E2590" t="inlineStr">
        <is>
          <t>Inv MM$</t>
        </is>
      </c>
      <c r="F2590" t="n">
        <v>48.516495</v>
      </c>
    </row>
    <row r="2591">
      <c r="A2591" t="inlineStr">
        <is>
          <t>202606</t>
        </is>
      </c>
      <c r="B2591" t="inlineStr">
        <is>
          <t>Actual</t>
        </is>
      </c>
      <c r="C2591" t="inlineStr">
        <is>
          <t>Profuturo</t>
        </is>
      </c>
      <c r="D2591" t="inlineStr">
        <is>
          <t>BNP Paribas - Japan Small Caps</t>
        </is>
      </c>
      <c r="E2591" t="inlineStr">
        <is>
          <t>Huella</t>
        </is>
      </c>
      <c r="F2591" t="n">
        <v>0.000114</v>
      </c>
    </row>
    <row r="2592">
      <c r="A2592" t="inlineStr">
        <is>
          <t>202606</t>
        </is>
      </c>
      <c r="B2592" t="inlineStr">
        <is>
          <t>Actual</t>
        </is>
      </c>
      <c r="C2592" t="inlineStr">
        <is>
          <t>Profuturo</t>
        </is>
      </c>
      <c r="D2592" t="inlineStr">
        <is>
          <t>BNP Paribas - Japan Small Caps</t>
        </is>
      </c>
      <c r="E2592" t="inlineStr">
        <is>
          <t>Intensidad</t>
        </is>
      </c>
      <c r="F2592" t="n">
        <v>0</v>
      </c>
    </row>
    <row r="2593">
      <c r="A2593" t="inlineStr">
        <is>
          <t>202606</t>
        </is>
      </c>
      <c r="B2593" t="inlineStr">
        <is>
          <t>Actual</t>
        </is>
      </c>
      <c r="C2593" t="inlineStr">
        <is>
          <t>Profuturo</t>
        </is>
      </c>
      <c r="D2593" t="inlineStr">
        <is>
          <t>BNP Paribas - Japan Small Caps</t>
        </is>
      </c>
      <c r="E2593" t="inlineStr">
        <is>
          <t>Inv MM$</t>
        </is>
      </c>
      <c r="F2593" t="n">
        <v>1e-06</v>
      </c>
    </row>
    <row r="2594">
      <c r="A2594" t="inlineStr">
        <is>
          <t>202606</t>
        </is>
      </c>
      <c r="B2594" t="inlineStr">
        <is>
          <t>Actual</t>
        </is>
      </c>
      <c r="C2594" t="inlineStr">
        <is>
          <t>Profuturo</t>
        </is>
      </c>
      <c r="D2594" t="inlineStr">
        <is>
          <t>Baillie Gifford &amp; Co Ltd - Overseas Growth Funds ICVC - Pacific Fund</t>
        </is>
      </c>
      <c r="E2594" t="inlineStr">
        <is>
          <t>Huella</t>
        </is>
      </c>
      <c r="F2594" t="n">
        <v>578.132983</v>
      </c>
    </row>
    <row r="2595">
      <c r="A2595" t="inlineStr">
        <is>
          <t>202606</t>
        </is>
      </c>
      <c r="B2595" t="inlineStr">
        <is>
          <t>Actual</t>
        </is>
      </c>
      <c r="C2595" t="inlineStr">
        <is>
          <t>Profuturo</t>
        </is>
      </c>
      <c r="D2595" t="inlineStr">
        <is>
          <t>Baillie Gifford &amp; Co Ltd - Overseas Growth Funds ICVC - Pacific Fund</t>
        </is>
      </c>
      <c r="E2595" t="inlineStr">
        <is>
          <t>Intensidad</t>
        </is>
      </c>
      <c r="F2595" t="n">
        <v>0.159475</v>
      </c>
    </row>
    <row r="2596">
      <c r="A2596" t="inlineStr">
        <is>
          <t>202606</t>
        </is>
      </c>
      <c r="B2596" t="inlineStr">
        <is>
          <t>Actual</t>
        </is>
      </c>
      <c r="C2596" t="inlineStr">
        <is>
          <t>Profuturo</t>
        </is>
      </c>
      <c r="D2596" t="inlineStr">
        <is>
          <t>Baillie Gifford &amp; Co Ltd - Overseas Growth Funds ICVC - Pacific Fund</t>
        </is>
      </c>
      <c r="E2596" t="inlineStr">
        <is>
          <t>Inv MM$</t>
        </is>
      </c>
      <c r="F2596" t="n">
        <v>26.904259</v>
      </c>
    </row>
    <row r="2597">
      <c r="A2597" t="inlineStr">
        <is>
          <t>202606</t>
        </is>
      </c>
      <c r="B2597" t="inlineStr">
        <is>
          <t>Actual</t>
        </is>
      </c>
      <c r="C2597" t="inlineStr">
        <is>
          <t>Profuturo</t>
        </is>
      </c>
      <c r="D2597" t="inlineStr">
        <is>
          <t>BlackRock - iShares Convertible Bond ETF</t>
        </is>
      </c>
      <c r="E2597" t="inlineStr">
        <is>
          <t>Huella</t>
        </is>
      </c>
      <c r="F2597" t="n">
        <v>368.455159</v>
      </c>
    </row>
    <row r="2598">
      <c r="A2598" t="inlineStr">
        <is>
          <t>202606</t>
        </is>
      </c>
      <c r="B2598" t="inlineStr">
        <is>
          <t>Actual</t>
        </is>
      </c>
      <c r="C2598" t="inlineStr">
        <is>
          <t>Profuturo</t>
        </is>
      </c>
      <c r="D2598" t="inlineStr">
        <is>
          <t>BlackRock - iShares Convertible Bond ETF</t>
        </is>
      </c>
      <c r="E2598" t="inlineStr">
        <is>
          <t>Intensidad</t>
        </is>
      </c>
      <c r="F2598" t="n">
        <v>0.28193</v>
      </c>
    </row>
    <row r="2599">
      <c r="A2599" t="inlineStr">
        <is>
          <t>202606</t>
        </is>
      </c>
      <c r="B2599" t="inlineStr">
        <is>
          <t>Actual</t>
        </is>
      </c>
      <c r="C2599" t="inlineStr">
        <is>
          <t>Profuturo</t>
        </is>
      </c>
      <c r="D2599" t="inlineStr">
        <is>
          <t>BlackRock - iShares Convertible Bond ETF</t>
        </is>
      </c>
      <c r="E2599" t="inlineStr">
        <is>
          <t>Inv MM$</t>
        </is>
      </c>
      <c r="F2599" t="n">
        <v>7.883333</v>
      </c>
    </row>
    <row r="2600">
      <c r="A2600" t="inlineStr">
        <is>
          <t>202606</t>
        </is>
      </c>
      <c r="B2600" t="inlineStr">
        <is>
          <t>Actual</t>
        </is>
      </c>
      <c r="C2600" t="inlineStr">
        <is>
          <t>Profuturo</t>
        </is>
      </c>
      <c r="D2600" t="inlineStr">
        <is>
          <t>BlackRock - iShares Core S&amp;P Small Cap</t>
        </is>
      </c>
      <c r="E2600" t="inlineStr">
        <is>
          <t>Huella</t>
        </is>
      </c>
      <c r="F2600" t="n">
        <v>0.17395</v>
      </c>
    </row>
    <row r="2601">
      <c r="A2601" t="inlineStr">
        <is>
          <t>202606</t>
        </is>
      </c>
      <c r="B2601" t="inlineStr">
        <is>
          <t>Actual</t>
        </is>
      </c>
      <c r="C2601" t="inlineStr">
        <is>
          <t>Profuturo</t>
        </is>
      </c>
      <c r="D2601" t="inlineStr">
        <is>
          <t>BlackRock - iShares Core S&amp;P Small Cap</t>
        </is>
      </c>
      <c r="E2601" t="inlineStr">
        <is>
          <t>Intensidad</t>
        </is>
      </c>
      <c r="F2601" t="n">
        <v>0.000183</v>
      </c>
    </row>
    <row r="2602">
      <c r="A2602" t="inlineStr">
        <is>
          <t>202606</t>
        </is>
      </c>
      <c r="B2602" t="inlineStr">
        <is>
          <t>Actual</t>
        </is>
      </c>
      <c r="C2602" t="inlineStr">
        <is>
          <t>Profuturo</t>
        </is>
      </c>
      <c r="D2602" t="inlineStr">
        <is>
          <t>BlackRock - iShares Core S&amp;P Small Cap</t>
        </is>
      </c>
      <c r="E2602" t="inlineStr">
        <is>
          <t>Inv MM$</t>
        </is>
      </c>
      <c r="F2602" t="n">
        <v>0.002985</v>
      </c>
    </row>
    <row r="2603">
      <c r="A2603" t="inlineStr">
        <is>
          <t>202606</t>
        </is>
      </c>
      <c r="B2603" t="inlineStr">
        <is>
          <t>Actual</t>
        </is>
      </c>
      <c r="C2603" t="inlineStr">
        <is>
          <t>Profuturo</t>
        </is>
      </c>
      <c r="D2603" t="inlineStr">
        <is>
          <t>BlackRock - iShares JPM EM Local Government Bond</t>
        </is>
      </c>
      <c r="E2603" t="inlineStr">
        <is>
          <t>Huella</t>
        </is>
      </c>
      <c r="F2603" t="n">
        <v>0.030615</v>
      </c>
    </row>
    <row r="2604">
      <c r="A2604" t="inlineStr">
        <is>
          <t>202606</t>
        </is>
      </c>
      <c r="B2604" t="inlineStr">
        <is>
          <t>Actual</t>
        </is>
      </c>
      <c r="C2604" t="inlineStr">
        <is>
          <t>Profuturo</t>
        </is>
      </c>
      <c r="D2604" t="inlineStr">
        <is>
          <t>BlackRock - iShares JPM EM Local Government Bond</t>
        </is>
      </c>
      <c r="E2604" t="inlineStr">
        <is>
          <t>Intensidad</t>
        </is>
      </c>
      <c r="F2604" t="n">
        <v>2.3e-05</v>
      </c>
    </row>
    <row r="2605">
      <c r="A2605" t="inlineStr">
        <is>
          <t>202606</t>
        </is>
      </c>
      <c r="B2605" t="inlineStr">
        <is>
          <t>Actual</t>
        </is>
      </c>
      <c r="C2605" t="inlineStr">
        <is>
          <t>Profuturo</t>
        </is>
      </c>
      <c r="D2605" t="inlineStr">
        <is>
          <t>BlackRock - iShares JPM EM Local Government Bond</t>
        </is>
      </c>
      <c r="E2605" t="inlineStr">
        <is>
          <t>Inv MM$</t>
        </is>
      </c>
      <c r="F2605" t="n">
        <v>4.3e-05</v>
      </c>
    </row>
    <row r="2606">
      <c r="A2606" t="inlineStr">
        <is>
          <t>202606</t>
        </is>
      </c>
      <c r="B2606" t="inlineStr">
        <is>
          <t>Actual</t>
        </is>
      </c>
      <c r="C2606" t="inlineStr">
        <is>
          <t>Profuturo</t>
        </is>
      </c>
      <c r="D2606" t="inlineStr">
        <is>
          <t>BlackRock - iShares Korea</t>
        </is>
      </c>
      <c r="E2606" t="inlineStr">
        <is>
          <t>Huella</t>
        </is>
      </c>
      <c r="F2606" t="n">
        <v>17006.778784</v>
      </c>
    </row>
    <row r="2607">
      <c r="A2607" t="inlineStr">
        <is>
          <t>202606</t>
        </is>
      </c>
      <c r="B2607" t="inlineStr">
        <is>
          <t>Actual</t>
        </is>
      </c>
      <c r="C2607" t="inlineStr">
        <is>
          <t>Profuturo</t>
        </is>
      </c>
      <c r="D2607" t="inlineStr">
        <is>
          <t>BlackRock - iShares Korea</t>
        </is>
      </c>
      <c r="E2607" t="inlineStr">
        <is>
          <t>Intensidad</t>
        </is>
      </c>
      <c r="F2607" t="n">
        <v>9.112333</v>
      </c>
    </row>
    <row r="2608">
      <c r="A2608" t="inlineStr">
        <is>
          <t>202606</t>
        </is>
      </c>
      <c r="B2608" t="inlineStr">
        <is>
          <t>Actual</t>
        </is>
      </c>
      <c r="C2608" t="inlineStr">
        <is>
          <t>Profuturo</t>
        </is>
      </c>
      <c r="D2608" t="inlineStr">
        <is>
          <t>BlackRock - iShares Korea</t>
        </is>
      </c>
      <c r="E2608" t="inlineStr">
        <is>
          <t>Inv MM$</t>
        </is>
      </c>
      <c r="F2608" t="n">
        <v>291.760323</v>
      </c>
    </row>
    <row r="2609">
      <c r="A2609" t="inlineStr">
        <is>
          <t>202606</t>
        </is>
      </c>
      <c r="B2609" t="inlineStr">
        <is>
          <t>Actual</t>
        </is>
      </c>
      <c r="C2609" t="inlineStr">
        <is>
          <t>Profuturo</t>
        </is>
      </c>
      <c r="D2609" t="inlineStr">
        <is>
          <t>BlackRock - iShares MSCI Peru</t>
        </is>
      </c>
      <c r="E2609" t="inlineStr">
        <is>
          <t>Huella</t>
        </is>
      </c>
      <c r="F2609" t="n">
        <v>4640.885014</v>
      </c>
    </row>
    <row r="2610">
      <c r="A2610" t="inlineStr">
        <is>
          <t>202606</t>
        </is>
      </c>
      <c r="B2610" t="inlineStr">
        <is>
          <t>Actual</t>
        </is>
      </c>
      <c r="C2610" t="inlineStr">
        <is>
          <t>Profuturo</t>
        </is>
      </c>
      <c r="D2610" t="inlineStr">
        <is>
          <t>BlackRock - iShares MSCI Peru</t>
        </is>
      </c>
      <c r="E2610" t="inlineStr">
        <is>
          <t>Intensidad</t>
        </is>
      </c>
      <c r="F2610" t="n">
        <v>2.688016</v>
      </c>
    </row>
    <row r="2611">
      <c r="A2611" t="inlineStr">
        <is>
          <t>202606</t>
        </is>
      </c>
      <c r="B2611" t="inlineStr">
        <is>
          <t>Actual</t>
        </is>
      </c>
      <c r="C2611" t="inlineStr">
        <is>
          <t>Profuturo</t>
        </is>
      </c>
      <c r="D2611" t="inlineStr">
        <is>
          <t>BlackRock - iShares MSCI Peru</t>
        </is>
      </c>
      <c r="E2611" t="inlineStr">
        <is>
          <t>Inv MM$</t>
        </is>
      </c>
      <c r="F2611" t="n">
        <v>226.427531</v>
      </c>
    </row>
    <row r="2612">
      <c r="A2612" t="inlineStr">
        <is>
          <t>202606</t>
        </is>
      </c>
      <c r="B2612" t="inlineStr">
        <is>
          <t>Actual</t>
        </is>
      </c>
      <c r="C2612" t="inlineStr">
        <is>
          <t>Profuturo</t>
        </is>
      </c>
      <c r="D2612" t="inlineStr">
        <is>
          <t>BlackRock - iShares PHLX Semiconductor ETF</t>
        </is>
      </c>
      <c r="E2612" t="inlineStr">
        <is>
          <t>Huella</t>
        </is>
      </c>
      <c r="F2612" t="n">
        <v>2485.973163</v>
      </c>
    </row>
    <row r="2613">
      <c r="A2613" t="inlineStr">
        <is>
          <t>202606</t>
        </is>
      </c>
      <c r="B2613" t="inlineStr">
        <is>
          <t>Actual</t>
        </is>
      </c>
      <c r="C2613" t="inlineStr">
        <is>
          <t>Profuturo</t>
        </is>
      </c>
      <c r="D2613" t="inlineStr">
        <is>
          <t>BlackRock - iShares PHLX Semiconductor ETF</t>
        </is>
      </c>
      <c r="E2613" t="inlineStr">
        <is>
          <t>Intensidad</t>
        </is>
      </c>
      <c r="F2613" t="n">
        <v>1.392479</v>
      </c>
    </row>
    <row r="2614">
      <c r="A2614" t="inlineStr">
        <is>
          <t>202606</t>
        </is>
      </c>
      <c r="B2614" t="inlineStr">
        <is>
          <t>Actual</t>
        </is>
      </c>
      <c r="C2614" t="inlineStr">
        <is>
          <t>Profuturo</t>
        </is>
      </c>
      <c r="D2614" t="inlineStr">
        <is>
          <t>BlackRock - iShares PHLX Semiconductor ETF</t>
        </is>
      </c>
      <c r="E2614" t="inlineStr">
        <is>
          <t>Inv MM$</t>
        </is>
      </c>
      <c r="F2614" t="n">
        <v>249.412471</v>
      </c>
    </row>
    <row r="2615">
      <c r="A2615" t="inlineStr">
        <is>
          <t>202606</t>
        </is>
      </c>
      <c r="B2615" t="inlineStr">
        <is>
          <t>Actual</t>
        </is>
      </c>
      <c r="C2615" t="inlineStr">
        <is>
          <t>Profuturo</t>
        </is>
      </c>
      <c r="D2615" t="inlineStr">
        <is>
          <t>BlackRock - iShares US Oil &amp; Gas Exploration and Production</t>
        </is>
      </c>
      <c r="E2615" t="inlineStr">
        <is>
          <t>Huella</t>
        </is>
      </c>
      <c r="F2615" t="n">
        <v>0.024953</v>
      </c>
    </row>
    <row r="2616">
      <c r="A2616" t="inlineStr">
        <is>
          <t>202606</t>
        </is>
      </c>
      <c r="B2616" t="inlineStr">
        <is>
          <t>Actual</t>
        </is>
      </c>
      <c r="C2616" t="inlineStr">
        <is>
          <t>Profuturo</t>
        </is>
      </c>
      <c r="D2616" t="inlineStr">
        <is>
          <t>BlackRock - iShares US Oil &amp; Gas Exploration and Production</t>
        </is>
      </c>
      <c r="E2616" t="inlineStr">
        <is>
          <t>Intensidad</t>
        </is>
      </c>
      <c r="F2616" t="n">
        <v>7e-06</v>
      </c>
    </row>
    <row r="2617">
      <c r="A2617" t="inlineStr">
        <is>
          <t>202606</t>
        </is>
      </c>
      <c r="B2617" t="inlineStr">
        <is>
          <t>Actual</t>
        </is>
      </c>
      <c r="C2617" t="inlineStr">
        <is>
          <t>Profuturo</t>
        </is>
      </c>
      <c r="D2617" t="inlineStr">
        <is>
          <t>BlackRock - iShares US Oil &amp; Gas Exploration and Production</t>
        </is>
      </c>
      <c r="E2617" t="inlineStr">
        <is>
          <t>Inv MM$</t>
        </is>
      </c>
      <c r="F2617" t="n">
        <v>0.000102</v>
      </c>
    </row>
    <row r="2618">
      <c r="A2618" t="inlineStr">
        <is>
          <t>202606</t>
        </is>
      </c>
      <c r="B2618" t="inlineStr">
        <is>
          <t>Actual</t>
        </is>
      </c>
      <c r="C2618" t="inlineStr">
        <is>
          <t>Profuturo</t>
        </is>
      </c>
      <c r="D2618" t="inlineStr">
        <is>
          <t>BlackRock - iShares iBoxx High Yield Corporate Bond</t>
        </is>
      </c>
      <c r="E2618" t="inlineStr">
        <is>
          <t>Huella</t>
        </is>
      </c>
      <c r="F2618" t="n">
        <v>6219.933692</v>
      </c>
    </row>
    <row r="2619">
      <c r="A2619" t="inlineStr">
        <is>
          <t>202606</t>
        </is>
      </c>
      <c r="B2619" t="inlineStr">
        <is>
          <t>Actual</t>
        </is>
      </c>
      <c r="C2619" t="inlineStr">
        <is>
          <t>Profuturo</t>
        </is>
      </c>
      <c r="D2619" t="inlineStr">
        <is>
          <t>BlackRock - iShares iBoxx High Yield Corporate Bond</t>
        </is>
      </c>
      <c r="E2619" t="inlineStr">
        <is>
          <t>Intensidad</t>
        </is>
      </c>
      <c r="F2619" t="n">
        <v>4.814501</v>
      </c>
    </row>
    <row r="2620">
      <c r="A2620" t="inlineStr">
        <is>
          <t>202606</t>
        </is>
      </c>
      <c r="B2620" t="inlineStr">
        <is>
          <t>Actual</t>
        </is>
      </c>
      <c r="C2620" t="inlineStr">
        <is>
          <t>Profuturo</t>
        </is>
      </c>
      <c r="D2620" t="inlineStr">
        <is>
          <t>BlackRock - iShares iBoxx High Yield Corporate Bond</t>
        </is>
      </c>
      <c r="E2620" t="inlineStr">
        <is>
          <t>Inv MM$</t>
        </is>
      </c>
      <c r="F2620" t="n">
        <v>64.73093299999999</v>
      </c>
    </row>
    <row r="2621">
      <c r="A2621" t="inlineStr">
        <is>
          <t>202606</t>
        </is>
      </c>
      <c r="B2621" t="inlineStr">
        <is>
          <t>Actual</t>
        </is>
      </c>
      <c r="C2621" t="inlineStr">
        <is>
          <t>Profuturo</t>
        </is>
      </c>
      <c r="D2621" t="inlineStr">
        <is>
          <t>BlueBay - EM Debt Unconstrained</t>
        </is>
      </c>
      <c r="E2621" t="inlineStr">
        <is>
          <t>Huella</t>
        </is>
      </c>
      <c r="F2621" t="n">
        <v>4765.555818</v>
      </c>
    </row>
    <row r="2622">
      <c r="A2622" t="inlineStr">
        <is>
          <t>202606</t>
        </is>
      </c>
      <c r="B2622" t="inlineStr">
        <is>
          <t>Actual</t>
        </is>
      </c>
      <c r="C2622" t="inlineStr">
        <is>
          <t>Profuturo</t>
        </is>
      </c>
      <c r="D2622" t="inlineStr">
        <is>
          <t>BlueBay - EM Debt Unconstrained</t>
        </is>
      </c>
      <c r="E2622" t="inlineStr">
        <is>
          <t>Intensidad</t>
        </is>
      </c>
      <c r="F2622" t="n">
        <v>3.646452</v>
      </c>
    </row>
    <row r="2623">
      <c r="A2623" t="inlineStr">
        <is>
          <t>202606</t>
        </is>
      </c>
      <c r="B2623" t="inlineStr">
        <is>
          <t>Actual</t>
        </is>
      </c>
      <c r="C2623" t="inlineStr">
        <is>
          <t>Profuturo</t>
        </is>
      </c>
      <c r="D2623" t="inlineStr">
        <is>
          <t>BlueBay - EM Debt Unconstrained</t>
        </is>
      </c>
      <c r="E2623" t="inlineStr">
        <is>
          <t>Inv MM$</t>
        </is>
      </c>
      <c r="F2623" t="n">
        <v>17.468855</v>
      </c>
    </row>
    <row r="2624">
      <c r="A2624" t="inlineStr">
        <is>
          <t>202606</t>
        </is>
      </c>
      <c r="B2624" t="inlineStr">
        <is>
          <t>Actual</t>
        </is>
      </c>
      <c r="C2624" t="inlineStr">
        <is>
          <t>Profuturo</t>
        </is>
      </c>
      <c r="D2624" t="inlineStr">
        <is>
          <t>BlueBay - Financial Capital Bond - U</t>
        </is>
      </c>
      <c r="E2624" t="inlineStr">
        <is>
          <t>Huella</t>
        </is>
      </c>
      <c r="F2624" t="n">
        <v>0.00015</v>
      </c>
    </row>
    <row r="2625">
      <c r="A2625" t="inlineStr">
        <is>
          <t>202606</t>
        </is>
      </c>
      <c r="B2625" t="inlineStr">
        <is>
          <t>Actual</t>
        </is>
      </c>
      <c r="C2625" t="inlineStr">
        <is>
          <t>Profuturo</t>
        </is>
      </c>
      <c r="D2625" t="inlineStr">
        <is>
          <t>BlueBay - Financial Capital Bond - U</t>
        </is>
      </c>
      <c r="E2625" t="inlineStr">
        <is>
          <t>Intensidad</t>
        </is>
      </c>
      <c r="F2625" t="n">
        <v>0</v>
      </c>
    </row>
    <row r="2626">
      <c r="A2626" t="inlineStr">
        <is>
          <t>202606</t>
        </is>
      </c>
      <c r="B2626" t="inlineStr">
        <is>
          <t>Actual</t>
        </is>
      </c>
      <c r="C2626" t="inlineStr">
        <is>
          <t>Profuturo</t>
        </is>
      </c>
      <c r="D2626" t="inlineStr">
        <is>
          <t>BlueBay - Financial Capital Bond - U</t>
        </is>
      </c>
      <c r="E2626" t="inlineStr">
        <is>
          <t>Inv MM$</t>
        </is>
      </c>
      <c r="F2626" t="n">
        <v>0.000333</v>
      </c>
    </row>
    <row r="2627">
      <c r="A2627" t="inlineStr">
        <is>
          <t>202606</t>
        </is>
      </c>
      <c r="B2627" t="inlineStr">
        <is>
          <t>Actual</t>
        </is>
      </c>
      <c r="C2627" t="inlineStr">
        <is>
          <t>Profuturo</t>
        </is>
      </c>
      <c r="D2627" t="inlineStr">
        <is>
          <t>Buenaventura*</t>
        </is>
      </c>
      <c r="E2627" t="inlineStr">
        <is>
          <t>Huella</t>
        </is>
      </c>
      <c r="F2627" t="n">
        <v>3118.194293</v>
      </c>
    </row>
    <row r="2628">
      <c r="A2628" t="inlineStr">
        <is>
          <t>202606</t>
        </is>
      </c>
      <c r="B2628" t="inlineStr">
        <is>
          <t>Actual</t>
        </is>
      </c>
      <c r="C2628" t="inlineStr">
        <is>
          <t>Profuturo</t>
        </is>
      </c>
      <c r="D2628" t="inlineStr">
        <is>
          <t>Buenaventura*</t>
        </is>
      </c>
      <c r="E2628" t="inlineStr">
        <is>
          <t>Intensidad</t>
        </is>
      </c>
      <c r="F2628" t="n">
        <v>1.953869</v>
      </c>
    </row>
    <row r="2629">
      <c r="A2629" t="inlineStr">
        <is>
          <t>202606</t>
        </is>
      </c>
      <c r="B2629" t="inlineStr">
        <is>
          <t>Actual</t>
        </is>
      </c>
      <c r="C2629" t="inlineStr">
        <is>
          <t>Profuturo</t>
        </is>
      </c>
      <c r="D2629" t="inlineStr">
        <is>
          <t>Buenaventura*</t>
        </is>
      </c>
      <c r="E2629" t="inlineStr">
        <is>
          <t>Inv MM$</t>
        </is>
      </c>
      <c r="F2629" t="n">
        <v>97.04930899999999</v>
      </c>
    </row>
    <row r="2630">
      <c r="A2630" t="inlineStr">
        <is>
          <t>202606</t>
        </is>
      </c>
      <c r="B2630" t="inlineStr">
        <is>
          <t>Actual</t>
        </is>
      </c>
      <c r="C2630" t="inlineStr">
        <is>
          <t>Profuturo</t>
        </is>
      </c>
      <c r="D2630" t="inlineStr">
        <is>
          <t>Credicorp*</t>
        </is>
      </c>
      <c r="E2630" t="inlineStr">
        <is>
          <t>Huella</t>
        </is>
      </c>
      <c r="F2630" t="n">
        <v>98.70903199999999</v>
      </c>
    </row>
    <row r="2631">
      <c r="A2631" t="inlineStr">
        <is>
          <t>202606</t>
        </is>
      </c>
      <c r="B2631" t="inlineStr">
        <is>
          <t>Actual</t>
        </is>
      </c>
      <c r="C2631" t="inlineStr">
        <is>
          <t>Profuturo</t>
        </is>
      </c>
      <c r="D2631" t="inlineStr">
        <is>
          <t>Credicorp*</t>
        </is>
      </c>
      <c r="E2631" t="inlineStr">
        <is>
          <t>Intensidad</t>
        </is>
      </c>
      <c r="F2631" t="n">
        <v>0.053203</v>
      </c>
    </row>
    <row r="2632">
      <c r="A2632" t="inlineStr">
        <is>
          <t>202606</t>
        </is>
      </c>
      <c r="B2632" t="inlineStr">
        <is>
          <t>Actual</t>
        </is>
      </c>
      <c r="C2632" t="inlineStr">
        <is>
          <t>Profuturo</t>
        </is>
      </c>
      <c r="D2632" t="inlineStr">
        <is>
          <t>Credicorp*</t>
        </is>
      </c>
      <c r="E2632" t="inlineStr">
        <is>
          <t>Inv MM$</t>
        </is>
      </c>
      <c r="F2632" t="n">
        <v>210.019216</v>
      </c>
    </row>
    <row r="2633">
      <c r="A2633" t="inlineStr">
        <is>
          <t>202606</t>
        </is>
      </c>
      <c r="B2633" t="inlineStr">
        <is>
          <t>Actual</t>
        </is>
      </c>
      <c r="C2633" t="inlineStr">
        <is>
          <t>Profuturo</t>
        </is>
      </c>
      <c r="D2633" t="inlineStr">
        <is>
          <t>DWS - Invest Latin American Equities - IC</t>
        </is>
      </c>
      <c r="E2633" t="inlineStr">
        <is>
          <t>Huella</t>
        </is>
      </c>
      <c r="F2633" t="n">
        <v>2102.929768</v>
      </c>
    </row>
    <row r="2634">
      <c r="A2634" t="inlineStr">
        <is>
          <t>202606</t>
        </is>
      </c>
      <c r="B2634" t="inlineStr">
        <is>
          <t>Actual</t>
        </is>
      </c>
      <c r="C2634" t="inlineStr">
        <is>
          <t>Profuturo</t>
        </is>
      </c>
      <c r="D2634" t="inlineStr">
        <is>
          <t>DWS - Invest Latin American Equities - IC</t>
        </is>
      </c>
      <c r="E2634" t="inlineStr">
        <is>
          <t>Intensidad</t>
        </is>
      </c>
      <c r="F2634" t="n">
        <v>1.112581</v>
      </c>
    </row>
    <row r="2635">
      <c r="A2635" t="inlineStr">
        <is>
          <t>202606</t>
        </is>
      </c>
      <c r="B2635" t="inlineStr">
        <is>
          <t>Actual</t>
        </is>
      </c>
      <c r="C2635" t="inlineStr">
        <is>
          <t>Profuturo</t>
        </is>
      </c>
      <c r="D2635" t="inlineStr">
        <is>
          <t>DWS - Invest Latin American Equities - IC</t>
        </is>
      </c>
      <c r="E2635" t="inlineStr">
        <is>
          <t>Inv MM$</t>
        </is>
      </c>
      <c r="F2635" t="n">
        <v>16.639765</v>
      </c>
    </row>
    <row r="2636">
      <c r="A2636" t="inlineStr">
        <is>
          <t>202606</t>
        </is>
      </c>
      <c r="B2636" t="inlineStr">
        <is>
          <t>Actual</t>
        </is>
      </c>
      <c r="C2636" t="inlineStr">
        <is>
          <t>Profuturo</t>
        </is>
      </c>
      <c r="D2636" t="inlineStr">
        <is>
          <t>Ecopetrol</t>
        </is>
      </c>
      <c r="E2636" t="inlineStr">
        <is>
          <t>Huella</t>
        </is>
      </c>
      <c r="F2636" t="n">
        <v>547.599727</v>
      </c>
    </row>
    <row r="2637">
      <c r="A2637" t="inlineStr">
        <is>
          <t>202606</t>
        </is>
      </c>
      <c r="B2637" t="inlineStr">
        <is>
          <t>Actual</t>
        </is>
      </c>
      <c r="C2637" t="inlineStr">
        <is>
          <t>Profuturo</t>
        </is>
      </c>
      <c r="D2637" t="inlineStr">
        <is>
          <t>Ecopetrol</t>
        </is>
      </c>
      <c r="E2637" t="inlineStr">
        <is>
          <t>Intensidad</t>
        </is>
      </c>
      <c r="F2637" t="n">
        <v>0.418993</v>
      </c>
    </row>
    <row r="2638">
      <c r="A2638" t="inlineStr">
        <is>
          <t>202606</t>
        </is>
      </c>
      <c r="B2638" t="inlineStr">
        <is>
          <t>Actual</t>
        </is>
      </c>
      <c r="C2638" t="inlineStr">
        <is>
          <t>Profuturo</t>
        </is>
      </c>
      <c r="D2638" t="inlineStr">
        <is>
          <t>Ecopetrol</t>
        </is>
      </c>
      <c r="E2638" t="inlineStr">
        <is>
          <t>Inv MM$</t>
        </is>
      </c>
      <c r="F2638" t="n">
        <v>2.419261</v>
      </c>
    </row>
    <row r="2639">
      <c r="A2639" t="inlineStr">
        <is>
          <t>202606</t>
        </is>
      </c>
      <c r="B2639" t="inlineStr">
        <is>
          <t>Actual</t>
        </is>
      </c>
      <c r="C2639" t="inlineStr">
        <is>
          <t>Profuturo</t>
        </is>
      </c>
      <c r="D2639" t="inlineStr">
        <is>
          <t>Edmond de Rothschild - Big Data</t>
        </is>
      </c>
      <c r="E2639" t="inlineStr">
        <is>
          <t>Huella</t>
        </is>
      </c>
      <c r="F2639" t="n">
        <v>0.000539</v>
      </c>
    </row>
    <row r="2640">
      <c r="A2640" t="inlineStr">
        <is>
          <t>202606</t>
        </is>
      </c>
      <c r="B2640" t="inlineStr">
        <is>
          <t>Actual</t>
        </is>
      </c>
      <c r="C2640" t="inlineStr">
        <is>
          <t>Profuturo</t>
        </is>
      </c>
      <c r="D2640" t="inlineStr">
        <is>
          <t>Edmond de Rothschild - Big Data</t>
        </is>
      </c>
      <c r="E2640" t="inlineStr">
        <is>
          <t>Intensidad</t>
        </is>
      </c>
      <c r="F2640" t="n">
        <v>0</v>
      </c>
    </row>
    <row r="2641">
      <c r="A2641" t="inlineStr">
        <is>
          <t>202606</t>
        </is>
      </c>
      <c r="B2641" t="inlineStr">
        <is>
          <t>Actual</t>
        </is>
      </c>
      <c r="C2641" t="inlineStr">
        <is>
          <t>Profuturo</t>
        </is>
      </c>
      <c r="D2641" t="inlineStr">
        <is>
          <t>Edmond de Rothschild - Big Data</t>
        </is>
      </c>
      <c r="E2641" t="inlineStr">
        <is>
          <t>Inv MM$</t>
        </is>
      </c>
      <c r="F2641" t="n">
        <v>9.3e-05</v>
      </c>
    </row>
    <row r="2642">
      <c r="A2642" t="inlineStr">
        <is>
          <t>202606</t>
        </is>
      </c>
      <c r="B2642" t="inlineStr">
        <is>
          <t>Actual</t>
        </is>
      </c>
      <c r="C2642" t="inlineStr">
        <is>
          <t>Profuturo</t>
        </is>
      </c>
      <c r="D2642" t="inlineStr">
        <is>
          <t>Emp. Públicas Medellin</t>
        </is>
      </c>
      <c r="E2642" t="inlineStr">
        <is>
          <t>Huella</t>
        </is>
      </c>
      <c r="F2642" t="n">
        <v>8.888420999999999</v>
      </c>
    </row>
    <row r="2643">
      <c r="A2643" t="inlineStr">
        <is>
          <t>202606</t>
        </is>
      </c>
      <c r="B2643" t="inlineStr">
        <is>
          <t>Actual</t>
        </is>
      </c>
      <c r="C2643" t="inlineStr">
        <is>
          <t>Profuturo</t>
        </is>
      </c>
      <c r="D2643" t="inlineStr">
        <is>
          <t>Emp. Públicas Medellin</t>
        </is>
      </c>
      <c r="E2643" t="inlineStr">
        <is>
          <t>Intensidad</t>
        </is>
      </c>
      <c r="F2643" t="n">
        <v>0.00487</v>
      </c>
    </row>
    <row r="2644">
      <c r="A2644" t="inlineStr">
        <is>
          <t>202606</t>
        </is>
      </c>
      <c r="B2644" t="inlineStr">
        <is>
          <t>Actual</t>
        </is>
      </c>
      <c r="C2644" t="inlineStr">
        <is>
          <t>Profuturo</t>
        </is>
      </c>
      <c r="D2644" t="inlineStr">
        <is>
          <t>Emp. Públicas Medellin</t>
        </is>
      </c>
      <c r="E2644" t="inlineStr">
        <is>
          <t>Inv MM$</t>
        </is>
      </c>
      <c r="F2644" t="n">
        <v>0.2724</v>
      </c>
    </row>
    <row r="2645">
      <c r="A2645" t="inlineStr">
        <is>
          <t>202606</t>
        </is>
      </c>
      <c r="B2645" t="inlineStr">
        <is>
          <t>Actual</t>
        </is>
      </c>
      <c r="C2645" t="inlineStr">
        <is>
          <t>Profuturo</t>
        </is>
      </c>
      <c r="D2645" t="inlineStr">
        <is>
          <t>Ferreyros</t>
        </is>
      </c>
      <c r="E2645" t="inlineStr">
        <is>
          <t>Huella</t>
        </is>
      </c>
      <c r="F2645" t="n">
        <v>382.594786</v>
      </c>
    </row>
    <row r="2646">
      <c r="A2646" t="inlineStr">
        <is>
          <t>202606</t>
        </is>
      </c>
      <c r="B2646" t="inlineStr">
        <is>
          <t>Actual</t>
        </is>
      </c>
      <c r="C2646" t="inlineStr">
        <is>
          <t>Profuturo</t>
        </is>
      </c>
      <c r="D2646" t="inlineStr">
        <is>
          <t>Ferreyros</t>
        </is>
      </c>
      <c r="E2646" t="inlineStr">
        <is>
          <t>Intensidad</t>
        </is>
      </c>
      <c r="F2646" t="n">
        <v>0.196937</v>
      </c>
    </row>
    <row r="2647">
      <c r="A2647" t="inlineStr">
        <is>
          <t>202606</t>
        </is>
      </c>
      <c r="B2647" t="inlineStr">
        <is>
          <t>Actual</t>
        </is>
      </c>
      <c r="C2647" t="inlineStr">
        <is>
          <t>Profuturo</t>
        </is>
      </c>
      <c r="D2647" t="inlineStr">
        <is>
          <t>Ferreyros</t>
        </is>
      </c>
      <c r="E2647" t="inlineStr">
        <is>
          <t>Inv MM$</t>
        </is>
      </c>
      <c r="F2647" t="n">
        <v>61.313267</v>
      </c>
    </row>
    <row r="2648">
      <c r="A2648" t="inlineStr">
        <is>
          <t>202606</t>
        </is>
      </c>
      <c r="B2648" t="inlineStr">
        <is>
          <t>Actual</t>
        </is>
      </c>
      <c r="C2648" t="inlineStr">
        <is>
          <t>Profuturo</t>
        </is>
      </c>
      <c r="D2648" t="inlineStr">
        <is>
          <t>Fondo Credicorp Deuda Soles II</t>
        </is>
      </c>
      <c r="E2648" t="inlineStr">
        <is>
          <t>Huella</t>
        </is>
      </c>
      <c r="F2648" t="n">
        <v>570.854864</v>
      </c>
    </row>
    <row r="2649">
      <c r="A2649" t="inlineStr">
        <is>
          <t>202606</t>
        </is>
      </c>
      <c r="B2649" t="inlineStr">
        <is>
          <t>Actual</t>
        </is>
      </c>
      <c r="C2649" t="inlineStr">
        <is>
          <t>Profuturo</t>
        </is>
      </c>
      <c r="D2649" t="inlineStr">
        <is>
          <t>Fondo Credicorp Deuda Soles II</t>
        </is>
      </c>
      <c r="E2649" t="inlineStr">
        <is>
          <t>Intensidad</t>
        </is>
      </c>
      <c r="F2649" t="n">
        <v>0.271122</v>
      </c>
    </row>
    <row r="2650">
      <c r="A2650" t="inlineStr">
        <is>
          <t>202606</t>
        </is>
      </c>
      <c r="B2650" t="inlineStr">
        <is>
          <t>Actual</t>
        </is>
      </c>
      <c r="C2650" t="inlineStr">
        <is>
          <t>Profuturo</t>
        </is>
      </c>
      <c r="D2650" t="inlineStr">
        <is>
          <t>Fondo Credicorp Deuda Soles II</t>
        </is>
      </c>
      <c r="E2650" t="inlineStr">
        <is>
          <t>Inv MM$</t>
        </is>
      </c>
      <c r="F2650" t="n">
        <v>27.851855</v>
      </c>
    </row>
    <row r="2651">
      <c r="A2651" t="inlineStr">
        <is>
          <t>202606</t>
        </is>
      </c>
      <c r="B2651" t="inlineStr">
        <is>
          <t>Actual</t>
        </is>
      </c>
      <c r="C2651" t="inlineStr">
        <is>
          <t>Profuturo</t>
        </is>
      </c>
      <c r="D2651" t="inlineStr">
        <is>
          <t>Global Evolution Funds - Frontier Markets Fund</t>
        </is>
      </c>
      <c r="E2651" t="inlineStr">
        <is>
          <t>Huella</t>
        </is>
      </c>
      <c r="F2651" t="n">
        <v>8.922274</v>
      </c>
    </row>
    <row r="2652">
      <c r="A2652" t="inlineStr">
        <is>
          <t>202606</t>
        </is>
      </c>
      <c r="B2652" t="inlineStr">
        <is>
          <t>Actual</t>
        </is>
      </c>
      <c r="C2652" t="inlineStr">
        <is>
          <t>Profuturo</t>
        </is>
      </c>
      <c r="D2652" t="inlineStr">
        <is>
          <t>Global Evolution Funds - Frontier Markets Fund</t>
        </is>
      </c>
      <c r="E2652" t="inlineStr">
        <is>
          <t>Intensidad</t>
        </is>
      </c>
      <c r="F2652" t="n">
        <v>0.003707</v>
      </c>
    </row>
    <row r="2653">
      <c r="A2653" t="inlineStr">
        <is>
          <t>202606</t>
        </is>
      </c>
      <c r="B2653" t="inlineStr">
        <is>
          <t>Actual</t>
        </is>
      </c>
      <c r="C2653" t="inlineStr">
        <is>
          <t>Profuturo</t>
        </is>
      </c>
      <c r="D2653" t="inlineStr">
        <is>
          <t>Global Evolution Funds - Frontier Markets Fund</t>
        </is>
      </c>
      <c r="E2653" t="inlineStr">
        <is>
          <t>Inv MM$</t>
        </is>
      </c>
      <c r="F2653" t="n">
        <v>19.531984</v>
      </c>
    </row>
    <row r="2654">
      <c r="A2654" t="inlineStr">
        <is>
          <t>202606</t>
        </is>
      </c>
      <c r="B2654" t="inlineStr">
        <is>
          <t>Actual</t>
        </is>
      </c>
      <c r="C2654" t="inlineStr">
        <is>
          <t>Profuturo</t>
        </is>
      </c>
      <c r="D2654" t="inlineStr">
        <is>
          <t>Global X - Copper Miners ETF</t>
        </is>
      </c>
      <c r="E2654" t="inlineStr">
        <is>
          <t>Huella</t>
        </is>
      </c>
      <c r="F2654" t="n">
        <v>2150.659791</v>
      </c>
    </row>
    <row r="2655">
      <c r="A2655" t="inlineStr">
        <is>
          <t>202606</t>
        </is>
      </c>
      <c r="B2655" t="inlineStr">
        <is>
          <t>Actual</t>
        </is>
      </c>
      <c r="C2655" t="inlineStr">
        <is>
          <t>Profuturo</t>
        </is>
      </c>
      <c r="D2655" t="inlineStr">
        <is>
          <t>Global X - Copper Miners ETF</t>
        </is>
      </c>
      <c r="E2655" t="inlineStr">
        <is>
          <t>Intensidad</t>
        </is>
      </c>
      <c r="F2655" t="n">
        <v>1.442012</v>
      </c>
    </row>
    <row r="2656">
      <c r="A2656" t="inlineStr">
        <is>
          <t>202606</t>
        </is>
      </c>
      <c r="B2656" t="inlineStr">
        <is>
          <t>Actual</t>
        </is>
      </c>
      <c r="C2656" t="inlineStr">
        <is>
          <t>Profuturo</t>
        </is>
      </c>
      <c r="D2656" t="inlineStr">
        <is>
          <t>Global X - Copper Miners ETF</t>
        </is>
      </c>
      <c r="E2656" t="inlineStr">
        <is>
          <t>Inv MM$</t>
        </is>
      </c>
      <c r="F2656" t="n">
        <v>29.267611</v>
      </c>
    </row>
    <row r="2657">
      <c r="A2657" t="inlineStr">
        <is>
          <t>202606</t>
        </is>
      </c>
      <c r="B2657" t="inlineStr">
        <is>
          <t>Actual</t>
        </is>
      </c>
      <c r="C2657" t="inlineStr">
        <is>
          <t>Profuturo</t>
        </is>
      </c>
      <c r="D2657" t="inlineStr">
        <is>
          <t>Global X - Silvers Miners ETF</t>
        </is>
      </c>
      <c r="E2657" t="inlineStr">
        <is>
          <t>Huella</t>
        </is>
      </c>
      <c r="F2657" t="n">
        <v>4249.00941</v>
      </c>
    </row>
    <row r="2658">
      <c r="A2658" t="inlineStr">
        <is>
          <t>202606</t>
        </is>
      </c>
      <c r="B2658" t="inlineStr">
        <is>
          <t>Actual</t>
        </is>
      </c>
      <c r="C2658" t="inlineStr">
        <is>
          <t>Profuturo</t>
        </is>
      </c>
      <c r="D2658" t="inlineStr">
        <is>
          <t>Global X - Silvers Miners ETF</t>
        </is>
      </c>
      <c r="E2658" t="inlineStr">
        <is>
          <t>Intensidad</t>
        </is>
      </c>
      <c r="F2658" t="n">
        <v>2.027337</v>
      </c>
    </row>
    <row r="2659">
      <c r="A2659" t="inlineStr">
        <is>
          <t>202606</t>
        </is>
      </c>
      <c r="B2659" t="inlineStr">
        <is>
          <t>Actual</t>
        </is>
      </c>
      <c r="C2659" t="inlineStr">
        <is>
          <t>Profuturo</t>
        </is>
      </c>
      <c r="D2659" t="inlineStr">
        <is>
          <t>Global X - Silvers Miners ETF</t>
        </is>
      </c>
      <c r="E2659" t="inlineStr">
        <is>
          <t>Inv MM$</t>
        </is>
      </c>
      <c r="F2659" t="n">
        <v>166.474635</v>
      </c>
    </row>
    <row r="2660">
      <c r="A2660" t="inlineStr">
        <is>
          <t>202606</t>
        </is>
      </c>
      <c r="B2660" t="inlineStr">
        <is>
          <t>Actual</t>
        </is>
      </c>
      <c r="C2660" t="inlineStr">
        <is>
          <t>Profuturo</t>
        </is>
      </c>
      <c r="D2660" t="inlineStr">
        <is>
          <t>InRetail Peru</t>
        </is>
      </c>
      <c r="E2660" t="inlineStr">
        <is>
          <t>Huella</t>
        </is>
      </c>
      <c r="F2660" t="n">
        <v>2583.448402</v>
      </c>
    </row>
    <row r="2661">
      <c r="A2661" t="inlineStr">
        <is>
          <t>202606</t>
        </is>
      </c>
      <c r="B2661" t="inlineStr">
        <is>
          <t>Actual</t>
        </is>
      </c>
      <c r="C2661" t="inlineStr">
        <is>
          <t>Profuturo</t>
        </is>
      </c>
      <c r="D2661" t="inlineStr">
        <is>
          <t>InRetail Peru</t>
        </is>
      </c>
      <c r="E2661" t="inlineStr">
        <is>
          <t>Intensidad</t>
        </is>
      </c>
      <c r="F2661" t="n">
        <v>1.378793</v>
      </c>
    </row>
    <row r="2662">
      <c r="A2662" t="inlineStr">
        <is>
          <t>202606</t>
        </is>
      </c>
      <c r="B2662" t="inlineStr">
        <is>
          <t>Actual</t>
        </is>
      </c>
      <c r="C2662" t="inlineStr">
        <is>
          <t>Profuturo</t>
        </is>
      </c>
      <c r="D2662" t="inlineStr">
        <is>
          <t>InRetail Peru</t>
        </is>
      </c>
      <c r="E2662" t="inlineStr">
        <is>
          <t>Inv MM$</t>
        </is>
      </c>
      <c r="F2662" t="n">
        <v>111.886029</v>
      </c>
    </row>
    <row r="2663">
      <c r="A2663" t="inlineStr">
        <is>
          <t>202606</t>
        </is>
      </c>
      <c r="B2663" t="inlineStr">
        <is>
          <t>Actual</t>
        </is>
      </c>
      <c r="C2663" t="inlineStr">
        <is>
          <t>Profuturo</t>
        </is>
      </c>
      <c r="D2663" t="inlineStr">
        <is>
          <t>Intergroup</t>
        </is>
      </c>
      <c r="E2663" t="inlineStr">
        <is>
          <t>Huella</t>
        </is>
      </c>
      <c r="F2663" t="n">
        <v>2e-06</v>
      </c>
    </row>
    <row r="2664">
      <c r="A2664" t="inlineStr">
        <is>
          <t>202606</t>
        </is>
      </c>
      <c r="B2664" t="inlineStr">
        <is>
          <t>Actual</t>
        </is>
      </c>
      <c r="C2664" t="inlineStr">
        <is>
          <t>Profuturo</t>
        </is>
      </c>
      <c r="D2664" t="inlineStr">
        <is>
          <t>Intergroup</t>
        </is>
      </c>
      <c r="E2664" t="inlineStr">
        <is>
          <t>Intensidad</t>
        </is>
      </c>
      <c r="F2664" t="n">
        <v>0</v>
      </c>
    </row>
    <row r="2665">
      <c r="A2665" t="inlineStr">
        <is>
          <t>202606</t>
        </is>
      </c>
      <c r="B2665" t="inlineStr">
        <is>
          <t>Actual</t>
        </is>
      </c>
      <c r="C2665" t="inlineStr">
        <is>
          <t>Profuturo</t>
        </is>
      </c>
      <c r="D2665" t="inlineStr">
        <is>
          <t>Intergroup</t>
        </is>
      </c>
      <c r="E2665" t="inlineStr">
        <is>
          <t>Inv MM$</t>
        </is>
      </c>
      <c r="F2665" t="n">
        <v>5e-06</v>
      </c>
    </row>
    <row r="2666">
      <c r="A2666" t="inlineStr">
        <is>
          <t>202606</t>
        </is>
      </c>
      <c r="B2666" t="inlineStr">
        <is>
          <t>Actual</t>
        </is>
      </c>
      <c r="C2666" t="inlineStr">
        <is>
          <t>Profuturo</t>
        </is>
      </c>
      <c r="D2666" t="inlineStr">
        <is>
          <t>JP Morgan - China A Share Opportunities Fund</t>
        </is>
      </c>
      <c r="E2666" t="inlineStr">
        <is>
          <t>Huella</t>
        </is>
      </c>
      <c r="F2666" t="n">
        <v>0.006184</v>
      </c>
    </row>
    <row r="2667">
      <c r="A2667" t="inlineStr">
        <is>
          <t>202606</t>
        </is>
      </c>
      <c r="B2667" t="inlineStr">
        <is>
          <t>Actual</t>
        </is>
      </c>
      <c r="C2667" t="inlineStr">
        <is>
          <t>Profuturo</t>
        </is>
      </c>
      <c r="D2667" t="inlineStr">
        <is>
          <t>JP Morgan - China A Share Opportunities Fund</t>
        </is>
      </c>
      <c r="E2667" t="inlineStr">
        <is>
          <t>Intensidad</t>
        </is>
      </c>
      <c r="F2667" t="n">
        <v>4e-06</v>
      </c>
    </row>
    <row r="2668">
      <c r="A2668" t="inlineStr">
        <is>
          <t>202606</t>
        </is>
      </c>
      <c r="B2668" t="inlineStr">
        <is>
          <t>Actual</t>
        </is>
      </c>
      <c r="C2668" t="inlineStr">
        <is>
          <t>Profuturo</t>
        </is>
      </c>
      <c r="D2668" t="inlineStr">
        <is>
          <t>JP Morgan - China A Share Opportunities Fund</t>
        </is>
      </c>
      <c r="E2668" t="inlineStr">
        <is>
          <t>Inv MM$</t>
        </is>
      </c>
      <c r="F2668" t="n">
        <v>0.000176</v>
      </c>
    </row>
    <row r="2669">
      <c r="A2669" t="inlineStr">
        <is>
          <t>202606</t>
        </is>
      </c>
      <c r="B2669" t="inlineStr">
        <is>
          <t>Actual</t>
        </is>
      </c>
      <c r="C2669" t="inlineStr">
        <is>
          <t>Profuturo</t>
        </is>
      </c>
      <c r="D2669" t="inlineStr">
        <is>
          <t>JP Morgan - Japan Equity Fund - I</t>
        </is>
      </c>
      <c r="E2669" t="inlineStr">
        <is>
          <t>Huella</t>
        </is>
      </c>
      <c r="F2669" t="n">
        <v>532.496216</v>
      </c>
    </row>
    <row r="2670">
      <c r="A2670" t="inlineStr">
        <is>
          <t>202606</t>
        </is>
      </c>
      <c r="B2670" t="inlineStr">
        <is>
          <t>Actual</t>
        </is>
      </c>
      <c r="C2670" t="inlineStr">
        <is>
          <t>Profuturo</t>
        </is>
      </c>
      <c r="D2670" t="inlineStr">
        <is>
          <t>JP Morgan - Japan Equity Fund - I</t>
        </is>
      </c>
      <c r="E2670" t="inlineStr">
        <is>
          <t>Intensidad</t>
        </is>
      </c>
      <c r="F2670" t="n">
        <v>0.330195</v>
      </c>
    </row>
    <row r="2671">
      <c r="A2671" t="inlineStr">
        <is>
          <t>202606</t>
        </is>
      </c>
      <c r="B2671" t="inlineStr">
        <is>
          <t>Actual</t>
        </is>
      </c>
      <c r="C2671" t="inlineStr">
        <is>
          <t>Profuturo</t>
        </is>
      </c>
      <c r="D2671" t="inlineStr">
        <is>
          <t>JP Morgan - Japan Equity Fund - I</t>
        </is>
      </c>
      <c r="E2671" t="inlineStr">
        <is>
          <t>Inv MM$</t>
        </is>
      </c>
      <c r="F2671" t="n">
        <v>28.01074</v>
      </c>
    </row>
    <row r="2672">
      <c r="A2672" t="inlineStr">
        <is>
          <t>202606</t>
        </is>
      </c>
      <c r="B2672" t="inlineStr">
        <is>
          <t>Actual</t>
        </is>
      </c>
      <c r="C2672" t="inlineStr">
        <is>
          <t>Profuturo</t>
        </is>
      </c>
      <c r="D2672" t="inlineStr">
        <is>
          <t>Krane - CSI China Internet Fund</t>
        </is>
      </c>
      <c r="E2672" t="inlineStr">
        <is>
          <t>Huella</t>
        </is>
      </c>
      <c r="F2672" t="n">
        <v>400.064935</v>
      </c>
    </row>
    <row r="2673">
      <c r="A2673" t="inlineStr">
        <is>
          <t>202606</t>
        </is>
      </c>
      <c r="B2673" t="inlineStr">
        <is>
          <t>Actual</t>
        </is>
      </c>
      <c r="C2673" t="inlineStr">
        <is>
          <t>Profuturo</t>
        </is>
      </c>
      <c r="D2673" t="inlineStr">
        <is>
          <t>Krane - CSI China Internet Fund</t>
        </is>
      </c>
      <c r="E2673" t="inlineStr">
        <is>
          <t>Intensidad</t>
        </is>
      </c>
      <c r="F2673" t="n">
        <v>0.245348</v>
      </c>
    </row>
    <row r="2674">
      <c r="A2674" t="inlineStr">
        <is>
          <t>202606</t>
        </is>
      </c>
      <c r="B2674" t="inlineStr">
        <is>
          <t>Actual</t>
        </is>
      </c>
      <c r="C2674" t="inlineStr">
        <is>
          <t>Profuturo</t>
        </is>
      </c>
      <c r="D2674" t="inlineStr">
        <is>
          <t>Krane - CSI China Internet Fund</t>
        </is>
      </c>
      <c r="E2674" t="inlineStr">
        <is>
          <t>Inv MM$</t>
        </is>
      </c>
      <c r="F2674" t="n">
        <v>58.108098</v>
      </c>
    </row>
    <row r="2675">
      <c r="A2675" t="inlineStr">
        <is>
          <t>202606</t>
        </is>
      </c>
      <c r="B2675" t="inlineStr">
        <is>
          <t>Actual</t>
        </is>
      </c>
      <c r="C2675" t="inlineStr">
        <is>
          <t>Profuturo</t>
        </is>
      </c>
      <c r="D2675" t="inlineStr">
        <is>
          <t>Lazard Capital Fi</t>
        </is>
      </c>
      <c r="E2675" t="inlineStr">
        <is>
          <t>Huella</t>
        </is>
      </c>
      <c r="F2675" t="n">
        <v>0.002952</v>
      </c>
    </row>
    <row r="2676">
      <c r="A2676" t="inlineStr">
        <is>
          <t>202606</t>
        </is>
      </c>
      <c r="B2676" t="inlineStr">
        <is>
          <t>Actual</t>
        </is>
      </c>
      <c r="C2676" t="inlineStr">
        <is>
          <t>Profuturo</t>
        </is>
      </c>
      <c r="D2676" t="inlineStr">
        <is>
          <t>Lazard Capital Fi</t>
        </is>
      </c>
      <c r="E2676" t="inlineStr">
        <is>
          <t>Intensidad</t>
        </is>
      </c>
      <c r="F2676" t="n">
        <v>2e-06</v>
      </c>
    </row>
    <row r="2677">
      <c r="A2677" t="inlineStr">
        <is>
          <t>202606</t>
        </is>
      </c>
      <c r="B2677" t="inlineStr">
        <is>
          <t>Actual</t>
        </is>
      </c>
      <c r="C2677" t="inlineStr">
        <is>
          <t>Profuturo</t>
        </is>
      </c>
      <c r="D2677" t="inlineStr">
        <is>
          <t>Lazard Capital Fi</t>
        </is>
      </c>
      <c r="E2677" t="inlineStr">
        <is>
          <t>Inv MM$</t>
        </is>
      </c>
      <c r="F2677" t="n">
        <v>0.001932</v>
      </c>
    </row>
    <row r="2678">
      <c r="A2678" t="inlineStr">
        <is>
          <t>202606</t>
        </is>
      </c>
      <c r="B2678" t="inlineStr">
        <is>
          <t>Actual</t>
        </is>
      </c>
      <c r="C2678" t="inlineStr">
        <is>
          <t>Profuturo</t>
        </is>
      </c>
      <c r="D2678" t="inlineStr">
        <is>
          <t>Liontrust - Liontrust European Dynamic Fund S</t>
        </is>
      </c>
      <c r="E2678" t="inlineStr">
        <is>
          <t>Huella</t>
        </is>
      </c>
      <c r="F2678" t="n">
        <v>9.000000000000001e-05</v>
      </c>
    </row>
    <row r="2679">
      <c r="A2679" t="inlineStr">
        <is>
          <t>202606</t>
        </is>
      </c>
      <c r="B2679" t="inlineStr">
        <is>
          <t>Actual</t>
        </is>
      </c>
      <c r="C2679" t="inlineStr">
        <is>
          <t>Profuturo</t>
        </is>
      </c>
      <c r="D2679" t="inlineStr">
        <is>
          <t>Liontrust - Liontrust European Dynamic Fund S</t>
        </is>
      </c>
      <c r="E2679" t="inlineStr">
        <is>
          <t>Intensidad</t>
        </is>
      </c>
      <c r="F2679" t="n">
        <v>0</v>
      </c>
    </row>
    <row r="2680">
      <c r="A2680" t="inlineStr">
        <is>
          <t>202606</t>
        </is>
      </c>
      <c r="B2680" t="inlineStr">
        <is>
          <t>Actual</t>
        </is>
      </c>
      <c r="C2680" t="inlineStr">
        <is>
          <t>Profuturo</t>
        </is>
      </c>
      <c r="D2680" t="inlineStr">
        <is>
          <t>Liontrust - Liontrust European Dynamic Fund S</t>
        </is>
      </c>
      <c r="E2680" t="inlineStr">
        <is>
          <t>Inv MM$</t>
        </is>
      </c>
      <c r="F2680" t="n">
        <v>1e-06</v>
      </c>
    </row>
    <row r="2681">
      <c r="A2681" t="inlineStr">
        <is>
          <t>202606</t>
        </is>
      </c>
      <c r="B2681" t="inlineStr">
        <is>
          <t>Actual</t>
        </is>
      </c>
      <c r="C2681" t="inlineStr">
        <is>
          <t>Profuturo</t>
        </is>
      </c>
      <c r="D2681" t="inlineStr">
        <is>
          <t>Mi Vivienda</t>
        </is>
      </c>
      <c r="E2681" t="inlineStr">
        <is>
          <t>Huella</t>
        </is>
      </c>
      <c r="F2681" t="n">
        <v>0.12067</v>
      </c>
    </row>
    <row r="2682">
      <c r="A2682" t="inlineStr">
        <is>
          <t>202606</t>
        </is>
      </c>
      <c r="B2682" t="inlineStr">
        <is>
          <t>Actual</t>
        </is>
      </c>
      <c r="C2682" t="inlineStr">
        <is>
          <t>Profuturo</t>
        </is>
      </c>
      <c r="D2682" t="inlineStr">
        <is>
          <t>Mi Vivienda</t>
        </is>
      </c>
      <c r="E2682" t="inlineStr">
        <is>
          <t>Intensidad</t>
        </is>
      </c>
      <c r="F2682" t="n">
        <v>6e-05</v>
      </c>
    </row>
    <row r="2683">
      <c r="A2683" t="inlineStr">
        <is>
          <t>202606</t>
        </is>
      </c>
      <c r="B2683" t="inlineStr">
        <is>
          <t>Actual</t>
        </is>
      </c>
      <c r="C2683" t="inlineStr">
        <is>
          <t>Profuturo</t>
        </is>
      </c>
      <c r="D2683" t="inlineStr">
        <is>
          <t>Mi Vivienda</t>
        </is>
      </c>
      <c r="E2683" t="inlineStr">
        <is>
          <t>Inv MM$</t>
        </is>
      </c>
      <c r="F2683" t="n">
        <v>0.389259</v>
      </c>
    </row>
    <row r="2684">
      <c r="A2684" t="inlineStr">
        <is>
          <t>202606</t>
        </is>
      </c>
      <c r="B2684" t="inlineStr">
        <is>
          <t>Actual</t>
        </is>
      </c>
      <c r="C2684" t="inlineStr">
        <is>
          <t>Profuturo</t>
        </is>
      </c>
      <c r="D2684" t="inlineStr">
        <is>
          <t>Minsur</t>
        </is>
      </c>
      <c r="E2684" t="inlineStr">
        <is>
          <t>Huella</t>
        </is>
      </c>
      <c r="F2684" t="n">
        <v>16341.849815</v>
      </c>
    </row>
    <row r="2685">
      <c r="A2685" t="inlineStr">
        <is>
          <t>202606</t>
        </is>
      </c>
      <c r="B2685" t="inlineStr">
        <is>
          <t>Actual</t>
        </is>
      </c>
      <c r="C2685" t="inlineStr">
        <is>
          <t>Profuturo</t>
        </is>
      </c>
      <c r="D2685" t="inlineStr">
        <is>
          <t>Minsur</t>
        </is>
      </c>
      <c r="E2685" t="inlineStr">
        <is>
          <t>Intensidad</t>
        </is>
      </c>
      <c r="F2685" t="n">
        <v>9.334565</v>
      </c>
    </row>
    <row r="2686">
      <c r="A2686" t="inlineStr">
        <is>
          <t>202606</t>
        </is>
      </c>
      <c r="B2686" t="inlineStr">
        <is>
          <t>Actual</t>
        </is>
      </c>
      <c r="C2686" t="inlineStr">
        <is>
          <t>Profuturo</t>
        </is>
      </c>
      <c r="D2686" t="inlineStr">
        <is>
          <t>Minsur</t>
        </is>
      </c>
      <c r="E2686" t="inlineStr">
        <is>
          <t>Inv MM$</t>
        </is>
      </c>
      <c r="F2686" t="n">
        <v>139.805371</v>
      </c>
    </row>
    <row r="2687">
      <c r="A2687" t="inlineStr">
        <is>
          <t>202606</t>
        </is>
      </c>
      <c r="B2687" t="inlineStr">
        <is>
          <t>Actual</t>
        </is>
      </c>
      <c r="C2687" t="inlineStr">
        <is>
          <t>Profuturo</t>
        </is>
      </c>
      <c r="D2687" t="inlineStr">
        <is>
          <t>Nexa Resources Perú</t>
        </is>
      </c>
      <c r="E2687" t="inlineStr">
        <is>
          <t>Huella</t>
        </is>
      </c>
      <c r="F2687" t="n">
        <v>41.475412</v>
      </c>
    </row>
    <row r="2688">
      <c r="A2688" t="inlineStr">
        <is>
          <t>202606</t>
        </is>
      </c>
      <c r="B2688" t="inlineStr">
        <is>
          <t>Actual</t>
        </is>
      </c>
      <c r="C2688" t="inlineStr">
        <is>
          <t>Profuturo</t>
        </is>
      </c>
      <c r="D2688" t="inlineStr">
        <is>
          <t>Nexa Resources Perú</t>
        </is>
      </c>
      <c r="E2688" t="inlineStr">
        <is>
          <t>Intensidad</t>
        </is>
      </c>
      <c r="F2688" t="n">
        <v>0.043534</v>
      </c>
    </row>
    <row r="2689">
      <c r="A2689" t="inlineStr">
        <is>
          <t>202606</t>
        </is>
      </c>
      <c r="B2689" t="inlineStr">
        <is>
          <t>Actual</t>
        </is>
      </c>
      <c r="C2689" t="inlineStr">
        <is>
          <t>Profuturo</t>
        </is>
      </c>
      <c r="D2689" t="inlineStr">
        <is>
          <t>Nexa Resources Perú</t>
        </is>
      </c>
      <c r="E2689" t="inlineStr">
        <is>
          <t>Inv MM$</t>
        </is>
      </c>
      <c r="F2689" t="n">
        <v>0.247452</v>
      </c>
    </row>
    <row r="2690">
      <c r="A2690" t="inlineStr">
        <is>
          <t>202606</t>
        </is>
      </c>
      <c r="B2690" t="inlineStr">
        <is>
          <t>Actual</t>
        </is>
      </c>
      <c r="C2690" t="inlineStr">
        <is>
          <t>Profuturo</t>
        </is>
      </c>
      <c r="D2690" t="inlineStr">
        <is>
          <t>Pimco - Emerging Markets Local Bond Fund</t>
        </is>
      </c>
      <c r="E2690" t="inlineStr">
        <is>
          <t>Huella</t>
        </is>
      </c>
      <c r="F2690" t="n">
        <v>3464.311429</v>
      </c>
    </row>
    <row r="2691">
      <c r="A2691" t="inlineStr">
        <is>
          <t>202606</t>
        </is>
      </c>
      <c r="B2691" t="inlineStr">
        <is>
          <t>Actual</t>
        </is>
      </c>
      <c r="C2691" t="inlineStr">
        <is>
          <t>Profuturo</t>
        </is>
      </c>
      <c r="D2691" t="inlineStr">
        <is>
          <t>Pimco - Emerging Markets Local Bond Fund</t>
        </is>
      </c>
      <c r="E2691" t="inlineStr">
        <is>
          <t>Intensidad</t>
        </is>
      </c>
      <c r="F2691" t="n">
        <v>2.442223</v>
      </c>
    </row>
    <row r="2692">
      <c r="A2692" t="inlineStr">
        <is>
          <t>202606</t>
        </is>
      </c>
      <c r="B2692" t="inlineStr">
        <is>
          <t>Actual</t>
        </is>
      </c>
      <c r="C2692" t="inlineStr">
        <is>
          <t>Profuturo</t>
        </is>
      </c>
      <c r="D2692" t="inlineStr">
        <is>
          <t>Pimco - Emerging Markets Local Bond Fund</t>
        </is>
      </c>
      <c r="E2692" t="inlineStr">
        <is>
          <t>Inv MM$</t>
        </is>
      </c>
      <c r="F2692" t="n">
        <v>37.96002</v>
      </c>
    </row>
    <row r="2693">
      <c r="A2693" t="inlineStr">
        <is>
          <t>202606</t>
        </is>
      </c>
      <c r="B2693" t="inlineStr">
        <is>
          <t>Actual</t>
        </is>
      </c>
      <c r="C2693" t="inlineStr">
        <is>
          <t>Profuturo</t>
        </is>
      </c>
      <c r="D2693" t="inlineStr">
        <is>
          <t>Pimco - GIS Income Fund</t>
        </is>
      </c>
      <c r="E2693" t="inlineStr">
        <is>
          <t>Huella</t>
        </is>
      </c>
      <c r="F2693" t="n">
        <v>330.690804</v>
      </c>
    </row>
    <row r="2694">
      <c r="A2694" t="inlineStr">
        <is>
          <t>202606</t>
        </is>
      </c>
      <c r="B2694" t="inlineStr">
        <is>
          <t>Actual</t>
        </is>
      </c>
      <c r="C2694" t="inlineStr">
        <is>
          <t>Profuturo</t>
        </is>
      </c>
      <c r="D2694" t="inlineStr">
        <is>
          <t>Pimco - GIS Income Fund</t>
        </is>
      </c>
      <c r="E2694" t="inlineStr">
        <is>
          <t>Intensidad</t>
        </is>
      </c>
      <c r="F2694" t="n">
        <v>0.253034</v>
      </c>
    </row>
    <row r="2695">
      <c r="A2695" t="inlineStr">
        <is>
          <t>202606</t>
        </is>
      </c>
      <c r="B2695" t="inlineStr">
        <is>
          <t>Actual</t>
        </is>
      </c>
      <c r="C2695" t="inlineStr">
        <is>
          <t>Profuturo</t>
        </is>
      </c>
      <c r="D2695" t="inlineStr">
        <is>
          <t>Pimco - GIS Income Fund</t>
        </is>
      </c>
      <c r="E2695" t="inlineStr">
        <is>
          <t>Inv MM$</t>
        </is>
      </c>
      <c r="F2695" t="n">
        <v>4.827796</v>
      </c>
    </row>
    <row r="2696">
      <c r="A2696" t="inlineStr">
        <is>
          <t>202606</t>
        </is>
      </c>
      <c r="B2696" t="inlineStr">
        <is>
          <t>Actual</t>
        </is>
      </c>
      <c r="C2696" t="inlineStr">
        <is>
          <t>Profuturo</t>
        </is>
      </c>
      <c r="D2696" t="inlineStr">
        <is>
          <t>Schroders - Emerging Europe</t>
        </is>
      </c>
      <c r="E2696" t="inlineStr">
        <is>
          <t>Huella</t>
        </is>
      </c>
      <c r="F2696" t="n">
        <v>1746.535135</v>
      </c>
    </row>
    <row r="2697">
      <c r="A2697" t="inlineStr">
        <is>
          <t>202606</t>
        </is>
      </c>
      <c r="B2697" t="inlineStr">
        <is>
          <t>Actual</t>
        </is>
      </c>
      <c r="C2697" t="inlineStr">
        <is>
          <t>Profuturo</t>
        </is>
      </c>
      <c r="D2697" t="inlineStr">
        <is>
          <t>Schroders - Emerging Europe</t>
        </is>
      </c>
      <c r="E2697" t="inlineStr">
        <is>
          <t>Intensidad</t>
        </is>
      </c>
      <c r="F2697" t="n">
        <v>0.91626</v>
      </c>
    </row>
    <row r="2698">
      <c r="A2698" t="inlineStr">
        <is>
          <t>202606</t>
        </is>
      </c>
      <c r="B2698" t="inlineStr">
        <is>
          <t>Actual</t>
        </is>
      </c>
      <c r="C2698" t="inlineStr">
        <is>
          <t>Profuturo</t>
        </is>
      </c>
      <c r="D2698" t="inlineStr">
        <is>
          <t>Schroders - Emerging Europe</t>
        </is>
      </c>
      <c r="E2698" t="inlineStr">
        <is>
          <t>Inv MM$</t>
        </is>
      </c>
      <c r="F2698" t="n">
        <v>20.580546</v>
      </c>
    </row>
    <row r="2699">
      <c r="A2699" t="inlineStr">
        <is>
          <t>202606</t>
        </is>
      </c>
      <c r="B2699" t="inlineStr">
        <is>
          <t>Actual</t>
        </is>
      </c>
      <c r="C2699" t="inlineStr">
        <is>
          <t>Profuturo</t>
        </is>
      </c>
      <c r="D2699" t="inlineStr">
        <is>
          <t>Telefónica</t>
        </is>
      </c>
      <c r="E2699" t="inlineStr">
        <is>
          <t>Huella</t>
        </is>
      </c>
      <c r="F2699" t="n">
        <v>0.052732</v>
      </c>
    </row>
    <row r="2700">
      <c r="A2700" t="inlineStr">
        <is>
          <t>202606</t>
        </is>
      </c>
      <c r="B2700" t="inlineStr">
        <is>
          <t>Actual</t>
        </is>
      </c>
      <c r="C2700" t="inlineStr">
        <is>
          <t>Profuturo</t>
        </is>
      </c>
      <c r="D2700" t="inlineStr">
        <is>
          <t>Telefónica</t>
        </is>
      </c>
      <c r="E2700" t="inlineStr">
        <is>
          <t>Intensidad</t>
        </is>
      </c>
      <c r="F2700" t="n">
        <v>1.5e-05</v>
      </c>
    </row>
    <row r="2701">
      <c r="A2701" t="inlineStr">
        <is>
          <t>202606</t>
        </is>
      </c>
      <c r="B2701" t="inlineStr">
        <is>
          <t>Actual</t>
        </is>
      </c>
      <c r="C2701" t="inlineStr">
        <is>
          <t>Profuturo</t>
        </is>
      </c>
      <c r="D2701" t="inlineStr">
        <is>
          <t>Telefónica</t>
        </is>
      </c>
      <c r="E2701" t="inlineStr">
        <is>
          <t>Inv MM$</t>
        </is>
      </c>
      <c r="F2701" t="n">
        <v>0.021972</v>
      </c>
    </row>
    <row r="2702">
      <c r="A2702" t="inlineStr">
        <is>
          <t>202606</t>
        </is>
      </c>
      <c r="B2702" t="inlineStr">
        <is>
          <t>Actual</t>
        </is>
      </c>
      <c r="C2702" t="inlineStr">
        <is>
          <t>Profuturo</t>
        </is>
      </c>
      <c r="D2702" t="inlineStr">
        <is>
          <t>VanEck - Gold Miners ETF</t>
        </is>
      </c>
      <c r="E2702" t="inlineStr">
        <is>
          <t>Huella</t>
        </is>
      </c>
      <c r="F2702" t="n">
        <v>9479.800612999999</v>
      </c>
    </row>
    <row r="2703">
      <c r="A2703" t="inlineStr">
        <is>
          <t>202606</t>
        </is>
      </c>
      <c r="B2703" t="inlineStr">
        <is>
          <t>Actual</t>
        </is>
      </c>
      <c r="C2703" t="inlineStr">
        <is>
          <t>Profuturo</t>
        </is>
      </c>
      <c r="D2703" t="inlineStr">
        <is>
          <t>VanEck - Gold Miners ETF</t>
        </is>
      </c>
      <c r="E2703" t="inlineStr">
        <is>
          <t>Intensidad</t>
        </is>
      </c>
      <c r="F2703" t="n">
        <v>4.537427</v>
      </c>
    </row>
    <row r="2704">
      <c r="A2704" t="inlineStr">
        <is>
          <t>202606</t>
        </is>
      </c>
      <c r="B2704" t="inlineStr">
        <is>
          <t>Actual</t>
        </is>
      </c>
      <c r="C2704" t="inlineStr">
        <is>
          <t>Profuturo</t>
        </is>
      </c>
      <c r="D2704" t="inlineStr">
        <is>
          <t>VanEck - Gold Miners ETF</t>
        </is>
      </c>
      <c r="E2704" t="inlineStr">
        <is>
          <t>Inv MM$</t>
        </is>
      </c>
      <c r="F2704" t="n">
        <v>216.402748</v>
      </c>
    </row>
    <row r="2705">
      <c r="A2705" t="inlineStr">
        <is>
          <t>202606</t>
        </is>
      </c>
      <c r="B2705" t="inlineStr">
        <is>
          <t>Actual</t>
        </is>
      </c>
      <c r="C2705" t="inlineStr">
        <is>
          <t>Profuturo</t>
        </is>
      </c>
      <c r="D2705" t="inlineStr">
        <is>
          <t>VanEck Semiconductor ETF</t>
        </is>
      </c>
      <c r="E2705" t="inlineStr">
        <is>
          <t>Huella</t>
        </is>
      </c>
      <c r="F2705" t="n">
        <v>1003.932525</v>
      </c>
    </row>
    <row r="2706">
      <c r="A2706" t="inlineStr">
        <is>
          <t>202606</t>
        </is>
      </c>
      <c r="B2706" t="inlineStr">
        <is>
          <t>Actual</t>
        </is>
      </c>
      <c r="C2706" t="inlineStr">
        <is>
          <t>Profuturo</t>
        </is>
      </c>
      <c r="D2706" t="inlineStr">
        <is>
          <t>VanEck Semiconductor ETF</t>
        </is>
      </c>
      <c r="E2706" t="inlineStr">
        <is>
          <t>Intensidad</t>
        </is>
      </c>
      <c r="F2706" t="n">
        <v>0.559884</v>
      </c>
    </row>
    <row r="2707">
      <c r="A2707" t="inlineStr">
        <is>
          <t>202606</t>
        </is>
      </c>
      <c r="B2707" t="inlineStr">
        <is>
          <t>Actual</t>
        </is>
      </c>
      <c r="C2707" t="inlineStr">
        <is>
          <t>Profuturo</t>
        </is>
      </c>
      <c r="D2707" t="inlineStr">
        <is>
          <t>VanEck Semiconductor ETF</t>
        </is>
      </c>
      <c r="E2707" t="inlineStr">
        <is>
          <t>Inv MM$</t>
        </is>
      </c>
      <c r="F2707" t="n">
        <v>142.08984</v>
      </c>
    </row>
    <row r="2708">
      <c r="A2708" t="inlineStr">
        <is>
          <t>202606</t>
        </is>
      </c>
      <c r="B2708" t="inlineStr">
        <is>
          <t>Actual</t>
        </is>
      </c>
      <c r="C2708" t="inlineStr">
        <is>
          <t>Profuturo</t>
        </is>
      </c>
      <c r="D2708" t="inlineStr">
        <is>
          <t>Volcan*</t>
        </is>
      </c>
      <c r="E2708" t="inlineStr">
        <is>
          <t>Huella</t>
        </is>
      </c>
      <c r="F2708" t="n">
        <v>6.3e-05</v>
      </c>
    </row>
    <row r="2709">
      <c r="A2709" t="inlineStr">
        <is>
          <t>202606</t>
        </is>
      </c>
      <c r="B2709" t="inlineStr">
        <is>
          <t>Actual</t>
        </is>
      </c>
      <c r="C2709" t="inlineStr">
        <is>
          <t>Profuturo</t>
        </is>
      </c>
      <c r="D2709" t="inlineStr">
        <is>
          <t>Volcan*</t>
        </is>
      </c>
      <c r="E2709" t="inlineStr">
        <is>
          <t>Intensidad</t>
        </is>
      </c>
      <c r="F2709" t="n">
        <v>0</v>
      </c>
    </row>
    <row r="2710">
      <c r="A2710" t="inlineStr">
        <is>
          <t>202606</t>
        </is>
      </c>
      <c r="B2710" t="inlineStr">
        <is>
          <t>Actual</t>
        </is>
      </c>
      <c r="C2710" t="inlineStr">
        <is>
          <t>Profuturo</t>
        </is>
      </c>
      <c r="D2710" t="inlineStr">
        <is>
          <t>Volcan*</t>
        </is>
      </c>
      <c r="E2710" t="inlineStr">
        <is>
          <t>Inv MM$</t>
        </is>
      </c>
      <c r="F2710" t="n">
        <v>1e-06</v>
      </c>
    </row>
    <row r="2711">
      <c r="A2711" t="inlineStr">
        <is>
          <t>202606</t>
        </is>
      </c>
      <c r="B2711" t="inlineStr">
        <is>
          <t>Actual</t>
        </is>
      </c>
      <c r="C2711" t="inlineStr">
        <is>
          <t>Profuturo</t>
        </is>
      </c>
      <c r="D2711" t="inlineStr">
        <is>
          <t>Vontobel - Credit Opportunities</t>
        </is>
      </c>
      <c r="E2711" t="inlineStr">
        <is>
          <t>Huella</t>
        </is>
      </c>
      <c r="F2711" t="n">
        <v>3416.059864</v>
      </c>
    </row>
    <row r="2712">
      <c r="A2712" t="inlineStr">
        <is>
          <t>202606</t>
        </is>
      </c>
      <c r="B2712" t="inlineStr">
        <is>
          <t>Actual</t>
        </is>
      </c>
      <c r="C2712" t="inlineStr">
        <is>
          <t>Profuturo</t>
        </is>
      </c>
      <c r="D2712" t="inlineStr">
        <is>
          <t>Vontobel - Credit Opportunities</t>
        </is>
      </c>
      <c r="E2712" t="inlineStr">
        <is>
          <t>Intensidad</t>
        </is>
      </c>
      <c r="F2712" t="n">
        <v>2.009499</v>
      </c>
    </row>
    <row r="2713">
      <c r="A2713" t="inlineStr">
        <is>
          <t>202606</t>
        </is>
      </c>
      <c r="B2713" t="inlineStr">
        <is>
          <t>Actual</t>
        </is>
      </c>
      <c r="C2713" t="inlineStr">
        <is>
          <t>Profuturo</t>
        </is>
      </c>
      <c r="D2713" t="inlineStr">
        <is>
          <t>Vontobel - Credit Opportunities</t>
        </is>
      </c>
      <c r="E2713" t="inlineStr">
        <is>
          <t>Inv MM$</t>
        </is>
      </c>
      <c r="F2713" t="n">
        <v>81.21321399999999</v>
      </c>
    </row>
    <row r="2714">
      <c r="A2714" t="inlineStr">
        <is>
          <t>202606</t>
        </is>
      </c>
      <c r="B2714" t="inlineStr">
        <is>
          <t>Actual</t>
        </is>
      </c>
      <c r="C2714" t="inlineStr">
        <is>
          <t>Profuturo</t>
        </is>
      </c>
      <c r="D2714" t="inlineStr">
        <is>
          <t>Vontobel - Emerging Markets Debt</t>
        </is>
      </c>
      <c r="E2714" t="inlineStr">
        <is>
          <t>Huella</t>
        </is>
      </c>
      <c r="F2714" t="n">
        <v>18431.377754</v>
      </c>
    </row>
    <row r="2715">
      <c r="A2715" t="inlineStr">
        <is>
          <t>202606</t>
        </is>
      </c>
      <c r="B2715" t="inlineStr">
        <is>
          <t>Actual</t>
        </is>
      </c>
      <c r="C2715" t="inlineStr">
        <is>
          <t>Profuturo</t>
        </is>
      </c>
      <c r="D2715" t="inlineStr">
        <is>
          <t>Vontobel - Emerging Markets Debt</t>
        </is>
      </c>
      <c r="E2715" t="inlineStr">
        <is>
          <t>Intensidad</t>
        </is>
      </c>
      <c r="F2715" t="n">
        <v>12.754701</v>
      </c>
    </row>
    <row r="2716">
      <c r="A2716" t="inlineStr">
        <is>
          <t>202606</t>
        </is>
      </c>
      <c r="B2716" t="inlineStr">
        <is>
          <t>Actual</t>
        </is>
      </c>
      <c r="C2716" t="inlineStr">
        <is>
          <t>Profuturo</t>
        </is>
      </c>
      <c r="D2716" t="inlineStr">
        <is>
          <t>Vontobel - Emerging Markets Debt</t>
        </is>
      </c>
      <c r="E2716" t="inlineStr">
        <is>
          <t>Inv MM$</t>
        </is>
      </c>
      <c r="F2716" t="n">
        <v>46.114983</v>
      </c>
    </row>
    <row r="2717">
      <c r="A2717" t="inlineStr">
        <is>
          <t>202606</t>
        </is>
      </c>
      <c r="B2717" t="inlineStr">
        <is>
          <t>Actual</t>
        </is>
      </c>
      <c r="C2717" t="inlineStr">
        <is>
          <t>Profuturo</t>
        </is>
      </c>
      <c r="D2717" t="inlineStr">
        <is>
          <t>WisdomTree - Cloud Computing</t>
        </is>
      </c>
      <c r="E2717" t="inlineStr">
        <is>
          <t>Huella</t>
        </is>
      </c>
      <c r="F2717" t="n">
        <v>30.745247</v>
      </c>
    </row>
    <row r="2718">
      <c r="A2718" t="inlineStr">
        <is>
          <t>202606</t>
        </is>
      </c>
      <c r="B2718" t="inlineStr">
        <is>
          <t>Actual</t>
        </is>
      </c>
      <c r="C2718" t="inlineStr">
        <is>
          <t>Profuturo</t>
        </is>
      </c>
      <c r="D2718" t="inlineStr">
        <is>
          <t>WisdomTree - Cloud Computing</t>
        </is>
      </c>
      <c r="E2718" t="inlineStr">
        <is>
          <t>Intensidad</t>
        </is>
      </c>
      <c r="F2718" t="n">
        <v>0.017111</v>
      </c>
    </row>
    <row r="2719">
      <c r="A2719" t="inlineStr">
        <is>
          <t>202606</t>
        </is>
      </c>
      <c r="B2719" t="inlineStr">
        <is>
          <t>Actual</t>
        </is>
      </c>
      <c r="C2719" t="inlineStr">
        <is>
          <t>Profuturo</t>
        </is>
      </c>
      <c r="D2719" t="inlineStr">
        <is>
          <t>WisdomTree - Cloud Computing</t>
        </is>
      </c>
      <c r="E2719" t="inlineStr">
        <is>
          <t>Inv MM$</t>
        </is>
      </c>
      <c r="F2719" t="n">
        <v>30.548237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Hoja</t>
        </is>
      </c>
      <c r="B1" t="inlineStr">
        <is>
          <t>Objeto(s) en HISTORICO</t>
        </is>
      </c>
      <c r="C1" t="inlineStr">
        <is>
          <t>Metrica(s)</t>
        </is>
      </c>
      <c r="D1" t="inlineStr">
        <is>
          <t>Corte Actual (default)</t>
        </is>
      </c>
      <c r="E1" t="inlineStr">
        <is>
          <t>Corte Comparación (default)</t>
        </is>
      </c>
      <c r="F1" t="inlineStr">
        <is>
          <t>AFP default dashboard</t>
        </is>
      </c>
      <c r="G1" t="inlineStr">
        <is>
          <t>Nota / fórmula</t>
        </is>
      </c>
    </row>
    <row r="2">
      <c r="A2" t="inlineStr">
        <is>
          <t>Huella Soberanos</t>
        </is>
      </c>
      <c r="B2" t="inlineStr">
        <is>
          <t>Soberanos</t>
        </is>
      </c>
      <c r="C2" t="inlineStr">
        <is>
          <t>Huella</t>
        </is>
      </c>
      <c r="D2" t="inlineStr">
        <is>
          <t>202606</t>
        </is>
      </c>
      <c r="E2" t="inlineStr">
        <is>
          <t>202512</t>
        </is>
      </c>
      <c r="F2" t="inlineStr">
        <is>
          <t>Integra</t>
        </is>
      </c>
      <c r="G2" t="inlineStr">
        <is>
          <t>País se obtiene mapeando Emisor con PAIS_POR_EMISOR_SOBERANO. También existen en HISTORICO '% Huella', '% AUM' e 'Intensidad implícita' para este objeto, no incluidas aquí.</t>
        </is>
      </c>
    </row>
    <row r="3">
      <c r="A3" t="inlineStr">
        <is>
          <t>Intensidad Soberanos</t>
        </is>
      </c>
      <c r="B3" t="inlineStr">
        <is>
          <t>Soberanos</t>
        </is>
      </c>
      <c r="C3" t="inlineStr">
        <is>
          <t>Intensidad</t>
        </is>
      </c>
      <c r="D3" t="inlineStr">
        <is>
          <t>202606</t>
        </is>
      </c>
      <c r="E3" t="inlineStr">
        <is>
          <t>202512</t>
        </is>
      </c>
      <c r="F3" t="inlineStr">
        <is>
          <t>Integra</t>
        </is>
      </c>
      <c r="G3" t="inlineStr">
        <is>
          <t>Intensidad = CO2-H x Weight (no Huella x Weight).</t>
        </is>
      </c>
    </row>
    <row r="4">
      <c r="A4" t="inlineStr">
        <is>
          <t>Huella por Sector</t>
        </is>
      </c>
      <c r="B4" t="inlineStr">
        <is>
          <t>Sector_MSCI_Proxies</t>
        </is>
      </c>
      <c r="C4" t="inlineStr">
        <is>
          <t>Huella</t>
        </is>
      </c>
      <c r="D4" t="inlineStr">
        <is>
          <t>202606</t>
        </is>
      </c>
      <c r="E4" t="inlineStr">
        <is>
          <t>202512</t>
        </is>
      </c>
      <c r="F4" t="inlineStr">
        <is>
          <t>Integra</t>
        </is>
      </c>
      <c r="G4" t="inlineStr">
        <is>
          <t>Tipo_Dato distingue MSCI (dato directo) vs Proxies. 'Proxies' consolida RF+RV+BU proxy sin distinguir origen.</t>
        </is>
      </c>
    </row>
    <row r="5">
      <c r="A5" t="inlineStr">
        <is>
          <t>Intensidad por Sector</t>
        </is>
      </c>
      <c r="B5" t="inlineStr">
        <is>
          <t>Sector_MSCI_Proxies</t>
        </is>
      </c>
      <c r="C5" t="inlineStr">
        <is>
          <t>Intensidad</t>
        </is>
      </c>
      <c r="D5" t="inlineStr">
        <is>
          <t>202606</t>
        </is>
      </c>
      <c r="E5" t="inlineStr">
        <is>
          <t>202512</t>
        </is>
      </c>
      <c r="F5" t="inlineStr">
        <is>
          <t>Integra</t>
        </is>
      </c>
      <c r="G5" t="inlineStr">
        <is>
          <t>Igual a la hoja anterior, métrica Intensidad.</t>
        </is>
      </c>
    </row>
    <row r="6">
      <c r="A6" t="inlineStr">
        <is>
          <t>Intensidad FFMM</t>
        </is>
      </c>
      <c r="B6" t="inlineStr">
        <is>
          <t>TopSubCat_Asset</t>
        </is>
      </c>
      <c r="C6" t="inlineStr">
        <is>
          <t>Intensidad, Weight</t>
        </is>
      </c>
      <c r="D6" t="inlineStr">
        <is>
          <t>202606</t>
        </is>
      </c>
      <c r="E6" t="inlineStr">
        <is>
          <t>No aplica (el chart solo usa el corte actual)</t>
        </is>
      </c>
      <c r="F6" t="inlineStr">
        <is>
          <t>Integra</t>
        </is>
      </c>
      <c r="G6" t="inlineStr">
        <is>
          <t>Los benchmarks 'Comparables_Subcat_Ajustado' y 'FFMM' son valores base que el dashboard multiplica por el Weight PROPIO de cada instrumento antes de graficar; esa multiplicación no viene precalculada aquí. Los benchmarks FFMM reflejan solo el corte actual (misma limitación que el dashboard).</t>
        </is>
      </c>
    </row>
    <row r="7">
      <c r="A7" t="inlineStr">
        <is>
          <t>Intensidad y Benchmarks</t>
        </is>
      </c>
      <c r="B7" t="inlineStr">
        <is>
          <t>Sector_MSCI_Proxies, Comparables, Soberanos</t>
        </is>
      </c>
      <c r="C7" t="inlineStr">
        <is>
          <t>Intensidad</t>
        </is>
      </c>
      <c r="D7" t="inlineStr">
        <is>
          <t>202606</t>
        </is>
      </c>
      <c r="E7" t="inlineStr">
        <is>
          <t>No aplica (el chart solo usa el corte actual)</t>
        </is>
      </c>
      <c r="F7" t="inlineStr">
        <is>
          <t>Integra, Prima, Profuturo, Habitat (según segmento)</t>
        </is>
      </c>
      <c r="G7" t="inlineStr">
        <is>
          <t>Combina 3 fuentes distintas identificadas por la columna Segmento.</t>
        </is>
      </c>
    </row>
    <row r="8">
      <c r="A8" t="inlineStr">
        <is>
          <t>Mayores contribuyentes</t>
        </is>
      </c>
      <c r="B8" t="inlineStr">
        <is>
          <t>Contrib_Variacion_Intensidad</t>
        </is>
      </c>
      <c r="C8" t="inlineStr">
        <is>
          <t>Huella, Intensidad, Inv MM$, PERDIO_HUELLA</t>
        </is>
      </c>
      <c r="D8" t="inlineStr">
        <is>
          <t>202606</t>
        </is>
      </c>
      <c r="E8" t="inlineStr">
        <is>
          <t>No aplica (el chart solo usa el corte actual)</t>
        </is>
      </c>
      <c r="F8" t="inlineStr">
        <is>
          <t>Integra</t>
        </is>
      </c>
      <c r="G8" t="inlineStr">
        <is>
          <t>El dashboard muestra solo el Top 15 por Intensidad; aquí va el universo BU+TD sin Proxy completo. PERDIO_HUELLA=1 marca emisores con dato de respaldo de la hoja 'Perdieron Huella' (símbolo ◇ en el dashboard).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2026-08-23T03:51:03Z</dcterms:created>
  <dcterms:modified xmlns:dcterms="http://purl.org/dc/terms/" xmlns:xsi="http://www.w3.org/2001/XMLSchema-instance" xsi:type="dcterms:W3CDTF">2026-08-23T03:51:03Z</dcterms:modified>
</cp:coreProperties>
</file>