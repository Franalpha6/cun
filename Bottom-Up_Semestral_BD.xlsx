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esa de Inversiones\Bottom-Up\Franco\Semestral - Trabajos\Chuck\"/>
    </mc:Choice>
  </mc:AlternateContent>
  <xr:revisionPtr revIDLastSave="0" documentId="13_ncr:1_{F3556CE7-8645-40F7-B387-38A333716BCF}" xr6:coauthVersionLast="47" xr6:coauthVersionMax="47" xr10:uidLastSave="{00000000-0000-0000-0000-000000000000}"/>
  <bookViews>
    <workbookView xWindow="-110" yWindow="-110" windowWidth="19420" windowHeight="10300" firstSheet="10" activeTab="13" xr2:uid="{749DED77-6523-4E88-B89C-3CE41D563B27}"/>
  </bookViews>
  <sheets>
    <sheet name="FINANCIAL" sheetId="3" r:id="rId1"/>
    <sheet name="MINING" sheetId="1" r:id="rId2"/>
    <sheet name="Produccion" sheetId="4" r:id="rId3"/>
    <sheet name="Inversion" sheetId="5" r:id="rId4"/>
    <sheet name="Cartera de Proyectos" sheetId="6" r:id="rId5"/>
    <sheet name="DP" sheetId="7" r:id="rId6"/>
    <sheet name="OCM" sheetId="10" r:id="rId7"/>
    <sheet name="CooperAccion" sheetId="11" r:id="rId8"/>
    <sheet name="Leyes" sheetId="12" r:id="rId9"/>
    <sheet name="Exploracion Minera" sheetId="9" r:id="rId10"/>
    <sheet name="Apoyo" sheetId="8" r:id="rId11"/>
    <sheet name="UTILITIES" sheetId="2" r:id="rId12"/>
    <sheet name="Proyectos renovables" sheetId="13" r:id="rId13"/>
    <sheet name="Produccion Electrica" sheetId="14" r:id="rId1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46210.1782407407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8" i="7" l="1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4" i="7"/>
  <c r="Q3" i="7"/>
  <c r="Q2" i="7"/>
  <c r="J2" i="7"/>
  <c r="J3" i="7"/>
  <c r="J4" i="7"/>
  <c r="J5" i="7"/>
  <c r="J6" i="7"/>
  <c r="J7" i="7"/>
  <c r="J8" i="7"/>
  <c r="AD2" i="6"/>
  <c r="AD3" i="6"/>
  <c r="AD4" i="6"/>
  <c r="AD5" i="6"/>
  <c r="AD6" i="6"/>
</calcChain>
</file>

<file path=xl/sharedStrings.xml><?xml version="1.0" encoding="utf-8"?>
<sst xmlns="http://schemas.openxmlformats.org/spreadsheetml/2006/main" count="1899" uniqueCount="681">
  <si>
    <t>Inicio / Fin de Ejecución</t>
  </si>
  <si>
    <t>Puesta en Marcha Operativa</t>
  </si>
  <si>
    <t>Proyecto</t>
  </si>
  <si>
    <t>Operador</t>
  </si>
  <si>
    <t>Departamento</t>
  </si>
  <si>
    <t>Producto Principal</t>
  </si>
  <si>
    <t>Etapa de Avance</t>
  </si>
  <si>
    <t>Inversión CAPEX (US$ MM)</t>
  </si>
  <si>
    <t>2023 / 2042</t>
  </si>
  <si>
    <t>Reposición Inmaculada</t>
  </si>
  <si>
    <t>Compañía Minera Ares S.A.C.</t>
  </si>
  <si>
    <t>Ayacucho</t>
  </si>
  <si>
    <t>Oro</t>
  </si>
  <si>
    <t>Ejecución</t>
  </si>
  <si>
    <t>2024 / 2029</t>
  </si>
  <si>
    <t>Reposición Antamina</t>
  </si>
  <si>
    <t>Compañía Minera Antamina S.A.</t>
  </si>
  <si>
    <t>Áncash</t>
  </si>
  <si>
    <t>Cobre</t>
  </si>
  <si>
    <t>2024 / 2026</t>
  </si>
  <si>
    <t>Romina</t>
  </si>
  <si>
    <t>Compañía Minera Chungar S.A.C.</t>
  </si>
  <si>
    <t>Lima</t>
  </si>
  <si>
    <t>Zinc</t>
  </si>
  <si>
    <t>2025 / 2028</t>
  </si>
  <si>
    <t>Reposición Raura</t>
  </si>
  <si>
    <t>Compañía Minera Raura S.A.</t>
  </si>
  <si>
    <t>Huánuco</t>
  </si>
  <si>
    <t>2025 / 2027</t>
  </si>
  <si>
    <t>Tía María</t>
  </si>
  <si>
    <t>Southern Perú Copper Corporation</t>
  </si>
  <si>
    <t>Arequipa</t>
  </si>
  <si>
    <t>2025 / P.D.</t>
  </si>
  <si>
    <t>Reposición Ferrobamba</t>
  </si>
  <si>
    <t>Minera Las Bambas S.A.</t>
  </si>
  <si>
    <t>Apurímac</t>
  </si>
  <si>
    <t>2026 / 2031</t>
  </si>
  <si>
    <t>Reposición San Rafael</t>
  </si>
  <si>
    <t>Minsur S.A.</t>
  </si>
  <si>
    <t>Puno</t>
  </si>
  <si>
    <t>Estaño</t>
  </si>
  <si>
    <t>2026 / 2032</t>
  </si>
  <si>
    <t>Ampliación Huarón</t>
  </si>
  <si>
    <t>Pan American Silver Huarón S.A.C.</t>
  </si>
  <si>
    <t>Pasco</t>
  </si>
  <si>
    <t>Plata</t>
  </si>
  <si>
    <t>Factibilidad</t>
  </si>
  <si>
    <t>2026 / 2039</t>
  </si>
  <si>
    <t>Reposición Colquijirca</t>
  </si>
  <si>
    <t>Sociedad Minera El Brocal S.A.A.</t>
  </si>
  <si>
    <t>2026 / 2041</t>
  </si>
  <si>
    <t>Ampliación Esperanza</t>
  </si>
  <si>
    <t>Compañía Minera Caravelí S.A.C.</t>
  </si>
  <si>
    <t>Pre-Factibilidad</t>
  </si>
  <si>
    <t>2026 / 2053</t>
  </si>
  <si>
    <t>Optimización Cerro Verde</t>
  </si>
  <si>
    <t>Sociedad Minera Cerro Verde S.A.A.</t>
  </si>
  <si>
    <t>Ingeniería de Detalle</t>
  </si>
  <si>
    <t>2026 / 2028</t>
  </si>
  <si>
    <t>Ampliación Huancapetí</t>
  </si>
  <si>
    <t>Compañía Minera Lincuna S.A.</t>
  </si>
  <si>
    <t>2026 / 2029</t>
  </si>
  <si>
    <t>Corani</t>
  </si>
  <si>
    <t>Bear Creek Mining S.A.C.</t>
  </si>
  <si>
    <t>2027 / 2035</t>
  </si>
  <si>
    <t>Optimización Carahuacra - San Cristóbal</t>
  </si>
  <si>
    <t>Volcan Compañía Minera S.A.A.</t>
  </si>
  <si>
    <t>Junín</t>
  </si>
  <si>
    <t>2027 / 2030</t>
  </si>
  <si>
    <t>Integración Atacocha - El Porvenir</t>
  </si>
  <si>
    <t>Nexa Resources Perú S.A.A.</t>
  </si>
  <si>
    <t>2027 / 2028</t>
  </si>
  <si>
    <t>Integración Coroccohuayco</t>
  </si>
  <si>
    <t>Compañía Minera Antapaccay S.A.</t>
  </si>
  <si>
    <t>Cusco</t>
  </si>
  <si>
    <t>Mina Justa Subterránea</t>
  </si>
  <si>
    <t>Marcobre S.A.C.</t>
  </si>
  <si>
    <t>Ica</t>
  </si>
  <si>
    <t>Conceptual</t>
  </si>
  <si>
    <t>2027 / 2029</t>
  </si>
  <si>
    <t>Los Calatos</t>
  </si>
  <si>
    <t>Minera Hampton Perú S.A.C.</t>
  </si>
  <si>
    <t>Moquegua</t>
  </si>
  <si>
    <t>Pampa de Pongo</t>
  </si>
  <si>
    <t>Jinzhao Mining Perú S.A.</t>
  </si>
  <si>
    <t>Hierro</t>
  </si>
  <si>
    <t>2027 / 2031</t>
  </si>
  <si>
    <t>Trapiche</t>
  </si>
  <si>
    <t>El Molle Verde S.A.C.</t>
  </si>
  <si>
    <t>2029 / 2034</t>
  </si>
  <si>
    <t>Coimolache Sulfuros</t>
  </si>
  <si>
    <t>Compañía Minera Coimolache S.A.</t>
  </si>
  <si>
    <t>Cajamarca</t>
  </si>
  <si>
    <t>2029 / P.D.</t>
  </si>
  <si>
    <t>P.D.</t>
  </si>
  <si>
    <t>La Arena Sulfuros</t>
  </si>
  <si>
    <t>La Arena S.A.</t>
  </si>
  <si>
    <t>La Libertad</t>
  </si>
  <si>
    <t>Ampliación Ilo</t>
  </si>
  <si>
    <t>Los Chancas</t>
  </si>
  <si>
    <t>Michiquillay</t>
  </si>
  <si>
    <t>Ampliación Bayóvar</t>
  </si>
  <si>
    <t>Compañía Minera Miski Mayo S.R.L.</t>
  </si>
  <si>
    <t>Piura</t>
  </si>
  <si>
    <t>Fosfatos</t>
  </si>
  <si>
    <t>Ampliación Cobriza</t>
  </si>
  <si>
    <t>Operadores Concentrados Peruanos S.A.C.</t>
  </si>
  <si>
    <t>Huancavelica</t>
  </si>
  <si>
    <t>Ampliación Contonga</t>
  </si>
  <si>
    <t>Norcobre S.A.C.</t>
  </si>
  <si>
    <t>Ampliación Cuajone</t>
  </si>
  <si>
    <t>Ampliación Huachocolpa</t>
  </si>
  <si>
    <t>Compañía Minera Kolpa S.A.</t>
  </si>
  <si>
    <t>Ampliación Pachapaqui</t>
  </si>
  <si>
    <t>ICM Pachapaqui S.A.C.</t>
  </si>
  <si>
    <t>Ampliación Quellaveco</t>
  </si>
  <si>
    <t>Anglo American Quellaveco S.A.</t>
  </si>
  <si>
    <t>Ampliación Recuperada</t>
  </si>
  <si>
    <t>Recuperada S.A.C.</t>
  </si>
  <si>
    <t>Ampliación Shougang</t>
  </si>
  <si>
    <t>Shougang Hierro Perú S.A.A.</t>
  </si>
  <si>
    <t>Ampliación Yauricocha</t>
  </si>
  <si>
    <t>Sociedad Minera Corona S.A.</t>
  </si>
  <si>
    <t>Anlla</t>
  </si>
  <si>
    <t>Copper S.A.</t>
  </si>
  <si>
    <t>Ariana</t>
  </si>
  <si>
    <t>Ariana Operaciones Mineras S.A.C.</t>
  </si>
  <si>
    <t>Ejecución*</t>
  </si>
  <si>
    <t>Ayawilca</t>
  </si>
  <si>
    <t>Tinka Resources S.A.C.</t>
  </si>
  <si>
    <t>Cañariaco</t>
  </si>
  <si>
    <t>Cañariaco Copper Perú S.A.</t>
  </si>
  <si>
    <t>Lambayeque</t>
  </si>
  <si>
    <t>Cañón Florida</t>
  </si>
  <si>
    <t>Amazonas</t>
  </si>
  <si>
    <t>Conga</t>
  </si>
  <si>
    <t>Minera Yanacocha S.R.L.</t>
  </si>
  <si>
    <t>Cotabambas</t>
  </si>
  <si>
    <t>Panoro Apurímac S.A.</t>
  </si>
  <si>
    <t>Don Javier</t>
  </si>
  <si>
    <t>Junefield Group S.A.</t>
  </si>
  <si>
    <t>El Galeno</t>
  </si>
  <si>
    <t>Lumina Copper S.A.C.</t>
  </si>
  <si>
    <t>Haquira</t>
  </si>
  <si>
    <t>Minera Antares Perú S.A.C.</t>
  </si>
  <si>
    <t>Hierro Apurímac</t>
  </si>
  <si>
    <t>Apurímac Ferrum S.A.C.</t>
  </si>
  <si>
    <t>Hilarión</t>
  </si>
  <si>
    <t>Katy</t>
  </si>
  <si>
    <t>Cultinor S.A.C.</t>
  </si>
  <si>
    <t>La Granja</t>
  </si>
  <si>
    <t>Minera La Granja S.A.C.</t>
  </si>
  <si>
    <t>Magistral</t>
  </si>
  <si>
    <t>Ollachea</t>
  </si>
  <si>
    <t>Minera Kuri Kullu S.A.</t>
  </si>
  <si>
    <t>Optimización Cajamarquilla</t>
  </si>
  <si>
    <t>Nexa Resources Cajamarquilla S.A.</t>
  </si>
  <si>
    <t>Optimización Constancia</t>
  </si>
  <si>
    <t>Hudbay Perú S.A.C.</t>
  </si>
  <si>
    <t>Optimización Julcani</t>
  </si>
  <si>
    <t>Compañía de Minas Buenaventura S.A.A.</t>
  </si>
  <si>
    <t>Optimización Pallancata</t>
  </si>
  <si>
    <t>Optimización Pucamarca</t>
  </si>
  <si>
    <t>Tacna</t>
  </si>
  <si>
    <t>Planta de Cobre Río Seco</t>
  </si>
  <si>
    <t>Procesadora Industrial Río Seco S.A.</t>
  </si>
  <si>
    <t>Pukaqaqa</t>
  </si>
  <si>
    <t>Olympic Precious Metals Ltd.</t>
  </si>
  <si>
    <t>Quechua</t>
  </si>
  <si>
    <t>Compañía Minera Quechua S.A.</t>
  </si>
  <si>
    <t>Reaprovechamiento Quiruvilca</t>
  </si>
  <si>
    <t>Atom Environmental II S.A.C.</t>
  </si>
  <si>
    <t>Reposición Cerro de Pasco</t>
  </si>
  <si>
    <t>Empresa Administradora Cerro S.A.C.</t>
  </si>
  <si>
    <t>Reposición Shahuindo</t>
  </si>
  <si>
    <t>Shahuindo S.A.C.</t>
  </si>
  <si>
    <t>Río Blanco</t>
  </si>
  <si>
    <t>Río Blanco Copper S.A.</t>
  </si>
  <si>
    <t>San Luis</t>
  </si>
  <si>
    <t>Reliant Ventures S.A.C.</t>
  </si>
  <si>
    <t>Yanacocha Sulfuros</t>
  </si>
  <si>
    <t>Zafranal</t>
  </si>
  <si>
    <t>Compañía Minera Zafranal S.A.C.</t>
  </si>
  <si>
    <t>Ítem</t>
  </si>
  <si>
    <t>Cantidad de Proyectos</t>
  </si>
  <si>
    <t>Inversión Cartera Actualización Octubre 2025 (US$ M)</t>
  </si>
  <si>
    <t>Inversión Cartera 2026 (US$ M)</t>
  </si>
  <si>
    <t>Diferencia de Inversión (US$ M)</t>
  </si>
  <si>
    <t>Proyectos que salieron de cartera</t>
  </si>
  <si>
    <t>Proyectos incorporados a la cartera</t>
  </si>
  <si>
    <t>Proyectos con modificaciones de inversión</t>
  </si>
  <si>
    <t>Proyectos sin modificaciones de inversión</t>
  </si>
  <si>
    <t>TOTAL</t>
  </si>
  <si>
    <t>Concepto</t>
  </si>
  <si>
    <t>N° Proyectos</t>
  </si>
  <si>
    <t>Variación de Inversión (US$ MM)</t>
  </si>
  <si>
    <t>Cartera Acumulada (US$ MM)</t>
  </si>
  <si>
    <t>Impacto</t>
  </si>
  <si>
    <t>CPIM 2025 (Actualización Octubre)</t>
  </si>
  <si>
    <t>-</t>
  </si>
  <si>
    <t>Punto de partida</t>
  </si>
  <si>
    <t>Salida de proyectos de la cartera</t>
  </si>
  <si>
    <t>Reducción</t>
  </si>
  <si>
    <t>Ajustes de inversión en proyectos existentes</t>
  </si>
  <si>
    <t>Incremento</t>
  </si>
  <si>
    <t>Incorporación de nuevos proyectos</t>
  </si>
  <si>
    <t>CPIM 2026</t>
  </si>
  <si>
    <t>Año</t>
  </si>
  <si>
    <t>Inversión (US$ MM)</t>
  </si>
  <si>
    <t>Participación (%)</t>
  </si>
  <si>
    <t>Ranking</t>
  </si>
  <si>
    <t>Total</t>
  </si>
  <si>
    <t>2029+</t>
  </si>
  <si>
    <t>Inversión Global (US$ MM)</t>
  </si>
  <si>
    <t>Empleo en Construcción / Ejecución</t>
  </si>
  <si>
    <t>Empleo en Operación</t>
  </si>
  <si>
    <t>Total Empleo Reportado</t>
  </si>
  <si>
    <t>N.D.</t>
  </si>
  <si>
    <t>Por definir</t>
  </si>
  <si>
    <t>INDICADORES CLAVE ANUALES DEL SECTOR MINERO¹</t>
  </si>
  <si>
    <t>AÑO</t>
  </si>
  <si>
    <t>PRODUCCIÓN DE COBRE (Miles de TM)</t>
  </si>
  <si>
    <t>PRODUCCIÓN DE ORO (Miles de Kg)</t>
  </si>
  <si>
    <t>PRODUCCIÓN DE PLATA (Miles de Kg)</t>
  </si>
  <si>
    <t>PRODUCCIÓN DE ZINC (Miles de TM)</t>
  </si>
  <si>
    <t>PRODUCCIÓN DE PLOMO (Miles de TM)</t>
  </si>
  <si>
    <t>PRODUCCIÓN DE MOLIBDENO (Miles de TM)</t>
  </si>
  <si>
    <t>PRODUCCIÓN DE HIERRO (Miles de TM)</t>
  </si>
  <si>
    <t>PRODUCCIÓN DE ESTAÑO (Miles de TM)</t>
  </si>
  <si>
    <t>PBI MINERO (Var. %)</t>
  </si>
  <si>
    <t>PRODUCCIÓN DE COBRE (Var. % anual)</t>
  </si>
  <si>
    <t>PRODUCCIÓN DE ORO (Var. % anual)</t>
  </si>
  <si>
    <t>PRODUCCIÓN DE PLATA (Var. % anual)</t>
  </si>
  <si>
    <t>PRODUCCIÓN DE ZINC (Var. % anual)</t>
  </si>
  <si>
    <t>PRODUCCIÓN DE PLOMO (Var. % anual)</t>
  </si>
  <si>
    <t>PRODUCCIÓN DE MOLIBDENO (Var. % anual)</t>
  </si>
  <si>
    <t>PRODUCCIÓN DE HIERRO (Var. % anual)</t>
  </si>
  <si>
    <t>PRODUCCIÓN DE ESTAÑO (Var. % anual)</t>
  </si>
  <si>
    <t>EXPORTACIONES - COBRE (US$ MILLONES)</t>
  </si>
  <si>
    <t>EXPORTACIONES - ORO (US$ MILLONES)</t>
  </si>
  <si>
    <t xml:space="preserve">EXPORTACIONES - PLATA (US$ MILLONES) </t>
  </si>
  <si>
    <t>EXPORTACIONES - ZINC  (US$ MILLONES)</t>
  </si>
  <si>
    <t xml:space="preserve">EXPORTACIONES - ESTAÑO (US$ MILLONES) </t>
  </si>
  <si>
    <t>EXPORTACIONES - PLOMO (US$ MILLONES)</t>
  </si>
  <si>
    <t>EXPORTACIONES - MOLIBDENO (US$ MILLONES)</t>
  </si>
  <si>
    <t>EXPORTACIONES - HIERRO (US$ MILLONES)</t>
  </si>
  <si>
    <t xml:space="preserve">EXPORTACIONES - OTROS (US$ MILLONES) </t>
  </si>
  <si>
    <t xml:space="preserve">EXPORTACIONES MINERAS (US$ MILLONES) </t>
  </si>
  <si>
    <t xml:space="preserve">INVERSIÓN MINERA - NUEVOS PROYECTOS (US$ MILES DE MILLONES) </t>
  </si>
  <si>
    <t xml:space="preserve">INVERSIÓN MINERA - EXPLORACIÓN (US$ MILES DE MILLONES)  </t>
  </si>
  <si>
    <t xml:space="preserve">INVERSIÓN MINERA - OPERACIÓN Y MANTENIMIENTO (US$ MILES DE MILLONES) </t>
  </si>
  <si>
    <t xml:space="preserve">INVERSIÓN MINERA - OTROS
(US$ MILES DE MILLONES)   </t>
  </si>
  <si>
    <t xml:space="preserve">INVERSIÓN MINERA - TOTAL (US$ MILES DE MILLONES) </t>
  </si>
  <si>
    <t>PRECIO DEL ORO (US$/oz)</t>
  </si>
  <si>
    <t>PRECIO DE LA PLATA (US$/oz)</t>
  </si>
  <si>
    <t>PRECIO DEL  COBRE (¢US$/lb)</t>
  </si>
  <si>
    <t>PRECIO DEL ZINC (¢US$/lb)</t>
  </si>
  <si>
    <t>PRECIO DEL PLOMO (¢US$/lb)</t>
  </si>
  <si>
    <t>PRECIO DEL ESTAÑO (¢US$/lb)</t>
  </si>
  <si>
    <t>n.d.</t>
  </si>
  <si>
    <t>¹ Proyecciones realizadas en noviembre del 2025.</t>
  </si>
  <si>
    <t xml:space="preserve"> </t>
  </si>
  <si>
    <t>FUENTE: Bloomberg, Cochilco, BCR, APOYO Consultoría</t>
  </si>
  <si>
    <t>Tipo de Exploración</t>
  </si>
  <si>
    <t>Accopata</t>
  </si>
  <si>
    <t>BHP World Exploration Inc. Sucursal del Perú</t>
  </si>
  <si>
    <t>Greenfield</t>
  </si>
  <si>
    <t>Antilla</t>
  </si>
  <si>
    <t>Antilla Copper S.A.</t>
  </si>
  <si>
    <t>Any Centro</t>
  </si>
  <si>
    <t>Ayor S.A.C.</t>
  </si>
  <si>
    <t>Any Este</t>
  </si>
  <si>
    <t>Berenguela</t>
  </si>
  <si>
    <t>Aftermath Silver Peru S.A.C.</t>
  </si>
  <si>
    <t>Corvinón</t>
  </si>
  <si>
    <t>Dorita</t>
  </si>
  <si>
    <t>Sociedad Minera Reliquias S.A.C.</t>
  </si>
  <si>
    <t>Isibilla</t>
  </si>
  <si>
    <t>Macusani Uranium S.A.C.</t>
  </si>
  <si>
    <t>Uranio</t>
  </si>
  <si>
    <t>Kolpa</t>
  </si>
  <si>
    <t>Brownfield</t>
  </si>
  <si>
    <t>Lacsha</t>
  </si>
  <si>
    <t>Zafiro Mining S.A.C.</t>
  </si>
  <si>
    <t>Las Bambas</t>
  </si>
  <si>
    <t>Lezard</t>
  </si>
  <si>
    <t>Black Swan Minerals S.A.C.</t>
  </si>
  <si>
    <t>Near Mine</t>
  </si>
  <si>
    <t>Consorcio Minero Horizonte S.R.L.</t>
  </si>
  <si>
    <t>Picha</t>
  </si>
  <si>
    <t>Kiwanda S.A.C.</t>
  </si>
  <si>
    <t>Quenamari</t>
  </si>
  <si>
    <t>Quilla</t>
  </si>
  <si>
    <t>Vale Exploration Perú S.A.C.</t>
  </si>
  <si>
    <t>Romina 2</t>
  </si>
  <si>
    <t>San Gabriel</t>
  </si>
  <si>
    <t>Sara</t>
  </si>
  <si>
    <t>Nexa Resources El Porvenir S.A.C.</t>
  </si>
  <si>
    <t>Sumac Wayra</t>
  </si>
  <si>
    <t>Tambomayo</t>
  </si>
  <si>
    <t>Tassa</t>
  </si>
  <si>
    <t>Teck Perú S.A.</t>
  </si>
  <si>
    <t>Tina</t>
  </si>
  <si>
    <t>Umami</t>
  </si>
  <si>
    <t>INSTRUMENTO DE GESTIÓN AMBIENTAL</t>
  </si>
  <si>
    <t>Alpamarca</t>
  </si>
  <si>
    <t>Nexa Resources Atacocha S.A.A.</t>
  </si>
  <si>
    <t>Plomo</t>
  </si>
  <si>
    <t>Antapata</t>
  </si>
  <si>
    <t>Rio Tinto Mining and Exploration S.A.C.</t>
  </si>
  <si>
    <t>Atolladero</t>
  </si>
  <si>
    <t>Hasret Fe Total Genius Iron Mining S.A.C.</t>
  </si>
  <si>
    <t>Cañariaco Copper Perú S.A.C.</t>
  </si>
  <si>
    <t>Chaska</t>
  </si>
  <si>
    <t>Condorillo</t>
  </si>
  <si>
    <t>Esperanza</t>
  </si>
  <si>
    <t>Amaru Resources S.A.C.</t>
  </si>
  <si>
    <t>Huarón</t>
  </si>
  <si>
    <t>Pan American Silver Huarón S.A.</t>
  </si>
  <si>
    <t>Miscanthus</t>
  </si>
  <si>
    <t>Sumitomo Metal Mining Perú S.A.</t>
  </si>
  <si>
    <t>Patacancha</t>
  </si>
  <si>
    <t>Pinaya</t>
  </si>
  <si>
    <t>Kaizen Discovery Perú S.A.C.</t>
  </si>
  <si>
    <t>Qanqawa</t>
  </si>
  <si>
    <t>Minera Peñoles de Perú S.A.</t>
  </si>
  <si>
    <t>Yananta</t>
  </si>
  <si>
    <t>Perú Fortescue S.A.C.</t>
  </si>
  <si>
    <t>CONSULTA PRELIMINAR</t>
  </si>
  <si>
    <t>AUTORIZACIÓN DE EXPLORACIÓN</t>
  </si>
  <si>
    <t>Achatayhua</t>
  </si>
  <si>
    <t>Achatayhua Metals Perú S.A.C.</t>
  </si>
  <si>
    <t>Anka</t>
  </si>
  <si>
    <t>Antarumi</t>
  </si>
  <si>
    <t>Sobreandes S.A.C.</t>
  </si>
  <si>
    <t>Asuman</t>
  </si>
  <si>
    <t>Fe Total Genius Iron Mining S.A.C.</t>
  </si>
  <si>
    <t>Azulccacca</t>
  </si>
  <si>
    <t>Azulmina</t>
  </si>
  <si>
    <t>Bordebamba</t>
  </si>
  <si>
    <t>C.P.S. Nº 1</t>
  </si>
  <si>
    <t>Caballito</t>
  </si>
  <si>
    <t>Chancho Al Palo</t>
  </si>
  <si>
    <t>Westminster Perú S.A.C.</t>
  </si>
  <si>
    <t>Cobreorco</t>
  </si>
  <si>
    <t>Daylette</t>
  </si>
  <si>
    <t>Minera Anaconda Perú S.A.</t>
  </si>
  <si>
    <t>El Padrino</t>
  </si>
  <si>
    <t>Gabán</t>
  </si>
  <si>
    <t>Winshear de Perú S.A.C.</t>
  </si>
  <si>
    <t>Huarangayoc</t>
  </si>
  <si>
    <t>Huaro</t>
  </si>
  <si>
    <t>Minera Cuculí S.A.C.</t>
  </si>
  <si>
    <t>Huatana</t>
  </si>
  <si>
    <t>La Colorada</t>
  </si>
  <si>
    <t>La Estrella</t>
  </si>
  <si>
    <t>Cappex Exploraciones S.A.C.</t>
  </si>
  <si>
    <t>La Zanja</t>
  </si>
  <si>
    <t>Minera La Zanja S.R.L.</t>
  </si>
  <si>
    <t>Los Chapitos</t>
  </si>
  <si>
    <t>Camino Resources S.A.C.</t>
  </si>
  <si>
    <t>Los Perdidos II</t>
  </si>
  <si>
    <t>Mara</t>
  </si>
  <si>
    <t>Marcobre</t>
  </si>
  <si>
    <t>María Reyna</t>
  </si>
  <si>
    <t>Mónica Lourdes</t>
  </si>
  <si>
    <t>Oasis</t>
  </si>
  <si>
    <t>Pampa Esperanza</t>
  </si>
  <si>
    <t>Pampa Esperanza Resources S.A.C.</t>
  </si>
  <si>
    <t>Pucajirca</t>
  </si>
  <si>
    <t>Pucasalla</t>
  </si>
  <si>
    <t>Qoya - Chullo</t>
  </si>
  <si>
    <t>Quelcaya</t>
  </si>
  <si>
    <t>Macusani Yellowcake S.A.C.</t>
  </si>
  <si>
    <t>Litio</t>
  </si>
  <si>
    <t>Quellopunta</t>
  </si>
  <si>
    <t>Quicay II</t>
  </si>
  <si>
    <t>Corporación Minera Centauro S.A.C.</t>
  </si>
  <si>
    <t>Sallahue Norte</t>
  </si>
  <si>
    <t>Silvia</t>
  </si>
  <si>
    <t>Darwin Perú S.A.C.</t>
  </si>
  <si>
    <t>Soledad</t>
  </si>
  <si>
    <t>Chakana Resources S.A.C.</t>
  </si>
  <si>
    <t>Usicayos</t>
  </si>
  <si>
    <t>Palamina S.A.C.</t>
  </si>
  <si>
    <t>Willay</t>
  </si>
  <si>
    <t>Mes</t>
  </si>
  <si>
    <t>Jul</t>
  </si>
  <si>
    <t>Ago</t>
  </si>
  <si>
    <t>Set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</si>
  <si>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</si>
  <si>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</si>
  <si>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</si>
  <si>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</si>
  <si>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</si>
  <si>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</si>
  <si>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</si>
  <si>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</si>
  <si>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</si>
  <si>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Minería</t>
  </si>
  <si>
    <t>Hidrocarburos</t>
  </si>
  <si>
    <t>Otros</t>
  </si>
  <si>
    <t>Residuos y saneamiento</t>
  </si>
  <si>
    <t>Forestales</t>
  </si>
  <si>
    <t>Energía</t>
  </si>
  <si>
    <t>Actividad</t>
  </si>
  <si>
    <t>Agroindustrial</t>
  </si>
  <si>
    <t>Cantidad de Conflictos</t>
  </si>
  <si>
    <t>Conflictos Mineros</t>
  </si>
  <si>
    <t>Tipo</t>
  </si>
  <si>
    <t>Empresa</t>
  </si>
  <si>
    <t>Socioambiental</t>
  </si>
  <si>
    <t>Fecha de inicio</t>
  </si>
  <si>
    <t>Denominación del caso</t>
  </si>
  <si>
    <t>Hospital Guillermo Díaz - Abancay</t>
  </si>
  <si>
    <t>Asuntos de gobierno nacional</t>
  </si>
  <si>
    <t>Tapayrihua y Aymaraes - Southern</t>
  </si>
  <si>
    <t>CC Chila - Las Bambas</t>
  </si>
  <si>
    <t>Pumamarca - Asacasi</t>
  </si>
  <si>
    <t>Comunal</t>
  </si>
  <si>
    <t>CC Carmen Alto - Minera Las Bambas</t>
  </si>
  <si>
    <t>Tía María - Islay</t>
  </si>
  <si>
    <t>Rechazo a minería ilegal en anexo Nauquipa - Cahuacho</t>
  </si>
  <si>
    <t>Aeropuerto Chinchero</t>
  </si>
  <si>
    <t>14 CC.CC. Chumbivilcas - Minera Las Bambas</t>
  </si>
  <si>
    <t>Chumbivilcas - Minera Hudbay</t>
  </si>
  <si>
    <t>13 CC Espinar - Antapaccay</t>
  </si>
  <si>
    <t>10 CC Pallpata - Antapaccay</t>
  </si>
  <si>
    <t>Demarcación limítrofe Yanatile y Quellouno</t>
  </si>
  <si>
    <t>Demarcación territorial</t>
  </si>
  <si>
    <t>CC Tumilaca - Southern Perú Copper Corporation</t>
  </si>
  <si>
    <t>Multirregional</t>
  </si>
  <si>
    <t>Contaminación - Refinería La Pampilla (Repsol)</t>
  </si>
  <si>
    <t>Minería informal ley de formalización</t>
  </si>
  <si>
    <t>Anillo Vial Periférico</t>
  </si>
  <si>
    <t>Transportistas seguridad</t>
  </si>
  <si>
    <t>Pasto Grande - Puno/Moquegua</t>
  </si>
  <si>
    <t>Frente de Defensa de los Intereses de Macuya</t>
  </si>
  <si>
    <t>Asuntos de gobierno local</t>
  </si>
  <si>
    <t>Llata - Antamina</t>
  </si>
  <si>
    <t>Sector de Shapajilla - Celdas transitorias</t>
  </si>
  <si>
    <t>Comunidad Campesina de Llicua - Botadero DME N.° 02</t>
  </si>
  <si>
    <t>Feria sabatina "de la chacra a la olla"</t>
  </si>
  <si>
    <t>Asuntos de gobierno regional</t>
  </si>
  <si>
    <t>Chinchao - Pillao</t>
  </si>
  <si>
    <t>CC Mariscal Castilla - Minera Chaska II</t>
  </si>
  <si>
    <t>Morococha - Chinalco</t>
  </si>
  <si>
    <t>Comunidades campesinas del Canipaco</t>
  </si>
  <si>
    <t>Reserva Paisajística Nor Yauyos Cochas</t>
  </si>
  <si>
    <t>Parque Nacional de Pui Pui</t>
  </si>
  <si>
    <t>Delimitación de linderos</t>
  </si>
  <si>
    <t>Valle de Yacus - Carretera JU-103 Jauja-Tarma</t>
  </si>
  <si>
    <t>CP Huamanmarca - Phoenix Tower (antenas)</t>
  </si>
  <si>
    <t>Universidad Nacional Autónoma Altoandina de Tarma (UNAT)</t>
  </si>
  <si>
    <t>Otros asuntos</t>
  </si>
  <si>
    <t>Conflicto Multisectorial Región Cajamarca (Ex Cutervo - MTC)</t>
  </si>
  <si>
    <t>La Tortuga - Olympic</t>
  </si>
  <si>
    <t>Población de Catacaos exige culminación de obra de saneamiento</t>
  </si>
  <si>
    <t>Río Blanco (ex Majaz)</t>
  </si>
  <si>
    <t>Damnificados Cura Mori</t>
  </si>
  <si>
    <t>I.E. Carlos Augusto Salaverry - Paralización de obra educativa</t>
  </si>
  <si>
    <t>Tambogrande - Proyecto El Algarrobo</t>
  </si>
  <si>
    <t>La Brea Negritos - Pasivos hidrocarburos</t>
  </si>
  <si>
    <t>Sondorillo - Gore Piura</t>
  </si>
  <si>
    <t>Comunidad San Martín de Sechura</t>
  </si>
  <si>
    <t>Tumbes</t>
  </si>
  <si>
    <t>Contaminación del río Tumbes por relaves mineros</t>
  </si>
  <si>
    <t>Universidad Nacional de San Cristóbal de Huamanga - demandas estudiantiles</t>
  </si>
  <si>
    <t>Vía Los Libertadores</t>
  </si>
  <si>
    <t>Chiquintirca - TGP</t>
  </si>
  <si>
    <t>Comité de Gestión de Carreteras y Desarrollo Servicio de Energía Eléctrica</t>
  </si>
  <si>
    <t>Wampis - Minería ilegal</t>
  </si>
  <si>
    <t>Carretera Achamaqui - Leymebamba - Balsas</t>
  </si>
  <si>
    <t>Loreto</t>
  </si>
  <si>
    <t>Municipalidad de Balsapuerto - Comunidad de Shawi</t>
  </si>
  <si>
    <t>Punchana - Fideicomiso del Plan de Cierre de Brechas</t>
  </si>
  <si>
    <t>Sinchi Roca - Derrame de petróleo ONP II</t>
  </si>
  <si>
    <t>Providencia - Transporte hidrocarburos</t>
  </si>
  <si>
    <t>AIDECOS y FECIFOMAS - Demandas sociales y ambientales</t>
  </si>
  <si>
    <t>Comunidades de Alto Curacay y Arabela rechazan creación de la Reserva Indígena PIACI</t>
  </si>
  <si>
    <t>ACONAKKU - Urarinas</t>
  </si>
  <si>
    <t>CN Naranjal - infraestructura educativa</t>
  </si>
  <si>
    <t>CONACCUNAY - minería ilegal</t>
  </si>
  <si>
    <t>Empresas comunales - Altamesa II</t>
  </si>
  <si>
    <t>Laboral</t>
  </si>
  <si>
    <t>Ucayali</t>
  </si>
  <si>
    <t>Comunidades Nativas y Caseríos del Lago Imiría y Chauya - ACR Imiría</t>
  </si>
  <si>
    <t>Comunidad Campesina de Carhuapata</t>
  </si>
  <si>
    <t>Empresa Minera Operadores Concentrados Peruanos (OCP) - Pobladores del distrito de Daniel Hernández</t>
  </si>
  <si>
    <t>Mejoramiento de la vía Izcuchaca - Huanta</t>
  </si>
  <si>
    <t>Carretera Huancavelica - Santa Inés - Castrovirreyna - Pámpano</t>
  </si>
  <si>
    <t>Comunidad Campesina Anexo de Joraoniyoc - Nexa Resources</t>
  </si>
  <si>
    <t>Agricultores Valle Santa Lacramarca - MTC</t>
  </si>
  <si>
    <t>Samanco - contaminación de agua</t>
  </si>
  <si>
    <t>Atupa y Antahurán - Barrick</t>
  </si>
  <si>
    <t>Huarmey - contaminación arsénico</t>
  </si>
  <si>
    <t>Huarmey - contaminación metales pesados</t>
  </si>
  <si>
    <t>Comunidad de Aquia - Antamina</t>
  </si>
  <si>
    <t>Demarcación territorial entre Limbani y Phara</t>
  </si>
  <si>
    <t>Hospital Materno Infantil de Juliaca</t>
  </si>
  <si>
    <t>Pajchani - Alto Inambari y Patambuco</t>
  </si>
  <si>
    <t>Palca - CIEMSA</t>
  </si>
  <si>
    <t>Cuenca Llallimayo - CIEMSA</t>
  </si>
  <si>
    <t>Cuenca Coata</t>
  </si>
  <si>
    <t>Chucuito contaminación</t>
  </si>
  <si>
    <t>Distrito Ajoyani - MINSUR</t>
  </si>
  <si>
    <t>Lima Metropolitana</t>
  </si>
  <si>
    <t>Intercambio vial Canta Callao</t>
  </si>
  <si>
    <t>San Marcos 2026</t>
  </si>
  <si>
    <t>Vía Pasamayito</t>
  </si>
  <si>
    <t>Posesión de terrenos - King Group y Shougang Hierro Perú</t>
  </si>
  <si>
    <t>Nacional</t>
  </si>
  <si>
    <t>Docentes Universitarios</t>
  </si>
  <si>
    <t>Fuente</t>
  </si>
  <si>
    <t>https://www.defensoria.gob.pe/categorias_de_documentos/reportes/</t>
  </si>
  <si>
    <t>https://conflictosmineros.org.pe/</t>
  </si>
  <si>
    <t>Ha Región</t>
  </si>
  <si>
    <t>Ha CCMM</t>
  </si>
  <si>
    <t>37.504.583,73</t>
  </si>
  <si>
    <t>172.677,41</t>
  </si>
  <si>
    <t>0,5</t>
  </si>
  <si>
    <t>10.530.070,36</t>
  </si>
  <si>
    <t>122.565,61</t>
  </si>
  <si>
    <t>1,2</t>
  </si>
  <si>
    <t>Madre de Dios</t>
  </si>
  <si>
    <t>8.504.586,57</t>
  </si>
  <si>
    <t>251.695,48</t>
  </si>
  <si>
    <t>3,0</t>
  </si>
  <si>
    <t>San Martín</t>
  </si>
  <si>
    <t>5.103.141,03</t>
  </si>
  <si>
    <t>151.154,40</t>
  </si>
  <si>
    <t>469.026,01</t>
  </si>
  <si>
    <t>24.588,27</t>
  </si>
  <si>
    <t>5,2</t>
  </si>
  <si>
    <t>3.938.071,97</t>
  </si>
  <si>
    <t>261.536,60</t>
  </si>
  <si>
    <t>6,6</t>
  </si>
  <si>
    <t>Callao</t>
  </si>
  <si>
    <t>14.041,69</t>
  </si>
  <si>
    <t>1.682,22</t>
  </si>
  <si>
    <t>12,0</t>
  </si>
  <si>
    <t>1.459.015,65</t>
  </si>
  <si>
    <t>204.511,97</t>
  </si>
  <si>
    <t>14,0</t>
  </si>
  <si>
    <t>3.734.969,62</t>
  </si>
  <si>
    <t>611.885,25</t>
  </si>
  <si>
    <t>16,4</t>
  </si>
  <si>
    <t>7.207.444,84</t>
  </si>
  <si>
    <t>1.429.276,26</t>
  </si>
  <si>
    <t>19,8</t>
  </si>
  <si>
    <t>2.387.945,29</t>
  </si>
  <si>
    <t>477.406,33</t>
  </si>
  <si>
    <t>20,0</t>
  </si>
  <si>
    <t>4.412.358,85</t>
  </si>
  <si>
    <t>884.799,91</t>
  </si>
  <si>
    <t>20,1</t>
  </si>
  <si>
    <t>3.583.763,46</t>
  </si>
  <si>
    <t>852.566,37</t>
  </si>
  <si>
    <t>23,8</t>
  </si>
  <si>
    <t>3.294.875,64</t>
  </si>
  <si>
    <t>854.915,43</t>
  </si>
  <si>
    <t>25,9</t>
  </si>
  <si>
    <t>4.350.524,32</t>
  </si>
  <si>
    <t>1.166.054,41</t>
  </si>
  <si>
    <t>26,8</t>
  </si>
  <si>
    <t>2.108.076,66</t>
  </si>
  <si>
    <t>716.864,53</t>
  </si>
  <si>
    <t>34,0</t>
  </si>
  <si>
    <t>6.789.166,38</t>
  </si>
  <si>
    <t>2.320.323,09</t>
  </si>
  <si>
    <t>34,2</t>
  </si>
  <si>
    <t>1.608.306,71</t>
  </si>
  <si>
    <t>581.795,16</t>
  </si>
  <si>
    <t>36,2</t>
  </si>
  <si>
    <t>2.206.530,54</t>
  </si>
  <si>
    <t>966.552,54</t>
  </si>
  <si>
    <t>43,8</t>
  </si>
  <si>
    <t>6.325.588,93</t>
  </si>
  <si>
    <t>2.960.288,10</t>
  </si>
  <si>
    <t>46,8</t>
  </si>
  <si>
    <t>1.580.730,98</t>
  </si>
  <si>
    <t>759.425,49</t>
  </si>
  <si>
    <t>48,0</t>
  </si>
  <si>
    <t>3.501.324,83</t>
  </si>
  <si>
    <t>1.707.080,32</t>
  </si>
  <si>
    <t>48,8</t>
  </si>
  <si>
    <t>3.594.008,02</t>
  </si>
  <si>
    <t>1.980.128,32</t>
  </si>
  <si>
    <t>55,1</t>
  </si>
  <si>
    <t>2.529.593,19</t>
  </si>
  <si>
    <t>1.597.348,38</t>
  </si>
  <si>
    <t>63,1</t>
  </si>
  <si>
    <t>2.111.415,36</t>
  </si>
  <si>
    <t>1.615.894,20</t>
  </si>
  <si>
    <t>76,5</t>
  </si>
  <si>
    <t>Superficie Ocupada por Concesiones Mineras</t>
  </si>
  <si>
    <t>Resolución Nº 00005-2026-OEFA/CD</t>
  </si>
  <si>
    <t>Nombre</t>
  </si>
  <si>
    <t>Outlook</t>
  </si>
  <si>
    <t>Descripcion</t>
  </si>
  <si>
    <t>Fecha</t>
  </si>
  <si>
    <t>El OEFA actualizó su metodología de multas ambientales, reemplazando criterios considerados subjetivos (como el daño potencial y agravantes por pobreza de la zona) por un enfoque basado en el impacto ambiental negativo y medidas correctivas.</t>
  </si>
  <si>
    <t>Positivo</t>
  </si>
  <si>
    <t>https://notiexpress.pe/detalle/2604070020010046000/1</t>
  </si>
  <si>
    <t>Región</t>
  </si>
  <si>
    <t>%</t>
  </si>
  <si>
    <t>Activo</t>
  </si>
  <si>
    <t>Latente</t>
  </si>
  <si>
    <t>Lima Provincias</t>
  </si>
  <si>
    <t>Porcentaje</t>
  </si>
  <si>
    <t>Dpto.</t>
  </si>
  <si>
    <t>Ing.</t>
  </si>
  <si>
    <t>Nexa Peru</t>
  </si>
  <si>
    <t>BVN</t>
  </si>
  <si>
    <t>Junin</t>
  </si>
  <si>
    <t>Areqpa</t>
  </si>
  <si>
    <t>Huancav</t>
  </si>
  <si>
    <t>Cjmrca</t>
  </si>
  <si>
    <t>C. Verde</t>
  </si>
  <si>
    <t>Minsur</t>
  </si>
  <si>
    <t>Volcan</t>
  </si>
  <si>
    <t>HOC</t>
  </si>
  <si>
    <t>Ayaccho</t>
  </si>
  <si>
    <t>Hudbay</t>
  </si>
  <si>
    <t>Horizonte</t>
  </si>
  <si>
    <t>Monto (US$ mm)</t>
  </si>
  <si>
    <t>2025-2026</t>
  </si>
  <si>
    <t>San Gabán III</t>
  </si>
  <si>
    <t>CTG</t>
  </si>
  <si>
    <t>San Martín Solar</t>
  </si>
  <si>
    <t>Zelestra</t>
  </si>
  <si>
    <t>Kallpa</t>
  </si>
  <si>
    <t>Wayra Solar</t>
  </si>
  <si>
    <t>Orygen</t>
  </si>
  <si>
    <t>Exp. Intipampa</t>
  </si>
  <si>
    <t>Engie</t>
  </si>
  <si>
    <t>2027-2028</t>
  </si>
  <si>
    <t>Caravelí</t>
  </si>
  <si>
    <t>Celaris</t>
  </si>
  <si>
    <t>San José</t>
  </si>
  <si>
    <t>ACCIONA</t>
  </si>
  <si>
    <t>Illa</t>
  </si>
  <si>
    <t>Grupo Enhol</t>
  </si>
  <si>
    <t>Lupi</t>
  </si>
  <si>
    <t>Statkraft</t>
  </si>
  <si>
    <t>Solimana</t>
  </si>
  <si>
    <t>Emma</t>
  </si>
  <si>
    <t>Bayóvar (Fase 1)</t>
  </si>
  <si>
    <t>Fénix Power</t>
  </si>
  <si>
    <t>Guarango</t>
  </si>
  <si>
    <t>SL Energy</t>
  </si>
  <si>
    <t>Muyu</t>
  </si>
  <si>
    <t>Chachani</t>
  </si>
  <si>
    <t>Hanaqpampa</t>
  </si>
  <si>
    <t>Mórrope</t>
  </si>
  <si>
    <t>Pichu Pichu</t>
  </si>
  <si>
    <t>2031 en adelante</t>
  </si>
  <si>
    <t>Al menos 20 proyectos</t>
  </si>
  <si>
    <t>N/D</t>
  </si>
  <si>
    <t>Al menos 18 proyectos</t>
  </si>
  <si>
    <t>Tecnología</t>
  </si>
  <si>
    <t>Hidroeléctrica</t>
  </si>
  <si>
    <t>Solar</t>
  </si>
  <si>
    <t>Sunny (F1-F2)</t>
  </si>
  <si>
    <t>Eólica</t>
  </si>
  <si>
    <t>Macrozona</t>
  </si>
  <si>
    <t>Hidro_%</t>
  </si>
  <si>
    <t>Termo_%</t>
  </si>
  <si>
    <t>RER_%</t>
  </si>
  <si>
    <t>Norte</t>
  </si>
  <si>
    <t>Orazul</t>
  </si>
  <si>
    <t>Centro</t>
  </si>
  <si>
    <t>Fénix</t>
  </si>
  <si>
    <t>Sur</t>
  </si>
  <si>
    <t>Año/Horizonte</t>
  </si>
  <si>
    <t>Capacidad_MW</t>
  </si>
  <si>
    <t>Proyecto individual</t>
  </si>
  <si>
    <t>Amp. Cuajone</t>
  </si>
  <si>
    <t>2028+</t>
  </si>
  <si>
    <t>Seis grandes proyectos</t>
  </si>
  <si>
    <t>Grupo de proyectos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</si>
</sst>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b/>
      <sz val="14"/>
      <color rgb="FF700E3E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</font>
    <font>
      <i/>
      <sz val="8"/>
      <name val="Arial"/>
      <family val="2"/>
    </font>
    <font>
      <b/>
      <sz val="9"/>
      <name val="Arial"/>
      <family val="2"/>
    </font>
    <font>
      <b/>
      <sz val="7"/>
      <color rgb="FF000000"/>
      <name val="Arial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3" fontId="0" fillId="0" borderId="0" xfId="0" applyNumberFormat="1"/>
    <xf numFmtId="4" fontId="0" fillId="0" borderId="0" xfId="0" applyNumberFormat="1"/>
    <xf numFmtId="0" fontId="0" fillId="2" borderId="0" xfId="0" applyFill="1"/>
    <xf numFmtId="10" fontId="0" fillId="0" borderId="0" xfId="0" applyNumberFormat="1"/>
    <xf numFmtId="9" fontId="0" fillId="0" borderId="0" xfId="1" applyFont="1"/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right" vertical="center" wrapText="1"/>
    </xf>
    <xf numFmtId="0" fontId="5" fillId="0" borderId="1" xfId="0" applyFont="1" applyBorder="1" applyAlignment="1">
      <alignment vertical="center"/>
    </xf>
    <xf numFmtId="3" fontId="6" fillId="0" borderId="2" xfId="0" applyNumberFormat="1" applyFont="1" applyBorder="1" applyAlignment="1">
      <alignment horizontal="right" vertical="center"/>
    </xf>
    <xf numFmtId="3" fontId="7" fillId="0" borderId="2" xfId="0" applyNumberFormat="1" applyFont="1" applyBorder="1" applyAlignment="1">
      <alignment horizontal="right" vertical="center"/>
    </xf>
    <xf numFmtId="164" fontId="7" fillId="0" borderId="2" xfId="0" applyNumberFormat="1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3" fontId="6" fillId="3" borderId="2" xfId="0" applyNumberFormat="1" applyFont="1" applyFill="1" applyBorder="1" applyAlignment="1">
      <alignment horizontal="right" vertical="center"/>
    </xf>
    <xf numFmtId="164" fontId="7" fillId="3" borderId="2" xfId="0" applyNumberFormat="1" applyFont="1" applyFill="1" applyBorder="1" applyAlignment="1">
      <alignment horizontal="right" vertical="center"/>
    </xf>
    <xf numFmtId="164" fontId="6" fillId="3" borderId="2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1" xfId="0" applyFont="1" applyFill="1" applyBorder="1" applyAlignment="1">
      <alignment vertical="center"/>
    </xf>
    <xf numFmtId="3" fontId="6" fillId="5" borderId="2" xfId="0" applyNumberFormat="1" applyFont="1" applyFill="1" applyBorder="1" applyAlignment="1">
      <alignment horizontal="right" vertical="center"/>
    </xf>
    <xf numFmtId="164" fontId="7" fillId="5" borderId="2" xfId="0" applyNumberFormat="1" applyFont="1" applyFill="1" applyBorder="1" applyAlignment="1">
      <alignment horizontal="right" vertical="center"/>
    </xf>
    <xf numFmtId="164" fontId="6" fillId="5" borderId="2" xfId="0" applyNumberFormat="1" applyFont="1" applyFill="1" applyBorder="1" applyAlignment="1">
      <alignment horizontal="right" vertical="center"/>
    </xf>
    <xf numFmtId="0" fontId="2" fillId="5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3" borderId="0" xfId="0" applyFont="1" applyFill="1" applyAlignment="1">
      <alignment horizontal="left"/>
    </xf>
    <xf numFmtId="0" fontId="10" fillId="0" borderId="0" xfId="0" applyFont="1" applyAlignment="1">
      <alignment horizontal="right" vertical="center"/>
    </xf>
    <xf numFmtId="165" fontId="0" fillId="0" borderId="0" xfId="1" applyNumberFormat="1" applyFont="1"/>
    <xf numFmtId="0" fontId="0" fillId="0" borderId="0" xfId="0" applyAlignment="1">
      <alignment wrapText="1"/>
    </xf>
    <xf numFmtId="17" fontId="0" fillId="0" borderId="0" xfId="0" applyNumberForma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4" fontId="3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9" fontId="0" fillId="0" borderId="0" xfId="0" applyNumberFormat="1"/>
    <xf numFmtId="0" fontId="11" fillId="3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2247900</xdr:colOff>
      <xdr:row>0</xdr:row>
      <xdr:rowOff>0</xdr:rowOff>
    </xdr:from>
    <xdr:to>
      <xdr:col>7</xdr:col>
      <xdr:colOff>1403408</xdr:colOff>
      <xdr:row>13</xdr:row>
      <xdr:rowOff>152821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3E79AC-E4BA-349A-E429-649BB0DA9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7232708" cy="2629321"/>
        </a:xfrm>
        <a:prstGeom prst="rect">
          <a:avLst/>
        </a:prstGeom>
      </xdr:spPr>
    </xdr:pic>
    <xdr:clientData/>
  </xdr:twoCellAnchor>
  <xdr:twoCellAnchor editAs="oneCell">
    <xdr:from>
      <xdr:col>0</xdr:col>
      <xdr:colOff>933450</xdr:colOff>
      <xdr:row>5</xdr:row>
      <xdr:rowOff>114300</xdr:rowOff>
    </xdr:from>
    <xdr:to>
      <xdr:col>2</xdr:col>
      <xdr:colOff>1905588</xdr:colOff>
      <xdr:row>23</xdr:row>
      <xdr:rowOff>105252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C3317C-227F-D229-11BF-AACB2B0EC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3450" y="1066800"/>
          <a:ext cx="4210638" cy="3419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91231</xdr:colOff>
      <xdr:row>14</xdr:row>
      <xdr:rowOff>76199</xdr:rowOff>
    </xdr:from>
    <xdr:to>
      <xdr:col>5</xdr:col>
      <xdr:colOff>204260</xdr:colOff>
      <xdr:row>24</xdr:row>
      <xdr:rowOff>48314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193E90-3489-3D80-275A-ACBB3FAD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31" y="2743199"/>
          <a:ext cx="3732529" cy="1877115"/>
        </a:xfrm>
        <a:prstGeom prst="rect">
          <a:avLst/>
        </a:prstGeom>
      </xdr:spPr>
    </xdr:pic>
    <xdr:clientData/>
  </xdr:twoCellAnchor>
  <xdr:twoCellAnchor editAs="oneCell">
    <xdr:from>
      <xdr:col>7</xdr:col>
      <xdr:colOff>85724</xdr:colOff>
      <xdr:row>9</xdr:row>
      <xdr:rowOff>57150</xdr:rowOff>
    </xdr:from>
    <xdr:to>
      <xdr:col>9</xdr:col>
      <xdr:colOff>991502</xdr:colOff>
      <xdr:row>19</xdr:row>
      <xdr:rowOff>133834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A21BA5-F193-7211-D0E0-1153A49B6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24424" y="1771650"/>
          <a:ext cx="3696603" cy="1981684"/>
        </a:xfrm>
        <a:prstGeom prst="rect">
          <a:avLst/>
        </a:prstGeom>
      </xdr:spPr>
    </xdr:pic>
    <xdr:clientData/>
  </xdr:twoCellAnchor>
  <xdr:twoCellAnchor editAs="oneCell">
    <xdr:from>
      <xdr:col>12</xdr:col>
      <xdr:colOff>273356</xdr:colOff>
      <xdr:row>29</xdr:row>
      <xdr:rowOff>166690</xdr:rowOff>
    </xdr:from>
    <xdr:to>
      <xdr:col>20</xdr:col>
      <xdr:colOff>455923</xdr:colOff>
      <xdr:row>55</xdr:row>
      <xdr:rowOff>135232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996DBB-0E66-6B98-998D-A2DA28539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33356" y="5461003"/>
          <a:ext cx="5072067" cy="47151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39598</xdr:colOff>
      <xdr:row>1</xdr:row>
      <xdr:rowOff>139700</xdr:rowOff>
    </xdr:from>
    <xdr:to>
      <xdr:col>10</xdr:col>
      <xdr:colOff>470215</xdr:colOff>
      <xdr:row>13</xdr:row>
      <xdr:rowOff>158952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019F57-C570-BCD2-EAA0-DDB64E94A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1298" y="323850"/>
          <a:ext cx="3478617" cy="2229052"/>
        </a:xfrm>
        <a:prstGeom prst="rect">
          <a:avLst/>
        </a:prstGeom>
      </xdr:spPr>
    </xdr:pic>
    <xdr:clientData/>
  </xdr:twoCellAnchor>
  <xdr:twoCellAnchor editAs="oneCell">
    <xdr:from>
      <xdr:col>11</xdr:col>
      <xdr:colOff>263071</xdr:colOff>
      <xdr:row>3</xdr:row>
      <xdr:rowOff>145142</xdr:rowOff>
    </xdr:from>
    <xdr:to>
      <xdr:col>15</xdr:col>
      <xdr:colOff>154213</xdr:colOff>
      <xdr:row>17</xdr:row>
      <xdr:rowOff>100433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A48964-6104-69AD-516D-8C5478F7F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17857" y="689428"/>
          <a:ext cx="2322285" cy="24952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73ECF-3317-43B5-BE76-975784D3BD1C}">
  <sheetPr>
    <tabColor rgb="FF0070C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365DB-61D1-4C4A-8881-0890FBC45DAD}">
  <sheetPr>
    <tabColor rgb="FFFFC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60B0D-A1D2-4506-89FA-E37DA939A7B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068E-C30C-430D-8045-5E173A013212}">
  <dimension ref="A1"/>
  <sheetViews>
    <sheetView workbookViewId="0">
      <selection activeCell="J14" sqref="J14"/>
    </sheetView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E4EA-21BE-48DA-B575-6D67D7773DBF}">
  <dimension ref="A1:AK67"/>
  <sheetViews>
    <sheetView topLeftCell="O1" zoomScale="80" zoomScaleNormal="80" workbookViewId="0">
      <pane ySplit="1" topLeftCell="A2" activePane="bottomLeft" state="frozen"/>
      <selection pane="bottomLeft" activeCell="AG1" sqref="AG1:AL1048576"/>
    </sheetView>
  </sheetViews>
  <sheetFormatPr defaultRowHeight="14.5" x14ac:dyDescent="0.35"/>
  <cols>
    <col min="1" max="1" width="22.26953125" bestFit="1" customWidth="1"/>
    <col min="2" max="2" width="26.26953125" bestFit="1" customWidth="1"/>
    <col min="3" max="3" width="38" bestFit="1" customWidth="1"/>
    <col min="4" max="4" width="32.453125" bestFit="1" customWidth="1"/>
    <col min="5" max="5" width="13.7265625" bestFit="1" customWidth="1"/>
    <col min="6" max="6" width="17.7265625" bestFit="1" customWidth="1"/>
    <col min="7" max="7" width="19.26953125" bestFit="1" customWidth="1"/>
    <col min="8" max="8" width="24.26953125" bestFit="1" customWidth="1"/>
    <col min="10" max="10" width="9.1796875" style="3"/>
    <col min="11" max="11" width="39.54296875" bestFit="1" customWidth="1"/>
    <col min="12" max="12" width="20.81640625" bestFit="1" customWidth="1"/>
    <col min="13" max="13" width="48.7265625" bestFit="1" customWidth="1"/>
    <col min="14" max="14" width="28.1796875" bestFit="1" customWidth="1"/>
    <col min="15" max="15" width="28.81640625" bestFit="1" customWidth="1"/>
    <col min="16" max="16" width="9.1796875" style="3"/>
    <col min="18" max="18" width="40.26953125" bestFit="1" customWidth="1"/>
    <col min="19" max="19" width="12.1796875" bestFit="1" customWidth="1"/>
    <col min="20" max="20" width="30.1796875" bestFit="1" customWidth="1"/>
    <col min="21" max="21" width="27.26953125" bestFit="1" customWidth="1"/>
    <col min="22" max="22" width="15.7265625" bestFit="1" customWidth="1"/>
    <col min="23" max="23" width="9.1796875" style="3"/>
    <col min="25" max="25" width="5.453125" bestFit="1" customWidth="1"/>
    <col min="26" max="26" width="18.1796875" bestFit="1" customWidth="1"/>
    <col min="27" max="27" width="16.453125" bestFit="1" customWidth="1"/>
    <col min="28" max="28" width="8.1796875" bestFit="1" customWidth="1"/>
    <col min="31" max="31" width="9.1796875" style="3"/>
    <col min="33" max="33" width="22.36328125" bestFit="1" customWidth="1"/>
    <col min="34" max="34" width="22.453125" bestFit="1" customWidth="1"/>
    <col min="35" max="35" width="30.90625" bestFit="1" customWidth="1"/>
    <col min="36" max="36" width="18.7265625" bestFit="1" customWidth="1"/>
    <col min="37" max="37" width="20.54296875" bestFit="1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183</v>
      </c>
      <c r="L1" t="s">
        <v>184</v>
      </c>
      <c r="M1" t="s">
        <v>185</v>
      </c>
      <c r="N1" t="s">
        <v>186</v>
      </c>
      <c r="O1" t="s">
        <v>187</v>
      </c>
      <c r="R1" t="s">
        <v>193</v>
      </c>
      <c r="S1" t="s">
        <v>194</v>
      </c>
      <c r="T1" t="s">
        <v>195</v>
      </c>
      <c r="U1" t="s">
        <v>196</v>
      </c>
      <c r="V1" t="s">
        <v>197</v>
      </c>
      <c r="Y1" t="s">
        <v>207</v>
      </c>
      <c r="Z1" t="s">
        <v>208</v>
      </c>
      <c r="AA1" t="s">
        <v>209</v>
      </c>
      <c r="AB1" t="s">
        <v>210</v>
      </c>
      <c r="AG1" t="s">
        <v>2</v>
      </c>
      <c r="AH1" t="s">
        <v>213</v>
      </c>
      <c r="AI1" t="s">
        <v>214</v>
      </c>
      <c r="AJ1" t="s">
        <v>215</v>
      </c>
      <c r="AK1" t="s">
        <v>216</v>
      </c>
    </row>
    <row r="2" spans="1:37" x14ac:dyDescent="0.35">
      <c r="A2" t="s">
        <v>8</v>
      </c>
      <c r="B2">
        <v>2024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1">
        <v>1319</v>
      </c>
      <c r="K2" t="s">
        <v>188</v>
      </c>
      <c r="L2">
        <v>1</v>
      </c>
      <c r="M2">
        <v>650</v>
      </c>
      <c r="N2">
        <v>0</v>
      </c>
      <c r="O2">
        <v>-650</v>
      </c>
      <c r="R2" t="s">
        <v>198</v>
      </c>
      <c r="S2">
        <v>65</v>
      </c>
      <c r="T2" t="s">
        <v>199</v>
      </c>
      <c r="U2" s="1">
        <v>63005</v>
      </c>
      <c r="V2" t="s">
        <v>200</v>
      </c>
      <c r="Y2">
        <v>2026</v>
      </c>
      <c r="Z2" s="1">
        <v>1612</v>
      </c>
      <c r="AA2" s="4">
        <v>0.15</v>
      </c>
      <c r="AB2">
        <v>5</v>
      </c>
      <c r="AD2" s="5">
        <f>Z2/SUM($Z$2:$Z$6)</f>
        <v>2.5941422594142258E-2</v>
      </c>
      <c r="AG2" t="s">
        <v>15</v>
      </c>
      <c r="AH2" s="1">
        <v>1604</v>
      </c>
      <c r="AI2" s="1">
        <v>2500</v>
      </c>
      <c r="AJ2" t="s">
        <v>217</v>
      </c>
      <c r="AK2" s="1">
        <v>2500</v>
      </c>
    </row>
    <row r="3" spans="1:37" x14ac:dyDescent="0.35">
      <c r="A3" t="s">
        <v>14</v>
      </c>
      <c r="B3">
        <v>2024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  <c r="H3" s="1">
        <v>1604</v>
      </c>
      <c r="K3" t="s">
        <v>189</v>
      </c>
      <c r="L3">
        <v>2</v>
      </c>
      <c r="M3">
        <v>0</v>
      </c>
      <c r="N3">
        <v>229</v>
      </c>
      <c r="O3">
        <v>229</v>
      </c>
      <c r="R3" t="s">
        <v>201</v>
      </c>
      <c r="S3">
        <v>-1</v>
      </c>
      <c r="T3">
        <v>-650</v>
      </c>
      <c r="U3" s="1">
        <v>62355</v>
      </c>
      <c r="V3" t="s">
        <v>202</v>
      </c>
      <c r="Y3">
        <v>2027</v>
      </c>
      <c r="Z3" s="1">
        <v>3237</v>
      </c>
      <c r="AA3" s="4">
        <v>0.30199999999999999</v>
      </c>
      <c r="AB3">
        <v>3</v>
      </c>
      <c r="AD3" s="5">
        <f t="shared" ref="AD3:AD6" si="0">Z3/SUM($Z$2:$Z$6)</f>
        <v>5.2092050209205022E-2</v>
      </c>
      <c r="AG3" t="s">
        <v>9</v>
      </c>
      <c r="AH3" s="1">
        <v>1319</v>
      </c>
      <c r="AI3">
        <v>567</v>
      </c>
      <c r="AJ3">
        <v>186</v>
      </c>
      <c r="AK3">
        <v>753</v>
      </c>
    </row>
    <row r="4" spans="1:37" x14ac:dyDescent="0.35">
      <c r="A4" t="s">
        <v>19</v>
      </c>
      <c r="B4">
        <v>2026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  <c r="H4">
        <v>130</v>
      </c>
      <c r="K4" t="s">
        <v>190</v>
      </c>
      <c r="L4">
        <v>7</v>
      </c>
      <c r="M4" s="2">
        <v>6902</v>
      </c>
      <c r="N4" s="2">
        <v>8393.1</v>
      </c>
      <c r="O4" s="2">
        <v>1491.1</v>
      </c>
      <c r="R4" t="s">
        <v>203</v>
      </c>
      <c r="S4">
        <v>7</v>
      </c>
      <c r="T4" s="1">
        <v>1491</v>
      </c>
      <c r="U4" s="1">
        <v>63846</v>
      </c>
      <c r="V4" t="s">
        <v>204</v>
      </c>
      <c r="Y4">
        <v>2028</v>
      </c>
      <c r="Z4" s="1">
        <v>3522</v>
      </c>
      <c r="AA4" s="4">
        <v>0.32800000000000001</v>
      </c>
      <c r="AB4">
        <v>2</v>
      </c>
      <c r="AC4">
        <v>8.8000000000000007</v>
      </c>
      <c r="AD4" s="5">
        <f t="shared" si="0"/>
        <v>5.6678467975539104E-2</v>
      </c>
      <c r="AG4" t="s">
        <v>48</v>
      </c>
      <c r="AH4">
        <v>502</v>
      </c>
      <c r="AI4" s="1">
        <v>2341</v>
      </c>
      <c r="AJ4" s="1">
        <v>1970</v>
      </c>
      <c r="AK4" s="1">
        <v>4311</v>
      </c>
    </row>
    <row r="5" spans="1:37" x14ac:dyDescent="0.35">
      <c r="A5" t="s">
        <v>24</v>
      </c>
      <c r="B5">
        <v>2026</v>
      </c>
      <c r="C5" t="s">
        <v>25</v>
      </c>
      <c r="D5" t="s">
        <v>26</v>
      </c>
      <c r="E5" t="s">
        <v>27</v>
      </c>
      <c r="F5" t="s">
        <v>23</v>
      </c>
      <c r="G5" t="s">
        <v>13</v>
      </c>
      <c r="H5">
        <v>76</v>
      </c>
      <c r="K5" t="s">
        <v>191</v>
      </c>
      <c r="L5">
        <v>57</v>
      </c>
      <c r="M5" s="2">
        <v>55453.3</v>
      </c>
      <c r="N5" s="2">
        <v>55453.3</v>
      </c>
      <c r="O5">
        <v>0</v>
      </c>
      <c r="R5" t="s">
        <v>205</v>
      </c>
      <c r="S5">
        <v>2</v>
      </c>
      <c r="T5">
        <v>229</v>
      </c>
      <c r="U5" s="1">
        <v>64075</v>
      </c>
      <c r="V5" t="s">
        <v>204</v>
      </c>
      <c r="Y5">
        <v>2029</v>
      </c>
      <c r="Z5" s="1">
        <v>2353</v>
      </c>
      <c r="AA5" s="4">
        <v>0.22</v>
      </c>
      <c r="AB5">
        <v>4</v>
      </c>
      <c r="AD5" s="5">
        <f t="shared" si="0"/>
        <v>3.7866108786610876E-2</v>
      </c>
      <c r="AG5" t="s">
        <v>20</v>
      </c>
      <c r="AH5">
        <v>130</v>
      </c>
      <c r="AI5">
        <v>378</v>
      </c>
      <c r="AJ5">
        <v>450</v>
      </c>
      <c r="AK5">
        <v>828</v>
      </c>
    </row>
    <row r="6" spans="1:37" x14ac:dyDescent="0.35">
      <c r="A6" t="s">
        <v>28</v>
      </c>
      <c r="B6">
        <v>2027</v>
      </c>
      <c r="C6" t="s">
        <v>29</v>
      </c>
      <c r="D6" t="s">
        <v>30</v>
      </c>
      <c r="E6" t="s">
        <v>31</v>
      </c>
      <c r="F6" t="s">
        <v>18</v>
      </c>
      <c r="G6" t="s">
        <v>13</v>
      </c>
      <c r="H6" s="1">
        <v>1805</v>
      </c>
      <c r="K6" t="s">
        <v>192</v>
      </c>
      <c r="L6">
        <v>66</v>
      </c>
      <c r="M6" s="2">
        <v>63005.3</v>
      </c>
      <c r="N6" s="2">
        <v>64075.4</v>
      </c>
      <c r="O6" s="2">
        <v>1070.0999999999999</v>
      </c>
      <c r="R6" t="s">
        <v>206</v>
      </c>
      <c r="S6">
        <v>66</v>
      </c>
      <c r="T6" s="1">
        <v>1070</v>
      </c>
      <c r="U6" s="1">
        <v>64075</v>
      </c>
      <c r="Y6" t="s">
        <v>212</v>
      </c>
      <c r="Z6" s="1">
        <v>51416</v>
      </c>
      <c r="AA6" s="4">
        <v>0.80200000000000005</v>
      </c>
      <c r="AB6">
        <v>1</v>
      </c>
      <c r="AD6" s="5">
        <f t="shared" si="0"/>
        <v>0.82742195043450273</v>
      </c>
      <c r="AG6" t="s">
        <v>59</v>
      </c>
      <c r="AH6">
        <v>345</v>
      </c>
      <c r="AI6" s="1">
        <v>1265</v>
      </c>
      <c r="AJ6" s="1">
        <v>4365</v>
      </c>
      <c r="AK6" s="1">
        <v>5630</v>
      </c>
    </row>
    <row r="7" spans="1:37" x14ac:dyDescent="0.35">
      <c r="A7" t="s">
        <v>32</v>
      </c>
      <c r="B7">
        <v>2027</v>
      </c>
      <c r="C7" t="s">
        <v>33</v>
      </c>
      <c r="D7" t="s">
        <v>34</v>
      </c>
      <c r="E7" t="s">
        <v>35</v>
      </c>
      <c r="F7" t="s">
        <v>18</v>
      </c>
      <c r="G7" t="s">
        <v>13</v>
      </c>
      <c r="H7" s="1">
        <v>1753</v>
      </c>
      <c r="AG7" t="s">
        <v>25</v>
      </c>
      <c r="AH7">
        <v>76</v>
      </c>
      <c r="AI7">
        <v>110</v>
      </c>
      <c r="AJ7" s="1">
        <v>1900</v>
      </c>
      <c r="AK7" s="1">
        <v>2010</v>
      </c>
    </row>
    <row r="8" spans="1:37" x14ac:dyDescent="0.35">
      <c r="A8" t="s">
        <v>36</v>
      </c>
      <c r="B8">
        <v>2026</v>
      </c>
      <c r="C8" t="s">
        <v>37</v>
      </c>
      <c r="D8" t="s">
        <v>38</v>
      </c>
      <c r="E8" t="s">
        <v>39</v>
      </c>
      <c r="F8" t="s">
        <v>40</v>
      </c>
      <c r="G8" t="s">
        <v>13</v>
      </c>
      <c r="H8">
        <v>294</v>
      </c>
      <c r="AG8" t="s">
        <v>42</v>
      </c>
      <c r="AH8">
        <v>118</v>
      </c>
      <c r="AI8">
        <v>312</v>
      </c>
      <c r="AJ8">
        <v>14</v>
      </c>
      <c r="AK8">
        <v>326</v>
      </c>
    </row>
    <row r="9" spans="1:37" x14ac:dyDescent="0.35">
      <c r="A9" t="s">
        <v>41</v>
      </c>
      <c r="B9">
        <v>2026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>
        <v>118</v>
      </c>
      <c r="Z9" s="1"/>
      <c r="AA9" s="4"/>
      <c r="AG9" t="s">
        <v>33</v>
      </c>
      <c r="AH9" s="1">
        <v>1753</v>
      </c>
      <c r="AI9">
        <v>766</v>
      </c>
      <c r="AJ9">
        <v>125</v>
      </c>
      <c r="AK9">
        <v>891</v>
      </c>
    </row>
    <row r="10" spans="1:37" x14ac:dyDescent="0.35">
      <c r="A10" t="s">
        <v>47</v>
      </c>
      <c r="B10">
        <v>2026</v>
      </c>
      <c r="C10" t="s">
        <v>48</v>
      </c>
      <c r="D10" t="s">
        <v>49</v>
      </c>
      <c r="E10" t="s">
        <v>44</v>
      </c>
      <c r="F10" t="s">
        <v>18</v>
      </c>
      <c r="G10" t="s">
        <v>46</v>
      </c>
      <c r="H10">
        <v>502</v>
      </c>
      <c r="AG10" t="s">
        <v>37</v>
      </c>
      <c r="AH10">
        <v>294</v>
      </c>
      <c r="AI10">
        <v>559</v>
      </c>
      <c r="AJ10">
        <v>721</v>
      </c>
      <c r="AK10" s="1">
        <v>1280</v>
      </c>
    </row>
    <row r="11" spans="1:37" x14ac:dyDescent="0.35">
      <c r="A11" t="s">
        <v>50</v>
      </c>
      <c r="B11">
        <v>2026</v>
      </c>
      <c r="C11" t="s">
        <v>51</v>
      </c>
      <c r="D11" t="s">
        <v>52</v>
      </c>
      <c r="E11" t="s">
        <v>31</v>
      </c>
      <c r="F11" t="s">
        <v>12</v>
      </c>
      <c r="G11" t="s">
        <v>53</v>
      </c>
      <c r="H11">
        <v>428</v>
      </c>
      <c r="AG11" t="s">
        <v>62</v>
      </c>
      <c r="AH11">
        <v>579</v>
      </c>
      <c r="AI11" s="1">
        <v>1500</v>
      </c>
      <c r="AJ11">
        <v>440</v>
      </c>
      <c r="AK11" s="1">
        <v>1940</v>
      </c>
    </row>
    <row r="12" spans="1:37" x14ac:dyDescent="0.35">
      <c r="A12" t="s">
        <v>54</v>
      </c>
      <c r="B12">
        <v>2026</v>
      </c>
      <c r="C12" t="s">
        <v>55</v>
      </c>
      <c r="D12" t="s">
        <v>56</v>
      </c>
      <c r="E12" t="s">
        <v>31</v>
      </c>
      <c r="F12" t="s">
        <v>18</v>
      </c>
      <c r="G12" t="s">
        <v>57</v>
      </c>
      <c r="H12" s="1">
        <v>2100</v>
      </c>
      <c r="AG12" t="s">
        <v>29</v>
      </c>
      <c r="AH12" s="1">
        <v>1805</v>
      </c>
      <c r="AI12" s="1">
        <v>3500</v>
      </c>
      <c r="AJ12">
        <v>764</v>
      </c>
      <c r="AK12" s="1">
        <v>4264</v>
      </c>
    </row>
    <row r="13" spans="1:37" x14ac:dyDescent="0.35">
      <c r="A13" t="s">
        <v>58</v>
      </c>
      <c r="B13">
        <v>2029</v>
      </c>
      <c r="C13" t="s">
        <v>59</v>
      </c>
      <c r="D13" t="s">
        <v>60</v>
      </c>
      <c r="E13" t="s">
        <v>17</v>
      </c>
      <c r="F13" t="s">
        <v>23</v>
      </c>
      <c r="G13" t="s">
        <v>57</v>
      </c>
      <c r="H13">
        <v>345</v>
      </c>
      <c r="AG13" t="s">
        <v>55</v>
      </c>
      <c r="AH13" s="1">
        <v>2100</v>
      </c>
      <c r="AI13">
        <v>250</v>
      </c>
      <c r="AJ13" t="s">
        <v>217</v>
      </c>
      <c r="AK13">
        <v>250</v>
      </c>
    </row>
    <row r="14" spans="1:37" x14ac:dyDescent="0.35">
      <c r="A14" t="s">
        <v>61</v>
      </c>
      <c r="B14">
        <v>2029</v>
      </c>
      <c r="C14" t="s">
        <v>62</v>
      </c>
      <c r="D14" t="s">
        <v>63</v>
      </c>
      <c r="E14" t="s">
        <v>39</v>
      </c>
      <c r="F14" t="s">
        <v>45</v>
      </c>
      <c r="G14" t="s">
        <v>57</v>
      </c>
      <c r="H14">
        <v>579</v>
      </c>
      <c r="AG14" t="s">
        <v>51</v>
      </c>
      <c r="AH14">
        <v>428</v>
      </c>
      <c r="AI14" t="s">
        <v>218</v>
      </c>
      <c r="AJ14" t="s">
        <v>218</v>
      </c>
      <c r="AK14" t="s">
        <v>217</v>
      </c>
    </row>
    <row r="15" spans="1:37" x14ac:dyDescent="0.35">
      <c r="A15" t="s">
        <v>64</v>
      </c>
      <c r="B15">
        <v>2027</v>
      </c>
      <c r="C15" t="s">
        <v>65</v>
      </c>
      <c r="D15" t="s">
        <v>66</v>
      </c>
      <c r="E15" t="s">
        <v>67</v>
      </c>
      <c r="F15" t="s">
        <v>23</v>
      </c>
      <c r="G15" t="s">
        <v>53</v>
      </c>
      <c r="H15">
        <v>143</v>
      </c>
    </row>
    <row r="16" spans="1:37" x14ac:dyDescent="0.35">
      <c r="A16" t="s">
        <v>68</v>
      </c>
      <c r="B16">
        <v>2028</v>
      </c>
      <c r="C16" t="s">
        <v>69</v>
      </c>
      <c r="D16" t="s">
        <v>70</v>
      </c>
      <c r="E16" t="s">
        <v>44</v>
      </c>
      <c r="F16" t="s">
        <v>23</v>
      </c>
      <c r="G16" t="s">
        <v>53</v>
      </c>
      <c r="H16">
        <v>86</v>
      </c>
    </row>
    <row r="17" spans="1:8" x14ac:dyDescent="0.35">
      <c r="A17" t="s">
        <v>71</v>
      </c>
      <c r="B17">
        <v>2029</v>
      </c>
      <c r="C17" t="s">
        <v>72</v>
      </c>
      <c r="D17" t="s">
        <v>73</v>
      </c>
      <c r="E17" t="s">
        <v>74</v>
      </c>
      <c r="F17" t="s">
        <v>18</v>
      </c>
      <c r="G17" t="s">
        <v>46</v>
      </c>
      <c r="H17" s="1">
        <v>1800</v>
      </c>
    </row>
    <row r="18" spans="1:8" x14ac:dyDescent="0.35">
      <c r="A18" t="s">
        <v>71</v>
      </c>
      <c r="B18">
        <v>2029</v>
      </c>
      <c r="C18" t="s">
        <v>75</v>
      </c>
      <c r="D18" t="s">
        <v>76</v>
      </c>
      <c r="E18" t="s">
        <v>77</v>
      </c>
      <c r="F18" t="s">
        <v>18</v>
      </c>
      <c r="G18" t="s">
        <v>78</v>
      </c>
      <c r="H18">
        <v>510</v>
      </c>
    </row>
    <row r="19" spans="1:8" x14ac:dyDescent="0.35">
      <c r="A19" t="s">
        <v>79</v>
      </c>
      <c r="B19">
        <v>2029</v>
      </c>
      <c r="C19" t="s">
        <v>80</v>
      </c>
      <c r="D19" t="s">
        <v>81</v>
      </c>
      <c r="E19" t="s">
        <v>82</v>
      </c>
      <c r="F19" t="s">
        <v>18</v>
      </c>
      <c r="G19" t="s">
        <v>53</v>
      </c>
      <c r="H19">
        <v>655</v>
      </c>
    </row>
    <row r="20" spans="1:8" x14ac:dyDescent="0.35">
      <c r="A20" t="s">
        <v>64</v>
      </c>
      <c r="B20">
        <v>2029</v>
      </c>
      <c r="C20" t="s">
        <v>83</v>
      </c>
      <c r="D20" t="s">
        <v>84</v>
      </c>
      <c r="E20" t="s">
        <v>31</v>
      </c>
      <c r="F20" t="s">
        <v>85</v>
      </c>
      <c r="G20" t="s">
        <v>46</v>
      </c>
      <c r="H20" s="1">
        <v>1781</v>
      </c>
    </row>
    <row r="21" spans="1:8" x14ac:dyDescent="0.35">
      <c r="A21" t="s">
        <v>86</v>
      </c>
      <c r="B21">
        <v>2031</v>
      </c>
      <c r="C21" t="s">
        <v>87</v>
      </c>
      <c r="D21" t="s">
        <v>88</v>
      </c>
      <c r="E21" t="s">
        <v>35</v>
      </c>
      <c r="F21" t="s">
        <v>18</v>
      </c>
      <c r="G21" t="s">
        <v>46</v>
      </c>
      <c r="H21" s="1">
        <v>1038</v>
      </c>
    </row>
    <row r="22" spans="1:8" x14ac:dyDescent="0.35">
      <c r="A22" t="s">
        <v>89</v>
      </c>
      <c r="B22">
        <v>2035</v>
      </c>
      <c r="C22" t="s">
        <v>90</v>
      </c>
      <c r="D22" t="s">
        <v>91</v>
      </c>
      <c r="E22" t="s">
        <v>92</v>
      </c>
      <c r="F22" t="s">
        <v>18</v>
      </c>
      <c r="G22" t="s">
        <v>78</v>
      </c>
      <c r="H22">
        <v>598</v>
      </c>
    </row>
    <row r="23" spans="1:8" x14ac:dyDescent="0.35">
      <c r="A23" t="s">
        <v>93</v>
      </c>
      <c r="B23" t="s">
        <v>94</v>
      </c>
      <c r="C23" t="s">
        <v>95</v>
      </c>
      <c r="D23" t="s">
        <v>96</v>
      </c>
      <c r="E23" t="s">
        <v>97</v>
      </c>
      <c r="F23" t="s">
        <v>18</v>
      </c>
      <c r="G23" t="s">
        <v>78</v>
      </c>
      <c r="H23" s="1">
        <v>1500</v>
      </c>
    </row>
    <row r="24" spans="1:8" x14ac:dyDescent="0.35">
      <c r="B24">
        <v>2029</v>
      </c>
      <c r="C24" t="s">
        <v>98</v>
      </c>
      <c r="D24" t="s">
        <v>30</v>
      </c>
      <c r="E24" t="s">
        <v>82</v>
      </c>
      <c r="F24" t="s">
        <v>18</v>
      </c>
      <c r="G24" t="s">
        <v>78</v>
      </c>
      <c r="H24" s="1">
        <v>1354</v>
      </c>
    </row>
    <row r="25" spans="1:8" x14ac:dyDescent="0.35">
      <c r="B25">
        <v>2031</v>
      </c>
      <c r="C25" t="s">
        <v>99</v>
      </c>
      <c r="D25" t="s">
        <v>30</v>
      </c>
      <c r="E25" t="s">
        <v>35</v>
      </c>
      <c r="F25" t="s">
        <v>18</v>
      </c>
      <c r="G25" t="s">
        <v>53</v>
      </c>
      <c r="H25" s="1">
        <v>2600</v>
      </c>
    </row>
    <row r="26" spans="1:8" x14ac:dyDescent="0.35">
      <c r="B26">
        <v>2032</v>
      </c>
      <c r="C26" t="s">
        <v>100</v>
      </c>
      <c r="D26" t="s">
        <v>30</v>
      </c>
      <c r="E26" t="s">
        <v>92</v>
      </c>
      <c r="F26" t="s">
        <v>18</v>
      </c>
      <c r="G26" t="s">
        <v>78</v>
      </c>
      <c r="H26" s="1">
        <v>2500</v>
      </c>
    </row>
    <row r="27" spans="1:8" x14ac:dyDescent="0.35">
      <c r="B27" t="s">
        <v>94</v>
      </c>
      <c r="C27" t="s">
        <v>101</v>
      </c>
      <c r="D27" t="s">
        <v>102</v>
      </c>
      <c r="E27" t="s">
        <v>103</v>
      </c>
      <c r="F27" t="s">
        <v>104</v>
      </c>
      <c r="G27" t="s">
        <v>46</v>
      </c>
      <c r="H27">
        <v>450</v>
      </c>
    </row>
    <row r="28" spans="1:8" x14ac:dyDescent="0.35">
      <c r="B28" t="s">
        <v>94</v>
      </c>
      <c r="C28" t="s">
        <v>105</v>
      </c>
      <c r="D28" t="s">
        <v>106</v>
      </c>
      <c r="E28" t="s">
        <v>107</v>
      </c>
      <c r="F28" t="s">
        <v>18</v>
      </c>
      <c r="G28" t="s">
        <v>53</v>
      </c>
      <c r="H28">
        <v>93</v>
      </c>
    </row>
    <row r="29" spans="1:8" x14ac:dyDescent="0.35">
      <c r="B29" t="s">
        <v>94</v>
      </c>
      <c r="C29" t="s">
        <v>108</v>
      </c>
      <c r="D29" t="s">
        <v>109</v>
      </c>
      <c r="E29" t="s">
        <v>17</v>
      </c>
      <c r="F29" t="s">
        <v>18</v>
      </c>
      <c r="G29" t="s">
        <v>78</v>
      </c>
      <c r="H29">
        <v>362</v>
      </c>
    </row>
    <row r="30" spans="1:8" x14ac:dyDescent="0.35">
      <c r="B30" t="s">
        <v>94</v>
      </c>
      <c r="C30" t="s">
        <v>110</v>
      </c>
      <c r="D30" t="s">
        <v>30</v>
      </c>
      <c r="E30" t="s">
        <v>82</v>
      </c>
      <c r="F30" t="s">
        <v>18</v>
      </c>
      <c r="G30" t="s">
        <v>78</v>
      </c>
      <c r="H30">
        <v>605</v>
      </c>
    </row>
    <row r="31" spans="1:8" x14ac:dyDescent="0.35">
      <c r="B31" t="s">
        <v>94</v>
      </c>
      <c r="C31" t="s">
        <v>111</v>
      </c>
      <c r="D31" t="s">
        <v>112</v>
      </c>
      <c r="E31" t="s">
        <v>107</v>
      </c>
      <c r="F31" t="s">
        <v>45</v>
      </c>
      <c r="G31" t="s">
        <v>46</v>
      </c>
      <c r="H31">
        <v>167</v>
      </c>
    </row>
    <row r="32" spans="1:8" x14ac:dyDescent="0.35">
      <c r="B32" t="s">
        <v>94</v>
      </c>
      <c r="C32" t="s">
        <v>113</v>
      </c>
      <c r="D32" t="s">
        <v>114</v>
      </c>
      <c r="E32" t="s">
        <v>17</v>
      </c>
      <c r="F32" t="s">
        <v>23</v>
      </c>
      <c r="G32" t="s">
        <v>46</v>
      </c>
      <c r="H32">
        <v>117</v>
      </c>
    </row>
    <row r="33" spans="2:8" x14ac:dyDescent="0.35">
      <c r="B33" t="s">
        <v>94</v>
      </c>
      <c r="C33" t="s">
        <v>115</v>
      </c>
      <c r="D33" t="s">
        <v>116</v>
      </c>
      <c r="E33" t="s">
        <v>82</v>
      </c>
      <c r="F33" t="s">
        <v>18</v>
      </c>
      <c r="G33" t="s">
        <v>53</v>
      </c>
      <c r="H33">
        <v>850</v>
      </c>
    </row>
    <row r="34" spans="2:8" x14ac:dyDescent="0.35">
      <c r="B34" t="s">
        <v>94</v>
      </c>
      <c r="C34" t="s">
        <v>117</v>
      </c>
      <c r="D34" t="s">
        <v>118</v>
      </c>
      <c r="E34" t="s">
        <v>107</v>
      </c>
      <c r="F34" t="s">
        <v>45</v>
      </c>
      <c r="G34" t="s">
        <v>53</v>
      </c>
      <c r="H34">
        <v>138</v>
      </c>
    </row>
    <row r="35" spans="2:8" x14ac:dyDescent="0.35">
      <c r="B35" t="s">
        <v>94</v>
      </c>
      <c r="C35" t="s">
        <v>119</v>
      </c>
      <c r="D35" t="s">
        <v>120</v>
      </c>
      <c r="E35" t="s">
        <v>77</v>
      </c>
      <c r="F35" t="s">
        <v>85</v>
      </c>
      <c r="G35" t="s">
        <v>46</v>
      </c>
      <c r="H35" s="1">
        <v>1868</v>
      </c>
    </row>
    <row r="36" spans="2:8" x14ac:dyDescent="0.35">
      <c r="B36" t="s">
        <v>94</v>
      </c>
      <c r="C36" t="s">
        <v>121</v>
      </c>
      <c r="D36" t="s">
        <v>122</v>
      </c>
      <c r="E36" t="s">
        <v>22</v>
      </c>
      <c r="F36" t="s">
        <v>18</v>
      </c>
      <c r="G36" t="s">
        <v>53</v>
      </c>
      <c r="H36">
        <v>235</v>
      </c>
    </row>
    <row r="37" spans="2:8" x14ac:dyDescent="0.35">
      <c r="B37" t="s">
        <v>94</v>
      </c>
      <c r="C37" t="s">
        <v>123</v>
      </c>
      <c r="D37" t="s">
        <v>124</v>
      </c>
      <c r="E37" t="s">
        <v>35</v>
      </c>
      <c r="F37" t="s">
        <v>18</v>
      </c>
      <c r="G37" t="s">
        <v>53</v>
      </c>
      <c r="H37">
        <v>250</v>
      </c>
    </row>
    <row r="38" spans="2:8" x14ac:dyDescent="0.35">
      <c r="B38" t="s">
        <v>94</v>
      </c>
      <c r="C38" t="s">
        <v>125</v>
      </c>
      <c r="D38" t="s">
        <v>126</v>
      </c>
      <c r="E38" t="s">
        <v>67</v>
      </c>
      <c r="F38" t="s">
        <v>18</v>
      </c>
      <c r="G38" t="s">
        <v>127</v>
      </c>
      <c r="H38">
        <v>140</v>
      </c>
    </row>
    <row r="39" spans="2:8" x14ac:dyDescent="0.35">
      <c r="B39" t="s">
        <v>94</v>
      </c>
      <c r="C39" t="s">
        <v>128</v>
      </c>
      <c r="D39" t="s">
        <v>129</v>
      </c>
      <c r="E39" t="s">
        <v>44</v>
      </c>
      <c r="F39" t="s">
        <v>23</v>
      </c>
      <c r="G39" t="s">
        <v>78</v>
      </c>
      <c r="H39">
        <v>382</v>
      </c>
    </row>
    <row r="40" spans="2:8" x14ac:dyDescent="0.35">
      <c r="B40" t="s">
        <v>94</v>
      </c>
      <c r="C40" t="s">
        <v>130</v>
      </c>
      <c r="D40" t="s">
        <v>131</v>
      </c>
      <c r="E40" t="s">
        <v>132</v>
      </c>
      <c r="F40" t="s">
        <v>18</v>
      </c>
      <c r="G40" t="s">
        <v>53</v>
      </c>
      <c r="H40" s="1">
        <v>2160</v>
      </c>
    </row>
    <row r="41" spans="2:8" x14ac:dyDescent="0.35">
      <c r="B41" t="s">
        <v>94</v>
      </c>
      <c r="C41" t="s">
        <v>133</v>
      </c>
      <c r="D41" t="s">
        <v>70</v>
      </c>
      <c r="E41" t="s">
        <v>134</v>
      </c>
      <c r="F41" t="s">
        <v>23</v>
      </c>
      <c r="G41" t="s">
        <v>78</v>
      </c>
      <c r="H41">
        <v>214</v>
      </c>
    </row>
    <row r="42" spans="2:8" x14ac:dyDescent="0.35">
      <c r="B42" t="s">
        <v>94</v>
      </c>
      <c r="C42" t="s">
        <v>135</v>
      </c>
      <c r="D42" t="s">
        <v>136</v>
      </c>
      <c r="E42" t="s">
        <v>92</v>
      </c>
      <c r="F42" t="s">
        <v>12</v>
      </c>
      <c r="G42" t="s">
        <v>46</v>
      </c>
      <c r="H42" s="1">
        <v>4800</v>
      </c>
    </row>
    <row r="43" spans="2:8" x14ac:dyDescent="0.35">
      <c r="B43" t="s">
        <v>94</v>
      </c>
      <c r="C43" t="s">
        <v>137</v>
      </c>
      <c r="D43" t="s">
        <v>138</v>
      </c>
      <c r="E43" t="s">
        <v>35</v>
      </c>
      <c r="F43" t="s">
        <v>18</v>
      </c>
      <c r="G43" t="s">
        <v>53</v>
      </c>
      <c r="H43" s="1">
        <v>1486</v>
      </c>
    </row>
    <row r="44" spans="2:8" x14ac:dyDescent="0.35">
      <c r="B44" t="s">
        <v>94</v>
      </c>
      <c r="C44" t="s">
        <v>139</v>
      </c>
      <c r="D44" t="s">
        <v>140</v>
      </c>
      <c r="E44" t="s">
        <v>31</v>
      </c>
      <c r="F44" t="s">
        <v>18</v>
      </c>
      <c r="G44" t="s">
        <v>78</v>
      </c>
      <c r="H44">
        <v>600</v>
      </c>
    </row>
    <row r="45" spans="2:8" x14ac:dyDescent="0.35">
      <c r="B45" t="s">
        <v>94</v>
      </c>
      <c r="C45" t="s">
        <v>141</v>
      </c>
      <c r="D45" t="s">
        <v>142</v>
      </c>
      <c r="E45" t="s">
        <v>92</v>
      </c>
      <c r="F45" t="s">
        <v>18</v>
      </c>
      <c r="G45" t="s">
        <v>53</v>
      </c>
      <c r="H45" s="1">
        <v>3500</v>
      </c>
    </row>
    <row r="46" spans="2:8" x14ac:dyDescent="0.35">
      <c r="B46" t="s">
        <v>94</v>
      </c>
      <c r="C46" t="s">
        <v>143</v>
      </c>
      <c r="D46" t="s">
        <v>144</v>
      </c>
      <c r="E46" t="s">
        <v>35</v>
      </c>
      <c r="F46" t="s">
        <v>18</v>
      </c>
      <c r="G46" t="s">
        <v>53</v>
      </c>
      <c r="H46" s="1">
        <v>1860</v>
      </c>
    </row>
    <row r="47" spans="2:8" x14ac:dyDescent="0.35">
      <c r="B47" t="s">
        <v>94</v>
      </c>
      <c r="C47" t="s">
        <v>145</v>
      </c>
      <c r="D47" t="s">
        <v>146</v>
      </c>
      <c r="E47" t="s">
        <v>35</v>
      </c>
      <c r="F47" t="s">
        <v>85</v>
      </c>
      <c r="G47" t="s">
        <v>53</v>
      </c>
      <c r="H47" s="1">
        <v>2900</v>
      </c>
    </row>
    <row r="48" spans="2:8" x14ac:dyDescent="0.35">
      <c r="B48" t="s">
        <v>94</v>
      </c>
      <c r="C48" t="s">
        <v>147</v>
      </c>
      <c r="D48" t="s">
        <v>70</v>
      </c>
      <c r="E48" t="s">
        <v>17</v>
      </c>
      <c r="F48" t="s">
        <v>23</v>
      </c>
      <c r="G48" t="s">
        <v>53</v>
      </c>
      <c r="H48">
        <v>585</v>
      </c>
    </row>
    <row r="49" spans="2:8" x14ac:dyDescent="0.35">
      <c r="B49" t="s">
        <v>94</v>
      </c>
      <c r="C49" t="s">
        <v>148</v>
      </c>
      <c r="D49" t="s">
        <v>149</v>
      </c>
      <c r="E49" t="s">
        <v>82</v>
      </c>
      <c r="F49" t="s">
        <v>18</v>
      </c>
      <c r="G49" t="s">
        <v>53</v>
      </c>
      <c r="H49">
        <v>482</v>
      </c>
    </row>
    <row r="50" spans="2:8" x14ac:dyDescent="0.35">
      <c r="B50" t="s">
        <v>94</v>
      </c>
      <c r="C50" t="s">
        <v>150</v>
      </c>
      <c r="D50" t="s">
        <v>151</v>
      </c>
      <c r="E50" t="s">
        <v>92</v>
      </c>
      <c r="F50" t="s">
        <v>18</v>
      </c>
      <c r="G50" t="s">
        <v>78</v>
      </c>
      <c r="H50" s="1">
        <v>2400</v>
      </c>
    </row>
    <row r="51" spans="2:8" x14ac:dyDescent="0.35">
      <c r="B51" t="s">
        <v>94</v>
      </c>
      <c r="C51" t="s">
        <v>152</v>
      </c>
      <c r="D51" t="s">
        <v>70</v>
      </c>
      <c r="E51" t="s">
        <v>17</v>
      </c>
      <c r="F51" t="s">
        <v>18</v>
      </c>
      <c r="G51" t="s">
        <v>46</v>
      </c>
      <c r="H51">
        <v>493</v>
      </c>
    </row>
    <row r="52" spans="2:8" x14ac:dyDescent="0.35">
      <c r="B52" t="s">
        <v>94</v>
      </c>
      <c r="C52" t="s">
        <v>153</v>
      </c>
      <c r="D52" t="s">
        <v>154</v>
      </c>
      <c r="E52" t="s">
        <v>39</v>
      </c>
      <c r="F52" t="s">
        <v>12</v>
      </c>
      <c r="G52" t="s">
        <v>53</v>
      </c>
      <c r="H52">
        <v>126</v>
      </c>
    </row>
    <row r="53" spans="2:8" x14ac:dyDescent="0.35">
      <c r="B53" t="s">
        <v>94</v>
      </c>
      <c r="C53" t="s">
        <v>155</v>
      </c>
      <c r="D53" t="s">
        <v>156</v>
      </c>
      <c r="E53" t="s">
        <v>22</v>
      </c>
      <c r="F53" t="s">
        <v>23</v>
      </c>
      <c r="G53" t="s">
        <v>46</v>
      </c>
      <c r="H53">
        <v>96</v>
      </c>
    </row>
    <row r="54" spans="2:8" x14ac:dyDescent="0.35">
      <c r="B54" t="s">
        <v>94</v>
      </c>
      <c r="C54" t="s">
        <v>157</v>
      </c>
      <c r="D54" t="s">
        <v>158</v>
      </c>
      <c r="E54" t="s">
        <v>74</v>
      </c>
      <c r="F54" t="s">
        <v>18</v>
      </c>
      <c r="G54" t="s">
        <v>53</v>
      </c>
      <c r="H54">
        <v>500</v>
      </c>
    </row>
    <row r="55" spans="2:8" x14ac:dyDescent="0.35">
      <c r="B55" t="s">
        <v>94</v>
      </c>
      <c r="C55" t="s">
        <v>159</v>
      </c>
      <c r="D55" t="s">
        <v>160</v>
      </c>
      <c r="E55" t="s">
        <v>107</v>
      </c>
      <c r="F55" t="s">
        <v>45</v>
      </c>
      <c r="G55" t="s">
        <v>53</v>
      </c>
      <c r="H55">
        <v>101</v>
      </c>
    </row>
    <row r="56" spans="2:8" x14ac:dyDescent="0.35">
      <c r="B56" t="s">
        <v>94</v>
      </c>
      <c r="C56" t="s">
        <v>161</v>
      </c>
      <c r="D56" t="s">
        <v>10</v>
      </c>
      <c r="E56" t="s">
        <v>11</v>
      </c>
      <c r="F56" t="s">
        <v>45</v>
      </c>
      <c r="G56" t="s">
        <v>53</v>
      </c>
      <c r="H56">
        <v>100</v>
      </c>
    </row>
    <row r="57" spans="2:8" x14ac:dyDescent="0.35">
      <c r="B57" t="s">
        <v>94</v>
      </c>
      <c r="C57" t="s">
        <v>162</v>
      </c>
      <c r="D57" t="s">
        <v>38</v>
      </c>
      <c r="E57" t="s">
        <v>163</v>
      </c>
      <c r="F57" t="s">
        <v>12</v>
      </c>
      <c r="G57" t="s">
        <v>57</v>
      </c>
      <c r="H57">
        <v>106</v>
      </c>
    </row>
    <row r="58" spans="2:8" x14ac:dyDescent="0.35">
      <c r="B58" t="s">
        <v>94</v>
      </c>
      <c r="C58" t="s">
        <v>164</v>
      </c>
      <c r="D58" t="s">
        <v>165</v>
      </c>
      <c r="E58" t="s">
        <v>22</v>
      </c>
      <c r="F58" t="s">
        <v>18</v>
      </c>
      <c r="G58" t="s">
        <v>46</v>
      </c>
      <c r="H58">
        <v>410</v>
      </c>
    </row>
    <row r="59" spans="2:8" x14ac:dyDescent="0.35">
      <c r="B59" t="s">
        <v>94</v>
      </c>
      <c r="C59" t="s">
        <v>166</v>
      </c>
      <c r="D59" t="s">
        <v>167</v>
      </c>
      <c r="E59" t="s">
        <v>107</v>
      </c>
      <c r="F59" t="s">
        <v>18</v>
      </c>
      <c r="G59" t="s">
        <v>53</v>
      </c>
      <c r="H59">
        <v>655</v>
      </c>
    </row>
    <row r="60" spans="2:8" x14ac:dyDescent="0.35">
      <c r="B60" t="s">
        <v>94</v>
      </c>
      <c r="C60" t="s">
        <v>168</v>
      </c>
      <c r="D60" t="s">
        <v>169</v>
      </c>
      <c r="E60" t="s">
        <v>74</v>
      </c>
      <c r="F60" t="s">
        <v>18</v>
      </c>
      <c r="G60" t="s">
        <v>53</v>
      </c>
      <c r="H60" s="1">
        <v>1290</v>
      </c>
    </row>
    <row r="61" spans="2:8" x14ac:dyDescent="0.35">
      <c r="B61" t="s">
        <v>94</v>
      </c>
      <c r="C61" t="s">
        <v>170</v>
      </c>
      <c r="D61" t="s">
        <v>171</v>
      </c>
      <c r="E61" t="s">
        <v>97</v>
      </c>
      <c r="F61" t="s">
        <v>12</v>
      </c>
      <c r="G61" t="s">
        <v>53</v>
      </c>
      <c r="H61">
        <v>235</v>
      </c>
    </row>
    <row r="62" spans="2:8" x14ac:dyDescent="0.35">
      <c r="B62" t="s">
        <v>94</v>
      </c>
      <c r="C62" t="s">
        <v>172</v>
      </c>
      <c r="D62" t="s">
        <v>173</v>
      </c>
      <c r="E62" t="s">
        <v>44</v>
      </c>
      <c r="F62" t="s">
        <v>23</v>
      </c>
      <c r="G62" t="s">
        <v>53</v>
      </c>
      <c r="H62">
        <v>129</v>
      </c>
    </row>
    <row r="63" spans="2:8" x14ac:dyDescent="0.35">
      <c r="B63" t="s">
        <v>94</v>
      </c>
      <c r="C63" t="s">
        <v>174</v>
      </c>
      <c r="D63" t="s">
        <v>175</v>
      </c>
      <c r="E63" t="s">
        <v>92</v>
      </c>
      <c r="F63" t="s">
        <v>12</v>
      </c>
      <c r="G63" t="s">
        <v>53</v>
      </c>
      <c r="H63">
        <v>289</v>
      </c>
    </row>
    <row r="64" spans="2:8" x14ac:dyDescent="0.35">
      <c r="B64" t="s">
        <v>94</v>
      </c>
      <c r="C64" t="s">
        <v>176</v>
      </c>
      <c r="D64" t="s">
        <v>177</v>
      </c>
      <c r="E64" t="s">
        <v>103</v>
      </c>
      <c r="F64" t="s">
        <v>18</v>
      </c>
      <c r="G64" t="s">
        <v>46</v>
      </c>
      <c r="H64" s="1">
        <v>2792</v>
      </c>
    </row>
    <row r="65" spans="2:8" x14ac:dyDescent="0.35">
      <c r="B65" t="s">
        <v>94</v>
      </c>
      <c r="C65" t="s">
        <v>178</v>
      </c>
      <c r="D65" t="s">
        <v>179</v>
      </c>
      <c r="E65" t="s">
        <v>17</v>
      </c>
      <c r="F65" t="s">
        <v>45</v>
      </c>
      <c r="G65" t="s">
        <v>46</v>
      </c>
      <c r="H65">
        <v>90</v>
      </c>
    </row>
    <row r="66" spans="2:8" x14ac:dyDescent="0.35">
      <c r="B66" t="s">
        <v>94</v>
      </c>
      <c r="C66" t="s">
        <v>180</v>
      </c>
      <c r="D66" t="s">
        <v>136</v>
      </c>
      <c r="E66" t="s">
        <v>92</v>
      </c>
      <c r="F66" t="s">
        <v>18</v>
      </c>
      <c r="G66" t="s">
        <v>57</v>
      </c>
      <c r="H66" s="1">
        <v>2500</v>
      </c>
    </row>
    <row r="67" spans="2:8" x14ac:dyDescent="0.35">
      <c r="B67" t="s">
        <v>94</v>
      </c>
      <c r="C67" t="s">
        <v>181</v>
      </c>
      <c r="D67" t="s">
        <v>182</v>
      </c>
      <c r="E67" t="s">
        <v>31</v>
      </c>
      <c r="F67" t="s">
        <v>18</v>
      </c>
      <c r="G67" t="s">
        <v>57</v>
      </c>
      <c r="H67" s="1">
        <v>1900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B217-B4E5-408E-B1E1-0F9645F9BB6C}">
  <dimension ref="A1:AH87"/>
  <sheetViews>
    <sheetView topLeftCell="F1" zoomScale="80" zoomScaleNormal="80" workbookViewId="0">
      <selection activeCell="Y2" sqref="Y2:Y17"/>
    </sheetView>
  </sheetViews>
  <sheetFormatPr defaultRowHeight="14.5" x14ac:dyDescent="0.35"/>
  <cols>
    <col min="3" max="3" width="17.7265625" bestFit="1" customWidth="1"/>
    <col min="8" max="8" width="22.81640625" bestFit="1" customWidth="1"/>
    <col min="9" max="9" width="19" bestFit="1" customWidth="1"/>
    <col min="10" max="10" width="16.453125" bestFit="1" customWidth="1"/>
    <col min="11" max="11" width="8.1796875" bestFit="1" customWidth="1"/>
    <col min="28" max="28" width="14.453125" bestFit="1" customWidth="1"/>
    <col min="29" max="29" width="13.7265625" bestFit="1" customWidth="1"/>
    <col min="30" max="30" width="72.54296875" bestFit="1" customWidth="1"/>
    <col min="31" max="31" width="27.81640625" bestFit="1" customWidth="1"/>
  </cols>
  <sheetData>
    <row r="1" spans="1:34" x14ac:dyDescent="0.35">
      <c r="A1" t="s">
        <v>207</v>
      </c>
      <c r="B1" t="s">
        <v>386</v>
      </c>
      <c r="C1" t="s">
        <v>408</v>
      </c>
      <c r="H1" t="s">
        <v>405</v>
      </c>
      <c r="I1" t="s">
        <v>407</v>
      </c>
      <c r="J1" t="s">
        <v>209</v>
      </c>
      <c r="K1" t="s">
        <v>210</v>
      </c>
      <c r="O1" t="s">
        <v>604</v>
      </c>
      <c r="P1" t="s">
        <v>211</v>
      </c>
      <c r="Q1" t="s">
        <v>609</v>
      </c>
      <c r="R1" t="s">
        <v>606</v>
      </c>
      <c r="S1" t="s">
        <v>607</v>
      </c>
      <c r="V1" t="s">
        <v>410</v>
      </c>
      <c r="W1" t="s">
        <v>610</v>
      </c>
      <c r="X1" t="s">
        <v>611</v>
      </c>
      <c r="Y1" t="s">
        <v>605</v>
      </c>
      <c r="AB1" t="s">
        <v>412</v>
      </c>
      <c r="AC1" t="s">
        <v>4</v>
      </c>
      <c r="AD1" t="s">
        <v>413</v>
      </c>
      <c r="AE1" t="s">
        <v>409</v>
      </c>
      <c r="AF1" t="s">
        <v>405</v>
      </c>
      <c r="AG1" t="s">
        <v>410</v>
      </c>
      <c r="AH1" t="s">
        <v>513</v>
      </c>
    </row>
    <row r="2" spans="1:34" x14ac:dyDescent="0.35">
      <c r="A2">
        <v>2025</v>
      </c>
      <c r="B2" t="s">
        <v>387</v>
      </c>
      <c r="C2">
        <v>50</v>
      </c>
      <c r="H2" t="s">
        <v>399</v>
      </c>
      <c r="I2">
        <v>61</v>
      </c>
      <c r="J2" s="27">
        <f>$I2/SUM($I$2:$I$8)</f>
        <v>0.64893617021276595</v>
      </c>
      <c r="K2">
        <v>1</v>
      </c>
      <c r="O2" t="s">
        <v>473</v>
      </c>
      <c r="P2" s="28">
        <v>25</v>
      </c>
      <c r="Q2" s="4">
        <f>P2/SUM($P$2:$P$28)</f>
        <v>0.12690355329949238</v>
      </c>
      <c r="R2">
        <v>19</v>
      </c>
      <c r="S2">
        <v>6</v>
      </c>
      <c r="V2" t="s">
        <v>612</v>
      </c>
      <c r="W2" t="s">
        <v>77</v>
      </c>
      <c r="X2">
        <v>115</v>
      </c>
      <c r="Y2" s="35">
        <v>0.64</v>
      </c>
      <c r="AB2" s="29">
        <v>45658</v>
      </c>
      <c r="AC2" t="s">
        <v>35</v>
      </c>
      <c r="AD2" t="s">
        <v>414</v>
      </c>
      <c r="AE2" t="s">
        <v>415</v>
      </c>
      <c r="AH2" t="s">
        <v>514</v>
      </c>
    </row>
    <row r="3" spans="1:34" x14ac:dyDescent="0.35">
      <c r="A3">
        <v>2025</v>
      </c>
      <c r="B3" t="s">
        <v>388</v>
      </c>
      <c r="C3">
        <v>50</v>
      </c>
      <c r="H3" t="s">
        <v>400</v>
      </c>
      <c r="I3">
        <v>16</v>
      </c>
      <c r="J3" s="27">
        <f t="shared" ref="J3:J8" si="0">$I3/SUM($I$2:$I$8)</f>
        <v>0.1702127659574468</v>
      </c>
      <c r="K3">
        <v>2</v>
      </c>
      <c r="O3" t="s">
        <v>39</v>
      </c>
      <c r="P3" s="28">
        <v>21</v>
      </c>
      <c r="Q3" s="4">
        <f t="shared" ref="Q3:Q28" si="1">P3/SUM($P$2:$P$28)</f>
        <v>0.1065989847715736</v>
      </c>
      <c r="R3">
        <v>19</v>
      </c>
      <c r="S3">
        <v>2</v>
      </c>
      <c r="V3" t="s">
        <v>612</v>
      </c>
      <c r="W3" t="s">
        <v>44</v>
      </c>
      <c r="X3">
        <v>63</v>
      </c>
      <c r="Y3" s="35">
        <v>0.36</v>
      </c>
      <c r="AB3" s="29">
        <v>45717</v>
      </c>
      <c r="AC3" t="s">
        <v>35</v>
      </c>
      <c r="AD3" t="s">
        <v>416</v>
      </c>
      <c r="AE3" t="s">
        <v>411</v>
      </c>
    </row>
    <row r="4" spans="1:34" x14ac:dyDescent="0.35">
      <c r="A4">
        <v>2025</v>
      </c>
      <c r="B4" t="s">
        <v>389</v>
      </c>
      <c r="C4">
        <v>50</v>
      </c>
      <c r="H4" t="s">
        <v>401</v>
      </c>
      <c r="I4">
        <v>7</v>
      </c>
      <c r="J4" s="27">
        <f t="shared" si="0"/>
        <v>7.4468085106382975E-2</v>
      </c>
      <c r="K4">
        <v>3</v>
      </c>
      <c r="O4" t="s">
        <v>17</v>
      </c>
      <c r="P4" s="28">
        <v>17</v>
      </c>
      <c r="Q4" s="4">
        <f t="shared" si="1"/>
        <v>8.6294416243654817E-2</v>
      </c>
      <c r="R4">
        <v>10</v>
      </c>
      <c r="S4">
        <v>7</v>
      </c>
      <c r="V4" t="s">
        <v>613</v>
      </c>
      <c r="W4" t="s">
        <v>614</v>
      </c>
      <c r="X4">
        <v>139</v>
      </c>
      <c r="Y4" s="35">
        <v>0.38</v>
      </c>
      <c r="AB4" s="29">
        <v>44713</v>
      </c>
      <c r="AC4" t="s">
        <v>35</v>
      </c>
      <c r="AD4" t="s">
        <v>417</v>
      </c>
      <c r="AE4" t="s">
        <v>411</v>
      </c>
    </row>
    <row r="5" spans="1:34" x14ac:dyDescent="0.35">
      <c r="A5">
        <v>2025</v>
      </c>
      <c r="B5" t="s">
        <v>390</v>
      </c>
      <c r="C5">
        <v>53</v>
      </c>
      <c r="H5" t="s">
        <v>402</v>
      </c>
      <c r="I5">
        <v>7</v>
      </c>
      <c r="J5" s="27">
        <f t="shared" si="0"/>
        <v>7.4468085106382975E-2</v>
      </c>
      <c r="K5">
        <v>4</v>
      </c>
      <c r="O5" t="s">
        <v>103</v>
      </c>
      <c r="P5" s="28">
        <v>14</v>
      </c>
      <c r="Q5" s="4">
        <f t="shared" si="1"/>
        <v>7.1065989847715741E-2</v>
      </c>
      <c r="R5">
        <v>14</v>
      </c>
      <c r="S5">
        <v>0</v>
      </c>
      <c r="V5" t="s">
        <v>613</v>
      </c>
      <c r="W5" t="s">
        <v>22</v>
      </c>
      <c r="X5">
        <v>35</v>
      </c>
      <c r="Y5" s="35">
        <v>0.1</v>
      </c>
      <c r="AB5" s="29">
        <v>44013</v>
      </c>
      <c r="AC5" t="s">
        <v>35</v>
      </c>
      <c r="AD5" t="s">
        <v>418</v>
      </c>
      <c r="AE5" t="s">
        <v>419</v>
      </c>
    </row>
    <row r="6" spans="1:34" x14ac:dyDescent="0.35">
      <c r="A6">
        <v>2025</v>
      </c>
      <c r="B6" t="s">
        <v>391</v>
      </c>
      <c r="C6">
        <v>54</v>
      </c>
      <c r="H6" t="s">
        <v>403</v>
      </c>
      <c r="I6">
        <v>2</v>
      </c>
      <c r="J6" s="27">
        <f t="shared" si="0"/>
        <v>2.1276595744680851E-2</v>
      </c>
      <c r="K6">
        <v>5</v>
      </c>
      <c r="O6" t="s">
        <v>74</v>
      </c>
      <c r="P6" s="28">
        <v>13</v>
      </c>
      <c r="Q6" s="4">
        <f t="shared" si="1"/>
        <v>6.5989847715736044E-2</v>
      </c>
      <c r="R6">
        <v>11</v>
      </c>
      <c r="S6">
        <v>2</v>
      </c>
      <c r="V6" t="s">
        <v>613</v>
      </c>
      <c r="W6" t="s">
        <v>44</v>
      </c>
      <c r="X6">
        <v>72</v>
      </c>
      <c r="Y6" s="35">
        <v>0.2</v>
      </c>
      <c r="AB6" s="29">
        <v>44743</v>
      </c>
      <c r="AC6" t="s">
        <v>35</v>
      </c>
      <c r="AD6" t="s">
        <v>420</v>
      </c>
      <c r="AE6" t="s">
        <v>411</v>
      </c>
    </row>
    <row r="7" spans="1:34" x14ac:dyDescent="0.35">
      <c r="A7">
        <v>2025</v>
      </c>
      <c r="B7" t="s">
        <v>392</v>
      </c>
      <c r="C7">
        <v>56</v>
      </c>
      <c r="H7" t="s">
        <v>404</v>
      </c>
      <c r="I7">
        <v>1</v>
      </c>
      <c r="J7" s="27">
        <f t="shared" si="0"/>
        <v>1.0638297872340425E-2</v>
      </c>
      <c r="K7">
        <v>6</v>
      </c>
      <c r="O7" t="s">
        <v>35</v>
      </c>
      <c r="P7" s="28">
        <v>11</v>
      </c>
      <c r="Q7" s="4">
        <f t="shared" si="1"/>
        <v>5.5837563451776651E-2</v>
      </c>
      <c r="R7">
        <v>10</v>
      </c>
      <c r="S7">
        <v>1</v>
      </c>
      <c r="V7" t="s">
        <v>613</v>
      </c>
      <c r="W7" t="s">
        <v>615</v>
      </c>
      <c r="X7">
        <v>57</v>
      </c>
      <c r="Y7" s="35">
        <v>0.15</v>
      </c>
      <c r="AB7" s="29">
        <v>41548</v>
      </c>
      <c r="AC7" t="s">
        <v>31</v>
      </c>
      <c r="AD7" t="s">
        <v>421</v>
      </c>
      <c r="AE7" t="s">
        <v>411</v>
      </c>
    </row>
    <row r="8" spans="1:34" x14ac:dyDescent="0.35">
      <c r="A8">
        <v>2026</v>
      </c>
      <c r="B8" t="s">
        <v>393</v>
      </c>
      <c r="C8">
        <v>59</v>
      </c>
      <c r="H8" t="s">
        <v>406</v>
      </c>
      <c r="I8">
        <v>0</v>
      </c>
      <c r="J8" s="27">
        <f t="shared" si="0"/>
        <v>0</v>
      </c>
      <c r="K8">
        <v>7</v>
      </c>
      <c r="O8" t="s">
        <v>67</v>
      </c>
      <c r="P8" s="28">
        <v>10</v>
      </c>
      <c r="Q8" s="4">
        <f t="shared" si="1"/>
        <v>5.0761421319796954E-2</v>
      </c>
      <c r="R8">
        <v>10</v>
      </c>
      <c r="S8">
        <v>0</v>
      </c>
      <c r="V8" t="s">
        <v>613</v>
      </c>
      <c r="W8" t="s">
        <v>616</v>
      </c>
      <c r="X8">
        <v>17</v>
      </c>
      <c r="Y8" s="35">
        <v>0.05</v>
      </c>
      <c r="AB8" s="29">
        <v>45627</v>
      </c>
      <c r="AC8" t="s">
        <v>31</v>
      </c>
      <c r="AD8" t="s">
        <v>422</v>
      </c>
      <c r="AE8" t="s">
        <v>415</v>
      </c>
    </row>
    <row r="9" spans="1:34" x14ac:dyDescent="0.35">
      <c r="A9">
        <v>2026</v>
      </c>
      <c r="B9" t="s">
        <v>394</v>
      </c>
      <c r="C9">
        <v>59</v>
      </c>
      <c r="O9" t="s">
        <v>506</v>
      </c>
      <c r="P9">
        <v>10</v>
      </c>
      <c r="Q9" s="4">
        <f t="shared" si="1"/>
        <v>5.0761421319796954E-2</v>
      </c>
      <c r="R9">
        <v>4</v>
      </c>
      <c r="S9">
        <v>6</v>
      </c>
      <c r="V9" t="s">
        <v>613</v>
      </c>
      <c r="W9" t="s">
        <v>617</v>
      </c>
      <c r="X9">
        <v>47</v>
      </c>
      <c r="Y9" s="35">
        <v>0.13</v>
      </c>
      <c r="AB9" s="29">
        <v>45352</v>
      </c>
      <c r="AC9" t="s">
        <v>74</v>
      </c>
      <c r="AD9" t="s">
        <v>423</v>
      </c>
      <c r="AE9" t="s">
        <v>415</v>
      </c>
    </row>
    <row r="10" spans="1:34" x14ac:dyDescent="0.35">
      <c r="A10">
        <v>2026</v>
      </c>
      <c r="B10" t="s">
        <v>395</v>
      </c>
      <c r="C10">
        <v>57</v>
      </c>
      <c r="O10" t="s">
        <v>431</v>
      </c>
      <c r="P10">
        <v>10</v>
      </c>
      <c r="Q10" s="4">
        <f t="shared" si="1"/>
        <v>5.0761421319796954E-2</v>
      </c>
      <c r="R10">
        <v>7</v>
      </c>
      <c r="S10">
        <v>3</v>
      </c>
      <c r="V10" t="s">
        <v>618</v>
      </c>
      <c r="W10" t="s">
        <v>615</v>
      </c>
      <c r="X10" s="1">
        <v>1037</v>
      </c>
      <c r="Y10" s="35">
        <v>1</v>
      </c>
      <c r="AB10" s="29">
        <v>44378</v>
      </c>
      <c r="AC10" t="s">
        <v>74</v>
      </c>
      <c r="AD10" t="s">
        <v>424</v>
      </c>
      <c r="AE10" t="s">
        <v>411</v>
      </c>
    </row>
    <row r="11" spans="1:34" x14ac:dyDescent="0.35">
      <c r="A11">
        <v>2026</v>
      </c>
      <c r="B11" t="s">
        <v>396</v>
      </c>
      <c r="C11">
        <v>57</v>
      </c>
      <c r="O11" t="s">
        <v>27</v>
      </c>
      <c r="P11">
        <v>8</v>
      </c>
      <c r="Q11" s="4">
        <f t="shared" si="1"/>
        <v>4.060913705583756E-2</v>
      </c>
      <c r="R11">
        <v>8</v>
      </c>
      <c r="S11">
        <v>0</v>
      </c>
      <c r="V11" t="s">
        <v>619</v>
      </c>
      <c r="W11" t="s">
        <v>39</v>
      </c>
      <c r="X11">
        <v>255</v>
      </c>
      <c r="Y11" s="35">
        <v>0.39</v>
      </c>
      <c r="AB11" s="29">
        <v>45931</v>
      </c>
      <c r="AC11" t="s">
        <v>74</v>
      </c>
      <c r="AD11" t="s">
        <v>425</v>
      </c>
      <c r="AE11" t="s">
        <v>411</v>
      </c>
    </row>
    <row r="12" spans="1:34" x14ac:dyDescent="0.35">
      <c r="A12">
        <v>2026</v>
      </c>
      <c r="B12" t="s">
        <v>397</v>
      </c>
      <c r="C12">
        <v>52</v>
      </c>
      <c r="O12" t="s">
        <v>82</v>
      </c>
      <c r="P12">
        <v>6</v>
      </c>
      <c r="Q12" s="4">
        <f t="shared" si="1"/>
        <v>3.0456852791878174E-2</v>
      </c>
      <c r="R12">
        <v>6</v>
      </c>
      <c r="S12">
        <v>0</v>
      </c>
      <c r="V12" t="s">
        <v>619</v>
      </c>
      <c r="W12" t="s">
        <v>163</v>
      </c>
      <c r="X12">
        <v>36</v>
      </c>
      <c r="Y12" s="35">
        <v>0.06</v>
      </c>
      <c r="AB12" s="29">
        <v>43770</v>
      </c>
      <c r="AC12" t="s">
        <v>74</v>
      </c>
      <c r="AD12" t="s">
        <v>426</v>
      </c>
      <c r="AE12" t="s">
        <v>411</v>
      </c>
    </row>
    <row r="13" spans="1:34" x14ac:dyDescent="0.35">
      <c r="A13">
        <v>2026</v>
      </c>
      <c r="B13" t="s">
        <v>398</v>
      </c>
      <c r="C13">
        <v>50</v>
      </c>
      <c r="O13" t="s">
        <v>134</v>
      </c>
      <c r="P13">
        <v>6</v>
      </c>
      <c r="Q13" s="4">
        <f t="shared" si="1"/>
        <v>3.0456852791878174E-2</v>
      </c>
      <c r="R13">
        <v>3</v>
      </c>
      <c r="S13">
        <v>3</v>
      </c>
      <c r="V13" t="s">
        <v>619</v>
      </c>
      <c r="W13" t="s">
        <v>77</v>
      </c>
      <c r="X13">
        <v>358</v>
      </c>
      <c r="Y13" s="35">
        <v>0.55000000000000004</v>
      </c>
      <c r="AB13" s="29">
        <v>43800</v>
      </c>
      <c r="AC13" t="s">
        <v>74</v>
      </c>
      <c r="AD13" t="s">
        <v>427</v>
      </c>
      <c r="AE13" t="s">
        <v>411</v>
      </c>
    </row>
    <row r="14" spans="1:34" x14ac:dyDescent="0.35">
      <c r="A14">
        <v>2026</v>
      </c>
      <c r="B14" t="s">
        <v>387</v>
      </c>
      <c r="C14">
        <v>51</v>
      </c>
      <c r="O14" t="s">
        <v>608</v>
      </c>
      <c r="P14">
        <v>6</v>
      </c>
      <c r="Q14" s="4">
        <f t="shared" si="1"/>
        <v>3.0456852791878174E-2</v>
      </c>
      <c r="R14">
        <v>1</v>
      </c>
      <c r="S14">
        <v>5</v>
      </c>
      <c r="V14" t="s">
        <v>620</v>
      </c>
      <c r="W14" t="s">
        <v>614</v>
      </c>
      <c r="X14">
        <v>202</v>
      </c>
      <c r="Y14" s="35">
        <v>0.63</v>
      </c>
      <c r="AB14" s="29">
        <v>45992</v>
      </c>
      <c r="AC14" t="s">
        <v>74</v>
      </c>
      <c r="AD14" t="s">
        <v>428</v>
      </c>
      <c r="AE14" t="s">
        <v>429</v>
      </c>
    </row>
    <row r="15" spans="1:34" x14ac:dyDescent="0.35">
      <c r="O15" t="s">
        <v>107</v>
      </c>
      <c r="P15">
        <v>6</v>
      </c>
      <c r="Q15" s="4">
        <f t="shared" si="1"/>
        <v>3.0456852791878174E-2</v>
      </c>
      <c r="R15">
        <v>4</v>
      </c>
      <c r="S15">
        <v>2</v>
      </c>
      <c r="V15" t="s">
        <v>620</v>
      </c>
      <c r="W15" t="s">
        <v>44</v>
      </c>
      <c r="X15">
        <v>118</v>
      </c>
      <c r="Y15" s="35">
        <v>0.37</v>
      </c>
      <c r="AB15" s="29">
        <v>44593</v>
      </c>
      <c r="AC15" t="s">
        <v>82</v>
      </c>
      <c r="AD15" t="s">
        <v>430</v>
      </c>
      <c r="AE15" t="s">
        <v>411</v>
      </c>
    </row>
    <row r="16" spans="1:34" x14ac:dyDescent="0.35">
      <c r="O16" t="s">
        <v>44</v>
      </c>
      <c r="P16">
        <v>5</v>
      </c>
      <c r="Q16" s="4">
        <f t="shared" si="1"/>
        <v>2.5380710659898477E-2</v>
      </c>
      <c r="R16">
        <v>1</v>
      </c>
      <c r="S16">
        <v>4</v>
      </c>
      <c r="V16" t="s">
        <v>621</v>
      </c>
      <c r="W16" t="s">
        <v>622</v>
      </c>
      <c r="X16">
        <v>144</v>
      </c>
      <c r="Y16" s="35">
        <v>0.34</v>
      </c>
      <c r="AB16" s="29">
        <v>44562</v>
      </c>
      <c r="AC16" t="s">
        <v>431</v>
      </c>
      <c r="AD16" t="s">
        <v>432</v>
      </c>
      <c r="AE16" t="s">
        <v>411</v>
      </c>
    </row>
    <row r="17" spans="15:31" x14ac:dyDescent="0.35">
      <c r="O17" t="s">
        <v>97</v>
      </c>
      <c r="P17">
        <v>5</v>
      </c>
      <c r="Q17" s="4">
        <f t="shared" si="1"/>
        <v>2.5380710659898477E-2</v>
      </c>
      <c r="R17">
        <v>4</v>
      </c>
      <c r="S17">
        <v>1</v>
      </c>
      <c r="V17" t="s">
        <v>623</v>
      </c>
      <c r="W17" t="s">
        <v>74</v>
      </c>
      <c r="X17">
        <v>491</v>
      </c>
      <c r="Y17" s="35">
        <v>1</v>
      </c>
      <c r="AB17" s="29">
        <v>45292</v>
      </c>
      <c r="AC17" t="s">
        <v>431</v>
      </c>
      <c r="AD17" t="s">
        <v>433</v>
      </c>
      <c r="AE17" t="s">
        <v>415</v>
      </c>
    </row>
    <row r="18" spans="15:31" x14ac:dyDescent="0.35">
      <c r="O18" t="s">
        <v>11</v>
      </c>
      <c r="P18">
        <v>4</v>
      </c>
      <c r="Q18" s="4">
        <f t="shared" si="1"/>
        <v>2.030456852791878E-2</v>
      </c>
      <c r="R18">
        <v>4</v>
      </c>
      <c r="S18">
        <v>0</v>
      </c>
      <c r="AB18" s="29">
        <v>45809</v>
      </c>
      <c r="AC18" t="s">
        <v>431</v>
      </c>
      <c r="AD18" t="s">
        <v>434</v>
      </c>
      <c r="AE18" t="s">
        <v>415</v>
      </c>
    </row>
    <row r="19" spans="15:31" x14ac:dyDescent="0.35">
      <c r="O19" t="s">
        <v>31</v>
      </c>
      <c r="P19">
        <v>4</v>
      </c>
      <c r="Q19" s="4">
        <f t="shared" si="1"/>
        <v>2.030456852791878E-2</v>
      </c>
      <c r="R19">
        <v>2</v>
      </c>
      <c r="S19">
        <v>2</v>
      </c>
      <c r="AB19" s="29">
        <v>45536</v>
      </c>
      <c r="AC19" t="s">
        <v>431</v>
      </c>
      <c r="AD19" t="s">
        <v>435</v>
      </c>
      <c r="AE19" t="s">
        <v>415</v>
      </c>
    </row>
    <row r="20" spans="15:31" x14ac:dyDescent="0.35">
      <c r="O20" t="s">
        <v>485</v>
      </c>
      <c r="P20">
        <v>4</v>
      </c>
      <c r="Q20" s="4">
        <f t="shared" si="1"/>
        <v>2.030456852791878E-2</v>
      </c>
      <c r="R20">
        <v>4</v>
      </c>
      <c r="S20">
        <v>0</v>
      </c>
      <c r="AB20" s="29">
        <v>39417</v>
      </c>
      <c r="AC20" t="s">
        <v>431</v>
      </c>
      <c r="AD20" t="s">
        <v>436</v>
      </c>
      <c r="AE20" t="s">
        <v>429</v>
      </c>
    </row>
    <row r="21" spans="15:31" x14ac:dyDescent="0.35">
      <c r="O21" t="s">
        <v>465</v>
      </c>
      <c r="P21">
        <v>4</v>
      </c>
      <c r="Q21" s="4">
        <f t="shared" si="1"/>
        <v>2.030456852791878E-2</v>
      </c>
      <c r="R21">
        <v>2</v>
      </c>
      <c r="S21">
        <v>2</v>
      </c>
      <c r="AB21" s="29">
        <v>44348</v>
      </c>
      <c r="AC21" t="s">
        <v>27</v>
      </c>
      <c r="AD21" t="s">
        <v>437</v>
      </c>
      <c r="AE21" t="s">
        <v>438</v>
      </c>
    </row>
    <row r="22" spans="15:31" x14ac:dyDescent="0.35">
      <c r="O22" t="s">
        <v>92</v>
      </c>
      <c r="P22">
        <v>2</v>
      </c>
      <c r="Q22" s="4">
        <f t="shared" si="1"/>
        <v>1.015228426395939E-2</v>
      </c>
      <c r="R22">
        <v>2</v>
      </c>
      <c r="S22">
        <v>0</v>
      </c>
      <c r="AB22" s="29">
        <v>45170</v>
      </c>
      <c r="AC22" t="s">
        <v>27</v>
      </c>
      <c r="AD22" t="s">
        <v>439</v>
      </c>
      <c r="AE22" t="s">
        <v>411</v>
      </c>
    </row>
    <row r="23" spans="15:31" x14ac:dyDescent="0.35">
      <c r="O23" t="s">
        <v>511</v>
      </c>
      <c r="P23">
        <v>2</v>
      </c>
      <c r="Q23" s="4">
        <f t="shared" si="1"/>
        <v>1.015228426395939E-2</v>
      </c>
      <c r="R23">
        <v>2</v>
      </c>
      <c r="S23">
        <v>0</v>
      </c>
      <c r="AB23" s="29">
        <v>44470</v>
      </c>
      <c r="AC23" t="s">
        <v>27</v>
      </c>
      <c r="AD23" t="s">
        <v>440</v>
      </c>
      <c r="AE23" t="s">
        <v>411</v>
      </c>
    </row>
    <row r="24" spans="15:31" x14ac:dyDescent="0.35">
      <c r="O24" t="s">
        <v>528</v>
      </c>
      <c r="P24">
        <v>2</v>
      </c>
      <c r="Q24" s="4">
        <f t="shared" si="1"/>
        <v>1.015228426395939E-2</v>
      </c>
      <c r="R24">
        <v>2</v>
      </c>
      <c r="S24">
        <v>0</v>
      </c>
      <c r="AB24" s="29">
        <v>45962</v>
      </c>
      <c r="AC24" t="s">
        <v>27</v>
      </c>
      <c r="AD24" t="s">
        <v>441</v>
      </c>
      <c r="AE24" t="s">
        <v>411</v>
      </c>
    </row>
    <row r="25" spans="15:31" x14ac:dyDescent="0.35">
      <c r="O25" t="s">
        <v>524</v>
      </c>
      <c r="P25">
        <v>1</v>
      </c>
      <c r="Q25" s="4">
        <f t="shared" si="1"/>
        <v>5.076142131979695E-3</v>
      </c>
      <c r="R25">
        <v>1</v>
      </c>
      <c r="S25">
        <v>0</v>
      </c>
      <c r="AB25" s="29">
        <v>45962</v>
      </c>
      <c r="AC25" t="s">
        <v>27</v>
      </c>
      <c r="AD25" t="s">
        <v>442</v>
      </c>
      <c r="AE25" t="s">
        <v>443</v>
      </c>
    </row>
    <row r="26" spans="15:31" x14ac:dyDescent="0.35">
      <c r="O26" t="s">
        <v>77</v>
      </c>
      <c r="P26">
        <v>1</v>
      </c>
      <c r="Q26" s="4">
        <f t="shared" si="1"/>
        <v>5.076142131979695E-3</v>
      </c>
      <c r="R26">
        <v>1</v>
      </c>
      <c r="S26">
        <v>0</v>
      </c>
      <c r="AB26" s="29">
        <v>45261</v>
      </c>
      <c r="AC26" t="s">
        <v>27</v>
      </c>
      <c r="AD26" t="s">
        <v>444</v>
      </c>
      <c r="AE26" t="s">
        <v>419</v>
      </c>
    </row>
    <row r="27" spans="15:31" x14ac:dyDescent="0.35">
      <c r="O27" t="s">
        <v>132</v>
      </c>
      <c r="P27">
        <v>0</v>
      </c>
      <c r="Q27" s="4">
        <f t="shared" si="1"/>
        <v>0</v>
      </c>
      <c r="R27">
        <v>0</v>
      </c>
      <c r="S27">
        <v>0</v>
      </c>
      <c r="AB27" s="29">
        <v>46023</v>
      </c>
      <c r="AC27" t="s">
        <v>67</v>
      </c>
      <c r="AD27" t="s">
        <v>445</v>
      </c>
      <c r="AE27" t="s">
        <v>411</v>
      </c>
    </row>
    <row r="28" spans="15:31" x14ac:dyDescent="0.35">
      <c r="O28" t="s">
        <v>163</v>
      </c>
      <c r="P28">
        <v>0</v>
      </c>
      <c r="Q28" s="4">
        <f t="shared" si="1"/>
        <v>0</v>
      </c>
      <c r="R28">
        <v>0</v>
      </c>
      <c r="S28">
        <v>0</v>
      </c>
      <c r="AB28" s="29">
        <v>39479</v>
      </c>
      <c r="AC28" t="s">
        <v>67</v>
      </c>
      <c r="AD28" t="s">
        <v>446</v>
      </c>
      <c r="AE28" t="s">
        <v>411</v>
      </c>
    </row>
    <row r="29" spans="15:31" x14ac:dyDescent="0.35">
      <c r="AB29" s="29">
        <v>45444</v>
      </c>
      <c r="AC29" t="s">
        <v>67</v>
      </c>
      <c r="AD29" t="s">
        <v>447</v>
      </c>
      <c r="AE29" t="s">
        <v>443</v>
      </c>
    </row>
    <row r="30" spans="15:31" x14ac:dyDescent="0.35">
      <c r="AB30" s="29">
        <v>45839</v>
      </c>
      <c r="AC30" t="s">
        <v>67</v>
      </c>
      <c r="AD30" t="s">
        <v>448</v>
      </c>
      <c r="AE30" t="s">
        <v>411</v>
      </c>
    </row>
    <row r="31" spans="15:31" x14ac:dyDescent="0.35">
      <c r="AB31" s="29">
        <v>45962</v>
      </c>
      <c r="AC31" t="s">
        <v>67</v>
      </c>
      <c r="AD31" t="s">
        <v>449</v>
      </c>
      <c r="AE31" t="s">
        <v>411</v>
      </c>
    </row>
    <row r="32" spans="15:31" x14ac:dyDescent="0.35">
      <c r="AB32" s="29">
        <v>45962</v>
      </c>
      <c r="AC32" t="s">
        <v>67</v>
      </c>
      <c r="AD32" t="s">
        <v>450</v>
      </c>
      <c r="AE32" t="s">
        <v>419</v>
      </c>
    </row>
    <row r="33" spans="28:31" x14ac:dyDescent="0.35">
      <c r="AB33" s="29">
        <v>45962</v>
      </c>
      <c r="AC33" t="s">
        <v>67</v>
      </c>
      <c r="AD33" t="s">
        <v>451</v>
      </c>
      <c r="AE33" t="s">
        <v>443</v>
      </c>
    </row>
    <row r="34" spans="28:31" x14ac:dyDescent="0.35">
      <c r="AB34" s="29">
        <v>45992</v>
      </c>
      <c r="AC34" t="s">
        <v>67</v>
      </c>
      <c r="AD34" t="s">
        <v>452</v>
      </c>
      <c r="AE34" t="s">
        <v>411</v>
      </c>
    </row>
    <row r="35" spans="28:31" x14ac:dyDescent="0.35">
      <c r="AB35" s="29">
        <v>45992</v>
      </c>
      <c r="AC35" t="s">
        <v>67</v>
      </c>
      <c r="AD35" t="s">
        <v>453</v>
      </c>
      <c r="AE35" t="s">
        <v>454</v>
      </c>
    </row>
    <row r="36" spans="28:31" x14ac:dyDescent="0.35">
      <c r="AB36" s="29">
        <v>45748</v>
      </c>
      <c r="AC36" t="s">
        <v>92</v>
      </c>
      <c r="AD36" t="s">
        <v>455</v>
      </c>
      <c r="AE36" t="s">
        <v>415</v>
      </c>
    </row>
    <row r="37" spans="28:31" x14ac:dyDescent="0.35">
      <c r="AB37" s="29">
        <v>43132</v>
      </c>
      <c r="AC37" t="s">
        <v>103</v>
      </c>
      <c r="AD37" t="s">
        <v>456</v>
      </c>
      <c r="AE37" t="s">
        <v>411</v>
      </c>
    </row>
    <row r="38" spans="28:31" x14ac:dyDescent="0.35">
      <c r="AB38" s="29">
        <v>46082</v>
      </c>
      <c r="AC38" t="s">
        <v>103</v>
      </c>
      <c r="AD38" t="s">
        <v>457</v>
      </c>
      <c r="AE38" t="s">
        <v>415</v>
      </c>
    </row>
    <row r="39" spans="28:31" x14ac:dyDescent="0.35">
      <c r="AB39" s="29">
        <v>38078</v>
      </c>
      <c r="AC39" t="s">
        <v>103</v>
      </c>
      <c r="AD39" t="s">
        <v>458</v>
      </c>
      <c r="AE39" t="s">
        <v>411</v>
      </c>
    </row>
    <row r="40" spans="28:31" x14ac:dyDescent="0.35">
      <c r="AB40" s="29">
        <v>42826</v>
      </c>
      <c r="AC40" t="s">
        <v>103</v>
      </c>
      <c r="AD40" t="s">
        <v>459</v>
      </c>
      <c r="AE40" t="s">
        <v>443</v>
      </c>
    </row>
    <row r="41" spans="28:31" x14ac:dyDescent="0.35">
      <c r="AB41" s="29">
        <v>46174</v>
      </c>
      <c r="AC41" t="s">
        <v>103</v>
      </c>
      <c r="AD41" t="s">
        <v>460</v>
      </c>
      <c r="AE41" t="s">
        <v>415</v>
      </c>
    </row>
    <row r="42" spans="28:31" x14ac:dyDescent="0.35">
      <c r="AB42" s="29">
        <v>45536</v>
      </c>
      <c r="AC42" t="s">
        <v>103</v>
      </c>
      <c r="AD42" t="s">
        <v>461</v>
      </c>
      <c r="AE42" t="s">
        <v>411</v>
      </c>
    </row>
    <row r="43" spans="28:31" x14ac:dyDescent="0.35">
      <c r="AB43" s="29">
        <v>45536</v>
      </c>
      <c r="AC43" t="s">
        <v>103</v>
      </c>
      <c r="AD43" t="s">
        <v>462</v>
      </c>
      <c r="AE43" t="s">
        <v>411</v>
      </c>
    </row>
    <row r="44" spans="28:31" x14ac:dyDescent="0.35">
      <c r="AB44" s="29">
        <v>45536</v>
      </c>
      <c r="AC44" t="s">
        <v>103</v>
      </c>
      <c r="AD44" t="s">
        <v>463</v>
      </c>
      <c r="AE44" t="s">
        <v>443</v>
      </c>
    </row>
    <row r="45" spans="28:31" x14ac:dyDescent="0.35">
      <c r="AB45" s="29">
        <v>44105</v>
      </c>
      <c r="AC45" t="s">
        <v>103</v>
      </c>
      <c r="AD45" t="s">
        <v>464</v>
      </c>
      <c r="AE45" t="s">
        <v>419</v>
      </c>
    </row>
    <row r="46" spans="28:31" x14ac:dyDescent="0.35">
      <c r="AB46" s="29">
        <v>45839</v>
      </c>
      <c r="AC46" t="s">
        <v>465</v>
      </c>
      <c r="AD46" t="s">
        <v>466</v>
      </c>
      <c r="AE46" t="s">
        <v>411</v>
      </c>
    </row>
    <row r="47" spans="28:31" x14ac:dyDescent="0.35">
      <c r="AB47" s="29">
        <v>46143</v>
      </c>
      <c r="AC47" t="s">
        <v>11</v>
      </c>
      <c r="AD47" t="s">
        <v>467</v>
      </c>
      <c r="AE47" t="s">
        <v>454</v>
      </c>
    </row>
    <row r="48" spans="28:31" x14ac:dyDescent="0.35">
      <c r="AB48" s="29">
        <v>45505</v>
      </c>
      <c r="AC48" t="s">
        <v>11</v>
      </c>
      <c r="AD48" t="s">
        <v>468</v>
      </c>
      <c r="AE48" t="s">
        <v>415</v>
      </c>
    </row>
    <row r="49" spans="28:31" x14ac:dyDescent="0.35">
      <c r="AB49" s="29">
        <v>42979</v>
      </c>
      <c r="AC49" t="s">
        <v>11</v>
      </c>
      <c r="AD49" t="s">
        <v>469</v>
      </c>
      <c r="AE49" t="s">
        <v>411</v>
      </c>
    </row>
    <row r="50" spans="28:31" x14ac:dyDescent="0.35">
      <c r="AB50" s="29">
        <v>46054</v>
      </c>
      <c r="AC50" t="s">
        <v>134</v>
      </c>
      <c r="AD50" t="s">
        <v>470</v>
      </c>
      <c r="AE50" t="s">
        <v>415</v>
      </c>
    </row>
    <row r="51" spans="28:31" x14ac:dyDescent="0.35">
      <c r="AB51" s="29">
        <v>42917</v>
      </c>
      <c r="AC51" t="s">
        <v>134</v>
      </c>
      <c r="AD51" t="s">
        <v>471</v>
      </c>
      <c r="AE51" t="s">
        <v>411</v>
      </c>
    </row>
    <row r="52" spans="28:31" x14ac:dyDescent="0.35">
      <c r="AB52" s="29">
        <v>45992</v>
      </c>
      <c r="AC52" t="s">
        <v>134</v>
      </c>
      <c r="AD52" t="s">
        <v>472</v>
      </c>
      <c r="AE52" t="s">
        <v>415</v>
      </c>
    </row>
    <row r="53" spans="28:31" x14ac:dyDescent="0.35">
      <c r="AB53" s="29">
        <v>46054</v>
      </c>
      <c r="AC53" t="s">
        <v>473</v>
      </c>
      <c r="AD53" t="s">
        <v>474</v>
      </c>
      <c r="AE53" t="s">
        <v>438</v>
      </c>
    </row>
    <row r="54" spans="28:31" x14ac:dyDescent="0.35">
      <c r="AB54" s="29">
        <v>46054</v>
      </c>
      <c r="AC54" t="s">
        <v>473</v>
      </c>
      <c r="AD54" t="s">
        <v>475</v>
      </c>
      <c r="AE54" t="s">
        <v>454</v>
      </c>
    </row>
    <row r="55" spans="28:31" x14ac:dyDescent="0.35">
      <c r="AB55" s="29">
        <v>45717</v>
      </c>
      <c r="AC55" t="s">
        <v>473</v>
      </c>
      <c r="AD55" t="s">
        <v>476</v>
      </c>
      <c r="AE55" t="s">
        <v>411</v>
      </c>
    </row>
    <row r="56" spans="28:31" x14ac:dyDescent="0.35">
      <c r="AB56" s="29">
        <v>46113</v>
      </c>
      <c r="AC56" t="s">
        <v>473</v>
      </c>
      <c r="AD56" t="s">
        <v>477</v>
      </c>
      <c r="AE56" t="s">
        <v>411</v>
      </c>
    </row>
    <row r="57" spans="28:31" x14ac:dyDescent="0.35">
      <c r="AB57" s="29">
        <v>45778</v>
      </c>
      <c r="AC57" t="s">
        <v>473</v>
      </c>
      <c r="AD57" t="s">
        <v>478</v>
      </c>
      <c r="AE57" t="s">
        <v>411</v>
      </c>
    </row>
    <row r="58" spans="28:31" x14ac:dyDescent="0.35">
      <c r="AB58" s="29">
        <v>46143</v>
      </c>
      <c r="AC58" t="s">
        <v>473</v>
      </c>
      <c r="AD58" t="s">
        <v>479</v>
      </c>
      <c r="AE58" t="s">
        <v>411</v>
      </c>
    </row>
    <row r="59" spans="28:31" x14ac:dyDescent="0.35">
      <c r="AB59" s="29">
        <v>44075</v>
      </c>
      <c r="AC59" t="s">
        <v>473</v>
      </c>
      <c r="AD59" t="s">
        <v>480</v>
      </c>
      <c r="AE59" t="s">
        <v>415</v>
      </c>
    </row>
    <row r="60" spans="28:31" x14ac:dyDescent="0.35">
      <c r="AB60" s="29">
        <v>45901</v>
      </c>
      <c r="AC60" t="s">
        <v>473</v>
      </c>
      <c r="AD60" t="s">
        <v>481</v>
      </c>
      <c r="AE60" t="s">
        <v>443</v>
      </c>
    </row>
    <row r="61" spans="28:31" x14ac:dyDescent="0.35">
      <c r="AB61" s="29">
        <v>45931</v>
      </c>
      <c r="AC61" t="s">
        <v>473</v>
      </c>
      <c r="AD61" t="s">
        <v>482</v>
      </c>
      <c r="AE61" t="s">
        <v>411</v>
      </c>
    </row>
    <row r="62" spans="28:31" x14ac:dyDescent="0.35">
      <c r="AB62" s="29">
        <v>45962</v>
      </c>
      <c r="AC62" t="s">
        <v>473</v>
      </c>
      <c r="AD62" t="s">
        <v>483</v>
      </c>
      <c r="AE62" t="s">
        <v>484</v>
      </c>
    </row>
    <row r="63" spans="28:31" x14ac:dyDescent="0.35">
      <c r="AB63" s="29">
        <v>46054</v>
      </c>
      <c r="AC63" t="s">
        <v>485</v>
      </c>
      <c r="AD63" t="s">
        <v>486</v>
      </c>
      <c r="AE63" t="s">
        <v>411</v>
      </c>
    </row>
    <row r="64" spans="28:31" x14ac:dyDescent="0.35">
      <c r="AB64" s="29">
        <v>46054</v>
      </c>
      <c r="AC64" t="s">
        <v>107</v>
      </c>
      <c r="AD64" t="s">
        <v>487</v>
      </c>
      <c r="AE64" t="s">
        <v>443</v>
      </c>
    </row>
    <row r="65" spans="28:31" x14ac:dyDescent="0.35">
      <c r="AB65" s="29">
        <v>46143</v>
      </c>
      <c r="AC65" t="s">
        <v>107</v>
      </c>
      <c r="AD65" t="s">
        <v>488</v>
      </c>
      <c r="AE65" t="s">
        <v>415</v>
      </c>
    </row>
    <row r="66" spans="28:31" x14ac:dyDescent="0.35">
      <c r="AB66" s="29">
        <v>45870</v>
      </c>
      <c r="AC66" t="s">
        <v>107</v>
      </c>
      <c r="AD66" t="s">
        <v>489</v>
      </c>
      <c r="AE66" t="s">
        <v>415</v>
      </c>
    </row>
    <row r="67" spans="28:31" x14ac:dyDescent="0.35">
      <c r="AB67" s="29">
        <v>45962</v>
      </c>
      <c r="AC67" t="s">
        <v>107</v>
      </c>
      <c r="AD67" t="s">
        <v>490</v>
      </c>
      <c r="AE67" t="s">
        <v>415</v>
      </c>
    </row>
    <row r="68" spans="28:31" x14ac:dyDescent="0.35">
      <c r="AB68" s="29">
        <v>46054</v>
      </c>
      <c r="AC68" t="s">
        <v>44</v>
      </c>
      <c r="AD68" t="s">
        <v>491</v>
      </c>
      <c r="AE68" t="s">
        <v>484</v>
      </c>
    </row>
    <row r="69" spans="28:31" x14ac:dyDescent="0.35">
      <c r="AB69" s="29">
        <v>45658</v>
      </c>
      <c r="AC69" t="s">
        <v>17</v>
      </c>
      <c r="AD69" t="s">
        <v>492</v>
      </c>
      <c r="AE69" t="s">
        <v>415</v>
      </c>
    </row>
    <row r="70" spans="28:31" x14ac:dyDescent="0.35">
      <c r="AB70" s="29">
        <v>46023</v>
      </c>
      <c r="AC70" t="s">
        <v>17</v>
      </c>
      <c r="AD70" t="s">
        <v>493</v>
      </c>
      <c r="AE70" t="s">
        <v>411</v>
      </c>
    </row>
    <row r="71" spans="28:31" x14ac:dyDescent="0.35">
      <c r="AB71" s="29">
        <v>40969</v>
      </c>
      <c r="AC71" t="s">
        <v>17</v>
      </c>
      <c r="AD71" t="s">
        <v>494</v>
      </c>
      <c r="AE71" t="s">
        <v>411</v>
      </c>
    </row>
    <row r="72" spans="28:31" x14ac:dyDescent="0.35">
      <c r="AB72" s="29">
        <v>46143</v>
      </c>
      <c r="AC72" t="s">
        <v>17</v>
      </c>
      <c r="AD72" t="s">
        <v>495</v>
      </c>
      <c r="AE72" t="s">
        <v>443</v>
      </c>
    </row>
    <row r="73" spans="28:31" x14ac:dyDescent="0.35">
      <c r="AB73" s="29">
        <v>45536</v>
      </c>
      <c r="AC73" t="s">
        <v>17</v>
      </c>
      <c r="AD73" t="s">
        <v>496</v>
      </c>
      <c r="AE73" t="s">
        <v>411</v>
      </c>
    </row>
    <row r="74" spans="28:31" x14ac:dyDescent="0.35">
      <c r="AB74" s="29">
        <v>44470</v>
      </c>
      <c r="AC74" t="s">
        <v>17</v>
      </c>
      <c r="AD74" t="s">
        <v>497</v>
      </c>
      <c r="AE74" t="s">
        <v>411</v>
      </c>
    </row>
    <row r="75" spans="28:31" x14ac:dyDescent="0.35">
      <c r="AB75" s="29">
        <v>44197</v>
      </c>
      <c r="AC75" t="s">
        <v>39</v>
      </c>
      <c r="AD75" t="s">
        <v>498</v>
      </c>
      <c r="AE75" t="s">
        <v>429</v>
      </c>
    </row>
    <row r="76" spans="28:31" x14ac:dyDescent="0.35">
      <c r="AB76" s="29">
        <v>41306</v>
      </c>
      <c r="AC76" t="s">
        <v>39</v>
      </c>
      <c r="AD76" t="s">
        <v>499</v>
      </c>
      <c r="AE76" t="s">
        <v>443</v>
      </c>
    </row>
    <row r="77" spans="28:31" x14ac:dyDescent="0.35">
      <c r="AB77" s="29">
        <v>45352</v>
      </c>
      <c r="AC77" t="s">
        <v>39</v>
      </c>
      <c r="AD77" t="s">
        <v>500</v>
      </c>
      <c r="AE77" t="s">
        <v>429</v>
      </c>
    </row>
    <row r="78" spans="28:31" x14ac:dyDescent="0.35">
      <c r="AB78" s="29">
        <v>45413</v>
      </c>
      <c r="AC78" t="s">
        <v>39</v>
      </c>
      <c r="AD78" t="s">
        <v>501</v>
      </c>
      <c r="AE78" t="s">
        <v>411</v>
      </c>
    </row>
    <row r="79" spans="28:31" x14ac:dyDescent="0.35">
      <c r="AB79" s="29">
        <v>45413</v>
      </c>
      <c r="AC79" t="s">
        <v>39</v>
      </c>
      <c r="AD79" t="s">
        <v>502</v>
      </c>
      <c r="AE79" t="s">
        <v>411</v>
      </c>
    </row>
    <row r="80" spans="28:31" x14ac:dyDescent="0.35">
      <c r="AB80" s="29">
        <v>41913</v>
      </c>
      <c r="AC80" t="s">
        <v>39</v>
      </c>
      <c r="AD80" t="s">
        <v>503</v>
      </c>
      <c r="AE80" t="s">
        <v>411</v>
      </c>
    </row>
    <row r="81" spans="28:31" x14ac:dyDescent="0.35">
      <c r="AB81" s="29">
        <v>45566</v>
      </c>
      <c r="AC81" t="s">
        <v>39</v>
      </c>
      <c r="AD81" t="s">
        <v>504</v>
      </c>
      <c r="AE81" t="s">
        <v>438</v>
      </c>
    </row>
    <row r="82" spans="28:31" x14ac:dyDescent="0.35">
      <c r="AB82" s="29">
        <v>45992</v>
      </c>
      <c r="AC82" t="s">
        <v>39</v>
      </c>
      <c r="AD82" t="s">
        <v>505</v>
      </c>
      <c r="AE82" t="s">
        <v>411</v>
      </c>
    </row>
    <row r="83" spans="28:31" x14ac:dyDescent="0.35">
      <c r="AB83" s="29">
        <v>46023</v>
      </c>
      <c r="AC83" t="s">
        <v>506</v>
      </c>
      <c r="AD83" t="s">
        <v>507</v>
      </c>
      <c r="AE83" t="s">
        <v>415</v>
      </c>
    </row>
    <row r="84" spans="28:31" x14ac:dyDescent="0.35">
      <c r="AB84" s="29">
        <v>46143</v>
      </c>
      <c r="AC84" t="s">
        <v>506</v>
      </c>
      <c r="AD84" t="s">
        <v>508</v>
      </c>
      <c r="AE84" t="s">
        <v>454</v>
      </c>
    </row>
    <row r="85" spans="28:31" x14ac:dyDescent="0.35">
      <c r="AB85" s="29">
        <v>46143</v>
      </c>
      <c r="AC85" t="s">
        <v>506</v>
      </c>
      <c r="AD85" t="s">
        <v>509</v>
      </c>
      <c r="AE85" t="s">
        <v>438</v>
      </c>
    </row>
    <row r="86" spans="28:31" x14ac:dyDescent="0.35">
      <c r="AB86" s="29">
        <v>46082</v>
      </c>
      <c r="AC86" t="s">
        <v>77</v>
      </c>
      <c r="AD86" t="s">
        <v>510</v>
      </c>
      <c r="AE86" t="s">
        <v>454</v>
      </c>
    </row>
    <row r="87" spans="28:31" x14ac:dyDescent="0.35">
      <c r="AB87" s="29">
        <v>45931</v>
      </c>
      <c r="AC87" t="s">
        <v>511</v>
      </c>
      <c r="AD87" t="s">
        <v>512</v>
      </c>
      <c r="AE87" t="s">
        <v>415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FBED6-3FC7-42F6-ADA8-02304701B9F0}">
  <dimension ref="A1:M26"/>
  <sheetViews>
    <sheetView workbookViewId="0"/>
  </sheetViews>
  <sheetFormatPr defaultRowHeight="14.5" x14ac:dyDescent="0.35"/>
  <cols>
    <col min="1" max="1" width="13.7265625" bestFit="1" customWidth="1"/>
    <col min="2" max="2" width="12.7265625" bestFit="1" customWidth="1"/>
    <col min="3" max="3" width="11.7265625" bestFit="1" customWidth="1"/>
    <col min="4" max="4" width="42.1796875" bestFit="1" customWidth="1"/>
  </cols>
  <sheetData>
    <row r="1" spans="1:13" x14ac:dyDescent="0.35">
      <c r="A1" t="s">
        <v>4</v>
      </c>
      <c r="B1" t="s">
        <v>516</v>
      </c>
      <c r="C1" t="s">
        <v>517</v>
      </c>
      <c r="D1" t="s">
        <v>595</v>
      </c>
      <c r="M1" t="s">
        <v>515</v>
      </c>
    </row>
    <row r="2" spans="1:13" x14ac:dyDescent="0.35">
      <c r="A2" t="s">
        <v>473</v>
      </c>
      <c r="B2" t="s">
        <v>518</v>
      </c>
      <c r="C2" t="s">
        <v>519</v>
      </c>
      <c r="D2" t="s">
        <v>520</v>
      </c>
    </row>
    <row r="3" spans="1:13" x14ac:dyDescent="0.35">
      <c r="A3" t="s">
        <v>485</v>
      </c>
      <c r="B3" t="s">
        <v>521</v>
      </c>
      <c r="C3" t="s">
        <v>522</v>
      </c>
      <c r="D3" t="s">
        <v>523</v>
      </c>
    </row>
    <row r="4" spans="1:13" x14ac:dyDescent="0.35">
      <c r="A4" t="s">
        <v>524</v>
      </c>
      <c r="B4" t="s">
        <v>525</v>
      </c>
      <c r="C4" t="s">
        <v>526</v>
      </c>
      <c r="D4" t="s">
        <v>527</v>
      </c>
    </row>
    <row r="5" spans="1:13" x14ac:dyDescent="0.35">
      <c r="A5" t="s">
        <v>528</v>
      </c>
      <c r="B5" t="s">
        <v>529</v>
      </c>
      <c r="C5" t="s">
        <v>530</v>
      </c>
      <c r="D5" t="s">
        <v>527</v>
      </c>
    </row>
    <row r="6" spans="1:13" x14ac:dyDescent="0.35">
      <c r="A6" t="s">
        <v>465</v>
      </c>
      <c r="B6" t="s">
        <v>531</v>
      </c>
      <c r="C6" t="s">
        <v>532</v>
      </c>
      <c r="D6" t="s">
        <v>533</v>
      </c>
    </row>
    <row r="7" spans="1:13" x14ac:dyDescent="0.35">
      <c r="A7" t="s">
        <v>134</v>
      </c>
      <c r="B7" t="s">
        <v>534</v>
      </c>
      <c r="C7" t="s">
        <v>535</v>
      </c>
      <c r="D7" t="s">
        <v>536</v>
      </c>
    </row>
    <row r="8" spans="1:13" x14ac:dyDescent="0.35">
      <c r="A8" t="s">
        <v>537</v>
      </c>
      <c r="B8" t="s">
        <v>538</v>
      </c>
      <c r="C8" t="s">
        <v>539</v>
      </c>
      <c r="D8" t="s">
        <v>540</v>
      </c>
    </row>
    <row r="9" spans="1:13" x14ac:dyDescent="0.35">
      <c r="A9" t="s">
        <v>132</v>
      </c>
      <c r="B9" t="s">
        <v>541</v>
      </c>
      <c r="C9" t="s">
        <v>542</v>
      </c>
      <c r="D9" t="s">
        <v>543</v>
      </c>
    </row>
    <row r="10" spans="1:13" x14ac:dyDescent="0.35">
      <c r="A10" t="s">
        <v>27</v>
      </c>
      <c r="B10" t="s">
        <v>544</v>
      </c>
      <c r="C10" t="s">
        <v>545</v>
      </c>
      <c r="D10" t="s">
        <v>546</v>
      </c>
    </row>
    <row r="11" spans="1:13" x14ac:dyDescent="0.35">
      <c r="A11" t="s">
        <v>74</v>
      </c>
      <c r="B11" t="s">
        <v>547</v>
      </c>
      <c r="C11" t="s">
        <v>548</v>
      </c>
      <c r="D11" t="s">
        <v>549</v>
      </c>
    </row>
    <row r="12" spans="1:13" x14ac:dyDescent="0.35">
      <c r="A12" t="s">
        <v>44</v>
      </c>
      <c r="B12" t="s">
        <v>550</v>
      </c>
      <c r="C12" t="s">
        <v>551</v>
      </c>
      <c r="D12" t="s">
        <v>552</v>
      </c>
    </row>
    <row r="13" spans="1:13" x14ac:dyDescent="0.35">
      <c r="A13" t="s">
        <v>67</v>
      </c>
      <c r="B13" t="s">
        <v>553</v>
      </c>
      <c r="C13" t="s">
        <v>554</v>
      </c>
      <c r="D13" t="s">
        <v>555</v>
      </c>
    </row>
    <row r="14" spans="1:13" x14ac:dyDescent="0.35">
      <c r="A14" t="s">
        <v>103</v>
      </c>
      <c r="B14" t="s">
        <v>556</v>
      </c>
      <c r="C14" t="s">
        <v>557</v>
      </c>
      <c r="D14" t="s">
        <v>558</v>
      </c>
    </row>
    <row r="15" spans="1:13" x14ac:dyDescent="0.35">
      <c r="A15" t="s">
        <v>92</v>
      </c>
      <c r="B15" t="s">
        <v>559</v>
      </c>
      <c r="C15" t="s">
        <v>560</v>
      </c>
      <c r="D15" t="s">
        <v>561</v>
      </c>
    </row>
    <row r="16" spans="1:13" x14ac:dyDescent="0.35">
      <c r="A16" t="s">
        <v>11</v>
      </c>
      <c r="B16" t="s">
        <v>562</v>
      </c>
      <c r="C16" t="s">
        <v>563</v>
      </c>
      <c r="D16" t="s">
        <v>564</v>
      </c>
    </row>
    <row r="17" spans="1:4" x14ac:dyDescent="0.35">
      <c r="A17" t="s">
        <v>77</v>
      </c>
      <c r="B17" t="s">
        <v>565</v>
      </c>
      <c r="C17" t="s">
        <v>566</v>
      </c>
      <c r="D17" t="s">
        <v>567</v>
      </c>
    </row>
    <row r="18" spans="1:4" x14ac:dyDescent="0.35">
      <c r="A18" t="s">
        <v>39</v>
      </c>
      <c r="B18" t="s">
        <v>568</v>
      </c>
      <c r="C18" t="s">
        <v>569</v>
      </c>
      <c r="D18" t="s">
        <v>570</v>
      </c>
    </row>
    <row r="19" spans="1:4" x14ac:dyDescent="0.35">
      <c r="A19" t="s">
        <v>163</v>
      </c>
      <c r="B19" t="s">
        <v>571</v>
      </c>
      <c r="C19" t="s">
        <v>572</v>
      </c>
      <c r="D19" t="s">
        <v>573</v>
      </c>
    </row>
    <row r="20" spans="1:4" x14ac:dyDescent="0.35">
      <c r="A20" t="s">
        <v>107</v>
      </c>
      <c r="B20" t="s">
        <v>574</v>
      </c>
      <c r="C20" t="s">
        <v>575</v>
      </c>
      <c r="D20" t="s">
        <v>576</v>
      </c>
    </row>
    <row r="21" spans="1:4" x14ac:dyDescent="0.35">
      <c r="A21" t="s">
        <v>31</v>
      </c>
      <c r="B21" t="s">
        <v>577</v>
      </c>
      <c r="C21" t="s">
        <v>578</v>
      </c>
      <c r="D21" t="s">
        <v>579</v>
      </c>
    </row>
    <row r="22" spans="1:4" x14ac:dyDescent="0.35">
      <c r="A22" t="s">
        <v>82</v>
      </c>
      <c r="B22" t="s">
        <v>580</v>
      </c>
      <c r="C22" t="s">
        <v>581</v>
      </c>
      <c r="D22" t="s">
        <v>582</v>
      </c>
    </row>
    <row r="23" spans="1:4" x14ac:dyDescent="0.35">
      <c r="A23" t="s">
        <v>22</v>
      </c>
      <c r="B23" t="s">
        <v>583</v>
      </c>
      <c r="C23" t="s">
        <v>584</v>
      </c>
      <c r="D23" t="s">
        <v>585</v>
      </c>
    </row>
    <row r="24" spans="1:4" x14ac:dyDescent="0.35">
      <c r="A24" t="s">
        <v>17</v>
      </c>
      <c r="B24" t="s">
        <v>586</v>
      </c>
      <c r="C24" t="s">
        <v>587</v>
      </c>
      <c r="D24" t="s">
        <v>588</v>
      </c>
    </row>
    <row r="25" spans="1:4" x14ac:dyDescent="0.35">
      <c r="A25" t="s">
        <v>97</v>
      </c>
      <c r="B25" t="s">
        <v>589</v>
      </c>
      <c r="C25" t="s">
        <v>590</v>
      </c>
      <c r="D25" t="s">
        <v>591</v>
      </c>
    </row>
    <row r="26" spans="1:4" x14ac:dyDescent="0.35">
      <c r="A26" t="s">
        <v>35</v>
      </c>
      <c r="B26" t="s">
        <v>592</v>
      </c>
      <c r="C26" t="s">
        <v>593</v>
      </c>
      <c r="D26" t="s">
        <v>594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640C-3560-4154-B3E0-567F4DFE3B7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E1C81-8FE9-42E6-BDE8-EEC6DCEBE465}">
  <dimension ref="A1:F2"/>
  <sheetViews>
    <sheetView workbookViewId="0">
      <selection activeCell="E13" sqref="E13"/>
    </sheetView>
  </sheetViews>
  <sheetFormatPr defaultRowHeight="14.5" x14ac:dyDescent="0.35"/>
  <cols>
    <col min="1" max="1" width="32.81640625" bestFit="1" customWidth="1"/>
    <col min="2" max="2" width="68.81640625" customWidth="1"/>
    <col min="3" max="3" width="8" bestFit="1" customWidth="1"/>
    <col min="4" max="4" width="10.453125" bestFit="1" customWidth="1"/>
    <col min="5" max="5" width="40" customWidth="1"/>
  </cols>
  <sheetData>
    <row r="1" spans="1:6" x14ac:dyDescent="0.35">
      <c r="A1" t="s">
        <v>597</v>
      </c>
      <c r="B1" t="s">
        <v>599</v>
      </c>
      <c r="C1" t="s">
        <v>598</v>
      </c>
      <c r="D1" t="s">
        <v>600</v>
      </c>
      <c r="E1" t="s">
        <v>513</v>
      </c>
    </row>
    <row r="2" spans="1:6" s="28" customFormat="1" ht="58" x14ac:dyDescent="0.35">
      <c r="A2" s="30" t="s">
        <v>596</v>
      </c>
      <c r="B2" s="30" t="s">
        <v>601</v>
      </c>
      <c r="C2" s="30" t="s">
        <v>602</v>
      </c>
      <c r="D2" s="31">
        <v>46230</v>
      </c>
      <c r="E2" s="30" t="s">
        <v>603</v>
      </c>
      <c r="F2" s="3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D863C-C5A7-49CA-B3FD-28DFEDD23BCE}">
  <dimension ref="A1:U40"/>
  <sheetViews>
    <sheetView workbookViewId="0">
      <selection sqref="A1:F1"/>
    </sheetView>
  </sheetViews>
  <sheetFormatPr defaultRowHeight="14.5" x14ac:dyDescent="0.35"/>
  <cols>
    <col min="1" max="1" width="13.1796875" bestFit="1" customWidth="1"/>
    <col min="2" max="2" width="41.1796875" bestFit="1" customWidth="1"/>
    <col min="3" max="3" width="13.7265625" bestFit="1" customWidth="1"/>
    <col min="4" max="4" width="18.54296875" bestFit="1" customWidth="1"/>
    <col min="5" max="5" width="17.7265625" bestFit="1" customWidth="1"/>
    <col min="6" max="6" width="18.1796875" bestFit="1" customWidth="1"/>
    <col min="9" max="9" width="11.54296875" bestFit="1" customWidth="1"/>
    <col min="10" max="10" width="37.26953125" bestFit="1" customWidth="1"/>
    <col min="11" max="11" width="13.7265625" bestFit="1" customWidth="1"/>
    <col min="12" max="12" width="18.54296875" bestFit="1" customWidth="1"/>
    <col min="13" max="13" width="17.7265625" bestFit="1" customWidth="1"/>
    <col min="14" max="14" width="18.1796875" bestFit="1" customWidth="1"/>
    <col min="16" max="16" width="17" bestFit="1" customWidth="1"/>
    <col min="17" max="17" width="41.1796875" bestFit="1" customWidth="1"/>
    <col min="18" max="18" width="13.1796875" bestFit="1" customWidth="1"/>
    <col min="19" max="19" width="10.453125" bestFit="1" customWidth="1"/>
    <col min="20" max="20" width="6.453125" bestFit="1" customWidth="1"/>
    <col min="21" max="21" width="5" bestFit="1" customWidth="1"/>
  </cols>
  <sheetData>
    <row r="1" spans="1:21" x14ac:dyDescent="0.35">
      <c r="A1" s="32" t="s">
        <v>304</v>
      </c>
      <c r="B1" s="32"/>
      <c r="C1" s="32"/>
      <c r="D1" s="32"/>
      <c r="E1" s="32"/>
      <c r="F1" s="32"/>
      <c r="I1" s="32" t="s">
        <v>328</v>
      </c>
      <c r="J1" s="32"/>
      <c r="K1" s="32"/>
      <c r="L1" s="32"/>
      <c r="M1" s="32"/>
      <c r="N1" s="32"/>
      <c r="P1" s="32" t="s">
        <v>329</v>
      </c>
      <c r="Q1" s="32"/>
      <c r="R1" s="32"/>
      <c r="S1" s="32"/>
      <c r="T1" s="32"/>
      <c r="U1" s="32"/>
    </row>
    <row r="2" spans="1:21" x14ac:dyDescent="0.35">
      <c r="A2" t="s">
        <v>2</v>
      </c>
      <c r="B2" t="s">
        <v>3</v>
      </c>
      <c r="C2" t="s">
        <v>4</v>
      </c>
      <c r="D2" t="s">
        <v>263</v>
      </c>
      <c r="E2" t="s">
        <v>5</v>
      </c>
      <c r="F2" t="s">
        <v>208</v>
      </c>
      <c r="I2" t="s">
        <v>2</v>
      </c>
      <c r="J2" t="s">
        <v>3</v>
      </c>
      <c r="K2" t="s">
        <v>4</v>
      </c>
      <c r="L2" t="s">
        <v>263</v>
      </c>
      <c r="M2" t="s">
        <v>5</v>
      </c>
      <c r="N2" t="s">
        <v>208</v>
      </c>
      <c r="P2" t="s">
        <v>330</v>
      </c>
      <c r="Q2" t="s">
        <v>331</v>
      </c>
      <c r="R2" t="s">
        <v>31</v>
      </c>
      <c r="S2" t="s">
        <v>266</v>
      </c>
      <c r="T2" t="s">
        <v>85</v>
      </c>
      <c r="U2">
        <v>2</v>
      </c>
    </row>
    <row r="3" spans="1:21" x14ac:dyDescent="0.35">
      <c r="A3" t="s">
        <v>264</v>
      </c>
      <c r="B3" t="s">
        <v>265</v>
      </c>
      <c r="C3" t="s">
        <v>11</v>
      </c>
      <c r="D3" t="s">
        <v>266</v>
      </c>
      <c r="E3" t="s">
        <v>18</v>
      </c>
      <c r="F3">
        <v>1</v>
      </c>
      <c r="I3" t="s">
        <v>305</v>
      </c>
      <c r="J3" t="s">
        <v>306</v>
      </c>
      <c r="K3" t="s">
        <v>44</v>
      </c>
      <c r="L3" t="s">
        <v>281</v>
      </c>
      <c r="M3" t="s">
        <v>307</v>
      </c>
      <c r="N3">
        <v>3.6</v>
      </c>
      <c r="P3" t="s">
        <v>332</v>
      </c>
      <c r="Q3" t="s">
        <v>158</v>
      </c>
      <c r="R3" t="s">
        <v>82</v>
      </c>
      <c r="S3" t="s">
        <v>266</v>
      </c>
      <c r="T3" t="s">
        <v>18</v>
      </c>
      <c r="U3">
        <v>2.4</v>
      </c>
    </row>
    <row r="4" spans="1:21" x14ac:dyDescent="0.35">
      <c r="A4" t="s">
        <v>267</v>
      </c>
      <c r="B4" t="s">
        <v>268</v>
      </c>
      <c r="C4" t="s">
        <v>35</v>
      </c>
      <c r="D4" t="s">
        <v>266</v>
      </c>
      <c r="E4" t="s">
        <v>18</v>
      </c>
      <c r="F4">
        <v>21</v>
      </c>
      <c r="I4" t="s">
        <v>308</v>
      </c>
      <c r="J4" t="s">
        <v>309</v>
      </c>
      <c r="K4" t="s">
        <v>35</v>
      </c>
      <c r="L4" t="s">
        <v>266</v>
      </c>
      <c r="M4" t="s">
        <v>18</v>
      </c>
      <c r="N4">
        <v>11.3</v>
      </c>
      <c r="P4" t="s">
        <v>333</v>
      </c>
      <c r="Q4" t="s">
        <v>334</v>
      </c>
      <c r="R4" t="s">
        <v>17</v>
      </c>
      <c r="S4" t="s">
        <v>266</v>
      </c>
      <c r="T4" t="s">
        <v>18</v>
      </c>
      <c r="U4">
        <v>2.1</v>
      </c>
    </row>
    <row r="5" spans="1:21" x14ac:dyDescent="0.35">
      <c r="A5" t="s">
        <v>269</v>
      </c>
      <c r="B5" t="s">
        <v>270</v>
      </c>
      <c r="C5" t="s">
        <v>163</v>
      </c>
      <c r="D5" t="s">
        <v>266</v>
      </c>
      <c r="E5" t="s">
        <v>12</v>
      </c>
      <c r="F5">
        <v>1.3</v>
      </c>
      <c r="I5" t="s">
        <v>310</v>
      </c>
      <c r="J5" t="s">
        <v>311</v>
      </c>
      <c r="K5" t="s">
        <v>31</v>
      </c>
      <c r="L5" t="s">
        <v>266</v>
      </c>
      <c r="M5" t="s">
        <v>85</v>
      </c>
      <c r="N5">
        <v>2</v>
      </c>
      <c r="P5" t="s">
        <v>335</v>
      </c>
      <c r="Q5" t="s">
        <v>336</v>
      </c>
      <c r="R5" t="s">
        <v>31</v>
      </c>
      <c r="S5" t="s">
        <v>266</v>
      </c>
      <c r="T5" t="s">
        <v>85</v>
      </c>
      <c r="U5">
        <v>2</v>
      </c>
    </row>
    <row r="6" spans="1:21" x14ac:dyDescent="0.35">
      <c r="A6" t="s">
        <v>271</v>
      </c>
      <c r="B6" t="s">
        <v>270</v>
      </c>
      <c r="C6" t="s">
        <v>163</v>
      </c>
      <c r="D6" t="s">
        <v>266</v>
      </c>
      <c r="E6" t="s">
        <v>12</v>
      </c>
      <c r="F6">
        <v>1.2</v>
      </c>
      <c r="I6" t="s">
        <v>130</v>
      </c>
      <c r="J6" t="s">
        <v>312</v>
      </c>
      <c r="K6" t="s">
        <v>132</v>
      </c>
      <c r="L6" t="s">
        <v>266</v>
      </c>
      <c r="M6" t="s">
        <v>18</v>
      </c>
      <c r="N6">
        <v>5.9</v>
      </c>
      <c r="P6" t="s">
        <v>337</v>
      </c>
      <c r="Q6" t="s">
        <v>34</v>
      </c>
      <c r="R6" t="s">
        <v>35</v>
      </c>
      <c r="S6" t="s">
        <v>281</v>
      </c>
      <c r="T6" t="s">
        <v>18</v>
      </c>
      <c r="U6">
        <v>3.6</v>
      </c>
    </row>
    <row r="7" spans="1:21" x14ac:dyDescent="0.35">
      <c r="A7" t="s">
        <v>128</v>
      </c>
      <c r="B7" t="s">
        <v>129</v>
      </c>
      <c r="C7" t="s">
        <v>44</v>
      </c>
      <c r="D7" t="s">
        <v>266</v>
      </c>
      <c r="E7" t="s">
        <v>23</v>
      </c>
      <c r="F7">
        <v>10</v>
      </c>
      <c r="I7" t="s">
        <v>313</v>
      </c>
      <c r="J7" t="s">
        <v>293</v>
      </c>
      <c r="K7" t="s">
        <v>82</v>
      </c>
      <c r="L7" t="s">
        <v>266</v>
      </c>
      <c r="M7" t="s">
        <v>18</v>
      </c>
      <c r="N7">
        <v>3</v>
      </c>
      <c r="P7" t="s">
        <v>338</v>
      </c>
      <c r="Q7" t="s">
        <v>70</v>
      </c>
      <c r="R7" t="s">
        <v>17</v>
      </c>
      <c r="S7" t="s">
        <v>266</v>
      </c>
      <c r="T7" t="s">
        <v>23</v>
      </c>
      <c r="U7">
        <v>6.9</v>
      </c>
    </row>
    <row r="8" spans="1:21" x14ac:dyDescent="0.35">
      <c r="A8" t="s">
        <v>272</v>
      </c>
      <c r="B8" t="s">
        <v>273</v>
      </c>
      <c r="C8" t="s">
        <v>39</v>
      </c>
      <c r="D8" t="s">
        <v>266</v>
      </c>
      <c r="E8" t="s">
        <v>45</v>
      </c>
      <c r="F8">
        <v>5</v>
      </c>
      <c r="I8" t="s">
        <v>314</v>
      </c>
      <c r="J8" t="s">
        <v>10</v>
      </c>
      <c r="K8" t="s">
        <v>11</v>
      </c>
      <c r="L8" t="s">
        <v>281</v>
      </c>
      <c r="M8" t="s">
        <v>45</v>
      </c>
      <c r="N8">
        <v>2.5</v>
      </c>
      <c r="P8" t="s">
        <v>339</v>
      </c>
      <c r="Q8" t="s">
        <v>34</v>
      </c>
      <c r="R8" t="s">
        <v>35</v>
      </c>
      <c r="S8" t="s">
        <v>281</v>
      </c>
      <c r="T8" t="s">
        <v>18</v>
      </c>
      <c r="U8">
        <v>3.6</v>
      </c>
    </row>
    <row r="9" spans="1:21" x14ac:dyDescent="0.35">
      <c r="A9" t="s">
        <v>274</v>
      </c>
      <c r="B9" t="s">
        <v>10</v>
      </c>
      <c r="C9" t="s">
        <v>163</v>
      </c>
      <c r="D9" t="s">
        <v>266</v>
      </c>
      <c r="E9" t="s">
        <v>18</v>
      </c>
      <c r="F9">
        <v>2.2999999999999998</v>
      </c>
      <c r="I9" t="s">
        <v>315</v>
      </c>
      <c r="J9" t="s">
        <v>316</v>
      </c>
      <c r="K9" t="s">
        <v>31</v>
      </c>
      <c r="L9" t="s">
        <v>266</v>
      </c>
      <c r="M9" t="s">
        <v>18</v>
      </c>
      <c r="N9">
        <v>1</v>
      </c>
      <c r="P9" t="s">
        <v>340</v>
      </c>
      <c r="Q9" t="s">
        <v>120</v>
      </c>
      <c r="R9" t="s">
        <v>77</v>
      </c>
      <c r="S9" t="s">
        <v>281</v>
      </c>
      <c r="T9" t="s">
        <v>85</v>
      </c>
      <c r="U9">
        <v>3.8</v>
      </c>
    </row>
    <row r="10" spans="1:21" x14ac:dyDescent="0.35">
      <c r="A10" t="s">
        <v>137</v>
      </c>
      <c r="B10" t="s">
        <v>138</v>
      </c>
      <c r="C10" t="s">
        <v>35</v>
      </c>
      <c r="D10" t="s">
        <v>266</v>
      </c>
      <c r="E10" t="s">
        <v>18</v>
      </c>
      <c r="F10">
        <v>21</v>
      </c>
      <c r="I10" t="s">
        <v>317</v>
      </c>
      <c r="J10" t="s">
        <v>318</v>
      </c>
      <c r="K10" t="s">
        <v>44</v>
      </c>
      <c r="L10" t="s">
        <v>281</v>
      </c>
      <c r="M10" t="s">
        <v>18</v>
      </c>
      <c r="N10">
        <v>5.6</v>
      </c>
      <c r="P10" t="s">
        <v>341</v>
      </c>
      <c r="Q10" t="s">
        <v>158</v>
      </c>
      <c r="R10" t="s">
        <v>74</v>
      </c>
      <c r="S10" t="s">
        <v>281</v>
      </c>
      <c r="T10" t="s">
        <v>18</v>
      </c>
      <c r="U10">
        <v>13.3</v>
      </c>
    </row>
    <row r="11" spans="1:21" x14ac:dyDescent="0.35">
      <c r="A11" t="s">
        <v>275</v>
      </c>
      <c r="B11" t="s">
        <v>276</v>
      </c>
      <c r="C11" t="s">
        <v>107</v>
      </c>
      <c r="D11" t="s">
        <v>266</v>
      </c>
      <c r="E11" t="s">
        <v>45</v>
      </c>
      <c r="F11">
        <v>5.2</v>
      </c>
      <c r="I11" t="s">
        <v>319</v>
      </c>
      <c r="J11" t="s">
        <v>320</v>
      </c>
      <c r="K11" t="s">
        <v>11</v>
      </c>
      <c r="L11" t="s">
        <v>266</v>
      </c>
      <c r="M11" t="s">
        <v>12</v>
      </c>
      <c r="N11">
        <v>1.5</v>
      </c>
      <c r="P11" t="s">
        <v>342</v>
      </c>
      <c r="Q11" t="s">
        <v>343</v>
      </c>
      <c r="R11" t="s">
        <v>82</v>
      </c>
      <c r="S11" t="s">
        <v>266</v>
      </c>
      <c r="T11" t="s">
        <v>18</v>
      </c>
      <c r="U11">
        <v>0.6</v>
      </c>
    </row>
    <row r="12" spans="1:21" x14ac:dyDescent="0.35">
      <c r="A12" t="s">
        <v>141</v>
      </c>
      <c r="B12" t="s">
        <v>142</v>
      </c>
      <c r="C12" t="s">
        <v>92</v>
      </c>
      <c r="D12" t="s">
        <v>266</v>
      </c>
      <c r="E12" t="s">
        <v>18</v>
      </c>
      <c r="F12">
        <v>10</v>
      </c>
      <c r="I12" t="s">
        <v>321</v>
      </c>
      <c r="J12" t="s">
        <v>70</v>
      </c>
      <c r="K12" t="s">
        <v>22</v>
      </c>
      <c r="L12" t="s">
        <v>266</v>
      </c>
      <c r="M12" t="s">
        <v>23</v>
      </c>
      <c r="N12">
        <v>6.8</v>
      </c>
      <c r="P12" t="s">
        <v>344</v>
      </c>
      <c r="Q12" t="s">
        <v>301</v>
      </c>
      <c r="R12" t="s">
        <v>35</v>
      </c>
      <c r="S12" t="s">
        <v>266</v>
      </c>
      <c r="T12" t="s">
        <v>18</v>
      </c>
      <c r="U12">
        <v>3.7</v>
      </c>
    </row>
    <row r="13" spans="1:21" x14ac:dyDescent="0.35">
      <c r="A13" t="s">
        <v>143</v>
      </c>
      <c r="B13" t="s">
        <v>144</v>
      </c>
      <c r="C13" t="s">
        <v>35</v>
      </c>
      <c r="D13" t="s">
        <v>266</v>
      </c>
      <c r="E13" t="s">
        <v>18</v>
      </c>
      <c r="F13">
        <v>22.5</v>
      </c>
      <c r="I13" t="s">
        <v>322</v>
      </c>
      <c r="J13" t="s">
        <v>323</v>
      </c>
      <c r="K13" t="s">
        <v>39</v>
      </c>
      <c r="L13" t="s">
        <v>266</v>
      </c>
      <c r="M13" t="s">
        <v>12</v>
      </c>
      <c r="N13">
        <v>6.6</v>
      </c>
      <c r="P13" t="s">
        <v>345</v>
      </c>
      <c r="Q13" t="s">
        <v>346</v>
      </c>
      <c r="R13" t="s">
        <v>67</v>
      </c>
      <c r="S13" t="s">
        <v>266</v>
      </c>
      <c r="T13" t="s">
        <v>18</v>
      </c>
      <c r="U13">
        <v>1.4</v>
      </c>
    </row>
    <row r="14" spans="1:21" x14ac:dyDescent="0.35">
      <c r="A14" t="s">
        <v>277</v>
      </c>
      <c r="B14" t="s">
        <v>278</v>
      </c>
      <c r="C14" t="s">
        <v>39</v>
      </c>
      <c r="D14" t="s">
        <v>266</v>
      </c>
      <c r="E14" t="s">
        <v>279</v>
      </c>
      <c r="F14">
        <v>10</v>
      </c>
      <c r="I14" t="s">
        <v>324</v>
      </c>
      <c r="J14" t="s">
        <v>325</v>
      </c>
      <c r="K14" t="s">
        <v>35</v>
      </c>
      <c r="L14" t="s">
        <v>266</v>
      </c>
      <c r="M14" t="s">
        <v>18</v>
      </c>
      <c r="N14">
        <v>1.2</v>
      </c>
      <c r="P14" t="s">
        <v>347</v>
      </c>
      <c r="Q14" t="s">
        <v>70</v>
      </c>
      <c r="R14" t="s">
        <v>17</v>
      </c>
      <c r="S14" t="s">
        <v>266</v>
      </c>
      <c r="T14" t="s">
        <v>23</v>
      </c>
      <c r="U14">
        <v>7.8</v>
      </c>
    </row>
    <row r="15" spans="1:21" x14ac:dyDescent="0.35">
      <c r="A15" t="s">
        <v>280</v>
      </c>
      <c r="B15" t="s">
        <v>112</v>
      </c>
      <c r="C15" t="s">
        <v>107</v>
      </c>
      <c r="D15" t="s">
        <v>281</v>
      </c>
      <c r="E15" t="s">
        <v>45</v>
      </c>
      <c r="F15">
        <v>2.7</v>
      </c>
      <c r="I15" t="s">
        <v>326</v>
      </c>
      <c r="J15" t="s">
        <v>327</v>
      </c>
      <c r="K15" t="s">
        <v>17</v>
      </c>
      <c r="L15" t="s">
        <v>266</v>
      </c>
      <c r="M15" t="s">
        <v>18</v>
      </c>
      <c r="N15">
        <v>2.2999999999999998</v>
      </c>
      <c r="P15" t="s">
        <v>348</v>
      </c>
      <c r="Q15" t="s">
        <v>349</v>
      </c>
      <c r="R15" t="s">
        <v>39</v>
      </c>
      <c r="S15" t="s">
        <v>266</v>
      </c>
      <c r="T15" t="s">
        <v>12</v>
      </c>
      <c r="U15">
        <v>1.6</v>
      </c>
    </row>
    <row r="16" spans="1:21" x14ac:dyDescent="0.35">
      <c r="A16" t="s">
        <v>282</v>
      </c>
      <c r="B16" t="s">
        <v>283</v>
      </c>
      <c r="C16" t="s">
        <v>22</v>
      </c>
      <c r="D16" t="s">
        <v>266</v>
      </c>
      <c r="E16" t="s">
        <v>18</v>
      </c>
      <c r="F16">
        <v>1.8</v>
      </c>
      <c r="P16" t="s">
        <v>350</v>
      </c>
      <c r="Q16" t="s">
        <v>70</v>
      </c>
      <c r="R16" t="s">
        <v>17</v>
      </c>
      <c r="S16" t="s">
        <v>266</v>
      </c>
      <c r="T16" t="s">
        <v>18</v>
      </c>
      <c r="U16">
        <v>4.4000000000000004</v>
      </c>
    </row>
    <row r="17" spans="1:21" x14ac:dyDescent="0.35">
      <c r="A17" t="s">
        <v>284</v>
      </c>
      <c r="B17" t="s">
        <v>34</v>
      </c>
      <c r="C17" t="s">
        <v>35</v>
      </c>
      <c r="D17" t="s">
        <v>281</v>
      </c>
      <c r="E17" t="s">
        <v>18</v>
      </c>
      <c r="F17">
        <v>3.5</v>
      </c>
      <c r="P17" t="s">
        <v>351</v>
      </c>
      <c r="Q17" t="s">
        <v>352</v>
      </c>
      <c r="R17" t="s">
        <v>22</v>
      </c>
      <c r="S17" t="s">
        <v>266</v>
      </c>
      <c r="T17" t="s">
        <v>23</v>
      </c>
      <c r="U17">
        <v>1.1000000000000001</v>
      </c>
    </row>
    <row r="18" spans="1:21" x14ac:dyDescent="0.35">
      <c r="A18" t="s">
        <v>285</v>
      </c>
      <c r="B18" t="s">
        <v>286</v>
      </c>
      <c r="C18" t="s">
        <v>22</v>
      </c>
      <c r="D18" t="s">
        <v>266</v>
      </c>
      <c r="E18" t="s">
        <v>23</v>
      </c>
      <c r="F18">
        <v>6.9</v>
      </c>
      <c r="P18" t="s">
        <v>353</v>
      </c>
      <c r="Q18" t="s">
        <v>265</v>
      </c>
      <c r="R18" t="s">
        <v>107</v>
      </c>
      <c r="S18" t="s">
        <v>266</v>
      </c>
      <c r="T18" t="s">
        <v>18</v>
      </c>
      <c r="U18">
        <v>1.2</v>
      </c>
    </row>
    <row r="19" spans="1:21" x14ac:dyDescent="0.35">
      <c r="A19" t="s">
        <v>287</v>
      </c>
      <c r="B19" t="s">
        <v>288</v>
      </c>
      <c r="C19" t="s">
        <v>97</v>
      </c>
      <c r="D19" t="s">
        <v>281</v>
      </c>
      <c r="E19" t="s">
        <v>12</v>
      </c>
      <c r="F19">
        <v>1.2</v>
      </c>
      <c r="P19" t="s">
        <v>354</v>
      </c>
      <c r="Q19" t="s">
        <v>38</v>
      </c>
      <c r="R19" t="s">
        <v>97</v>
      </c>
      <c r="S19" t="s">
        <v>266</v>
      </c>
      <c r="T19" t="s">
        <v>12</v>
      </c>
      <c r="U19">
        <v>3.5</v>
      </c>
    </row>
    <row r="20" spans="1:21" x14ac:dyDescent="0.35">
      <c r="A20" t="s">
        <v>289</v>
      </c>
      <c r="B20" t="s">
        <v>290</v>
      </c>
      <c r="C20" t="s">
        <v>39</v>
      </c>
      <c r="D20" t="s">
        <v>266</v>
      </c>
      <c r="E20" t="s">
        <v>18</v>
      </c>
      <c r="F20">
        <v>20</v>
      </c>
      <c r="P20" t="s">
        <v>355</v>
      </c>
      <c r="Q20" t="s">
        <v>356</v>
      </c>
      <c r="R20" t="s">
        <v>107</v>
      </c>
      <c r="S20" t="s">
        <v>266</v>
      </c>
      <c r="T20" t="s">
        <v>12</v>
      </c>
      <c r="U20">
        <v>1.8</v>
      </c>
    </row>
    <row r="21" spans="1:21" x14ac:dyDescent="0.35">
      <c r="A21" t="s">
        <v>291</v>
      </c>
      <c r="B21" t="s">
        <v>38</v>
      </c>
      <c r="C21" t="s">
        <v>39</v>
      </c>
      <c r="D21" t="s">
        <v>281</v>
      </c>
      <c r="E21" t="s">
        <v>40</v>
      </c>
      <c r="F21">
        <v>104.5</v>
      </c>
      <c r="P21" t="s">
        <v>357</v>
      </c>
      <c r="Q21" t="s">
        <v>358</v>
      </c>
      <c r="R21" t="s">
        <v>92</v>
      </c>
      <c r="S21" t="s">
        <v>281</v>
      </c>
      <c r="T21" t="s">
        <v>12</v>
      </c>
      <c r="U21">
        <v>10</v>
      </c>
    </row>
    <row r="22" spans="1:21" x14ac:dyDescent="0.35">
      <c r="A22" t="s">
        <v>292</v>
      </c>
      <c r="B22" t="s">
        <v>293</v>
      </c>
      <c r="C22" t="s">
        <v>82</v>
      </c>
      <c r="D22" t="s">
        <v>266</v>
      </c>
      <c r="E22" t="s">
        <v>18</v>
      </c>
      <c r="F22">
        <v>1.7</v>
      </c>
      <c r="P22" t="s">
        <v>359</v>
      </c>
      <c r="Q22" t="s">
        <v>360</v>
      </c>
      <c r="R22" t="s">
        <v>31</v>
      </c>
      <c r="S22" t="s">
        <v>266</v>
      </c>
      <c r="T22" t="s">
        <v>18</v>
      </c>
      <c r="U22">
        <v>1.3</v>
      </c>
    </row>
    <row r="23" spans="1:21" x14ac:dyDescent="0.35">
      <c r="A23" t="s">
        <v>294</v>
      </c>
      <c r="B23" t="s">
        <v>21</v>
      </c>
      <c r="C23" t="s">
        <v>67</v>
      </c>
      <c r="D23" t="s">
        <v>281</v>
      </c>
      <c r="E23" t="s">
        <v>23</v>
      </c>
      <c r="F23">
        <v>28.6</v>
      </c>
      <c r="P23" t="s">
        <v>361</v>
      </c>
      <c r="Q23" t="s">
        <v>70</v>
      </c>
      <c r="R23" t="s">
        <v>17</v>
      </c>
      <c r="S23" t="s">
        <v>266</v>
      </c>
      <c r="T23" t="s">
        <v>23</v>
      </c>
      <c r="U23">
        <v>6.8</v>
      </c>
    </row>
    <row r="24" spans="1:21" x14ac:dyDescent="0.35">
      <c r="A24" t="s">
        <v>295</v>
      </c>
      <c r="B24" t="s">
        <v>160</v>
      </c>
      <c r="C24" t="s">
        <v>82</v>
      </c>
      <c r="D24" t="s">
        <v>266</v>
      </c>
      <c r="E24" t="s">
        <v>12</v>
      </c>
      <c r="F24">
        <v>39.299999999999997</v>
      </c>
      <c r="P24" t="s">
        <v>362</v>
      </c>
      <c r="Q24" t="s">
        <v>309</v>
      </c>
      <c r="R24" t="s">
        <v>35</v>
      </c>
      <c r="S24" t="s">
        <v>266</v>
      </c>
      <c r="T24" t="s">
        <v>18</v>
      </c>
      <c r="U24">
        <v>2</v>
      </c>
    </row>
    <row r="25" spans="1:21" x14ac:dyDescent="0.35">
      <c r="A25" t="s">
        <v>296</v>
      </c>
      <c r="B25" t="s">
        <v>297</v>
      </c>
      <c r="C25" t="s">
        <v>44</v>
      </c>
      <c r="D25" t="s">
        <v>281</v>
      </c>
      <c r="E25" t="s">
        <v>23</v>
      </c>
      <c r="F25">
        <v>4.5</v>
      </c>
      <c r="P25" t="s">
        <v>363</v>
      </c>
      <c r="Q25" t="s">
        <v>76</v>
      </c>
      <c r="R25" t="s">
        <v>77</v>
      </c>
      <c r="S25" t="s">
        <v>281</v>
      </c>
      <c r="T25" t="s">
        <v>18</v>
      </c>
      <c r="U25">
        <v>15.9</v>
      </c>
    </row>
    <row r="26" spans="1:21" x14ac:dyDescent="0.35">
      <c r="A26" t="s">
        <v>298</v>
      </c>
      <c r="B26" t="s">
        <v>38</v>
      </c>
      <c r="C26" t="s">
        <v>22</v>
      </c>
      <c r="D26" t="s">
        <v>266</v>
      </c>
      <c r="E26" t="s">
        <v>18</v>
      </c>
      <c r="F26">
        <v>6.3</v>
      </c>
      <c r="P26" t="s">
        <v>364</v>
      </c>
      <c r="Q26" t="s">
        <v>158</v>
      </c>
      <c r="R26" t="s">
        <v>74</v>
      </c>
      <c r="S26" t="s">
        <v>281</v>
      </c>
      <c r="T26" t="s">
        <v>18</v>
      </c>
      <c r="U26">
        <v>13.3</v>
      </c>
    </row>
    <row r="27" spans="1:21" x14ac:dyDescent="0.35">
      <c r="A27" t="s">
        <v>299</v>
      </c>
      <c r="B27" t="s">
        <v>160</v>
      </c>
      <c r="C27" t="s">
        <v>31</v>
      </c>
      <c r="D27" t="s">
        <v>281</v>
      </c>
      <c r="E27" t="s">
        <v>12</v>
      </c>
      <c r="F27">
        <v>107</v>
      </c>
      <c r="P27" t="s">
        <v>365</v>
      </c>
      <c r="Q27" t="s">
        <v>70</v>
      </c>
      <c r="R27" t="s">
        <v>11</v>
      </c>
      <c r="S27" t="s">
        <v>266</v>
      </c>
      <c r="T27" t="s">
        <v>18</v>
      </c>
      <c r="U27">
        <v>6.9</v>
      </c>
    </row>
    <row r="28" spans="1:21" x14ac:dyDescent="0.35">
      <c r="A28" t="s">
        <v>300</v>
      </c>
      <c r="B28" t="s">
        <v>301</v>
      </c>
      <c r="C28" t="s">
        <v>82</v>
      </c>
      <c r="D28" t="s">
        <v>266</v>
      </c>
      <c r="E28" t="s">
        <v>45</v>
      </c>
      <c r="F28">
        <v>2.8</v>
      </c>
      <c r="P28" t="s">
        <v>366</v>
      </c>
      <c r="Q28" t="s">
        <v>346</v>
      </c>
      <c r="R28" t="s">
        <v>31</v>
      </c>
      <c r="S28" t="s">
        <v>266</v>
      </c>
      <c r="T28" t="s">
        <v>18</v>
      </c>
      <c r="U28">
        <v>8.5</v>
      </c>
    </row>
    <row r="29" spans="1:21" x14ac:dyDescent="0.35">
      <c r="A29" t="s">
        <v>302</v>
      </c>
      <c r="B29" t="s">
        <v>301</v>
      </c>
      <c r="C29" t="s">
        <v>107</v>
      </c>
      <c r="D29" t="s">
        <v>266</v>
      </c>
      <c r="E29" t="s">
        <v>18</v>
      </c>
      <c r="F29">
        <v>2.8</v>
      </c>
      <c r="P29" t="s">
        <v>367</v>
      </c>
      <c r="Q29" t="s">
        <v>368</v>
      </c>
      <c r="R29" t="s">
        <v>82</v>
      </c>
      <c r="S29" t="s">
        <v>266</v>
      </c>
      <c r="T29" t="s">
        <v>18</v>
      </c>
      <c r="U29">
        <v>2.4</v>
      </c>
    </row>
    <row r="30" spans="1:21" x14ac:dyDescent="0.35">
      <c r="A30" t="s">
        <v>303</v>
      </c>
      <c r="B30" t="s">
        <v>293</v>
      </c>
      <c r="C30" t="s">
        <v>17</v>
      </c>
      <c r="D30" t="s">
        <v>266</v>
      </c>
      <c r="E30" t="s">
        <v>18</v>
      </c>
      <c r="F30">
        <v>3.2</v>
      </c>
      <c r="P30" t="s">
        <v>369</v>
      </c>
      <c r="Q30" t="s">
        <v>325</v>
      </c>
      <c r="R30" t="s">
        <v>17</v>
      </c>
      <c r="S30" t="s">
        <v>266</v>
      </c>
      <c r="T30" t="s">
        <v>18</v>
      </c>
      <c r="U30">
        <v>2.5</v>
      </c>
    </row>
    <row r="31" spans="1:21" x14ac:dyDescent="0.35">
      <c r="P31" t="s">
        <v>370</v>
      </c>
      <c r="Q31" t="s">
        <v>70</v>
      </c>
      <c r="R31" t="s">
        <v>77</v>
      </c>
      <c r="S31" t="s">
        <v>281</v>
      </c>
      <c r="T31" t="s">
        <v>18</v>
      </c>
      <c r="U31">
        <v>8.6</v>
      </c>
    </row>
    <row r="32" spans="1:21" x14ac:dyDescent="0.35">
      <c r="P32" t="s">
        <v>371</v>
      </c>
      <c r="Q32" t="s">
        <v>265</v>
      </c>
      <c r="R32" t="s">
        <v>31</v>
      </c>
      <c r="S32" t="s">
        <v>266</v>
      </c>
      <c r="T32" t="s">
        <v>18</v>
      </c>
      <c r="U32">
        <v>2.4</v>
      </c>
    </row>
    <row r="33" spans="16:21" x14ac:dyDescent="0.35">
      <c r="P33" t="s">
        <v>372</v>
      </c>
      <c r="Q33" t="s">
        <v>373</v>
      </c>
      <c r="R33" t="s">
        <v>39</v>
      </c>
      <c r="S33" t="s">
        <v>266</v>
      </c>
      <c r="T33" t="s">
        <v>374</v>
      </c>
      <c r="U33">
        <v>5.6</v>
      </c>
    </row>
    <row r="34" spans="16:21" x14ac:dyDescent="0.35">
      <c r="P34" t="s">
        <v>375</v>
      </c>
      <c r="Q34" t="s">
        <v>301</v>
      </c>
      <c r="R34" t="s">
        <v>107</v>
      </c>
      <c r="S34" t="s">
        <v>266</v>
      </c>
      <c r="T34" t="s">
        <v>18</v>
      </c>
      <c r="U34">
        <v>4.9000000000000004</v>
      </c>
    </row>
    <row r="35" spans="16:21" x14ac:dyDescent="0.35">
      <c r="P35" t="s">
        <v>376</v>
      </c>
      <c r="Q35" t="s">
        <v>377</v>
      </c>
      <c r="R35" t="s">
        <v>44</v>
      </c>
      <c r="S35" t="s">
        <v>266</v>
      </c>
      <c r="T35" t="s">
        <v>18</v>
      </c>
      <c r="U35">
        <v>28.5</v>
      </c>
    </row>
    <row r="36" spans="16:21" x14ac:dyDescent="0.35">
      <c r="P36" t="s">
        <v>378</v>
      </c>
      <c r="Q36" t="s">
        <v>34</v>
      </c>
      <c r="R36" t="s">
        <v>35</v>
      </c>
      <c r="S36" t="s">
        <v>281</v>
      </c>
      <c r="T36" t="s">
        <v>18</v>
      </c>
      <c r="U36">
        <v>2.1</v>
      </c>
    </row>
    <row r="37" spans="16:21" x14ac:dyDescent="0.35">
      <c r="P37" t="s">
        <v>379</v>
      </c>
      <c r="Q37" t="s">
        <v>380</v>
      </c>
      <c r="R37" t="s">
        <v>27</v>
      </c>
      <c r="S37" t="s">
        <v>266</v>
      </c>
      <c r="T37" t="s">
        <v>18</v>
      </c>
      <c r="U37">
        <v>4</v>
      </c>
    </row>
    <row r="38" spans="16:21" x14ac:dyDescent="0.35">
      <c r="P38" t="s">
        <v>381</v>
      </c>
      <c r="Q38" t="s">
        <v>382</v>
      </c>
      <c r="R38" t="s">
        <v>17</v>
      </c>
      <c r="S38" t="s">
        <v>266</v>
      </c>
      <c r="T38" t="s">
        <v>18</v>
      </c>
      <c r="U38">
        <v>23.3</v>
      </c>
    </row>
    <row r="39" spans="16:21" x14ac:dyDescent="0.35">
      <c r="P39" t="s">
        <v>383</v>
      </c>
      <c r="Q39" t="s">
        <v>384</v>
      </c>
      <c r="R39" t="s">
        <v>39</v>
      </c>
      <c r="S39" t="s">
        <v>266</v>
      </c>
      <c r="T39" t="s">
        <v>12</v>
      </c>
      <c r="U39">
        <v>6.4</v>
      </c>
    </row>
    <row r="40" spans="16:21" x14ac:dyDescent="0.35">
      <c r="P40" t="s">
        <v>385</v>
      </c>
      <c r="Q40" t="s">
        <v>293</v>
      </c>
      <c r="R40" t="s">
        <v>31</v>
      </c>
      <c r="S40" t="s">
        <v>266</v>
      </c>
    </row>
  </sheetData>
  <mergeCells count="3">
    <mergeCell ref="A1:F1"/>
    <mergeCell ref="I1:N1"/>
    <mergeCell ref="P1:U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0313-3002-4AE0-9B52-293E6B9364A4}">
  <dimension ref="A1:AY38"/>
  <sheetViews>
    <sheetView topLeftCell="B19" workbookViewId="0">
      <selection activeCell="B32" sqref="B32"/>
    </sheetView>
  </sheetViews>
  <sheetFormatPr defaultColWidth="0" defaultRowHeight="14.5" zeroHeight="1" x14ac:dyDescent="0.35"/>
  <cols>
    <col min="1" max="1" width="3.54296875" style="6" customWidth="1"/>
    <col min="2" max="2" width="11.453125" style="6" customWidth="1"/>
    <col min="3" max="3" width="17.453125" style="6" customWidth="1"/>
    <col min="4" max="4" width="15.453125" style="6" customWidth="1"/>
    <col min="5" max="5" width="16.54296875" style="6" customWidth="1"/>
    <col min="6" max="6" width="16" style="6" customWidth="1"/>
    <col min="7" max="7" width="17.7265625" style="6" customWidth="1"/>
    <col min="8" max="8" width="21.453125" style="6" customWidth="1"/>
    <col min="9" max="9" width="17.54296875" style="6" customWidth="1"/>
    <col min="10" max="10" width="18.26953125" style="6" customWidth="1"/>
    <col min="11" max="11" width="11.453125" style="6" customWidth="1"/>
    <col min="12" max="12" width="14.54296875" style="6" customWidth="1"/>
    <col min="13" max="13" width="13.7265625" style="6" customWidth="1"/>
    <col min="14" max="14" width="14.54296875" style="6" customWidth="1"/>
    <col min="15" max="15" width="13.453125" style="6" customWidth="1"/>
    <col min="16" max="16" width="13.7265625" style="6" customWidth="1"/>
    <col min="17" max="17" width="13" style="6" customWidth="1"/>
    <col min="18" max="19" width="14.453125" style="6" customWidth="1"/>
    <col min="20" max="27" width="16.54296875" style="6" customWidth="1"/>
    <col min="28" max="28" width="15.453125" style="6" customWidth="1"/>
    <col min="29" max="29" width="16.54296875" style="6" customWidth="1"/>
    <col min="30" max="30" width="14.54296875" style="6" customWidth="1"/>
    <col min="31" max="31" width="13.54296875" style="6" customWidth="1"/>
    <col min="32" max="32" width="17.453125" style="6" customWidth="1"/>
    <col min="33" max="33" width="16.453125" style="6" customWidth="1"/>
    <col min="34" max="40" width="11.453125" style="6" customWidth="1"/>
    <col min="41" max="41" width="11.453125" customWidth="1"/>
    <col min="42" max="48" width="11.453125" hidden="1" customWidth="1"/>
    <col min="49" max="51" width="11.453125" style="6" hidden="1" customWidth="1"/>
    <col min="52" max="16384" width="0" style="6" hidden="1"/>
  </cols>
  <sheetData>
    <row r="1" spans="2:40" ht="12" customHeight="1" x14ac:dyDescent="0.35"/>
    <row r="2" spans="2:40" ht="18" x14ac:dyDescent="0.35">
      <c r="B2" s="33" t="s">
        <v>219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7"/>
    </row>
    <row r="3" spans="2:40" ht="12.75" customHeight="1" x14ac:dyDescent="0.35"/>
    <row r="4" spans="2:40" ht="69" x14ac:dyDescent="0.35">
      <c r="B4" s="8" t="s">
        <v>220</v>
      </c>
      <c r="C4" s="9" t="s">
        <v>221</v>
      </c>
      <c r="D4" s="9" t="s">
        <v>222</v>
      </c>
      <c r="E4" s="9" t="s">
        <v>223</v>
      </c>
      <c r="F4" s="9" t="s">
        <v>224</v>
      </c>
      <c r="G4" s="9" t="s">
        <v>225</v>
      </c>
      <c r="H4" s="9" t="s">
        <v>226</v>
      </c>
      <c r="I4" s="9" t="s">
        <v>227</v>
      </c>
      <c r="J4" s="9" t="s">
        <v>228</v>
      </c>
      <c r="K4" s="9" t="s">
        <v>229</v>
      </c>
      <c r="L4" s="9" t="s">
        <v>230</v>
      </c>
      <c r="M4" s="9" t="s">
        <v>231</v>
      </c>
      <c r="N4" s="9" t="s">
        <v>232</v>
      </c>
      <c r="O4" s="9" t="s">
        <v>233</v>
      </c>
      <c r="P4" s="9" t="s">
        <v>234</v>
      </c>
      <c r="Q4" s="9" t="s">
        <v>235</v>
      </c>
      <c r="R4" s="9" t="s">
        <v>236</v>
      </c>
      <c r="S4" s="9" t="s">
        <v>237</v>
      </c>
      <c r="T4" s="9" t="s">
        <v>238</v>
      </c>
      <c r="U4" s="9" t="s">
        <v>239</v>
      </c>
      <c r="V4" s="9" t="s">
        <v>240</v>
      </c>
      <c r="W4" s="9" t="s">
        <v>241</v>
      </c>
      <c r="X4" s="9" t="s">
        <v>242</v>
      </c>
      <c r="Y4" s="9" t="s">
        <v>243</v>
      </c>
      <c r="Z4" s="9" t="s">
        <v>244</v>
      </c>
      <c r="AA4" s="9" t="s">
        <v>245</v>
      </c>
      <c r="AB4" s="9" t="s">
        <v>246</v>
      </c>
      <c r="AC4" s="9" t="s">
        <v>247</v>
      </c>
      <c r="AD4" s="9" t="s">
        <v>248</v>
      </c>
      <c r="AE4" s="9" t="s">
        <v>249</v>
      </c>
      <c r="AF4" s="9" t="s">
        <v>250</v>
      </c>
      <c r="AG4" s="9" t="s">
        <v>251</v>
      </c>
      <c r="AH4" s="9" t="s">
        <v>252</v>
      </c>
      <c r="AI4" s="9" t="s">
        <v>253</v>
      </c>
      <c r="AJ4" s="9" t="s">
        <v>254</v>
      </c>
      <c r="AK4" s="9" t="s">
        <v>255</v>
      </c>
      <c r="AL4" s="9" t="s">
        <v>256</v>
      </c>
      <c r="AM4" s="9" t="s">
        <v>257</v>
      </c>
      <c r="AN4" s="9" t="s">
        <v>258</v>
      </c>
    </row>
    <row r="5" spans="2:40" x14ac:dyDescent="0.35">
      <c r="B5" s="10">
        <v>1998</v>
      </c>
      <c r="C5" s="11" t="s">
        <v>259</v>
      </c>
      <c r="D5" s="11" t="s">
        <v>259</v>
      </c>
      <c r="E5" s="11" t="s">
        <v>259</v>
      </c>
      <c r="F5" s="11" t="s">
        <v>259</v>
      </c>
      <c r="G5" s="11" t="s">
        <v>259</v>
      </c>
      <c r="H5" s="11" t="s">
        <v>259</v>
      </c>
      <c r="I5" s="11" t="s">
        <v>259</v>
      </c>
      <c r="J5" s="11" t="s">
        <v>259</v>
      </c>
      <c r="K5" s="11" t="s">
        <v>259</v>
      </c>
      <c r="L5" s="11" t="s">
        <v>259</v>
      </c>
      <c r="M5" s="11" t="s">
        <v>259</v>
      </c>
      <c r="N5" s="11" t="s">
        <v>259</v>
      </c>
      <c r="O5" s="11" t="s">
        <v>259</v>
      </c>
      <c r="P5" s="11" t="s">
        <v>259</v>
      </c>
      <c r="Q5" s="11" t="s">
        <v>259</v>
      </c>
      <c r="R5" s="11" t="s">
        <v>259</v>
      </c>
      <c r="S5" s="11" t="s">
        <v>259</v>
      </c>
      <c r="T5" s="11" t="s">
        <v>259</v>
      </c>
      <c r="U5" s="11" t="s">
        <v>259</v>
      </c>
      <c r="V5" s="11" t="s">
        <v>259</v>
      </c>
      <c r="W5" s="11" t="s">
        <v>259</v>
      </c>
      <c r="X5" s="11" t="s">
        <v>259</v>
      </c>
      <c r="Y5" s="11" t="s">
        <v>259</v>
      </c>
      <c r="Z5" s="11" t="s">
        <v>259</v>
      </c>
      <c r="AA5" s="11" t="s">
        <v>259</v>
      </c>
      <c r="AB5" s="11" t="s">
        <v>259</v>
      </c>
      <c r="AC5" s="11" t="s">
        <v>259</v>
      </c>
      <c r="AD5" s="11" t="s">
        <v>259</v>
      </c>
      <c r="AE5" s="11" t="s">
        <v>259</v>
      </c>
      <c r="AF5" s="11" t="s">
        <v>259</v>
      </c>
      <c r="AG5" s="11" t="s">
        <v>259</v>
      </c>
      <c r="AH5" s="11" t="s">
        <v>259</v>
      </c>
      <c r="AI5" s="11" t="s">
        <v>259</v>
      </c>
      <c r="AJ5" s="11" t="s">
        <v>259</v>
      </c>
      <c r="AK5" s="11" t="s">
        <v>259</v>
      </c>
      <c r="AL5" s="11" t="s">
        <v>259</v>
      </c>
      <c r="AM5" s="11" t="s">
        <v>259</v>
      </c>
      <c r="AN5" s="11" t="s">
        <v>259</v>
      </c>
    </row>
    <row r="6" spans="2:40" x14ac:dyDescent="0.35">
      <c r="B6" s="10">
        <v>1999</v>
      </c>
      <c r="C6" s="11" t="s">
        <v>259</v>
      </c>
      <c r="D6" s="11" t="s">
        <v>259</v>
      </c>
      <c r="E6" s="11" t="s">
        <v>259</v>
      </c>
      <c r="F6" s="11" t="s">
        <v>259</v>
      </c>
      <c r="G6" s="11" t="s">
        <v>259</v>
      </c>
      <c r="H6" s="11" t="s">
        <v>259</v>
      </c>
      <c r="I6" s="11" t="s">
        <v>259</v>
      </c>
      <c r="J6" s="11" t="s">
        <v>259</v>
      </c>
      <c r="K6" s="11" t="s">
        <v>259</v>
      </c>
      <c r="L6" s="11" t="s">
        <v>259</v>
      </c>
      <c r="M6" s="11" t="s">
        <v>259</v>
      </c>
      <c r="N6" s="11" t="s">
        <v>259</v>
      </c>
      <c r="O6" s="11" t="s">
        <v>259</v>
      </c>
      <c r="P6" s="11" t="s">
        <v>259</v>
      </c>
      <c r="Q6" s="11" t="s">
        <v>259</v>
      </c>
      <c r="R6" s="11" t="s">
        <v>259</v>
      </c>
      <c r="S6" s="11" t="s">
        <v>259</v>
      </c>
      <c r="T6" s="11" t="s">
        <v>259</v>
      </c>
      <c r="U6" s="11" t="s">
        <v>259</v>
      </c>
      <c r="V6" s="11" t="s">
        <v>259</v>
      </c>
      <c r="W6" s="11" t="s">
        <v>259</v>
      </c>
      <c r="X6" s="11" t="s">
        <v>259</v>
      </c>
      <c r="Y6" s="11" t="s">
        <v>259</v>
      </c>
      <c r="Z6" s="11" t="s">
        <v>259</v>
      </c>
      <c r="AA6" s="11" t="s">
        <v>259</v>
      </c>
      <c r="AB6" s="11" t="s">
        <v>259</v>
      </c>
      <c r="AC6" s="11" t="s">
        <v>259</v>
      </c>
      <c r="AD6" s="11" t="s">
        <v>259</v>
      </c>
      <c r="AE6" s="11" t="s">
        <v>259</v>
      </c>
      <c r="AF6" s="11" t="s">
        <v>259</v>
      </c>
      <c r="AG6" s="11" t="s">
        <v>259</v>
      </c>
      <c r="AH6" s="11" t="s">
        <v>259</v>
      </c>
      <c r="AI6" s="11" t="s">
        <v>259</v>
      </c>
      <c r="AJ6" s="11" t="s">
        <v>259</v>
      </c>
      <c r="AK6" s="11" t="s">
        <v>259</v>
      </c>
      <c r="AL6" s="11" t="s">
        <v>259</v>
      </c>
      <c r="AM6" s="11" t="s">
        <v>259</v>
      </c>
      <c r="AN6" s="11" t="s">
        <v>259</v>
      </c>
    </row>
    <row r="7" spans="2:40" x14ac:dyDescent="0.35">
      <c r="B7" s="10">
        <v>2000</v>
      </c>
      <c r="C7" s="11" t="s">
        <v>259</v>
      </c>
      <c r="D7" s="11" t="s">
        <v>259</v>
      </c>
      <c r="E7" s="11" t="s">
        <v>259</v>
      </c>
      <c r="F7" s="11" t="s">
        <v>259</v>
      </c>
      <c r="G7" s="11" t="s">
        <v>259</v>
      </c>
      <c r="H7" s="11" t="s">
        <v>259</v>
      </c>
      <c r="I7" s="11" t="s">
        <v>259</v>
      </c>
      <c r="J7" s="11" t="s">
        <v>259</v>
      </c>
      <c r="K7" s="11" t="s">
        <v>259</v>
      </c>
      <c r="L7" s="11" t="s">
        <v>259</v>
      </c>
      <c r="M7" s="11" t="s">
        <v>259</v>
      </c>
      <c r="N7" s="11" t="s">
        <v>259</v>
      </c>
      <c r="O7" s="11" t="s">
        <v>259</v>
      </c>
      <c r="P7" s="11" t="s">
        <v>259</v>
      </c>
      <c r="Q7" s="11" t="s">
        <v>259</v>
      </c>
      <c r="R7" s="11" t="s">
        <v>259</v>
      </c>
      <c r="S7" s="11" t="s">
        <v>259</v>
      </c>
      <c r="T7" s="11" t="s">
        <v>259</v>
      </c>
      <c r="U7" s="11" t="s">
        <v>259</v>
      </c>
      <c r="V7" s="11" t="s">
        <v>259</v>
      </c>
      <c r="W7" s="11" t="s">
        <v>259</v>
      </c>
      <c r="X7" s="11" t="s">
        <v>259</v>
      </c>
      <c r="Y7" s="11" t="s">
        <v>259</v>
      </c>
      <c r="Z7" s="11" t="s">
        <v>259</v>
      </c>
      <c r="AA7" s="11" t="s">
        <v>259</v>
      </c>
      <c r="AB7" s="11" t="s">
        <v>259</v>
      </c>
      <c r="AC7" s="11" t="s">
        <v>259</v>
      </c>
      <c r="AD7" s="11" t="s">
        <v>259</v>
      </c>
      <c r="AE7" s="11" t="s">
        <v>259</v>
      </c>
      <c r="AF7" s="11" t="s">
        <v>259</v>
      </c>
      <c r="AG7" s="11" t="s">
        <v>259</v>
      </c>
      <c r="AH7" s="11" t="s">
        <v>259</v>
      </c>
      <c r="AI7" s="11" t="s">
        <v>259</v>
      </c>
      <c r="AJ7" s="11" t="s">
        <v>259</v>
      </c>
      <c r="AK7" s="11" t="s">
        <v>259</v>
      </c>
      <c r="AL7" s="11" t="s">
        <v>259</v>
      </c>
      <c r="AM7" s="11" t="s">
        <v>259</v>
      </c>
      <c r="AN7" s="11" t="s">
        <v>259</v>
      </c>
    </row>
    <row r="8" spans="2:40" x14ac:dyDescent="0.35">
      <c r="B8" s="10">
        <v>2001</v>
      </c>
      <c r="C8" s="11" t="s">
        <v>259</v>
      </c>
      <c r="D8" s="11" t="s">
        <v>259</v>
      </c>
      <c r="E8" s="11" t="s">
        <v>259</v>
      </c>
      <c r="F8" s="11" t="s">
        <v>259</v>
      </c>
      <c r="G8" s="11" t="s">
        <v>259</v>
      </c>
      <c r="H8" s="11" t="s">
        <v>259</v>
      </c>
      <c r="I8" s="11" t="s">
        <v>259</v>
      </c>
      <c r="J8" s="11" t="s">
        <v>259</v>
      </c>
      <c r="K8" s="11" t="s">
        <v>259</v>
      </c>
      <c r="L8" s="11" t="s">
        <v>259</v>
      </c>
      <c r="M8" s="11" t="s">
        <v>259</v>
      </c>
      <c r="N8" s="11" t="s">
        <v>259</v>
      </c>
      <c r="O8" s="11" t="s">
        <v>259</v>
      </c>
      <c r="P8" s="11" t="s">
        <v>259</v>
      </c>
      <c r="Q8" s="11" t="s">
        <v>259</v>
      </c>
      <c r="R8" s="11" t="s">
        <v>259</v>
      </c>
      <c r="S8" s="11" t="s">
        <v>259</v>
      </c>
      <c r="T8" s="11" t="s">
        <v>259</v>
      </c>
      <c r="U8" s="11" t="s">
        <v>259</v>
      </c>
      <c r="V8" s="11" t="s">
        <v>259</v>
      </c>
      <c r="W8" s="11" t="s">
        <v>259</v>
      </c>
      <c r="X8" s="11" t="s">
        <v>259</v>
      </c>
      <c r="Y8" s="11" t="s">
        <v>259</v>
      </c>
      <c r="Z8" s="11" t="s">
        <v>259</v>
      </c>
      <c r="AA8" s="11" t="s">
        <v>259</v>
      </c>
      <c r="AB8" s="11" t="s">
        <v>259</v>
      </c>
      <c r="AC8" s="11" t="s">
        <v>259</v>
      </c>
      <c r="AD8" s="11" t="s">
        <v>259</v>
      </c>
      <c r="AE8" s="11" t="s">
        <v>259</v>
      </c>
      <c r="AF8" s="11" t="s">
        <v>259</v>
      </c>
      <c r="AG8" s="11" t="s">
        <v>259</v>
      </c>
      <c r="AH8" s="11" t="s">
        <v>259</v>
      </c>
      <c r="AI8" s="11" t="s">
        <v>259</v>
      </c>
      <c r="AJ8" s="11" t="s">
        <v>259</v>
      </c>
      <c r="AK8" s="11" t="s">
        <v>259</v>
      </c>
      <c r="AL8" s="11" t="s">
        <v>259</v>
      </c>
      <c r="AM8" s="11" t="s">
        <v>259</v>
      </c>
      <c r="AN8" s="11" t="s">
        <v>259</v>
      </c>
    </row>
    <row r="9" spans="2:40" x14ac:dyDescent="0.35">
      <c r="B9" s="10">
        <v>2002</v>
      </c>
      <c r="C9" s="11" t="s">
        <v>259</v>
      </c>
      <c r="D9" s="11" t="s">
        <v>259</v>
      </c>
      <c r="E9" s="11" t="s">
        <v>259</v>
      </c>
      <c r="F9" s="11" t="s">
        <v>259</v>
      </c>
      <c r="G9" s="11" t="s">
        <v>259</v>
      </c>
      <c r="H9" s="11" t="s">
        <v>259</v>
      </c>
      <c r="I9" s="11" t="s">
        <v>259</v>
      </c>
      <c r="J9" s="11" t="s">
        <v>259</v>
      </c>
      <c r="K9" s="11" t="s">
        <v>259</v>
      </c>
      <c r="L9" s="11" t="s">
        <v>259</v>
      </c>
      <c r="M9" s="11" t="s">
        <v>259</v>
      </c>
      <c r="N9" s="11" t="s">
        <v>259</v>
      </c>
      <c r="O9" s="11" t="s">
        <v>259</v>
      </c>
      <c r="P9" s="11" t="s">
        <v>259</v>
      </c>
      <c r="Q9" s="11" t="s">
        <v>259</v>
      </c>
      <c r="R9" s="11" t="s">
        <v>259</v>
      </c>
      <c r="S9" s="11" t="s">
        <v>259</v>
      </c>
      <c r="T9" s="11" t="s">
        <v>259</v>
      </c>
      <c r="U9" s="11" t="s">
        <v>259</v>
      </c>
      <c r="V9" s="11" t="s">
        <v>259</v>
      </c>
      <c r="W9" s="11" t="s">
        <v>259</v>
      </c>
      <c r="X9" s="11" t="s">
        <v>259</v>
      </c>
      <c r="Y9" s="11" t="s">
        <v>259</v>
      </c>
      <c r="Z9" s="11" t="s">
        <v>259</v>
      </c>
      <c r="AA9" s="11" t="s">
        <v>259</v>
      </c>
      <c r="AB9" s="11" t="s">
        <v>259</v>
      </c>
      <c r="AC9" s="11" t="s">
        <v>259</v>
      </c>
      <c r="AD9" s="11" t="s">
        <v>259</v>
      </c>
      <c r="AE9" s="11" t="s">
        <v>259</v>
      </c>
      <c r="AF9" s="11" t="s">
        <v>259</v>
      </c>
      <c r="AG9" s="11" t="s">
        <v>259</v>
      </c>
      <c r="AH9" s="11" t="s">
        <v>259</v>
      </c>
      <c r="AI9" s="11" t="s">
        <v>259</v>
      </c>
      <c r="AJ9" s="11" t="s">
        <v>259</v>
      </c>
      <c r="AK9" s="11" t="s">
        <v>259</v>
      </c>
      <c r="AL9" s="11" t="s">
        <v>259</v>
      </c>
      <c r="AM9" s="11" t="s">
        <v>259</v>
      </c>
      <c r="AN9" s="11" t="s">
        <v>259</v>
      </c>
    </row>
    <row r="10" spans="2:40" x14ac:dyDescent="0.35">
      <c r="B10" s="10">
        <v>2003</v>
      </c>
      <c r="C10" s="11" t="s">
        <v>259</v>
      </c>
      <c r="D10" s="11" t="s">
        <v>259</v>
      </c>
      <c r="E10" s="11" t="s">
        <v>259</v>
      </c>
      <c r="F10" s="11" t="s">
        <v>259</v>
      </c>
      <c r="G10" s="11" t="s">
        <v>259</v>
      </c>
      <c r="H10" s="11" t="s">
        <v>259</v>
      </c>
      <c r="I10" s="11" t="s">
        <v>259</v>
      </c>
      <c r="J10" s="11" t="s">
        <v>259</v>
      </c>
      <c r="K10" s="11" t="s">
        <v>259</v>
      </c>
      <c r="L10" s="11" t="s">
        <v>259</v>
      </c>
      <c r="M10" s="11" t="s">
        <v>259</v>
      </c>
      <c r="N10" s="11" t="s">
        <v>259</v>
      </c>
      <c r="O10" s="11" t="s">
        <v>259</v>
      </c>
      <c r="P10" s="11" t="s">
        <v>259</v>
      </c>
      <c r="Q10" s="11" t="s">
        <v>259</v>
      </c>
      <c r="R10" s="11" t="s">
        <v>259</v>
      </c>
      <c r="S10" s="11" t="s">
        <v>259</v>
      </c>
      <c r="T10" s="11" t="s">
        <v>259</v>
      </c>
      <c r="U10" s="11" t="s">
        <v>259</v>
      </c>
      <c r="V10" s="11" t="s">
        <v>259</v>
      </c>
      <c r="W10" s="11" t="s">
        <v>259</v>
      </c>
      <c r="X10" s="11" t="s">
        <v>259</v>
      </c>
      <c r="Y10" s="11" t="s">
        <v>259</v>
      </c>
      <c r="Z10" s="11" t="s">
        <v>259</v>
      </c>
      <c r="AA10" s="11" t="s">
        <v>259</v>
      </c>
      <c r="AB10" s="11" t="s">
        <v>259</v>
      </c>
      <c r="AC10" s="11" t="s">
        <v>259</v>
      </c>
      <c r="AD10" s="11" t="s">
        <v>259</v>
      </c>
      <c r="AE10" s="11" t="s">
        <v>259</v>
      </c>
      <c r="AF10" s="11" t="s">
        <v>259</v>
      </c>
      <c r="AG10" s="11" t="s">
        <v>259</v>
      </c>
      <c r="AH10" s="11" t="s">
        <v>259</v>
      </c>
      <c r="AI10" s="11" t="s">
        <v>259</v>
      </c>
      <c r="AJ10" s="11" t="s">
        <v>259</v>
      </c>
      <c r="AK10" s="11" t="s">
        <v>259</v>
      </c>
      <c r="AL10" s="11" t="s">
        <v>259</v>
      </c>
      <c r="AM10" s="11" t="s">
        <v>259</v>
      </c>
      <c r="AN10" s="11" t="s">
        <v>259</v>
      </c>
    </row>
    <row r="11" spans="2:40" x14ac:dyDescent="0.35">
      <c r="B11" s="10">
        <v>2004</v>
      </c>
      <c r="C11" s="11" t="s">
        <v>259</v>
      </c>
      <c r="D11" s="11" t="s">
        <v>259</v>
      </c>
      <c r="E11" s="11" t="s">
        <v>259</v>
      </c>
      <c r="F11" s="11" t="s">
        <v>259</v>
      </c>
      <c r="G11" s="11" t="s">
        <v>259</v>
      </c>
      <c r="H11" s="11" t="s">
        <v>259</v>
      </c>
      <c r="I11" s="11" t="s">
        <v>259</v>
      </c>
      <c r="J11" s="11" t="s">
        <v>259</v>
      </c>
      <c r="K11" s="11" t="s">
        <v>259</v>
      </c>
      <c r="L11" s="11" t="s">
        <v>259</v>
      </c>
      <c r="M11" s="11" t="s">
        <v>259</v>
      </c>
      <c r="N11" s="11" t="s">
        <v>259</v>
      </c>
      <c r="O11" s="11" t="s">
        <v>259</v>
      </c>
      <c r="P11" s="11" t="s">
        <v>259</v>
      </c>
      <c r="Q11" s="11" t="s">
        <v>259</v>
      </c>
      <c r="R11" s="11" t="s">
        <v>259</v>
      </c>
      <c r="S11" s="11" t="s">
        <v>259</v>
      </c>
      <c r="T11" s="11" t="s">
        <v>259</v>
      </c>
      <c r="U11" s="11" t="s">
        <v>259</v>
      </c>
      <c r="V11" s="11" t="s">
        <v>259</v>
      </c>
      <c r="W11" s="11" t="s">
        <v>259</v>
      </c>
      <c r="X11" s="11" t="s">
        <v>259</v>
      </c>
      <c r="Y11" s="11" t="s">
        <v>259</v>
      </c>
      <c r="Z11" s="11" t="s">
        <v>259</v>
      </c>
      <c r="AA11" s="11" t="s">
        <v>259</v>
      </c>
      <c r="AB11" s="11" t="s">
        <v>259</v>
      </c>
      <c r="AC11" s="11" t="s">
        <v>259</v>
      </c>
      <c r="AD11" s="11" t="s">
        <v>259</v>
      </c>
      <c r="AE11" s="11" t="s">
        <v>259</v>
      </c>
      <c r="AF11" s="11" t="s">
        <v>259</v>
      </c>
      <c r="AG11" s="11" t="s">
        <v>259</v>
      </c>
      <c r="AH11" s="11" t="s">
        <v>259</v>
      </c>
      <c r="AI11" s="11" t="s">
        <v>259</v>
      </c>
      <c r="AJ11" s="11" t="s">
        <v>259</v>
      </c>
      <c r="AK11" s="11" t="s">
        <v>259</v>
      </c>
      <c r="AL11" s="11" t="s">
        <v>259</v>
      </c>
      <c r="AM11" s="11" t="s">
        <v>259</v>
      </c>
      <c r="AN11" s="11" t="s">
        <v>259</v>
      </c>
    </row>
    <row r="12" spans="2:40" x14ac:dyDescent="0.35">
      <c r="B12" s="10">
        <v>2005</v>
      </c>
      <c r="C12" s="12" t="s">
        <v>259</v>
      </c>
      <c r="D12" s="12" t="s">
        <v>259</v>
      </c>
      <c r="E12" s="12" t="s">
        <v>259</v>
      </c>
      <c r="F12" s="12" t="s">
        <v>259</v>
      </c>
      <c r="G12" s="12" t="s">
        <v>259</v>
      </c>
      <c r="H12" s="12" t="s">
        <v>259</v>
      </c>
      <c r="I12" s="12" t="s">
        <v>259</v>
      </c>
      <c r="J12" s="12" t="s">
        <v>259</v>
      </c>
      <c r="K12" s="12" t="s">
        <v>259</v>
      </c>
      <c r="L12" s="12" t="s">
        <v>259</v>
      </c>
      <c r="M12" s="12" t="s">
        <v>259</v>
      </c>
      <c r="N12" s="12" t="s">
        <v>259</v>
      </c>
      <c r="O12" s="12" t="s">
        <v>259</v>
      </c>
      <c r="P12" s="12" t="s">
        <v>259</v>
      </c>
      <c r="Q12" s="12" t="s">
        <v>259</v>
      </c>
      <c r="R12" s="12" t="s">
        <v>259</v>
      </c>
      <c r="S12" s="12" t="s">
        <v>259</v>
      </c>
      <c r="T12" s="12" t="s">
        <v>259</v>
      </c>
      <c r="U12" s="12" t="s">
        <v>259</v>
      </c>
      <c r="V12" s="12" t="s">
        <v>259</v>
      </c>
      <c r="W12" s="12" t="s">
        <v>259</v>
      </c>
      <c r="X12" s="12" t="s">
        <v>259</v>
      </c>
      <c r="Y12" s="12" t="s">
        <v>259</v>
      </c>
      <c r="Z12" s="12" t="s">
        <v>259</v>
      </c>
      <c r="AA12" s="12" t="s">
        <v>259</v>
      </c>
      <c r="AB12" s="12" t="s">
        <v>259</v>
      </c>
      <c r="AC12" s="12" t="s">
        <v>259</v>
      </c>
      <c r="AD12" s="12" t="s">
        <v>259</v>
      </c>
      <c r="AE12" s="12" t="s">
        <v>259</v>
      </c>
      <c r="AF12" s="12" t="s">
        <v>259</v>
      </c>
      <c r="AG12" s="12" t="s">
        <v>259</v>
      </c>
      <c r="AH12" s="12" t="s">
        <v>259</v>
      </c>
      <c r="AI12" s="11">
        <v>445.46837499999998</v>
      </c>
      <c r="AJ12" s="11">
        <v>7.3397420000000002</v>
      </c>
      <c r="AK12" s="11">
        <v>166.871433</v>
      </c>
      <c r="AL12" s="11">
        <v>62.675924999999999</v>
      </c>
      <c r="AM12" s="11">
        <v>44.294241999999997</v>
      </c>
      <c r="AN12" s="11">
        <v>334.83871699999997</v>
      </c>
    </row>
    <row r="13" spans="2:40" x14ac:dyDescent="0.35">
      <c r="B13" s="10">
        <v>2006</v>
      </c>
      <c r="C13" s="12" t="s">
        <v>259</v>
      </c>
      <c r="D13" s="12" t="s">
        <v>259</v>
      </c>
      <c r="E13" s="12" t="s">
        <v>259</v>
      </c>
      <c r="F13" s="12" t="s">
        <v>259</v>
      </c>
      <c r="G13" s="12" t="s">
        <v>259</v>
      </c>
      <c r="H13" s="12" t="s">
        <v>259</v>
      </c>
      <c r="I13" s="12" t="s">
        <v>259</v>
      </c>
      <c r="J13" s="12" t="s">
        <v>259</v>
      </c>
      <c r="K13" s="12" t="s">
        <v>259</v>
      </c>
      <c r="L13" s="12" t="s">
        <v>259</v>
      </c>
      <c r="M13" s="12" t="s">
        <v>259</v>
      </c>
      <c r="N13" s="12" t="s">
        <v>259</v>
      </c>
      <c r="O13" s="12" t="s">
        <v>259</v>
      </c>
      <c r="P13" s="12" t="s">
        <v>259</v>
      </c>
      <c r="Q13" s="12" t="s">
        <v>259</v>
      </c>
      <c r="R13" s="12" t="s">
        <v>259</v>
      </c>
      <c r="S13" s="12" t="s">
        <v>259</v>
      </c>
      <c r="T13" s="12" t="s">
        <v>259</v>
      </c>
      <c r="U13" s="12" t="s">
        <v>259</v>
      </c>
      <c r="V13" s="12" t="s">
        <v>259</v>
      </c>
      <c r="W13" s="12" t="s">
        <v>259</v>
      </c>
      <c r="X13" s="12" t="s">
        <v>259</v>
      </c>
      <c r="Y13" s="12" t="s">
        <v>259</v>
      </c>
      <c r="Z13" s="12" t="s">
        <v>259</v>
      </c>
      <c r="AA13" s="12" t="s">
        <v>259</v>
      </c>
      <c r="AB13" s="12" t="s">
        <v>259</v>
      </c>
      <c r="AC13" s="12" t="s">
        <v>259</v>
      </c>
      <c r="AD13" s="12" t="s">
        <v>259</v>
      </c>
      <c r="AE13" s="12" t="s">
        <v>259</v>
      </c>
      <c r="AF13" s="12" t="s">
        <v>259</v>
      </c>
      <c r="AG13" s="12" t="s">
        <v>259</v>
      </c>
      <c r="AH13" s="12" t="s">
        <v>259</v>
      </c>
      <c r="AI13" s="11">
        <v>604.58096699999999</v>
      </c>
      <c r="AJ13" s="11">
        <v>11.571033</v>
      </c>
      <c r="AK13" s="11">
        <v>304.91089199999999</v>
      </c>
      <c r="AL13" s="11">
        <v>148.56475800000001</v>
      </c>
      <c r="AM13" s="11">
        <v>58.500807999999999</v>
      </c>
      <c r="AN13" s="11">
        <v>398.29153300000002</v>
      </c>
    </row>
    <row r="14" spans="2:40" x14ac:dyDescent="0.35">
      <c r="B14" s="10">
        <v>2007</v>
      </c>
      <c r="C14" s="12" t="s">
        <v>259</v>
      </c>
      <c r="D14" s="12" t="s">
        <v>259</v>
      </c>
      <c r="E14" s="12" t="s">
        <v>259</v>
      </c>
      <c r="F14" s="12" t="s">
        <v>259</v>
      </c>
      <c r="G14" s="12" t="s">
        <v>259</v>
      </c>
      <c r="H14" s="12" t="s">
        <v>259</v>
      </c>
      <c r="I14" s="12" t="s">
        <v>259</v>
      </c>
      <c r="J14" s="12" t="s">
        <v>259</v>
      </c>
      <c r="K14" s="12" t="s">
        <v>259</v>
      </c>
      <c r="L14" s="12" t="s">
        <v>259</v>
      </c>
      <c r="M14" s="12" t="s">
        <v>259</v>
      </c>
      <c r="N14" s="12" t="s">
        <v>259</v>
      </c>
      <c r="O14" s="12" t="s">
        <v>259</v>
      </c>
      <c r="P14" s="12" t="s">
        <v>259</v>
      </c>
      <c r="Q14" s="12" t="s">
        <v>259</v>
      </c>
      <c r="R14" s="12" t="s">
        <v>259</v>
      </c>
      <c r="S14" s="12" t="s">
        <v>259</v>
      </c>
      <c r="T14" s="12" t="s">
        <v>259</v>
      </c>
      <c r="U14" s="12" t="s">
        <v>259</v>
      </c>
      <c r="V14" s="12" t="s">
        <v>259</v>
      </c>
      <c r="W14" s="12" t="s">
        <v>259</v>
      </c>
      <c r="X14" s="12" t="s">
        <v>259</v>
      </c>
      <c r="Y14" s="12" t="s">
        <v>259</v>
      </c>
      <c r="Z14" s="12" t="s">
        <v>259</v>
      </c>
      <c r="AA14" s="12" t="s">
        <v>259</v>
      </c>
      <c r="AB14" s="12" t="s">
        <v>259</v>
      </c>
      <c r="AC14" s="12" t="s">
        <v>259</v>
      </c>
      <c r="AD14" s="12" t="s">
        <v>259</v>
      </c>
      <c r="AE14" s="12" t="s">
        <v>259</v>
      </c>
      <c r="AF14" s="12" t="s">
        <v>259</v>
      </c>
      <c r="AG14" s="12" t="s">
        <v>259</v>
      </c>
      <c r="AH14" s="12" t="s">
        <v>259</v>
      </c>
      <c r="AI14" s="11">
        <v>697.40741666666656</v>
      </c>
      <c r="AJ14" s="11">
        <v>13.415092543859648</v>
      </c>
      <c r="AK14" s="11">
        <v>322.93024166666669</v>
      </c>
      <c r="AL14" s="11">
        <v>147.07377499999998</v>
      </c>
      <c r="AM14" s="11">
        <v>117.02979166666667</v>
      </c>
      <c r="AN14" s="11">
        <v>659.47211666666669</v>
      </c>
    </row>
    <row r="15" spans="2:40" ht="12.75" customHeight="1" x14ac:dyDescent="0.35">
      <c r="B15" s="10">
        <v>2008</v>
      </c>
      <c r="C15" s="11">
        <v>1107.78904205</v>
      </c>
      <c r="D15" s="11">
        <v>179.870472995608</v>
      </c>
      <c r="E15" s="11">
        <v>3685.9310012759997</v>
      </c>
      <c r="F15" s="11">
        <v>1602.5970080209997</v>
      </c>
      <c r="G15" s="11">
        <v>345.109270272</v>
      </c>
      <c r="H15" s="11">
        <v>16.720528117000001</v>
      </c>
      <c r="I15" s="11">
        <v>5160.7070163999997</v>
      </c>
      <c r="J15" s="11">
        <v>39.037065935000001</v>
      </c>
      <c r="K15" s="13">
        <v>7.1489550237603394</v>
      </c>
      <c r="L15" s="14">
        <v>8.8035567050098287</v>
      </c>
      <c r="M15" s="14">
        <v>5.6595644688390845</v>
      </c>
      <c r="N15" s="14">
        <v>5.3571913683507555</v>
      </c>
      <c r="O15" s="14">
        <v>10.955399808594347</v>
      </c>
      <c r="P15" s="14">
        <v>4.8439238504629278</v>
      </c>
      <c r="Q15" s="14">
        <v>-0.39529642183558922</v>
      </c>
      <c r="R15" s="14">
        <v>1.1190097856529579</v>
      </c>
      <c r="S15" s="14">
        <v>4.6516530968387926E-2</v>
      </c>
      <c r="T15" s="11" t="s">
        <v>259</v>
      </c>
      <c r="U15" s="11" t="s">
        <v>259</v>
      </c>
      <c r="V15" s="11" t="s">
        <v>259</v>
      </c>
      <c r="W15" s="11" t="s">
        <v>259</v>
      </c>
      <c r="X15" s="11" t="s">
        <v>259</v>
      </c>
      <c r="Y15" s="11" t="s">
        <v>259</v>
      </c>
      <c r="Z15" s="11" t="s">
        <v>259</v>
      </c>
      <c r="AA15" s="11" t="s">
        <v>259</v>
      </c>
      <c r="AB15" s="11" t="s">
        <v>259</v>
      </c>
      <c r="AC15" s="11" t="s">
        <v>259</v>
      </c>
      <c r="AD15" s="11" t="s">
        <v>259</v>
      </c>
      <c r="AE15" s="11" t="s">
        <v>259</v>
      </c>
      <c r="AF15" s="11" t="s">
        <v>259</v>
      </c>
      <c r="AG15" s="11" t="s">
        <v>259</v>
      </c>
      <c r="AH15" s="11" t="s">
        <v>259</v>
      </c>
      <c r="AI15" s="11">
        <v>872.05664523809526</v>
      </c>
      <c r="AJ15" s="11">
        <v>14.985151515151516</v>
      </c>
      <c r="AK15" s="11">
        <v>314.92920151515148</v>
      </c>
      <c r="AL15" s="11">
        <v>84.892577272727266</v>
      </c>
      <c r="AM15" s="11">
        <v>94.679841666666675</v>
      </c>
      <c r="AN15" s="11">
        <v>840.22889166666664</v>
      </c>
    </row>
    <row r="16" spans="2:40" ht="12.75" customHeight="1" x14ac:dyDescent="0.35">
      <c r="B16" s="10">
        <v>2009</v>
      </c>
      <c r="C16" s="11">
        <v>1113.453971039</v>
      </c>
      <c r="D16" s="11">
        <v>183.99469150778199</v>
      </c>
      <c r="E16" s="11">
        <v>3922.7083963299997</v>
      </c>
      <c r="F16" s="11">
        <v>1512.9310674319997</v>
      </c>
      <c r="G16" s="11">
        <v>302.45911290999993</v>
      </c>
      <c r="H16" s="11">
        <v>12.297103142000001</v>
      </c>
      <c r="I16" s="11">
        <v>4418.7683256</v>
      </c>
      <c r="J16" s="11">
        <v>37.502627191000002</v>
      </c>
      <c r="K16" s="13">
        <v>-2.1148006078637871</v>
      </c>
      <c r="L16" s="14">
        <v>0.51137254242168417</v>
      </c>
      <c r="M16" s="14">
        <v>2.2928824523043012</v>
      </c>
      <c r="N16" s="14">
        <v>6.4248411161484498</v>
      </c>
      <c r="O16" s="14">
        <v>-5.5950398097726399</v>
      </c>
      <c r="P16" s="14">
        <v>-12.358450217850658</v>
      </c>
      <c r="Q16" s="14">
        <v>-26.455055390879913</v>
      </c>
      <c r="R16" s="14">
        <v>-14.376686923753345</v>
      </c>
      <c r="S16" s="14">
        <v>-3.9307225254966105</v>
      </c>
      <c r="T16" s="11">
        <v>5935.4024202705696</v>
      </c>
      <c r="U16" s="11">
        <v>6790.9480920625147</v>
      </c>
      <c r="V16" s="11">
        <v>214.08494407795499</v>
      </c>
      <c r="W16" s="11">
        <v>1233.2203045912822</v>
      </c>
      <c r="X16" s="11">
        <v>591.21348325130839</v>
      </c>
      <c r="Y16" s="11">
        <v>1115.8065786717914</v>
      </c>
      <c r="Z16" s="11">
        <v>275.96500791530212</v>
      </c>
      <c r="AA16" s="11">
        <v>297.68320635250899</v>
      </c>
      <c r="AB16" s="11">
        <v>27.489491084697907</v>
      </c>
      <c r="AC16" s="11">
        <v>16481.813528277933</v>
      </c>
      <c r="AD16" s="11" t="s">
        <v>259</v>
      </c>
      <c r="AE16" s="11" t="s">
        <v>259</v>
      </c>
      <c r="AF16" s="11" t="s">
        <v>259</v>
      </c>
      <c r="AG16" s="11" t="s">
        <v>259</v>
      </c>
      <c r="AH16" s="11" t="s">
        <v>259</v>
      </c>
      <c r="AI16" s="11">
        <v>973.45225000000016</v>
      </c>
      <c r="AJ16" s="11">
        <v>14.679391666666666</v>
      </c>
      <c r="AK16" s="11">
        <v>233.53290833333332</v>
      </c>
      <c r="AL16" s="11">
        <v>75.04676666666667</v>
      </c>
      <c r="AM16" s="11">
        <v>77.890708333333336</v>
      </c>
      <c r="AN16" s="11">
        <v>615.82842500000004</v>
      </c>
    </row>
    <row r="17" spans="1:51" ht="12.75" customHeight="1" x14ac:dyDescent="0.35">
      <c r="B17" s="10">
        <v>2010</v>
      </c>
      <c r="C17" s="11">
        <v>1094.161846252</v>
      </c>
      <c r="D17" s="11">
        <v>164.084388901229</v>
      </c>
      <c r="E17" s="11">
        <v>3640.4654641500006</v>
      </c>
      <c r="F17" s="11">
        <v>1470.4497064990001</v>
      </c>
      <c r="G17" s="11">
        <v>261.98960579399994</v>
      </c>
      <c r="H17" s="11">
        <v>16.963268972999998</v>
      </c>
      <c r="I17" s="11">
        <v>6042.6442222999995</v>
      </c>
      <c r="J17" s="11">
        <v>33.847813441999996</v>
      </c>
      <c r="K17" s="13">
        <v>-2.7212189335048875</v>
      </c>
      <c r="L17" s="14">
        <v>-1.7361711575702432</v>
      </c>
      <c r="M17" s="14">
        <v>-10.821128828995496</v>
      </c>
      <c r="N17" s="14">
        <v>-7.2003753813350224</v>
      </c>
      <c r="O17" s="14">
        <v>-2.8078847640498616</v>
      </c>
      <c r="P17" s="14">
        <v>-13.380157974622565</v>
      </c>
      <c r="Q17" s="14">
        <v>37.945244315817739</v>
      </c>
      <c r="R17" s="14">
        <v>36.749514277363772</v>
      </c>
      <c r="S17" s="14">
        <v>-9.7454872438299311</v>
      </c>
      <c r="T17" s="11">
        <v>8879.1470329311687</v>
      </c>
      <c r="U17" s="11">
        <v>7744.6314899523886</v>
      </c>
      <c r="V17" s="11">
        <v>118.20838016762899</v>
      </c>
      <c r="W17" s="11">
        <v>1696.0733253334295</v>
      </c>
      <c r="X17" s="11">
        <v>841.62143845581932</v>
      </c>
      <c r="Y17" s="11">
        <v>1578.8088600715344</v>
      </c>
      <c r="Z17" s="11">
        <v>491.9356947636328</v>
      </c>
      <c r="AA17" s="11">
        <v>523.27650585695505</v>
      </c>
      <c r="AB17" s="11">
        <v>29.128838236367177</v>
      </c>
      <c r="AC17" s="11">
        <v>21902.831565768924</v>
      </c>
      <c r="AD17" s="14">
        <v>1.5404699999999998</v>
      </c>
      <c r="AE17" s="14">
        <v>0.61581522700000002</v>
      </c>
      <c r="AF17" s="14">
        <v>0.83626877300000024</v>
      </c>
      <c r="AG17" s="14">
        <v>0.33900000000000002</v>
      </c>
      <c r="AH17" s="14">
        <v>3.3315540000000006</v>
      </c>
      <c r="AI17" s="11">
        <v>1225.2931251505743</v>
      </c>
      <c r="AJ17" s="11">
        <v>20.185288890457365</v>
      </c>
      <c r="AK17" s="11">
        <v>342.27576763580299</v>
      </c>
      <c r="AL17" s="11">
        <v>98.176454197787592</v>
      </c>
      <c r="AM17" s="11">
        <v>97.605083373751754</v>
      </c>
      <c r="AN17" s="11">
        <v>926.63433606066542</v>
      </c>
    </row>
    <row r="18" spans="1:51" ht="12.75" customHeight="1" x14ac:dyDescent="0.35">
      <c r="B18" s="10">
        <v>2011</v>
      </c>
      <c r="C18" s="11">
        <v>1095.0040763730001</v>
      </c>
      <c r="D18" s="11">
        <v>166.18671698165303</v>
      </c>
      <c r="E18" s="11">
        <v>3418.8621174220007</v>
      </c>
      <c r="F18" s="11">
        <v>1256.3826002110002</v>
      </c>
      <c r="G18" s="11">
        <v>230.199082385</v>
      </c>
      <c r="H18" s="11">
        <v>19.141078051999997</v>
      </c>
      <c r="I18" s="11">
        <v>7010.9369999999999</v>
      </c>
      <c r="J18" s="11">
        <v>28.881790966000004</v>
      </c>
      <c r="K18" s="13">
        <v>-2.1200308884793961</v>
      </c>
      <c r="L18" s="14">
        <v>7.752023769136418E-2</v>
      </c>
      <c r="M18" s="14">
        <v>1.2812480788099156</v>
      </c>
      <c r="N18" s="14">
        <v>-6.0844990829257872</v>
      </c>
      <c r="O18" s="14">
        <v>-14.557934578916875</v>
      </c>
      <c r="P18" s="14">
        <v>-12.134268957981698</v>
      </c>
      <c r="Q18" s="14">
        <v>12.838380871436762</v>
      </c>
      <c r="R18" s="14">
        <v>16.024336924000494</v>
      </c>
      <c r="S18" s="14">
        <v>-14.671619732570129</v>
      </c>
      <c r="T18" s="11">
        <v>10721.031282565797</v>
      </c>
      <c r="U18" s="11">
        <v>10235.353079840146</v>
      </c>
      <c r="V18" s="11">
        <v>219.44862884541499</v>
      </c>
      <c r="W18" s="11">
        <v>1522.5406592484687</v>
      </c>
      <c r="X18" s="11">
        <v>775.59494796720764</v>
      </c>
      <c r="Y18" s="11">
        <v>2426.735952128829</v>
      </c>
      <c r="Z18" s="11">
        <v>563.68947023926762</v>
      </c>
      <c r="AA18" s="11">
        <v>1030.072291616872</v>
      </c>
      <c r="AB18" s="11">
        <v>31.208521760732285</v>
      </c>
      <c r="AC18" s="11">
        <v>27525.674834212736</v>
      </c>
      <c r="AD18" s="14">
        <v>4.0844353340000001</v>
      </c>
      <c r="AE18" s="14">
        <v>0.86936674400000014</v>
      </c>
      <c r="AF18" s="14">
        <v>0.63132092200000078</v>
      </c>
      <c r="AG18" s="14">
        <v>0.79249199999999997</v>
      </c>
      <c r="AH18" s="14">
        <v>6.3776149999999987</v>
      </c>
      <c r="AI18" s="11">
        <v>1569.5258464824228</v>
      </c>
      <c r="AJ18" s="11">
        <v>35.173531472854847</v>
      </c>
      <c r="AK18" s="11">
        <v>400.19890165981343</v>
      </c>
      <c r="AL18" s="11">
        <v>99.501389827389843</v>
      </c>
      <c r="AM18" s="11">
        <v>108.96989356698391</v>
      </c>
      <c r="AN18" s="11">
        <v>1183.9588413830431</v>
      </c>
    </row>
    <row r="19" spans="1:51" ht="12.75" customHeight="1" x14ac:dyDescent="0.35">
      <c r="B19" s="10">
        <v>2012</v>
      </c>
      <c r="C19" s="11">
        <v>1197.5871342910002</v>
      </c>
      <c r="D19" s="11">
        <v>161.54466615318705</v>
      </c>
      <c r="E19" s="11">
        <v>3480.8569120260004</v>
      </c>
      <c r="F19" s="11">
        <v>1281.282431485</v>
      </c>
      <c r="G19" s="11">
        <v>249.23615747599996</v>
      </c>
      <c r="H19" s="11">
        <v>16.790374243999999</v>
      </c>
      <c r="I19" s="11">
        <v>6684.5393917999991</v>
      </c>
      <c r="J19" s="11">
        <v>26.104854507000002</v>
      </c>
      <c r="K19" s="13">
        <v>2.5107921612036899</v>
      </c>
      <c r="L19" s="14">
        <v>9.3691292776600488</v>
      </c>
      <c r="M19" s="14">
        <v>-2.7932742837554647</v>
      </c>
      <c r="N19" s="14">
        <v>1.8150093292282898</v>
      </c>
      <c r="O19" s="14">
        <v>1.9818669304890069</v>
      </c>
      <c r="P19" s="14">
        <v>8.2698310061728009</v>
      </c>
      <c r="Q19" s="14">
        <v>-12.280937372565493</v>
      </c>
      <c r="R19" s="14">
        <v>-4.6555611367070977</v>
      </c>
      <c r="S19" s="14">
        <v>-9.614834697297848</v>
      </c>
      <c r="T19" s="11">
        <v>10730.942210401816</v>
      </c>
      <c r="U19" s="11">
        <v>10745.515758961699</v>
      </c>
      <c r="V19" s="11">
        <v>209.569981439488</v>
      </c>
      <c r="W19" s="11">
        <v>1352.3374325660052</v>
      </c>
      <c r="X19" s="11">
        <v>558.25922602627895</v>
      </c>
      <c r="Y19" s="11">
        <v>2575.3341204307012</v>
      </c>
      <c r="Z19" s="11">
        <v>428.26749069318208</v>
      </c>
      <c r="AA19" s="11">
        <v>844.8284799506572</v>
      </c>
      <c r="AB19" s="11">
        <v>21.6183863068179</v>
      </c>
      <c r="AC19" s="11">
        <v>27466.673086776646</v>
      </c>
      <c r="AD19" s="14">
        <v>4.7789748629999993</v>
      </c>
      <c r="AE19" s="14">
        <v>0.90540164499999987</v>
      </c>
      <c r="AF19" s="14">
        <v>0.95287249200000046</v>
      </c>
      <c r="AG19" s="14">
        <v>0.860958</v>
      </c>
      <c r="AH19" s="14">
        <v>7.4982069999999998</v>
      </c>
      <c r="AI19" s="11">
        <v>1669.8708341724703</v>
      </c>
      <c r="AJ19" s="11">
        <v>31.169868475123899</v>
      </c>
      <c r="AK19" s="11">
        <v>360.55123685861548</v>
      </c>
      <c r="AL19" s="11">
        <v>88.348348429788402</v>
      </c>
      <c r="AM19" s="11">
        <v>93.540209216646531</v>
      </c>
      <c r="AN19" s="11">
        <v>958.07527879837289</v>
      </c>
    </row>
    <row r="20" spans="1:51" ht="12.75" customHeight="1" x14ac:dyDescent="0.35">
      <c r="B20" s="10">
        <v>2013</v>
      </c>
      <c r="C20" s="11">
        <v>1285.9825294999998</v>
      </c>
      <c r="D20" s="11">
        <v>151.48607168989696</v>
      </c>
      <c r="E20" s="11">
        <v>3674.2825108390002</v>
      </c>
      <c r="F20" s="11">
        <v>1351.2734971279999</v>
      </c>
      <c r="G20" s="11">
        <v>266.47233039299999</v>
      </c>
      <c r="H20" s="11">
        <v>18.139597244000001</v>
      </c>
      <c r="I20" s="11">
        <v>6680.6587899999995</v>
      </c>
      <c r="J20" s="11">
        <v>23.667787451000002</v>
      </c>
      <c r="K20" s="13">
        <v>4.2608157269653724</v>
      </c>
      <c r="L20" s="14">
        <v>7.4114237897305202</v>
      </c>
      <c r="M20" s="14">
        <v>-3.2729400312402124</v>
      </c>
      <c r="N20" s="14">
        <v>5.6314697221385046</v>
      </c>
      <c r="O20" s="14">
        <v>5.4450376546676837</v>
      </c>
      <c r="P20" s="14">
        <v>6.9103368369248352</v>
      </c>
      <c r="Q20" s="14">
        <v>8.0356934300147564</v>
      </c>
      <c r="R20" s="14">
        <v>-5.8053391154522238E-2</v>
      </c>
      <c r="S20" s="14">
        <v>-9.3356852663036278</v>
      </c>
      <c r="T20" s="11">
        <v>9820.7478280872583</v>
      </c>
      <c r="U20" s="11">
        <v>8536.2794900494937</v>
      </c>
      <c r="V20" s="11">
        <v>479.2518043975009</v>
      </c>
      <c r="W20" s="11">
        <v>1413.8433873410634</v>
      </c>
      <c r="X20" s="11">
        <v>527.71235375709966</v>
      </c>
      <c r="Y20" s="11">
        <v>1776.0595258877415</v>
      </c>
      <c r="Z20" s="11">
        <v>355.52074602744028</v>
      </c>
      <c r="AA20" s="11">
        <v>856.80847467289618</v>
      </c>
      <c r="AB20" s="11">
        <v>23.221805972559654</v>
      </c>
      <c r="AC20" s="11">
        <v>23789.445416193052</v>
      </c>
      <c r="AD20" s="14">
        <v>5.2830014005999999</v>
      </c>
      <c r="AE20" s="14">
        <v>0.77641837499999999</v>
      </c>
      <c r="AF20" s="14">
        <v>1.8710212243999995</v>
      </c>
      <c r="AG20" s="14">
        <v>0.98610600000000004</v>
      </c>
      <c r="AH20" s="14">
        <v>8.9165469999999978</v>
      </c>
      <c r="AI20" s="11">
        <v>1410.9997459219524</v>
      </c>
      <c r="AJ20" s="11">
        <v>23.855391953822306</v>
      </c>
      <c r="AK20" s="11">
        <v>332.30927028406148</v>
      </c>
      <c r="AL20" s="11">
        <v>86.651713510845454</v>
      </c>
      <c r="AM20" s="11">
        <v>97.171065933513276</v>
      </c>
      <c r="AN20" s="11">
        <v>1010</v>
      </c>
    </row>
    <row r="21" spans="1:51" ht="12.75" customHeight="1" x14ac:dyDescent="0.35">
      <c r="B21" s="10">
        <v>2014</v>
      </c>
      <c r="C21" s="11">
        <v>1295.7680757129999</v>
      </c>
      <c r="D21" s="11">
        <v>139.99644144923604</v>
      </c>
      <c r="E21" s="11">
        <v>3776.9116561499995</v>
      </c>
      <c r="F21" s="11">
        <v>1318.4688891980002</v>
      </c>
      <c r="G21" s="11">
        <v>278.44924929699999</v>
      </c>
      <c r="H21" s="11">
        <v>17.017692465</v>
      </c>
      <c r="I21" s="11">
        <v>7192.5919308000002</v>
      </c>
      <c r="J21" s="11">
        <v>23.105261869000003</v>
      </c>
      <c r="K21" s="13">
        <v>-2.2317724736465538</v>
      </c>
      <c r="L21" s="14">
        <v>0.58507202038691197</v>
      </c>
      <c r="M21" s="14">
        <v>-10.343480424010821</v>
      </c>
      <c r="N21" s="14">
        <v>2.4668923111353269</v>
      </c>
      <c r="O21" s="14">
        <v>-2.6349225745393778</v>
      </c>
      <c r="P21" s="14">
        <v>4.0536649500615196</v>
      </c>
      <c r="Q21" s="14">
        <v>-6.1848384168016075</v>
      </c>
      <c r="R21" s="14">
        <v>7.6629140462358691</v>
      </c>
      <c r="S21" s="14">
        <v>-2.3767561000985427</v>
      </c>
      <c r="T21" s="11">
        <v>8874.9060769625194</v>
      </c>
      <c r="U21" s="11">
        <v>6729.0722173684171</v>
      </c>
      <c r="V21" s="11">
        <v>331.07695278478701</v>
      </c>
      <c r="W21" s="11">
        <v>1503.5472338862523</v>
      </c>
      <c r="X21" s="11">
        <v>539.5582164992918</v>
      </c>
      <c r="Y21" s="11">
        <v>1522.5135129295591</v>
      </c>
      <c r="Z21" s="11">
        <v>360.16193124196127</v>
      </c>
      <c r="AA21" s="11">
        <v>646.70480025804579</v>
      </c>
      <c r="AB21" s="11">
        <v>37.872977758038765</v>
      </c>
      <c r="AC21" s="11">
        <v>20545.413919688872</v>
      </c>
      <c r="AD21" s="14">
        <v>4.7410120000000004</v>
      </c>
      <c r="AE21" s="14">
        <v>0.62545890748999899</v>
      </c>
      <c r="AF21" s="14">
        <v>1.9208630925100014</v>
      </c>
      <c r="AG21" s="14">
        <v>0.791875</v>
      </c>
      <c r="AH21" s="14">
        <v>8.0792090000000005</v>
      </c>
      <c r="AI21" s="11">
        <v>1266.088435794278</v>
      </c>
      <c r="AJ21" s="11">
        <v>19.07675797555483</v>
      </c>
      <c r="AK21" s="11">
        <v>311.16214646800427</v>
      </c>
      <c r="AL21" s="11">
        <v>98.067869138849815</v>
      </c>
      <c r="AM21" s="11">
        <v>95.073908973203856</v>
      </c>
      <c r="AN21" s="11">
        <v>994.08025178222226</v>
      </c>
    </row>
    <row r="22" spans="1:51" ht="12.75" customHeight="1" x14ac:dyDescent="0.35">
      <c r="B22" s="10">
        <v>2015</v>
      </c>
      <c r="C22" s="11">
        <v>1627.7164603310002</v>
      </c>
      <c r="D22" s="11">
        <v>146.3917864135702</v>
      </c>
      <c r="E22" s="11">
        <v>4101.250513559</v>
      </c>
      <c r="F22" s="11">
        <v>1421.2345797940004</v>
      </c>
      <c r="G22" s="11">
        <v>315.63578283699997</v>
      </c>
      <c r="H22" s="11">
        <v>20.153494758999997</v>
      </c>
      <c r="I22" s="11">
        <v>7320.8069999999998</v>
      </c>
      <c r="J22" s="11">
        <v>19.511000000000003</v>
      </c>
      <c r="K22" s="13">
        <v>15.657117174203329</v>
      </c>
      <c r="L22" s="14">
        <v>25.804886290691019</v>
      </c>
      <c r="M22" s="14">
        <v>4.4946905179383156</v>
      </c>
      <c r="N22" s="14">
        <v>8.8697999767802784</v>
      </c>
      <c r="O22" s="14">
        <v>8.0400802319892328</v>
      </c>
      <c r="P22" s="14">
        <v>13.8408437383156</v>
      </c>
      <c r="Q22" s="14">
        <v>18.425207515348063</v>
      </c>
      <c r="R22" s="14">
        <v>1.7825968459430852</v>
      </c>
      <c r="S22" s="14">
        <v>-15.557201248702269</v>
      </c>
      <c r="T22" s="11">
        <v>8174.9932293081592</v>
      </c>
      <c r="U22" s="11">
        <v>6536.8565620916115</v>
      </c>
      <c r="V22" s="11">
        <v>137.79635297098301</v>
      </c>
      <c r="W22" s="11">
        <v>1506.7224184186537</v>
      </c>
      <c r="X22" s="11">
        <v>341.685340655076</v>
      </c>
      <c r="Y22" s="11">
        <v>1541.6724338588276</v>
      </c>
      <c r="Z22" s="11">
        <v>219.63469285986599</v>
      </c>
      <c r="AA22" s="11">
        <v>350.00259655641497</v>
      </c>
      <c r="AB22" s="11">
        <v>26.956227140133979</v>
      </c>
      <c r="AC22" s="11">
        <v>18836.319853859728</v>
      </c>
      <c r="AD22" s="14">
        <v>4.0847392149999999</v>
      </c>
      <c r="AE22" s="14">
        <v>0.53469699999999998</v>
      </c>
      <c r="AF22" s="14">
        <v>1.6207587850000009</v>
      </c>
      <c r="AG22" s="14">
        <v>0.628471</v>
      </c>
      <c r="AH22" s="14">
        <v>6.8686659999999993</v>
      </c>
      <c r="AI22" s="11">
        <v>1159.9966818059365</v>
      </c>
      <c r="AJ22" s="11">
        <v>15.716903112305879</v>
      </c>
      <c r="AK22" s="11">
        <v>249.8270840965242</v>
      </c>
      <c r="AL22" s="11">
        <v>87.801064582222054</v>
      </c>
      <c r="AM22" s="11">
        <v>81.204128307345442</v>
      </c>
      <c r="AN22" s="11">
        <v>727.61388458742931</v>
      </c>
    </row>
    <row r="23" spans="1:51" ht="12.75" customHeight="1" x14ac:dyDescent="0.35">
      <c r="B23" s="10">
        <v>2016</v>
      </c>
      <c r="C23" s="11">
        <v>2280.0049191950002</v>
      </c>
      <c r="D23" s="11">
        <v>153.00589697612543</v>
      </c>
      <c r="E23" s="11">
        <v>4374.9126608469987</v>
      </c>
      <c r="F23" s="11">
        <v>1337.0814908790001</v>
      </c>
      <c r="G23" s="11">
        <v>314.42159763300003</v>
      </c>
      <c r="H23" s="11">
        <v>25.756505004999998</v>
      </c>
      <c r="I23" s="11">
        <v>7663.1239876999998</v>
      </c>
      <c r="J23" s="11">
        <v>18.789004762999994</v>
      </c>
      <c r="K23" s="13">
        <v>21.215966467844961</v>
      </c>
      <c r="L23" s="14">
        <v>40.071935247584655</v>
      </c>
      <c r="M23" s="14">
        <v>4.5178877344051349</v>
      </c>
      <c r="N23" s="14">
        <v>6.6602742813019589</v>
      </c>
      <c r="O23" s="14">
        <v>-6.1134819139032404</v>
      </c>
      <c r="P23" s="14">
        <v>-0.38467919768589987</v>
      </c>
      <c r="Q23" s="14">
        <v>27.803311288065522</v>
      </c>
      <c r="R23" s="14">
        <v>4.6759482543587083</v>
      </c>
      <c r="S23" s="14">
        <v>-3.6991185163295914</v>
      </c>
      <c r="T23" s="11">
        <v>10170.877328177918</v>
      </c>
      <c r="U23" s="11">
        <v>7425.7115273502477</v>
      </c>
      <c r="V23" s="11">
        <v>120.45621156886003</v>
      </c>
      <c r="W23" s="11">
        <v>1468.760924986296</v>
      </c>
      <c r="X23" s="11">
        <v>344.26223521111064</v>
      </c>
      <c r="Y23" s="11">
        <v>1657.80962584743</v>
      </c>
      <c r="Z23" s="11">
        <v>272.67154160154439</v>
      </c>
      <c r="AA23" s="11">
        <v>343.53079468679698</v>
      </c>
      <c r="AB23" s="11">
        <v>14.999100398455635</v>
      </c>
      <c r="AC23" s="11">
        <v>21819.07928982866</v>
      </c>
      <c r="AD23" s="14">
        <v>1.2483062230000006</v>
      </c>
      <c r="AE23" s="14">
        <v>0.37705351929000058</v>
      </c>
      <c r="AF23" s="14">
        <v>1.1844092577099987</v>
      </c>
      <c r="AG23" s="14">
        <v>0.52506600000000003</v>
      </c>
      <c r="AH23" s="14">
        <v>3.3348349999999995</v>
      </c>
      <c r="AI23" s="11">
        <v>1247.9922322604932</v>
      </c>
      <c r="AJ23" s="11">
        <v>17.139385520578454</v>
      </c>
      <c r="AK23" s="11">
        <v>220.56724303958788</v>
      </c>
      <c r="AL23" s="11">
        <v>94.799294404822774</v>
      </c>
      <c r="AM23" s="11">
        <v>84.822956047573186</v>
      </c>
      <c r="AN23" s="11">
        <v>815.68320037769251</v>
      </c>
    </row>
    <row r="24" spans="1:51" ht="12.75" customHeight="1" x14ac:dyDescent="0.35">
      <c r="B24" s="10">
        <v>2017</v>
      </c>
      <c r="C24" s="11">
        <v>2383.1625752910004</v>
      </c>
      <c r="D24" s="11">
        <v>151.96403995641123</v>
      </c>
      <c r="E24" s="11">
        <v>4417.986781347</v>
      </c>
      <c r="F24" s="11">
        <v>1473.0727682370002</v>
      </c>
      <c r="G24" s="11">
        <v>306.78361933000002</v>
      </c>
      <c r="H24" s="11">
        <v>28.141125214999995</v>
      </c>
      <c r="I24" s="11">
        <v>8806.4517127719992</v>
      </c>
      <c r="J24" s="11">
        <v>17.790363566999996</v>
      </c>
      <c r="K24" s="13">
        <v>4.5016077873657911</v>
      </c>
      <c r="L24" s="14">
        <v>4.5258687873290127</v>
      </c>
      <c r="M24" s="14">
        <v>-0.68073521456385455</v>
      </c>
      <c r="N24" s="14">
        <v>0.98482233314618473</v>
      </c>
      <c r="O24" s="14">
        <v>10.398161001280549</v>
      </c>
      <c r="P24" s="14">
        <v>-2.4259743600385297</v>
      </c>
      <c r="Q24" s="14">
        <v>9.2583221579833452</v>
      </c>
      <c r="R24" s="14">
        <v>14.919864625799395</v>
      </c>
      <c r="S24" s="14">
        <v>-5.3150297665928719</v>
      </c>
      <c r="T24" s="11">
        <v>13844.958650954813</v>
      </c>
      <c r="U24" s="11">
        <v>8270.4808182538964</v>
      </c>
      <c r="V24" s="11">
        <v>118.02914691497099</v>
      </c>
      <c r="W24" s="11">
        <v>2398.5088575489553</v>
      </c>
      <c r="X24" s="11">
        <v>370.47611971466921</v>
      </c>
      <c r="Y24" s="11">
        <v>1726.1331451614039</v>
      </c>
      <c r="Z24" s="11">
        <v>367.8568511257717</v>
      </c>
      <c r="AA24" s="11">
        <v>434.37049986164698</v>
      </c>
      <c r="AB24" s="11">
        <v>50.793155874228319</v>
      </c>
      <c r="AC24" s="11">
        <v>27581.607245410378</v>
      </c>
      <c r="AD24" s="14">
        <v>1.1075999999999999</v>
      </c>
      <c r="AE24" s="14">
        <v>0.49315100000000001</v>
      </c>
      <c r="AF24" s="14">
        <v>1.8125180000000005</v>
      </c>
      <c r="AG24" s="14">
        <v>0.4651070000000001</v>
      </c>
      <c r="AH24" s="14">
        <v>3.8783760000000003</v>
      </c>
      <c r="AI24" s="11">
        <v>1257.9760575760054</v>
      </c>
      <c r="AJ24" s="11">
        <v>17.075431255960225</v>
      </c>
      <c r="AK24" s="11">
        <v>279.86420836425697</v>
      </c>
      <c r="AL24" s="11">
        <v>131.21398652610083</v>
      </c>
      <c r="AM24" s="11">
        <v>105.13754689007341</v>
      </c>
      <c r="AN24" s="11">
        <v>911.63879343928465</v>
      </c>
    </row>
    <row r="25" spans="1:51" ht="12.75" customHeight="1" x14ac:dyDescent="0.35">
      <c r="B25" s="10">
        <v>2018</v>
      </c>
      <c r="C25" s="11">
        <v>2370.7775942089997</v>
      </c>
      <c r="D25" s="11">
        <v>140.21098441501195</v>
      </c>
      <c r="E25" s="11">
        <v>4160.1619325339998</v>
      </c>
      <c r="F25" s="11">
        <v>1474.3831280540003</v>
      </c>
      <c r="G25" s="11">
        <v>289.12251396000005</v>
      </c>
      <c r="H25" s="11">
        <v>28.033511926999996</v>
      </c>
      <c r="I25" s="11">
        <v>9533.8711666940017</v>
      </c>
      <c r="J25" s="11">
        <v>18.600040507999999</v>
      </c>
      <c r="K25" s="13">
        <v>-1.5062555335890404</v>
      </c>
      <c r="L25" s="14">
        <v>-0.52321586102779261</v>
      </c>
      <c r="M25" s="14">
        <v>-6.134014720716829</v>
      </c>
      <c r="N25" s="14">
        <v>-5.7802098690332819</v>
      </c>
      <c r="O25" s="14">
        <v>0.10868148319080895</v>
      </c>
      <c r="P25" s="14">
        <v>-5.7365090352537784</v>
      </c>
      <c r="Q25" s="14">
        <v>-0.38240577509900398</v>
      </c>
      <c r="R25" s="14">
        <v>8.2600739288449354</v>
      </c>
      <c r="S25" s="14">
        <v>4.5585405713929328</v>
      </c>
      <c r="T25" s="11">
        <v>14938.545275059299</v>
      </c>
      <c r="U25" s="11">
        <v>8258.5140570627009</v>
      </c>
      <c r="V25" s="11">
        <v>122.68864173304</v>
      </c>
      <c r="W25" s="11">
        <v>2573.9030892868</v>
      </c>
      <c r="X25" s="11">
        <v>351.76617733195502</v>
      </c>
      <c r="Y25" s="11">
        <v>1545.4688005683099</v>
      </c>
      <c r="Z25" s="11">
        <v>612.49525971191497</v>
      </c>
      <c r="AA25" s="11">
        <v>484.36463219586602</v>
      </c>
      <c r="AB25" s="11">
        <v>10.911933288084899</v>
      </c>
      <c r="AC25" s="11">
        <v>28898.6578662379</v>
      </c>
      <c r="AD25" s="14">
        <v>1.4910000000000001</v>
      </c>
      <c r="AE25" s="14">
        <v>0.43126900000000001</v>
      </c>
      <c r="AF25" s="14">
        <v>2.3307440000000001</v>
      </c>
      <c r="AG25" s="14">
        <v>0.60882799999999992</v>
      </c>
      <c r="AH25" s="14">
        <v>4.8618410000000001</v>
      </c>
      <c r="AI25" s="15">
        <v>1269.5262243161421</v>
      </c>
      <c r="AJ25" s="15">
        <v>15.7058094620898</v>
      </c>
      <c r="AK25" s="15">
        <v>296.18667211935798</v>
      </c>
      <c r="AL25" s="15">
        <v>132.67874786467499</v>
      </c>
      <c r="AM25" s="15">
        <v>101.77998344223481</v>
      </c>
      <c r="AN25" s="15">
        <v>914.77969296773335</v>
      </c>
    </row>
    <row r="26" spans="1:51" ht="12.75" customHeight="1" x14ac:dyDescent="0.35">
      <c r="B26" s="10">
        <v>2019</v>
      </c>
      <c r="C26" s="11">
        <v>2389.1447840379997</v>
      </c>
      <c r="D26" s="11">
        <v>128.4134633581057</v>
      </c>
      <c r="E26" s="11">
        <v>3860.3060494859997</v>
      </c>
      <c r="F26" s="11">
        <v>1404.3815470089999</v>
      </c>
      <c r="G26" s="11">
        <v>308.11557177399999</v>
      </c>
      <c r="H26" s="11">
        <v>30.441354741000001</v>
      </c>
      <c r="I26" s="11">
        <v>10120.007400099999</v>
      </c>
      <c r="J26" s="11">
        <v>19.853169100000002</v>
      </c>
      <c r="K26" s="13">
        <v>-1.0805938247598457</v>
      </c>
      <c r="L26" s="14">
        <v>0.77830784145482834</v>
      </c>
      <c r="M26" s="14">
        <v>-9.9753409329968683</v>
      </c>
      <c r="N26" s="14">
        <v>-7.3416455333244262</v>
      </c>
      <c r="O26" s="14">
        <v>-4.7666258198119316</v>
      </c>
      <c r="P26" s="14">
        <v>6.5426598667460034</v>
      </c>
      <c r="Q26" s="14">
        <v>8.5891739795930242</v>
      </c>
      <c r="R26" s="14">
        <v>6.1479356704255084</v>
      </c>
      <c r="S26" s="14">
        <v>6.729749516018213</v>
      </c>
      <c r="T26" s="11">
        <v>13892.5649539468</v>
      </c>
      <c r="U26" s="11">
        <v>8482.0552453206092</v>
      </c>
      <c r="V26" s="11">
        <v>75.608340356566003</v>
      </c>
      <c r="W26" s="11">
        <v>2102.7689601152501</v>
      </c>
      <c r="X26" s="11">
        <v>371.19389629557702</v>
      </c>
      <c r="Y26" s="11">
        <v>1530.2444239342501</v>
      </c>
      <c r="Z26" s="11">
        <v>638.21314826569301</v>
      </c>
      <c r="AA26" s="11">
        <v>978.98225330765001</v>
      </c>
      <c r="AB26" s="11">
        <v>2.1614939999999998</v>
      </c>
      <c r="AC26" s="11">
        <v>28073.7927155424</v>
      </c>
      <c r="AD26" s="14">
        <v>2.681</v>
      </c>
      <c r="AE26" s="14">
        <v>0.35565809999999998</v>
      </c>
      <c r="AF26" s="14">
        <v>2.1517388999999985</v>
      </c>
      <c r="AG26" s="14">
        <v>0.72009699999999999</v>
      </c>
      <c r="AH26" s="14">
        <v>5.9084939999999992</v>
      </c>
      <c r="AI26" s="15">
        <v>1392.5695204451347</v>
      </c>
      <c r="AJ26" s="15">
        <v>16.195826919427191</v>
      </c>
      <c r="AK26" s="15">
        <v>272.45504234816644</v>
      </c>
      <c r="AL26" s="15">
        <v>115.68532040005744</v>
      </c>
      <c r="AM26" s="15">
        <v>90.613289670955567</v>
      </c>
      <c r="AN26" s="15">
        <v>846.92282222414144</v>
      </c>
    </row>
    <row r="27" spans="1:51" ht="12.75" customHeight="1" x14ac:dyDescent="0.35">
      <c r="B27" s="10">
        <v>2020</v>
      </c>
      <c r="C27" s="11">
        <v>2090.7196820661102</v>
      </c>
      <c r="D27" s="11">
        <v>88.89186139669124</v>
      </c>
      <c r="E27" s="11">
        <v>2990.5903253101137</v>
      </c>
      <c r="F27" s="11">
        <v>1329.418555193635</v>
      </c>
      <c r="G27" s="11">
        <v>240.73185379877</v>
      </c>
      <c r="H27" s="11">
        <v>32.184625879069799</v>
      </c>
      <c r="I27" s="11">
        <v>8893.9715276179995</v>
      </c>
      <c r="J27" s="11">
        <v>20.646581029500002</v>
      </c>
      <c r="K27" s="13">
        <v>-13.879421254434076</v>
      </c>
      <c r="L27" s="14">
        <v>-12.659386544954977</v>
      </c>
      <c r="M27" s="14">
        <v>-31.429351792793312</v>
      </c>
      <c r="N27" s="14">
        <v>-29.438768668570059</v>
      </c>
      <c r="O27" s="14">
        <v>-4.9709474882862708</v>
      </c>
      <c r="P27" s="14">
        <v>-21.604769385633894</v>
      </c>
      <c r="Q27" s="14">
        <v>5.7266393355388967</v>
      </c>
      <c r="R27" s="14">
        <v>-13.498986327590668</v>
      </c>
      <c r="S27" s="14">
        <v>3.996403062797782</v>
      </c>
      <c r="T27" s="11">
        <v>13022.193391573634</v>
      </c>
      <c r="U27" s="11">
        <v>8017.1351274152275</v>
      </c>
      <c r="V27" s="11">
        <v>93.552152836359014</v>
      </c>
      <c r="W27" s="11">
        <v>1703.9496336236721</v>
      </c>
      <c r="X27" s="11">
        <v>370.0152724350192</v>
      </c>
      <c r="Y27" s="11">
        <v>1463.589804506594</v>
      </c>
      <c r="Z27" s="11">
        <v>478.20359178391595</v>
      </c>
      <c r="AA27" s="11">
        <v>1125.833488502914</v>
      </c>
      <c r="AB27" s="11">
        <v>5.5008710000000001</v>
      </c>
      <c r="AC27" s="11">
        <v>26279.973333677339</v>
      </c>
      <c r="AD27" s="14">
        <v>2.036</v>
      </c>
      <c r="AE27" s="14">
        <v>0.21574899999999997</v>
      </c>
      <c r="AF27" s="14">
        <v>1.3971870000000013</v>
      </c>
      <c r="AG27" s="14">
        <v>0.67644500000000007</v>
      </c>
      <c r="AH27" s="14">
        <v>4.3253810000000001</v>
      </c>
      <c r="AI27" s="11">
        <v>1770.3583333333333</v>
      </c>
      <c r="AJ27" s="11">
        <v>20.513333333333332</v>
      </c>
      <c r="AK27" s="11">
        <v>279.80166666666662</v>
      </c>
      <c r="AL27" s="11">
        <v>102.78108333333333</v>
      </c>
      <c r="AM27" s="11">
        <v>82.745500000000007</v>
      </c>
      <c r="AN27" s="11">
        <v>777.24333333333334</v>
      </c>
    </row>
    <row r="28" spans="1:51" ht="12.75" customHeight="1" x14ac:dyDescent="0.35">
      <c r="B28" s="10">
        <v>2021</v>
      </c>
      <c r="C28" s="11">
        <v>2223.0746115149996</v>
      </c>
      <c r="D28" s="11">
        <v>97.339265234394006</v>
      </c>
      <c r="E28" s="11">
        <v>3310.1923892179998</v>
      </c>
      <c r="F28" s="11">
        <v>1555.1516669730004</v>
      </c>
      <c r="G28" s="11">
        <v>264.16167262099998</v>
      </c>
      <c r="H28" s="11">
        <v>34.148029036999993</v>
      </c>
      <c r="I28" s="11">
        <v>12149.273526027</v>
      </c>
      <c r="J28" s="11">
        <v>25.873919170000004</v>
      </c>
      <c r="K28" s="13">
        <v>10.469101607717878</v>
      </c>
      <c r="L28" s="14">
        <v>7.6567474038052197</v>
      </c>
      <c r="M28" s="14">
        <v>10.719573093259216</v>
      </c>
      <c r="N28" s="14">
        <v>22.385460587454055</v>
      </c>
      <c r="O28" s="14">
        <v>14.87853392032874</v>
      </c>
      <c r="P28" s="14">
        <v>9.4716587330520685</v>
      </c>
      <c r="Q28" s="14">
        <v>6.100438030010169</v>
      </c>
      <c r="R28" s="14">
        <v>36.601219020102249</v>
      </c>
      <c r="S28" s="14">
        <v>30.749336472586908</v>
      </c>
      <c r="T28" s="11">
        <v>20697.712871023999</v>
      </c>
      <c r="U28" s="11">
        <v>10120.710340112901</v>
      </c>
      <c r="V28" s="11">
        <v>117.155720450061</v>
      </c>
      <c r="W28" s="11">
        <v>2607.86638322109</v>
      </c>
      <c r="X28" s="11">
        <v>872.54204243256697</v>
      </c>
      <c r="Y28" s="11">
        <v>1915.7492701582401</v>
      </c>
      <c r="Z28" s="11">
        <v>1075.08067578445</v>
      </c>
      <c r="AA28" s="11">
        <v>2227.57237228641</v>
      </c>
      <c r="AB28" s="11">
        <v>3.1937419999999999</v>
      </c>
      <c r="AC28" s="11">
        <v>39637.583417469716</v>
      </c>
      <c r="AD28" s="14">
        <v>1.611</v>
      </c>
      <c r="AE28" s="14">
        <v>0.335754</v>
      </c>
      <c r="AF28" s="14">
        <v>2.5496549999999996</v>
      </c>
      <c r="AG28" s="14">
        <v>0.76687000000000005</v>
      </c>
      <c r="AH28" s="14">
        <v>5.2632789999999989</v>
      </c>
      <c r="AI28" s="15">
        <v>1800.1699999999998</v>
      </c>
      <c r="AJ28" s="15">
        <v>25.165833333333335</v>
      </c>
      <c r="AK28" s="15">
        <v>422.50916666666666</v>
      </c>
      <c r="AL28" s="15">
        <v>136.30249999999998</v>
      </c>
      <c r="AM28" s="15">
        <v>100.00749999999999</v>
      </c>
      <c r="AN28" s="15">
        <v>1478.4558333333334</v>
      </c>
    </row>
    <row r="29" spans="1:51" ht="12.75" customHeight="1" x14ac:dyDescent="0.35">
      <c r="B29" s="10">
        <v>2022</v>
      </c>
      <c r="C29" s="11">
        <v>2344.0892833040002</v>
      </c>
      <c r="D29" s="11">
        <v>96.941041857404997</v>
      </c>
      <c r="E29" s="11">
        <v>3084.0387076500001</v>
      </c>
      <c r="F29" s="11">
        <v>1369.649111792</v>
      </c>
      <c r="G29" s="11">
        <v>254.90919408000002</v>
      </c>
      <c r="H29" s="11">
        <v>31.587568951759998</v>
      </c>
      <c r="I29" s="11">
        <v>12936.826381839001</v>
      </c>
      <c r="J29" s="11">
        <v>28.231359913000006</v>
      </c>
      <c r="K29" s="13">
        <v>-4.6392241167336756E-2</v>
      </c>
      <c r="L29" s="14">
        <v>4.3456113287229536</v>
      </c>
      <c r="M29" s="14">
        <v>-0.54052518783088699</v>
      </c>
      <c r="N29" s="14">
        <v>-7.4871403980794504</v>
      </c>
      <c r="O29" s="14">
        <v>-10.663502386472622</v>
      </c>
      <c r="P29" s="14">
        <v>-3.3973560325528229</v>
      </c>
      <c r="Q29" s="14">
        <v>-7.4981196754451247</v>
      </c>
      <c r="R29" s="14">
        <v>6.4823040992932235</v>
      </c>
      <c r="S29" s="14">
        <v>4.5789218528630826</v>
      </c>
      <c r="T29" s="11">
        <v>19597.70415251725</v>
      </c>
      <c r="U29" s="11">
        <v>10114.187257000009</v>
      </c>
      <c r="V29" s="11">
        <v>90.230061039972554</v>
      </c>
      <c r="W29" s="11">
        <v>2660.5075282756998</v>
      </c>
      <c r="X29" s="11">
        <v>767.29342255099982</v>
      </c>
      <c r="Y29" s="11">
        <v>1671.4472610031016</v>
      </c>
      <c r="Z29" s="11">
        <v>1061.8679743755811</v>
      </c>
      <c r="AA29" s="11">
        <v>1744.0960295789475</v>
      </c>
      <c r="AB29" s="11">
        <v>3.8292421559999998</v>
      </c>
      <c r="AC29" s="11">
        <v>37711.162928497564</v>
      </c>
      <c r="AD29" s="14">
        <v>1.226</v>
      </c>
      <c r="AE29" s="14">
        <v>0.422821</v>
      </c>
      <c r="AF29" s="14">
        <v>2.9760679999999997</v>
      </c>
      <c r="AG29" s="14">
        <v>0.60970100000000005</v>
      </c>
      <c r="AH29" s="14">
        <v>5.2345900000000007</v>
      </c>
      <c r="AI29" s="11">
        <v>1801.5379356060605</v>
      </c>
      <c r="AJ29" s="11">
        <v>21.751829545454541</v>
      </c>
      <c r="AK29" s="11">
        <v>399.83356818181818</v>
      </c>
      <c r="AL29" s="11">
        <v>158.08181818181819</v>
      </c>
      <c r="AM29" s="11">
        <v>97.671064393939389</v>
      </c>
      <c r="AN29" s="11">
        <v>1423.5270719696971</v>
      </c>
    </row>
    <row r="30" spans="1:51" ht="12.75" customHeight="1" x14ac:dyDescent="0.35">
      <c r="B30" s="10">
        <v>2023</v>
      </c>
      <c r="C30" s="11">
        <v>2644.7255500000001</v>
      </c>
      <c r="D30" s="11">
        <v>99.664808073466986</v>
      </c>
      <c r="E30" s="11">
        <v>3048.9274691490004</v>
      </c>
      <c r="F30" s="11">
        <v>1465.5365285067003</v>
      </c>
      <c r="G30" s="11">
        <v>272.71349820500001</v>
      </c>
      <c r="H30" s="11">
        <v>33.476111778290004</v>
      </c>
      <c r="I30" s="11">
        <v>12986.023244490998</v>
      </c>
      <c r="J30" s="11">
        <v>26.230041879999998</v>
      </c>
      <c r="K30" s="13">
        <v>10.726847746194856</v>
      </c>
      <c r="L30" s="14">
        <v>12.845190208676538</v>
      </c>
      <c r="M30" s="14">
        <v>18.867360874017969</v>
      </c>
      <c r="N30" s="14">
        <v>-1.3827667451632442</v>
      </c>
      <c r="O30" s="14">
        <v>7.2630318618404077</v>
      </c>
      <c r="P30" s="14">
        <v>7.0044985741191779</v>
      </c>
      <c r="Q30" s="14">
        <v>5.9771933669247712</v>
      </c>
      <c r="R30" s="14">
        <v>0.38028540539936095</v>
      </c>
      <c r="S30" s="14">
        <v>-7.088971056185045</v>
      </c>
      <c r="T30" s="11">
        <v>23429.052466174617</v>
      </c>
      <c r="U30" s="11">
        <v>10942.70287598</v>
      </c>
      <c r="V30" s="11">
        <v>97.918753810025436</v>
      </c>
      <c r="W30" s="11">
        <v>2356.1093167542513</v>
      </c>
      <c r="X30" s="11">
        <v>653.63367914000082</v>
      </c>
      <c r="Y30" s="11">
        <v>1919.7975910660984</v>
      </c>
      <c r="Z30" s="11">
        <v>1659.9803423534554</v>
      </c>
      <c r="AA30" s="11">
        <v>1724.3906789698929</v>
      </c>
      <c r="AB30" s="11">
        <v>5.95992619</v>
      </c>
      <c r="AC30" s="11">
        <v>42789.545630438333</v>
      </c>
      <c r="AD30" s="14">
        <v>0.34100000000000003</v>
      </c>
      <c r="AE30" s="14">
        <v>0.44316999999999995</v>
      </c>
      <c r="AF30" s="14">
        <v>3.8221129999999999</v>
      </c>
      <c r="AG30" s="14">
        <v>0.32980599999999999</v>
      </c>
      <c r="AH30" s="14">
        <v>4.9360889999999982</v>
      </c>
      <c r="AI30" s="11">
        <v>1942.6342862954546</v>
      </c>
      <c r="AJ30" s="11">
        <v>23.370647166818184</v>
      </c>
      <c r="AK30" s="11">
        <v>384.76539502424242</v>
      </c>
      <c r="AL30" s="11">
        <v>120.12626774848484</v>
      </c>
      <c r="AM30" s="11">
        <v>96.94056761189394</v>
      </c>
      <c r="AN30" s="11">
        <v>1177.8782603257575</v>
      </c>
    </row>
    <row r="31" spans="1:51" ht="12.75" customHeight="1" x14ac:dyDescent="0.35">
      <c r="B31" s="10">
        <v>2024</v>
      </c>
      <c r="C31" s="11">
        <v>2638.9799699999999</v>
      </c>
      <c r="D31" s="11">
        <v>109.5972395</v>
      </c>
      <c r="E31" s="11">
        <v>3507.5573138039999</v>
      </c>
      <c r="F31" s="11">
        <v>1267.4758842730002</v>
      </c>
      <c r="G31" s="11">
        <v>289.28574804199997</v>
      </c>
      <c r="H31" s="11">
        <v>41.941797870999999</v>
      </c>
      <c r="I31" s="11">
        <v>13309.265480336</v>
      </c>
      <c r="J31" s="11">
        <v>32.317234599999999</v>
      </c>
      <c r="K31" s="16">
        <v>2.8666632989220897</v>
      </c>
      <c r="L31" s="14">
        <v>-0.23484265498756596</v>
      </c>
      <c r="M31" s="14">
        <v>14.125157040508295</v>
      </c>
      <c r="N31" s="14">
        <v>15.48328832505308</v>
      </c>
      <c r="O31" s="14">
        <v>-13.510076823621663</v>
      </c>
      <c r="P31" s="14">
        <v>6.5795070431780234</v>
      </c>
      <c r="Q31" s="14">
        <v>25.29058197066789</v>
      </c>
      <c r="R31" s="14">
        <v>2.4891549149362646</v>
      </c>
      <c r="S31" s="17">
        <v>23.206925342685757</v>
      </c>
      <c r="T31" s="11">
        <v>23404.826705134834</v>
      </c>
      <c r="U31" s="11">
        <v>15467.844902930005</v>
      </c>
      <c r="V31" s="11">
        <v>128.67314471001848</v>
      </c>
      <c r="W31" s="11">
        <v>2223.1855431383888</v>
      </c>
      <c r="X31" s="11">
        <v>893.96496980999984</v>
      </c>
      <c r="Y31" s="11">
        <v>2292.9765447215173</v>
      </c>
      <c r="Z31" s="11">
        <v>1599.1844136989343</v>
      </c>
      <c r="AA31" s="11">
        <v>1686.9099496400299</v>
      </c>
      <c r="AB31" s="11">
        <v>2.9681160500000003</v>
      </c>
      <c r="AC31" s="11">
        <v>47700.534289833719</v>
      </c>
      <c r="AD31" s="14">
        <v>0.33500000000000002</v>
      </c>
      <c r="AE31" s="14">
        <v>0.56885799999999997</v>
      </c>
      <c r="AF31" s="14">
        <v>3.6168729999999996</v>
      </c>
      <c r="AG31" s="14">
        <v>0.49008600000000002</v>
      </c>
      <c r="AH31" s="14">
        <v>5.0108170000000003</v>
      </c>
      <c r="AI31" s="11">
        <v>2379.3158333333336</v>
      </c>
      <c r="AJ31" s="11">
        <v>28.244166666666665</v>
      </c>
      <c r="AK31" s="11">
        <v>414.79583333333335</v>
      </c>
      <c r="AL31" s="11">
        <v>126.01250000000002</v>
      </c>
      <c r="AM31" s="11">
        <v>93.974166666666676</v>
      </c>
      <c r="AN31" s="11">
        <v>1368.53</v>
      </c>
    </row>
    <row r="32" spans="1:51" s="23" customFormat="1" ht="12.75" customHeight="1" x14ac:dyDescent="0.35">
      <c r="A32" s="18"/>
      <c r="B32" s="19">
        <v>2025</v>
      </c>
      <c r="C32" s="20">
        <v>2685.0865337</v>
      </c>
      <c r="D32" s="20">
        <v>106.60792599998763</v>
      </c>
      <c r="E32" s="20">
        <v>3741.5028977779998</v>
      </c>
      <c r="F32" s="20">
        <v>1492.5</v>
      </c>
      <c r="G32" s="20">
        <v>311.89999999999998</v>
      </c>
      <c r="H32" s="20">
        <v>38</v>
      </c>
      <c r="I32" s="20">
        <v>11919.999032304</v>
      </c>
      <c r="J32" s="20">
        <v>34</v>
      </c>
      <c r="K32" s="21">
        <v>2.4897067970094602</v>
      </c>
      <c r="L32" s="22">
        <v>1.7319770139743174</v>
      </c>
      <c r="M32" s="22">
        <v>3.1650989573491772</v>
      </c>
      <c r="N32" s="22">
        <v>7.1138124022660731</v>
      </c>
      <c r="O32" s="22">
        <v>17.722751821473004</v>
      </c>
      <c r="P32" s="22">
        <v>7.6653209570717085</v>
      </c>
      <c r="Q32" s="22">
        <v>-8.5033885040659776</v>
      </c>
      <c r="R32" s="22">
        <v>-10.438308061510003</v>
      </c>
      <c r="S32" s="22">
        <v>5.2083095570539362</v>
      </c>
      <c r="T32" s="20">
        <v>25587.659663020913</v>
      </c>
      <c r="U32" s="20">
        <v>22897.408134419384</v>
      </c>
      <c r="V32" s="20">
        <v>188.40218163067991</v>
      </c>
      <c r="W32" s="20">
        <v>2689.8879691798925</v>
      </c>
      <c r="X32" s="20">
        <v>1041.5718344128215</v>
      </c>
      <c r="Y32" s="20">
        <v>2330.8720042962354</v>
      </c>
      <c r="Z32" s="20">
        <v>1476.5047622086599</v>
      </c>
      <c r="AA32" s="20">
        <v>1972.8972506932166</v>
      </c>
      <c r="AB32" s="20">
        <v>2.9681160500000003</v>
      </c>
      <c r="AC32" s="20">
        <v>58188.1719159118</v>
      </c>
      <c r="AD32" s="22">
        <v>0.67300000000000004</v>
      </c>
      <c r="AE32" s="22">
        <v>0.68489999999999995</v>
      </c>
      <c r="AF32" s="22">
        <v>3.9</v>
      </c>
      <c r="AG32" s="22">
        <v>0.5</v>
      </c>
      <c r="AH32" s="22">
        <v>5.7579000000000002</v>
      </c>
      <c r="AI32" s="20">
        <v>3315.4624999999996</v>
      </c>
      <c r="AJ32" s="20">
        <v>36.883333333333333</v>
      </c>
      <c r="AK32" s="20">
        <v>433.82214660644536</v>
      </c>
      <c r="AL32" s="20">
        <v>126.69142456054684</v>
      </c>
      <c r="AM32" s="20">
        <v>88.226766967773429</v>
      </c>
      <c r="AN32" s="20">
        <v>1494.4048746744793</v>
      </c>
      <c r="AO32"/>
      <c r="AP32"/>
      <c r="AQ32"/>
      <c r="AR32"/>
      <c r="AS32"/>
      <c r="AT32"/>
      <c r="AU32"/>
      <c r="AV32"/>
      <c r="AW32" s="18"/>
      <c r="AX32" s="18"/>
      <c r="AY32" s="18"/>
    </row>
    <row r="33" spans="1:51" s="23" customFormat="1" ht="12.75" customHeight="1" x14ac:dyDescent="0.35">
      <c r="A33" s="18"/>
      <c r="B33" s="19">
        <v>2026</v>
      </c>
      <c r="C33" s="20">
        <v>2778.2000000000003</v>
      </c>
      <c r="D33" s="20">
        <v>105.15792599998763</v>
      </c>
      <c r="E33" s="20">
        <v>3659</v>
      </c>
      <c r="F33" s="20">
        <v>1267.2</v>
      </c>
      <c r="G33" s="20">
        <v>309.89999999999998</v>
      </c>
      <c r="H33" s="20">
        <v>41.3</v>
      </c>
      <c r="I33" s="20">
        <v>13439.999999999998</v>
      </c>
      <c r="J33" s="20">
        <v>35.999999999999993</v>
      </c>
      <c r="K33" s="21">
        <v>1.0431475289381709</v>
      </c>
      <c r="L33" s="22">
        <v>3.4794739855062318</v>
      </c>
      <c r="M33" s="22">
        <v>-1.0542266599664729</v>
      </c>
      <c r="N33" s="22">
        <v>-2.20837289765351</v>
      </c>
      <c r="O33" s="22">
        <v>-15.275582790629528</v>
      </c>
      <c r="P33" s="22">
        <v>-1.1267847641052597</v>
      </c>
      <c r="Q33" s="22">
        <v>7.6296023794119483</v>
      </c>
      <c r="R33" s="22">
        <v>12.751717466302726</v>
      </c>
      <c r="S33" s="22">
        <v>5.8824165571113696</v>
      </c>
      <c r="T33" s="20">
        <v>27299.23398381906</v>
      </c>
      <c r="U33" s="20">
        <v>26544.08453042178</v>
      </c>
      <c r="V33" s="20">
        <v>226.67306043163796</v>
      </c>
      <c r="W33" s="20">
        <v>2320.6780597448833</v>
      </c>
      <c r="X33" s="20">
        <v>1159.6065009073493</v>
      </c>
      <c r="Y33" s="20">
        <v>2283.6954437232985</v>
      </c>
      <c r="Z33" s="20">
        <v>1620.9392107433339</v>
      </c>
      <c r="AA33" s="20">
        <v>2209.2082085459733</v>
      </c>
      <c r="AB33" s="20">
        <v>2.9681160500000003</v>
      </c>
      <c r="AC33" s="20">
        <v>63667.087114387316</v>
      </c>
      <c r="AD33" s="22">
        <v>1.4</v>
      </c>
      <c r="AE33" s="22">
        <v>0.75339</v>
      </c>
      <c r="AF33" s="22">
        <v>4.2</v>
      </c>
      <c r="AG33" s="22">
        <v>0.4</v>
      </c>
      <c r="AH33" s="22">
        <v>6.7530000000000001</v>
      </c>
      <c r="AI33" s="20">
        <v>3300</v>
      </c>
      <c r="AJ33" s="20">
        <v>36.125</v>
      </c>
      <c r="AK33" s="20">
        <v>415</v>
      </c>
      <c r="AL33" s="20">
        <v>120.25</v>
      </c>
      <c r="AM33" s="20">
        <v>86</v>
      </c>
      <c r="AN33" s="20">
        <v>1442.0223577235772</v>
      </c>
      <c r="AO33"/>
      <c r="AP33"/>
      <c r="AQ33"/>
      <c r="AR33"/>
      <c r="AS33"/>
      <c r="AT33"/>
      <c r="AU33"/>
      <c r="AV33"/>
      <c r="AW33" s="18"/>
      <c r="AX33" s="18"/>
      <c r="AY33" s="18"/>
    </row>
    <row r="34" spans="1:51" s="23" customFormat="1" ht="12.75" customHeight="1" x14ac:dyDescent="0.35">
      <c r="A34" s="18"/>
      <c r="B34" s="19">
        <v>2027</v>
      </c>
      <c r="C34" s="20">
        <v>2663.7</v>
      </c>
      <c r="D34" s="20">
        <v>104.00792599998762</v>
      </c>
      <c r="E34" s="20">
        <v>3725</v>
      </c>
      <c r="F34" s="20">
        <v>1298.0999999999999</v>
      </c>
      <c r="G34" s="20">
        <v>324.2</v>
      </c>
      <c r="H34" s="20">
        <v>42.7</v>
      </c>
      <c r="I34" s="20">
        <v>13270</v>
      </c>
      <c r="J34" s="20">
        <v>35</v>
      </c>
      <c r="K34" s="21">
        <v>-1.832007093483734</v>
      </c>
      <c r="L34" s="22">
        <v>-4.1213735512202199</v>
      </c>
      <c r="M34" s="22">
        <v>-1.0935932684714045</v>
      </c>
      <c r="N34" s="22">
        <v>1.8037715222738671</v>
      </c>
      <c r="O34" s="22">
        <v>2.4384469696969724</v>
      </c>
      <c r="P34" s="22">
        <v>4.6143917392707179</v>
      </c>
      <c r="Q34" s="22">
        <v>3.3898305084745672</v>
      </c>
      <c r="R34" s="22">
        <v>-1.2648809523809312</v>
      </c>
      <c r="S34" s="22">
        <v>-2.7777777777777568</v>
      </c>
      <c r="T34" s="20">
        <v>25889.629155433744</v>
      </c>
      <c r="U34" s="20">
        <v>25269.282700988988</v>
      </c>
      <c r="V34" s="20">
        <v>211.32915826694978</v>
      </c>
      <c r="W34" s="20">
        <v>2251.1993973192757</v>
      </c>
      <c r="X34" s="20">
        <v>1042.5755069547531</v>
      </c>
      <c r="Y34" s="20">
        <v>2389.0740976285683</v>
      </c>
      <c r="Z34" s="20">
        <v>1726.1628917119265</v>
      </c>
      <c r="AA34" s="20">
        <v>2176.4063049298497</v>
      </c>
      <c r="AB34" s="20">
        <v>2.9681160500000003</v>
      </c>
      <c r="AC34" s="20">
        <v>60958.627329284041</v>
      </c>
      <c r="AD34" s="22">
        <v>1.55</v>
      </c>
      <c r="AE34" s="22">
        <v>0.61499999999999999</v>
      </c>
      <c r="AF34" s="22">
        <v>4.3</v>
      </c>
      <c r="AG34" s="22">
        <v>0.4</v>
      </c>
      <c r="AH34" s="22">
        <v>6.8650000000000002</v>
      </c>
      <c r="AI34" s="20">
        <v>3150</v>
      </c>
      <c r="AJ34" s="20">
        <v>34</v>
      </c>
      <c r="AK34" s="20">
        <v>430</v>
      </c>
      <c r="AL34" s="20">
        <v>125</v>
      </c>
      <c r="AM34" s="20">
        <v>88</v>
      </c>
      <c r="AN34" s="20">
        <v>1475</v>
      </c>
      <c r="AO34"/>
      <c r="AP34"/>
      <c r="AQ34"/>
      <c r="AR34"/>
      <c r="AS34"/>
      <c r="AT34"/>
      <c r="AU34"/>
      <c r="AV34"/>
      <c r="AW34" s="18"/>
      <c r="AX34" s="18"/>
      <c r="AY34" s="18"/>
    </row>
    <row r="35" spans="1:51" ht="12.75" customHeight="1" x14ac:dyDescent="0.35">
      <c r="B35" s="24" t="s">
        <v>260</v>
      </c>
      <c r="C35" s="25"/>
      <c r="D35" s="25"/>
      <c r="E35" s="25"/>
      <c r="F35" s="25"/>
      <c r="AC35" s="6" t="s">
        <v>261</v>
      </c>
      <c r="AN35" s="26" t="s">
        <v>262</v>
      </c>
    </row>
    <row r="36" spans="1:51" ht="12.75" customHeight="1" x14ac:dyDescent="0.35">
      <c r="C36" s="25"/>
      <c r="D36" s="25"/>
      <c r="E36" s="25"/>
      <c r="F36" s="25"/>
    </row>
    <row r="38" spans="1:51" ht="18" hidden="1" x14ac:dyDescent="0.35"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</row>
  </sheetData>
  <mergeCells count="2">
    <mergeCell ref="B2:L2"/>
    <mergeCell ref="B38:M3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8191-3288-48B7-B2E8-9163AD81A1E5}">
  <sheetPr>
    <tabColor theme="9" tint="-0.249977111117893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DBD94-2F82-4371-A479-1FAA77C86D45}">
  <dimension ref="A1:Q21"/>
  <sheetViews>
    <sheetView zoomScale="70" zoomScaleNormal="70" workbookViewId="0">
      <selection activeCell="Q14" sqref="Q14"/>
    </sheetView>
  </sheetViews>
  <sheetFormatPr defaultRowHeight="14.5" x14ac:dyDescent="0.35"/>
  <cols>
    <col min="1" max="1" width="14.7265625" bestFit="1" customWidth="1"/>
    <col min="2" max="2" width="19.08984375" bestFit="1" customWidth="1"/>
    <col min="3" max="3" width="14.36328125" bestFit="1" customWidth="1"/>
    <col min="4" max="4" width="10.54296875" bestFit="1" customWidth="1"/>
    <col min="7" max="17" width="8.7265625" style="36"/>
  </cols>
  <sheetData>
    <row r="1" spans="1:5" x14ac:dyDescent="0.35">
      <c r="A1" t="s">
        <v>624</v>
      </c>
      <c r="B1" t="s">
        <v>660</v>
      </c>
      <c r="C1" t="s">
        <v>2</v>
      </c>
      <c r="D1" t="s">
        <v>625</v>
      </c>
      <c r="E1" t="s">
        <v>410</v>
      </c>
    </row>
    <row r="2" spans="1:5" x14ac:dyDescent="0.35">
      <c r="A2" t="s">
        <v>626</v>
      </c>
      <c r="B2" t="s">
        <v>661</v>
      </c>
      <c r="C2" t="s">
        <v>627</v>
      </c>
      <c r="D2">
        <v>500</v>
      </c>
      <c r="E2" t="s">
        <v>628</v>
      </c>
    </row>
    <row r="3" spans="1:5" x14ac:dyDescent="0.35">
      <c r="A3" t="s">
        <v>626</v>
      </c>
      <c r="B3" t="s">
        <v>662</v>
      </c>
      <c r="C3" t="s">
        <v>629</v>
      </c>
      <c r="D3">
        <v>500</v>
      </c>
      <c r="E3" t="s">
        <v>630</v>
      </c>
    </row>
    <row r="4" spans="1:5" x14ac:dyDescent="0.35">
      <c r="A4" t="s">
        <v>626</v>
      </c>
      <c r="B4" t="s">
        <v>662</v>
      </c>
      <c r="C4" t="s">
        <v>663</v>
      </c>
      <c r="D4">
        <v>125</v>
      </c>
      <c r="E4" t="s">
        <v>631</v>
      </c>
    </row>
    <row r="5" spans="1:5" x14ac:dyDescent="0.35">
      <c r="A5" t="s">
        <v>626</v>
      </c>
      <c r="B5" t="s">
        <v>662</v>
      </c>
      <c r="C5" t="s">
        <v>632</v>
      </c>
      <c r="D5">
        <v>70</v>
      </c>
      <c r="E5" t="s">
        <v>633</v>
      </c>
    </row>
    <row r="6" spans="1:5" x14ac:dyDescent="0.35">
      <c r="A6" t="s">
        <v>626</v>
      </c>
      <c r="B6" t="s">
        <v>662</v>
      </c>
      <c r="C6" t="s">
        <v>634</v>
      </c>
      <c r="D6">
        <v>60</v>
      </c>
      <c r="E6" t="s">
        <v>635</v>
      </c>
    </row>
    <row r="7" spans="1:5" x14ac:dyDescent="0.35">
      <c r="A7" t="s">
        <v>636</v>
      </c>
      <c r="B7" t="s">
        <v>664</v>
      </c>
      <c r="C7" t="s">
        <v>637</v>
      </c>
      <c r="D7">
        <v>165</v>
      </c>
      <c r="E7" t="s">
        <v>638</v>
      </c>
    </row>
    <row r="8" spans="1:5" x14ac:dyDescent="0.35">
      <c r="A8" t="s">
        <v>636</v>
      </c>
      <c r="B8" t="s">
        <v>662</v>
      </c>
      <c r="C8" t="s">
        <v>639</v>
      </c>
      <c r="D8">
        <v>125</v>
      </c>
      <c r="E8" t="s">
        <v>640</v>
      </c>
    </row>
    <row r="9" spans="1:5" x14ac:dyDescent="0.35">
      <c r="A9" t="s">
        <v>636</v>
      </c>
      <c r="B9" t="s">
        <v>662</v>
      </c>
      <c r="C9" t="s">
        <v>641</v>
      </c>
      <c r="D9">
        <v>350</v>
      </c>
      <c r="E9" t="s">
        <v>642</v>
      </c>
    </row>
    <row r="10" spans="1:5" x14ac:dyDescent="0.35">
      <c r="A10" t="s">
        <v>636</v>
      </c>
      <c r="B10" t="s">
        <v>662</v>
      </c>
      <c r="C10" t="s">
        <v>643</v>
      </c>
      <c r="D10">
        <v>105</v>
      </c>
      <c r="E10" t="s">
        <v>644</v>
      </c>
    </row>
    <row r="11" spans="1:5" x14ac:dyDescent="0.35">
      <c r="A11" t="s">
        <v>636</v>
      </c>
      <c r="B11" t="s">
        <v>662</v>
      </c>
      <c r="C11" t="s">
        <v>645</v>
      </c>
      <c r="D11">
        <v>150</v>
      </c>
      <c r="E11" t="s">
        <v>644</v>
      </c>
    </row>
    <row r="12" spans="1:5" x14ac:dyDescent="0.35">
      <c r="A12" t="s">
        <v>636</v>
      </c>
      <c r="B12" t="s">
        <v>664</v>
      </c>
      <c r="C12" t="s">
        <v>646</v>
      </c>
      <c r="D12">
        <v>105</v>
      </c>
      <c r="E12" t="s">
        <v>644</v>
      </c>
    </row>
    <row r="13" spans="1:5" x14ac:dyDescent="0.35">
      <c r="A13" t="s">
        <v>636</v>
      </c>
      <c r="B13" t="s">
        <v>664</v>
      </c>
      <c r="C13" t="s">
        <v>647</v>
      </c>
      <c r="D13">
        <v>410</v>
      </c>
      <c r="E13" t="s">
        <v>648</v>
      </c>
    </row>
    <row r="14" spans="1:5" x14ac:dyDescent="0.35">
      <c r="A14" t="s">
        <v>636</v>
      </c>
      <c r="B14" t="s">
        <v>664</v>
      </c>
      <c r="C14" t="s">
        <v>649</v>
      </c>
      <c r="D14">
        <v>395</v>
      </c>
      <c r="E14" t="s">
        <v>650</v>
      </c>
    </row>
    <row r="15" spans="1:5" x14ac:dyDescent="0.35">
      <c r="A15" t="s">
        <v>626</v>
      </c>
      <c r="B15" t="s">
        <v>664</v>
      </c>
      <c r="C15" t="s">
        <v>651</v>
      </c>
      <c r="D15">
        <v>185</v>
      </c>
      <c r="E15" t="s">
        <v>633</v>
      </c>
    </row>
    <row r="16" spans="1:5" x14ac:dyDescent="0.35">
      <c r="A16" t="s">
        <v>626</v>
      </c>
      <c r="B16" t="s">
        <v>662</v>
      </c>
      <c r="C16" t="s">
        <v>652</v>
      </c>
      <c r="D16">
        <v>60</v>
      </c>
      <c r="E16" t="s">
        <v>633</v>
      </c>
    </row>
    <row r="17" spans="1:5" x14ac:dyDescent="0.35">
      <c r="A17" t="s">
        <v>626</v>
      </c>
      <c r="B17" t="s">
        <v>662</v>
      </c>
      <c r="C17" t="s">
        <v>653</v>
      </c>
      <c r="D17">
        <v>270</v>
      </c>
      <c r="E17" t="s">
        <v>648</v>
      </c>
    </row>
    <row r="18" spans="1:5" x14ac:dyDescent="0.35">
      <c r="A18" t="s">
        <v>626</v>
      </c>
      <c r="B18" t="s">
        <v>664</v>
      </c>
      <c r="C18" t="s">
        <v>654</v>
      </c>
      <c r="D18">
        <v>300</v>
      </c>
      <c r="E18" t="s">
        <v>633</v>
      </c>
    </row>
    <row r="19" spans="1:5" x14ac:dyDescent="0.35">
      <c r="A19" t="s">
        <v>626</v>
      </c>
      <c r="B19" t="s">
        <v>662</v>
      </c>
      <c r="C19" t="s">
        <v>655</v>
      </c>
      <c r="D19">
        <v>60</v>
      </c>
      <c r="E19" t="s">
        <v>633</v>
      </c>
    </row>
    <row r="20" spans="1:5" x14ac:dyDescent="0.35">
      <c r="A20" t="s">
        <v>656</v>
      </c>
      <c r="B20" t="s">
        <v>664</v>
      </c>
      <c r="C20" t="s">
        <v>657</v>
      </c>
      <c r="D20">
        <v>200</v>
      </c>
      <c r="E20" t="s">
        <v>658</v>
      </c>
    </row>
    <row r="21" spans="1:5" x14ac:dyDescent="0.35">
      <c r="A21" t="s">
        <v>656</v>
      </c>
      <c r="B21" t="s">
        <v>662</v>
      </c>
      <c r="C21" s="1" t="s">
        <v>659</v>
      </c>
      <c r="D21" s="1">
        <v>1500</v>
      </c>
      <c r="E21" t="s">
        <v>658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1AB3F-22B3-435F-98C6-7F5B6C5FF0AE}">
  <dimension ref="A1:L9"/>
  <sheetViews>
    <sheetView tabSelected="1" workbookViewId="0">
      <selection activeCell="I9" sqref="I9"/>
    </sheetView>
  </sheetViews>
  <sheetFormatPr defaultRowHeight="14.5" x14ac:dyDescent="0.35"/>
  <cols>
    <col min="9" max="9" width="12.36328125" bestFit="1" customWidth="1"/>
    <col min="10" max="10" width="19.54296875" bestFit="1" customWidth="1"/>
    <col min="11" max="11" width="13.54296875" bestFit="1" customWidth="1"/>
    <col min="12" max="12" width="16.54296875" bestFit="1" customWidth="1"/>
  </cols>
  <sheetData>
    <row r="1" spans="1:12" x14ac:dyDescent="0.35">
      <c r="A1" t="s">
        <v>410</v>
      </c>
      <c r="B1" t="s">
        <v>604</v>
      </c>
      <c r="C1" t="s">
        <v>665</v>
      </c>
      <c r="D1" t="s">
        <v>666</v>
      </c>
      <c r="E1" t="s">
        <v>667</v>
      </c>
      <c r="F1" t="s">
        <v>668</v>
      </c>
      <c r="I1" t="s">
        <v>674</v>
      </c>
      <c r="J1" t="s">
        <v>2</v>
      </c>
      <c r="K1" t="s">
        <v>675</v>
      </c>
      <c r="L1" t="s">
        <v>409</v>
      </c>
    </row>
    <row r="2" spans="1:12" x14ac:dyDescent="0.35">
      <c r="A2" t="s">
        <v>635</v>
      </c>
      <c r="B2" t="s">
        <v>669</v>
      </c>
      <c r="C2" t="s">
        <v>669</v>
      </c>
      <c r="D2">
        <v>53</v>
      </c>
      <c r="E2">
        <v>16</v>
      </c>
      <c r="F2">
        <v>31</v>
      </c>
      <c r="I2">
        <v>2025</v>
      </c>
      <c r="J2" t="s">
        <v>295</v>
      </c>
      <c r="K2">
        <v>20</v>
      </c>
      <c r="L2" t="s">
        <v>676</v>
      </c>
    </row>
    <row r="3" spans="1:12" x14ac:dyDescent="0.35">
      <c r="A3" t="s">
        <v>670</v>
      </c>
      <c r="B3" t="s">
        <v>671</v>
      </c>
      <c r="C3" t="s">
        <v>671</v>
      </c>
      <c r="D3">
        <v>85</v>
      </c>
      <c r="E3">
        <v>0</v>
      </c>
      <c r="F3">
        <v>15</v>
      </c>
      <c r="I3">
        <v>2027</v>
      </c>
      <c r="J3" t="s">
        <v>29</v>
      </c>
      <c r="K3">
        <v>90</v>
      </c>
      <c r="L3" t="s">
        <v>676</v>
      </c>
    </row>
    <row r="4" spans="1:12" x14ac:dyDescent="0.35">
      <c r="A4" t="s">
        <v>633</v>
      </c>
      <c r="B4" t="s">
        <v>671</v>
      </c>
      <c r="C4" t="s">
        <v>671</v>
      </c>
      <c r="D4">
        <v>90</v>
      </c>
      <c r="E4">
        <v>0</v>
      </c>
      <c r="F4">
        <v>10</v>
      </c>
      <c r="I4">
        <v>2027</v>
      </c>
      <c r="J4" t="s">
        <v>677</v>
      </c>
      <c r="K4">
        <v>40</v>
      </c>
      <c r="L4" t="s">
        <v>676</v>
      </c>
    </row>
    <row r="5" spans="1:12" x14ac:dyDescent="0.35">
      <c r="A5" t="s">
        <v>672</v>
      </c>
      <c r="B5" t="s">
        <v>671</v>
      </c>
      <c r="C5" t="s">
        <v>671</v>
      </c>
      <c r="D5">
        <v>0</v>
      </c>
      <c r="E5">
        <v>100</v>
      </c>
      <c r="F5">
        <v>0</v>
      </c>
      <c r="I5">
        <v>2027</v>
      </c>
      <c r="J5" t="s">
        <v>181</v>
      </c>
      <c r="K5">
        <v>40</v>
      </c>
      <c r="L5" t="s">
        <v>676</v>
      </c>
    </row>
    <row r="6" spans="1:12" x14ac:dyDescent="0.35">
      <c r="A6" t="s">
        <v>631</v>
      </c>
      <c r="B6" t="s">
        <v>671</v>
      </c>
      <c r="C6" t="s">
        <v>671</v>
      </c>
      <c r="D6">
        <v>50</v>
      </c>
      <c r="E6">
        <v>46</v>
      </c>
      <c r="F6">
        <v>4</v>
      </c>
      <c r="I6" t="s">
        <v>678</v>
      </c>
      <c r="J6" t="s">
        <v>679</v>
      </c>
      <c r="K6">
        <v>670</v>
      </c>
      <c r="L6" t="s">
        <v>680</v>
      </c>
    </row>
    <row r="7" spans="1:12" x14ac:dyDescent="0.35">
      <c r="A7" t="s">
        <v>635</v>
      </c>
      <c r="B7" t="s">
        <v>671</v>
      </c>
      <c r="C7" t="s">
        <v>671</v>
      </c>
      <c r="D7">
        <v>70</v>
      </c>
      <c r="E7">
        <v>25</v>
      </c>
      <c r="F7">
        <v>5</v>
      </c>
    </row>
    <row r="8" spans="1:12" x14ac:dyDescent="0.35">
      <c r="A8" t="s">
        <v>635</v>
      </c>
      <c r="B8" t="s">
        <v>673</v>
      </c>
      <c r="C8" t="s">
        <v>673</v>
      </c>
      <c r="D8">
        <v>46</v>
      </c>
      <c r="E8">
        <v>0</v>
      </c>
      <c r="F8">
        <v>54</v>
      </c>
    </row>
    <row r="9" spans="1:12" x14ac:dyDescent="0.35">
      <c r="A9" t="s">
        <v>633</v>
      </c>
      <c r="B9" t="s">
        <v>673</v>
      </c>
      <c r="C9" t="s">
        <v>673</v>
      </c>
      <c r="D9">
        <v>20</v>
      </c>
      <c r="E9">
        <v>0</v>
      </c>
      <c r="F9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FINANCIAL</vt:lpstr>
      <vt:lpstr>MINING</vt:lpstr>
      <vt:lpstr>Produccion</vt:lpstr>
      <vt:lpstr>Inversion</vt:lpstr>
      <vt:lpstr>Cartera de Proyectos</vt:lpstr>
      <vt:lpstr>DP</vt:lpstr>
      <vt:lpstr>OCM</vt:lpstr>
      <vt:lpstr>CooperAccion</vt:lpstr>
      <vt:lpstr>Leyes</vt:lpstr>
      <vt:lpstr>Exploracion Minera</vt:lpstr>
      <vt:lpstr>Apoyo</vt:lpstr>
      <vt:lpstr>UTILITIES</vt:lpstr>
      <vt:lpstr>Proyectos renovables</vt:lpstr>
      <vt:lpstr>Produccion Electrica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Olivares Untiveros</dc:creator>
  <cp:lastModifiedBy>Franco Olivares Untiveros</cp:lastModifiedBy>
  <dcterms:created xsi:type="dcterms:W3CDTF">2026-08-18T17:17:23Z</dcterms:created>
  <dcterms:modified xsi:type="dcterms:W3CDTF">2026-08-24T06:48:06Z</dcterms:modified>
</cp:coreProperties>
</file>