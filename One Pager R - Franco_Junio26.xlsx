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Z:\Mesa de Inversiones\Bottom-Up\Franco\"/>
    </mc:Choice>
  </mc:AlternateContent>
  <xr:revisionPtr revIDLastSave="0" documentId="8_{6A3B6E24-9EFE-4067-BB77-050437101E1D}" xr6:coauthVersionLast="47" xr6:coauthVersionMax="47" xr10:uidLastSave="{00000000-0000-0000-0000-000000000000}"/>
  <bookViews>
    <workbookView xWindow="-120" yWindow="-120" windowWidth="29040" windowHeight="15720" activeTab="3" xr2:uid="{BC4AA5CA-B8F3-49AC-89EB-3642E8D41AC3}"/>
  </bookViews>
  <sheets>
    <sheet name="Cibest" sheetId="1" r:id="rId1"/>
    <sheet name="Grupo Aval" sheetId="2" r:id="rId2"/>
    <sheet name="_CIQHiddenCacheSheet" sheetId="20" state="veryHidden" r:id="rId3"/>
    <sheet name="Davivienda" sheetId="3" r:id="rId4"/>
    <sheet name="BCI" sheetId="4" r:id="rId5"/>
    <sheet name="Ecopetrol" sheetId="5" r:id="rId6"/>
    <sheet name="EPM" sheetId="6" r:id="rId7"/>
    <sheet name="Orazen" sheetId="7" r:id="rId8"/>
    <sheet name="Banorte" sheetId="15" r:id="rId9"/>
    <sheet name="IBK" sheetId="16" r:id="rId10"/>
    <sheet name="BCP" sheetId="17" r:id="rId11"/>
    <sheet name="BBVA Mexico" sheetId="18" r:id="rId12"/>
    <sheet name="Pluz Energia" sheetId="9" r:id="rId13"/>
    <sheet name="LdS" sheetId="8" r:id="rId14"/>
    <sheet name="Orygen" sheetId="10" r:id="rId15"/>
    <sheet name="Engie" sheetId="11" r:id="rId16"/>
    <sheet name="Minsur" sheetId="12" r:id="rId17"/>
    <sheet name="Nexa" sheetId="13" r:id="rId18"/>
    <sheet name="Volcan" sheetId="14" r:id="rId19"/>
  </sheets>
  <externalReferences>
    <externalReference r:id="rId20"/>
    <externalReference r:id="rId21"/>
  </externalReferences>
  <definedNames>
    <definedName name="CIQWBGuid" hidden="1">"0e112921-b25b-4a79-9886-b045cc42e3eb"</definedName>
    <definedName name="CIQWBInfo" hidden="1">"{ ""CIQVersion"":""9.51.3510.3078"" }"</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46210.6621180556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2" i="14" l="1"/>
  <c r="U2" i="14"/>
  <c r="R2" i="13"/>
  <c r="U2" i="13"/>
  <c r="R2" i="12"/>
  <c r="U2" i="12"/>
  <c r="R2" i="11"/>
  <c r="U2" i="11"/>
  <c r="L54" i="11"/>
  <c r="N54" i="11"/>
  <c r="O54" i="11"/>
  <c r="L55" i="11"/>
  <c r="N55" i="11"/>
  <c r="O55" i="11"/>
  <c r="R60" i="11"/>
  <c r="R2" i="10"/>
  <c r="U2" i="10"/>
  <c r="R2" i="8"/>
  <c r="U2" i="8"/>
  <c r="R2" i="9"/>
  <c r="U2" i="9"/>
  <c r="L48" i="9"/>
  <c r="N48" i="9"/>
  <c r="O48" i="9"/>
  <c r="L49" i="9"/>
  <c r="N49" i="9"/>
  <c r="O49" i="9"/>
  <c r="R51" i="9"/>
  <c r="R2" i="18"/>
  <c r="U2" i="18"/>
  <c r="R2" i="17"/>
  <c r="U2" i="17"/>
  <c r="R2" i="16"/>
  <c r="U2" i="16"/>
  <c r="R2" i="15"/>
  <c r="U2" i="15"/>
  <c r="R2" i="7"/>
  <c r="U2" i="7"/>
  <c r="L54" i="7"/>
  <c r="N54" i="7"/>
  <c r="O54" i="7"/>
  <c r="L55" i="7"/>
  <c r="N55" i="7"/>
  <c r="O55" i="7"/>
  <c r="R2" i="6"/>
  <c r="U2" i="6"/>
  <c r="R2" i="5"/>
  <c r="U2" i="5"/>
  <c r="R2" i="4"/>
  <c r="U2" i="4"/>
  <c r="R2" i="3"/>
  <c r="U2" i="3"/>
  <c r="R2" i="2"/>
  <c r="U2" i="2"/>
</calcChain>
</file>

<file path=xl/sharedStrings.xml><?xml version="1.0" encoding="utf-8"?>
<sst xmlns="http://schemas.openxmlformats.org/spreadsheetml/2006/main" count="1246" uniqueCount="535">
  <si>
    <t>Highlights</t>
  </si>
  <si>
    <t>Tailwinds</t>
  </si>
  <si>
    <t>● Asset quality improved materially</t>
  </si>
  <si>
    <t>Headwinds</t>
  </si>
  <si>
    <t>Key Financials</t>
  </si>
  <si>
    <t>FY2022</t>
  </si>
  <si>
    <t>FY42023</t>
  </si>
  <si>
    <t>FY42024</t>
  </si>
  <si>
    <t>FY42025</t>
  </si>
  <si>
    <t>Año Fiscal</t>
  </si>
  <si>
    <t>LTM</t>
  </si>
  <si>
    <t>% YoY</t>
  </si>
  <si>
    <t>Interest Income (USD MM)</t>
  </si>
  <si>
    <t>Interest Expense (USD MM)</t>
  </si>
  <si>
    <t>Net Interest Income (USD MM)</t>
  </si>
  <si>
    <t>Non-Interest Income (USD MM)</t>
  </si>
  <si>
    <t>Provision Of Loans (USD MM)</t>
  </si>
  <si>
    <t>SG&amp;A (USD MM)</t>
  </si>
  <si>
    <t>EBT Before Taxes (USD MM)</t>
  </si>
  <si>
    <t>Income Tax Expense (USD MM)</t>
  </si>
  <si>
    <t>Net Income Cons. (USD MM)</t>
  </si>
  <si>
    <t>Net Income (USD MM)</t>
  </si>
  <si>
    <t>NPL</t>
  </si>
  <si>
    <t>-1.1 ppts</t>
  </si>
  <si>
    <t>Loan Coverage</t>
  </si>
  <si>
    <t>Prov. Loans / Net Charge-Offs</t>
  </si>
  <si>
    <t>0.0 ppts</t>
  </si>
  <si>
    <t>Avg. Com. Equity / Avg. Assets</t>
  </si>
  <si>
    <t>-0.8 ppts</t>
  </si>
  <si>
    <t>Avg. Total Equity / Avg. Assets</t>
  </si>
  <si>
    <t>Gross Loans / Total Deposits</t>
  </si>
  <si>
    <t>Tier I Capital Ratio</t>
  </si>
  <si>
    <t>Core Tier I Capital Ratio</t>
  </si>
  <si>
    <t>Tier II Capital Ratio</t>
  </si>
  <si>
    <t>Total Capital Ratio</t>
  </si>
  <si>
    <t>ROE</t>
  </si>
  <si>
    <t>ROCE</t>
  </si>
  <si>
    <t>1.6 ppts</t>
  </si>
  <si>
    <t>ROA</t>
  </si>
  <si>
    <t>P / LTM EPS</t>
  </si>
  <si>
    <t>P / FWD EPS</t>
  </si>
  <si>
    <t>P / Tangible BV</t>
  </si>
  <si>
    <t>-0.1 ppts</t>
  </si>
  <si>
    <t>1.8 ppts</t>
  </si>
  <si>
    <t>0.2 ppts</t>
  </si>
  <si>
    <t/>
  </si>
  <si>
    <t>NM</t>
  </si>
  <si>
    <t>-0.7 ppts</t>
  </si>
  <si>
    <t>-0.2 ppts</t>
  </si>
  <si>
    <t>0.3 ppts</t>
  </si>
  <si>
    <t>0.4 ppts</t>
  </si>
  <si>
    <t>0.6 ppts</t>
  </si>
  <si>
    <t>0.5 ppts</t>
  </si>
  <si>
    <t>● Profitability improved materially</t>
  </si>
  <si>
    <t>-0.4 ppts</t>
  </si>
  <si>
    <t>Cash and Equivalents (USD MM)</t>
  </si>
  <si>
    <t>Gross Margin</t>
  </si>
  <si>
    <t>EBIT Margin</t>
  </si>
  <si>
    <t>EBITDA Margin</t>
  </si>
  <si>
    <t>Net Margin</t>
  </si>
  <si>
    <t>LFCF Margin</t>
  </si>
  <si>
    <t>CFO / Interest Exp.</t>
  </si>
  <si>
    <t>EBITDA / Interest Exp.</t>
  </si>
  <si>
    <t>(EBITDA-CAPEX) / Interest Exp.</t>
  </si>
  <si>
    <t>Total Debt/EBITDA</t>
  </si>
  <si>
    <t>Net Debt/EBITDA</t>
  </si>
  <si>
    <t>Total Debt/(EBITDA-CAPEX)</t>
  </si>
  <si>
    <t>Net Debt/(EBITDA-CAPEX)</t>
  </si>
  <si>
    <t>Day sales out</t>
  </si>
  <si>
    <t>Day payable out</t>
  </si>
  <si>
    <t>Day inventory out</t>
  </si>
  <si>
    <t>Current Ratio</t>
  </si>
  <si>
    <t>Quick Ratio</t>
  </si>
  <si>
    <t>CCC</t>
  </si>
  <si>
    <t>ROIC</t>
  </si>
  <si>
    <t>EBITDA (USD MM)</t>
  </si>
  <si>
    <t>Sales MM (USD MM)</t>
  </si>
  <si>
    <t>Benchmark</t>
  </si>
  <si>
    <t>Shareholders</t>
  </si>
  <si>
    <t>Orazul Energía Perú S.A.C.</t>
  </si>
  <si>
    <t>Fecha</t>
  </si>
  <si>
    <t>Absoluto</t>
  </si>
  <si>
    <t>Relativo</t>
  </si>
  <si>
    <t>Accionistas minoritarios</t>
  </si>
  <si>
    <t>.</t>
  </si>
  <si>
    <t>● Liquidity remains tight</t>
  </si>
  <si>
    <t>Enel Perú</t>
  </si>
  <si>
    <t>AFP Integra</t>
  </si>
  <si>
    <t>Prima AFP</t>
  </si>
  <si>
    <t>Profuturo AFP</t>
  </si>
  <si>
    <t>AFP Habitat</t>
  </si>
  <si>
    <t>Otros</t>
  </si>
  <si>
    <t>Cash and Equivalents (PEN MM)</t>
  </si>
  <si>
    <t>Effective Capacity</t>
  </si>
  <si>
    <t>Generation</t>
  </si>
  <si>
    <t>Demand</t>
  </si>
  <si>
    <t>Int. Power</t>
  </si>
  <si>
    <t>AFP I ntegra</t>
  </si>
  <si>
    <t>-0.5 ppts</t>
  </si>
  <si>
    <t>● Funding costs continue to decline</t>
  </si>
  <si>
    <t>0.9 ppts</t>
  </si>
  <si>
    <t>0.1 ppts</t>
  </si>
  <si>
    <t>-0.3 ppts</t>
  </si>
  <si>
    <t>BCP reported strong LTM 1Q26 results, supported by higher net interest income, stronger non-interest income and a meaningful reduction in provisions, with SG&amp;A growth well contained. Net income reached USD 1,963.3 million, up 30.6%yoy, while consolidated net income rose 30.8% to USD 1,972.2 million and FY2025 net income grew 39.2% to USD 1,923.7 million from USD 1,381.6 million in FY2024. EBT before taxes rose 30.7%yoy to USD 2,671.5 million, while income tax expense increased 30.4%yoy to USD 699.4 million; in FY2025, EBT reached USD 2,621.0 million, up 40.4%, and income tax expense USD 689.2 million, up 43.3%. ROE stood at 30.18%, up 4.7 ppts yoy from 25.47%, while ROCE reached 30.22% and ROA 3.16% versus 2.75%; FY2025 ROE of 24.69% compared with 21.19% in FY2024 and 20.12% in FY2023, while FY2025 ROA stood at 3.04% versus 2.61% in FY2024. Loan coverage stood at 108.63% in FY2025 versus 102.24% in FY2024. The main watchpoints are the durability of lower provisions, the decline in equity ratios and the expansion in valuation multiples.
NII rose 10.9%yoy to USD 4,023.0 million, supported by lower funding costs, as interest expense declined 6.6%yoy to USD 1,049.8 million while interest income increased 6.7%yoy to USD 5,072.7 million. In FY2025, NII grew 16.5% to USD 4,072.7 million from USD 3,494.6 million, with interest income up 12.3% to USD 5,194.2 million and interest expense down 0.9% to USD 1,121.6 million. Non-interest income also improved, rising 15.9%yoy to USD 1,546.8 million, after a 19.3% increase in FY2025 to USD 1,512.7 million, from USD 1,268.4 million in FY2024. SG&amp;A increased only 3.5%yoy to USD 948.9 million, well below revenue growth, following an 8.8% rise in FY2025 to USD 923.6 million, from USD 848.8 million in FY2024. Gross loans to total deposits declined to 84.68% from 89.13% a year earlier, versus 87.36% in FY2025, 88.87% in FY2024, 98.95% in FY2023 and 104.02% in FY2022.
Asset quality improved meaningfully. Provision of loans fell 26.7%yoy to USD 611.0 million, following a 27.3% decline in FY2025 to USD 664.4 million from USD 914.5 million in FY2024. The NPL ratio also improved, declining to 2.97% from 3.76% a year earlier (loan coverage of 106.34% in LTM 1Q25), down 0.8 ppts, while the FY2025 ratio stood at 3.27% versus 3.87% in FY2024, 4.46% in FY2023 and 4.19% in FY2022. Loan coverage was 108.63% in FY2025, up from 102.24% in FY2024, 92.58% in FY2023 and 91.41% in FY2022, while provisions to net charge-offs stood at 101.53% in FY2025 versus 104.56% in FY2024 and 120.19% in FY2023. These trends point to a healthier risk profile, although the lower provision base will remain important to monitor.
Equity ratios declined year on year, while valuation multiples expanded. Average common equity to average assets fell to 10.42% from 10.72%, and total equity to assets to 10.48% from 10.79%, down 0.3 ppts in both cases, versus 12.26% and 12.33% in FY2025 and 10.91% and 10.98% in FY2022. Price to LTM EPS rose to 12.63x from 10.71x, while price to tangible book value reached 3.27x versus 2.45x; in FY2025, these multiples stood at 12.08x and 3.12x, respectively, versus 7.56x and 1.70x in FY2023. Overall, BCP shows high profitability, improving asset quality and contained expenses, though equity ratios and valuation multiples remain the key variables to watch.</t>
  </si>
  <si>
    <t>● Earnings expanded strongly, led by higher net interest and non-interest income</t>
  </si>
  <si>
    <t>- Net income reached USD 1,963.3 million in LTM 1Q26, up 30.6% YoY, while consolidated net income rose 30.8% to USD 1,972.2 million and FY2025 net income grew 39.2% to USD 1,923.7 million from USD 1,381.6 million.</t>
  </si>
  <si>
    <t>● Interest expense fell while NII expanded 10.9% YoY</t>
  </si>
  <si>
    <t>- NII rose 10.9% YoY to USD 4,023.0 million, with interest income up 6.7% and interest expense down 6.6% to USD 1,049.8 million.</t>
  </si>
  <si>
    <t>- FY2025 NII grew 16.5% to USD 4,072.7 million, with interest income up 12.3% and interest expense down 0.9%, from USD 3,494.6 million in FY2024.</t>
  </si>
  <si>
    <t>- Non-interest income rose 15.9% YoY to USD 1,546.8 million in LTM 1Q26, after a 19.3% increase in FY2025 to USD 1,512.7 million, from USD 1,268.4 million in FY2024 and USD 1,106.8 million in FY2022.</t>
  </si>
  <si>
    <t>● Provisions fell sharply as asset quality improved</t>
  </si>
  <si>
    <t>- Provision of loans fell 26.7% YoY to USD 611.0 million, after a 27.3% decline in FY2025 to USD 664.4 million.</t>
  </si>
  <si>
    <t>- The NPL ratio declined to 2.97% in LTM 1Q26 from 3.76% in LTM 1Q25, down 0.8 ppts YoY, and from 3.27% in FY2025, 3.87% in FY2024 and 4.46% in FY2023.</t>
  </si>
  <si>
    <t>● ROE rose 4.7 ppts to 30.18% in LTM 1Q26 from 25.47% a year earlier</t>
  </si>
  <si>
    <t>- ROCE reached 30.22% from 25.55%, while ROA rose to 3.16% from 2.75%; FY2025 ROE stood at 24.69% versus 21.19% in FY2024 and 20.12% in FY2023.</t>
  </si>
  <si>
    <t>● Cost containment: SG&amp;A grew only 3.5% YoY to USD 948.9 million, well below NII growth of 10.9% and non-interest income growth of 15.9%; FY2025 SG&amp;A rose 8.8%.</t>
  </si>
  <si>
    <t>● Loans-to-deposits ratio declined to 84.68% from 89.13% a year earlier, and stood at 87.36% in FY2025, 88.87% in FY2024.</t>
  </si>
  <si>
    <t>● EBT before taxes rose 30.7% YoY to USD 2,671.5 million, following a 40.4% increase in FY2025 to USD 2,621.0 million.</t>
  </si>
  <si>
    <t>● Equity ratios declined and tax burden rose</t>
  </si>
  <si>
    <t>- Average common equity to average assets declined to 10.42% from 10.72%, while total equity to assets fell to 10.48% from 10.79%, down 0.3 ppts YoY in both cases, versus 12.26% and 12.33% in FY2025.</t>
  </si>
  <si>
    <t>- Income tax expense rose 30.4% YoY to USD 699.4 million, and FY2025 income tax expense increased 43.3% to USD 689.2 million, while SG&amp;A increased 3.5% YoY to USD 948.9 million and 8.8% in FY2025 to USD 923.6 million.</t>
  </si>
  <si>
    <t>● Valuation multiples expanded sharply year on year in LTM 1Q26 and FY2025</t>
  </si>
  <si>
    <t>- Price to LTM EPS rose to 12.63x from 10.71x and price to tangible book value to 3.27x from 2.45x, versus 12.08x and 3.12x in FY2025, 7.56x and 1.70x in FY2023 and 7.89x and 1.68x in FY2022; FY2024 multiples were 10.48x and 2.32x.</t>
  </si>
  <si>
    <t>● Provisions to net charge-offs edged lower in FY2025: 101.53% vs 104.56% in FY2024</t>
  </si>
  <si>
    <t>● Interest income grew only 6.7% YoY versus 15.9% for non-interest income</t>
  </si>
  <si>
    <t>Grupo Cibest’s (Cibest) LTM 1Q26 results showed a marked divergence between consolidated and reported earnings. Consolidated net income reached USD 1,833.5 million, up 26.1%yoy, while reported net income fell 36.0%yoy to USD 967.1 million. For FY2025, reported net income was USD 1,013.2 million, down 28.7%, whereas consolidated net income rose 33.0% to USD 1,842.7 million. EBT before taxes rose 29.7%yoy to USD 2,612.8 million, while income tax expense grew 38.9%yoy to USD 779.3 million; in FY2025, EBT reached USD 2,588.2 million, up 34.4%, and income tax expense USD 745.5 million, up 38.1%. Profitability improved, with ROE at 16.93% and ROCE at 17.11%, up 1.5 ppts and 1.6 ppts yoy, respectively, and ROA at 1.78% versus 1.74% a year earlier; FY2025 ROE of 16.24% compared with 14.61% in FY2024 and 14.43% in FY2023. Underlying operating trends remained solid, supported by faster net interest income growth, stronger fees, contained provisions and improving asset quality.
Net interest income reached USD 5,613.5 million in LTM 1Q26, up 24.6%yoy, as interest income increased 16.9%yoy to USD 8,136.3 million and interest expense grew a slower 8.6%yoy to USD 3,307.5 million. On a full-year basis, net interest income grew 22.2% to USD 5,335.7 million in FY2025, from USD 4,367.7 million in FY2024, with interest income up 12.7% to USD 7,753.5 million and interest expense up 3.0% to USD 3,198.7 million. Non-interest income also improved, rising 31.8%yoy to USD 2,117.4 million in LTM 1Q26, after growing 35.7% in FY2025 to USD 2,011.2 million, from USD 1,482.3 million in FY2024. Net interest income increased by USD 1,106.9 million yoy, while non-interest income added USD 511.1 million. SG&amp;A increased 24.7%yoy to USD 1,548.2 million, broadly in line with net interest income growth, following a 30.1% rise in FY2025 to USD 1,485.0 million.
Asset quality improved meaningfully during the period. Cibest’s NPL ratio declined to 4.79% in LTM 1Q26 from 5.93% in LTM 1Q25 and 5.91% in FY2024, a reduction of 1.1 ppts yoy, while the FY2025 ratio stood at 4.60%, versus 5.69% in FY2023 and 5.05% in FY2022. Coverage also strengthened, with loan coverage increasing to 108.67% from 94.08% a year earlier, up 14.6 ppts yoy, and from 92.40% in FY2024. Provision of loans rose 11.3%yoy to USD 1,247.7 million, growing well below net interest income and non-interest income, after a 4.5% increase in FY2025 to USD 1,176.8 million; provisions to net charge-offs stood at 79.46% in FY2025, up from 71.65% in FY2024.
The balance sheet showed a more conservative funding profile, while valuation multiples expanded. Gross loans to total deposits declined to 96.30% from 100.67% a year earlier and 103.08% in FY2025, while average common equity to average assets stood at 10.22%, down 0.8 ppts yoy, and average total equity to average assets at 10.53%, also down 0.8 ppts. Price to LTM EPS reached 13.31x versus 7.21x a year earlier, price to forward EPS stood at 10.87x versus 7.21x, and price to tangible book value rose to 2.98x from 1.34x; at FY2025, these multiples stood at 9.00x, 8.26x and 1.97x, respectively. Overall, Cibest enters the new period with stronger operating momentum, ROE of 16.93% and NPL of 4.79%, although reported net income remains below the prior-year level.</t>
  </si>
  <si>
    <t>● Revenue base expanded across both interest and fee income</t>
  </si>
  <si>
    <t>- Net interest income rose 24.6% YoY to USD 5,613.5 million in LTM 1Q26, above the 22.2% growth posted in FY2025, as interest income increased 16.9% YoY to USD 8,136.3 million against an 8.6% rise in interest expense to USD 3,307.5 million, a slower pace.</t>
  </si>
  <si>
    <t>- Non-interest income grew 31.8% YoY to USD 2,117.4 million in LTM 1Q26, faster than net interest income and following a 35.7% increase in FY2025 to USD 2,011.2 million. EBT before taxes rose 29.7% YoY to USD 2,612.8 million, with consolidated net income up 26.1%.</t>
  </si>
  <si>
    <t>● Return metrics improved year on year across the board</t>
  </si>
  <si>
    <t>- ROE reached 16.93% in LTM 1Q26 from 15.41% in LTM 1Q25, while ROCE rose to 17.11% from 15.55%, up 1.5 ppts and 1.6 ppts YoY, respectively.</t>
  </si>
  <si>
    <t>- ROA stood at 1.78% versus 1.74% a year earlier, while FY2025 ROE was 16.24% compared with 14.61% in FY2024 and 14.43% in FY2023.</t>
  </si>
  <si>
    <t>● Loan coverage strengthened materially in the period</t>
  </si>
  <si>
    <t>- Loan coverage increased to 108.67% in LTM 1Q26 from 94.08% in LTM 1Q25, a rise of 14.6 ppts YoY, above the 105.75% recorded in FY2025.</t>
  </si>
  <si>
    <t>- Gross loans to total deposits declined to 96.30% from 100.67% a year earlier, and from 103.08% in FY2025 and 105.87% in FY2024.</t>
  </si>
  <si>
    <t>● Provision growth remained below revenue growth</t>
  </si>
  <si>
    <t>- Provision of loans rose 11.3% YoY to USD 1,247.7 million, below the 24.6% growth in net interest income and the 31.8% in non-interest income.</t>
  </si>
  <si>
    <t>- The NPL ratio declined to 4.79% in LTM 1Q26 from 5.93% in LTM 1Q25 and 5.91% in FY2024, down 1.1 ppts YoY; it was 4.60% in FY2025.</t>
  </si>
  <si>
    <t>● Reported net income declined despite higher consolidated earnings</t>
  </si>
  <si>
    <t>- Reported net income fell 36.0% YoY to USD 967.1 million in LTM 1Q26, versus a 26.1% rise in consolidated net income.</t>
  </si>
  <si>
    <t>- FY2025 reported net income was USD 1,013.2 million, down 28.7% from USD 1,421.4 million in FY2024, while consolidated net income rose 33.0%.</t>
  </si>
  <si>
    <t>- In LTM 1Q25, reported net income (USD 1,512.1 million) exceeded consolidated net income (USD 1,454.0 million); this has since reversed.</t>
  </si>
  <si>
    <t>● Operating expenses and taxes increased at a fast pace in the period</t>
  </si>
  <si>
    <t>- SG&amp;A rose 24.7% YoY to USD 1,548.2 million in LTM 1Q26, while income tax expense grew 38.9% YoY to USD 779.3 million.</t>
  </si>
  <si>
    <t>● Provisioning continued to rise in the period</t>
  </si>
  <si>
    <t>- Provision of loans rose 11.3% YoY to USD 1,247.7 million in LTM 1Q26, following a 4.5% increase in FY2025 to USD 1,176.8 million.</t>
  </si>
  <si>
    <t>● Equity base thinner versus assets</t>
  </si>
  <si>
    <t>- Average common equity to average assets declined to 10.22% from 11.00% a year earlier, and average total equity to average assets to 10.53% from 11.29%.</t>
  </si>
  <si>
    <t>● Valuation multiples expanded sharply year on year</t>
  </si>
  <si>
    <t>- Price to LTM EPS rose to 13.31x from 7.21x, price to forward EPS to 10.87x from 7.21x and price to tangible book value to 2.98x from 1.34x.</t>
  </si>
  <si>
    <t>Grupo Aval reported strong LTM 1Q26 results, with better year-on-year earnings and improving core banking trends, although asset quality and expense trends were less favorable. Consolidated net income reached USD 868.7 million, up 47.6%yoy, while reported net income rose 53.9%yoy to USD 463.6 million. For FY2025, reported net income increased 98.4% to USD 456.6 million from USD 230.2 million in FY2024, and consolidated net income rose 72.2% to USD 845.6 million. EBT before taxes climbed 55.0%yoy to USD 1,315.5 million, while income tax expense increased 71.7%yoy to USD 446.7 million; in FY2025, EBT rose 73.9% to USD 1,225.6 million. ROE improved to 9.60% from 7.75%, ROCE to 9.86% from 7.26% and ROA to 0.95% from 0.78%; FY2025 ROE stood at 9.39% versus 6.70% in FY2024 and 6.98% in FY2023, and ROCE at 9.49% versus 5.83%. Overall, the underlying story remains constructive, with EBT before taxes rising 55.0%yoy to USD 1,315.5 million, supported by stronger net interest income, higher non-interest income and slower growth in provisions, although SG&amp;A, income tax expense and the NPL ratio moved higher over the period.
Net interest income was strong, increasing 21.2%yoy to USD 2,077.1 million in LTM 1Q26, as interest income grew 14.5%yoy to USD 6,246.4 million and interest expense rose 14.8%yoy to USD 3,693.1 million. In FY2025, net interest income grew 28.8% to USD 2,023.7 million from USD 1,571.0 million, with interest income up 10.7% to USD 5,957.4 million and interest expense up a slower 4.8% to USD 3,471.4 million. Non-interest income was the main driver of revenue growth and rose faster than net interest income, rising 47.9%yoy to USD 2,109.6 million, after a 40.5% increase in FY2025 to USD 2,004.6 million. SG&amp;A increased 26.8%yoy to USD 430.5 million, following a 28.3% rise in FY2025 to USD 406.3 million, from USD 316.7 million in FY2024. Gross loans to total deposits declined to 89.99% from 96.00% a year earlier, and from 97.45% in FY2025 and 104.21% in FY2024.
Asset quality showed mixed signals. The NPL ratio stood at 5.24% in LTM 1Q26, up 1.5 ppts from 3.73% in LTM 1Q25, although on a full-year basis it improved to 5.38% in FY2025 from 6.41% in FY2024 and 6.23% in FY2023. Loan coverage reached 81.22% in LTM 1Q26, compared with 77.52% in FY2025, 74.56% in FY2024 and 79.87% in FY2023. Provision of loans rose 7.2%yoy to USD 932.5 million, growing well below net interest income, after a 2.2% increase in FY2025 to USD 936.7 million. Provisions to net charge-offs declined to 71.54% in FY2025 from 82.27% in FY2024 and 115.87% in FY2023, the lowest level of the four fiscal years reported.
Capital metrics remained broadly stable, but equity ratios edged lower. Average total equity to average assets stood at 9.93%, slightly below 10.01% a year earlier, while average common equity to average assets declined to 5.24% from 5.28%; on a full-year basis, total equity to average assets was 10.03% in FY2025, down from 10.28% in FY2024. At FY2025, Tier I and Core Tier I capital ratios reached 13.82% from 13.21% in FY2024 and 12.93% in FY2023, while the total capital ratio stood at 15.34% versus 15.47% and Tier II declined to 1.53% from 2.26%. Price to LTM EPS stood at 10.82x, down from 13.12x a year earlier, and compared with 10.84x in FY2025 and 13.00x in FY2024. Overall, Grupo Aval’s profile benefits from stronger net interest income and earnings momentum, but ROE remains moderate and equity to assets continues to trend lower.</t>
  </si>
  <si>
    <t>● Earnings expanded strongly on both consolidated and reported bases</t>
  </si>
  <si>
    <t>- Consolidated net income reached USD 868.7 million in LTM 1Q26, up 47.6% YoY, while reported net income rose 53.9% YoY to USD 463.6 million; in FY2025, reported net income grew 98.4% to USD 456.6 million and consolidated net income 72.2% to USD 845.6 million, from USD 491.2 million.</t>
  </si>
  <si>
    <t>- Non-interest income grew 47.9% YoY to USD 2,109.6 million in LTM 1Q26, after a 40.5% increase in FY2025 to USD 2,004.6 million; EBT before taxes rose 55.0% YoY to USD 1,315.5 million.</t>
  </si>
  <si>
    <t>● Return metrics improved year on year</t>
  </si>
  <si>
    <t>- ROE reached 9.60% in LTM 1Q26 from 7.75% in LTM 1Q25, ROCE rose to 9.86% from 7.26%, and ROA improved to 0.95% from 0.78%.</t>
  </si>
  <si>
    <t>- FY2025 ROE stood at 9.39% compared with 6.70% in FY2024, while ROCE rose to 9.49% from 5.83% and ROA to 0.94% from 0.69%, reversing the decline seen in FY2023 and FY2024.</t>
  </si>
  <si>
    <t>● NII grew faster than interest expense</t>
  </si>
  <si>
    <t>- NII increased 21.2% YoY to USD 2,077.1 million in LTM 1Q26, as interest income grew 14.5% YoY to USD 6,246.4 million.</t>
  </si>
  <si>
    <t>- In FY2025, NII rose 28.8% to USD 2,023.7 million, with interest income up 10.7% to USD 5,957.4 million and interest expense up a slower 4.8%.</t>
  </si>
  <si>
    <t>● Asset quality improved in FY2025</t>
  </si>
  <si>
    <t>- The NPL ratio declined to 5.38% in FY2025 from 6.41% in FY2024 and 6.23% in FY2023, while loan coverage rose to 77.52% from 74.56%.</t>
  </si>
  <si>
    <t>● Loan-to-deposit ratio declined to 89.99% in LTM 1Q26 from 96.00% a year earlier and 97.45% in FY2025.</t>
  </si>
  <si>
    <t>● Asset quality deteriorated year on year in the LTM 1Q26 period</t>
  </si>
  <si>
    <t>● Expense and tax burden increased</t>
  </si>
  <si>
    <t>- SG&amp;A rose 26.8% YoY to USD 430.5 million, while income tax expense grew 71.7% YoY to USD 446.7 million.</t>
  </si>
  <si>
    <t>● Charge-off provision cover weakened</t>
  </si>
  <si>
    <t>- Provisions to net charge-offs fell to 71.54% in FY2025 from 82.27% in FY2024.</t>
  </si>
  <si>
    <t>- The NPL ratio rose to 5.24% in LTM 1Q26 from 3.73% in LTM 1Q25, up 1.5 ppts YoY, while provision of loans grew 7.2% YoY to USD 932.5 million; the FY2025 ratio stood at 5.38%.</t>
  </si>
  <si>
    <t>● Equity ratios edged lower</t>
  </si>
  <si>
    <t>- Average total equity to average assets declined to 9.93% from 10.01% a year earlier, and common equity to assets to 5.24% from 5.28%.</t>
  </si>
  <si>
    <t>- Average common equity to average assets has declined each year, from 5.96% in FY2022 to 5.30% in FY2025, and total equity from 10.61% to 10.03%.</t>
  </si>
  <si>
    <t>● Interest expense rose faster than interest income year on year in LTM 1Q26</t>
  </si>
  <si>
    <t>- Interest expense grew 14.8% YoY to USD 3,693.1 million in LTM 1Q26, marginally above the 14.5% growth in interest income to USD 6,246.4 million; in FY2025 it rose 4.8%.</t>
  </si>
  <si>
    <t>Banco Davivienda reported a strong LTM 1Q26 earnings recovery, with profitability improving sharply year on year while operating expenses grew at a faster pace. Reported net income reached USD 415.9 million, up 277.3%yoy from USD 110.2 million, and consolidated net income stood at USD 438.9 million versus USD 116.5 million. For FY2025, reported net income was USD 403.7 million, compared with a loss of USD 26.3 million in FY2024, while consolidated net income reached USD 428.2 million versus a loss of USD 20.3 million. EBT before taxes rose to USD 607.8 million from USD 188.2 million, while income tax expense increased to USD 168.8 million from USD 71.7 million; in FY2025, EBT before taxes reached USD 589.0 million versus a loss of USD 14.4 million in FY2024. ROE stood at 9.11%, up 6.0 ppts yoy, ROCE at 9.37% versus 2.98% and ROA at 0.77% versus 0.27% a year earlier. The recovery follows negative returns in FY2023 and FY2024, with ROE of -2.40% and -0.58%, respectively, while SG&amp;A growth remains the main offset to the improvement in revenues and provisions.
Net interest income expanded 23.8%yoy to USD 2,583.1 million in LTM 1Q26, as interest income grew 16.8%yoy to USD 4,994.5 million against a 12.0%yoy rise in interest expense to USD 2,252.9 million. In FY2025, net interest income grew 21.7% to USD 2,401.1 million, with interest income up 12.4% to USD 4,670.9 million and interest expense up 9.2% to USD 2,143.7 million. Non-interest income rose 27.9%yoy to USD 681.0 million, after a 29.7% increase in FY2025 to USD 638.1 million, from USD 491.9 million in FY2024. Provision of loans fell 13.3%yoy to USD 890.6 million, following a 25.6% decline in FY2025 to USD 877.0 million. SG&amp;A increased 52.0%yoy to USD 1,023.7 million, following a 44.5% rise in FY2025 to USD 902.8 million, from USD 624.7 million in FY2024. Gross loans to total deposits stood at 103.80%, up 0.3 ppts yoy, versus 104.93% in FY2025 and 106.79% in FY2024.
Asset quality improved across indicators. The NPL ratio declined to 4.10% in LTM 1Q26 from 5.04% a year earlier, down 0.9 ppts, and compared with 4.04% in FY2025, 4.89% in FY2024 and 4.94% in FY2023. Coverage strengthened, with loan coverage increasing to 89.07% from 75.95%, up 13.1 ppts yoy, while FY2025 coverage stood at 88.30% versus 77.62% in FY2024 and 90.31% in FY2023. Lower provisions and a lower NPL ratio were accompanied by higher coverage, with the NPL ratio down from 5.61% in FY2022 to 4.04% in FY2025.
Capitalization strengthened on a year-on-year basis. Core Tier I reached 11.95%, up 0.8 ppts from 11.18%, while Tier I rose to 13.23% from 12.85%, Tier II to 2.99% from 2.78% and total capital to 16.22% from 15.62%. At FY2025, Core Tier I stood at 11.62% versus 10.95% in FY2024, Tier I at 12.91% and total capital at 16.13% versus 15.57%. However, average common equity to average assets declined to 7.76% from 8.48%, and average total equity to average assets to 8.43% from 8.59%, versus 8.42% in FY2025. Price to forward EPS stood at 6.20x versus 6.99x a year earlier, price to LTM EPS at 7.54x, and price to tangible book value at 0.81x versus 0.72x; at FY2025, these multiples stood at 9.64x, 6.21x and 0.84x, respectively. Overall, capital ratios are higher while equity to assets ratios continue to trend lower.</t>
  </si>
  <si>
    <t>● Earnings recovered sharply on a year-on-year basis</t>
  </si>
  <si>
    <t>- Reported net income reached USD 415.9 million in LTM 1Q26 from USD 110.2 million a year earlier, while FY2025 net income of USD 403.7 million compared with a loss of USD 26.3 million in FY2024; EBT before taxes rose to USD 607.8 million from USD 188.2 million.</t>
  </si>
  <si>
    <t>- ROE stood at 9.11% in LTM 1Q26 from 3.11%, up 6.0 ppts YoY, while ROCE rose to 9.37% from 2.98% and ROA to 0.77% from 0.27%. FY2025 ROE of 9.22% compared with -0.58% in FY2024 and -2.40% in FY2023.</t>
  </si>
  <si>
    <t>● Net interest income growth remained strong</t>
  </si>
  <si>
    <t>- NII rose 23.8% YoY to USD 2,583.1 million in LTM 1Q26, as interest income increased 16.8% against a 12.0% rise in interest expense.</t>
  </si>
  <si>
    <t>- The NPL ratio declined to 4.10% in LTM 1Q26 from 5.04% in LTM 1Q25, down 0.9 ppts YoY, and from 4.89% in FY2024 and 4.94% in FY2023.</t>
  </si>
  <si>
    <t>- Loan coverage increased to 89.07% from 75.95% a year earlier, up 13.1 ppts YoY, while provision of loans fell 13.3% YoY to USD 890.6 million.</t>
  </si>
  <si>
    <t>- FY2025 provision of loans fell 25.6% to USD 877.0 million, while the FY2025 NPL ratio of 4.04% compared with 5.61% in FY2022.</t>
  </si>
  <si>
    <t>● Capital ratios strengthened</t>
  </si>
  <si>
    <t>- Core Tier I rose to 11.95% in LTM 1Q26 from 11.18% a year earlier, while Tier I reached 13.23% from 12.85% and total capital 16.22% from 15.62%.</t>
  </si>
  <si>
    <t>- The Tier II ratio rose to 2.99% from 2.78%, while FY2025 Core Tier I reached 11.62% from 10.95% in FY2024 and 10.25% in FY2023.</t>
  </si>
  <si>
    <t>● SG&amp;A growth significantly outpaced income growth in the period</t>
  </si>
  <si>
    <t>● Expense growth accelerated versus the prior year</t>
  </si>
  <si>
    <t>- SG&amp;A rose 52.0% YoY to USD 1,023.7 million in LTM 1Q26, versus 23.8% growth in NII and 27.9% growth in non-interest income.</t>
  </si>
  <si>
    <t>● Equity to assets ratios fell</t>
  </si>
  <si>
    <t>- Average common equity to average assets fell to 7.76% from 8.48%, while total equity to assets declined to 8.43% from 8.59%.</t>
  </si>
  <si>
    <t>- Common equity to average assets has declined each year, from 8.97% in FY2022 to 7.74% in FY2025, with a decrease in every period.</t>
  </si>
  <si>
    <t>● Loan-to-deposit ratio edged higher YoY</t>
  </si>
  <si>
    <t>- Gross loans to total deposits stood at 103.80% in LTM 1Q26, up 0.3 ppts from 103.52% a year earlier, compared with 104.93% in FY2025 and 106.79% in FY2024.</t>
  </si>
  <si>
    <t>- The ratio was 135.29% in FY2022 and 110.39% in FY2023, before declining to 106.79% in FY2024 and 104.93% in FY2025.</t>
  </si>
  <si>
    <t>● Earnings remain volatile, with losses in FY2023 and FY2024</t>
  </si>
  <si>
    <t>- Reported net income was a loss of USD 102.1 million in FY2023 and USD 26.3 million in FY2024, before recovering to USD 403.7 million in FY2025.</t>
  </si>
  <si>
    <t>- ROE was -2.40% in FY2023 and -0.58% in FY2024, before reaching 9.22% in FY2025; P/LTM EPS was not meaningful in FY2023, FY2024 and LTM 1Q25, and stood at 7.54x in LTM 1Q26.</t>
  </si>
  <si>
    <t>Bci reported solid LTM 1Q26 results, supported by stronger core revenues and stable provisions, although capital ratios and the funding profile moved in a less favorable direction. Net income reached USD 1,086.9 million, up 19.2%yoy, and consolidated net income stood at USD 1,087.1 million versus USD 911.7 million, while FY2025 net income rose 37.1% to USD 1,105.7 million from USD 806.7 million in FY2024. EBT before taxes increased 11.5%yoy to USD 1,297.9 million, while income tax expense declined 16.4%yoy to USD 210.8 million; in FY2025, EBT before taxes rose 19.4% to USD 1,294.9 million, with income tax expense down 32.0% to USD 189.0 million. ROE improved to 13.80% from 12.74% (FY2025: 13.79% versus 12.27% in FY2024), ROCE to 13.81% from 12.74% and ROA to 1.21% from 1.03%. Overall, Bci’s earnings momentum remains strong, supported by net interest income growth, lower interest expense and higher non-interest income, although the NPL ratio, loan-to-deposit ratio and valuation multiples remain key variables. 
Net interest income increased 11.6%yoy to USD 2,112.5 million, supported by lower interest expense, which declined 5.9%yoy to USD 2,118.4 million, while interest income rose a modest 2.1%yoy to USD 4,230.9 million. In FY2025, net interest income grew 23.7% to USD 2,193.8 million from USD 1,773.9 million in FY2024, with interest income up 8.4% to USD 4,402.3 million and interest expense down 3.4% to USD 2,208.5 million. Non-interest income also improved, rising 6.9%yoy to USD 961.4 million, after a 49.5% increase in FY2025 to USD 1,098.3 million. SG&amp;A increased 6.7%yoy to USD 602.3 million, following a 20.1% rise in FY2025 to USD 627.5 million. Gross loans to total deposits stood at 124.09%, up 1.9 ppts yoy, versus 127.47% in FY2025 and 118.62% in FY2024.
Asset quality trends were mixed but constructive year on year, with the NPL ratio declining to 8.23% from 8.62% in LTM 1Q25 and 8.02% in FY2025 from 8.56% in FY2024. However, the ratio remains above the 7.11% recorded in FY2023 and 6.12% in FY2022. Loan coverage stood at 2.77%, down from 2.90% a year earlier, and compared with 2.68% in FY2025 and 2.83% in FY2024. Provision of loans was virtually flat at USD 311.2 million in LTM 1Q26, up 0.1%yoy, despite growth in revenues and earnings, following a 7.2% increase in FY2025 to USD 346.7 million. The credit story is therefore favorable in terms of provision growth, but the NPL ratio remains above earlier levels.
Capitalization remained adequate, although regulatory ratios declined year on year. Core Tier I stood at 10.80%, down 0.2 ppts from 11.03%, while Tier I fell to 12.23% from 12.61%, Tier II to 2.58% from 2.80% and total capital to 14.81% from 15.41%. At FY2025, Core Tier I stood at 11.20% versus 11.01% in FY2024, Tier I at 12.66% and total capital at 15.38% versus 15.54%. Average equity to average assets rose to 8.76% from 8.11%, up 0.6 ppts yoy, while price to LTM EPS reached 13.17x versus 9.57x, price to forward EPS 11.88x versus 8.61x and price to tangible book value 1.89x versus 1.18x; at FY2025, these multiples stood at 13.62x, 12.73x and 1.83x, respectively. Overall, Bci remains one of the stronger credit stories, with improving profitability, but valuation multiples expanded sharply.</t>
  </si>
  <si>
    <t>● Net interest income expansion supported core earnings</t>
  </si>
  <si>
    <t>- Net interest income rose 11.6% YoY to USD 2,112.5 million in LTM 1Q26, with interest expense down 5.9% to USD 2,118.4 million and interest income up 2.1% to USD 4,230.9 million.</t>
  </si>
  <si>
    <t>- Net income reached USD 1,086.9 million in LTM 1Q26, up 19.2% YoY, while FY2025 net income rose 37.1% to USD 1,105.7 million, and ROE improved to 13.80% from 12.74%.</t>
  </si>
  <si>
    <t>- ROA improved to 1.21% from 1.03% and ROCE to 13.81% from 12.74%, while EBT before taxes rose 11.5% YoY to USD 1,297.9 million.</t>
  </si>
  <si>
    <t>● Equity to assets ratio increased</t>
  </si>
  <si>
    <t>- Average total equity to average assets rose to 8.76% in LTM 1Q26 from 8.11% a year earlier, up 0.6 ppts YoY, and from 6.30% in FY2022.</t>
  </si>
  <si>
    <t>- FY2025 Core Tier I reached 11.20% from 11.01% in FY2024, with Tier I at 12.66%, Tier II at 2.71% and total capital at 15.38%, versus 15.54% in FY2024.</t>
  </si>
  <si>
    <t>● NPL ratio remains well above FY2022–FY2023 levels</t>
  </si>
  <si>
    <t>- The NPL ratio stood at 8.23% in LTM 1Q26, versus 6.12% in FY2022 and 7.11% in FY2023, although it declined 0.4 ppts YoY from 8.62% in LTM 1Q25; FY2025 stood at 8.02%.</t>
  </si>
  <si>
    <t>● Loan-to-deposit ratio moved higher and coverage declined</t>
  </si>
  <si>
    <t>- Gross loans to total deposits rose to 124.09% from 122.21% a year earlier, and stood at 127.47% in FY2025.</t>
  </si>
  <si>
    <t>- Loan coverage declined to 2.77% from 2.90% a year earlier, and stood at 2.68% in FY2025 versus 3.48% in FY2022, while provision of loans was flat at USD 311.2 million.</t>
  </si>
  <si>
    <t>● Interest income growth remained modest while SG&amp;A increased</t>
  </si>
  <si>
    <t>- Interest income rose only 2.1% YoY to USD 4,230.9 million, while SG&amp;A increased 6.7% YoY to USD 602.3 million.</t>
  </si>
  <si>
    <t>● Regulatory capital ratios declined year on year in LTM 1Q26</t>
  </si>
  <si>
    <t>- Core Tier I fell to 10.80% from 11.03%, Tier I to 12.23% from 12.61% and total capital to 14.81% from 15.41%, down 0.2 ppts, 0.4 ppts and 0.6 ppts YoY, respectively.</t>
  </si>
  <si>
    <t>● Cash and equivalents increased 4.6% YoY to USD 3,518.5 million</t>
  </si>
  <si>
    <r>
      <rPr>
        <sz val="10"/>
        <color theme="1"/>
        <rFont val="Aptos Narrow"/>
        <family val="2"/>
        <scheme val="minor"/>
      </rPr>
      <t xml:space="preserve">● </t>
    </r>
    <r>
      <rPr>
        <b/>
        <u/>
        <sz val="10"/>
        <color theme="1"/>
        <rFont val="Aptos Narrow"/>
        <family val="2"/>
        <scheme val="minor"/>
      </rPr>
      <t>Working capital efficiency</t>
    </r>
    <r>
      <rPr>
        <sz val="10"/>
        <color theme="1"/>
        <rFont val="Aptos Narrow"/>
        <family val="2"/>
        <scheme val="minor"/>
      </rPr>
      <t>: CCC improved to 45.8 days from 66.7 days, with DSO down to 52.5 days from 70.6.</t>
    </r>
  </si>
  <si>
    <t>● Sales edged up 0.5% YoY to USD 31,949.4 million</t>
  </si>
  <si>
    <r>
      <rPr>
        <sz val="10"/>
        <color theme="1"/>
        <rFont val="Aptos Narrow"/>
        <family val="2"/>
        <scheme val="minor"/>
      </rPr>
      <t xml:space="preserve">● </t>
    </r>
    <r>
      <rPr>
        <b/>
        <sz val="10"/>
        <color theme="1"/>
        <rFont val="Aptos Narrow"/>
        <family val="2"/>
        <scheme val="minor"/>
      </rPr>
      <t>FY2025 sales rose 5.0% to USD 31,743.2 million, from USD 30,235.9 million in FY2024.</t>
    </r>
  </si>
  <si>
    <t>● Payables days rose to 57.2 from 49.8 days a year earlier, while FY2025 CCC of 30.1 days compared with 51.5 days in FY2024.</t>
  </si>
  <si>
    <t>● Leverage stable versus FY2025: total debt/EBITDA 2.48x vs 2.50x; net 2.17x vs 2.22x.</t>
  </si>
  <si>
    <t>● ROE fell to 12.04% from 19.11% year on year</t>
  </si>
  <si>
    <t>● EBITDA margin compressed by 2.3 ppts to 36.91% year on year</t>
  </si>
  <si>
    <t>● Leverage increased and interest coverage ratios declined sharply year on year</t>
  </si>
  <si>
    <t>- Total debt/EBITDA rose to 2.48x from 2.25x and net debt/EBITDA to 2.17x from 1.94x, while total debt/(EBITDA-CAPEX) increased to 4.94x from 3.72x and net debt/(EBITDA-CAPEX) to 4.31x from 3.20x in LTM 1Q25; in FY2022 these stood at 1.56x, 1.34x, 2.18x and 1.86x.</t>
  </si>
  <si>
    <t>- EBITDA/interest expense fell to 5.79x from 7.01x, CFO/interest expense to 4.61x from 6.06x and (EBITDA-CAPEX)/interest expense to 2.91x from 4.25x; in FY2025 the same ratios were 5.73x, 4.42x and 2.92x, versus 13.34x, 6.57x and 9.59x in FY2022, respectively.</t>
  </si>
  <si>
    <t>● Cash flow generation weakened as LFCF margin fell sharply and liquidity ratios declined YoY</t>
  </si>
  <si>
    <t>- LFCF margin declined to 7.63% from 12.53% in LTM 1Q25, and to 6.60% in FY2025 from 16.97% in FY2024. Net margin fell to 7.51% from 10.53%, while ROIC declined to 7.67% from 10.60%, ROA to 5.67% from 7.63% and EBIT margin to 22.81% from 26.96%.</t>
  </si>
  <si>
    <t>- Current ratio declined to 1.26x from 1.33x and quick ratio to 0.96x from 1.02x, while cash and equivalents fell 11.0% in FY2025 to USD 2,836.1 million from USD 3,187.1 million in FY2024.</t>
  </si>
  <si>
    <t>● EBITDA declined 5.5% YoY to USD 11,793.7 million, with sales up only 0.5% YoY at USD 31,949.4 million</t>
  </si>
  <si>
    <t>● Inventory days rose year on year</t>
  </si>
  <si>
    <t>- Day inventory out rose to 50.6 days from 45.8 days a year earlier, while FY2025 stood at 42.3 days and FY2024 at 43.3 days.</t>
  </si>
  <si>
    <r>
      <rPr>
        <sz val="10"/>
        <color theme="1"/>
        <rFont val="Aptos Narrow"/>
        <family val="2"/>
        <scheme val="minor"/>
      </rPr>
      <t xml:space="preserve">● </t>
    </r>
    <r>
      <rPr>
        <b/>
        <sz val="10"/>
        <color theme="1"/>
        <rFont val="Aptos Narrow"/>
        <family val="2"/>
        <scheme val="minor"/>
      </rPr>
      <t>EBITDA growth outpaced sales growth:</t>
    </r>
    <r>
      <rPr>
        <sz val="10"/>
        <color theme="1"/>
        <rFont val="Aptos Narrow"/>
        <family val="2"/>
        <scheme val="minor"/>
      </rPr>
      <t xml:space="preserve"> EBITDA rose 20.9% YoY to USD 3,181.4 million versus 11.5% growth in sales to USD 10,353.3 million.</t>
    </r>
  </si>
  <si>
    <r>
      <rPr>
        <sz val="10"/>
        <color theme="1"/>
        <rFont val="Aptos Narrow"/>
        <family val="2"/>
        <scheme val="minor"/>
      </rPr>
      <t xml:space="preserve">● </t>
    </r>
    <r>
      <rPr>
        <b/>
        <sz val="10"/>
        <color theme="1"/>
        <rFont val="Aptos Narrow"/>
        <family val="2"/>
        <scheme val="minor"/>
      </rPr>
      <t>Margin expansion:</t>
    </r>
    <r>
      <rPr>
        <sz val="10"/>
        <color theme="1"/>
        <rFont val="Aptos Narrow"/>
        <family val="2"/>
        <scheme val="minor"/>
      </rPr>
      <t xml:space="preserve"> EBITDA margin rose to 30.73% from 28.33% and net margin to 15.68% from 11.04%.</t>
    </r>
  </si>
  <si>
    <t>● Deleveraging continued across all measures</t>
  </si>
  <si>
    <t>- Total debt/EBITDA declined to 2.89x from 2.97x, and net debt/EBITDA to 2.15x from 2.68x a year earlier.</t>
  </si>
  <si>
    <t>- Net debt/EBITDA has fallen every year since FY2022: 2.70x, 2.66x, 2.53x and 2.34x in FY2025.</t>
  </si>
  <si>
    <t>- On a capex-adjusted basis, total debt/(EBITDA-CAPEX) fell to 5.22x from 5.78x and net debt/(EBITDA-CAPEX) to 3.88x from 5.22x.</t>
  </si>
  <si>
    <t>- Total debt/EBITDA declined from 3.20x in FY2022 to 2.77x in FY2025, while net debt/(EBITDA-CAPEX) fell from 5.63x to 4.12x.</t>
  </si>
  <si>
    <t>● Interest coverage strengthened materially</t>
  </si>
  <si>
    <t>- CFO/interest expense reached 2.14x from 1.03x a year earlier, while EBITDA/interest expense rose to 3.22x from 2.95x.</t>
  </si>
  <si>
    <t>- (EBITDA-CAPEX)/interest expense improved to 1.78x from 1.52x. In FY2025, EBITDA/interest expense stood at 3.38x, CFO/interest expense at 1.83x and (EBITDA-CAPEX)/interest expense at 1.92x, compared with 4.80x, 2.42x and 2.30x in FY2022, respectively.</t>
  </si>
  <si>
    <t>- ROE reached 17.64% in LTM 1Q26 from 14.55% in LTM 1Q25, up 3.1 ppts YoY, while ROA stood at 7.05% versus 6.99%.</t>
  </si>
  <si>
    <t>- FY2025 EBITDA rose 20.0% to USD 3,150.1 million and sales 12.5% to USD 10,109.0 million, versus USD 6,550.6 million of sales in FY2022. FY2025 EBITDA margin reached 31.16% versus 29.21% in FY2024, EBIT margin 26.25% versus 24.31%, gross margin 33.46% versus 32.91% and net margin 13.06% versus 11.46%. FY2025 ROE stood at 15.07% versus 14.99%.</t>
  </si>
  <si>
    <t>- LFCF margin improved to -1.68% from -5.02% a year earlier, while FY2025 stood at -1.58%.</t>
  </si>
  <si>
    <t>● Cash and equivalents rose 259.2% YoY to USD 2,148.6 million, strengthening the liquidity position</t>
  </si>
  <si>
    <t>● Liquidity ratios improved: current ratio rose to 1.53x from 1.11x and quick ratio to 1.35x from 0.94x; FY2025 stood at 1.32x and 1.06x, versus 1.24x and 1.05x in FY2022, while FY2025 cash and equivalents grew 80.1% to USD 1,150.8 million.</t>
  </si>
  <si>
    <t>● Cash conversion cycle lengthened year on year as payable days declined</t>
  </si>
  <si>
    <t>- CCC turned positive at 6.5 days in LTM 1Q26 from -4.8 days, as day payable out declined to 77.9 days from 89.6 days while day sales out stood at 74.5 days (74.4 days) and day inventory out at 9.9 days (10.4 days). FY2025 CCC was 14.2 days versus 14.8 days in FY2024.</t>
  </si>
  <si>
    <t>● LFCF margin remained negative in LTM 1Q26</t>
  </si>
  <si>
    <t>- LFCF margin stood at -1.68% versus -5.02% a year earlier, and -1.58% in FY2025 versus -0.07% in FY2024.</t>
  </si>
  <si>
    <t>● ROIC declined slightly to 8.80% from 9.02%</t>
  </si>
  <si>
    <t>- ROIC declined to 8.80% from 9.02%, with FY2025 ROIC at 9.13% versus 9.47%; ROA was broadly flat at 7.05% versus 6.99%.</t>
  </si>
  <si>
    <t>- Capex-adjusted metrics remain tighter than headline ones: (EBITDA-CAPEX)/interest expense stood at 1.78x versus EBITDA/interest expense of 3.22x, and total debt/(EBITDA-CAPEX) at 5.22x versus total debt/EBITDA of 2.89x.</t>
  </si>
  <si>
    <t>In LTM 1Q26, Orazul reported strong results, with margins expanding at every level and net margin turning positive year on year. EBITDA margin reached 74.14% from 69.83%, EBIT margin rose to 52.53% from 45.19% and gross margin to 79.12% from 76.26%, while net margin swung to 29.69% from -31.66%. In FY2025, EBITDA margin stood at 71.45% versus 69.00% in FY2024, and net margin at 32.10% versus -36.67%, while EBIT margin reached 47.08% versus 44.20% and gross margin 77.14% versus 75.51%. Returns also improved: ROE reached 5.14% versus -4.21% a year earlier, while ROIC rose to 3.79% from 2.58% and ROA to 3.71% from 2.53%. FY2025 ROE stood at 4.91%, compared with -4.87% in FY2024 and 4.39% in FY2022.
Leverage declined materially year on year. Total debt/EBITDA fell to 3.97x from 4.92x, while net debt/EBITDA declined to 3.75x from 4.30x, versus 4.72x and 4.42x in FY2025, 5.04x and 4.68x in FY2024, and 5.35x and 4.82x in FY2023. On a capex-adjusted basis, total debt/(EBITDA-CAPEX) declined to 4.48x from 5.47x and net debt/(EBITDA-CAPEX) to 4.22x from 4.78x. Total debt/EBITDA has declined in each period since FY2023, from 5.35x to 3.97x.
Interest coverage improved on an EBITDA basis: EBITDA/interest expense rose to 3.78x from 3.47x and (EBITDA-CAPEX)/interest expense to 3.36x from 3.12x (FY2025: 3.28x and 2.89x), while CFO/interest expense was broadly stable at 2.85x versus 2.92x. LFCF margin declined to 21.05% from 28.74%, although FY2025 LFCF margin reached 40.15% versus 29.42% in FY2024. Cash and equivalents fell 53.0% yoy to USD 21.3 million, following a 9.0% decline in FY2025 to USD 23.9 million.
Working capital metrics weakened. Day sales out rose to 84.3 days from 70.1 days, while day payable out declined to 57.4 days from 59.9 days and day inventory out rose to 37.8 days from 35.7 days, lengthening the CCC to 64.7 days from 45.9 days. FY2025 CCC stood at 43.4 days versus 36.9 days in FY2024. Liquidity ratios remained high but declined, with the current ratio at 3.85x versus 4.03x and the quick ratio at 3.53x versus 3.74x, compared with 2.03x and 1.82x in FY2025 and 3.29x and 2.97x in FY2024. Overall, profitability and leverage improved, while cash, LFCF margin and working capital moved in the opposite direction.</t>
  </si>
  <si>
    <t>● EBITDA margin expanded 4.3 ppts to 74.14% YoY</t>
  </si>
  <si>
    <t>- EBIT margin rose to 52.53% from 45.19% and gross margin to 79.12% from 76.26%, while FY2025 EBITDA margin reached 71.45% versus 69.00%.</t>
  </si>
  <si>
    <t>● Net income turned positive on a year-on-year basis</t>
  </si>
  <si>
    <t>- Net margin reached 29.69% from -31.66% a year earlier, while ROE stood at 5.14% versus -4.21%.</t>
  </si>
  <si>
    <t>● Total debt/EBITDA fell to 3.97x from 4.92x; net debt/EBITDA to 3.75x from 4.30x</t>
  </si>
  <si>
    <t>● Capex-adjusted leverage also improved: total debt/(EBITDA-CAPEX) at 4.48x from 5.47x YoY</t>
  </si>
  <si>
    <t>- Net debt/(EBITDA-CAPEX) declined to 4.22x from 4.78x, while FY2025 net debt/EBITDA stood at 4.42x versus 4.68x in FY2024.</t>
  </si>
  <si>
    <t>● Coverage improved</t>
  </si>
  <si>
    <t>- EBITDA/interest expense rose to 3.78x from 3.47x and (EBITDA-CAPEX)/interest expense to 3.36x from 3.12x YoY; FY2025 stood at 3.28x and 2.89x.</t>
  </si>
  <si>
    <t>- CFO/interest expense stood at 2.85x versus 2.92x, broadly stable, and at 2.89x in FY2025 versus 3.01x in FY2024.</t>
  </si>
  <si>
    <t>● ROIC improved</t>
  </si>
  <si>
    <t>- ROIC rose to 3.79% from 2.58% and ROA to 3.71% from 2.53%, while FY2025 ROIC of 2.98% and ROA of 2.92% compared with 2.51% and 2.46% in FY2024. FY2025 gross margin was 77.14% versus 75.51% and EBIT margin 47.08% versus 44.20%; ROE was 5.14%.</t>
  </si>
  <si>
    <t>- FY2025 net margin reached 32.10% versus -36.67% in FY2024, and FY2025 ROE stood at 4.91% versus -4.87%. FY2025 LFCF margin rose to 40.15% from 29.42%, while total debt/EBITDA declined to 4.72x from 5.04x and net debt/EBITDA to 4.42x from 4.68x. Current ratio stood at 3.85x and quick ratio at 3.53x in LTM 1Q26. LTM EBIT margin of 52.53% compares with 47.08% in FY2025.</t>
  </si>
  <si>
    <t>● Cash and equivalents fell 53.0% to USD 21.3 million</t>
  </si>
  <si>
    <t>● LFCF margin declined to 21.05% from 28.74% a year earlier</t>
  </si>
  <si>
    <t>● CCC lengthened to 64.7 days from 45.9 days a year earlier</t>
  </si>
  <si>
    <t>Banorte reported solid LTM 1Q26 results, supported by stronger net interest income, higher non-interest income and higher returns, but offset by rising provisions, a weaker NPL ratio and coverage, and lower capital ratios. Net income reached USD 3,270.4 million, up 16.7%yoy, while consolidated net income rose 19.5%yoy to USD 3,460.5 million. FY2025 net income of USD 3,265.4 million was up 21.1%, and EBT before taxes rose 20.9%yoy to USD 4,669.2 million in LTM 1Q26, while income tax expense rose 25.0%yoy to USD 1,208.7 million; in FY2025, EBT reached USD 4,644.6 million, up 24.8%, and income tax expense USD 1,209.3 million, up 29.0%. ROE reached 23.52%, up 1.1 ppts yoy, and ROCE 23.22%, while ROA was stable at 2.40%; FY2025 ROE stood at 24.71% versus 23.32% in FY2024. That said, Banorte’s profitability remains high and the deterioration in asset quality and capital is occurring from a strong earnings base.
Net interest income rose 21.8%yoy to USD 8,319.3 million, as the decline in interest expense of 4.5%yoy to USD 13,010.8 million accompanied a 4.2%yoy increase in interest income to USD 21,330.0 million. In FY2025, net interest income grew 22.7% to USD 8,141.8 million from USD 6,637.9 million in FY2024, with interest income up 15.9% to USD 22,498.1 million and interest expense up 12.3% to USD 14,356.3 million. Non-interest income rose 58.6%yoy to USD 786.8 million, after a 115.0% increase in FY2025 to USD 815.6 million. SG&amp;A increased 23.7%yoy to USD 3,250.9 million, following a 28.0% rise in FY2025 to USD 3,209.4 million. Gross loans to total deposits stood at 106.60%, up 0.5 ppts yoy, versus 110.59% in FY2025 and 112.73% in FY2024.
Asset quality weakened. The NPL ratio rose to 1.42% from 0.92% a year earlier, up 0.5 ppts, while the FY2025 ratio stood at 1.35% versus 0.91% in FY2024 and 1.02% in FY2023. Provision of loans increased 39.8%yoy to USD 1,278.9 million, growing faster than net interest income, after a 37.9% increase in FY2025 to USD 1,199.2 million. Meanwhile, loan coverage declined materially to 139.76% from 187.87%, down 48.1 ppts yoy, and FY2025 coverage stood at 135.09% versus 183.68% in FY2024, while provisions to net charge-offs reached 108.28% in FY2025 from 94.50%; loan coverage was 179.47% in FY2022 and 182.34% in FY2023.
Capitalization declined year on year, with the Tier I ratio falling to 12.74% from 14.40% and the total capital ratio to 19.74% from 22.87%, down 1.7 ppts and 3.1 ppts, respectively. At FY2025, Tier I stood at 19.66%, Core Tier I at 12.61%, Tier II at 0.40% and total capital at 20.06%. Average common equity to average assets fell to 10.18% from 10.69%, and total equity to assets to 10.23% from 10.67%, having declined every year from 11.99% and 12.15% in FY2022. Price to LTM EPS reached 9.22x versus 7.20x, price to forward EPS 8.99x versus 6.73x, and price to tangible book value 2.63x versus 1.92x; at FY2025, these multiples stood at 8.17x, 7.65x and 2.15x, respectively.</t>
  </si>
  <si>
    <t>● Net interest income expansion drove strong earnings growth</t>
  </si>
  <si>
    <t>- NII rose 21.8% YoY to USD 8,319.3 million in LTM 1Q26, as interest expense fell 4.5% while interest income grew 4.2%.</t>
  </si>
  <si>
    <t>- Net income reached USD 3,270.4 million, up 16.7% YoY, while consolidated net income rose 19.5% to USD 3,460.5 million and EBT before taxes 20.9% to USD 4,669.2 million; FY2025 net income grew 21.1% to USD 3,265.4 million.</t>
  </si>
  <si>
    <t>- FY2025 NII grew 22.7% to USD 8,141.8 million, with interest income up 15.9% and interest expense up a slower 12.3%.</t>
  </si>
  <si>
    <t>● Non-interest income growth remained strong</t>
  </si>
  <si>
    <t>- Non-interest income rose 58.6% YoY to USD 786.8 million in LTM 1Q26, after a 115.0% increase in FY2025.</t>
  </si>
  <si>
    <t>- FY2025 non-interest income reached USD 815.6 million versus USD 379.3 million.</t>
  </si>
  <si>
    <t>- Non-interest income compares with USD 77.7 million in FY2022, USD 390.6 million in FY2023 and USD 379.3 million in FY2024.</t>
  </si>
  <si>
    <t>● ROE improved 1.1 ppts to 23.52% year on year</t>
  </si>
  <si>
    <t>- ROCE rose to 23.22% from 22.04%, while ROA stood at 2.40% versus 2.39% a year earlier; FY2025 ROE was 24.71% versus 23.32% in FY2024.</t>
  </si>
  <si>
    <t>- ROE has risen each year since FY2022: 19.33%, 21.77%, 23.32% and 24.71% in FY2025, with ROCE at 24.46% in FY2025.</t>
  </si>
  <si>
    <t>● Loan-to-deposit ratio broadly stable year on year</t>
  </si>
  <si>
    <t>● Gross loans to total deposits at 106.60% versus 106.09% a year earlier</t>
  </si>
  <si>
    <t>- The FY2025 ratio stood at 110.59%, versus 112.73% in FY2024 and 106.27% in FY2023.</t>
  </si>
  <si>
    <t>● Total capital ratio of 19.74% in LTM 1Q26</t>
  </si>
  <si>
    <t>- FY2025 Tier I ratio stood at 19.66% and Core Tier I at 12.61%, with a total capital ratio of 20.06%.</t>
  </si>
  <si>
    <t>● Asset quality deteriorated year on year in LTM 1Q26</t>
  </si>
  <si>
    <t>- The NPL ratio rose to 1.42% from 0.92% a year earlier, up 0.5 ppts YoY, while the FY2025 ratio stood at 1.35% versus 0.91% in FY2024.</t>
  </si>
  <si>
    <t>● Provision of loans increased 39.8% YoY to USD 1,278.9 million, growing faster than NII and pre-tax income.</t>
  </si>
  <si>
    <t>● Loan coverage fell 48.1 ppts YoY to 139.76% from 187.87% in LTM 1Q25</t>
  </si>
  <si>
    <t>- FY2025 coverage stood at 135.09% versus 183.68% in FY2024, while provisions to net charge-offs rose to 108.28% from 94.50%.</t>
  </si>
  <si>
    <t>● Tier I and total capital ratios declined sharply year on year</t>
  </si>
  <si>
    <t>- Tier I fell to 12.74% from 14.40% and total capital to 19.74% from 22.87%, down 1.7 ppts and 3.1 ppts YoY, respectively.</t>
  </si>
  <si>
    <t>● Equity ratios fell: common equity/assets 10.18% vs 10.69%</t>
  </si>
  <si>
    <t>● Common equity to average assets fell every year, from 11.99% in FY2022 to 9.83% in FY2025, and total equity from 12.15%</t>
  </si>
  <si>
    <t>● SG&amp;A and income tax growth outpaced interest income</t>
  </si>
  <si>
    <t>- SG&amp;A rose 23.7% YoY to USD 3,250.9 million and income tax expense 25.0% to USD 1,208.7 million, while interest income grew only 4.2%; FY2025 SG&amp;A grew 28.0%.</t>
  </si>
  <si>
    <t>Interbank reported strong LTM 1Q26 results, supported by higher NII, lower interest expense, stronger non-interest income and materially lower provisions, although earnings were partially pressured by higher SG&amp;A and taxes. Net income reached USD 453.9 million, up 44.7%yoy, while FY2025 net income rose 75.1% to USD 433.5 million from USD 247.6 million in FY2024. ROE stood at 17.55%, up 3.1 ppts yoy from 14.48%, and ROA at 2.08% versus 1.60%, while FY2025 ROE reached 15.96% versus 11.55% in FY2024 and ROA 1.96% versus 1.32%. EBT before taxes rose 49.8%yoy to USD 594.0 million, while income tax expense increased 68.9%yoy to USD 140.1 million; in FY2025, EBT before taxes reached USD 571.9 million, up 86.5%, and income tax expense USD 138.4 million versus USD 59.2 million in FY2024. Non-interest income was also constructive, rising 17.7%yoy to USD 356.3 million, after a 32.3% increase in FY2025 to USD 362.7 million. The key watchpoints are SG&amp;A discipline, the sustainability of lower provisions, and whether interest income growth can accelerate.
NII increased 7.9%yoy to USD 1,125.9 million, driven by a 4.3%yoy decline in interest expense to USD 528.1 million, while interest income rose a modest 3.7%yoy to USD 1,654.1 million. In FY2025, NII grew 14.8% to USD 1,153.6 million from USD 1,004.6 million in FY2024, with interest income up 9.2% to USD 1,712.8 million and interest expense down 0.7% to USD 559.3 million. SG&amp;A rose 19.8%yoy to USD 560.3 million, following a 26.6% increase in FY2025 to USD 560.1 million from USD 442.6 million. Gross loans to total deposits declined to 94.10% from 96.93% a year earlier, versus 93.90% in FY2025, 95.87% in FY2024 and 102.64% in FY2023.
Asset quality continued to improve. Provision of loans declined 35.0%yoy to USD 276.8 million, following a 30.7% decline in FY2025 to USD 325.2 million, from USD 469.1 million in FY2024. The NPL ratio fell to 2.30% from 2.72% a year earlier, down 0.4 ppts, and stood at 2.45% in FY2025 versus 2.70% in FY2024 and 3.50% in FY2023. Loan coverage improved slightly to 82.69% from 81.39%, while provisions to net charge-offs reached 91.38% in FY2025 from 79.49% in FY2024, so coverage below 100% remains an area to monitor.
Capitalization remained stable, with mixed movements. Tier I and Core Tier I ratios stood at 11.70%, up 0.1 ppts from 11.60%, while the total capital ratio declined to 15.49% from 17.21%, down 1.7 ppts, as the Tier II ratio fell to 3.78% from 5.57%. At FY2025, Tier I stood at 12.50%, Tier II at 3.52% and total capital at 16.02%, versus 12.27%, 3.65% and 15.92% in FY2024. Average equity to average assets rose to 11.88% from 11.03%, versus 12.26% in FY2025. Price to LTM EPS stood at 8.75x versus 10.52x a year earlier, while price to tangible book value rose to 1.38x from 1.25x; in FY2025, these multiples stood at 7.20x and 1.15x, respectively, versus 12.72x and 1.26x in FY2024. Overall, Interbank shows improving profitability, lower provisions and stable asset quality, though SG&amp;A growth, coverage below 100% and lower total capital remain the key variables to watch.</t>
  </si>
  <si>
    <t>● Strong earnings momentum supported by lower provisions and higher NII</t>
  </si>
  <si>
    <t>- Net income reached USD 453.9 million in LTM 1Q26, up 44.7% YoY, while FY2025 net income rose 75.1% to USD 433.5 million from USD 247.6 million in FY2024.</t>
  </si>
  <si>
    <t>- EBT before taxes rose 49.8% YoY to USD 594.0 million, while ROE improved to 17.55% from 14.48% and ROA to 2.08% from 1.60%; FY2025 ROE reached 15.96%.</t>
  </si>
  <si>
    <t>● Provisions fell sharply while asset quality improved</t>
  </si>
  <si>
    <t>- Provision of loans fell 35.0% YoY to USD 276.8 million in LTM 1Q26, after a 30.7% decline in FY2025 to USD 325.2 million, while the NPL ratio declined to 2.30% from 2.72% and loan coverage rose to 82.69% from 81.39%; FY2025 provisions to net charge-offs reached 91.38%.</t>
  </si>
  <si>
    <t>- Interest expense fell 4.3% YoY to USD 528.1 million in LTM 1Q26, supporting a 7.9% YoY increase in NII to USD 1,125.9 million, as interest income grew 3.7% to USD 1,654.1 million; in FY2025, NII rose 14.8% to USD 1,153.6 million with interest expense down 0.7%.</t>
  </si>
  <si>
    <t>● Non-interest income growth remained solid</t>
  </si>
  <si>
    <t>- Non-interest income rose 17.7% YoY to USD 356.3 million, after a 32.3% increase in FY2025 to USD 362.7 million, from USD 274.1 million in FY2024.</t>
  </si>
  <si>
    <t>● Equity base strengthened relative to assets</t>
  </si>
  <si>
    <t>- Average equity to average assets reached 11.88% in LTM 1Q26 from 11.03% a year earlier, up 0.9 ppts YoY; FY2025 stood at 12.26% versus 11.47% in FY2024. Gross loans to total deposits declined to 94.10% from 96.93%.</t>
  </si>
  <si>
    <t>● Asset quality trends remain favorable: NPL ratio reached 2.30% from 2.72% YoY.</t>
  </si>
  <si>
    <t>● Capital ratios stable: Tier I at 11.70% vs 11.60%; total capital at 15.49%.</t>
  </si>
  <si>
    <t>● SG&amp;A growth remains the main pressure point</t>
  </si>
  <si>
    <t>- SG&amp;A increased 19.8% YoY to USD 560.3 million in LTM 1Q26, following a 26.6% increase in FY2025 to USD 560.1 million, while income tax expense rose 68.9% YoY to USD 140.1 million; FY2025 tax expense more than doubled to USD 138.4 million.</t>
  </si>
  <si>
    <t>- SG&amp;A grew faster than NII (+7.9% YoY) and interest income (+3.7% YoY) in LTM 1Q26, while FY2025 SG&amp;A rose 26.6% versus 14.8% for NII.</t>
  </si>
  <si>
    <t>● Interest income growth remains modest</t>
  </si>
  <si>
    <t>- Interest income grew only 3.7% YoY to USD 1,654.1 million, below the 9.2% growth in FY2025 to USD 1,712.8 million, while NII growth of 7.9% YoY was supported by lower interest expense of USD 528.1 million, down 4.3%.</t>
  </si>
  <si>
    <t>● Capital ratios declined: total capital ratio down 1.7 ppts YoY</t>
  </si>
  <si>
    <t>- Total capital ratio fell to 15.49% from 17.21%, while the Tier II ratio declined to 3.78% from 5.57%, down 1.8 ppts YoY.</t>
  </si>
  <si>
    <t>● Coverage ratio remains below 100%</t>
  </si>
  <si>
    <t>- Loan coverage stood at 82.69% in LTM 1Q26 (81.39% a year earlier) and 82.87% in FY2025, versus 95.92% in FY2022; provisions to net charge-offs were 91.38% in FY2025, up from 79.49% in FY2024.</t>
  </si>
  <si>
    <t>BBVA Bancomer’s (Bancomer) LTM 1Q26 results were once again underpinned by lower funding costs and strong non-interest income, which offset faster provision growth, higher SG&amp;A and a modest deterioration in asset quality. Net income reached USD 2,662.8 million, up 19.3%yoy, while consolidated net income rose 19.9%yoy to USD 2,680.7 million. Overall, it was another solid period, highlighted by robust metrics, including ROE of 30.01%, up 1.5 ppts yoy, and ROA stable at 2.48%; FY2025 net income of USD 2,628.4 million was up 22.1%, with ROE at 31.66% versus 30.08% in FY2024 and 28.36% in FY2023. Looking at the trends, some deterioration in asset quality and capital is visible; however, it is occurring from a position of strength, reflecting Bancomer’s consistently high profitability.
Net interest income reached USD 6,618.5 million in LTM 1Q26, up 21.8%yoy, as interest income grew 4.7%yoy to USD 18,731.6 million while interest expense declined 2.8%yoy to USD 12,113.1 million. In FY2025, net interest income grew 24.7% to USD 6,500.5 million from USD 5,213.1 million, with interest income up 18.0% to USD 19,835.6 million and interest expense up a slower 14.9% to USD 13,335.1 million. Non-interest income was the fastest-growing revenue line, rising 48.7%yoy to USD 1,326.4 million, matching the 48.7% increase in FY2025 to USD 1,250.7 million. SG&amp;A increased 24.4%yoy to USD 3,022.4 million, following a 28.6% rise in FY2025 to USD 2,968.1 million, while EBT before taxes rose 22.3%yoy to USD 3,674.2 million and income tax expense 29.3%yoy to USD 993.4 million; in FY2025, EBT reached USD 3,611.1 million, up 24.5%, and income tax expense USD 981.9 million, up 31.5%.
Delinquencies rose year on year, with the NPL ratio at 1.41% in LTM 1Q26 versus 0.90% a year earlier, up 0.5 ppts, and 1.37% in FY2025 versus 0.90% in FY2024 and 0.98% in FY2023. Provision of loans increased 40.0%yoy to USD 1,259.7 million, growing faster than net interest income, after a 37.3% increase in FY2025 to USD 1,183.7 million. Loan coverage declined materially to 139.91% from 189.98%, down 50.1 ppts yoy, while FY2025 coverage stood at 134.50% versus 186.07% in FY2024 and 187.38% in FY2023. Provisions to net charge-offs were 108.54% in FY2025 versus 96.59% in FY2024, while gross loans to total deposits stood at 103.34%, up 0.9 ppts yoy, versus 104.12% in FY2025 and 106.03% in FY2024.
Capital ratios declined year on year, with the total capital ratio at 19.74% versus 22.87% and Tier I at 19.33% versus 22.66% and Tier II at 0.41% versus 0.21%, down 3.1 ppts and 3.3 ppts, respectively, while Core Tier I stood at 12.74% versus 14.40%. At FY2025, Tier I stood at 19.66%, Core Tier I at 12.61% and total capital at 20.06%, versus 20.48%, 14.73% and 20.72% in FY2023. Average common equity to average assets fell to 8.37% from 8.87%, and total equity to assets to 8.27% from 8.67%, having declined from 10.37% in FY2022. Overall, Bancomer enters the new period with high profitability and strong revenue growth, although capital ratios, loan coverage and equity to assets are the key variables to watch.</t>
  </si>
  <si>
    <t>● Net interest income expansion supported strong earnings</t>
  </si>
  <si>
    <t>- NII rose 21.8% YoY to USD 6,618.5 million in LTM 1Q26, as interest expense fell 2.8% while interest income grew 4.7%.</t>
  </si>
  <si>
    <t>- Net income reached USD 2,662.8 million, up 19.3% YoY, while consolidated net income rose 19.9% to USD 2,680.7 million and EBT before taxes 22.3% to USD 3,674.2 million; FY2025 net income grew 22.1% to USD 2,628.4 million.</t>
  </si>
  <si>
    <t>- FY2025 NII grew 24.7% to USD 6,500.5 million, with interest income up 18.0% and interest expense up a slower 14.9%.</t>
  </si>
  <si>
    <t>- Non-interest income rose 48.7% YoY to USD 1,326.4 million in LTM 1Q26, after a 48.7% increase in FY2025.</t>
  </si>
  <si>
    <t>- FY2025 non-interest income reached USD 1,250.7 million versus USD 840.8 million.</t>
  </si>
  <si>
    <t>- Non-interest income compares with USD 732.5 million in FY2022, USD 915.6 million in FY2023 and USD 840.8 million in FY2024.</t>
  </si>
  <si>
    <t>● ROE improved 1.5 ppts to 30.01% year on year</t>
  </si>
  <si>
    <t>- ROCE rose to 29.53% from 27.83%, while ROA stood at 2.48% versus 2.47% a year earlier; FY2025 ROE was 31.66% versus 30.08% in FY2024.</t>
  </si>
  <si>
    <t>- ROE has risen each year since FY2022: 23.88%, 28.36%, 30.08% and 31.66% in FY2025, with ROCE at 31.26% in FY2025.</t>
  </si>
  <si>
    <t>● Loan-to-deposit ratio broadly stable YoY</t>
  </si>
  <si>
    <t>● Gross loans to total deposits at 103.34% versus 102.49% a year earlier</t>
  </si>
  <si>
    <t>- The FY2025 ratio stood at 104.12%, versus 106.03% in FY2024 and 100.45% in FY2023.</t>
  </si>
  <si>
    <t>- The NPL ratio rose to 1.41% from 0.90% a year earlier, up 0.5 ppts YoY, while the FY2025 ratio stood at 1.37% versus 0.90% in FY2024 and 0.98% in FY2023.</t>
  </si>
  <si>
    <t>● Provision of loans rose 40.0% YoY to USD 1,259.7 million, growing faster than NII (+21.8%) and pre-tax income (+22.3%).</t>
  </si>
  <si>
    <t>● Loan coverage fell 50.1 ppts YoY to 139.91% from 189.98%</t>
  </si>
  <si>
    <t>- FY2025 coverage stood at 134.50% versus 186.07% in FY2024, while provisions to net charge-offs rose to 108.54% from 96.59%.</t>
  </si>
  <si>
    <t>● Tier I and total capital ratios declined sharply YoY</t>
  </si>
  <si>
    <t>- Tier I fell to 19.33% from 22.66% and total capital to 19.74% from 22.87%, down 3.3 ppts and 3.1 ppts YoY, respectively.</t>
  </si>
  <si>
    <t>● Equity ratios fell: common equity/assets 8.37% vs 8.87%</t>
  </si>
  <si>
    <t>● Common equity to average assets fell from 10.37% in FY2022 to 7.99% in FY2025, and total equity from 10.37% to 7.89%</t>
  </si>
  <si>
    <t>● SG&amp;A and tax growth outpaced interest income</t>
  </si>
  <si>
    <t>- SG&amp;A rose 24.4% YoY to USD 3,022.4 million and income tax expense 29.3% to USD 993.4 million, while interest income grew only 4.7%; FY2025 SG&amp;A grew 28.6%.</t>
  </si>
  <si>
    <t>Margins expanded across the board in LTM 1Q26, with EBITDA margin rising to 25.52% from 24.65%, EBIT margin to 19.33% from 18.95% and gross margin to 26.24% from 24.48%. The main component to highlight was net margin, which rose to 11.13% from 9.09%, while ROE improved to 12.29% from 10.62%. FY2025 followed a similar trend, with EBITDA margin at 24.72% versus 24.41% in FY2024 and net margin at 10.84% versus 9.36%. Cash flow also improved: LFCF margin turned positive at 5.43% from -4.01% a year earlier, and CFO/interest expense rose from 5.85x to 10.96x, while cash and equivalents rose 143.2% year-over-year to PEN 305.4 million. Returns on assets and capital moved lower, however, with ROA at 6.47% from 6.93% and ROIC at 7.89% from 8.31%. EBITDA/interest expense stood at 7.92x, down from 8.16x, while (EBITDA-CAPEX)/interest expense edged up to 1.74x from 1.70x.
Leverage was broadly stable to lower. Total debt/EBITDA declined to 2.47x from 2.53x and net debt/EBITDA to 2.19x from 2.41x, versus 2.49x and 2.40x in FY2025. On a capex-adjusted basis, total debt/(EBITDA-CAPEX) fell to 11.25x from 12.14x and net debt/(EBITDA-CAPEX) to 9.94x from 11.55x, still well above the 5.64x and 5.49x recorded in FY2022. Working capital was mixed: day sales out rose to 61.1 days from 56.3 days, day payable out to 60.0 days from 55.5 days, and day inventory out declined to 23.3 days from 28.6 days, shortening the CCC to 24.4 days from 29.4 days. The current ratio rose to 0.62x from 0.38x and the quick ratio to 0.52x from 0.28x, although both remain below 1.0x.
Overall, Pluz reported improving margins, cash generation and liquidity, with lower leverage.</t>
  </si>
  <si>
    <t>● Margin expansion at all levels.</t>
  </si>
  <si>
    <t>● EBITDA margin of 25.52%, up from 24.65%, with net margin also improving to 11.13% from 9.09%.</t>
  </si>
  <si>
    <t>- Gross margin rose to 26.24% from 24.48% and EBIT margin to 19.33% from 18.95%, while FY2025 EBITDA margin reached 24.72% versus 24.41% in FY2024.</t>
  </si>
  <si>
    <t>● Cash generation improved on a year-on-year basis.</t>
  </si>
  <si>
    <t xml:space="preserve">- LFCF margin turned positive at 5.43% from -4.01%, while CFO/interest expense reached 10.96x from 5.85x. </t>
  </si>
  <si>
    <t>- Cash balance more than doubled year on year.</t>
  </si>
  <si>
    <t>- Cash and equivalents reached PEN 305.4 million from PEN 125.6 million a year earlier, while FY2025 stood at PEN 90.3 million versus PEN 236.2 million in FY2024. Current ratio rose to 0.62x from 0.38x.</t>
  </si>
  <si>
    <t>- Quick ratio rose to 0.52x from 0.28x, although both liquidity ratios remain below 1.0x, and FY2025 stood at 0.40x and 0.31x.</t>
  </si>
  <si>
    <t xml:space="preserve">● Leverage declined YoY in LTM 1Q26. </t>
  </si>
  <si>
    <t>- Total debt/EBITDA fell to 2.47x from 2.53x and net debt/EBITDA to 2.19x from 2.41x, while total debt/(EBITDA-CAPEX) declined to 11.25x from 12.14x and net debt/(EBITDA-CAPEX) to 9.94x from 11.55x.</t>
  </si>
  <si>
    <t>- ROE improved to 12.29% from 10.62%, up 1.7 ppts, while FY2025 ROE stood at 12.38% versus 11.15% in FY2024 and 16.34% in FY2022. Net margin has risen from 9.36% in FY2024 to 10.84% in FY2025 and to 11.13% in LTM 1Q26, with the CCC shortening to 24.4 days from 29.4 days.</t>
  </si>
  <si>
    <t xml:space="preserve">- Day inventory out fell to 23.3 days from 28.6 days, while FY2025 stood at 23.5 days versus 28.0 days in FY2024. </t>
  </si>
  <si>
    <t>● Working capital cycle shortened to 24.4 days.</t>
  </si>
  <si>
    <t>● ROA and ROIC declined to 6.47% and 7.89% year on year.</t>
  </si>
  <si>
    <t>● Day sales out lengthened to 61.1 days from 56.3 days year on year, versus 51.4 in FY2025.</t>
  </si>
  <si>
    <t>Luz del Sur’s (LDS) LTM 1Q26 results showed stable margins with mixed returns, as leverage rose and coverage and liquidity ratios softened. EBITDA margin stood at 33.01%, broadly in line with 33.17% a year earlier, while EBIT margin declined to 27.60% from 28.03% and gross margin to 32.34% from 32.82%. Net margin improved to 15.95% from 15.38%, although returns moved lower, with ROE at 14.67% from 16.99%, ROA at 6.77% from 8.21% and ROIC at 8.33% from 10.19%. Cash flow was resilient, with LFCF margin at 11.18% versus 10.90%, and cash and equivalents up 14.9% YoY to USD 173.4 million. Return metrics remain below the FY2023 levels of 19.86% for ROE and 11.27% for ROIC, while EBITDA margin remains above the 29.68% posted in FY2022.
For the full year, FY2025 margins were lower than in FY2024, with EBITDA margin declining to 31.80% from 33.31%, EBIT margin to 26.45% from 28.44% and gross margin to 31.32% from 32.98%. Net margin edged down to 15.35% from 15.62%, while ROE fell to 14.19% from 17.23% and ROIC to 7.94% from 10.10%. LFCF margin declined to 9.52% from 13.11%, and cash and equivalents stood at USD 164.5 million versus USD 167.8 million. FY2025 ROA declined to 6.49% from 8.25% and the CCC stood at 9.9 days versus 10.3 days. Leverage increased, with total debt/EBITDA at 3.27x versus 2.90x and net debt/EBITDA at 2.89x versus 2.49x, confirming a higher debt burden relative to earnings, with total debt/(EBITDA-CAPEX) at 4.76x versus 3.90x and net debt/(EBITDA-CAPEX) at 4.22x versus 3.35x. EBITDA/interest expense stood at 6.15x versus 6.19x, and CFO/interest expense at 4.15x versus 4.02x.
Leverage increased at the LTM level: total debt/EBITDA rose to 3.10x from 2.88x and net debt/EBITDA to 2.71x from 2.52x, while total debt/(EBITDA-CAPEX) rose to 4.64x from 3.79x and net debt/(EBITDA-CAPEX) to 4.06x from 3.32x. Interest coverage was mixed, with EBITDA/interest expense improving to 6.21x from 6.02x and CFO/interest expense to 4.20x from 4.12x, while (EBITDA-CAPEX)/interest expense declined to 4.15x from 4.56x. Working capital metrics were mostly favorable, as day sales out declined to 52.8 days from 55.1 days, day payable out rose to 44.4 days from 43.0 days and day inventory out increased to 4.7 days from 4.0 days, shortening the CCC to 13.1 days from 16.1 days. Liquidity remained tight, with the current ratio declining to 0.48x from 0.53x and the quick ratio to 0.45x from 0.50x, versus 0.46x and 0.42x in FY2025. In LTM 1Q26, net margin of 15.95% compares with 16.55% in FY2022. Overall, LDS shows stable margins and improving working capital, but returns, leverage and liquidity remain the key variables to watch.</t>
  </si>
  <si>
    <t>● Stable margins with resilient EBITDA generation</t>
  </si>
  <si>
    <t>- LDS maintained an EBITDA margin of 33.01% in LTM 1Q26, broadly in line with 33.17% a year earlier and above the 29.68% recorded in FY2022, while net margin improved to 15.95% from 15.38%.</t>
  </si>
  <si>
    <t>- Net margin has improved from 15.35% in FY2025 to 15.95% in LTM 1Q26, after 15.62% in FY2024 and 16.55% in both FY2022 and FY2023.</t>
  </si>
  <si>
    <t>- LFCF margin stood at 11.18% versus 10.90% a year earlier, while CFO/interest expense reached 4.20x from 4.12x.</t>
  </si>
  <si>
    <t>● Cash position and coverage strengthened</t>
  </si>
  <si>
    <t>- Cash and equivalents increased 14.9% YoY to USD 173.4 million, while EBITDA/interest expense improved to 6.21x from 6.02x in LTM 1Q25.</t>
  </si>
  <si>
    <t>- FY2025 cash and equivalents were USD 164.5 million versus USD 167.8 million in FY2024, and USD 86.0 million in FY2023.</t>
  </si>
  <si>
    <t>● Working capital cycle shortened</t>
  </si>
  <si>
    <t>- CCC declined to 13.1 days from 16.1 days YoY, and stood at 9.9 days in FY2025.</t>
  </si>
  <si>
    <t>- Day sales out fell to 52.8 days from 55.1 days, while day payable out rose to 44.4 days from 43.0 days.</t>
  </si>
  <si>
    <t>- Day inventory out increased to 4.7 days from 4.0 days, remaining low, while FY2025 stood at 4.6 days.</t>
  </si>
  <si>
    <t>● Net margin improved</t>
  </si>
  <si>
    <t>- Net margin rose to 15.95% from 15.38% YoY, despite a lower EBIT margin of 27.60% versus 28.03%, while FY2025 net margin was 15.35% versus 15.62% in FY2024.</t>
  </si>
  <si>
    <t>- FY2025 EBITDA margin of 31.80% compares with 33.31% in FY2024 and 30.98% in FY2023, while FY2025 LFCF margin was 9.52%.</t>
  </si>
  <si>
    <t>● Leverage moved higher and remains the main risk</t>
  </si>
  <si>
    <t>- Total debt/EBITDA rose to 3.10x from 2.88x YoY in LTM 1Q26.</t>
  </si>
  <si>
    <t>● Capex-adjusted leverage increased more sharply year on year</t>
  </si>
  <si>
    <t>- Total debt/(EBITDA-CAPEX) rose to 4.64x from 3.79x in LTM 1Q26.</t>
  </si>
  <si>
    <t>- Net debt/(EBITDA-CAPEX) rose to 4.06x from 3.32x, while (EBITDA-CAPEX)/interest expense declined to 4.15x from 4.56x YoY.</t>
  </si>
  <si>
    <t>- Net debt/EBITDA rose to 2.71x from 2.52x, and FY2025 stood at 2.89x versus 2.49x.</t>
  </si>
  <si>
    <t>● Returns declined significantly year on year</t>
  </si>
  <si>
    <t>- ROE fell to 14.67% from 16.99%, ROA to 6.77% from 8.21% and ROIC to 8.33% from 10.19% in LTM 1Q26; FY2025 ROE of 14.19% compared with 19.86% in FY2023.</t>
  </si>
  <si>
    <t>- Margins also compressed: FY2025 EBIT margin fell to 26.45% from 28.44% and gross margin to 31.32% from 32.98%.</t>
  </si>
  <si>
    <t>● FY2025 LFCF margin fell to 9.52% from 13.11%</t>
  </si>
  <si>
    <t>- Current ratio declined to 0.48x from 0.53x and quick ratio to 0.45x from 0.50x in LTM 1Q26; FY2025 stood at 0.46x and 0.42x.</t>
  </si>
  <si>
    <t>- Liquidity ratios remain well below 1.0x, versus 0.54x and 0.51x in FY2024, while FY2025 total debt/EBITDA rose to 3.27x from 2.90x.</t>
  </si>
  <si>
    <t>Margins contracted at all levels in LTM 1Q26, though they remain at healthy levels. EBITDA margin declined to 55.57% from 58.58%, EBIT margin to 45.90% from 50.44% and gross margin to 49.98% from 52.87%, while net margin fell to 27.55% from 33.18%. Returns also moved lower, with ROE declining to 19.33% from 26.91%, ROA to 10.91% from 13.22% and ROIC to 14.48% from 17.74%; FY2025 ROA stood at 12.29% versus 13.08% and ROIC at 16.20% versus 17.63% in FY2024. In FY2025, however, margins were higher than in FY2024, with EBITDA margin at 59.05% versus 57.72% and gross margin at 54.01% versus 52.46%, while net margin declined to 30.39% from 33.20% and ROE to 22.31% from 28.17%.
Cash generation weakened year on year. LFCF margin declined to 17.63% from 22.51%, although FY2025 LFCF margin more than doubled to 28.89% from 13.20%. Cash and equivalents fell 51.2% YoY to PEN 127.5 million, following a 19.9% increase in FY2025 to PEN 491.1 million. CFO/interest expense stood at 12.25x versus 12.54x, EBITDA/interest expense declined to 13.76x from 15.73x and (EBITDA-CAPEX)/interest expense to 10.28x from 12.85x. FY2025 coverage stood at 14.83x on an EBITDA basis and 12.12x net of capex, versus 17.53x and 13.70x in FY2024, and CFO/interest expense reached 12.78x versus 11.85x.
Leverage increased at the LTM level but remains low. Total debt/EBITDA rose to 0.88x from 0.76x and net debt/EBITDA to 0.78x from 0.60x, while total debt/(EBITDA-CAPEX) rose to 1.18x from 0.94x and net debt/(EBITDA-CAPEX) to 1.05x from 0.74x. In FY2025, leverage was lower than in FY2024, with total debt/EBITDA at 0.74x versus 0.97x and net debt/EBITDA at 0.42x versus 0.72x; total debt/(EBITDA-CAPEX) was 0.90x versus 1.24x.
Working capital weakened materially. Day payable out fell to 72.9 days from 95.2 days, while day sales out was broadly stable at 61.8 days versus 61.2 days and day inventory out rose to 29.2 days from 27.6 days, turning the CCC to 18.0 days from -6.4 days. Liquidity remained comfortable, with the current ratio at 1.85x versus 1.44x and the quick ratio at 1.48x versus 1.24x, versus 2.05x and 1.80x in FY2025 and 1.71x and 1.55x in FY2024. Overall, margins, returns and cash moved lower, while leverage remains low.</t>
  </si>
  <si>
    <t>● Margins remain at high levels</t>
  </si>
  <si>
    <t xml:space="preserve">- EBITDA margin of 55.57% in LTM 1Q26 and 59.05% in FY2025, versus 57.72% in FY2024. </t>
  </si>
  <si>
    <t>● Strong liquidity position</t>
  </si>
  <si>
    <t>- The Company has PEN 127.5 mm of cash and a current ratio of 1.85x, up from 1.44x a year earlier; FY2025 cash was PEN 491.1 mm.</t>
  </si>
  <si>
    <t>● Low leverage: total debt/EBITDA of 0.88x and net debt/EBITDA of 0.78x in LTM 1Q26, and 0.74x and 0.42x in FY2025.</t>
  </si>
  <si>
    <t>● Leverage declined in FY2025</t>
  </si>
  <si>
    <t>- Total debt/EBITDA fell to 0.74x from 0.97x in FY2024, with net debt/EBITDA at 0.42x.</t>
  </si>
  <si>
    <t xml:space="preserve">- FY2025 net debt/(EBITDA-CAPEX) declined to 0.51x from 0.92x in FY2024. </t>
  </si>
  <si>
    <t>● Quick ratio improved to 1.48x from 1.24x YoY, with current ratio at 1.85x.</t>
  </si>
  <si>
    <t>- FY2025 LFCF margin rose to 28.89% from 13.20% in FY2024.</t>
  </si>
  <si>
    <t>● Gross margin</t>
  </si>
  <si>
    <t>- Gross margin was 49.98% in LTM 1Q26 and 54.01% in FY2025 versus 52.46% in FY2024. FY2025 EBITDA margin reached 59.05%, and day sales out remained broadly stable at 61.8 days versus 61.2 days.</t>
  </si>
  <si>
    <t>● Margins and returns declined sharply YoY: net margin fell to 27.55% from 33.18%, and ROE to 19.33% from 26.91%; FY2025 net margin was 30.39%.</t>
  </si>
  <si>
    <t>● Cash decline</t>
  </si>
  <si>
    <t>● LFCF margin declined to 17.63% from 22.51%</t>
  </si>
  <si>
    <r>
      <rPr>
        <sz val="10"/>
        <color theme="1"/>
        <rFont val="Aptos Narrow"/>
        <family val="2"/>
        <scheme val="minor"/>
      </rPr>
      <t xml:space="preserve">- </t>
    </r>
    <r>
      <rPr>
        <b/>
        <sz val="10"/>
        <color theme="1"/>
        <rFont val="Aptos Narrow"/>
        <family val="2"/>
        <scheme val="minor"/>
      </rPr>
      <t>Cash:</t>
    </r>
    <r>
      <rPr>
        <sz val="10"/>
        <color theme="1"/>
        <rFont val="Aptos Narrow"/>
        <family val="2"/>
        <scheme val="minor"/>
      </rPr>
      <t xml:space="preserve"> Cash and equivalents fell 51.2% YoY to PEN 127.5 million in LTM 1Q26 from PEN 261.4 million, following a 19.9% increase in FY2025 to PEN 491.1 million.</t>
    </r>
  </si>
  <si>
    <r>
      <rPr>
        <sz val="10"/>
        <color theme="1"/>
        <rFont val="Aptos Narrow"/>
        <family val="2"/>
        <scheme val="minor"/>
      </rPr>
      <t xml:space="preserve">- </t>
    </r>
    <r>
      <rPr>
        <b/>
        <sz val="10"/>
        <color theme="1"/>
        <rFont val="Aptos Narrow"/>
        <family val="2"/>
        <scheme val="minor"/>
      </rPr>
      <t>Cash flow:</t>
    </r>
    <r>
      <rPr>
        <sz val="10"/>
        <color theme="1"/>
        <rFont val="Aptos Narrow"/>
        <family val="2"/>
        <scheme val="minor"/>
      </rPr>
      <t xml:space="preserve"> LFCF margin declined to 17.63% from 22.51% YoY, while CFO/interest expense stood at 12.25x versus 12.54x, and FY2025 LFCF margin was 28.89%.</t>
    </r>
  </si>
  <si>
    <t>- EBITDA/interest expense declined to 13.76x from 15.73x YoY, and (EBITDA-CAPEX)/interest expense fell to 10.28x from 12.85x. In FY2025, both ratios stood at 14.83x and 12.12x, versus 17.53x and 13.70x in FY2024 and 37.85x and 11.34x in FY2022, respectively. Coverage has fallen every year on an EBITDA basis.</t>
  </si>
  <si>
    <t>● Leverage increased in LTM 1Q26 relative to a year earlier, though it remains at low levels in absolute terms</t>
  </si>
  <si>
    <t>- Total debt/EBITDA rose to 0.88x from 0.76x and net debt/EBITDA to 0.78x from 0.60x, while total debt/(EBITDA-CAPEX) rose to 1.18x from 0.94x and net debt/(EBITDA-CAPEX) to 1.05x from 0.74x. Net debt/EBITDA increased 30.3% and net debt/(EBITDA-CAPEX) 42.5% YoY.</t>
  </si>
  <si>
    <t xml:space="preserve">- CCC turned positive at 18.0 days from -6.4 days, as day payable out fell to 72.9 days from 95.2 days. </t>
  </si>
  <si>
    <t>- Day inventory out increased to 29.2 days from 27.6 days, while FY2025 CCC stood at 3.0 days versus 0.5 days in FY2024.</t>
  </si>
  <si>
    <t>● Returns declined: ROA at 10.91% from 13.22% and ROIC at 14.48% from 17.74% YoY; FY2025 ROE at 22.31%.</t>
  </si>
  <si>
    <t>● EBIT margin fell to 45.90%</t>
  </si>
  <si>
    <t>- EBIT margin declined to 45.90% from 50.44% and EBITDA margin to 55.57% from 58.58%, while gross margin fell 2.9 ppts to 49.98% from 52.87% in LTM 1Q25; FY2025 EBIT margin was 50.04%, unchanged from 50.09% in FY2024, while day sales out rose to 61.8 days.</t>
  </si>
  <si>
    <t>Margins contracted in LTM 1Q26 relative to a year earlier, with EBITDA margin declining to 31.97% from 36.07%, EBIT margin to 15.48% from 21.33% and gross margin to 19.94% from 27.49%. Net margin fell to 6.85% from 13.78%, while ROE declined to 3.93% from 8.42%, ROA to 2.68% from 4.01% and ROIC to 3.67% from 5.33%.
Cash flow weakened, with LFCF margin declining to 14.10% from 29.58% and CFO/interest expense to 5.44x from 6.20x. EBITDA/interest expense declined to 5.71x from 6.34x, and (EBITDA-CAPEX)/interest expense to 3.63x from 4.91x, while cash and equivalents were stable at PEN 804.4 million. In FY2025, cash and equivalents reached PEN 741.1 million, up from PEN 663.7 million in FY2024, while LFCF margin rose to 17.25% from 10.95%.
Leverage increased year on year. Total debt/EBITDA rose to 2.70x from 2.27x and net debt/EBITDA to 1.66x from 1.45x, while total debt/(EBITDA-CAPEX) increased to 4.26x from 2.93x and net debt/(EBITDA-CAPEX) to 2.61x from 1.87x. FY2025 total debt/EBITDA stood at 2.49x versus 2.29x in FY2024.
Working capital was mixed: day payable out rose to 65.5 days from 46.2 days, offsetting higher day sales out (76.7 days versus 68.4 days), with day inventory out declining to 78.1 days from 81.2 days, shortening the CCC to 89.3 days from 103.5 days. Liquidity remained comfortable, with the current ratio at 1.60x and the quick ratio at 1.22x, both slightly above a year earlier.</t>
  </si>
  <si>
    <t>● Solid liquidity position</t>
  </si>
  <si>
    <t>- Cash and equivalents of PEN 804.4 million in LTM 1Q26, stable YoY, with current ratio at 1.60x and quick ratio at 1.22x.</t>
  </si>
  <si>
    <t>● Working capital cycle shortened: CCC declined to 89.3 days from 103.5 days YoY, as day payable out increased to 65.5 days.</t>
  </si>
  <si>
    <t>● Manageable leverage</t>
  </si>
  <si>
    <t>- Net debt/EBITDA of 1.66x and total debt/EBITDA of 2.70x in LTM 1Q26, versus 1.62x and 2.49x in FY2025.</t>
  </si>
  <si>
    <t>● Cash generation improved in FY2025: LFCF margin of 17.25% vs 10.95%; cash of PEN 741.1 mm.</t>
  </si>
  <si>
    <t>● FY2025 margins remained high: EBITDA margin of 38.10% and gross margin of 25.85%, with net margin at 11.74% versus 13.61% in FY2024, and (EBITDA-CAPEX)/interest expense improved to 4.33x from 3.58x.</t>
  </si>
  <si>
    <t>● Margins declined sharply YoY: EBITDA margin down to 31.97% from 36.07%</t>
  </si>
  <si>
    <t>● Net margin halved to 6.85% from 13.78%; ROE fell to 3.93% from 8.42%, while ROA declined to 2.68% and ROIC to 3.67%.</t>
  </si>
  <si>
    <t>● LFCF margin fell year on year</t>
  </si>
  <si>
    <t>● LFCF margin declined to 14.10% from 29.58%, while CFO/interest expense fell to 5.44x from 6.20x.</t>
  </si>
  <si>
    <t xml:space="preserve">● Coverage declined across measures. </t>
  </si>
  <si>
    <t>● EBITDA/interest expense of 5.71x vs 6.34x, and (EBITDA-CAPEX)/interest expense of 3.63x vs 4.91x YoY; CFO/interest expense of 5.44x.</t>
  </si>
  <si>
    <t>● Leverage increased: total debt/EBITDA of 2.70x vs 2.27x; net debt/EBITDA of 1.66x vs 1.45x; total debt/(EBITDA-CAPEX) up to 4.26x.</t>
  </si>
  <si>
    <t>● Day sales out lengthened to 76.7 days from 68.4 days, while net debt/(EBITDA-CAPEX) rose to 2.61x from 1.87x.</t>
  </si>
  <si>
    <t>Minsur delivered a solid LTM 1Q26 performance, with margins expanding at every level and net margin rising to 27.17% from 17.69%. Gross margin increased to 63.04% from 58.37%, EBIT margin to 52.04% from 49.13% and EBITDA margin to 67.24% from 66.16%, while ROE reached 38.22% from 28.51%. FY2025 showed a similar trend, with net margin at 22.69% versus 21.36% and ROE at 42.07% versus 25.90% in FY2024. EBITDA margin has risen from 57.41% in FY2022 to 65.93% in FY2025, and net margin from 21.81% in FY2022 to 22.69% in FY2025, after a low of 19.66% in FY2023.
Cash generation strengthened, with LFCF margin at 42.50% versus 33.09% a year earlier, and cash and equivalents rose to PEN 2,212.5 million. Interest coverage and leverage also improved, as detailed below.
- Profitability: ROE rose to 38.22% from 28.51%, ROA to 19.22% from 15.59% and ROIC to 23.93% from 19.32%. In FY2025, ROE reached 42.07% versus 25.90% in FY2024 and 24.41% in FY2023, ROA 18.50% versus 13.52%, and ROIC 24.67% versus 17.74%. FY2025 gross margin stood at 61.32% versus 56.60%, EBIT margin at 50.45% versus 47.31% and EBITDA margin at 65.93% versus 65.44%.
- Cash: Cash and equivalents rose 21.5% YoY to PEN 2,212.5 million, following a 52.8% increase in FY2025 to PEN 1,330.4 million. LFCF margin at 42.50% compares with 43.41% in FY2025 and 28.79% in FY2024.
- Coverage: CFO/interest expense rose to 22.56x from 14.62x, EBITDA/interest expense to 33.76x from 26.45x, and (EBITDA-CAPEX)/interest expense to 30.12x from 23.50x. FY2025 ratios stood at 20.75x, 32.68x and 29.12x, respectively.
Leverage declined further. Total debt/EBITDA fell to 0.64x from 0.70x and net debt/EBITDA to 0.30x from 0.39x, while total debt/(EBITDA-CAPEX) declined to 0.71x from 0.79x and net debt/(EBITDA-CAPEX) to 0.34x from 0.43x. FY2025 total debt/EBITDA stood at 0.61x versus 0.77x in FY2024 and 1.11x in FY2023, while net debt/EBITDA stood at 0.39x versus 0.61x and 0.82x. Working capital showed a shorter operating cycle on the sales side, with day sales out declining to 49.7 days from 58.5 days and day inventory out to 64.6 days from 77.0 days, while day payable out fell to 66.8 days from 93.4 days, lengthening the CCC to 47.5 days from 42.2 days. Liquidity strengthened, with the current ratio at 2.24x versus 1.55x and the quick ratio at 1.86x versus 1.31x, versus 1.17x and 0.96x in FY2025. Overall, Minsur shows higher margins, returns and cash, lower leverage and stronger coverage, while the cash conversion cycle lengthened.</t>
  </si>
  <si>
    <t>● Margins at high levels, led by EBITDA margin of 67.24%</t>
  </si>
  <si>
    <t>● Net margin expanded to 27.17% from 17.69%, with ROE at 38.22%</t>
  </si>
  <si>
    <r>
      <rPr>
        <sz val="10"/>
        <color theme="1"/>
        <rFont val="Aptos Narrow"/>
        <family val="2"/>
        <scheme val="minor"/>
      </rPr>
      <t xml:space="preserve">- </t>
    </r>
    <r>
      <rPr>
        <b/>
        <sz val="10"/>
        <color theme="1"/>
        <rFont val="Aptos Narrow"/>
        <family val="2"/>
        <scheme val="minor"/>
      </rPr>
      <t>Margin breakdown:</t>
    </r>
    <r>
      <rPr>
        <sz val="10"/>
        <color theme="1"/>
        <rFont val="Aptos Narrow"/>
        <family val="2"/>
        <scheme val="minor"/>
      </rPr>
      <t xml:space="preserve"> Gross margin rose to 63.04% from 58.37% and EBIT margin to 52.04% from 49.13% in LTM 1Q26, while FY2025 gross margin was 61.32% versus 56.60% in FY2024 and EBITDA margin stood at 65.93% versus 65.44%. FY2025 net margin was 22.69% versus 21.36% in FY2024.</t>
    </r>
  </si>
  <si>
    <r>
      <rPr>
        <sz val="10"/>
        <color theme="1"/>
        <rFont val="Aptos Narrow"/>
        <family val="2"/>
        <scheme val="minor"/>
      </rPr>
      <t xml:space="preserve">- </t>
    </r>
    <r>
      <rPr>
        <b/>
        <sz val="10"/>
        <color theme="1"/>
        <rFont val="Aptos Narrow"/>
        <family val="2"/>
        <scheme val="minor"/>
      </rPr>
      <t>Returns:</t>
    </r>
    <r>
      <rPr>
        <sz val="10"/>
        <color theme="1"/>
        <rFont val="Aptos Narrow"/>
        <family val="2"/>
        <scheme val="minor"/>
      </rPr>
      <t xml:space="preserve"> ROE rose to 38.22% from 28.51% and ROA to 19.22% from 15.59%, while ROIC reached 23.93% from 19.32% YoY; EBIT margin expanded to 52.04% from 49.13%.</t>
    </r>
  </si>
  <si>
    <r>
      <rPr>
        <sz val="10"/>
        <color theme="1"/>
        <rFont val="Aptos Narrow"/>
        <family val="2"/>
        <scheme val="minor"/>
      </rPr>
      <t xml:space="preserve">* </t>
    </r>
    <r>
      <rPr>
        <b/>
        <sz val="10"/>
        <color theme="1"/>
        <rFont val="Aptos Narrow"/>
        <family val="2"/>
        <scheme val="minor"/>
      </rPr>
      <t>FY2025 returns:</t>
    </r>
    <r>
      <rPr>
        <sz val="10"/>
        <color theme="1"/>
        <rFont val="Aptos Narrow"/>
        <family val="2"/>
        <scheme val="minor"/>
      </rPr>
      <t xml:space="preserve"> ROE of 42.07% versus 25.90% in FY2024 and 24.41% in FY2023, while ROA reached 18.50% versus 13.52% and ROIC 24.67% versus 17.74%. FY2022 ROE stood at 32.68%. ROA was 15.36% and ROIC 19.74% in FY2022.</t>
    </r>
  </si>
  <si>
    <r>
      <rPr>
        <sz val="10"/>
        <color theme="1"/>
        <rFont val="Aptos Narrow"/>
        <family val="2"/>
        <scheme val="minor"/>
      </rPr>
      <t xml:space="preserve">* </t>
    </r>
    <r>
      <rPr>
        <b/>
        <sz val="10"/>
        <color theme="1"/>
        <rFont val="Aptos Narrow"/>
        <family val="2"/>
        <scheme val="minor"/>
      </rPr>
      <t>Cash position:</t>
    </r>
    <r>
      <rPr>
        <sz val="10"/>
        <color theme="1"/>
        <rFont val="Aptos Narrow"/>
        <family val="2"/>
        <scheme val="minor"/>
      </rPr>
      <t xml:space="preserve"> Cash and equivalents rose 21.5% YoY to PEN 2,212.5 million, following a 52.8% rise in FY2025 to PEN 1,330.4 million from PEN 870.5 million in FY2024.</t>
    </r>
  </si>
  <si>
    <r>
      <rPr>
        <sz val="10"/>
        <color theme="1"/>
        <rFont val="Aptos Narrow"/>
        <family val="2"/>
        <scheme val="minor"/>
      </rPr>
      <t xml:space="preserve">- </t>
    </r>
    <r>
      <rPr>
        <b/>
        <sz val="10"/>
        <color theme="1"/>
        <rFont val="Aptos Narrow"/>
        <family val="2"/>
        <scheme val="minor"/>
      </rPr>
      <t>Cash flow:</t>
    </r>
    <r>
      <rPr>
        <sz val="10"/>
        <color theme="1"/>
        <rFont val="Aptos Narrow"/>
        <family val="2"/>
        <scheme val="minor"/>
      </rPr>
      <t xml:space="preserve"> LFCF margin reached 42.50% versus 33.09% a year earlier, and 43.41% in FY2025 versus 28.79% in FY2024 and 32.00% in FY2023.</t>
    </r>
  </si>
  <si>
    <r>
      <rPr>
        <sz val="10"/>
        <color theme="1"/>
        <rFont val="Aptos Narrow"/>
        <family val="2"/>
        <scheme val="minor"/>
      </rPr>
      <t xml:space="preserve">- </t>
    </r>
    <r>
      <rPr>
        <b/>
        <sz val="10"/>
        <color theme="1"/>
        <rFont val="Aptos Narrow"/>
        <family val="2"/>
        <scheme val="minor"/>
      </rPr>
      <t>Coverage:</t>
    </r>
    <r>
      <rPr>
        <sz val="10"/>
        <color theme="1"/>
        <rFont val="Aptos Narrow"/>
        <family val="2"/>
        <scheme val="minor"/>
      </rPr>
      <t xml:space="preserve"> CFO/interest expense rose to 22.56x from 14.62x, EBITDA/interest expense to 33.76x from 26.45x, while (EBITDA-CAPEX)/interest expense reached 30.12x from 23.50x.</t>
    </r>
  </si>
  <si>
    <r>
      <rPr>
        <sz val="10"/>
        <color theme="1"/>
        <rFont val="Aptos Narrow"/>
        <family val="2"/>
        <scheme val="minor"/>
      </rPr>
      <t xml:space="preserve">* </t>
    </r>
    <r>
      <rPr>
        <b/>
        <sz val="10"/>
        <color theme="1"/>
        <rFont val="Aptos Narrow"/>
        <family val="2"/>
        <scheme val="minor"/>
      </rPr>
      <t>FY2025 coverage:</t>
    </r>
    <r>
      <rPr>
        <sz val="10"/>
        <color theme="1"/>
        <rFont val="Aptos Narrow"/>
        <family val="2"/>
        <scheme val="minor"/>
      </rPr>
      <t xml:space="preserve"> CFO/interest expense of 20.75x versus 14.51x in FY2024, EBITDA/interest expense of 32.68x versus 24.41x, and (EBITDA-CAPEX)/interest expense of 29.12x versus 21.23x. FY2022 ratios stood at 14.30x, 21.47x and 15.88x, respectively, while FY2023 stood at 16.90x, 22.23x and 17.96x.</t>
    </r>
  </si>
  <si>
    <r>
      <rPr>
        <sz val="10"/>
        <color theme="1"/>
        <rFont val="Aptos Narrow"/>
        <family val="2"/>
        <scheme val="minor"/>
      </rPr>
      <t xml:space="preserve">* </t>
    </r>
    <r>
      <rPr>
        <b/>
        <sz val="10"/>
        <color theme="1"/>
        <rFont val="Aptos Narrow"/>
        <family val="2"/>
        <scheme val="minor"/>
      </rPr>
      <t>Leverage:</t>
    </r>
    <r>
      <rPr>
        <sz val="10"/>
        <color theme="1"/>
        <rFont val="Aptos Narrow"/>
        <family val="2"/>
        <scheme val="minor"/>
      </rPr>
      <t xml:space="preserve"> Total debt/EBITDA fell to 0.64x from 0.70x and net debt/EBITDA to 0.30x from 0.39x YoY, while FY2025 stood at 0.61x and 0.39x, versus 0.77x and 0.61x in FY2024.</t>
    </r>
  </si>
  <si>
    <r>
      <rPr>
        <sz val="10"/>
        <color theme="1"/>
        <rFont val="Aptos Narrow"/>
        <family val="2"/>
        <scheme val="minor"/>
      </rPr>
      <t xml:space="preserve">- </t>
    </r>
    <r>
      <rPr>
        <b/>
        <sz val="10"/>
        <color theme="1"/>
        <rFont val="Aptos Narrow"/>
        <family val="2"/>
        <scheme val="minor"/>
      </rPr>
      <t>Capex-adjusted leverage:</t>
    </r>
    <r>
      <rPr>
        <sz val="10"/>
        <color theme="1"/>
        <rFont val="Aptos Narrow"/>
        <family val="2"/>
        <scheme val="minor"/>
      </rPr>
      <t xml:space="preserve"> Total debt/(EBITDA-CAPEX) fell to 0.71x from 0.79x and net debt/(EBITDA-CAPEX) to 0.34x from 0.43x, versus 0.68x and 0.44x in FY2025.</t>
    </r>
  </si>
  <si>
    <t>● Liquidity improved: current ratio of 2.24x versus 1.55x, and quick ratio of 1.86x versus 1.31x</t>
  </si>
  <si>
    <t>- Day sales out declined to 49.7 days from 58.5 days and day inventory out to 64.6 days from 77.0 days, versus 53.8 days and 58.5 days in FY2025. FY2025 current ratio stood at 1.17x and quick ratio at 0.96x, versus 1.09x and 0.56x in FY2024, with liquidity improving over the last two fiscal years.</t>
  </si>
  <si>
    <t>● Working capital cycle lengthened</t>
  </si>
  <si>
    <t xml:space="preserve">- CCC rose to 47.5 days from 42.2 days YoY, as day payable out fell to 66.8 days from 93.4 days. </t>
  </si>
  <si>
    <t>- FY2025 CCC stood at -48.0 days versus -11.9 days in FY2024, with day payable out at 160.4 days.</t>
  </si>
  <si>
    <t>● Day payable out declined sharply YoY</t>
  </si>
  <si>
    <t>- Day payable out fell 28.6% YoY to 66.8 days in LTM 1Q26 from 93.4 days, versus 160.4 days in FY2025 and 149.2 days in FY2024.</t>
  </si>
  <si>
    <t>● LFCF margin below FY2025 level: 42.50% versus 43.41%</t>
  </si>
  <si>
    <t>- LFCF margin of 42.50% in LTM 1Q26 compares with 43.41% in FY2025, although it is above the 33.09% recorded a year earlier and 28.79% in FY2024.</t>
  </si>
  <si>
    <t xml:space="preserve">- FY2025 net margin was 22.69% versus a LFCF margin of 43.41%. </t>
  </si>
  <si>
    <t>- Day payable out remains well below FY2022–FY2025 levels of 142.4–160.4 days, while day inventory out was 64.6 days.</t>
  </si>
  <si>
    <t>Nexa reported a strong LTM 1Q26, with margins expanding at every level and net income turning positive year on year. Gross margin rose to 26.01% from 19.85%, EBIT margin to 17.43% from 10.24% and EBITDA margin to 25.14% from 21.96%, while net margin swung to 6.44% from -6.00%. ROE reached 24.37% from -11.58%, ROIC 11.21% from 5.83% and ROA 7.14% from 3.84%. FY2025 followed a similar trend, with net margin at 4.42% versus -7.41% in FY2024 and ROE at 18.99% versus -14.92%. Leverage improved, with total debt/EBITDA at 2.17x (2.88x a year earlier) and net debt/EBITDA at 1.72x (2.26x), while cash and equivalents stood at USD 390.1 million, down 1.2% YoY.
Cash flow and coverage strengthened, with CFO/interest expense at 2.46x versus 1.30x and EBITDA/interest expense at 4.09x versus 3.19x, while (EBITDA-CAPEX)/interest expense improved to 2.33x from 2.05x. LFCF margin declined to 7.78% from 10.36%, however, and stood at 6.06% in FY2025 versus 11.31% in FY2024. Capex-adjusted leverage also improved: total debt/(EBITDA-CAPEX) declined to 3.81x from 4.48x and net debt/(EBITDA-CAPEX) to 3.01x from 3.53x. In FY2025, total debt/EBITDA stood at 2.59x versus 2.88x in FY2024 and 6.21x in FY2023, while net debt/EBITDA was 1.85x versus 1.89x and cash and equivalents were USD 515.9 million versus USD 620.5 million.
Working capital and liquidity weakened. The CCC lengthened to 24.8 days from 16.0 days, as day payable out fell to 57.5 days from 62.4 days while day inventory out rose to 59.6 days from 57.1 days. The current ratio declined to 0.85x from 0.99x and the quick ratio to 0.46x from 0.56x, both below 1.0x, versus 0.87x and 0.52x in FY2025 and 1.05x and 0.69x in FY2024. Overall, profitability, returns and leverage improved, while LFCF margin, liquidity and the cash conversion cycle moved in the opposite direction.</t>
  </si>
  <si>
    <t>● Margin expansion across all levels</t>
  </si>
  <si>
    <t>- EBITDA margin of 25.14% (versus 21.96%), EBIT margin of 17.43% (10.24%) and gross margin of 26.01% (19.85%) in LTM 1Q26. FY2025 gross margin stood at 23.40% versus 19.06% in FY2024, and EBIT margin at 13.87% versus 9.55%.</t>
  </si>
  <si>
    <t>- Net margin reached 6.44% in LTM 1Q26 from -6.00% a year earlier, while ROE stood at 24.37% versus -11.58%, ROIC at 11.21% versus 5.83% and ROA at 7.14% versus 3.84%. FY2025 net margin was 4.42% versus -7.41% in FY2024 and -11.35% in FY2023. FY2023 ROE was -18.46%.</t>
  </si>
  <si>
    <t>● Leverage declined across all measures</t>
  </si>
  <si>
    <t>- Total debt/EBITDA fell to 2.17x from 2.88x and net debt/EBITDA to 1.72x from 2.26x YoY, while total debt/(EBITDA-CAPEX) declined to 3.81x from 4.48x and net debt/(EBITDA-CAPEX) to 3.01x from 3.53x. FY2025 net debt/EBITDA stood at 1.85x versus 1.89x in FY2024 and 4.60x in FY2023.</t>
  </si>
  <si>
    <t>● Coverage strengthened year on year in LTM 1Q26</t>
  </si>
  <si>
    <t>- CFO/interest expense reached 2.46x from 1.30x, EBITDA/interest expense 4.09x from 3.19x, and (EBITDA-CAPEX)/interest expense 2.33x from 2.05x. Net debt/(EBITDA-CAPEX) declined to 3.01x from 3.53x, and total debt/(EBITDA-CAPEX) to 3.81x from 4.48x.</t>
  </si>
  <si>
    <t>- FY2025 ratios stood at 1.82x for CFO/interest expense, 3.30x for EBITDA/interest expense and 1.65x for (EBITDA-CAPEX)/interest expense, versus 1.85x, 3.20x and 1.91x in FY2024. FY2025 total debt/EBITDA of 2.59x compares with 6.21x in FY2023.</t>
  </si>
  <si>
    <t>● Returns improved sharply</t>
  </si>
  <si>
    <t>- ROE rose to 24.37% from -11.58%, and FY2025 ROE reached 18.99% versus -14.92% in FY2024 and 4.59% in FY2022.</t>
  </si>
  <si>
    <t>- ROIC rose to 11.21% from 5.83%, while FY2025 ROIC stood at 8.63% versus 5.35% in FY2024 and 7.44% in FY2022.</t>
  </si>
  <si>
    <t>- ROA rose to 7.14% from 3.84% in LTM 1Q26, while FY2025 ROA stood at 5.25% versus 3.46% in FY2024, and gross margin at 23.40% versus 19.06% in FY2024.</t>
  </si>
  <si>
    <t>● LFCF margin declined</t>
  </si>
  <si>
    <t>- LFCF margin declined to 7.78% from 10.36% in LTM 1Q26, and to 6.06% in FY2025 from 11.31% in FY2024, despite the increase in EBITDA margin to 25.14% from 21.96%. FY2023 LFCF margin was 2.49%; FY2025 CFO/interest expense stood at 1.82x versus 1.85x in FY2024.</t>
  </si>
  <si>
    <t xml:space="preserve">● Liquidity ratios declined below 1.0x. </t>
  </si>
  <si>
    <t>- Current ratio declined to 0.85x from 0.99x and quick ratio to 0.46x from 0.56x YoY; FY2025 stood at 0.87x and 0.52x, versus 1.05x and 0.69x in FY2024 and 0.97x and 0.57x in FY2023.</t>
  </si>
  <si>
    <t>● Cash and equivalents declined 1.2% YoY to USD 390.1 million; FY2025 cash stood at USD 515.9 million versus USD 620.5 million.</t>
  </si>
  <si>
    <t>● Cash conversion cycle lengthened</t>
  </si>
  <si>
    <t>- CCC rose to 24.8 days from 16.0 days YoY, with day payable out down to 57.5 days from 62.4 days; the CCC was -0.6 days in FY2024.</t>
  </si>
  <si>
    <t>● Day inventory and sales outstanding increased</t>
  </si>
  <si>
    <t>- Day inventory out rose to 59.6 days from 57.1 days and day sales out to 22.6 days from 21.4 days in LTM 1Q26, while FY2025 day inventory out stood at 58.7 days versus 54.3 days in FY2024 and day sales out at 22.5 days versus 18.7 days.</t>
  </si>
  <si>
    <t>- FY2025 CCC stood at 9.1 days versus -0.6 days in FY2024, with day payable out at 72.1 days versus 73.6 days. Day payable out has declined from 73.6 days in FY2024 to 57.5 days in LTM 1Q26, and from 71.0 days in FY2023.</t>
  </si>
  <si>
    <t>- Capex-adjusted leverage remains elevated: FY2025 total debt/(EBITDA-CAPEX) rose to 5.18x from 4.82x and net debt/(EBITDA-CAPEX) to 3.70x from 3.16x.</t>
  </si>
  <si>
    <t>● (EBITDA-CAPEX)/interest expense of 2.33x remains below EBITDA/interest expense of 4.09x, versus 1.65x and 3.30x in FY2025.</t>
  </si>
  <si>
    <t>Volcan reported strong profitability in LTM 1Q26, with margins expanding at gross and EBIT levels and net margin reaching 19.20% from 17.98%, although EBITDA margin and ROE declined slightly year on year. Gross margin rose to 40.32% from 32.48% and EBIT margin to 36.43% from 31.50%, while EBITDA margin eased to 49.01% from 50.37%. ROIC reached 21.43% from 18.82% and ROA 14.04% from 11.73%, while ROE declined to 43.16% from 55.82%.
FY2025 followed a similar trend, with net margin of 17.40% versus 14.28% in FY2024 and ROE of 41.92% versus 33.68%. EBIT margin stood at 33.44% versus 27.49% and gross margin at 37.56% versus 27.20%, while EBITDA margin was 46.58% versus 47.02%. The recovery is marked when compared with FY2022, when net margin was -8.56%, EBIT margin -10.68% and ROE -19.56%, and with FY2023, when net margin was -1.13% and ROE -2.70%. ROA stood at 12.21% in FY2025 versus 8.88% in FY2024 and ROIC at 18.89% versus 13.93%. Cash generation also improved: LFCF margin reached 22.91% versus 20.26% a year earlier, and 25.98% in FY2025 versus 15.64% in FY2024, while cash and equivalents rose 91.5% YoY to USD 294.5 million, following a 114.8% increase in FY2025 to USD 334.7 million.
Leverage remained low and continued to decline on a net basis. Total debt/EBITDA stood at 1.32x versus 1.35x and net debt/EBITDA at 0.85x versus 1.07x, while total debt/(EBITDA-CAPEX) rose to 1.79x from 1.58x and net debt/(EBITDA-CAPEX) fell to 1.15x from 1.25x. FY2025 total debt/EBITDA of 1.58x compares with 1.63x in FY2024 and 3.06x in FY2023, with net debt/EBITDA at 0.98x versus 1.29x. Coverage was mixed: CFO/interest expense rose to 5.14x from 5.00x, while EBITDA/interest expense fell to 7.19x from 8.14x and (EBITDA-CAPEX)/interest expense to 5.31x from 6.96x. Working capital metrics moved in different directions: day payable out declined to 95.0 days from 104.5 days, day sales out rose to 9.6 days from 8.2 days, and day inventory out fell to 23.3 days from 24.4 days, so the CCC narrowed to -62.1 days from -72.0 days. Liquidity improved, with the current ratio at 0.95x versus 0.80x and the quick ratio at 0.85x versus 0.67x, although both remain below 1.0x.
EBITDA margin was 49.01%, -1.4 ppts YoY.</t>
  </si>
  <si>
    <t>● Margin expansion at gross and EBIT levels</t>
  </si>
  <si>
    <t>- Gross margin rose to 40.32% from 32.48% and EBIT margin to 36.43% from 31.50% in LTM 1Q26, while net margin reached 19.20% from 17.98%. FY2025 gross margin stood at 37.56% versus 27.20%, EBIT margin at 33.44% versus 27.49% and net margin at 17.40% versus 14.28%.</t>
  </si>
  <si>
    <t>- Returns improved: ROIC rose to 21.43% from 18.82% and ROA to 14.04% from 11.73%. FY2025 ROE stood at 41.92% versus 33.68% in FY2024, and ROIC at 18.89% versus 13.93%; LTM ROE stood at 43.16%.</t>
  </si>
  <si>
    <t>● Cash generation improved; liquidity position strengthened</t>
  </si>
  <si>
    <t>- Cash and equivalents rose 91.5% YoY to USD 294.5 million in LTM 1Q26, following a 114.8% increase in FY2025 to USD 334.7 million from USD 155.8 million in FY2024. LFCF margin reached 22.91% versus 20.26% a year earlier.</t>
  </si>
  <si>
    <t>- FY2025 LFCF margin reached 25.98% versus 15.64% in FY2024, and 2.68% in FY2023. CFO/interest expense rose to 5.14x from 5.00x, and stood at 5.34x in FY2025 versus 4.21x in FY2024.</t>
  </si>
  <si>
    <t>- Current ratio rose to 0.95x from 0.80x and quick ratio to 0.85x from 0.67x YoY, although both remain below 1.0x; FY2025 stood at 0.84x and 0.76x, versus 0.92x and 0.80x in FY2024.</t>
  </si>
  <si>
    <t>● Net leverage declined and remains low: net debt/EBITDA of 0.85x versus 1.07x</t>
  </si>
  <si>
    <t>- Total debt/EBITDA stood at 1.32x versus 1.35x, and net debt/(EBITDA-CAPEX) fell to 1.15x from 1.25x, versus 1.34x in FY2025.</t>
  </si>
  <si>
    <t>● Leverage has fallen materially since FY2023 (total debt/EBITDA of 3.06x, net debt/EBITDA of 2.83x)</t>
  </si>
  <si>
    <t>- FY2025 total debt/EBITDA stood at 1.58x, versus 1.63x in FY2024 and 2.78x in FY2022; net debt/EBITDA was 0.98x versus 1.29x.</t>
  </si>
  <si>
    <t>● EBITDA margin and ROE declined year on year</t>
  </si>
  <si>
    <t>● Coverage ratios declined year on year</t>
  </si>
  <si>
    <t>- EBITDA/interest expense fell to 7.19x from 8.14x and (EBITDA-CAPEX)/interest expense to 5.31x from 6.96x in LTM 1Q26, while EBITDA margin eased 1.4 ppts to 49.01% from 50.37% and ROE fell to 43.16% from 55.82%.</t>
  </si>
  <si>
    <t>- FY2025 EBITDA margin of 46.58% compares with 47.02% in FY2024, and FY2025 (EBITDA-CAPEX)/interest expense was flat at 5.32x versus 5.33x.</t>
  </si>
  <si>
    <t>● Capex-adjusted leverage rose: total debt/(EBITDA-CAPEX) up to 1.79x from 1.58x YoY.</t>
  </si>
  <si>
    <t>● Cash conversion cycle narrowed year on year</t>
  </si>
  <si>
    <t>- CCC narrowed to -62.1 days from -72.0 days YoY; FY2025 CCC was -75.8 days versus -81.9 days in FY2024.</t>
  </si>
  <si>
    <t>● Day payable out declined and day sales out increased</t>
  </si>
  <si>
    <t xml:space="preserve">- Day payable out fell to 95.0 days from 104.5 days YoY in LTM 1Q26, and stood at 106.1 days in FY2025 versus 114.7 days in FY2024, while day sales out rose to 9.6 days from 8.2 days, versus 9.2 days in FY2025 and 10.3 days in FY2024. </t>
  </si>
  <si>
    <t>- Liquidity ratios remain below 1.0x: current ratio at 0.95x and quick ratio at 0.85x, with FY2025 current ratio at 0.84x, down from 0.92x in FY2024, and quick ratio at 0.76x, down from 0.80x.</t>
  </si>
  <si>
    <r>
      <t xml:space="preserve">Ecopetrol reported softer LTM 1Q26 profitability, though revenues and liquidity remained stable. Sales edged up 0.5%yoy while EBITDA declined 5.5%yoy, with margins compressing at every level and returns weakening year on year. Leverage ratios increased, while working capital metrics improved. 
</t>
    </r>
    <r>
      <rPr>
        <b/>
        <sz val="10"/>
        <color theme="1"/>
        <rFont val="Aptos Narrow"/>
        <family val="2"/>
        <scheme val="minor"/>
      </rPr>
      <t>Profitability:</t>
    </r>
    <r>
      <rPr>
        <sz val="10"/>
        <color theme="1"/>
        <rFont val="Aptos Narrow"/>
        <family val="2"/>
        <scheme val="minor"/>
      </rPr>
      <t xml:space="preserve"> Sales reached USD 31,949.4 million in LTM 1Q26, up 0.5%yoy, while FY2025 sales of USD 31,743.2 million were up 5.0% from USD 30,235.9 million in FY2024. EBITDA totaled USD 11,793.7 million, down 5.5%yoy from USD 12,480.1 million, and FY2025 EBITDA of USD 11,462.6 million was down 5.9% versus FY2024. EBITDA margin stood at 36.91%, down 2.3 ppts yoy from 39.24%, and at 36.11% in FY2025 versus 40.30% in FY2024. Gross margin declined to 33.90% from 34.79%, while EBIT margin fell to 22.81% from 26.96% and net margin to 7.51% from 10.53%. In FY2025, gross margin stood at 32.76%, EBIT margin at 22.14% and net margin at 7.54%, versus 35.94%, 28.06% and 11.20% in FY2024, respectively. EBITDA has declined from USD 15,191.2 million in FY2022, while sales peaked at USD 36,932.9 million in FY2023.
Cash generation weakened, with LFCF margin declining to 7.63% from 12.53% in LTM 1Q25, and to 6.60% in FY2025 from 16.97% in FY2024. Cash and equivalents rose 4.6%yoy to USD 3,518.5 million, following an 11.0% decline in FY2025 to USD 2,836.1 million.
Returns also moved lower: ROE fell to 12.04% from 19.11%, ROIC to 7.67% from 10.60% and ROA to 5.67% from 7.63%. FY2025 ROE stood at 11.80% versus 18.41% in FY2024 and 35.33% in FY2022. 
</t>
    </r>
    <r>
      <rPr>
        <b/>
        <sz val="10"/>
        <color theme="1"/>
        <rFont val="Aptos Narrow"/>
        <family val="2"/>
        <scheme val="minor"/>
      </rPr>
      <t>Leverage and coverage:</t>
    </r>
    <r>
      <rPr>
        <sz val="10"/>
        <color theme="1"/>
        <rFont val="Aptos Narrow"/>
        <family val="2"/>
        <scheme val="minor"/>
      </rPr>
      <t xml:space="preserve"> Leverage increased year on year. Total debt/EBITDA reached 2.48x, up from 2.25x a year earlier and compared with 2.50x in FY2025 and 1.56x in FY2022, while net debt/EBITDA stood at 2.17x versus 1.94x; the latter has risen each year since FY2022, from 1.34x to 2.22x in FY2025. On a capex-adjusted basis, total debt/(EBITDA-CAPEX) rose to 4.94x from 3.72x and net debt/(EBITDA-CAPEX) to 4.31x from 3.20x, versus 4.92x and 4.36x in FY2025, respectively. Interest coverage weakened: EBITDA/interest expense declined to 5.79x from 7.01x, CFO/interest expense to 4.61x from 6.06x, and (EBITDA-CAPEX)/interest expense to 2.91x from 4.25x. In FY2025, the same ratios stood at 5.73x, 4.42x and 2.92x, compared with 13.34x, 6.57x and 9.59x in FY2022, respectively. 
</t>
    </r>
    <r>
      <rPr>
        <b/>
        <sz val="10"/>
        <color theme="1"/>
        <rFont val="Aptos Narrow"/>
        <family val="2"/>
        <scheme val="minor"/>
      </rPr>
      <t>Working capital and liquidity:</t>
    </r>
    <r>
      <rPr>
        <sz val="10"/>
        <color theme="1"/>
        <rFont val="Aptos Narrow"/>
        <family val="2"/>
        <scheme val="minor"/>
      </rPr>
      <t xml:space="preserve"> Working capital efficiency improved year on year. The cash conversion cycle shortened to 45.8 days from 66.7 days, as day sales out declined to 52.5 days from 70.6 days and day payable out rose to 57.2 days from 49.8 days, while day inventory out lengthened to 50.6 days from 45.8 days. FY2025 CCC stood at 30.1 days versus 51.5 days in FY2024, with day sales out at 49.7 days, day payable out at 61.8 days and day inventory out at 42.3 days. Liquidity ratios declined, with the current ratio at 1.26x versus 1.33x and the quick ratio at 0.96x versus 1.02x, versus 1.55x and 1.21x in FY2025.</t>
    </r>
  </si>
  <si>
    <r>
      <t xml:space="preserve">During LTM 1Q26, EPM reported a 20.9% y/y increase in EBITDA to USD 3,181.4 million, alongside sales growth of 11.5% y/y.
</t>
    </r>
    <r>
      <rPr>
        <b/>
        <sz val="10"/>
        <color theme="1"/>
        <rFont val="Aptos Narrow"/>
        <family val="2"/>
        <scheme val="minor"/>
      </rPr>
      <t>- Profitability:</t>
    </r>
    <r>
      <rPr>
        <sz val="10"/>
        <color theme="1"/>
        <rFont val="Aptos Narrow"/>
        <family val="2"/>
        <scheme val="minor"/>
      </rPr>
      <t xml:space="preserve"> Sales reached USD 10,353.3 million in LTM 1Q26 (+11.5% y/y), while FY2025 sales grew 12.5% to USD 10,109.0 million. EBITDA of USD 3,181.4 million compares with USD 2,630.9 million a year earlier, and FY2025 EBITDA rose 20.0% to USD 3,150.1 million.
</t>
    </r>
    <r>
      <rPr>
        <b/>
        <sz val="10"/>
        <color theme="1"/>
        <rFont val="Aptos Narrow"/>
        <family val="2"/>
        <scheme val="minor"/>
      </rPr>
      <t>- Margins:</t>
    </r>
    <r>
      <rPr>
        <sz val="10"/>
        <color theme="1"/>
        <rFont val="Aptos Narrow"/>
        <family val="2"/>
        <scheme val="minor"/>
      </rPr>
      <t xml:space="preserve"> EBITDA margin rose to 30.73% from 28.33% (+2.4 ppts), and EBIT margin to 25.75% from 23.24%. Net margin reached 15.68%, up from 11.04%, while gross margin stood at 33.32% versus 32.08%. In FY2025, EBITDA margin was 31.16% versus 29.21% in FY2024, and net margin 13.06% versus 11.46%. ROE improved to 17.64% from 14.55% (+3.1 ppts), while ROIC edged down to 8.80% from 9.02% and ROA was broadly flat at 7.05% versus 6.99%.
</t>
    </r>
    <r>
      <rPr>
        <b/>
        <sz val="10"/>
        <color theme="1"/>
        <rFont val="Aptos Narrow"/>
        <family val="2"/>
        <scheme val="minor"/>
      </rPr>
      <t>- Leverage:</t>
    </r>
    <r>
      <rPr>
        <sz val="10"/>
        <color theme="1"/>
        <rFont val="Aptos Narrow"/>
        <family val="2"/>
        <scheme val="minor"/>
      </rPr>
      <t xml:space="preserve"> Leverage declined year on year. Total debt/EBITDA stood at 2.89x versus 2.97x, while net debt/EBITDA fell to 2.15x from 2.68x. On a capex-adjusted basis, total debt/(EBITDA-CAPEX) declined to 5.22x from 5.78x and net debt/(EBITDA-CAPEX) to 3.88x from 5.22x. In FY2025, these ratios stood at 2.77x, 2.34x, 4.88x and 4.12x, respectively. Cash and equivalents rose 259.2% y/y to USD 2,148.6 million, following an 80.1% increase in FY2025 to USD 1,150.8 million.
</t>
    </r>
    <r>
      <rPr>
        <b/>
        <sz val="10"/>
        <color theme="1"/>
        <rFont val="Aptos Narrow"/>
        <family val="2"/>
        <scheme val="minor"/>
      </rPr>
      <t>- Coverage:</t>
    </r>
    <r>
      <rPr>
        <sz val="10"/>
        <color theme="1"/>
        <rFont val="Aptos Narrow"/>
        <family val="2"/>
        <scheme val="minor"/>
      </rPr>
      <t xml:space="preserve"> CFO/interest expense reached 2.14x from 1.03x, EBITDA/interest expense 3.22x from 2.95x and (EBITDA-CAPEX)/interest expense 1.78x from 1.52x.
</t>
    </r>
    <r>
      <rPr>
        <b/>
        <sz val="10"/>
        <color theme="1"/>
        <rFont val="Aptos Narrow"/>
        <family val="2"/>
        <scheme val="minor"/>
      </rPr>
      <t>- Working capital:</t>
    </r>
    <r>
      <rPr>
        <sz val="10"/>
        <color theme="1"/>
        <rFont val="Aptos Narrow"/>
        <family val="2"/>
        <scheme val="minor"/>
      </rPr>
      <t xml:space="preserve"> Day payable out declined to 77.9 days from 89.6 days, while day sales out stood at 74.5 days versus 74.4 days and day inventory out at 9.9 days versus 10.4 days. As a result, the CCC turned positive at 6.5 days from -4.8 days a year earlier, versus 14.2 days in FY2025.
</t>
    </r>
    <r>
      <rPr>
        <b/>
        <sz val="10"/>
        <color theme="1"/>
        <rFont val="Aptos Narrow"/>
        <family val="2"/>
        <scheme val="minor"/>
      </rPr>
      <t>- Liquidity:</t>
    </r>
    <r>
      <rPr>
        <sz val="10"/>
        <color theme="1"/>
        <rFont val="Aptos Narrow"/>
        <family val="2"/>
        <scheme val="minor"/>
      </rPr>
      <t xml:space="preserve"> Current ratio rose to 1.53x from 1.11x and quick ratio to 1.35x from 0.94x, versus 1.32x and 1.06x in FY2025, respectively.
LFCF margin remained negative at -1.68% in LTM 1Q26, although it improved from -5.02% a year earlier; in FY2025 it stood at -1.58% versus -0.07% in FY2024. Nevertheless, cash and equivalents increased to USD 2,148.6 million from USD 598.1 million.</t>
    </r>
  </si>
  <si>
    <t>LTM22025</t>
  </si>
  <si>
    <t>LTM22026</t>
  </si>
  <si>
    <t>13.5 ppts</t>
  </si>
  <si>
    <t>-2.0 ppts</t>
  </si>
  <si>
    <t>3.8 ppts</t>
  </si>
  <si>
    <t>4.0 ppts</t>
  </si>
  <si>
    <t>2.9 ppts</t>
  </si>
  <si>
    <t>-5.4 ppts</t>
  </si>
  <si>
    <t>3.0 ppts</t>
  </si>
  <si>
    <t>-1.0 ppts</t>
  </si>
  <si>
    <t>15.9 ppts</t>
  </si>
  <si>
    <t>0.7 ppts</t>
  </si>
  <si>
    <t>4.3 ppts</t>
  </si>
  <si>
    <t>4.5 ppts</t>
  </si>
  <si>
    <t>1.4 ppts</t>
  </si>
  <si>
    <t>-158.5 ppts</t>
  </si>
  <si>
    <t>-10.0 ppts</t>
  </si>
  <si>
    <t>-104.6 ppts</t>
  </si>
  <si>
    <t>-14.0 ppts</t>
  </si>
  <si>
    <t>-21.7 ppts</t>
  </si>
  <si>
    <t>-23.3 ppts</t>
  </si>
  <si>
    <t>-2.3 ppts</t>
  </si>
  <si>
    <t>-14.7 ppts</t>
  </si>
  <si>
    <t>-3.9 ppts</t>
  </si>
  <si>
    <t>11.9 ppts</t>
  </si>
  <si>
    <t>-1.6 ppts</t>
  </si>
  <si>
    <t>-1.4 ppts</t>
  </si>
  <si>
    <t>2.8 ppts</t>
  </si>
  <si>
    <t>2.7 ppts</t>
  </si>
  <si>
    <t>-159.4 ppts</t>
  </si>
  <si>
    <t>-21.5 ppts</t>
  </si>
  <si>
    <t>2.0 ppts</t>
  </si>
  <si>
    <t>BAABTAVMT0NBTAFI/////wFQAgAAAAdDSVEuLi4uBQAAAAEAAAAIAAAAFChJbnZhbGlkIElkZW50aWZpZXIpz9vaOfci3wjP29o59yLfCApDSVEuLi4uLi4uBQAAAAEAAAAIAAAAFChJbnZhbGlkIElkZW50aWZpZXIpz9vaOfci3wjP29o59yLfCA==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</si>
</sst>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_(#,##0.0%_);_(\(#,##0.0%\)_);_(#,##0.0%_)"/>
    <numFmt numFmtId="166" formatCode="0.0\x"/>
    <numFmt numFmtId="167" formatCode="0.0"/>
    <numFmt numFmtId="168" formatCode="#,##0.0"/>
  </numFmts>
  <fonts count="24" x14ac:knownFonts="1">
    <font>
      <sz val="11"/>
      <color theme="1"/>
      <name val="Aptos Narrow"/>
      <family val="2"/>
      <scheme val="minor"/>
    </font>
    <font>
      <sz val="11"/>
      <color theme="1"/>
      <name val="Aptos Narrow"/>
      <family val="2"/>
      <scheme val="minor"/>
    </font>
    <font>
      <sz val="10"/>
      <color theme="1"/>
      <name val="Trebuchet MS"/>
      <family val="2"/>
    </font>
    <font>
      <sz val="10"/>
      <color theme="1"/>
      <name val="Aptos Display"/>
      <family val="2"/>
      <scheme val="major"/>
    </font>
    <font>
      <sz val="16"/>
      <color theme="1"/>
      <name val="Aptos Narrow"/>
      <family val="2"/>
      <scheme val="minor"/>
    </font>
    <font>
      <b/>
      <sz val="16"/>
      <color theme="1"/>
      <name val="Aptos Narrow"/>
      <family val="2"/>
      <scheme val="minor"/>
    </font>
    <font>
      <sz val="16"/>
      <color theme="1"/>
      <name val="Aptos Display"/>
      <family val="2"/>
      <scheme val="major"/>
    </font>
    <font>
      <b/>
      <sz val="16"/>
      <color rgb="FF92D050"/>
      <name val="Aptos Display"/>
      <family val="2"/>
      <scheme val="major"/>
    </font>
    <font>
      <sz val="10"/>
      <color theme="1"/>
      <name val="Aptos Narrow"/>
      <family val="2"/>
      <scheme val="minor"/>
    </font>
    <font>
      <b/>
      <sz val="12"/>
      <color theme="3"/>
      <name val="Aptos Narrow"/>
      <family val="2"/>
      <scheme val="minor"/>
    </font>
    <font>
      <b/>
      <u/>
      <sz val="10"/>
      <color theme="1"/>
      <name val="Aptos Narrow"/>
      <family val="2"/>
      <scheme val="minor"/>
    </font>
    <font>
      <b/>
      <sz val="10"/>
      <color theme="1"/>
      <name val="Aptos Narrow"/>
      <family val="2"/>
      <scheme val="minor"/>
    </font>
    <font>
      <sz val="10"/>
      <name val="Aptos Narrow"/>
      <family val="2"/>
      <scheme val="minor"/>
    </font>
    <font>
      <b/>
      <u/>
      <sz val="10"/>
      <name val="Aptos Narrow"/>
      <family val="2"/>
      <scheme val="minor"/>
    </font>
    <font>
      <sz val="10"/>
      <color theme="0"/>
      <name val="Aptos Narrow"/>
      <family val="2"/>
      <scheme val="minor"/>
    </font>
    <font>
      <sz val="10"/>
      <color indexed="8"/>
      <name val="Aptos Narrow"/>
      <family val="2"/>
      <scheme val="minor"/>
    </font>
    <font>
      <sz val="10"/>
      <color indexed="8"/>
      <name val="Trebuchet MS"/>
      <family val="2"/>
    </font>
    <font>
      <sz val="16"/>
      <color theme="1"/>
      <name val="Trebuchet MS"/>
      <family val="2"/>
    </font>
    <font>
      <b/>
      <sz val="16"/>
      <color theme="1"/>
      <name val="Trebuchet MS"/>
      <family val="2"/>
    </font>
    <font>
      <b/>
      <sz val="12"/>
      <color theme="3"/>
      <name val="Trebuchet MS"/>
      <family val="2"/>
    </font>
    <font>
      <b/>
      <u/>
      <sz val="10"/>
      <color theme="1"/>
      <name val="Trebuchet MS"/>
      <family val="2"/>
    </font>
    <font>
      <b/>
      <sz val="10"/>
      <color theme="0"/>
      <name val="Trebuchet MS"/>
      <family val="2"/>
    </font>
    <font>
      <sz val="10"/>
      <color theme="0"/>
      <name val="Trebuchet MS"/>
      <family val="2"/>
    </font>
    <font>
      <sz val="10"/>
      <color theme="6"/>
      <name val="Aptos Narrow"/>
      <family val="2"/>
      <scheme val="minor"/>
    </font>
  </fonts>
  <fills count="5">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rgb="FFFFFF00"/>
        <bgColor indexed="64"/>
      </patternFill>
    </fill>
  </fills>
  <borders count="11">
    <border>
      <left/>
      <right/>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style="dotted">
        <color indexed="64"/>
      </right>
      <top/>
      <bottom style="thin">
        <color indexed="64"/>
      </bottom>
      <diagonal/>
    </border>
    <border>
      <left/>
      <right style="dotted">
        <color indexed="64"/>
      </right>
      <top/>
      <bottom/>
      <diagonal/>
    </border>
    <border>
      <left/>
      <right/>
      <top/>
      <bottom style="dotted">
        <color auto="1"/>
      </bottom>
      <diagonal/>
    </border>
    <border>
      <left/>
      <right style="dotted">
        <color indexed="64"/>
      </right>
      <top/>
      <bottom style="dotted">
        <color auto="1"/>
      </bottom>
      <diagonal/>
    </border>
    <border>
      <left/>
      <right/>
      <top style="thin">
        <color indexed="64"/>
      </top>
      <bottom/>
      <diagonal/>
    </border>
  </borders>
  <cellStyleXfs count="2">
    <xf numFmtId="0" fontId="0" fillId="0" borderId="0"/>
    <xf numFmtId="9" fontId="1" fillId="0" borderId="0" applyFont="0" applyFill="0" applyBorder="0" applyAlignment="0" applyProtection="0"/>
  </cellStyleXfs>
  <cellXfs count="119">
    <xf numFmtId="0" fontId="0" fillId="0" borderId="0" xfId="0"/>
    <xf numFmtId="0" fontId="2" fillId="0" borderId="0" xfId="0" applyFont="1" applyAlignment="1">
      <alignment vertical="center"/>
    </xf>
    <xf numFmtId="0" fontId="3" fillId="0" borderId="0" xfId="0" applyFont="1" applyAlignment="1">
      <alignment vertical="center"/>
    </xf>
    <xf numFmtId="0" fontId="4" fillId="0" borderId="1" xfId="0" applyFont="1" applyBorder="1" applyAlignment="1">
      <alignment vertical="center"/>
    </xf>
    <xf numFmtId="0" fontId="5" fillId="0" borderId="1" xfId="0" applyFont="1" applyBorder="1" applyAlignment="1">
      <alignment horizontal="left" vertical="center"/>
    </xf>
    <xf numFmtId="0" fontId="6" fillId="0" borderId="1" xfId="0" applyFont="1" applyBorder="1" applyAlignment="1">
      <alignment vertical="center"/>
    </xf>
    <xf numFmtId="0" fontId="7" fillId="0" borderId="1" xfId="0" applyFont="1" applyBorder="1" applyAlignment="1">
      <alignment horizontal="right" vertical="center"/>
    </xf>
    <xf numFmtId="0" fontId="6" fillId="0" borderId="1" xfId="0" applyFont="1" applyBorder="1" applyAlignment="1">
      <alignment horizontal="right" vertical="center"/>
    </xf>
    <xf numFmtId="0" fontId="8" fillId="0" borderId="0" xfId="0" applyFont="1" applyAlignment="1">
      <alignment vertical="center"/>
    </xf>
    <xf numFmtId="0" fontId="9" fillId="0" borderId="2" xfId="0" applyFont="1" applyBorder="1" applyAlignment="1">
      <alignment vertical="center"/>
    </xf>
    <xf numFmtId="0" fontId="8" fillId="0" borderId="2" xfId="0" applyFont="1" applyBorder="1" applyAlignment="1">
      <alignment vertical="center"/>
    </xf>
    <xf numFmtId="0" fontId="10" fillId="0" borderId="0" xfId="0" applyFont="1" applyAlignment="1">
      <alignment vertical="center"/>
    </xf>
    <xf numFmtId="0" fontId="8" fillId="0" borderId="0" xfId="0" quotePrefix="1" applyFont="1" applyAlignment="1">
      <alignment vertical="center"/>
    </xf>
    <xf numFmtId="0" fontId="8" fillId="0" borderId="0" xfId="0" quotePrefix="1" applyFont="1" applyAlignment="1">
      <alignment horizontal="left" vertical="center" wrapText="1"/>
    </xf>
    <xf numFmtId="0" fontId="11" fillId="0" borderId="0" xfId="0" quotePrefix="1" applyFont="1" applyAlignment="1">
      <alignment vertical="center" wrapText="1"/>
    </xf>
    <xf numFmtId="0" fontId="8" fillId="0" borderId="0" xfId="0" quotePrefix="1" applyFont="1" applyAlignment="1">
      <alignment vertical="center" wrapText="1"/>
    </xf>
    <xf numFmtId="0" fontId="12" fillId="0" borderId="0" xfId="0" quotePrefix="1" applyFont="1" applyAlignment="1">
      <alignment vertical="center" wrapText="1"/>
    </xf>
    <xf numFmtId="0" fontId="13" fillId="0" borderId="0" xfId="0" applyFont="1"/>
    <xf numFmtId="0" fontId="14" fillId="0" borderId="2" xfId="0" applyFont="1" applyBorder="1" applyAlignment="1">
      <alignment horizontal="right" vertical="center"/>
    </xf>
    <xf numFmtId="0" fontId="12" fillId="0" borderId="3" xfId="0" applyFont="1" applyBorder="1" applyAlignment="1">
      <alignment horizontal="left" vertical="center" indent="7"/>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5" xfId="0" applyFont="1" applyBorder="1" applyAlignment="1">
      <alignment horizontal="left" vertical="center" indent="6"/>
    </xf>
    <xf numFmtId="0" fontId="2" fillId="0" borderId="2" xfId="0" applyFont="1" applyBorder="1" applyAlignment="1">
      <alignment vertical="center"/>
    </xf>
    <xf numFmtId="17" fontId="2" fillId="0" borderId="2" xfId="0" applyNumberFormat="1" applyFont="1" applyBorder="1" applyAlignment="1">
      <alignment vertical="center"/>
    </xf>
    <xf numFmtId="17" fontId="2" fillId="0" borderId="6" xfId="0" applyNumberFormat="1" applyFont="1" applyBorder="1" applyAlignment="1">
      <alignment vertical="center"/>
    </xf>
    <xf numFmtId="17" fontId="2" fillId="2" borderId="2" xfId="0" applyNumberFormat="1" applyFont="1" applyFill="1" applyBorder="1" applyAlignment="1">
      <alignment vertical="center"/>
    </xf>
    <xf numFmtId="9" fontId="2" fillId="2" borderId="2" xfId="1" applyFont="1" applyFill="1" applyBorder="1" applyAlignment="1">
      <alignment horizontal="right" vertical="center"/>
    </xf>
    <xf numFmtId="3" fontId="15" fillId="0" borderId="0" xfId="0" applyNumberFormat="1" applyFont="1" applyAlignment="1">
      <alignment horizontal="right" vertical="center" wrapText="1"/>
    </xf>
    <xf numFmtId="3" fontId="16" fillId="0" borderId="7" xfId="0" applyNumberFormat="1" applyFont="1" applyBorder="1" applyAlignment="1">
      <alignment horizontal="right" vertical="center" wrapText="1"/>
    </xf>
    <xf numFmtId="3" fontId="16" fillId="0" borderId="0" xfId="0" applyNumberFormat="1" applyFont="1" applyAlignment="1">
      <alignment horizontal="right" vertical="center" wrapText="1"/>
    </xf>
    <xf numFmtId="164" fontId="16" fillId="0" borderId="0" xfId="1" applyNumberFormat="1" applyFont="1" applyAlignment="1">
      <alignment horizontal="right" vertical="center" wrapText="1"/>
    </xf>
    <xf numFmtId="165" fontId="15" fillId="0" borderId="0" xfId="0" applyNumberFormat="1" applyFont="1" applyAlignment="1">
      <alignment horizontal="right" vertical="center" wrapText="1"/>
    </xf>
    <xf numFmtId="0" fontId="15" fillId="0" borderId="8" xfId="0" applyFont="1" applyBorder="1" applyAlignment="1">
      <alignment horizontal="left" vertical="center"/>
    </xf>
    <xf numFmtId="165" fontId="15" fillId="0" borderId="8" xfId="0" applyNumberFormat="1" applyFont="1" applyBorder="1" applyAlignment="1">
      <alignment horizontal="right" vertical="center" wrapText="1"/>
    </xf>
    <xf numFmtId="3" fontId="15" fillId="0" borderId="8" xfId="0" applyNumberFormat="1" applyFont="1" applyBorder="1" applyAlignment="1">
      <alignment horizontal="right" vertical="center" wrapText="1"/>
    </xf>
    <xf numFmtId="3" fontId="16" fillId="0" borderId="9" xfId="0" applyNumberFormat="1" applyFont="1" applyBorder="1" applyAlignment="1">
      <alignment horizontal="right" vertical="center" wrapText="1"/>
    </xf>
    <xf numFmtId="3" fontId="16" fillId="0" borderId="8" xfId="0" applyNumberFormat="1" applyFont="1" applyBorder="1" applyAlignment="1">
      <alignment horizontal="right" vertical="center" wrapText="1"/>
    </xf>
    <xf numFmtId="164" fontId="16" fillId="0" borderId="8" xfId="1" applyNumberFormat="1" applyFont="1" applyBorder="1" applyAlignment="1">
      <alignment horizontal="right" vertical="center" wrapText="1"/>
    </xf>
    <xf numFmtId="0" fontId="15" fillId="0" borderId="0" xfId="0" applyFont="1" applyAlignment="1">
      <alignment horizontal="left" vertical="center"/>
    </xf>
    <xf numFmtId="164" fontId="15" fillId="0" borderId="0" xfId="1" applyNumberFormat="1" applyFont="1" applyAlignment="1">
      <alignment horizontal="right" vertical="center" wrapText="1"/>
    </xf>
    <xf numFmtId="164" fontId="16" fillId="0" borderId="7" xfId="1" applyNumberFormat="1" applyFont="1" applyBorder="1" applyAlignment="1">
      <alignment horizontal="right" vertical="center" wrapText="1"/>
    </xf>
    <xf numFmtId="166" fontId="15" fillId="0" borderId="0" xfId="0" applyNumberFormat="1" applyFont="1" applyAlignment="1">
      <alignment horizontal="right" vertical="center" wrapText="1"/>
    </xf>
    <xf numFmtId="167" fontId="15" fillId="0" borderId="8" xfId="0" applyNumberFormat="1" applyFont="1" applyBorder="1" applyAlignment="1">
      <alignment horizontal="right" vertical="center" wrapText="1"/>
    </xf>
    <xf numFmtId="164" fontId="15" fillId="0" borderId="8" xfId="1" applyNumberFormat="1" applyFont="1" applyBorder="1" applyAlignment="1">
      <alignment horizontal="right" vertical="center" wrapText="1"/>
    </xf>
    <xf numFmtId="164" fontId="16" fillId="0" borderId="9" xfId="1" applyNumberFormat="1" applyFont="1" applyBorder="1" applyAlignment="1">
      <alignment horizontal="right" vertical="center" wrapText="1"/>
    </xf>
    <xf numFmtId="165" fontId="16" fillId="0" borderId="7" xfId="0" applyNumberFormat="1" applyFont="1" applyBorder="1" applyAlignment="1">
      <alignment horizontal="right" vertical="center" wrapText="1"/>
    </xf>
    <xf numFmtId="165" fontId="16" fillId="0" borderId="0" xfId="0" applyNumberFormat="1" applyFont="1" applyAlignment="1">
      <alignment horizontal="right" vertical="center" wrapText="1"/>
    </xf>
    <xf numFmtId="165" fontId="16" fillId="0" borderId="9" xfId="0" applyNumberFormat="1" applyFont="1" applyBorder="1" applyAlignment="1">
      <alignment horizontal="right" vertical="center" wrapText="1"/>
    </xf>
    <xf numFmtId="165" fontId="16" fillId="0" borderId="8" xfId="0" applyNumberFormat="1" applyFont="1" applyBorder="1" applyAlignment="1">
      <alignment horizontal="right" vertical="center" wrapText="1"/>
    </xf>
    <xf numFmtId="166" fontId="8" fillId="0" borderId="0" xfId="0" applyNumberFormat="1" applyFont="1" applyAlignment="1">
      <alignment vertical="center"/>
    </xf>
    <xf numFmtId="166" fontId="16" fillId="0" borderId="7" xfId="0" applyNumberFormat="1" applyFont="1" applyBorder="1" applyAlignment="1">
      <alignment horizontal="right" vertical="center" wrapText="1"/>
    </xf>
    <xf numFmtId="166" fontId="15" fillId="0" borderId="8" xfId="0" applyNumberFormat="1" applyFont="1" applyBorder="1" applyAlignment="1">
      <alignment horizontal="right" vertical="center" wrapText="1"/>
    </xf>
    <xf numFmtId="166" fontId="16" fillId="0" borderId="9" xfId="0" applyNumberFormat="1" applyFont="1" applyBorder="1" applyAlignment="1">
      <alignment horizontal="right" vertical="center" wrapText="1"/>
    </xf>
    <xf numFmtId="166" fontId="16" fillId="0" borderId="8" xfId="0" applyNumberFormat="1" applyFont="1" applyBorder="1" applyAlignment="1">
      <alignment horizontal="right" vertical="center" wrapText="1"/>
    </xf>
    <xf numFmtId="166" fontId="8" fillId="0" borderId="0" xfId="0" applyNumberFormat="1" applyFont="1" applyAlignment="1">
      <alignment horizontal="right" vertical="center"/>
    </xf>
    <xf numFmtId="0" fontId="12" fillId="0" borderId="0" xfId="0" applyFont="1" applyAlignment="1">
      <alignment vertical="center"/>
    </xf>
    <xf numFmtId="0" fontId="8" fillId="0" borderId="0" xfId="0" quotePrefix="1" applyFont="1" applyAlignment="1">
      <alignment horizontal="justify" vertical="center" wrapText="1"/>
    </xf>
    <xf numFmtId="166" fontId="16" fillId="0" borderId="0" xfId="0" applyNumberFormat="1" applyFont="1" applyAlignment="1">
      <alignment horizontal="right" vertical="center" wrapText="1"/>
    </xf>
    <xf numFmtId="167" fontId="15" fillId="0" borderId="0" xfId="0" applyNumberFormat="1" applyFont="1" applyAlignment="1">
      <alignment horizontal="right" vertical="center" wrapText="1"/>
    </xf>
    <xf numFmtId="167" fontId="16" fillId="0" borderId="7" xfId="0" applyNumberFormat="1" applyFont="1" applyBorder="1" applyAlignment="1">
      <alignment horizontal="right" vertical="center" wrapText="1"/>
    </xf>
    <xf numFmtId="167" fontId="16" fillId="0" borderId="0" xfId="0" applyNumberFormat="1" applyFont="1" applyAlignment="1">
      <alignment horizontal="right" vertical="center" wrapText="1"/>
    </xf>
    <xf numFmtId="167" fontId="16" fillId="0" borderId="9" xfId="0" applyNumberFormat="1" applyFont="1" applyBorder="1" applyAlignment="1">
      <alignment horizontal="right" vertical="center" wrapText="1"/>
    </xf>
    <xf numFmtId="167" fontId="16" fillId="0" borderId="8" xfId="0" applyNumberFormat="1" applyFont="1" applyBorder="1" applyAlignment="1">
      <alignment horizontal="right" vertical="center" wrapText="1"/>
    </xf>
    <xf numFmtId="0" fontId="15" fillId="2" borderId="0" xfId="0" applyFont="1" applyFill="1" applyAlignment="1">
      <alignment vertical="center"/>
    </xf>
    <xf numFmtId="0" fontId="8" fillId="0" borderId="0" xfId="0" applyFont="1" applyAlignment="1">
      <alignment vertical="top" wrapText="1"/>
    </xf>
    <xf numFmtId="0" fontId="11" fillId="0" borderId="0" xfId="0" quotePrefix="1" applyFont="1" applyAlignment="1">
      <alignment vertical="top"/>
    </xf>
    <xf numFmtId="0" fontId="17" fillId="0" borderId="1" xfId="0" applyFont="1" applyBorder="1" applyAlignment="1">
      <alignment vertical="center"/>
    </xf>
    <xf numFmtId="0" fontId="18" fillId="0" borderId="1" xfId="0" applyFont="1" applyBorder="1" applyAlignment="1">
      <alignment horizontal="left" vertical="center"/>
    </xf>
    <xf numFmtId="0" fontId="19" fillId="0" borderId="2" xfId="0" applyFont="1" applyBorder="1" applyAlignment="1">
      <alignment vertical="center"/>
    </xf>
    <xf numFmtId="0" fontId="2" fillId="0" borderId="10" xfId="0" applyFont="1" applyBorder="1" applyAlignment="1">
      <alignment vertical="top" wrapText="1"/>
    </xf>
    <xf numFmtId="0" fontId="8" fillId="0" borderId="0" xfId="0" quotePrefix="1" applyFont="1" applyAlignment="1">
      <alignment horizontal="left" vertical="center"/>
    </xf>
    <xf numFmtId="10" fontId="2" fillId="0" borderId="0" xfId="0" applyNumberFormat="1" applyFont="1" applyAlignment="1">
      <alignment vertical="center"/>
    </xf>
    <xf numFmtId="0" fontId="21" fillId="3" borderId="0" xfId="0" applyFont="1" applyFill="1" applyAlignment="1">
      <alignment horizontal="left" vertical="center"/>
    </xf>
    <xf numFmtId="0" fontId="21" fillId="3" borderId="0" xfId="0" applyFont="1" applyFill="1" applyAlignment="1">
      <alignment vertical="center"/>
    </xf>
    <xf numFmtId="0" fontId="21" fillId="3" borderId="0" xfId="0" applyFont="1" applyFill="1" applyAlignment="1">
      <alignment horizontal="center" vertical="center"/>
    </xf>
    <xf numFmtId="14" fontId="2" fillId="0" borderId="2" xfId="0" applyNumberFormat="1" applyFont="1" applyBorder="1" applyAlignment="1">
      <alignment horizontal="left" vertical="center"/>
    </xf>
    <xf numFmtId="0" fontId="2" fillId="0" borderId="3" xfId="0" applyFont="1" applyBorder="1" applyAlignment="1">
      <alignment horizontal="center" vertical="center"/>
    </xf>
    <xf numFmtId="0" fontId="22" fillId="0" borderId="0" xfId="0" applyFont="1" applyAlignment="1">
      <alignment vertical="center"/>
    </xf>
    <xf numFmtId="0" fontId="14" fillId="0" borderId="0" xfId="0" applyFont="1" applyAlignment="1">
      <alignment vertical="center"/>
    </xf>
    <xf numFmtId="10" fontId="14" fillId="0" borderId="0" xfId="0" applyNumberFormat="1" applyFont="1" applyAlignment="1">
      <alignment vertical="center"/>
    </xf>
    <xf numFmtId="14" fontId="8" fillId="0" borderId="0" xfId="0" applyNumberFormat="1" applyFont="1" applyAlignment="1">
      <alignment horizontal="left" vertical="center"/>
    </xf>
    <xf numFmtId="0" fontId="9" fillId="0" borderId="0" xfId="0" applyFont="1" applyAlignment="1">
      <alignment vertical="center"/>
    </xf>
    <xf numFmtId="10" fontId="8" fillId="0" borderId="0" xfId="0" applyNumberFormat="1" applyFont="1" applyAlignment="1">
      <alignment vertical="center"/>
    </xf>
    <xf numFmtId="0" fontId="13" fillId="0" borderId="0" xfId="0" applyFont="1" applyAlignment="1">
      <alignment vertical="center"/>
    </xf>
    <xf numFmtId="0" fontId="12" fillId="0" borderId="0" xfId="0" applyFont="1" applyAlignment="1">
      <alignment vertical="top" wrapText="1"/>
    </xf>
    <xf numFmtId="0" fontId="12" fillId="0" borderId="0" xfId="0" quotePrefix="1" applyFont="1" applyAlignment="1">
      <alignment vertical="center"/>
    </xf>
    <xf numFmtId="9" fontId="16" fillId="0" borderId="0" xfId="1" applyFont="1" applyAlignment="1">
      <alignment horizontal="right" vertical="center" wrapText="1"/>
    </xf>
    <xf numFmtId="9" fontId="16" fillId="0" borderId="8" xfId="1" applyFont="1" applyBorder="1" applyAlignment="1">
      <alignment horizontal="right" vertical="center" wrapText="1"/>
    </xf>
    <xf numFmtId="0" fontId="12" fillId="0" borderId="10" xfId="0" applyFont="1" applyBorder="1" applyAlignment="1">
      <alignment vertical="top" wrapText="1"/>
    </xf>
    <xf numFmtId="0" fontId="23" fillId="0" borderId="0" xfId="0" applyFont="1" applyAlignment="1">
      <alignment vertical="top" wrapText="1"/>
    </xf>
    <xf numFmtId="168" fontId="15" fillId="0" borderId="0" xfId="0" applyNumberFormat="1" applyFont="1" applyAlignment="1">
      <alignment horizontal="right" vertical="center" wrapText="1"/>
    </xf>
    <xf numFmtId="168" fontId="16" fillId="0" borderId="7" xfId="0" applyNumberFormat="1" applyFont="1" applyBorder="1" applyAlignment="1">
      <alignment horizontal="right" vertical="center" wrapText="1"/>
    </xf>
    <xf numFmtId="3" fontId="8" fillId="0" borderId="0" xfId="0" applyNumberFormat="1" applyFont="1" applyAlignment="1">
      <alignment vertical="top" wrapText="1"/>
    </xf>
    <xf numFmtId="0" fontId="20" fillId="4" borderId="0" xfId="0" applyFont="1" applyFill="1" applyAlignment="1">
      <alignment vertical="center"/>
    </xf>
    <xf numFmtId="0" fontId="2" fillId="4" borderId="0" xfId="0" quotePrefix="1" applyFont="1" applyFill="1" applyAlignment="1">
      <alignment vertical="center"/>
    </xf>
    <xf numFmtId="0" fontId="10" fillId="4" borderId="0" xfId="0" applyFont="1" applyFill="1" applyAlignment="1">
      <alignment vertical="center"/>
    </xf>
    <xf numFmtId="0" fontId="8" fillId="4" borderId="0" xfId="0" applyFont="1" applyFill="1" applyAlignment="1">
      <alignment vertical="top" wrapText="1"/>
    </xf>
    <xf numFmtId="0" fontId="8" fillId="4" borderId="0" xfId="0" quotePrefix="1" applyFont="1" applyFill="1" applyAlignment="1">
      <alignment vertical="top"/>
    </xf>
    <xf numFmtId="0" fontId="8" fillId="4" borderId="0" xfId="0" applyFont="1" applyFill="1" applyAlignment="1">
      <alignment vertical="center"/>
    </xf>
    <xf numFmtId="0" fontId="2" fillId="4" borderId="0" xfId="0" applyFont="1" applyFill="1" applyAlignment="1">
      <alignment vertical="center"/>
    </xf>
    <xf numFmtId="0" fontId="0" fillId="4" borderId="0" xfId="0" applyFill="1"/>
    <xf numFmtId="0" fontId="8" fillId="4" borderId="0" xfId="0" quotePrefix="1" applyFont="1" applyFill="1" applyAlignment="1">
      <alignment vertical="center"/>
    </xf>
    <xf numFmtId="0" fontId="11" fillId="4" borderId="0" xfId="0" applyFont="1" applyFill="1" applyAlignment="1">
      <alignment vertical="center"/>
    </xf>
    <xf numFmtId="0" fontId="11" fillId="4" borderId="0" xfId="0" applyFont="1" applyFill="1" applyAlignment="1">
      <alignment horizontal="left" vertical="center" indent="2"/>
    </xf>
    <xf numFmtId="0" fontId="8" fillId="4" borderId="0" xfId="0" applyFont="1" applyFill="1" applyAlignment="1">
      <alignment horizontal="left" vertical="center" indent="3"/>
    </xf>
    <xf numFmtId="0" fontId="8" fillId="0" borderId="0" xfId="0" quotePrefix="1" applyFont="1" applyAlignment="1">
      <alignment horizontal="justify" vertical="center" wrapText="1"/>
    </xf>
    <xf numFmtId="3" fontId="8" fillId="0" borderId="0" xfId="0" applyNumberFormat="1" applyFont="1" applyAlignment="1">
      <alignment horizontal="justify" vertical="top" wrapText="1"/>
    </xf>
    <xf numFmtId="0" fontId="8" fillId="0" borderId="0" xfId="0" applyFont="1" applyAlignment="1">
      <alignment horizontal="justify" vertical="top" wrapText="1"/>
    </xf>
    <xf numFmtId="0" fontId="8" fillId="0" borderId="0" xfId="0" quotePrefix="1" applyFont="1" applyAlignment="1">
      <alignment horizontal="left" vertical="center" wrapText="1"/>
    </xf>
    <xf numFmtId="0" fontId="11" fillId="0" borderId="0" xfId="0" quotePrefix="1" applyFont="1" applyAlignment="1">
      <alignment horizontal="left" vertical="center" wrapText="1"/>
    </xf>
    <xf numFmtId="0" fontId="12" fillId="0" borderId="0" xfId="0" quotePrefix="1" applyFont="1" applyAlignment="1">
      <alignment horizontal="justify" vertical="center" wrapText="1"/>
    </xf>
    <xf numFmtId="0" fontId="8" fillId="4" borderId="0" xfId="0" quotePrefix="1" applyFont="1" applyFill="1" applyAlignment="1">
      <alignment horizontal="left" vertical="center" wrapText="1"/>
    </xf>
    <xf numFmtId="0" fontId="2" fillId="4" borderId="0" xfId="0" quotePrefix="1" applyFont="1" applyFill="1" applyAlignment="1">
      <alignment vertical="center"/>
    </xf>
    <xf numFmtId="0" fontId="8" fillId="0" borderId="0" xfId="0" quotePrefix="1" applyFont="1" applyAlignment="1">
      <alignment horizontal="justify" vertical="center"/>
    </xf>
    <xf numFmtId="0" fontId="2" fillId="4" borderId="0" xfId="0" quotePrefix="1" applyFont="1" applyFill="1" applyAlignment="1">
      <alignment horizontal="left" vertical="center" wrapText="1"/>
    </xf>
    <xf numFmtId="0" fontId="12" fillId="0" borderId="0" xfId="0" applyFont="1" applyAlignment="1">
      <alignment horizontal="justify" vertical="top" wrapText="1"/>
    </xf>
    <xf numFmtId="0" fontId="8" fillId="0" borderId="0" xfId="0" quotePrefix="1" applyFont="1" applyAlignment="1">
      <alignment horizontal="left" vertical="center" wrapText="1" indent="1"/>
    </xf>
    <xf numFmtId="0" fontId="12" fillId="0" borderId="0" xfId="0" quotePrefix="1" applyFont="1" applyAlignment="1">
      <alignment horizontal="left"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A1FF-4506-9B74-AB9C799BF2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FF-4506-9B74-AB9C799BF239}"/>
              </c:ext>
            </c:extLst>
          </c:dPt>
          <c:dLbls>
            <c:dLbl>
              <c:idx val="0"/>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PE"/>
                </a:p>
              </c:txPr>
              <c:showLegendKey val="0"/>
              <c:showVal val="0"/>
              <c:showCatName val="0"/>
              <c:showSerName val="0"/>
              <c:showPercent val="1"/>
              <c:showBubbleSize val="0"/>
              <c:extLst>
                <c:ext xmlns:c16="http://schemas.microsoft.com/office/drawing/2014/chart" uri="{C3380CC4-5D6E-409C-BE32-E72D297353CC}">
                  <c16:uniqueId val="{00000001-A1FF-4506-9B74-AB9C799BF239}"/>
                </c:ext>
              </c:extLst>
            </c:dLbl>
            <c:dLbl>
              <c:idx val="1"/>
              <c:layout>
                <c:manualLayout>
                  <c:x val="-1.2750797472222351E-2"/>
                  <c:y val="-1.61591324960492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1FF-4506-9B74-AB9C799BF239}"/>
                </c:ext>
              </c:extLst>
            </c:dLbl>
            <c:numFmt formatCode="0.00%"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PE"/>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[1]Orazen!$Q$52:$Q$53</c:f>
              <c:strCache>
                <c:ptCount val="2"/>
                <c:pt idx="0">
                  <c:v>Orazul Energía Perú S.A.C.</c:v>
                </c:pt>
                <c:pt idx="1">
                  <c:v>Accionistas minoritarios</c:v>
                </c:pt>
              </c:strCache>
            </c:strRef>
          </c:cat>
          <c:val>
            <c:numRef>
              <c:f>[1]Orazen!$S$52:$S$53</c:f>
              <c:numCache>
                <c:formatCode>General</c:formatCode>
                <c:ptCount val="2"/>
                <c:pt idx="0">
                  <c:v>0.99970000000000003</c:v>
                </c:pt>
                <c:pt idx="1">
                  <c:v>2.9999999999999997E-4</c:v>
                </c:pt>
              </c:numCache>
            </c:numRef>
          </c:val>
          <c:extLst>
            <c:ext xmlns:c16="http://schemas.microsoft.com/office/drawing/2014/chart" uri="{C3380CC4-5D6E-409C-BE32-E72D297353CC}">
              <c16:uniqueId val="{00000004-A1FF-4506-9B74-AB9C799BF239}"/>
            </c:ext>
          </c:extLst>
        </c:ser>
        <c:dLbls>
          <c:showLegendKey val="0"/>
          <c:showVal val="0"/>
          <c:showCatName val="0"/>
          <c:showSerName val="0"/>
          <c:showPercent val="1"/>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s-P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DF88-47AF-A378-82CD90982286}"/>
              </c:ext>
            </c:extLst>
          </c:dPt>
          <c:dPt>
            <c:idx val="1"/>
            <c:bubble3D val="0"/>
            <c:spPr>
              <a:solidFill>
                <a:srgbClr val="3092A6"/>
              </a:solidFill>
              <a:ln w="19050">
                <a:solidFill>
                  <a:schemeClr val="lt1"/>
                </a:solidFill>
              </a:ln>
              <a:effectLst/>
            </c:spPr>
            <c:extLst>
              <c:ext xmlns:c16="http://schemas.microsoft.com/office/drawing/2014/chart" uri="{C3380CC4-5D6E-409C-BE32-E72D297353CC}">
                <c16:uniqueId val="{00000003-DF88-47AF-A378-82CD90982286}"/>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DF88-47AF-A378-82CD90982286}"/>
              </c:ext>
            </c:extLst>
          </c:dPt>
          <c:dPt>
            <c:idx val="3"/>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07-DF88-47AF-A378-82CD90982286}"/>
              </c:ext>
            </c:extLst>
          </c:dPt>
          <c:dPt>
            <c:idx val="4"/>
            <c:bubble3D val="0"/>
            <c:spPr>
              <a:solidFill>
                <a:schemeClr val="tx1"/>
              </a:solidFill>
              <a:ln w="19050">
                <a:solidFill>
                  <a:schemeClr val="lt1"/>
                </a:solidFill>
              </a:ln>
              <a:effectLst/>
            </c:spPr>
            <c:extLst>
              <c:ext xmlns:c16="http://schemas.microsoft.com/office/drawing/2014/chart" uri="{C3380CC4-5D6E-409C-BE32-E72D297353CC}">
                <c16:uniqueId val="{00000009-DF88-47AF-A378-82CD90982286}"/>
              </c:ext>
            </c:extLst>
          </c:dPt>
          <c:dPt>
            <c:idx val="5"/>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B-DF88-47AF-A378-82CD90982286}"/>
              </c:ext>
            </c:extLst>
          </c:dPt>
          <c:dLbls>
            <c:dLbl>
              <c:idx val="3"/>
              <c:layout>
                <c:manualLayout>
                  <c:x val="-5.4957083710417479E-2"/>
                  <c:y val="-3.300914564979190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F88-47AF-A378-82CD90982286}"/>
                </c:ext>
              </c:extLst>
            </c:dLbl>
            <c:dLbl>
              <c:idx val="5"/>
              <c:layout>
                <c:manualLayout>
                  <c:x val="3.9968788153030892E-2"/>
                  <c:y val="-1.886236894273823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F88-47AF-A378-82CD909822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PE"/>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'[1]Pluz Energia'!$Q$46:$Q$51</c:f>
              <c:strCache>
                <c:ptCount val="6"/>
                <c:pt idx="0">
                  <c:v>North Lima Power Grid Holding S.A.C</c:v>
                </c:pt>
                <c:pt idx="1">
                  <c:v>Otros</c:v>
                </c:pt>
              </c:strCache>
            </c:strRef>
          </c:cat>
          <c:val>
            <c:numRef>
              <c:f>'[1]Pluz Energia'!$R$46:$R$51</c:f>
              <c:numCache>
                <c:formatCode>General</c:formatCode>
                <c:ptCount val="6"/>
                <c:pt idx="0">
                  <c:v>0.97160000000000002</c:v>
                </c:pt>
                <c:pt idx="1">
                  <c:v>2.8399999999999981E-2</c:v>
                </c:pt>
              </c:numCache>
            </c:numRef>
          </c:val>
          <c:extLst>
            <c:ext xmlns:c16="http://schemas.microsoft.com/office/drawing/2014/chart" uri="{C3380CC4-5D6E-409C-BE32-E72D297353CC}">
              <c16:uniqueId val="{0000000C-DF88-47AF-A378-82CD9098228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rgbClr val="0070C0"/>
              </a:solidFill>
              <a:ln w="19050">
                <a:solidFill>
                  <a:schemeClr val="lt1"/>
                </a:solidFill>
              </a:ln>
              <a:effectLst/>
            </c:spPr>
            <c:extLst>
              <c:ext xmlns:c16="http://schemas.microsoft.com/office/drawing/2014/chart" uri="{C3380CC4-5D6E-409C-BE32-E72D297353CC}">
                <c16:uniqueId val="{00000001-C53B-4509-8FB5-0CFEE1DA2915}"/>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C53B-4509-8FB5-0CFEE1DA2915}"/>
              </c:ext>
            </c:extLst>
          </c:dPt>
          <c:dPt>
            <c:idx val="2"/>
            <c:bubble3D val="0"/>
            <c:spPr>
              <a:solidFill>
                <a:srgbClr val="DAF0FE"/>
              </a:solidFill>
              <a:ln w="19050">
                <a:solidFill>
                  <a:schemeClr val="lt1"/>
                </a:solidFill>
              </a:ln>
              <a:effectLst/>
            </c:spPr>
            <c:extLst>
              <c:ext xmlns:c16="http://schemas.microsoft.com/office/drawing/2014/chart" uri="{C3380CC4-5D6E-409C-BE32-E72D297353CC}">
                <c16:uniqueId val="{00000005-C53B-4509-8FB5-0CFEE1DA2915}"/>
              </c:ext>
            </c:extLst>
          </c:dPt>
          <c:dPt>
            <c:idx val="3"/>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07-C53B-4509-8FB5-0CFEE1DA2915}"/>
              </c:ext>
            </c:extLst>
          </c:dPt>
          <c:dPt>
            <c:idx val="4"/>
            <c:bubble3D val="0"/>
            <c:spPr>
              <a:solidFill>
                <a:schemeClr val="tx1"/>
              </a:solidFill>
              <a:ln w="19050">
                <a:solidFill>
                  <a:schemeClr val="lt1"/>
                </a:solidFill>
              </a:ln>
              <a:effectLst/>
            </c:spPr>
            <c:extLst>
              <c:ext xmlns:c16="http://schemas.microsoft.com/office/drawing/2014/chart" uri="{C3380CC4-5D6E-409C-BE32-E72D297353CC}">
                <c16:uniqueId val="{00000009-C53B-4509-8FB5-0CFEE1DA2915}"/>
              </c:ext>
            </c:extLst>
          </c:dPt>
          <c:dPt>
            <c:idx val="5"/>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B-C53B-4509-8FB5-0CFEE1DA2915}"/>
              </c:ext>
            </c:extLst>
          </c:dPt>
          <c:dLbls>
            <c:dLbl>
              <c:idx val="3"/>
              <c:layout>
                <c:manualLayout>
                  <c:x val="-3.4972675875875721E-2"/>
                  <c:y val="4.791045917303440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53B-4509-8FB5-0CFEE1DA2915}"/>
                </c:ext>
              </c:extLst>
            </c:dLbl>
            <c:dLbl>
              <c:idx val="5"/>
              <c:layout>
                <c:manualLayout>
                  <c:x val="3.9968788153030892E-2"/>
                  <c:y val="-1.886236894273823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53B-4509-8FB5-0CFEE1DA29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strRef>
              <c:f>[1]Engie!$Q$55:$Q$60</c:f>
              <c:strCache>
                <c:ptCount val="6"/>
                <c:pt idx="0">
                  <c:v>Int. Power</c:v>
                </c:pt>
                <c:pt idx="1">
                  <c:v>AFP Integra</c:v>
                </c:pt>
                <c:pt idx="2">
                  <c:v>Prima AFP</c:v>
                </c:pt>
                <c:pt idx="3">
                  <c:v>Interseguro</c:v>
                </c:pt>
                <c:pt idx="4">
                  <c:v>Otros</c:v>
                </c:pt>
              </c:strCache>
            </c:strRef>
          </c:cat>
          <c:val>
            <c:numRef>
              <c:f>[1]Engie!$R$55:$R$60</c:f>
              <c:numCache>
                <c:formatCode>General</c:formatCode>
                <c:ptCount val="6"/>
                <c:pt idx="0">
                  <c:v>0.61770000000000003</c:v>
                </c:pt>
                <c:pt idx="1">
                  <c:v>6.6699999999999995E-2</c:v>
                </c:pt>
                <c:pt idx="2">
                  <c:v>6.9599999999999995E-2</c:v>
                </c:pt>
                <c:pt idx="3">
                  <c:v>5.7000000000000002E-2</c:v>
                </c:pt>
                <c:pt idx="4">
                  <c:v>0.18899999999999995</c:v>
                </c:pt>
              </c:numCache>
            </c:numRef>
          </c:val>
          <c:extLst>
            <c:ext xmlns:c16="http://schemas.microsoft.com/office/drawing/2014/chart" uri="{C3380CC4-5D6E-409C-BE32-E72D297353CC}">
              <c16:uniqueId val="{0000000C-C53B-4509-8FB5-0CFEE1DA2915}"/>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18</xdr:col>
      <xdr:colOff>582081</xdr:colOff>
      <xdr:row>28</xdr:row>
      <xdr:rowOff>63500</xdr:rowOff>
    </xdr:from>
    <xdr:to>
      <xdr:col>20</xdr:col>
      <xdr:colOff>298177</xdr:colOff>
      <xdr:row>29</xdr:row>
      <xdr:rowOff>131027</xdr:rowOff>
    </xdr:to>
    <xdr:pic>
      <xdr:nvPicPr>
        <xdr:cNvPr id="2" name="Picture 1">
          <a:extLst>
            <a:ext uri="{FF2B5EF4-FFF2-40B4-BE49-F238E27FC236}">
              <a16:creationId xmlns:a16="http://schemas.microsoft.com/office/drawing/2014/main" id="{875EE95F-92E4-4D9C-9F83-6B7E5A92F577}"/>
            </a:ext>
          </a:extLst>
        </xdr:cNvPr>
        <xdr:cNvPicPr>
          <a:picLocks noChangeAspect="1"/>
        </xdr:cNvPicPr>
      </xdr:nvPicPr>
      <xdr:blipFill rotWithShape="1">
        <a:blip xmlns:r="http://schemas.openxmlformats.org/officeDocument/2006/relationships" r:embed="rId1"/>
        <a:srcRect l="34458" t="80288" r="48953" b="8633"/>
        <a:stretch>
          <a:fillRect/>
        </a:stretch>
      </xdr:blipFill>
      <xdr:spPr>
        <a:xfrm>
          <a:off x="13955181" y="5483225"/>
          <a:ext cx="935296" cy="258027"/>
        </a:xfrm>
        <a:prstGeom prst="rect">
          <a:avLst/>
        </a:prstGeom>
      </xdr:spPr>
    </xdr:pic>
    <xdr:clientData/>
  </xdr:twoCellAnchor>
  <xdr:twoCellAnchor editAs="oneCell">
    <xdr:from>
      <xdr:col>18</xdr:col>
      <xdr:colOff>571497</xdr:colOff>
      <xdr:row>31</xdr:row>
      <xdr:rowOff>84670</xdr:rowOff>
    </xdr:from>
    <xdr:to>
      <xdr:col>20</xdr:col>
      <xdr:colOff>358774</xdr:colOff>
      <xdr:row>32</xdr:row>
      <xdr:rowOff>116605</xdr:rowOff>
    </xdr:to>
    <xdr:pic>
      <xdr:nvPicPr>
        <xdr:cNvPr id="3" name="Picture 2">
          <a:extLst>
            <a:ext uri="{FF2B5EF4-FFF2-40B4-BE49-F238E27FC236}">
              <a16:creationId xmlns:a16="http://schemas.microsoft.com/office/drawing/2014/main" id="{2224FA07-026C-4A82-87ED-222BBB946895}"/>
            </a:ext>
          </a:extLst>
        </xdr:cNvPr>
        <xdr:cNvPicPr>
          <a:picLocks noChangeAspect="1"/>
        </xdr:cNvPicPr>
      </xdr:nvPicPr>
      <xdr:blipFill rotWithShape="1">
        <a:blip xmlns:r="http://schemas.openxmlformats.org/officeDocument/2006/relationships" r:embed="rId1"/>
        <a:srcRect l="34458" t="90220" r="47690" b="230"/>
        <a:stretch>
          <a:fillRect/>
        </a:stretch>
      </xdr:blipFill>
      <xdr:spPr>
        <a:xfrm>
          <a:off x="13944597" y="6075895"/>
          <a:ext cx="1006477" cy="222435"/>
        </a:xfrm>
        <a:prstGeom prst="rect">
          <a:avLst/>
        </a:prstGeom>
      </xdr:spPr>
    </xdr:pic>
    <xdr:clientData/>
  </xdr:twoCellAnchor>
  <xdr:twoCellAnchor editAs="oneCell">
    <xdr:from>
      <xdr:col>18</xdr:col>
      <xdr:colOff>592663</xdr:colOff>
      <xdr:row>29</xdr:row>
      <xdr:rowOff>169335</xdr:rowOff>
    </xdr:from>
    <xdr:to>
      <xdr:col>20</xdr:col>
      <xdr:colOff>290965</xdr:colOff>
      <xdr:row>31</xdr:row>
      <xdr:rowOff>19671</xdr:rowOff>
    </xdr:to>
    <xdr:pic>
      <xdr:nvPicPr>
        <xdr:cNvPr id="5" name="Picture 4">
          <a:extLst>
            <a:ext uri="{FF2B5EF4-FFF2-40B4-BE49-F238E27FC236}">
              <a16:creationId xmlns:a16="http://schemas.microsoft.com/office/drawing/2014/main" id="{189B646D-CFC1-46FD-A362-8BCA1A0E4829}"/>
            </a:ext>
          </a:extLst>
        </xdr:cNvPr>
        <xdr:cNvPicPr>
          <a:picLocks noChangeAspect="1"/>
        </xdr:cNvPicPr>
      </xdr:nvPicPr>
      <xdr:blipFill rotWithShape="1">
        <a:blip xmlns:r="http://schemas.openxmlformats.org/officeDocument/2006/relationships" r:embed="rId1"/>
        <a:srcRect l="51678" t="81434" r="32049" b="8633"/>
        <a:stretch>
          <a:fillRect/>
        </a:stretch>
      </xdr:blipFill>
      <xdr:spPr>
        <a:xfrm>
          <a:off x="13965763" y="5779560"/>
          <a:ext cx="917502" cy="2313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16</xdr:col>
      <xdr:colOff>0</xdr:colOff>
      <xdr:row>51</xdr:row>
      <xdr:rowOff>22411</xdr:rowOff>
    </xdr:from>
    <xdr:to>
      <xdr:col>20</xdr:col>
      <xdr:colOff>714375</xdr:colOff>
      <xdr:row>61</xdr:row>
      <xdr:rowOff>148166</xdr:rowOff>
    </xdr:to>
    <xdr:graphicFrame macro="">
      <xdr:nvGraphicFramePr>
        <xdr:cNvPr id="2" name="Chart 1">
          <a:extLst>
            <a:ext uri="{FF2B5EF4-FFF2-40B4-BE49-F238E27FC236}">
              <a16:creationId xmlns:a16="http://schemas.microsoft.com/office/drawing/2014/main" id="{42D7B35B-F4DE-487F-9BBD-8D72BCAEE0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33</xdr:row>
      <xdr:rowOff>0</xdr:rowOff>
    </xdr:from>
    <xdr:to>
      <xdr:col>11</xdr:col>
      <xdr:colOff>304800</xdr:colOff>
      <xdr:row>34</xdr:row>
      <xdr:rowOff>111125</xdr:rowOff>
    </xdr:to>
    <xdr:sp macro="" textlink="">
      <xdr:nvSpPr>
        <xdr:cNvPr id="2" name="AutoShape 3" descr="Vista previa de imagen">
          <a:extLst>
            <a:ext uri="{FF2B5EF4-FFF2-40B4-BE49-F238E27FC236}">
              <a16:creationId xmlns:a16="http://schemas.microsoft.com/office/drawing/2014/main" id="{C62BD8CD-5E67-4027-8A49-84C261AA07BE}"/>
            </a:ext>
          </a:extLst>
        </xdr:cNvPr>
        <xdr:cNvSpPr>
          <a:spLocks noChangeAspect="1" noChangeArrowheads="1"/>
        </xdr:cNvSpPr>
      </xdr:nvSpPr>
      <xdr:spPr bwMode="auto">
        <a:xfrm>
          <a:off x="7439025" y="6372225"/>
          <a:ext cx="304800" cy="3016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15</xdr:col>
      <xdr:colOff>742951</xdr:colOff>
      <xdr:row>45</xdr:row>
      <xdr:rowOff>43656</xdr:rowOff>
    </xdr:from>
    <xdr:to>
      <xdr:col>20</xdr:col>
      <xdr:colOff>685801</xdr:colOff>
      <xdr:row>59</xdr:row>
      <xdr:rowOff>74084</xdr:rowOff>
    </xdr:to>
    <xdr:graphicFrame macro="">
      <xdr:nvGraphicFramePr>
        <xdr:cNvPr id="2" name="Chart 1">
          <a:extLst>
            <a:ext uri="{FF2B5EF4-FFF2-40B4-BE49-F238E27FC236}">
              <a16:creationId xmlns:a16="http://schemas.microsoft.com/office/drawing/2014/main" id="{9FFECB6E-0308-4947-946D-6C03D47675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16</xdr:col>
      <xdr:colOff>21166</xdr:colOff>
      <xdr:row>51</xdr:row>
      <xdr:rowOff>63500</xdr:rowOff>
    </xdr:from>
    <xdr:to>
      <xdr:col>20</xdr:col>
      <xdr:colOff>370416</xdr:colOff>
      <xdr:row>61</xdr:row>
      <xdr:rowOff>148167</xdr:rowOff>
    </xdr:to>
    <xdr:graphicFrame macro="">
      <xdr:nvGraphicFramePr>
        <xdr:cNvPr id="2" name="Chart 1">
          <a:extLst>
            <a:ext uri="{FF2B5EF4-FFF2-40B4-BE49-F238E27FC236}">
              <a16:creationId xmlns:a16="http://schemas.microsoft.com/office/drawing/2014/main" id="{C5114A8C-9F27-4CC3-A3BD-CD9C01B7EC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Z:\Mesa%20de%20Inversiones\Bottom-Up\Franco\TAREAS%204Q%202026\One%20pager%20Model%20R.xlsm" TargetMode="External"/><Relationship Id="rId1" Type="http://schemas.openxmlformats.org/officeDocument/2006/relationships/externalLinkPath" Target="TAREAS%204Q%202026/One%20pager%20Model%20R.xlsm"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2%20Proceso%20de%20Inversi&#243;n%20Renta%20Fija/Corporates%20-%20Emisiones/Cr&#233;dito%20-%20BU/1.%20Emisores/1.%20One%20pagers/One%20pager%20Model%20R.xlsm" TargetMode="External"/><Relationship Id="rId2" Type="http://schemas.openxmlformats.org/officeDocument/2006/relationships/externalLinkPath" Target="file:///Z:\Mesa%20de%20Inversiones\Bottom-Up\2%20Proceso%20de%20Inversi&#243;n%20Renta%20Fija\Corporates%20-%20Emisiones\Cr&#233;dito%20-%20BU\1.%20Emisores\1.%20One%20pagers\One%20pager%20Model%20R.xlsm" TargetMode="External"/><Relationship Id="rId1" Type="http://schemas.openxmlformats.org/officeDocument/2006/relationships/externalLinkPath" Target="/Mesa%20de%20Inversiones/Bottom-Up/2%20Proceso%20de%20Inversi&#243;n%20Renta%20Fija/Corporates%20-%20Emisiones/Cr&#233;dito%20-%20BU/1.%20Emisores/1.%20One%20pagers/One%20pager%20Model%20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os"/>
      <sheetName val="Comando"/>
      <sheetName val="MSCI"/>
      <sheetName val="BD"/>
      <sheetName val="CT"/>
      <sheetName val="CIQ --&gt;"/>
      <sheetName val="BCP"/>
      <sheetName val="IBK"/>
      <sheetName val="Banorte"/>
      <sheetName val="BBVA Mexico"/>
      <sheetName val="Cibest"/>
      <sheetName val="Davivienda"/>
      <sheetName val="Grupo Aval"/>
      <sheetName val="BCI"/>
      <sheetName val="Hunt Oil Peru"/>
      <sheetName val="Ecopetrol"/>
      <sheetName val="EPM"/>
      <sheetName val="Orazen"/>
      <sheetName val="LdS"/>
      <sheetName val="Pluz Energia"/>
      <sheetName val="Orygen"/>
      <sheetName val="Engie"/>
      <sheetName val="Nexa"/>
      <sheetName val="Minsur"/>
      <sheetName val="Volcan"/>
      <sheetName val="NOT --&gt;"/>
      <sheetName val="Kallpa"/>
      <sheetName val="AES Andes"/>
      <sheetName val="Cálidda"/>
      <sheetName val="CTM"/>
      <sheetName val="Fenix"/>
      <sheetName val="Inkia"/>
      <sheetName val="Energía Eólica"/>
      <sheetName val="SCCO"/>
      <sheetName val="Nexa Perú"/>
      <sheetName val="REP"/>
      <sheetName val="Celulosa Arauco"/>
      <sheetName val="Peru LNG"/>
      <sheetName val="TTGP"/>
      <sheetName val="_CIQHiddenCache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52">
          <cell r="Q52" t="str">
            <v>Orazul Energía Perú S.A.C.</v>
          </cell>
          <cell r="S52">
            <v>0.99970000000000003</v>
          </cell>
        </row>
        <row r="53">
          <cell r="Q53" t="str">
            <v>Accionistas minoritarios</v>
          </cell>
          <cell r="S53">
            <v>2.9999999999999997E-4</v>
          </cell>
        </row>
      </sheetData>
      <sheetData sheetId="18"/>
      <sheetData sheetId="19">
        <row r="46">
          <cell r="Q46" t="str">
            <v>North Lima Power Grid Holding S.A.C</v>
          </cell>
          <cell r="R46">
            <v>0.97160000000000002</v>
          </cell>
        </row>
        <row r="47">
          <cell r="Q47" t="str">
            <v>Otros</v>
          </cell>
          <cell r="R47">
            <v>2.8399999999999981E-2</v>
          </cell>
        </row>
        <row r="48">
          <cell r="Q48"/>
          <cell r="R48"/>
        </row>
        <row r="49">
          <cell r="Q49"/>
          <cell r="R49"/>
        </row>
        <row r="50">
          <cell r="Q50"/>
          <cell r="R50"/>
        </row>
        <row r="51">
          <cell r="Q51"/>
          <cell r="R51"/>
        </row>
      </sheetData>
      <sheetData sheetId="20"/>
      <sheetData sheetId="21">
        <row r="55">
          <cell r="Q55" t="str">
            <v>Int. Power</v>
          </cell>
          <cell r="R55">
            <v>0.61770000000000003</v>
          </cell>
        </row>
        <row r="56">
          <cell r="Q56" t="str">
            <v>AFP Integra</v>
          </cell>
          <cell r="R56">
            <v>6.6699999999999995E-2</v>
          </cell>
        </row>
        <row r="57">
          <cell r="Q57" t="str">
            <v>Prima AFP</v>
          </cell>
          <cell r="R57">
            <v>6.9599999999999995E-2</v>
          </cell>
        </row>
        <row r="58">
          <cell r="Q58" t="str">
            <v>Interseguro</v>
          </cell>
          <cell r="R58">
            <v>5.7000000000000002E-2</v>
          </cell>
        </row>
        <row r="59">
          <cell r="Q59" t="str">
            <v>Otros</v>
          </cell>
          <cell r="R59">
            <v>0.18899999999999995</v>
          </cell>
        </row>
        <row r="60">
          <cell r="R60"/>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tos"/>
      <sheetName val="Comando"/>
      <sheetName val="MSCI"/>
      <sheetName val="BD"/>
      <sheetName val="CT"/>
      <sheetName val="CIQ --&gt;"/>
      <sheetName val="_CIQHiddenCacheSheet"/>
      <sheetName val="BCP"/>
      <sheetName val="IBK"/>
      <sheetName val="Banorte"/>
      <sheetName val="BBVA Mexico"/>
      <sheetName val="Cibest"/>
      <sheetName val="Davivienda"/>
      <sheetName val="Grupo Aval"/>
      <sheetName val="BCI"/>
      <sheetName val="Hunt Oil Peru"/>
      <sheetName val="Ecopetrol"/>
      <sheetName val="EPM"/>
      <sheetName val="Orazen"/>
      <sheetName val="LdS"/>
      <sheetName val="Pluz Energia"/>
      <sheetName val="Orygen"/>
      <sheetName val="Engie"/>
      <sheetName val="Nexa"/>
      <sheetName val="Minsur"/>
      <sheetName val="Volcan"/>
      <sheetName val="NOT --&gt;"/>
      <sheetName val="Kallpa"/>
      <sheetName val="AES Andes"/>
      <sheetName val="Cálidda"/>
      <sheetName val="CTM"/>
      <sheetName val="Fenix"/>
      <sheetName val="Inkia"/>
      <sheetName val="Energía Eólica"/>
      <sheetName val="SCCO"/>
      <sheetName val="Nexa Perú"/>
      <sheetName val="REP"/>
      <sheetName val="Celulosa Arauco"/>
      <sheetName val="Peru LNG"/>
      <sheetName val="TTG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52">
          <cell r="S52">
            <v>0.99970000000000003</v>
          </cell>
        </row>
        <row r="53">
          <cell r="S53">
            <v>2.9999999999999997E-4</v>
          </cell>
        </row>
      </sheetData>
      <sheetData sheetId="19"/>
      <sheetData sheetId="20">
        <row r="47">
          <cell r="R47">
            <v>0.97160000000000002</v>
          </cell>
        </row>
        <row r="48">
          <cell r="R48">
            <v>2.8399999999999981E-2</v>
          </cell>
        </row>
      </sheetData>
      <sheetData sheetId="21"/>
      <sheetData sheetId="22">
        <row r="55">
          <cell r="R55">
            <v>0.61770000000000003</v>
          </cell>
        </row>
        <row r="56">
          <cell r="R56">
            <v>6.6699999999999995E-2</v>
          </cell>
        </row>
        <row r="57">
          <cell r="R57">
            <v>6.9599999999999995E-2</v>
          </cell>
        </row>
        <row r="58">
          <cell r="R58">
            <v>5.7000000000000002E-2</v>
          </cell>
        </row>
        <row r="59">
          <cell r="R59">
            <v>0.18899999999999995</v>
          </cell>
        </row>
      </sheetData>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AC5E1-AFA0-485E-9002-B9DAD3551C06}">
  <dimension ref="B1:U68"/>
  <sheetViews>
    <sheetView topLeftCell="A21" zoomScale="85" zoomScaleNormal="85" workbookViewId="0">
      <selection activeCell="B23" sqref="B23:J51"/>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c r="S2" s="7"/>
      <c r="T2" s="5"/>
      <c r="U2" s="6"/>
    </row>
    <row r="4" spans="12:21" ht="15.75" x14ac:dyDescent="0.25">
      <c r="L4" s="9" t="s">
        <v>0</v>
      </c>
      <c r="M4" s="10"/>
      <c r="N4" s="10"/>
      <c r="O4" s="10"/>
      <c r="P4" s="10"/>
      <c r="Q4" s="10"/>
      <c r="R4" s="10"/>
      <c r="S4" s="10"/>
      <c r="T4" s="10"/>
      <c r="U4" s="10"/>
    </row>
    <row r="6" spans="12:21" x14ac:dyDescent="0.25">
      <c r="L6" s="108" t="s">
        <v>125</v>
      </c>
      <c r="M6" s="108"/>
      <c r="N6" s="108"/>
      <c r="O6" s="108"/>
      <c r="P6" s="108"/>
      <c r="Q6" s="108"/>
      <c r="R6" s="108"/>
      <c r="S6" s="108"/>
      <c r="T6" s="108"/>
      <c r="U6" s="108"/>
    </row>
    <row r="7" spans="12:21" x14ac:dyDescent="0.25">
      <c r="L7" s="108"/>
      <c r="M7" s="108"/>
      <c r="N7" s="108"/>
      <c r="O7" s="108"/>
      <c r="P7" s="108"/>
      <c r="Q7" s="108"/>
      <c r="R7" s="108"/>
      <c r="S7" s="108"/>
      <c r="T7" s="108"/>
      <c r="U7" s="108"/>
    </row>
    <row r="8" spans="12:21" x14ac:dyDescent="0.25">
      <c r="L8" s="108"/>
      <c r="M8" s="108"/>
      <c r="N8" s="108"/>
      <c r="O8" s="108"/>
      <c r="P8" s="108"/>
      <c r="Q8" s="108"/>
      <c r="R8" s="108"/>
      <c r="S8" s="108"/>
      <c r="T8" s="108"/>
      <c r="U8" s="108"/>
    </row>
    <row r="9" spans="12:21" x14ac:dyDescent="0.25">
      <c r="L9" s="108"/>
      <c r="M9" s="108"/>
      <c r="N9" s="108"/>
      <c r="O9" s="108"/>
      <c r="P9" s="108"/>
      <c r="Q9" s="108"/>
      <c r="R9" s="108"/>
      <c r="S9" s="108"/>
      <c r="T9" s="108"/>
      <c r="U9" s="108"/>
    </row>
    <row r="10" spans="12:21" x14ac:dyDescent="0.25">
      <c r="L10" s="108"/>
      <c r="M10" s="108"/>
      <c r="N10" s="108"/>
      <c r="O10" s="108"/>
      <c r="P10" s="108"/>
      <c r="Q10" s="108"/>
      <c r="R10" s="108"/>
      <c r="S10" s="108"/>
      <c r="T10" s="108"/>
      <c r="U10" s="108"/>
    </row>
    <row r="11" spans="12:21" x14ac:dyDescent="0.25">
      <c r="L11" s="108"/>
      <c r="M11" s="108"/>
      <c r="N11" s="108"/>
      <c r="O11" s="108"/>
      <c r="P11" s="108"/>
      <c r="Q11" s="108"/>
      <c r="R11" s="108"/>
      <c r="S11" s="108"/>
      <c r="T11" s="108"/>
      <c r="U11" s="108"/>
    </row>
    <row r="12" spans="12:21" x14ac:dyDescent="0.25">
      <c r="L12" s="108"/>
      <c r="M12" s="108"/>
      <c r="N12" s="108"/>
      <c r="O12" s="108"/>
      <c r="P12" s="108"/>
      <c r="Q12" s="108"/>
      <c r="R12" s="108"/>
      <c r="S12" s="108"/>
      <c r="T12" s="108"/>
      <c r="U12" s="108"/>
    </row>
    <row r="13" spans="12:21" x14ac:dyDescent="0.25">
      <c r="L13" s="108"/>
      <c r="M13" s="108"/>
      <c r="N13" s="108"/>
      <c r="O13" s="108"/>
      <c r="P13" s="108"/>
      <c r="Q13" s="108"/>
      <c r="R13" s="108"/>
      <c r="S13" s="108"/>
      <c r="T13" s="108"/>
      <c r="U13" s="108"/>
    </row>
    <row r="14" spans="12:21" x14ac:dyDescent="0.25">
      <c r="L14" s="108"/>
      <c r="M14" s="108"/>
      <c r="N14" s="108"/>
      <c r="O14" s="108"/>
      <c r="P14" s="108"/>
      <c r="Q14" s="108"/>
      <c r="R14" s="108"/>
      <c r="S14" s="108"/>
      <c r="T14" s="108"/>
      <c r="U14" s="108"/>
    </row>
    <row r="15" spans="12:21" x14ac:dyDescent="0.25">
      <c r="L15" s="108"/>
      <c r="M15" s="108"/>
      <c r="N15" s="108"/>
      <c r="O15" s="108"/>
      <c r="P15" s="108"/>
      <c r="Q15" s="108"/>
      <c r="R15" s="108"/>
      <c r="S15" s="108"/>
      <c r="T15" s="108"/>
      <c r="U15" s="108"/>
    </row>
    <row r="16" spans="12:21" x14ac:dyDescent="0.25">
      <c r="L16" s="108"/>
      <c r="M16" s="108"/>
      <c r="N16" s="108"/>
      <c r="O16" s="108"/>
      <c r="P16" s="108"/>
      <c r="Q16" s="108"/>
      <c r="R16" s="108"/>
      <c r="S16" s="108"/>
      <c r="T16" s="108"/>
      <c r="U16" s="108"/>
    </row>
    <row r="17" spans="2:21" x14ac:dyDescent="0.25">
      <c r="L17" s="108"/>
      <c r="M17" s="108"/>
      <c r="N17" s="108"/>
      <c r="O17" s="108"/>
      <c r="P17" s="108"/>
      <c r="Q17" s="108"/>
      <c r="R17" s="108"/>
      <c r="S17" s="108"/>
      <c r="T17" s="108"/>
      <c r="U17" s="108"/>
    </row>
    <row r="18" spans="2:21" x14ac:dyDescent="0.25">
      <c r="L18" s="108"/>
      <c r="M18" s="108"/>
      <c r="N18" s="108"/>
      <c r="O18" s="108"/>
      <c r="P18" s="108"/>
      <c r="Q18" s="108"/>
      <c r="R18" s="108"/>
      <c r="S18" s="108"/>
      <c r="T18" s="108"/>
      <c r="U18" s="108"/>
    </row>
    <row r="19" spans="2:21" x14ac:dyDescent="0.25">
      <c r="L19" s="108"/>
      <c r="M19" s="108"/>
      <c r="N19" s="108"/>
      <c r="O19" s="108"/>
      <c r="P19" s="108"/>
      <c r="Q19" s="108"/>
      <c r="R19" s="108"/>
      <c r="S19" s="108"/>
      <c r="T19" s="108"/>
      <c r="U19" s="108"/>
    </row>
    <row r="20" spans="2:21" x14ac:dyDescent="0.25">
      <c r="L20" s="108"/>
      <c r="M20" s="108"/>
      <c r="N20" s="108"/>
      <c r="O20" s="108"/>
      <c r="P20" s="108"/>
      <c r="Q20" s="108"/>
      <c r="R20" s="108"/>
      <c r="S20" s="108"/>
      <c r="T20" s="108"/>
      <c r="U20" s="108"/>
    </row>
    <row r="21" spans="2:21" x14ac:dyDescent="0.25">
      <c r="L21" s="108"/>
      <c r="M21" s="108"/>
      <c r="N21" s="108"/>
      <c r="O21" s="108"/>
      <c r="P21" s="108"/>
      <c r="Q21" s="108"/>
      <c r="R21" s="108"/>
      <c r="S21" s="108"/>
      <c r="T21" s="108"/>
      <c r="U21" s="108"/>
    </row>
    <row r="22" spans="2:21" x14ac:dyDescent="0.25">
      <c r="L22" s="108"/>
      <c r="M22" s="108"/>
      <c r="N22" s="108"/>
      <c r="O22" s="108"/>
      <c r="P22" s="108"/>
      <c r="Q22" s="108"/>
      <c r="R22" s="108"/>
      <c r="S22" s="108"/>
      <c r="T22" s="108"/>
      <c r="U22" s="108"/>
    </row>
    <row r="23" spans="2:21" ht="15.75" x14ac:dyDescent="0.25">
      <c r="B23" s="9" t="s">
        <v>4</v>
      </c>
      <c r="C23" s="10"/>
      <c r="D23" s="18" t="s">
        <v>5</v>
      </c>
      <c r="E23" s="18" t="s">
        <v>6</v>
      </c>
      <c r="F23" s="18" t="s">
        <v>7</v>
      </c>
      <c r="G23" s="18" t="s">
        <v>8</v>
      </c>
      <c r="H23" s="18" t="s">
        <v>502</v>
      </c>
      <c r="I23" s="18" t="s">
        <v>503</v>
      </c>
      <c r="J23" s="8"/>
      <c r="L23" s="108"/>
      <c r="M23" s="108"/>
      <c r="N23" s="108"/>
      <c r="O23" s="108"/>
      <c r="P23" s="108"/>
      <c r="Q23" s="108"/>
      <c r="R23" s="108"/>
      <c r="S23" s="108"/>
      <c r="T23" s="108"/>
      <c r="U23" s="108"/>
    </row>
    <row r="24" spans="2:21" x14ac:dyDescent="0.25">
      <c r="B24" s="1"/>
      <c r="C24" s="1"/>
      <c r="D24" s="19" t="s">
        <v>9</v>
      </c>
      <c r="E24" s="20"/>
      <c r="F24" s="20"/>
      <c r="G24" s="21"/>
      <c r="H24" s="22" t="s">
        <v>10</v>
      </c>
      <c r="I24" s="20"/>
      <c r="J24" s="20"/>
      <c r="L24" s="108"/>
      <c r="M24" s="108"/>
      <c r="N24" s="108"/>
      <c r="O24" s="108"/>
      <c r="P24" s="108"/>
      <c r="Q24" s="108"/>
      <c r="R24" s="108"/>
      <c r="S24" s="108"/>
      <c r="T24" s="108"/>
      <c r="U24" s="108"/>
    </row>
    <row r="25" spans="2:21" x14ac:dyDescent="0.25">
      <c r="B25" s="23"/>
      <c r="C25" s="23"/>
      <c r="D25" s="24">
        <v>44926</v>
      </c>
      <c r="E25" s="24">
        <v>45291</v>
      </c>
      <c r="F25" s="24">
        <v>45657</v>
      </c>
      <c r="G25" s="25">
        <v>46022</v>
      </c>
      <c r="H25" s="26">
        <v>45838</v>
      </c>
      <c r="I25" s="25">
        <v>46203</v>
      </c>
      <c r="J25" s="27" t="s">
        <v>11</v>
      </c>
      <c r="L25" s="108"/>
      <c r="M25" s="108"/>
      <c r="N25" s="108"/>
      <c r="O25" s="108"/>
      <c r="P25" s="108"/>
      <c r="Q25" s="108"/>
      <c r="R25" s="108"/>
      <c r="S25" s="108"/>
      <c r="T25" s="108"/>
      <c r="U25" s="108"/>
    </row>
    <row r="26" spans="2:21" x14ac:dyDescent="0.25">
      <c r="B26" s="8" t="s">
        <v>12</v>
      </c>
      <c r="C26" s="8"/>
      <c r="D26" s="28">
        <v>5113.3798399999996</v>
      </c>
      <c r="E26" s="28">
        <v>8473.2928200000006</v>
      </c>
      <c r="F26" s="28">
        <v>6878.2763000000004</v>
      </c>
      <c r="G26" s="29">
        <v>7753.4754400000002</v>
      </c>
      <c r="H26" s="30">
        <v>6908.0566099999996</v>
      </c>
      <c r="I26" s="29">
        <v>8990.6633299999994</v>
      </c>
      <c r="J26" s="31">
        <v>0.30147505117217044</v>
      </c>
      <c r="L26" s="108"/>
      <c r="M26" s="108"/>
      <c r="N26" s="108"/>
      <c r="O26" s="108"/>
      <c r="P26" s="108"/>
      <c r="Q26" s="108"/>
      <c r="R26" s="108"/>
      <c r="S26" s="108"/>
      <c r="T26" s="108"/>
      <c r="U26" s="108"/>
    </row>
    <row r="27" spans="2:21" x14ac:dyDescent="0.25">
      <c r="B27" s="8" t="s">
        <v>13</v>
      </c>
      <c r="C27" s="32"/>
      <c r="D27" s="28">
        <v>1741.8672999999999</v>
      </c>
      <c r="E27" s="28">
        <v>3983.00857</v>
      </c>
      <c r="F27" s="28">
        <v>3104.06016</v>
      </c>
      <c r="G27" s="29">
        <v>3198.6733199999999</v>
      </c>
      <c r="H27" s="30">
        <v>2963.0502700000002</v>
      </c>
      <c r="I27" s="29">
        <v>3618.9190100000001</v>
      </c>
      <c r="J27" s="31">
        <v>0.22134917744746874</v>
      </c>
      <c r="L27" s="108"/>
      <c r="M27" s="108"/>
      <c r="N27" s="108"/>
      <c r="O27" s="108"/>
      <c r="P27" s="108"/>
      <c r="Q27" s="108"/>
      <c r="R27" s="108"/>
      <c r="S27" s="108"/>
      <c r="T27" s="108"/>
      <c r="U27" s="108"/>
    </row>
    <row r="28" spans="2:21" x14ac:dyDescent="0.25">
      <c r="B28" s="8" t="s">
        <v>14</v>
      </c>
      <c r="C28" s="32"/>
      <c r="D28" s="28">
        <v>3835.5942700000001</v>
      </c>
      <c r="E28" s="28">
        <v>4900.9020099999998</v>
      </c>
      <c r="F28" s="28">
        <v>4367.6887200000001</v>
      </c>
      <c r="G28" s="29">
        <v>5335.7016400000002</v>
      </c>
      <c r="H28" s="30">
        <v>4637.09166</v>
      </c>
      <c r="I28" s="29">
        <v>6330.0292499999996</v>
      </c>
      <c r="J28" s="31">
        <v>0.36508607423127781</v>
      </c>
      <c r="L28" s="108"/>
      <c r="M28" s="108"/>
      <c r="N28" s="108"/>
      <c r="O28" s="108"/>
      <c r="P28" s="108"/>
      <c r="Q28" s="108"/>
      <c r="R28" s="108"/>
      <c r="S28" s="108"/>
      <c r="T28" s="108"/>
      <c r="U28" s="108"/>
    </row>
    <row r="29" spans="2:21" x14ac:dyDescent="0.25">
      <c r="B29" s="8" t="s">
        <v>15</v>
      </c>
      <c r="C29" s="32"/>
      <c r="D29" s="28">
        <v>1103.5171399999999</v>
      </c>
      <c r="E29" s="28">
        <v>1881.2114899999999</v>
      </c>
      <c r="F29" s="28">
        <v>1482.31762</v>
      </c>
      <c r="G29" s="29">
        <v>2011.1921500000001</v>
      </c>
      <c r="H29" s="30">
        <v>1677.51953</v>
      </c>
      <c r="I29" s="29">
        <v>2327.6587300000001</v>
      </c>
      <c r="J29" s="31">
        <v>0.38755983961629359</v>
      </c>
      <c r="L29" s="108"/>
      <c r="M29" s="108"/>
      <c r="N29" s="108"/>
      <c r="O29" s="108"/>
      <c r="P29" s="108"/>
      <c r="Q29" s="108"/>
      <c r="R29" s="108"/>
      <c r="S29" s="108"/>
      <c r="T29" s="108"/>
      <c r="U29" s="108"/>
    </row>
    <row r="30" spans="2:21" x14ac:dyDescent="0.25">
      <c r="B30" s="8" t="s">
        <v>16</v>
      </c>
      <c r="C30" s="32"/>
      <c r="D30" s="28">
        <v>767.79699000000005</v>
      </c>
      <c r="E30" s="28">
        <v>1861.2251799999999</v>
      </c>
      <c r="F30" s="28">
        <v>1125.92851</v>
      </c>
      <c r="G30" s="29">
        <v>1176.8202799999999</v>
      </c>
      <c r="H30" s="30">
        <v>1006.74608</v>
      </c>
      <c r="I30" s="29">
        <v>1316.0367200000001</v>
      </c>
      <c r="J30" s="31">
        <v>0.30721812197172893</v>
      </c>
      <c r="L30" s="108"/>
      <c r="M30" s="108"/>
      <c r="N30" s="108"/>
      <c r="O30" s="108"/>
      <c r="P30" s="108"/>
      <c r="Q30" s="108"/>
      <c r="R30" s="108"/>
      <c r="S30" s="108"/>
      <c r="T30" s="108"/>
      <c r="U30" s="108"/>
    </row>
    <row r="31" spans="2:21" x14ac:dyDescent="0.25">
      <c r="B31" s="8" t="s">
        <v>17</v>
      </c>
      <c r="C31" s="8"/>
      <c r="D31" s="28">
        <v>940.80768999999998</v>
      </c>
      <c r="E31" s="28">
        <v>1191.2712100000001</v>
      </c>
      <c r="F31" s="28">
        <v>1141.8324500000001</v>
      </c>
      <c r="G31" s="29">
        <v>1484.9670699999999</v>
      </c>
      <c r="H31" s="30">
        <v>1328.59527</v>
      </c>
      <c r="I31" s="29">
        <v>1637.43921</v>
      </c>
      <c r="J31" s="31">
        <v>0.23245900913074902</v>
      </c>
      <c r="L31" s="108"/>
      <c r="M31" s="108"/>
      <c r="N31" s="108"/>
      <c r="O31" s="108"/>
      <c r="P31" s="108"/>
      <c r="Q31" s="108"/>
      <c r="R31" s="108"/>
      <c r="S31" s="108"/>
      <c r="T31" s="108"/>
      <c r="U31" s="108"/>
    </row>
    <row r="32" spans="2:21" x14ac:dyDescent="0.25">
      <c r="B32" s="8" t="s">
        <v>18</v>
      </c>
      <c r="C32" s="8"/>
      <c r="D32" s="28">
        <v>2010.5637400000001</v>
      </c>
      <c r="E32" s="28">
        <v>1941.8345899999999</v>
      </c>
      <c r="F32" s="28">
        <v>1925.40146</v>
      </c>
      <c r="G32" s="29">
        <v>2588.1969600000002</v>
      </c>
      <c r="H32" s="30">
        <v>2195.5632000000001</v>
      </c>
      <c r="I32" s="29">
        <v>3222.8326099999999</v>
      </c>
      <c r="J32" s="31">
        <v>0.46788423580792382</v>
      </c>
      <c r="L32" s="108"/>
      <c r="M32" s="108"/>
      <c r="N32" s="108"/>
      <c r="O32" s="108"/>
      <c r="P32" s="108"/>
      <c r="Q32" s="108"/>
      <c r="R32" s="108"/>
      <c r="S32" s="108"/>
      <c r="T32" s="108"/>
      <c r="U32" s="108"/>
    </row>
    <row r="33" spans="2:21" x14ac:dyDescent="0.25">
      <c r="B33" s="8" t="s">
        <v>19</v>
      </c>
      <c r="C33" s="8"/>
      <c r="D33" s="28">
        <v>567.05971999999997</v>
      </c>
      <c r="E33" s="28">
        <v>469.87405000000001</v>
      </c>
      <c r="F33" s="28">
        <v>539.69808</v>
      </c>
      <c r="G33" s="29">
        <v>745.47662000000003</v>
      </c>
      <c r="H33" s="30">
        <v>639.00364999999999</v>
      </c>
      <c r="I33" s="29">
        <v>936.82380000000001</v>
      </c>
      <c r="J33" s="31">
        <v>0.46606956000955546</v>
      </c>
      <c r="L33" s="11" t="s">
        <v>1</v>
      </c>
    </row>
    <row r="34" spans="2:21" x14ac:dyDescent="0.25">
      <c r="B34" s="8" t="s">
        <v>20</v>
      </c>
      <c r="C34" s="8"/>
      <c r="D34" s="28">
        <v>1443.5040200000001</v>
      </c>
      <c r="E34" s="28">
        <v>1471.96054</v>
      </c>
      <c r="F34" s="28">
        <v>1385.7033799999999</v>
      </c>
      <c r="G34" s="29">
        <v>1842.7203500000001</v>
      </c>
      <c r="H34" s="30">
        <v>1556.5595499999999</v>
      </c>
      <c r="I34" s="29">
        <v>2286.00882</v>
      </c>
      <c r="J34" s="31">
        <v>0.46862920856449097</v>
      </c>
      <c r="L34" s="12" t="s">
        <v>126</v>
      </c>
    </row>
    <row r="35" spans="2:21" x14ac:dyDescent="0.25">
      <c r="B35" s="33" t="s">
        <v>21</v>
      </c>
      <c r="C35" s="34"/>
      <c r="D35" s="35">
        <v>1399.58322</v>
      </c>
      <c r="E35" s="35">
        <v>1578.97081</v>
      </c>
      <c r="F35" s="35">
        <v>1421.38645</v>
      </c>
      <c r="G35" s="36">
        <v>1013.2436</v>
      </c>
      <c r="H35" s="37">
        <v>1639.1492599999999</v>
      </c>
      <c r="I35" s="36">
        <v>1302.94076</v>
      </c>
      <c r="J35" s="38">
        <v>-0.20511158330999091</v>
      </c>
      <c r="L35" s="109" t="s">
        <v>127</v>
      </c>
      <c r="M35" s="109"/>
      <c r="N35" s="109"/>
      <c r="O35" s="109"/>
      <c r="P35" s="109"/>
      <c r="Q35" s="109"/>
      <c r="R35" s="109"/>
      <c r="S35" s="109"/>
      <c r="T35" s="109"/>
      <c r="U35" s="109"/>
    </row>
    <row r="36" spans="2:21" x14ac:dyDescent="0.25">
      <c r="B36" s="39" t="s">
        <v>22</v>
      </c>
      <c r="C36" s="8"/>
      <c r="D36" s="40">
        <v>5.0484999999999995E-2</v>
      </c>
      <c r="E36" s="40">
        <v>5.6868999999999996E-2</v>
      </c>
      <c r="F36" s="40">
        <v>5.9118000000000004E-2</v>
      </c>
      <c r="G36" s="41">
        <v>4.598E-2</v>
      </c>
      <c r="H36" s="31">
        <v>5.5354E-2</v>
      </c>
      <c r="I36" s="41">
        <v>4.7206999999999999E-2</v>
      </c>
      <c r="J36" s="31" t="s">
        <v>28</v>
      </c>
      <c r="L36" s="109"/>
      <c r="M36" s="109"/>
      <c r="N36" s="109"/>
      <c r="O36" s="109"/>
      <c r="P36" s="109"/>
      <c r="Q36" s="109"/>
      <c r="R36" s="109"/>
      <c r="S36" s="109"/>
      <c r="T36" s="109"/>
      <c r="U36" s="109"/>
    </row>
    <row r="37" spans="2:21" x14ac:dyDescent="0.25">
      <c r="B37" s="39" t="s">
        <v>24</v>
      </c>
      <c r="C37" s="8"/>
      <c r="D37" s="40">
        <v>1.0677639999999999</v>
      </c>
      <c r="E37" s="40">
        <v>1.044219</v>
      </c>
      <c r="F37" s="40">
        <v>0.92395799999999995</v>
      </c>
      <c r="G37" s="41">
        <v>1.057463</v>
      </c>
      <c r="H37" s="31">
        <v>0.95380399999999999</v>
      </c>
      <c r="I37" s="41">
        <v>1.0889790000000001</v>
      </c>
      <c r="J37" s="31" t="s">
        <v>504</v>
      </c>
      <c r="L37" s="109" t="s">
        <v>128</v>
      </c>
      <c r="M37" s="109"/>
      <c r="N37" s="109"/>
      <c r="O37" s="109"/>
      <c r="P37" s="109"/>
      <c r="Q37" s="109"/>
      <c r="R37" s="109"/>
      <c r="S37" s="109"/>
      <c r="T37" s="109"/>
      <c r="U37" s="109"/>
    </row>
    <row r="38" spans="2:21" x14ac:dyDescent="0.25">
      <c r="B38" s="39" t="s">
        <v>25</v>
      </c>
      <c r="C38" s="8"/>
      <c r="D38" s="40">
        <v>0.67784899999999992</v>
      </c>
      <c r="E38" s="40">
        <v>1.211946</v>
      </c>
      <c r="F38" s="40">
        <v>0.71647099999999997</v>
      </c>
      <c r="G38" s="41">
        <v>0.79462100000000002</v>
      </c>
      <c r="H38" s="31">
        <v>0</v>
      </c>
      <c r="I38" s="41">
        <v>0</v>
      </c>
      <c r="J38" s="31" t="s">
        <v>26</v>
      </c>
      <c r="L38" s="109"/>
      <c r="M38" s="109"/>
      <c r="N38" s="109"/>
      <c r="O38" s="109"/>
      <c r="P38" s="109"/>
      <c r="Q38" s="109"/>
      <c r="R38" s="109"/>
      <c r="S38" s="109"/>
      <c r="T38" s="109"/>
      <c r="U38" s="109"/>
    </row>
    <row r="39" spans="2:21" x14ac:dyDescent="0.25">
      <c r="B39" s="8" t="s">
        <v>27</v>
      </c>
      <c r="C39" s="42"/>
      <c r="D39" s="40">
        <v>0.11097899999999999</v>
      </c>
      <c r="E39" s="40">
        <v>0.110929</v>
      </c>
      <c r="F39" s="40">
        <v>0.114147</v>
      </c>
      <c r="G39" s="41">
        <v>0.110772</v>
      </c>
      <c r="H39" s="31">
        <v>0.110679</v>
      </c>
      <c r="I39" s="41">
        <v>0.10756299999999999</v>
      </c>
      <c r="J39" s="31" t="s">
        <v>102</v>
      </c>
      <c r="L39" s="12" t="s">
        <v>129</v>
      </c>
      <c r="M39" s="12"/>
      <c r="N39" s="12"/>
      <c r="O39" s="12"/>
      <c r="P39" s="12"/>
      <c r="Q39" s="12"/>
      <c r="R39" s="12"/>
      <c r="S39" s="12"/>
      <c r="T39" s="12"/>
      <c r="U39" s="12"/>
    </row>
    <row r="40" spans="2:21" x14ac:dyDescent="0.25">
      <c r="B40" s="8" t="s">
        <v>29</v>
      </c>
      <c r="C40" s="42"/>
      <c r="D40" s="40">
        <v>0.115024</v>
      </c>
      <c r="E40" s="40">
        <v>0.11361499999999999</v>
      </c>
      <c r="F40" s="40">
        <v>0.116947</v>
      </c>
      <c r="G40" s="41">
        <v>0.11380699999999999</v>
      </c>
      <c r="H40" s="31">
        <v>0.11353199999999999</v>
      </c>
      <c r="I40" s="41">
        <v>0.110763</v>
      </c>
      <c r="J40" s="31" t="s">
        <v>102</v>
      </c>
      <c r="L40" s="12" t="s">
        <v>130</v>
      </c>
      <c r="M40" s="12"/>
      <c r="N40" s="12"/>
      <c r="O40" s="12"/>
      <c r="P40" s="12"/>
      <c r="Q40" s="12"/>
      <c r="R40" s="12"/>
      <c r="S40" s="12"/>
      <c r="T40" s="12"/>
      <c r="U40" s="12"/>
    </row>
    <row r="41" spans="2:21" x14ac:dyDescent="0.25">
      <c r="B41" s="8" t="s">
        <v>30</v>
      </c>
      <c r="C41" s="42"/>
      <c r="D41" s="40">
        <v>1.139994</v>
      </c>
      <c r="E41" s="40">
        <v>1.099146</v>
      </c>
      <c r="F41" s="40">
        <v>1.0587200000000001</v>
      </c>
      <c r="G41" s="41">
        <v>1.0307839999999999</v>
      </c>
      <c r="H41" s="31">
        <v>0.98699200000000009</v>
      </c>
      <c r="I41" s="41">
        <v>0.96707300000000007</v>
      </c>
      <c r="J41" s="31" t="s">
        <v>505</v>
      </c>
      <c r="L41" s="12" t="s">
        <v>131</v>
      </c>
      <c r="M41" s="12"/>
      <c r="N41" s="12"/>
      <c r="O41" s="12"/>
      <c r="P41" s="12"/>
      <c r="Q41" s="12"/>
      <c r="R41" s="12"/>
      <c r="S41" s="12"/>
      <c r="T41" s="12"/>
      <c r="U41" s="12"/>
    </row>
    <row r="42" spans="2:21" x14ac:dyDescent="0.25">
      <c r="B42" s="39" t="s">
        <v>31</v>
      </c>
      <c r="C42" s="42"/>
      <c r="D42" s="40">
        <v>0.10369999999999999</v>
      </c>
      <c r="E42" s="40">
        <v>0.1142</v>
      </c>
      <c r="F42" s="40">
        <v>0.11890000000000001</v>
      </c>
      <c r="G42" s="41">
        <v>0</v>
      </c>
      <c r="H42" s="31">
        <v>0</v>
      </c>
      <c r="I42" s="41">
        <v>0</v>
      </c>
      <c r="J42" s="31" t="s">
        <v>26</v>
      </c>
      <c r="L42" s="12" t="s">
        <v>132</v>
      </c>
      <c r="M42" s="14"/>
      <c r="N42" s="14"/>
      <c r="O42" s="14"/>
      <c r="P42" s="14"/>
      <c r="Q42" s="14"/>
      <c r="R42" s="14"/>
      <c r="S42" s="14"/>
      <c r="T42" s="14"/>
      <c r="U42" s="14"/>
    </row>
    <row r="43" spans="2:21" x14ac:dyDescent="0.25">
      <c r="B43" s="39" t="s">
        <v>32</v>
      </c>
      <c r="C43" s="42"/>
      <c r="D43" s="40">
        <v>0</v>
      </c>
      <c r="E43" s="40">
        <v>0</v>
      </c>
      <c r="F43" s="40">
        <v>0</v>
      </c>
      <c r="G43" s="41">
        <v>0</v>
      </c>
      <c r="H43" s="31">
        <v>0</v>
      </c>
      <c r="I43" s="41">
        <v>0</v>
      </c>
      <c r="J43" s="31" t="s">
        <v>26</v>
      </c>
      <c r="L43" s="12" t="s">
        <v>133</v>
      </c>
      <c r="M43" s="14"/>
      <c r="N43" s="14"/>
      <c r="O43" s="14"/>
      <c r="P43" s="14"/>
      <c r="Q43" s="14"/>
      <c r="R43" s="14"/>
      <c r="S43" s="14"/>
      <c r="T43" s="14"/>
      <c r="U43" s="14"/>
    </row>
    <row r="44" spans="2:21" x14ac:dyDescent="0.25">
      <c r="B44" s="39" t="s">
        <v>33</v>
      </c>
      <c r="C44" s="42"/>
      <c r="D44" s="40">
        <v>2.41E-2</v>
      </c>
      <c r="E44" s="40">
        <v>1.9799999999999998E-2</v>
      </c>
      <c r="F44" s="40">
        <v>1.8600000000000002E-2</v>
      </c>
      <c r="G44" s="41">
        <v>0</v>
      </c>
      <c r="H44" s="31">
        <v>0</v>
      </c>
      <c r="I44" s="41">
        <v>0</v>
      </c>
      <c r="J44" s="31" t="s">
        <v>26</v>
      </c>
      <c r="L44" s="12" t="s">
        <v>134</v>
      </c>
    </row>
    <row r="45" spans="2:21" x14ac:dyDescent="0.25">
      <c r="B45" s="33" t="s">
        <v>34</v>
      </c>
      <c r="C45" s="43"/>
      <c r="D45" s="44">
        <v>0.12789999999999999</v>
      </c>
      <c r="E45" s="44">
        <v>0.13400000000000001</v>
      </c>
      <c r="F45" s="44">
        <v>0.13750000000000001</v>
      </c>
      <c r="G45" s="45">
        <v>0</v>
      </c>
      <c r="H45" s="38">
        <v>0</v>
      </c>
      <c r="I45" s="45">
        <v>0</v>
      </c>
      <c r="J45" s="38" t="s">
        <v>26</v>
      </c>
      <c r="L45" s="12" t="s">
        <v>135</v>
      </c>
    </row>
    <row r="46" spans="2:21" x14ac:dyDescent="0.25">
      <c r="B46" s="39" t="s">
        <v>35</v>
      </c>
      <c r="C46" s="32"/>
      <c r="D46" s="32">
        <v>0.18928699999999998</v>
      </c>
      <c r="E46" s="32">
        <v>0.14427699999999999</v>
      </c>
      <c r="F46" s="32">
        <v>0.146122</v>
      </c>
      <c r="G46" s="46">
        <v>0.162382</v>
      </c>
      <c r="H46" s="47">
        <v>0.153923</v>
      </c>
      <c r="I46" s="46">
        <v>0.192187</v>
      </c>
      <c r="J46" s="31" t="s">
        <v>506</v>
      </c>
      <c r="L46" s="12" t="s">
        <v>136</v>
      </c>
    </row>
    <row r="47" spans="2:21" x14ac:dyDescent="0.25">
      <c r="B47" s="8" t="s">
        <v>36</v>
      </c>
      <c r="C47" s="8"/>
      <c r="D47" s="32">
        <v>0.190218</v>
      </c>
      <c r="E47" s="32">
        <v>0.14523</v>
      </c>
      <c r="F47" s="32">
        <v>0.14730799999999999</v>
      </c>
      <c r="G47" s="46">
        <v>0.16392499999999999</v>
      </c>
      <c r="H47" s="47">
        <v>0.15493299999999999</v>
      </c>
      <c r="I47" s="46">
        <v>0.19448000000000001</v>
      </c>
      <c r="J47" s="31" t="s">
        <v>507</v>
      </c>
      <c r="L47" s="12" t="s">
        <v>2</v>
      </c>
      <c r="M47" s="15"/>
      <c r="N47" s="15"/>
      <c r="O47" s="15"/>
      <c r="P47" s="15"/>
      <c r="Q47" s="15"/>
      <c r="R47" s="15"/>
      <c r="S47" s="15"/>
      <c r="T47" s="15"/>
      <c r="U47" s="15"/>
    </row>
    <row r="48" spans="2:21" x14ac:dyDescent="0.25">
      <c r="B48" s="33" t="s">
        <v>38</v>
      </c>
      <c r="C48" s="34"/>
      <c r="D48" s="34">
        <v>2.1772E-2</v>
      </c>
      <c r="E48" s="34">
        <v>1.6392E-2</v>
      </c>
      <c r="F48" s="34">
        <v>1.7088000000000002E-2</v>
      </c>
      <c r="G48" s="48">
        <v>1.848E-2</v>
      </c>
      <c r="H48" s="49">
        <v>1.7475000000000001E-2</v>
      </c>
      <c r="I48" s="48">
        <v>2.1286999999999997E-2</v>
      </c>
      <c r="J48" s="38" t="s">
        <v>50</v>
      </c>
      <c r="L48" s="12" t="s">
        <v>137</v>
      </c>
      <c r="M48" s="15"/>
      <c r="N48" s="15"/>
      <c r="O48" s="15"/>
      <c r="P48" s="15"/>
      <c r="Q48" s="15"/>
      <c r="R48" s="15"/>
      <c r="S48" s="15"/>
      <c r="T48" s="15"/>
      <c r="U48" s="15"/>
    </row>
    <row r="49" spans="2:21" x14ac:dyDescent="0.25">
      <c r="B49" s="8" t="s">
        <v>39</v>
      </c>
      <c r="C49" s="8"/>
      <c r="D49" s="42">
        <v>6.2071800000000001</v>
      </c>
      <c r="E49" s="50">
        <v>5.0590700000000002</v>
      </c>
      <c r="F49" s="50">
        <v>5.9752999999999998</v>
      </c>
      <c r="G49" s="51">
        <v>9.0039800000000003</v>
      </c>
      <c r="H49" s="50">
        <v>7.7347299999999999</v>
      </c>
      <c r="I49" s="51">
        <v>11.236599999999999</v>
      </c>
      <c r="J49" s="31">
        <v>0.45274624970748811</v>
      </c>
      <c r="L49" s="12"/>
      <c r="M49" s="16"/>
      <c r="N49" s="16"/>
      <c r="O49" s="16"/>
      <c r="P49" s="16"/>
      <c r="Q49" s="16"/>
      <c r="R49" s="16"/>
      <c r="S49" s="16"/>
      <c r="T49" s="16"/>
      <c r="U49" s="16"/>
    </row>
    <row r="50" spans="2:21" x14ac:dyDescent="0.25">
      <c r="B50" s="8" t="s">
        <v>40</v>
      </c>
      <c r="C50" s="8"/>
      <c r="D50" s="42">
        <v>6.3931399999999998</v>
      </c>
      <c r="E50" s="50">
        <v>5.4335100000000001</v>
      </c>
      <c r="F50" s="50">
        <v>6.0371499999999996</v>
      </c>
      <c r="G50" s="51">
        <v>8.2559799999999992</v>
      </c>
      <c r="H50" s="50">
        <v>7.6318700000000002</v>
      </c>
      <c r="I50" s="51">
        <v>8.5282999999999998</v>
      </c>
      <c r="J50" s="31">
        <v>0.11745876174515546</v>
      </c>
      <c r="L50" s="17" t="s">
        <v>3</v>
      </c>
      <c r="M50" s="16"/>
      <c r="N50" s="16"/>
      <c r="O50" s="16"/>
      <c r="P50" s="16"/>
      <c r="Q50" s="16"/>
      <c r="R50" s="16"/>
      <c r="S50" s="16"/>
      <c r="T50" s="16"/>
      <c r="U50" s="16"/>
    </row>
    <row r="51" spans="2:21" x14ac:dyDescent="0.25">
      <c r="B51" s="33" t="s">
        <v>41</v>
      </c>
      <c r="C51" s="34"/>
      <c r="D51" s="52">
        <v>1.5378400000000001</v>
      </c>
      <c r="E51" s="52">
        <v>1.1148499999999999</v>
      </c>
      <c r="F51" s="52">
        <v>1.14344</v>
      </c>
      <c r="G51" s="53">
        <v>1.96567</v>
      </c>
      <c r="H51" s="54">
        <v>1.56552</v>
      </c>
      <c r="I51" s="53">
        <v>2.1846800000000002</v>
      </c>
      <c r="J51" s="38">
        <v>0.39549798150135418</v>
      </c>
      <c r="L51" s="12" t="s">
        <v>138</v>
      </c>
    </row>
    <row r="52" spans="2:21" x14ac:dyDescent="0.25">
      <c r="L52" s="12" t="s">
        <v>139</v>
      </c>
      <c r="M52" s="14"/>
      <c r="N52" s="14"/>
      <c r="O52" s="14"/>
      <c r="P52" s="14"/>
      <c r="Q52" s="14"/>
      <c r="R52" s="14"/>
      <c r="S52" s="14"/>
      <c r="T52" s="14"/>
      <c r="U52" s="14"/>
    </row>
    <row r="53" spans="2:21" x14ac:dyDescent="0.25">
      <c r="L53" s="12" t="s">
        <v>140</v>
      </c>
      <c r="M53" s="15"/>
      <c r="N53" s="15"/>
      <c r="O53" s="15"/>
      <c r="P53" s="15"/>
      <c r="Q53" s="15"/>
      <c r="R53" s="15"/>
      <c r="S53" s="15"/>
      <c r="T53" s="15"/>
      <c r="U53" s="15"/>
    </row>
    <row r="54" spans="2:21" x14ac:dyDescent="0.25">
      <c r="L54" s="12" t="s">
        <v>141</v>
      </c>
      <c r="M54" s="15"/>
      <c r="N54" s="15"/>
      <c r="O54" s="15"/>
      <c r="P54" s="15"/>
      <c r="Q54" s="15"/>
      <c r="R54" s="15"/>
      <c r="S54" s="15"/>
      <c r="T54" s="15"/>
      <c r="U54" s="15"/>
    </row>
    <row r="55" spans="2:21" x14ac:dyDescent="0.25">
      <c r="L55" s="12" t="s">
        <v>142</v>
      </c>
      <c r="M55" s="15"/>
      <c r="N55" s="15"/>
      <c r="O55" s="15"/>
      <c r="P55" s="15"/>
      <c r="Q55" s="15"/>
      <c r="R55" s="15"/>
      <c r="S55" s="15"/>
      <c r="T55" s="15"/>
      <c r="U55" s="15"/>
    </row>
    <row r="56" spans="2:21" x14ac:dyDescent="0.25">
      <c r="L56" s="12" t="s">
        <v>143</v>
      </c>
      <c r="M56" s="15"/>
      <c r="N56" s="15"/>
      <c r="O56" s="15"/>
      <c r="P56" s="15"/>
      <c r="Q56" s="15"/>
      <c r="R56" s="15"/>
      <c r="S56" s="15"/>
      <c r="T56" s="15"/>
      <c r="U56" s="15"/>
    </row>
    <row r="57" spans="2:21" x14ac:dyDescent="0.25">
      <c r="L57" s="12" t="s">
        <v>144</v>
      </c>
      <c r="M57" s="14"/>
      <c r="N57" s="14"/>
      <c r="O57" s="14"/>
      <c r="P57" s="14"/>
      <c r="Q57" s="14"/>
      <c r="R57" s="14"/>
      <c r="S57" s="14"/>
      <c r="T57" s="14"/>
      <c r="U57" s="14"/>
    </row>
    <row r="58" spans="2:21" x14ac:dyDescent="0.25">
      <c r="L58" s="109" t="s">
        <v>145</v>
      </c>
      <c r="M58" s="109"/>
      <c r="N58" s="109"/>
      <c r="O58" s="109"/>
      <c r="P58" s="109"/>
      <c r="Q58" s="109"/>
      <c r="R58" s="109"/>
      <c r="S58" s="109"/>
      <c r="T58" s="109"/>
      <c r="U58" s="109"/>
    </row>
    <row r="59" spans="2:21" x14ac:dyDescent="0.25">
      <c r="L59" s="109"/>
      <c r="M59" s="109"/>
      <c r="N59" s="109"/>
      <c r="O59" s="109"/>
      <c r="P59" s="109"/>
      <c r="Q59" s="109"/>
      <c r="R59" s="109"/>
      <c r="S59" s="109"/>
      <c r="T59" s="109"/>
      <c r="U59" s="109"/>
    </row>
    <row r="60" spans="2:21" x14ac:dyDescent="0.25">
      <c r="L60" s="12" t="s">
        <v>146</v>
      </c>
    </row>
    <row r="61" spans="2:21" x14ac:dyDescent="0.25">
      <c r="L61" s="12" t="s">
        <v>147</v>
      </c>
    </row>
    <row r="62" spans="2:21" x14ac:dyDescent="0.25">
      <c r="L62" s="12" t="s">
        <v>148</v>
      </c>
    </row>
    <row r="63" spans="2:21" x14ac:dyDescent="0.25">
      <c r="L63" s="12" t="s">
        <v>149</v>
      </c>
      <c r="M63" s="12"/>
      <c r="N63" s="12"/>
      <c r="O63" s="12"/>
      <c r="P63" s="12"/>
      <c r="Q63" s="12"/>
      <c r="R63" s="12"/>
      <c r="S63" s="12"/>
      <c r="T63" s="12"/>
      <c r="U63" s="12"/>
    </row>
    <row r="64" spans="2:21" x14ac:dyDescent="0.25">
      <c r="L64" s="12"/>
      <c r="M64" s="12"/>
      <c r="N64" s="12"/>
      <c r="O64" s="12"/>
      <c r="P64" s="12"/>
      <c r="Q64" s="12"/>
      <c r="R64" s="12"/>
      <c r="S64" s="12"/>
      <c r="T64" s="12"/>
      <c r="U64" s="12"/>
    </row>
    <row r="66" spans="12:21" x14ac:dyDescent="0.25">
      <c r="L66" s="15"/>
      <c r="M66" s="15"/>
      <c r="N66" s="15"/>
      <c r="O66" s="15"/>
      <c r="P66" s="15"/>
      <c r="Q66" s="15"/>
      <c r="R66" s="15"/>
      <c r="S66" s="15"/>
      <c r="T66" s="15"/>
      <c r="U66" s="15"/>
    </row>
    <row r="67" spans="12:21" x14ac:dyDescent="0.25">
      <c r="L67" s="15"/>
      <c r="M67" s="15"/>
      <c r="N67" s="15"/>
      <c r="O67" s="15"/>
      <c r="P67" s="15"/>
      <c r="Q67" s="15"/>
      <c r="R67" s="15"/>
      <c r="S67" s="15"/>
      <c r="T67" s="15"/>
      <c r="U67" s="15"/>
    </row>
    <row r="68" spans="12:21" x14ac:dyDescent="0.25">
      <c r="L68" s="15"/>
      <c r="M68" s="15"/>
      <c r="N68" s="15"/>
      <c r="O68" s="15"/>
      <c r="P68" s="15"/>
      <c r="Q68" s="15"/>
      <c r="R68" s="15"/>
      <c r="S68" s="15"/>
      <c r="T68" s="15"/>
      <c r="U68" s="15"/>
    </row>
  </sheetData>
  <mergeCells count="4">
    <mergeCell ref="L6:U32"/>
    <mergeCell ref="L35:U36"/>
    <mergeCell ref="L37:U38"/>
    <mergeCell ref="L58:U5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7C6DB-7F9C-4663-89AF-77B4973313CF}">
  <dimension ref="B1:U68"/>
  <sheetViews>
    <sheetView topLeftCell="A22" zoomScale="85" zoomScaleNormal="85" workbookViewId="0">
      <selection activeCell="B23" sqref="B23:J51"/>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x14ac:dyDescent="0.25">
      <c r="L6" s="108" t="s">
        <v>150</v>
      </c>
      <c r="M6" s="108"/>
      <c r="N6" s="108"/>
      <c r="O6" s="108"/>
      <c r="P6" s="108"/>
      <c r="Q6" s="108"/>
      <c r="R6" s="108"/>
      <c r="S6" s="108"/>
      <c r="T6" s="108"/>
      <c r="U6" s="108"/>
    </row>
    <row r="7" spans="12:21" x14ac:dyDescent="0.25">
      <c r="L7" s="108"/>
      <c r="M7" s="108"/>
      <c r="N7" s="108"/>
      <c r="O7" s="108"/>
      <c r="P7" s="108"/>
      <c r="Q7" s="108"/>
      <c r="R7" s="108"/>
      <c r="S7" s="108"/>
      <c r="T7" s="108"/>
      <c r="U7" s="108"/>
    </row>
    <row r="8" spans="12:21" x14ac:dyDescent="0.25">
      <c r="L8" s="108"/>
      <c r="M8" s="108"/>
      <c r="N8" s="108"/>
      <c r="O8" s="108"/>
      <c r="P8" s="108"/>
      <c r="Q8" s="108"/>
      <c r="R8" s="108"/>
      <c r="S8" s="108"/>
      <c r="T8" s="108"/>
      <c r="U8" s="108"/>
    </row>
    <row r="9" spans="12:21" x14ac:dyDescent="0.25">
      <c r="L9" s="108"/>
      <c r="M9" s="108"/>
      <c r="N9" s="108"/>
      <c r="O9" s="108"/>
      <c r="P9" s="108"/>
      <c r="Q9" s="108"/>
      <c r="R9" s="108"/>
      <c r="S9" s="108"/>
      <c r="T9" s="108"/>
      <c r="U9" s="108"/>
    </row>
    <row r="10" spans="12:21" x14ac:dyDescent="0.25">
      <c r="L10" s="108"/>
      <c r="M10" s="108"/>
      <c r="N10" s="108"/>
      <c r="O10" s="108"/>
      <c r="P10" s="108"/>
      <c r="Q10" s="108"/>
      <c r="R10" s="108"/>
      <c r="S10" s="108"/>
      <c r="T10" s="108"/>
      <c r="U10" s="108"/>
    </row>
    <row r="11" spans="12:21" x14ac:dyDescent="0.25">
      <c r="L11" s="108"/>
      <c r="M11" s="108"/>
      <c r="N11" s="108"/>
      <c r="O11" s="108"/>
      <c r="P11" s="108"/>
      <c r="Q11" s="108"/>
      <c r="R11" s="108"/>
      <c r="S11" s="108"/>
      <c r="T11" s="108"/>
      <c r="U11" s="108"/>
    </row>
    <row r="12" spans="12:21" x14ac:dyDescent="0.25">
      <c r="L12" s="108"/>
      <c r="M12" s="108"/>
      <c r="N12" s="108"/>
      <c r="O12" s="108"/>
      <c r="P12" s="108"/>
      <c r="Q12" s="108"/>
      <c r="R12" s="108"/>
      <c r="S12" s="108"/>
      <c r="T12" s="108"/>
      <c r="U12" s="108"/>
    </row>
    <row r="13" spans="12:21" x14ac:dyDescent="0.25">
      <c r="L13" s="108"/>
      <c r="M13" s="108"/>
      <c r="N13" s="108"/>
      <c r="O13" s="108"/>
      <c r="P13" s="108"/>
      <c r="Q13" s="108"/>
      <c r="R13" s="108"/>
      <c r="S13" s="108"/>
      <c r="T13" s="108"/>
      <c r="U13" s="108"/>
    </row>
    <row r="14" spans="12:21" x14ac:dyDescent="0.25">
      <c r="L14" s="108"/>
      <c r="M14" s="108"/>
      <c r="N14" s="108"/>
      <c r="O14" s="108"/>
      <c r="P14" s="108"/>
      <c r="Q14" s="108"/>
      <c r="R14" s="108"/>
      <c r="S14" s="108"/>
      <c r="T14" s="108"/>
      <c r="U14" s="108"/>
    </row>
    <row r="15" spans="12:21" x14ac:dyDescent="0.25">
      <c r="L15" s="108"/>
      <c r="M15" s="108"/>
      <c r="N15" s="108"/>
      <c r="O15" s="108"/>
      <c r="P15" s="108"/>
      <c r="Q15" s="108"/>
      <c r="R15" s="108"/>
      <c r="S15" s="108"/>
      <c r="T15" s="108"/>
      <c r="U15" s="108"/>
    </row>
    <row r="16" spans="12:21" x14ac:dyDescent="0.25">
      <c r="L16" s="108"/>
      <c r="M16" s="108"/>
      <c r="N16" s="108"/>
      <c r="O16" s="108"/>
      <c r="P16" s="108"/>
      <c r="Q16" s="108"/>
      <c r="R16" s="108"/>
      <c r="S16" s="108"/>
      <c r="T16" s="108"/>
      <c r="U16" s="108"/>
    </row>
    <row r="17" spans="2:21" x14ac:dyDescent="0.25">
      <c r="L17" s="108"/>
      <c r="M17" s="108"/>
      <c r="N17" s="108"/>
      <c r="O17" s="108"/>
      <c r="P17" s="108"/>
      <c r="Q17" s="108"/>
      <c r="R17" s="108"/>
      <c r="S17" s="108"/>
      <c r="T17" s="108"/>
      <c r="U17" s="108"/>
    </row>
    <row r="18" spans="2:21" x14ac:dyDescent="0.25">
      <c r="L18" s="108"/>
      <c r="M18" s="108"/>
      <c r="N18" s="108"/>
      <c r="O18" s="108"/>
      <c r="P18" s="108"/>
      <c r="Q18" s="108"/>
      <c r="R18" s="108"/>
      <c r="S18" s="108"/>
      <c r="T18" s="108"/>
      <c r="U18" s="108"/>
    </row>
    <row r="19" spans="2:21" x14ac:dyDescent="0.25">
      <c r="L19" s="108"/>
      <c r="M19" s="108"/>
      <c r="N19" s="108"/>
      <c r="O19" s="108"/>
      <c r="P19" s="108"/>
      <c r="Q19" s="108"/>
      <c r="R19" s="108"/>
      <c r="S19" s="108"/>
      <c r="T19" s="108"/>
      <c r="U19" s="108"/>
    </row>
    <row r="20" spans="2:21" x14ac:dyDescent="0.25">
      <c r="L20" s="108"/>
      <c r="M20" s="108"/>
      <c r="N20" s="108"/>
      <c r="O20" s="108"/>
      <c r="P20" s="108"/>
      <c r="Q20" s="108"/>
      <c r="R20" s="108"/>
      <c r="S20" s="108"/>
      <c r="T20" s="108"/>
      <c r="U20" s="108"/>
    </row>
    <row r="21" spans="2:21" x14ac:dyDescent="0.25">
      <c r="L21" s="108"/>
      <c r="M21" s="108"/>
      <c r="N21" s="108"/>
      <c r="O21" s="108"/>
      <c r="P21" s="108"/>
      <c r="Q21" s="108"/>
      <c r="R21" s="108"/>
      <c r="S21" s="108"/>
      <c r="T21" s="108"/>
      <c r="U21" s="108"/>
    </row>
    <row r="22" spans="2:21" x14ac:dyDescent="0.25">
      <c r="L22" s="108"/>
      <c r="M22" s="108"/>
      <c r="N22" s="108"/>
      <c r="O22" s="108"/>
      <c r="P22" s="108"/>
      <c r="Q22" s="108"/>
      <c r="R22" s="108"/>
      <c r="S22" s="108"/>
      <c r="T22" s="108"/>
      <c r="U22" s="108"/>
    </row>
    <row r="23" spans="2:21" x14ac:dyDescent="0.25">
      <c r="B23" t="s">
        <v>4</v>
      </c>
      <c r="D23" t="s">
        <v>5</v>
      </c>
      <c r="E23" t="s">
        <v>6</v>
      </c>
      <c r="F23" t="s">
        <v>7</v>
      </c>
      <c r="G23" t="s">
        <v>8</v>
      </c>
      <c r="H23" t="s">
        <v>502</v>
      </c>
      <c r="I23" t="s">
        <v>503</v>
      </c>
      <c r="L23" s="108"/>
      <c r="M23" s="108"/>
      <c r="N23" s="108"/>
      <c r="O23" s="108"/>
      <c r="P23" s="108"/>
      <c r="Q23" s="108"/>
      <c r="R23" s="108"/>
      <c r="S23" s="108"/>
      <c r="T23" s="108"/>
      <c r="U23" s="108"/>
    </row>
    <row r="24" spans="2:21" x14ac:dyDescent="0.25">
      <c r="B24" s="1"/>
      <c r="C24" s="1"/>
      <c r="D24" s="19" t="s">
        <v>9</v>
      </c>
      <c r="E24" s="20"/>
      <c r="F24" s="20"/>
      <c r="G24" s="21"/>
      <c r="H24" s="22" t="s">
        <v>10</v>
      </c>
      <c r="I24" s="20"/>
      <c r="J24" s="20"/>
      <c r="L24" s="108"/>
      <c r="M24" s="108"/>
      <c r="N24" s="108"/>
      <c r="O24" s="108"/>
      <c r="P24" s="108"/>
      <c r="Q24" s="108"/>
      <c r="R24" s="108"/>
      <c r="S24" s="108"/>
      <c r="T24" s="108"/>
      <c r="U24" s="108"/>
    </row>
    <row r="25" spans="2:21" x14ac:dyDescent="0.25">
      <c r="B25" s="23"/>
      <c r="C25" s="23"/>
      <c r="D25" s="24">
        <v>44926</v>
      </c>
      <c r="E25" s="24">
        <v>45291</v>
      </c>
      <c r="F25" s="24">
        <v>45657</v>
      </c>
      <c r="G25" s="25">
        <v>46022</v>
      </c>
      <c r="H25" s="26">
        <v>45838</v>
      </c>
      <c r="I25" s="25">
        <v>46203</v>
      </c>
      <c r="J25" s="27" t="s">
        <v>11</v>
      </c>
      <c r="L25" s="108"/>
      <c r="M25" s="108"/>
      <c r="N25" s="108"/>
      <c r="O25" s="108"/>
      <c r="P25" s="108"/>
      <c r="Q25" s="108"/>
      <c r="R25" s="108"/>
      <c r="S25" s="108"/>
      <c r="T25" s="108"/>
      <c r="U25" s="108"/>
    </row>
    <row r="26" spans="2:21" x14ac:dyDescent="0.25">
      <c r="B26" s="8" t="s">
        <v>12</v>
      </c>
      <c r="C26" s="8"/>
      <c r="D26" s="28">
        <v>3622.91446</v>
      </c>
      <c r="E26" s="28">
        <v>6849.2776400000002</v>
      </c>
      <c r="F26" s="28">
        <v>5383.7972600000003</v>
      </c>
      <c r="G26" s="29">
        <v>5957.3597399999999</v>
      </c>
      <c r="H26" s="30">
        <v>5406.3343400000003</v>
      </c>
      <c r="I26" s="29">
        <v>6931.49035</v>
      </c>
      <c r="J26" s="31">
        <v>0.28210538122213125</v>
      </c>
      <c r="L26" s="108"/>
      <c r="M26" s="108"/>
      <c r="N26" s="108"/>
      <c r="O26" s="108"/>
      <c r="P26" s="108"/>
      <c r="Q26" s="108"/>
      <c r="R26" s="108"/>
      <c r="S26" s="108"/>
      <c r="T26" s="108"/>
      <c r="U26" s="108"/>
    </row>
    <row r="27" spans="2:21" x14ac:dyDescent="0.25">
      <c r="B27" s="8" t="s">
        <v>13</v>
      </c>
      <c r="C27" s="32"/>
      <c r="D27" s="28">
        <v>1600.3225600000001</v>
      </c>
      <c r="E27" s="28">
        <v>4185.39437</v>
      </c>
      <c r="F27" s="28">
        <v>3313.9606600000002</v>
      </c>
      <c r="G27" s="29">
        <v>3471.3889899999999</v>
      </c>
      <c r="H27" s="30">
        <v>3099.2204900000002</v>
      </c>
      <c r="I27" s="29">
        <v>4241.6620599999997</v>
      </c>
      <c r="J27" s="31">
        <v>0.36862223055320587</v>
      </c>
      <c r="L27" s="108"/>
      <c r="M27" s="108"/>
      <c r="N27" s="108"/>
      <c r="O27" s="108"/>
      <c r="P27" s="108"/>
      <c r="Q27" s="108"/>
      <c r="R27" s="108"/>
      <c r="S27" s="108"/>
      <c r="T27" s="108"/>
      <c r="U27" s="108"/>
    </row>
    <row r="28" spans="2:21" x14ac:dyDescent="0.25">
      <c r="B28" s="8" t="s">
        <v>14</v>
      </c>
      <c r="C28" s="32"/>
      <c r="D28" s="28">
        <v>1596.6510599999999</v>
      </c>
      <c r="E28" s="28">
        <v>1622.8628900000001</v>
      </c>
      <c r="F28" s="28">
        <v>1570.98441</v>
      </c>
      <c r="G28" s="29">
        <v>2023.6718000000001</v>
      </c>
      <c r="H28" s="30">
        <v>1768.4244100000001</v>
      </c>
      <c r="I28" s="29">
        <v>2182.74856</v>
      </c>
      <c r="J28" s="31">
        <v>0.23428999716193677</v>
      </c>
      <c r="L28" s="108"/>
      <c r="M28" s="108"/>
      <c r="N28" s="108"/>
      <c r="O28" s="108"/>
      <c r="P28" s="108"/>
      <c r="Q28" s="108"/>
      <c r="R28" s="108"/>
      <c r="S28" s="108"/>
      <c r="T28" s="108"/>
      <c r="U28" s="108"/>
    </row>
    <row r="29" spans="2:21" x14ac:dyDescent="0.25">
      <c r="B29" s="8" t="s">
        <v>15</v>
      </c>
      <c r="C29" s="32"/>
      <c r="D29" s="28">
        <v>1328.2725600000001</v>
      </c>
      <c r="E29" s="28">
        <v>2498.9920200000001</v>
      </c>
      <c r="F29" s="28">
        <v>1427.2348300000001</v>
      </c>
      <c r="G29" s="29">
        <v>2004.5519899999999</v>
      </c>
      <c r="H29" s="30">
        <v>1391.70316</v>
      </c>
      <c r="I29" s="29">
        <v>2304.6462700000002</v>
      </c>
      <c r="J29" s="31">
        <v>0.65598982328961597</v>
      </c>
      <c r="L29" s="108"/>
      <c r="M29" s="108"/>
      <c r="N29" s="108"/>
      <c r="O29" s="108"/>
      <c r="P29" s="108"/>
      <c r="Q29" s="108"/>
      <c r="R29" s="108"/>
      <c r="S29" s="108"/>
      <c r="T29" s="108"/>
      <c r="U29" s="108"/>
    </row>
    <row r="30" spans="2:21" x14ac:dyDescent="0.25">
      <c r="B30" s="8" t="s">
        <v>16</v>
      </c>
      <c r="C30" s="32"/>
      <c r="D30" s="28">
        <v>510.94096000000002</v>
      </c>
      <c r="E30" s="28">
        <v>1082.92795</v>
      </c>
      <c r="F30" s="28">
        <v>916.48586999999998</v>
      </c>
      <c r="G30" s="29">
        <v>936.68957</v>
      </c>
      <c r="H30" s="30">
        <v>856.76957000000004</v>
      </c>
      <c r="I30" s="29">
        <v>1013.77869</v>
      </c>
      <c r="J30" s="31">
        <v>0.18325711544587175</v>
      </c>
      <c r="L30" s="108"/>
      <c r="M30" s="108"/>
      <c r="N30" s="108"/>
      <c r="O30" s="108"/>
      <c r="P30" s="108"/>
      <c r="Q30" s="108"/>
      <c r="R30" s="108"/>
      <c r="S30" s="108"/>
      <c r="T30" s="108"/>
      <c r="U30" s="108"/>
    </row>
    <row r="31" spans="2:21" x14ac:dyDescent="0.25">
      <c r="B31" s="8" t="s">
        <v>17</v>
      </c>
      <c r="C31" s="8"/>
      <c r="D31" s="28">
        <v>258.31637999999998</v>
      </c>
      <c r="E31" s="28">
        <v>346.63533999999999</v>
      </c>
      <c r="F31" s="28">
        <v>316.67212000000001</v>
      </c>
      <c r="G31" s="29">
        <v>406.32468</v>
      </c>
      <c r="H31" s="30">
        <v>360.26355000000001</v>
      </c>
      <c r="I31" s="29">
        <v>465.77481999999998</v>
      </c>
      <c r="J31" s="31">
        <v>0.29287245406869489</v>
      </c>
      <c r="L31" s="108"/>
      <c r="M31" s="108"/>
      <c r="N31" s="108"/>
      <c r="O31" s="108"/>
      <c r="P31" s="108"/>
      <c r="Q31" s="108"/>
      <c r="R31" s="108"/>
      <c r="S31" s="108"/>
      <c r="T31" s="108"/>
      <c r="U31" s="108"/>
    </row>
    <row r="32" spans="2:21" x14ac:dyDescent="0.25">
      <c r="B32" s="8" t="s">
        <v>18</v>
      </c>
      <c r="C32" s="8"/>
      <c r="D32" s="28">
        <v>1294.5407700000001</v>
      </c>
      <c r="E32" s="28">
        <v>900.24477000000002</v>
      </c>
      <c r="F32" s="28">
        <v>704.77863000000002</v>
      </c>
      <c r="G32" s="29">
        <v>1225.56512</v>
      </c>
      <c r="H32" s="30">
        <v>951.42048999999997</v>
      </c>
      <c r="I32" s="29">
        <v>1524.00821</v>
      </c>
      <c r="J32" s="31">
        <v>0.601824036814679</v>
      </c>
      <c r="L32" s="108"/>
      <c r="M32" s="108"/>
      <c r="N32" s="108"/>
      <c r="O32" s="108"/>
      <c r="P32" s="108"/>
      <c r="Q32" s="108"/>
      <c r="R32" s="108"/>
      <c r="S32" s="108"/>
      <c r="T32" s="108"/>
      <c r="U32" s="108"/>
    </row>
    <row r="33" spans="2:21" x14ac:dyDescent="0.25">
      <c r="B33" s="8" t="s">
        <v>19</v>
      </c>
      <c r="C33" s="8"/>
      <c r="D33" s="28">
        <v>468.64062000000001</v>
      </c>
      <c r="E33" s="28">
        <v>338.26364000000001</v>
      </c>
      <c r="F33" s="28">
        <v>213.61989</v>
      </c>
      <c r="G33" s="29">
        <v>379.95846</v>
      </c>
      <c r="H33" s="30">
        <v>279.34374000000003</v>
      </c>
      <c r="I33" s="29">
        <v>524.05066999999997</v>
      </c>
      <c r="J33" s="31">
        <v>0.87600649293232746</v>
      </c>
      <c r="L33" s="11" t="s">
        <v>1</v>
      </c>
    </row>
    <row r="34" spans="2:21" x14ac:dyDescent="0.25">
      <c r="B34" s="8" t="s">
        <v>20</v>
      </c>
      <c r="C34" s="8"/>
      <c r="D34" s="28">
        <v>825.90016000000003</v>
      </c>
      <c r="E34" s="28">
        <v>561.98113000000001</v>
      </c>
      <c r="F34" s="28">
        <v>491.15874000000002</v>
      </c>
      <c r="G34" s="29">
        <v>845.60666000000003</v>
      </c>
      <c r="H34" s="30">
        <v>672.07674999999995</v>
      </c>
      <c r="I34" s="29">
        <v>999.95753999999999</v>
      </c>
      <c r="J34" s="31">
        <v>0.48786212288998243</v>
      </c>
      <c r="L34" s="12" t="s">
        <v>151</v>
      </c>
    </row>
    <row r="35" spans="2:21" x14ac:dyDescent="0.25">
      <c r="B35" s="33" t="s">
        <v>21</v>
      </c>
      <c r="C35" s="34"/>
      <c r="D35" s="35">
        <v>512.27380000000005</v>
      </c>
      <c r="E35" s="35">
        <v>190.75958</v>
      </c>
      <c r="F35" s="35">
        <v>230.1994</v>
      </c>
      <c r="G35" s="36">
        <v>456.64562000000001</v>
      </c>
      <c r="H35" s="37">
        <v>380.42273</v>
      </c>
      <c r="I35" s="36">
        <v>517.63184000000001</v>
      </c>
      <c r="J35" s="38">
        <v>0.36067537289372797</v>
      </c>
      <c r="L35" s="109" t="s">
        <v>152</v>
      </c>
      <c r="M35" s="109"/>
      <c r="N35" s="109"/>
      <c r="O35" s="109"/>
      <c r="P35" s="109"/>
      <c r="Q35" s="109"/>
      <c r="R35" s="109"/>
      <c r="S35" s="109"/>
      <c r="T35" s="109"/>
      <c r="U35" s="109"/>
    </row>
    <row r="36" spans="2:21" x14ac:dyDescent="0.25">
      <c r="B36" s="39" t="s">
        <v>22</v>
      </c>
      <c r="C36" s="8"/>
      <c r="D36" s="40">
        <v>5.9095000000000002E-2</v>
      </c>
      <c r="E36" s="40">
        <v>6.2260999999999997E-2</v>
      </c>
      <c r="F36" s="40">
        <v>6.4115000000000005E-2</v>
      </c>
      <c r="G36" s="41">
        <v>5.3807999999999995E-2</v>
      </c>
      <c r="H36" s="31">
        <v>6.0179999999999997E-2</v>
      </c>
      <c r="I36" s="41">
        <v>5.2999999999999999E-2</v>
      </c>
      <c r="J36" s="31" t="s">
        <v>47</v>
      </c>
      <c r="L36" s="109"/>
      <c r="M36" s="109"/>
      <c r="N36" s="109"/>
      <c r="O36" s="109"/>
      <c r="P36" s="109"/>
      <c r="Q36" s="109"/>
      <c r="R36" s="109"/>
      <c r="S36" s="109"/>
      <c r="T36" s="109"/>
      <c r="U36" s="109"/>
    </row>
    <row r="37" spans="2:21" x14ac:dyDescent="0.25">
      <c r="B37" s="39" t="s">
        <v>24</v>
      </c>
      <c r="C37" s="8"/>
      <c r="D37" s="40">
        <v>0.7906780000000001</v>
      </c>
      <c r="E37" s="40">
        <v>0.79869299999999999</v>
      </c>
      <c r="F37" s="40">
        <v>0.74559399999999998</v>
      </c>
      <c r="G37" s="41">
        <v>0.77517099999999994</v>
      </c>
      <c r="H37" s="31">
        <v>0.77517099999999994</v>
      </c>
      <c r="I37" s="41">
        <v>0.80454899999999996</v>
      </c>
      <c r="J37" s="31" t="s">
        <v>508</v>
      </c>
      <c r="L37" s="109" t="s">
        <v>153</v>
      </c>
      <c r="M37" s="109"/>
      <c r="N37" s="109"/>
      <c r="O37" s="109"/>
      <c r="P37" s="109"/>
      <c r="Q37" s="109"/>
      <c r="R37" s="109"/>
      <c r="S37" s="109"/>
      <c r="T37" s="109"/>
      <c r="U37" s="109"/>
    </row>
    <row r="38" spans="2:21" x14ac:dyDescent="0.25">
      <c r="B38" s="39" t="s">
        <v>25</v>
      </c>
      <c r="C38" s="8"/>
      <c r="D38" s="40">
        <v>0.96436300000000008</v>
      </c>
      <c r="E38" s="40">
        <v>1.1586799999999999</v>
      </c>
      <c r="F38" s="40">
        <v>0.822662</v>
      </c>
      <c r="G38" s="41">
        <v>0.71544300000000005</v>
      </c>
      <c r="H38" s="31">
        <v>0</v>
      </c>
      <c r="I38" s="41">
        <v>0</v>
      </c>
      <c r="J38" s="31" t="s">
        <v>26</v>
      </c>
      <c r="L38" s="109"/>
      <c r="M38" s="109"/>
      <c r="N38" s="109"/>
      <c r="O38" s="109"/>
      <c r="P38" s="109"/>
      <c r="Q38" s="109"/>
      <c r="R38" s="109"/>
      <c r="S38" s="109"/>
      <c r="T38" s="109"/>
      <c r="U38" s="109"/>
    </row>
    <row r="39" spans="2:21" x14ac:dyDescent="0.25">
      <c r="B39" s="8" t="s">
        <v>27</v>
      </c>
      <c r="C39" s="42"/>
      <c r="D39" s="40">
        <v>5.9593E-2</v>
      </c>
      <c r="E39" s="40">
        <v>5.5715000000000001E-2</v>
      </c>
      <c r="F39" s="40">
        <v>5.4421999999999998E-2</v>
      </c>
      <c r="G39" s="41">
        <v>5.3038999999999996E-2</v>
      </c>
      <c r="H39" s="31">
        <v>5.2855999999999993E-2</v>
      </c>
      <c r="I39" s="41">
        <v>5.2930999999999999E-2</v>
      </c>
      <c r="J39" s="31" t="s">
        <v>26</v>
      </c>
      <c r="L39" s="12" t="s">
        <v>154</v>
      </c>
      <c r="M39" s="15"/>
      <c r="N39" s="15"/>
      <c r="O39" s="15"/>
      <c r="P39" s="15"/>
      <c r="Q39" s="15"/>
      <c r="R39" s="15"/>
      <c r="S39" s="15"/>
      <c r="T39" s="15"/>
      <c r="U39" s="15"/>
    </row>
    <row r="40" spans="2:21" x14ac:dyDescent="0.25">
      <c r="B40" s="8" t="s">
        <v>29</v>
      </c>
      <c r="C40" s="42"/>
      <c r="D40" s="40">
        <v>0.106103</v>
      </c>
      <c r="E40" s="40">
        <v>0.104465</v>
      </c>
      <c r="F40" s="40">
        <v>0.102828</v>
      </c>
      <c r="G40" s="41">
        <v>0.10033400000000001</v>
      </c>
      <c r="H40" s="31">
        <v>0.10015</v>
      </c>
      <c r="I40" s="41">
        <v>9.9672999999999998E-2</v>
      </c>
      <c r="J40" s="31" t="s">
        <v>26</v>
      </c>
      <c r="L40" s="12" t="s">
        <v>155</v>
      </c>
      <c r="M40" s="12"/>
      <c r="N40" s="12"/>
      <c r="O40" s="12"/>
      <c r="P40" s="12"/>
      <c r="Q40" s="12"/>
      <c r="R40" s="12"/>
      <c r="S40" s="12"/>
      <c r="T40" s="12"/>
      <c r="U40" s="12"/>
    </row>
    <row r="41" spans="2:21" x14ac:dyDescent="0.25">
      <c r="B41" s="8" t="s">
        <v>30</v>
      </c>
      <c r="C41" s="42"/>
      <c r="D41" s="40">
        <v>1.135564</v>
      </c>
      <c r="E41" s="40">
        <v>1.10894</v>
      </c>
      <c r="F41" s="40">
        <v>1.04209</v>
      </c>
      <c r="G41" s="41">
        <v>0.97445300000000001</v>
      </c>
      <c r="H41" s="31">
        <v>0.94869899999999996</v>
      </c>
      <c r="I41" s="41">
        <v>0.89508799999999988</v>
      </c>
      <c r="J41" s="31" t="s">
        <v>509</v>
      </c>
      <c r="L41" s="109" t="s">
        <v>156</v>
      </c>
      <c r="M41" s="109"/>
      <c r="N41" s="109"/>
      <c r="O41" s="109"/>
      <c r="P41" s="109"/>
      <c r="Q41" s="109"/>
      <c r="R41" s="109"/>
      <c r="S41" s="109"/>
      <c r="T41" s="109"/>
      <c r="U41" s="109"/>
    </row>
    <row r="42" spans="2:21" x14ac:dyDescent="0.25">
      <c r="B42" s="39" t="s">
        <v>31</v>
      </c>
      <c r="C42" s="42"/>
      <c r="D42" s="40">
        <v>0.10060000000000001</v>
      </c>
      <c r="E42" s="40">
        <v>0.1293</v>
      </c>
      <c r="F42" s="40">
        <v>0.1321</v>
      </c>
      <c r="G42" s="41">
        <v>0.13819999999999999</v>
      </c>
      <c r="H42" s="31">
        <v>0</v>
      </c>
      <c r="I42" s="41">
        <v>0</v>
      </c>
      <c r="J42" s="31" t="s">
        <v>26</v>
      </c>
      <c r="L42" s="109"/>
      <c r="M42" s="109"/>
      <c r="N42" s="109"/>
      <c r="O42" s="109"/>
      <c r="P42" s="109"/>
      <c r="Q42" s="109"/>
      <c r="R42" s="109"/>
      <c r="S42" s="109"/>
      <c r="T42" s="109"/>
      <c r="U42" s="109"/>
    </row>
    <row r="43" spans="2:21" x14ac:dyDescent="0.25">
      <c r="B43" s="39" t="s">
        <v>32</v>
      </c>
      <c r="C43" s="42"/>
      <c r="D43" s="40">
        <v>0.10060000000000001</v>
      </c>
      <c r="E43" s="40">
        <v>0.1293</v>
      </c>
      <c r="F43" s="40">
        <v>0.1321</v>
      </c>
      <c r="G43" s="41">
        <v>0.13819999999999999</v>
      </c>
      <c r="H43" s="31">
        <v>0</v>
      </c>
      <c r="I43" s="41">
        <v>0</v>
      </c>
      <c r="J43" s="31" t="s">
        <v>26</v>
      </c>
      <c r="L43" s="12" t="s">
        <v>157</v>
      </c>
      <c r="M43" s="14"/>
      <c r="N43" s="14"/>
      <c r="O43" s="14"/>
      <c r="P43" s="14"/>
      <c r="Q43" s="14"/>
      <c r="R43" s="14"/>
      <c r="S43" s="14"/>
      <c r="T43" s="14"/>
      <c r="U43" s="14"/>
    </row>
    <row r="44" spans="2:21" x14ac:dyDescent="0.25">
      <c r="B44" s="39" t="s">
        <v>33</v>
      </c>
      <c r="C44" s="42"/>
      <c r="D44" s="40">
        <v>3.0200000000000001E-2</v>
      </c>
      <c r="E44" s="40">
        <v>2.4399999999999998E-2</v>
      </c>
      <c r="F44" s="40">
        <v>2.2599999999999999E-2</v>
      </c>
      <c r="G44" s="41">
        <v>1.5300000000000001E-2</v>
      </c>
      <c r="H44" s="31">
        <v>0</v>
      </c>
      <c r="I44" s="41">
        <v>0</v>
      </c>
      <c r="J44" s="31" t="s">
        <v>26</v>
      </c>
      <c r="L44" s="12" t="s">
        <v>158</v>
      </c>
      <c r="M44" s="12"/>
      <c r="N44" s="12"/>
      <c r="O44" s="12"/>
      <c r="P44" s="12"/>
      <c r="Q44" s="12"/>
      <c r="R44" s="12"/>
      <c r="S44" s="12"/>
      <c r="T44" s="12"/>
      <c r="U44" s="12"/>
    </row>
    <row r="45" spans="2:21" x14ac:dyDescent="0.25">
      <c r="B45" s="33" t="s">
        <v>34</v>
      </c>
      <c r="C45" s="43"/>
      <c r="D45" s="44">
        <v>0.1308</v>
      </c>
      <c r="E45" s="44">
        <v>0.1537</v>
      </c>
      <c r="F45" s="44">
        <v>0.1547</v>
      </c>
      <c r="G45" s="45">
        <v>0.15340000000000001</v>
      </c>
      <c r="H45" s="38">
        <v>0</v>
      </c>
      <c r="I45" s="45">
        <v>0</v>
      </c>
      <c r="J45" s="38" t="s">
        <v>26</v>
      </c>
      <c r="L45" s="12" t="s">
        <v>159</v>
      </c>
      <c r="M45" s="12"/>
      <c r="N45" s="12"/>
      <c r="O45" s="12"/>
      <c r="P45" s="12"/>
      <c r="Q45" s="12"/>
      <c r="R45" s="12"/>
      <c r="S45" s="12"/>
      <c r="T45" s="12"/>
      <c r="U45" s="12"/>
    </row>
    <row r="46" spans="2:21" x14ac:dyDescent="0.25">
      <c r="B46" s="39" t="s">
        <v>35</v>
      </c>
      <c r="C46" s="32"/>
      <c r="D46" s="32">
        <v>0.11389300000000001</v>
      </c>
      <c r="E46" s="32">
        <v>6.9844000000000003E-2</v>
      </c>
      <c r="F46" s="32">
        <v>6.6965999999999998E-2</v>
      </c>
      <c r="G46" s="46">
        <v>9.3909999999999993E-2</v>
      </c>
      <c r="H46" s="47">
        <v>8.4017999999999995E-2</v>
      </c>
      <c r="I46" s="46">
        <v>0.10048299999999999</v>
      </c>
      <c r="J46" s="31" t="s">
        <v>37</v>
      </c>
      <c r="L46" s="12" t="s">
        <v>160</v>
      </c>
      <c r="M46" s="12"/>
      <c r="N46" s="12"/>
      <c r="O46" s="12"/>
      <c r="P46" s="12"/>
      <c r="Q46" s="12"/>
      <c r="R46" s="12"/>
      <c r="S46" s="12"/>
      <c r="T46" s="12"/>
      <c r="U46" s="12"/>
    </row>
    <row r="47" spans="2:21" x14ac:dyDescent="0.25">
      <c r="B47" s="8" t="s">
        <v>36</v>
      </c>
      <c r="C47" s="8"/>
      <c r="D47" s="32">
        <v>9.5686999999999994E-2</v>
      </c>
      <c r="E47" s="32">
        <v>4.4450999999999997E-2</v>
      </c>
      <c r="F47" s="32">
        <v>5.8269000000000001E-2</v>
      </c>
      <c r="G47" s="46">
        <v>9.4909999999999994E-2</v>
      </c>
      <c r="H47" s="47">
        <v>7.8411999999999996E-2</v>
      </c>
      <c r="I47" s="46">
        <v>0.10824400000000001</v>
      </c>
      <c r="J47" s="31" t="s">
        <v>510</v>
      </c>
      <c r="L47" s="12" t="s">
        <v>161</v>
      </c>
      <c r="M47" s="15"/>
      <c r="N47" s="15"/>
      <c r="O47" s="15"/>
      <c r="P47" s="15"/>
      <c r="Q47" s="15"/>
      <c r="R47" s="15"/>
      <c r="S47" s="15"/>
      <c r="T47" s="15"/>
      <c r="U47" s="15"/>
    </row>
    <row r="48" spans="2:21" x14ac:dyDescent="0.25">
      <c r="B48" s="33" t="s">
        <v>38</v>
      </c>
      <c r="C48" s="34"/>
      <c r="D48" s="34">
        <v>1.2083999999999999E-2</v>
      </c>
      <c r="E48" s="34">
        <v>7.2960000000000004E-3</v>
      </c>
      <c r="F48" s="34">
        <v>6.8859999999999998E-3</v>
      </c>
      <c r="G48" s="48">
        <v>9.4219999999999998E-3</v>
      </c>
      <c r="H48" s="49">
        <v>8.4139999999999996E-3</v>
      </c>
      <c r="I48" s="48">
        <v>1.0015000000000001E-2</v>
      </c>
      <c r="J48" s="38" t="s">
        <v>44</v>
      </c>
      <c r="L48" s="12" t="s">
        <v>162</v>
      </c>
      <c r="M48" s="15"/>
      <c r="N48" s="15"/>
      <c r="O48" s="15"/>
      <c r="P48" s="15"/>
      <c r="Q48" s="15"/>
      <c r="R48" s="15"/>
      <c r="S48" s="15"/>
      <c r="T48" s="15"/>
      <c r="U48" s="15"/>
    </row>
    <row r="49" spans="2:21" x14ac:dyDescent="0.25">
      <c r="B49" s="8" t="s">
        <v>39</v>
      </c>
      <c r="C49" s="8"/>
      <c r="D49" s="42">
        <v>3.65239</v>
      </c>
      <c r="E49" s="55">
        <v>13.39451</v>
      </c>
      <c r="F49" s="55">
        <v>12.99644</v>
      </c>
      <c r="G49" s="51">
        <v>10.83553</v>
      </c>
      <c r="H49" s="55">
        <v>10.90455</v>
      </c>
      <c r="I49" s="51">
        <v>12.00461</v>
      </c>
      <c r="J49" s="31">
        <v>0.1008808249767299</v>
      </c>
      <c r="L49" s="12"/>
      <c r="M49" s="16"/>
      <c r="N49" s="16"/>
      <c r="O49" s="16"/>
      <c r="P49" s="16"/>
      <c r="Q49" s="16"/>
      <c r="R49" s="16"/>
      <c r="S49" s="16"/>
      <c r="T49" s="16"/>
      <c r="U49" s="16"/>
    </row>
    <row r="50" spans="2:21" x14ac:dyDescent="0.25">
      <c r="B50" s="8" t="s">
        <v>40</v>
      </c>
      <c r="C50" s="8"/>
      <c r="D50" s="42">
        <v>4.8741199999999996</v>
      </c>
      <c r="E50" s="55">
        <v>4.2769000000000004</v>
      </c>
      <c r="F50" s="55">
        <v>0</v>
      </c>
      <c r="G50" s="51">
        <v>0</v>
      </c>
      <c r="H50" s="55">
        <v>0</v>
      </c>
      <c r="I50" s="51">
        <v>0</v>
      </c>
      <c r="J50" s="31" t="s">
        <v>45</v>
      </c>
      <c r="L50" s="17" t="s">
        <v>3</v>
      </c>
      <c r="M50" s="16"/>
      <c r="N50" s="16"/>
      <c r="O50" s="16"/>
      <c r="P50" s="16"/>
      <c r="Q50" s="16"/>
      <c r="R50" s="16"/>
      <c r="S50" s="16"/>
      <c r="T50" s="16"/>
      <c r="U50" s="16"/>
    </row>
    <row r="51" spans="2:21" x14ac:dyDescent="0.25">
      <c r="B51" s="33" t="s">
        <v>41</v>
      </c>
      <c r="C51" s="34"/>
      <c r="D51" s="52" t="s">
        <v>46</v>
      </c>
      <c r="E51" s="52" t="s">
        <v>46</v>
      </c>
      <c r="F51" s="52" t="s">
        <v>46</v>
      </c>
      <c r="G51" s="53" t="s">
        <v>46</v>
      </c>
      <c r="H51" s="54" t="s">
        <v>46</v>
      </c>
      <c r="I51" s="53" t="s">
        <v>46</v>
      </c>
      <c r="J51" s="38" t="s">
        <v>45</v>
      </c>
      <c r="L51" s="12" t="s">
        <v>163</v>
      </c>
    </row>
    <row r="52" spans="2:21" x14ac:dyDescent="0.25">
      <c r="L52" s="12" t="s">
        <v>164</v>
      </c>
      <c r="M52" s="14"/>
      <c r="N52" s="14"/>
      <c r="O52" s="14"/>
      <c r="P52" s="14"/>
      <c r="Q52" s="14"/>
      <c r="R52" s="14"/>
      <c r="S52" s="14"/>
      <c r="T52" s="14"/>
      <c r="U52" s="14"/>
    </row>
    <row r="53" spans="2:21" x14ac:dyDescent="0.25">
      <c r="L53" s="12" t="s">
        <v>165</v>
      </c>
      <c r="M53" s="15"/>
      <c r="N53" s="15"/>
      <c r="O53" s="15"/>
      <c r="P53" s="15"/>
      <c r="Q53" s="15"/>
      <c r="R53" s="15"/>
      <c r="S53" s="15"/>
      <c r="T53" s="15"/>
      <c r="U53" s="15"/>
    </row>
    <row r="54" spans="2:21" x14ac:dyDescent="0.25">
      <c r="L54" s="12" t="s">
        <v>166</v>
      </c>
      <c r="M54" s="15"/>
      <c r="N54" s="15"/>
      <c r="O54" s="15"/>
      <c r="P54" s="15"/>
      <c r="Q54" s="15"/>
      <c r="R54" s="15"/>
      <c r="S54" s="15"/>
      <c r="T54" s="15"/>
      <c r="U54" s="15"/>
    </row>
    <row r="55" spans="2:21" x14ac:dyDescent="0.25">
      <c r="L55" s="12" t="s">
        <v>167</v>
      </c>
      <c r="M55" s="15"/>
      <c r="N55" s="15"/>
      <c r="O55" s="15"/>
      <c r="P55" s="15"/>
      <c r="Q55" s="15"/>
      <c r="R55" s="15"/>
      <c r="S55" s="15"/>
      <c r="T55" s="15"/>
      <c r="U55" s="15"/>
    </row>
    <row r="56" spans="2:21" x14ac:dyDescent="0.25">
      <c r="L56" s="109" t="s">
        <v>168</v>
      </c>
      <c r="M56" s="109"/>
      <c r="N56" s="109"/>
      <c r="O56" s="109"/>
      <c r="P56" s="109"/>
      <c r="Q56" s="109"/>
      <c r="R56" s="109"/>
      <c r="S56" s="109"/>
      <c r="T56" s="109"/>
      <c r="U56" s="109"/>
    </row>
    <row r="57" spans="2:21" x14ac:dyDescent="0.25">
      <c r="L57" s="109"/>
      <c r="M57" s="109"/>
      <c r="N57" s="109"/>
      <c r="O57" s="109"/>
      <c r="P57" s="109"/>
      <c r="Q57" s="109"/>
      <c r="R57" s="109"/>
      <c r="S57" s="109"/>
      <c r="T57" s="109"/>
      <c r="U57" s="109"/>
    </row>
    <row r="58" spans="2:21" x14ac:dyDescent="0.25">
      <c r="L58" s="12" t="s">
        <v>169</v>
      </c>
      <c r="M58" s="15"/>
      <c r="N58" s="15"/>
      <c r="O58" s="15"/>
      <c r="P58" s="15"/>
      <c r="Q58" s="15"/>
      <c r="R58" s="15"/>
      <c r="S58" s="15"/>
      <c r="T58" s="15"/>
      <c r="U58" s="15"/>
    </row>
    <row r="59" spans="2:21" x14ac:dyDescent="0.25">
      <c r="L59" s="12" t="s">
        <v>170</v>
      </c>
      <c r="M59" s="15"/>
      <c r="N59" s="15"/>
      <c r="O59" s="15"/>
      <c r="P59" s="15"/>
      <c r="Q59" s="15"/>
      <c r="R59" s="15"/>
      <c r="S59" s="15"/>
      <c r="T59" s="15"/>
      <c r="U59" s="15"/>
    </row>
    <row r="60" spans="2:21" x14ac:dyDescent="0.25">
      <c r="L60" s="12" t="s">
        <v>171</v>
      </c>
    </row>
    <row r="61" spans="2:21" x14ac:dyDescent="0.25">
      <c r="L61" s="12" t="s">
        <v>172</v>
      </c>
    </row>
    <row r="62" spans="2:21" x14ac:dyDescent="0.25">
      <c r="L62" s="109" t="s">
        <v>173</v>
      </c>
      <c r="M62" s="109"/>
      <c r="N62" s="109"/>
      <c r="O62" s="109"/>
      <c r="P62" s="109"/>
      <c r="Q62" s="109"/>
      <c r="R62" s="109"/>
      <c r="S62" s="109"/>
      <c r="T62" s="109"/>
      <c r="U62" s="109"/>
    </row>
    <row r="63" spans="2:21" x14ac:dyDescent="0.25">
      <c r="L63" s="109"/>
      <c r="M63" s="109"/>
      <c r="N63" s="109"/>
      <c r="O63" s="109"/>
      <c r="P63" s="109"/>
      <c r="Q63" s="109"/>
      <c r="R63" s="109"/>
      <c r="S63" s="109"/>
      <c r="T63" s="109"/>
      <c r="U63" s="109"/>
    </row>
    <row r="64" spans="2:21" x14ac:dyDescent="0.25">
      <c r="L64" s="15"/>
      <c r="M64" s="15"/>
      <c r="N64" s="15"/>
      <c r="O64" s="15"/>
      <c r="P64" s="15"/>
      <c r="Q64" s="15"/>
      <c r="R64" s="15"/>
      <c r="S64" s="15"/>
      <c r="T64" s="15"/>
      <c r="U64" s="15"/>
    </row>
    <row r="66" spans="12:21" x14ac:dyDescent="0.25">
      <c r="L66" s="15"/>
      <c r="M66" s="15"/>
      <c r="N66" s="15"/>
      <c r="O66" s="15"/>
      <c r="P66" s="15"/>
      <c r="Q66" s="15"/>
      <c r="R66" s="15"/>
      <c r="S66" s="15"/>
      <c r="T66" s="15"/>
      <c r="U66" s="15"/>
    </row>
    <row r="67" spans="12:21" x14ac:dyDescent="0.25">
      <c r="L67" s="15"/>
      <c r="M67" s="15"/>
      <c r="N67" s="15"/>
      <c r="O67" s="15"/>
      <c r="P67" s="15"/>
      <c r="Q67" s="15"/>
      <c r="R67" s="15"/>
      <c r="S67" s="15"/>
      <c r="T67" s="15"/>
      <c r="U67" s="15"/>
    </row>
    <row r="68" spans="12:21" x14ac:dyDescent="0.25">
      <c r="L68" s="15"/>
      <c r="M68" s="15"/>
      <c r="N68" s="15"/>
      <c r="O68" s="15"/>
      <c r="P68" s="15"/>
      <c r="Q68" s="15"/>
      <c r="R68" s="15"/>
      <c r="S68" s="15"/>
      <c r="T68" s="15"/>
      <c r="U68" s="15"/>
    </row>
  </sheetData>
  <mergeCells count="6">
    <mergeCell ref="L62:U63"/>
    <mergeCell ref="L6:U32"/>
    <mergeCell ref="L35:U36"/>
    <mergeCell ref="L37:U38"/>
    <mergeCell ref="L41:U42"/>
    <mergeCell ref="L56:U5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3CE3B-75A9-42DB-BFF6-CFA20DD1AB95}">
  <dimension ref="A1:B1"/>
  <sheetViews>
    <sheetView workbookViewId="0"/>
  </sheetViews>
  <sheetFormatPr defaultRowHeight="15" x14ac:dyDescent="0.25"/>
  <sheetData>
    <row r="1" spans="1:2" x14ac:dyDescent="0.25">
      <c r="A1">
        <v>2</v>
      </c>
      <c r="B1" t="s">
        <v>534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B59B6-5DE5-4C18-8467-8149888EE492}">
  <dimension ref="B1:U68"/>
  <sheetViews>
    <sheetView tabSelected="1" topLeftCell="A19" workbookViewId="0">
      <selection activeCell="B24" sqref="B24:J52"/>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x14ac:dyDescent="0.25">
      <c r="L6" s="108" t="s">
        <v>174</v>
      </c>
      <c r="M6" s="108"/>
      <c r="N6" s="108"/>
      <c r="O6" s="108"/>
      <c r="P6" s="108"/>
      <c r="Q6" s="108"/>
      <c r="R6" s="108"/>
      <c r="S6" s="108"/>
      <c r="T6" s="108"/>
      <c r="U6" s="108"/>
    </row>
    <row r="7" spans="12:21" x14ac:dyDescent="0.25">
      <c r="L7" s="108"/>
      <c r="M7" s="108"/>
      <c r="N7" s="108"/>
      <c r="O7" s="108"/>
      <c r="P7" s="108"/>
      <c r="Q7" s="108"/>
      <c r="R7" s="108"/>
      <c r="S7" s="108"/>
      <c r="T7" s="108"/>
      <c r="U7" s="108"/>
    </row>
    <row r="8" spans="12:21" x14ac:dyDescent="0.25">
      <c r="L8" s="108"/>
      <c r="M8" s="108"/>
      <c r="N8" s="108"/>
      <c r="O8" s="108"/>
      <c r="P8" s="108"/>
      <c r="Q8" s="108"/>
      <c r="R8" s="108"/>
      <c r="S8" s="108"/>
      <c r="T8" s="108"/>
      <c r="U8" s="108"/>
    </row>
    <row r="9" spans="12:21" x14ac:dyDescent="0.25">
      <c r="L9" s="108"/>
      <c r="M9" s="108"/>
      <c r="N9" s="108"/>
      <c r="O9" s="108"/>
      <c r="P9" s="108"/>
      <c r="Q9" s="108"/>
      <c r="R9" s="108"/>
      <c r="S9" s="108"/>
      <c r="T9" s="108"/>
      <c r="U9" s="108"/>
    </row>
    <row r="10" spans="12:21" x14ac:dyDescent="0.25">
      <c r="L10" s="108"/>
      <c r="M10" s="108"/>
      <c r="N10" s="108"/>
      <c r="O10" s="108"/>
      <c r="P10" s="108"/>
      <c r="Q10" s="108"/>
      <c r="R10" s="108"/>
      <c r="S10" s="108"/>
      <c r="T10" s="108"/>
      <c r="U10" s="108"/>
    </row>
    <row r="11" spans="12:21" x14ac:dyDescent="0.25">
      <c r="L11" s="108"/>
      <c r="M11" s="108"/>
      <c r="N11" s="108"/>
      <c r="O11" s="108"/>
      <c r="P11" s="108"/>
      <c r="Q11" s="108"/>
      <c r="R11" s="108"/>
      <c r="S11" s="108"/>
      <c r="T11" s="108"/>
      <c r="U11" s="108"/>
    </row>
    <row r="12" spans="12:21" x14ac:dyDescent="0.25">
      <c r="L12" s="108"/>
      <c r="M12" s="108"/>
      <c r="N12" s="108"/>
      <c r="O12" s="108"/>
      <c r="P12" s="108"/>
      <c r="Q12" s="108"/>
      <c r="R12" s="108"/>
      <c r="S12" s="108"/>
      <c r="T12" s="108"/>
      <c r="U12" s="108"/>
    </row>
    <row r="13" spans="12:21" x14ac:dyDescent="0.25">
      <c r="L13" s="108"/>
      <c r="M13" s="108"/>
      <c r="N13" s="108"/>
      <c r="O13" s="108"/>
      <c r="P13" s="108"/>
      <c r="Q13" s="108"/>
      <c r="R13" s="108"/>
      <c r="S13" s="108"/>
      <c r="T13" s="108"/>
      <c r="U13" s="108"/>
    </row>
    <row r="14" spans="12:21" x14ac:dyDescent="0.25">
      <c r="L14" s="108"/>
      <c r="M14" s="108"/>
      <c r="N14" s="108"/>
      <c r="O14" s="108"/>
      <c r="P14" s="108"/>
      <c r="Q14" s="108"/>
      <c r="R14" s="108"/>
      <c r="S14" s="108"/>
      <c r="T14" s="108"/>
      <c r="U14" s="108"/>
    </row>
    <row r="15" spans="12:21" x14ac:dyDescent="0.25">
      <c r="L15" s="108"/>
      <c r="M15" s="108"/>
      <c r="N15" s="108"/>
      <c r="O15" s="108"/>
      <c r="P15" s="108"/>
      <c r="Q15" s="108"/>
      <c r="R15" s="108"/>
      <c r="S15" s="108"/>
      <c r="T15" s="108"/>
      <c r="U15" s="108"/>
    </row>
    <row r="16" spans="12:21" x14ac:dyDescent="0.25">
      <c r="L16" s="108"/>
      <c r="M16" s="108"/>
      <c r="N16" s="108"/>
      <c r="O16" s="108"/>
      <c r="P16" s="108"/>
      <c r="Q16" s="108"/>
      <c r="R16" s="108"/>
      <c r="S16" s="108"/>
      <c r="T16" s="108"/>
      <c r="U16" s="108"/>
    </row>
    <row r="17" spans="2:21" x14ac:dyDescent="0.25">
      <c r="L17" s="108"/>
      <c r="M17" s="108"/>
      <c r="N17" s="108"/>
      <c r="O17" s="108"/>
      <c r="P17" s="108"/>
      <c r="Q17" s="108"/>
      <c r="R17" s="108"/>
      <c r="S17" s="108"/>
      <c r="T17" s="108"/>
      <c r="U17" s="108"/>
    </row>
    <row r="18" spans="2:21" x14ac:dyDescent="0.25">
      <c r="L18" s="108"/>
      <c r="M18" s="108"/>
      <c r="N18" s="108"/>
      <c r="O18" s="108"/>
      <c r="P18" s="108"/>
      <c r="Q18" s="108"/>
      <c r="R18" s="108"/>
      <c r="S18" s="108"/>
      <c r="T18" s="108"/>
      <c r="U18" s="108"/>
    </row>
    <row r="19" spans="2:21" x14ac:dyDescent="0.25">
      <c r="L19" s="108"/>
      <c r="M19" s="108"/>
      <c r="N19" s="108"/>
      <c r="O19" s="108"/>
      <c r="P19" s="108"/>
      <c r="Q19" s="108"/>
      <c r="R19" s="108"/>
      <c r="S19" s="108"/>
      <c r="T19" s="108"/>
      <c r="U19" s="108"/>
    </row>
    <row r="20" spans="2:21" x14ac:dyDescent="0.25">
      <c r="L20" s="108"/>
      <c r="M20" s="108"/>
      <c r="N20" s="108"/>
      <c r="O20" s="108"/>
      <c r="P20" s="108"/>
      <c r="Q20" s="108"/>
      <c r="R20" s="108"/>
      <c r="S20" s="108"/>
      <c r="T20" s="108"/>
      <c r="U20" s="108"/>
    </row>
    <row r="21" spans="2:21" x14ac:dyDescent="0.25">
      <c r="L21" s="108"/>
      <c r="M21" s="108"/>
      <c r="N21" s="108"/>
      <c r="O21" s="108"/>
      <c r="P21" s="108"/>
      <c r="Q21" s="108"/>
      <c r="R21" s="108"/>
      <c r="S21" s="108"/>
      <c r="T21" s="108"/>
      <c r="U21" s="108"/>
    </row>
    <row r="22" spans="2:21" x14ac:dyDescent="0.25">
      <c r="L22" s="108"/>
      <c r="M22" s="108"/>
      <c r="N22" s="108"/>
      <c r="O22" s="108"/>
      <c r="P22" s="108"/>
      <c r="Q22" s="108"/>
      <c r="R22" s="108"/>
      <c r="S22" s="108"/>
      <c r="T22" s="108"/>
      <c r="U22" s="108"/>
    </row>
    <row r="23" spans="2:21" x14ac:dyDescent="0.25">
      <c r="L23" s="108"/>
      <c r="M23" s="108"/>
      <c r="N23" s="108"/>
      <c r="O23" s="108"/>
      <c r="P23" s="108"/>
      <c r="Q23" s="108"/>
      <c r="R23" s="108"/>
      <c r="S23" s="108"/>
      <c r="T23" s="108"/>
      <c r="U23" s="108"/>
    </row>
    <row r="24" spans="2:21" ht="15.75" x14ac:dyDescent="0.25">
      <c r="B24" s="9" t="s">
        <v>4</v>
      </c>
      <c r="C24" s="10"/>
      <c r="D24" s="18" t="s">
        <v>5</v>
      </c>
      <c r="E24" s="18" t="s">
        <v>6</v>
      </c>
      <c r="F24" s="18" t="s">
        <v>7</v>
      </c>
      <c r="G24" s="18" t="s">
        <v>8</v>
      </c>
      <c r="H24" s="18" t="s">
        <v>502</v>
      </c>
      <c r="I24" s="18" t="s">
        <v>503</v>
      </c>
      <c r="J24" s="8"/>
      <c r="L24" s="108"/>
      <c r="M24" s="108"/>
      <c r="N24" s="108"/>
      <c r="O24" s="108"/>
      <c r="P24" s="108"/>
      <c r="Q24" s="108"/>
      <c r="R24" s="108"/>
      <c r="S24" s="108"/>
      <c r="T24" s="108"/>
      <c r="U24" s="108"/>
    </row>
    <row r="25" spans="2:21" x14ac:dyDescent="0.25">
      <c r="B25" s="1"/>
      <c r="C25" s="1"/>
      <c r="D25" s="19" t="s">
        <v>9</v>
      </c>
      <c r="E25" s="20"/>
      <c r="F25" s="20"/>
      <c r="G25" s="21"/>
      <c r="H25" s="22" t="s">
        <v>10</v>
      </c>
      <c r="I25" s="20"/>
      <c r="J25" s="20"/>
      <c r="L25" s="108"/>
      <c r="M25" s="108"/>
      <c r="N25" s="108"/>
      <c r="O25" s="108"/>
      <c r="P25" s="108"/>
      <c r="Q25" s="108"/>
      <c r="R25" s="108"/>
      <c r="S25" s="108"/>
      <c r="T25" s="108"/>
      <c r="U25" s="108"/>
    </row>
    <row r="26" spans="2:21" x14ac:dyDescent="0.25">
      <c r="B26" s="23"/>
      <c r="C26" s="23"/>
      <c r="D26" s="24">
        <v>44926</v>
      </c>
      <c r="E26" s="24">
        <v>45291</v>
      </c>
      <c r="F26" s="24">
        <v>45657</v>
      </c>
      <c r="G26" s="25">
        <v>46022</v>
      </c>
      <c r="H26" s="26">
        <v>45838</v>
      </c>
      <c r="I26" s="25">
        <v>46203</v>
      </c>
      <c r="J26" s="27" t="s">
        <v>11</v>
      </c>
      <c r="L26" s="108"/>
      <c r="M26" s="108"/>
      <c r="N26" s="108"/>
      <c r="O26" s="108"/>
      <c r="P26" s="108"/>
      <c r="Q26" s="108"/>
      <c r="R26" s="108"/>
      <c r="S26" s="108"/>
      <c r="T26" s="108"/>
      <c r="U26" s="108"/>
    </row>
    <row r="27" spans="2:21" x14ac:dyDescent="0.25">
      <c r="B27" s="8" t="s">
        <v>12</v>
      </c>
      <c r="C27" s="8"/>
      <c r="D27" s="28">
        <v>3164.3153299999999</v>
      </c>
      <c r="E27" s="28">
        <v>5231.2196000000004</v>
      </c>
      <c r="F27" s="28">
        <v>4157.2097100000001</v>
      </c>
      <c r="G27" s="29">
        <v>4670.9467100000002</v>
      </c>
      <c r="H27" s="30">
        <v>4326.9397900000004</v>
      </c>
      <c r="I27" s="29">
        <v>5597.5631999999996</v>
      </c>
      <c r="J27" s="31">
        <v>0.29365405382726606</v>
      </c>
      <c r="L27" s="108"/>
      <c r="M27" s="108"/>
      <c r="N27" s="108"/>
      <c r="O27" s="108"/>
      <c r="P27" s="108"/>
      <c r="Q27" s="108"/>
      <c r="R27" s="108"/>
      <c r="S27" s="108"/>
      <c r="T27" s="108"/>
      <c r="U27" s="108"/>
    </row>
    <row r="28" spans="2:21" x14ac:dyDescent="0.25">
      <c r="B28" s="8" t="s">
        <v>13</v>
      </c>
      <c r="C28" s="32"/>
      <c r="D28" s="28">
        <v>940.30322999999999</v>
      </c>
      <c r="E28" s="28">
        <v>2461.1688600000002</v>
      </c>
      <c r="F28" s="28">
        <v>1962.71801</v>
      </c>
      <c r="G28" s="29">
        <v>2143.6904800000002</v>
      </c>
      <c r="H28" s="30">
        <v>2023.81125</v>
      </c>
      <c r="I28" s="29">
        <v>2491.65841</v>
      </c>
      <c r="J28" s="31">
        <v>0.23117134070679768</v>
      </c>
      <c r="L28" s="108"/>
      <c r="M28" s="108"/>
      <c r="N28" s="108"/>
      <c r="O28" s="108"/>
      <c r="P28" s="108"/>
      <c r="Q28" s="108"/>
      <c r="R28" s="108"/>
      <c r="S28" s="108"/>
      <c r="T28" s="108"/>
      <c r="U28" s="108"/>
    </row>
    <row r="29" spans="2:21" x14ac:dyDescent="0.25">
      <c r="B29" s="8" t="s">
        <v>14</v>
      </c>
      <c r="C29" s="32"/>
      <c r="D29" s="28">
        <v>1831.6268600000001</v>
      </c>
      <c r="E29" s="28">
        <v>2406.3893400000002</v>
      </c>
      <c r="F29" s="28">
        <v>1973.67048</v>
      </c>
      <c r="G29" s="29">
        <v>2401.08988</v>
      </c>
      <c r="H29" s="30">
        <v>2178.7149100000001</v>
      </c>
      <c r="I29" s="29">
        <v>2961.0722799999999</v>
      </c>
      <c r="J29" s="31">
        <v>0.35909120849592924</v>
      </c>
      <c r="L29" s="108"/>
      <c r="M29" s="108"/>
      <c r="N29" s="108"/>
      <c r="O29" s="108"/>
      <c r="P29" s="108"/>
      <c r="Q29" s="108"/>
      <c r="R29" s="108"/>
      <c r="S29" s="108"/>
      <c r="T29" s="108"/>
      <c r="U29" s="108"/>
    </row>
    <row r="30" spans="2:21" x14ac:dyDescent="0.25">
      <c r="B30" s="8" t="s">
        <v>15</v>
      </c>
      <c r="C30" s="32"/>
      <c r="D30" s="28">
        <v>379.44245999999998</v>
      </c>
      <c r="E30" s="28">
        <v>539.24288999999999</v>
      </c>
      <c r="F30" s="28">
        <v>491.93069000000003</v>
      </c>
      <c r="G30" s="29">
        <v>638.06542000000002</v>
      </c>
      <c r="H30" s="30">
        <v>556.11689000000001</v>
      </c>
      <c r="I30" s="29">
        <v>750.49117999999999</v>
      </c>
      <c r="J30" s="31">
        <v>0.34952056572135404</v>
      </c>
      <c r="L30" s="108"/>
      <c r="M30" s="108"/>
      <c r="N30" s="108"/>
      <c r="O30" s="108"/>
      <c r="P30" s="108"/>
      <c r="Q30" s="108"/>
      <c r="R30" s="108"/>
      <c r="S30" s="108"/>
      <c r="T30" s="108"/>
      <c r="U30" s="108"/>
    </row>
    <row r="31" spans="2:21" x14ac:dyDescent="0.25">
      <c r="B31" s="8" t="s">
        <v>16</v>
      </c>
      <c r="C31" s="32"/>
      <c r="D31" s="28">
        <v>710.89112</v>
      </c>
      <c r="E31" s="28">
        <v>1527.4119800000001</v>
      </c>
      <c r="F31" s="28">
        <v>1178.22578</v>
      </c>
      <c r="G31" s="29">
        <v>876.95816000000002</v>
      </c>
      <c r="H31" s="30">
        <v>930.98116000000005</v>
      </c>
      <c r="I31" s="29">
        <v>916.04683</v>
      </c>
      <c r="J31" s="31">
        <v>-1.604149540469757E-2</v>
      </c>
      <c r="L31" s="108"/>
      <c r="M31" s="108"/>
      <c r="N31" s="108"/>
      <c r="O31" s="108"/>
      <c r="P31" s="108"/>
      <c r="Q31" s="108"/>
      <c r="R31" s="108"/>
      <c r="S31" s="108"/>
      <c r="T31" s="108"/>
      <c r="U31" s="108"/>
    </row>
    <row r="32" spans="2:21" x14ac:dyDescent="0.25">
      <c r="B32" s="8" t="s">
        <v>17</v>
      </c>
      <c r="C32" s="8"/>
      <c r="D32" s="28">
        <v>508.88186999999999</v>
      </c>
      <c r="E32" s="28">
        <v>701.96144000000004</v>
      </c>
      <c r="F32" s="28">
        <v>624.68109000000004</v>
      </c>
      <c r="G32" s="29">
        <v>902.79583000000002</v>
      </c>
      <c r="H32" s="30">
        <v>700.03413999999998</v>
      </c>
      <c r="I32" s="29">
        <v>1134.1044199999999</v>
      </c>
      <c r="J32" s="31">
        <v>0.6200701582925654</v>
      </c>
      <c r="L32" s="108"/>
      <c r="M32" s="108"/>
      <c r="N32" s="108"/>
      <c r="O32" s="108"/>
      <c r="P32" s="108"/>
      <c r="Q32" s="108"/>
      <c r="R32" s="108"/>
      <c r="S32" s="108"/>
      <c r="T32" s="108"/>
      <c r="U32" s="108"/>
    </row>
    <row r="33" spans="2:21" x14ac:dyDescent="0.25">
      <c r="B33" s="8" t="s">
        <v>18</v>
      </c>
      <c r="C33" s="8"/>
      <c r="D33" s="28">
        <v>478.57790999999997</v>
      </c>
      <c r="E33" s="28">
        <v>-256.53136000000001</v>
      </c>
      <c r="F33" s="28">
        <v>-14.40494</v>
      </c>
      <c r="G33" s="29">
        <v>588.96388000000002</v>
      </c>
      <c r="H33" s="30">
        <v>338.99698999999998</v>
      </c>
      <c r="I33" s="29">
        <v>791.47902999999997</v>
      </c>
      <c r="J33" s="31">
        <v>1.3347671317081606</v>
      </c>
      <c r="L33" s="11" t="s">
        <v>1</v>
      </c>
    </row>
    <row r="34" spans="2:21" x14ac:dyDescent="0.25">
      <c r="B34" s="8" t="s">
        <v>19</v>
      </c>
      <c r="C34" s="8"/>
      <c r="D34" s="28">
        <v>145.17291</v>
      </c>
      <c r="E34" s="28">
        <v>-160.42093</v>
      </c>
      <c r="F34" s="28">
        <v>5.9268400000000003</v>
      </c>
      <c r="G34" s="29">
        <v>160.76499999999999</v>
      </c>
      <c r="H34" s="30">
        <v>95.024379999999994</v>
      </c>
      <c r="I34" s="29">
        <v>257.49614000000003</v>
      </c>
      <c r="J34" s="31">
        <v>1.7097902664558302</v>
      </c>
      <c r="L34" s="12" t="s">
        <v>175</v>
      </c>
    </row>
    <row r="35" spans="2:21" x14ac:dyDescent="0.25">
      <c r="B35" s="8" t="s">
        <v>20</v>
      </c>
      <c r="C35" s="8"/>
      <c r="D35" s="28">
        <v>333.40499999999997</v>
      </c>
      <c r="E35" s="28">
        <v>-96.110429999999994</v>
      </c>
      <c r="F35" s="28">
        <v>-20.331779999999998</v>
      </c>
      <c r="G35" s="29">
        <v>428.19889000000001</v>
      </c>
      <c r="H35" s="30">
        <v>243.97261</v>
      </c>
      <c r="I35" s="29">
        <v>533.98288000000002</v>
      </c>
      <c r="J35" s="31">
        <v>1.1887001167877003</v>
      </c>
      <c r="L35" s="109" t="s">
        <v>176</v>
      </c>
      <c r="M35" s="109"/>
      <c r="N35" s="109"/>
      <c r="O35" s="109"/>
      <c r="P35" s="109"/>
      <c r="Q35" s="109"/>
      <c r="R35" s="109"/>
      <c r="S35" s="109"/>
      <c r="T35" s="109"/>
      <c r="U35" s="109"/>
    </row>
    <row r="36" spans="2:21" x14ac:dyDescent="0.25">
      <c r="B36" s="33" t="s">
        <v>21</v>
      </c>
      <c r="C36" s="34"/>
      <c r="D36" s="35">
        <v>328.70024000000001</v>
      </c>
      <c r="E36" s="35">
        <v>-102.14243999999999</v>
      </c>
      <c r="F36" s="35">
        <v>-26.30058</v>
      </c>
      <c r="G36" s="36">
        <v>403.65355</v>
      </c>
      <c r="H36" s="37">
        <v>238.43422000000001</v>
      </c>
      <c r="I36" s="36">
        <v>504.88001000000003</v>
      </c>
      <c r="J36" s="38">
        <v>1.1174813330066464</v>
      </c>
      <c r="L36" s="109"/>
      <c r="M36" s="109"/>
      <c r="N36" s="109"/>
      <c r="O36" s="109"/>
      <c r="P36" s="109"/>
      <c r="Q36" s="109"/>
      <c r="R36" s="109"/>
      <c r="S36" s="109"/>
      <c r="T36" s="109"/>
      <c r="U36" s="109"/>
    </row>
    <row r="37" spans="2:21" x14ac:dyDescent="0.25">
      <c r="B37" s="39" t="s">
        <v>22</v>
      </c>
      <c r="C37" s="8"/>
      <c r="D37" s="40">
        <v>5.6131E-2</v>
      </c>
      <c r="E37" s="40">
        <v>4.9355999999999997E-2</v>
      </c>
      <c r="F37" s="40">
        <v>4.8913000000000005E-2</v>
      </c>
      <c r="G37" s="41">
        <v>4.0399000000000004E-2</v>
      </c>
      <c r="H37" s="31">
        <v>5.0120999999999999E-2</v>
      </c>
      <c r="I37" s="41">
        <v>4.0406000000000004E-2</v>
      </c>
      <c r="J37" s="31" t="s">
        <v>511</v>
      </c>
      <c r="L37" s="109"/>
      <c r="M37" s="109"/>
      <c r="N37" s="109"/>
      <c r="O37" s="109"/>
      <c r="P37" s="109"/>
      <c r="Q37" s="109"/>
      <c r="R37" s="109"/>
      <c r="S37" s="109"/>
      <c r="T37" s="109"/>
      <c r="U37" s="109"/>
    </row>
    <row r="38" spans="2:21" x14ac:dyDescent="0.25">
      <c r="B38" s="39" t="s">
        <v>24</v>
      </c>
      <c r="C38" s="8"/>
      <c r="D38" s="40">
        <v>1.358938</v>
      </c>
      <c r="E38" s="40">
        <v>0.90309899999999999</v>
      </c>
      <c r="F38" s="40">
        <v>0.77615899999999993</v>
      </c>
      <c r="G38" s="41">
        <v>0.882965</v>
      </c>
      <c r="H38" s="31">
        <v>0.76923199999999992</v>
      </c>
      <c r="I38" s="41">
        <v>0.92791999999999997</v>
      </c>
      <c r="J38" s="31" t="s">
        <v>512</v>
      </c>
      <c r="L38" s="109" t="s">
        <v>177</v>
      </c>
      <c r="M38" s="109"/>
      <c r="N38" s="109"/>
      <c r="O38" s="109"/>
      <c r="P38" s="109"/>
      <c r="Q38" s="109"/>
      <c r="R38" s="109"/>
      <c r="S38" s="109"/>
      <c r="T38" s="109"/>
      <c r="U38" s="109"/>
    </row>
    <row r="39" spans="2:21" x14ac:dyDescent="0.25">
      <c r="B39" s="39" t="s">
        <v>25</v>
      </c>
      <c r="C39" s="8"/>
      <c r="D39" s="40">
        <v>0</v>
      </c>
      <c r="E39" s="40">
        <v>0</v>
      </c>
      <c r="F39" s="40">
        <v>0</v>
      </c>
      <c r="G39" s="41">
        <v>0</v>
      </c>
      <c r="H39" s="31">
        <v>0</v>
      </c>
      <c r="I39" s="41">
        <v>0</v>
      </c>
      <c r="J39" s="31" t="s">
        <v>26</v>
      </c>
      <c r="L39" s="109"/>
      <c r="M39" s="109"/>
      <c r="N39" s="109"/>
      <c r="O39" s="109"/>
      <c r="P39" s="109"/>
      <c r="Q39" s="109"/>
      <c r="R39" s="109"/>
      <c r="S39" s="109"/>
      <c r="T39" s="109"/>
      <c r="U39" s="109"/>
    </row>
    <row r="40" spans="2:21" x14ac:dyDescent="0.25">
      <c r="B40" s="8" t="s">
        <v>27</v>
      </c>
      <c r="C40" s="42"/>
      <c r="D40" s="40">
        <v>8.9675999999999992E-2</v>
      </c>
      <c r="E40" s="40">
        <v>8.4602000000000011E-2</v>
      </c>
      <c r="F40" s="40">
        <v>8.2545000000000007E-2</v>
      </c>
      <c r="G40" s="41">
        <v>7.7441999999999997E-2</v>
      </c>
      <c r="H40" s="31">
        <v>8.4436999999999998E-2</v>
      </c>
      <c r="I40" s="41">
        <v>7.930100000000001E-2</v>
      </c>
      <c r="J40" s="31" t="s">
        <v>98</v>
      </c>
      <c r="L40" s="12" t="s">
        <v>178</v>
      </c>
      <c r="M40" s="12"/>
      <c r="N40" s="12"/>
      <c r="O40" s="12"/>
      <c r="P40" s="12"/>
      <c r="Q40" s="12"/>
      <c r="R40" s="12"/>
      <c r="S40" s="12"/>
      <c r="T40" s="12"/>
      <c r="U40" s="12"/>
    </row>
    <row r="41" spans="2:21" x14ac:dyDescent="0.25">
      <c r="B41" s="8" t="s">
        <v>29</v>
      </c>
      <c r="C41" s="42"/>
      <c r="D41" s="40">
        <v>9.0772999999999993E-2</v>
      </c>
      <c r="E41" s="40">
        <v>8.5679999999999992E-2</v>
      </c>
      <c r="F41" s="40">
        <v>8.3652000000000004E-2</v>
      </c>
      <c r="G41" s="41">
        <v>8.4186999999999998E-2</v>
      </c>
      <c r="H41" s="31">
        <v>8.5519999999999999E-2</v>
      </c>
      <c r="I41" s="41">
        <v>8.5728000000000013E-2</v>
      </c>
      <c r="J41" s="31" t="s">
        <v>26</v>
      </c>
      <c r="L41" s="12" t="s">
        <v>179</v>
      </c>
      <c r="M41" s="12"/>
      <c r="N41" s="12"/>
      <c r="O41" s="12"/>
      <c r="P41" s="12"/>
      <c r="Q41" s="12"/>
      <c r="R41" s="12"/>
      <c r="S41" s="12"/>
      <c r="T41" s="12"/>
      <c r="U41" s="12"/>
    </row>
    <row r="42" spans="2:21" x14ac:dyDescent="0.25">
      <c r="B42" s="8" t="s">
        <v>30</v>
      </c>
      <c r="C42" s="42"/>
      <c r="D42" s="40">
        <v>1.3528929999999999</v>
      </c>
      <c r="E42" s="40">
        <v>1.1038950000000001</v>
      </c>
      <c r="F42" s="40">
        <v>1.0678860000000001</v>
      </c>
      <c r="G42" s="41">
        <v>1.049291</v>
      </c>
      <c r="H42" s="31">
        <v>1.046705</v>
      </c>
      <c r="I42" s="41">
        <v>1.0470600000000001</v>
      </c>
      <c r="J42" s="31" t="s">
        <v>26</v>
      </c>
      <c r="L42" s="12" t="s">
        <v>2</v>
      </c>
      <c r="M42" s="12"/>
      <c r="N42" s="12"/>
      <c r="O42" s="12"/>
      <c r="P42" s="12"/>
      <c r="Q42" s="12"/>
      <c r="R42" s="12"/>
      <c r="S42" s="12"/>
      <c r="T42" s="12"/>
      <c r="U42" s="12"/>
    </row>
    <row r="43" spans="2:21" x14ac:dyDescent="0.25">
      <c r="B43" s="39" t="s">
        <v>31</v>
      </c>
      <c r="C43" s="42"/>
      <c r="D43" s="40">
        <v>0.1288</v>
      </c>
      <c r="E43" s="40">
        <v>0.11749999999999999</v>
      </c>
      <c r="F43" s="40">
        <v>0.12659999999999999</v>
      </c>
      <c r="G43" s="41">
        <v>0.12909999999999999</v>
      </c>
      <c r="H43" s="31">
        <v>0.1298</v>
      </c>
      <c r="I43" s="41">
        <v>0.1333</v>
      </c>
      <c r="J43" s="31" t="s">
        <v>50</v>
      </c>
      <c r="L43" s="12" t="s">
        <v>180</v>
      </c>
      <c r="M43" s="14"/>
      <c r="N43" s="14"/>
      <c r="O43" s="14"/>
      <c r="P43" s="14"/>
      <c r="Q43" s="14"/>
      <c r="R43" s="14"/>
      <c r="S43" s="14"/>
      <c r="T43" s="14"/>
      <c r="U43" s="14"/>
    </row>
    <row r="44" spans="2:21" x14ac:dyDescent="0.25">
      <c r="B44" s="39" t="s">
        <v>32</v>
      </c>
      <c r="C44" s="42"/>
      <c r="D44" s="40">
        <v>0.11070000000000001</v>
      </c>
      <c r="E44" s="40">
        <v>0.10249999999999999</v>
      </c>
      <c r="F44" s="40">
        <v>0.10949999999999999</v>
      </c>
      <c r="G44" s="41">
        <v>0.1162</v>
      </c>
      <c r="H44" s="31">
        <v>0.11380000000000001</v>
      </c>
      <c r="I44" s="41">
        <v>0.12130000000000001</v>
      </c>
      <c r="J44" s="31" t="s">
        <v>513</v>
      </c>
      <c r="L44" s="12" t="s">
        <v>181</v>
      </c>
    </row>
    <row r="45" spans="2:21" x14ac:dyDescent="0.25">
      <c r="B45" s="39" t="s">
        <v>33</v>
      </c>
      <c r="C45" s="42"/>
      <c r="D45" s="40">
        <v>3.4124000000000002E-2</v>
      </c>
      <c r="E45" s="40">
        <v>2.7837999999999998E-2</v>
      </c>
      <c r="F45" s="40">
        <v>2.9104000000000001E-2</v>
      </c>
      <c r="G45" s="41">
        <v>3.2244000000000002E-2</v>
      </c>
      <c r="H45" s="31">
        <v>2.5923999999999999E-2</v>
      </c>
      <c r="I45" s="41">
        <v>2.7543999999999999E-2</v>
      </c>
      <c r="J45" s="31" t="s">
        <v>44</v>
      </c>
      <c r="L45" s="12" t="s">
        <v>182</v>
      </c>
    </row>
    <row r="46" spans="2:21" x14ac:dyDescent="0.25">
      <c r="B46" s="33" t="s">
        <v>34</v>
      </c>
      <c r="C46" s="43"/>
      <c r="D46" s="44">
        <v>0.16289999999999999</v>
      </c>
      <c r="E46" s="44">
        <v>0.1454</v>
      </c>
      <c r="F46" s="44">
        <v>0.15570000000000001</v>
      </c>
      <c r="G46" s="45">
        <v>0.1613</v>
      </c>
      <c r="H46" s="38">
        <v>0.15579999999999999</v>
      </c>
      <c r="I46" s="45">
        <v>0.16079999999999997</v>
      </c>
      <c r="J46" s="38" t="s">
        <v>52</v>
      </c>
      <c r="L46" s="12" t="s">
        <v>183</v>
      </c>
    </row>
    <row r="47" spans="2:21" x14ac:dyDescent="0.25">
      <c r="B47" s="39" t="s">
        <v>35</v>
      </c>
      <c r="C47" s="32"/>
      <c r="D47" s="32">
        <v>0.105709</v>
      </c>
      <c r="E47" s="32">
        <v>-2.3984999999999999E-2</v>
      </c>
      <c r="F47" s="32">
        <v>-5.7999999999999996E-3</v>
      </c>
      <c r="G47" s="46">
        <v>9.2243999999999993E-2</v>
      </c>
      <c r="H47" s="47">
        <v>6.2484999999999999E-2</v>
      </c>
      <c r="I47" s="46">
        <v>0.10264200000000001</v>
      </c>
      <c r="J47" s="31" t="s">
        <v>507</v>
      </c>
      <c r="L47" s="12" t="s">
        <v>184</v>
      </c>
      <c r="M47" s="15"/>
      <c r="N47" s="15"/>
      <c r="O47" s="15"/>
      <c r="P47" s="15"/>
      <c r="Q47" s="15"/>
      <c r="R47" s="15"/>
      <c r="S47" s="15"/>
      <c r="T47" s="15"/>
      <c r="U47" s="15"/>
    </row>
    <row r="48" spans="2:21" x14ac:dyDescent="0.25">
      <c r="B48" s="8" t="s">
        <v>36</v>
      </c>
      <c r="C48" s="8"/>
      <c r="D48" s="32">
        <v>0.105493</v>
      </c>
      <c r="E48" s="32">
        <v>-2.5815000000000001E-2</v>
      </c>
      <c r="F48" s="32">
        <v>-7.6029999999999995E-3</v>
      </c>
      <c r="G48" s="46">
        <v>9.4529000000000002E-2</v>
      </c>
      <c r="H48" s="47">
        <v>6.1849999999999995E-2</v>
      </c>
      <c r="I48" s="46">
        <v>0.10491400000000001</v>
      </c>
      <c r="J48" s="31" t="s">
        <v>514</v>
      </c>
      <c r="L48" s="12" t="s">
        <v>185</v>
      </c>
      <c r="M48" s="15"/>
      <c r="N48" s="15"/>
      <c r="O48" s="15"/>
      <c r="P48" s="15"/>
      <c r="Q48" s="15"/>
      <c r="R48" s="15"/>
      <c r="S48" s="15"/>
      <c r="T48" s="15"/>
      <c r="U48" s="15"/>
    </row>
    <row r="49" spans="2:21" x14ac:dyDescent="0.25">
      <c r="B49" s="33" t="s">
        <v>38</v>
      </c>
      <c r="C49" s="34"/>
      <c r="D49" s="34">
        <v>9.5949999999999994E-3</v>
      </c>
      <c r="E49" s="34">
        <v>-2.055E-3</v>
      </c>
      <c r="F49" s="34">
        <v>-4.8500000000000003E-4</v>
      </c>
      <c r="G49" s="48">
        <v>7.7649999999999993E-3</v>
      </c>
      <c r="H49" s="49">
        <v>5.3429999999999997E-3</v>
      </c>
      <c r="I49" s="48">
        <v>8.7989999999999995E-3</v>
      </c>
      <c r="J49" s="38" t="s">
        <v>49</v>
      </c>
      <c r="L49" s="12"/>
      <c r="M49" s="16"/>
      <c r="N49" s="16"/>
      <c r="O49" s="16"/>
      <c r="P49" s="16"/>
      <c r="Q49" s="16"/>
      <c r="R49" s="16"/>
      <c r="S49" s="16"/>
      <c r="T49" s="16"/>
      <c r="U49" s="16"/>
    </row>
    <row r="50" spans="2:21" x14ac:dyDescent="0.25">
      <c r="B50" s="8" t="s">
        <v>39</v>
      </c>
      <c r="C50" s="8"/>
      <c r="D50" s="42">
        <v>6.6368400000000003</v>
      </c>
      <c r="E50" s="55" t="s">
        <v>46</v>
      </c>
      <c r="F50" s="55" t="s">
        <v>46</v>
      </c>
      <c r="G50" s="51">
        <v>9.6377900000000007</v>
      </c>
      <c r="H50" s="55">
        <v>23.883679999999998</v>
      </c>
      <c r="I50" s="51">
        <v>7.6901799999999998</v>
      </c>
      <c r="J50" s="31">
        <v>-0.67801528072725814</v>
      </c>
      <c r="L50" s="17" t="s">
        <v>3</v>
      </c>
      <c r="M50" s="16"/>
      <c r="N50" s="16"/>
      <c r="O50" s="16"/>
      <c r="P50" s="16"/>
      <c r="Q50" s="16"/>
      <c r="R50" s="16"/>
      <c r="S50" s="16"/>
      <c r="T50" s="16"/>
      <c r="U50" s="16"/>
    </row>
    <row r="51" spans="2:21" x14ac:dyDescent="0.25">
      <c r="B51" s="8" t="s">
        <v>40</v>
      </c>
      <c r="C51" s="8"/>
      <c r="D51" s="42">
        <v>6.4102100000000002</v>
      </c>
      <c r="E51" s="55">
        <v>10.708410000000001</v>
      </c>
      <c r="F51" s="55">
        <v>5.4238099999999996</v>
      </c>
      <c r="G51" s="51">
        <v>6.2141200000000003</v>
      </c>
      <c r="H51" s="55">
        <v>7.0359499999999997</v>
      </c>
      <c r="I51" s="51">
        <v>5.79495</v>
      </c>
      <c r="J51" s="31">
        <v>-0.17637987762846519</v>
      </c>
      <c r="L51" s="12" t="s">
        <v>186</v>
      </c>
    </row>
    <row r="52" spans="2:21" x14ac:dyDescent="0.25">
      <c r="B52" s="33" t="s">
        <v>41</v>
      </c>
      <c r="C52" s="34"/>
      <c r="D52" s="52">
        <v>0.90146999999999999</v>
      </c>
      <c r="E52" s="52">
        <v>0.66218999999999995</v>
      </c>
      <c r="F52" s="52">
        <v>0.63597000000000004</v>
      </c>
      <c r="G52" s="53">
        <v>0.84108000000000005</v>
      </c>
      <c r="H52" s="54">
        <v>0.80830000000000002</v>
      </c>
      <c r="I52" s="53">
        <v>0.81116999999999995</v>
      </c>
      <c r="J52" s="38">
        <v>3.5506618829641567E-3</v>
      </c>
      <c r="L52" s="12" t="s">
        <v>187</v>
      </c>
      <c r="M52" s="14"/>
      <c r="N52" s="14"/>
      <c r="O52" s="14"/>
      <c r="P52" s="14"/>
      <c r="Q52" s="14"/>
      <c r="R52" s="14"/>
      <c r="S52" s="14"/>
      <c r="T52" s="14"/>
      <c r="U52" s="14"/>
    </row>
    <row r="53" spans="2:21" x14ac:dyDescent="0.25">
      <c r="L53" s="12" t="s">
        <v>188</v>
      </c>
      <c r="M53" s="15"/>
      <c r="N53" s="15"/>
      <c r="O53" s="15"/>
      <c r="P53" s="15"/>
      <c r="Q53" s="15"/>
      <c r="R53" s="15"/>
      <c r="S53" s="15"/>
      <c r="T53" s="15"/>
      <c r="U53" s="15"/>
    </row>
    <row r="54" spans="2:21" x14ac:dyDescent="0.25">
      <c r="L54" s="12" t="s">
        <v>189</v>
      </c>
      <c r="M54" s="15"/>
      <c r="N54" s="15"/>
      <c r="O54" s="15"/>
      <c r="P54" s="15"/>
      <c r="Q54" s="15"/>
      <c r="R54" s="15"/>
      <c r="S54" s="15"/>
      <c r="T54" s="15"/>
      <c r="U54" s="15"/>
    </row>
    <row r="55" spans="2:21" x14ac:dyDescent="0.25">
      <c r="L55" s="12" t="s">
        <v>190</v>
      </c>
      <c r="M55" s="15"/>
      <c r="N55" s="15"/>
      <c r="O55" s="15"/>
      <c r="P55" s="15"/>
      <c r="Q55" s="15"/>
      <c r="R55" s="15"/>
      <c r="S55" s="15"/>
      <c r="T55" s="15"/>
      <c r="U55" s="15"/>
    </row>
    <row r="56" spans="2:21" x14ac:dyDescent="0.25">
      <c r="L56" s="12" t="s">
        <v>191</v>
      </c>
      <c r="M56" s="15"/>
      <c r="N56" s="15"/>
      <c r="O56" s="15"/>
      <c r="P56" s="15"/>
      <c r="Q56" s="15"/>
      <c r="R56" s="15"/>
      <c r="S56" s="15"/>
      <c r="T56" s="15"/>
      <c r="U56" s="15"/>
    </row>
    <row r="57" spans="2:21" x14ac:dyDescent="0.25">
      <c r="L57" s="12" t="s">
        <v>192</v>
      </c>
      <c r="M57" s="14"/>
      <c r="N57" s="14"/>
      <c r="O57" s="14"/>
      <c r="P57" s="14"/>
      <c r="Q57" s="14"/>
      <c r="R57" s="14"/>
      <c r="S57" s="14"/>
      <c r="T57" s="14"/>
      <c r="U57" s="14"/>
    </row>
    <row r="58" spans="2:21" x14ac:dyDescent="0.25">
      <c r="L58" s="109" t="s">
        <v>193</v>
      </c>
      <c r="M58" s="109"/>
      <c r="N58" s="109"/>
      <c r="O58" s="109"/>
      <c r="P58" s="109"/>
      <c r="Q58" s="109"/>
      <c r="R58" s="109"/>
      <c r="S58" s="109"/>
      <c r="T58" s="109"/>
      <c r="U58" s="109"/>
    </row>
    <row r="59" spans="2:21" x14ac:dyDescent="0.25">
      <c r="L59" s="109"/>
      <c r="M59" s="109"/>
      <c r="N59" s="109"/>
      <c r="O59" s="109"/>
      <c r="P59" s="109"/>
      <c r="Q59" s="109"/>
      <c r="R59" s="109"/>
      <c r="S59" s="109"/>
      <c r="T59" s="109"/>
      <c r="U59" s="109"/>
    </row>
    <row r="60" spans="2:21" x14ac:dyDescent="0.25">
      <c r="L60" s="12" t="s">
        <v>194</v>
      </c>
    </row>
    <row r="61" spans="2:21" x14ac:dyDescent="0.25">
      <c r="L61" s="12" t="s">
        <v>195</v>
      </c>
    </row>
    <row r="62" spans="2:21" x14ac:dyDescent="0.25">
      <c r="L62" s="12" t="s">
        <v>196</v>
      </c>
    </row>
    <row r="63" spans="2:21" x14ac:dyDescent="0.25">
      <c r="L63" s="109" t="s">
        <v>197</v>
      </c>
      <c r="M63" s="109"/>
      <c r="N63" s="109"/>
      <c r="O63" s="109"/>
      <c r="P63" s="109"/>
      <c r="Q63" s="109"/>
      <c r="R63" s="109"/>
      <c r="S63" s="109"/>
      <c r="T63" s="109"/>
      <c r="U63" s="109"/>
    </row>
    <row r="64" spans="2:21" x14ac:dyDescent="0.25">
      <c r="L64" s="109"/>
      <c r="M64" s="109"/>
      <c r="N64" s="109"/>
      <c r="O64" s="109"/>
      <c r="P64" s="109"/>
      <c r="Q64" s="109"/>
      <c r="R64" s="109"/>
      <c r="S64" s="109"/>
      <c r="T64" s="109"/>
      <c r="U64" s="109"/>
    </row>
    <row r="66" spans="12:21" x14ac:dyDescent="0.25">
      <c r="L66" s="15"/>
      <c r="M66" s="15"/>
      <c r="N66" s="15"/>
      <c r="O66" s="15"/>
      <c r="P66" s="15"/>
      <c r="Q66" s="15"/>
      <c r="R66" s="15"/>
      <c r="S66" s="15"/>
      <c r="T66" s="15"/>
      <c r="U66" s="15"/>
    </row>
    <row r="67" spans="12:21" x14ac:dyDescent="0.25">
      <c r="L67" s="15"/>
      <c r="M67" s="15"/>
      <c r="N67" s="15"/>
      <c r="O67" s="15"/>
      <c r="P67" s="15"/>
      <c r="Q67" s="15"/>
      <c r="R67" s="15"/>
      <c r="S67" s="15"/>
      <c r="T67" s="15"/>
      <c r="U67" s="15"/>
    </row>
    <row r="68" spans="12:21" x14ac:dyDescent="0.25">
      <c r="L68" s="15"/>
      <c r="M68" s="15"/>
      <c r="N68" s="15"/>
      <c r="O68" s="15"/>
      <c r="P68" s="15"/>
      <c r="Q68" s="15"/>
      <c r="R68" s="15"/>
      <c r="S68" s="15"/>
      <c r="T68" s="15"/>
      <c r="U68" s="15"/>
    </row>
  </sheetData>
  <mergeCells count="5">
    <mergeCell ref="L6:U32"/>
    <mergeCell ref="L35:U37"/>
    <mergeCell ref="L38:U39"/>
    <mergeCell ref="L58:U59"/>
    <mergeCell ref="L63:U6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18CB8-46A5-48BF-93F0-309DA0E34E74}">
  <dimension ref="B1:U68"/>
  <sheetViews>
    <sheetView topLeftCell="A21" workbookViewId="0">
      <selection activeCell="B23" sqref="B23:J51"/>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x14ac:dyDescent="0.25">
      <c r="L6" s="108" t="s">
        <v>198</v>
      </c>
      <c r="M6" s="108"/>
      <c r="N6" s="108"/>
      <c r="O6" s="108"/>
      <c r="P6" s="108"/>
      <c r="Q6" s="108"/>
      <c r="R6" s="108"/>
      <c r="S6" s="108"/>
      <c r="T6" s="108"/>
      <c r="U6" s="108"/>
    </row>
    <row r="7" spans="12:21" x14ac:dyDescent="0.25">
      <c r="L7" s="108"/>
      <c r="M7" s="108"/>
      <c r="N7" s="108"/>
      <c r="O7" s="108"/>
      <c r="P7" s="108"/>
      <c r="Q7" s="108"/>
      <c r="R7" s="108"/>
      <c r="S7" s="108"/>
      <c r="T7" s="108"/>
      <c r="U7" s="108"/>
    </row>
    <row r="8" spans="12:21" x14ac:dyDescent="0.25">
      <c r="L8" s="108"/>
      <c r="M8" s="108"/>
      <c r="N8" s="108"/>
      <c r="O8" s="108"/>
      <c r="P8" s="108"/>
      <c r="Q8" s="108"/>
      <c r="R8" s="108"/>
      <c r="S8" s="108"/>
      <c r="T8" s="108"/>
      <c r="U8" s="108"/>
    </row>
    <row r="9" spans="12:21" x14ac:dyDescent="0.25">
      <c r="L9" s="108"/>
      <c r="M9" s="108"/>
      <c r="N9" s="108"/>
      <c r="O9" s="108"/>
      <c r="P9" s="108"/>
      <c r="Q9" s="108"/>
      <c r="R9" s="108"/>
      <c r="S9" s="108"/>
      <c r="T9" s="108"/>
      <c r="U9" s="108"/>
    </row>
    <row r="10" spans="12:21" x14ac:dyDescent="0.25">
      <c r="L10" s="108"/>
      <c r="M10" s="108"/>
      <c r="N10" s="108"/>
      <c r="O10" s="108"/>
      <c r="P10" s="108"/>
      <c r="Q10" s="108"/>
      <c r="R10" s="108"/>
      <c r="S10" s="108"/>
      <c r="T10" s="108"/>
      <c r="U10" s="108"/>
    </row>
    <row r="11" spans="12:21" x14ac:dyDescent="0.25">
      <c r="L11" s="108"/>
      <c r="M11" s="108"/>
      <c r="N11" s="108"/>
      <c r="O11" s="108"/>
      <c r="P11" s="108"/>
      <c r="Q11" s="108"/>
      <c r="R11" s="108"/>
      <c r="S11" s="108"/>
      <c r="T11" s="108"/>
      <c r="U11" s="108"/>
    </row>
    <row r="12" spans="12:21" x14ac:dyDescent="0.25">
      <c r="L12" s="108"/>
      <c r="M12" s="108"/>
      <c r="N12" s="108"/>
      <c r="O12" s="108"/>
      <c r="P12" s="108"/>
      <c r="Q12" s="108"/>
      <c r="R12" s="108"/>
      <c r="S12" s="108"/>
      <c r="T12" s="108"/>
      <c r="U12" s="108"/>
    </row>
    <row r="13" spans="12:21" x14ac:dyDescent="0.25">
      <c r="L13" s="108"/>
      <c r="M13" s="108"/>
      <c r="N13" s="108"/>
      <c r="O13" s="108"/>
      <c r="P13" s="108"/>
      <c r="Q13" s="108"/>
      <c r="R13" s="108"/>
      <c r="S13" s="108"/>
      <c r="T13" s="108"/>
      <c r="U13" s="108"/>
    </row>
    <row r="14" spans="12:21" x14ac:dyDescent="0.25">
      <c r="L14" s="108"/>
      <c r="M14" s="108"/>
      <c r="N14" s="108"/>
      <c r="O14" s="108"/>
      <c r="P14" s="108"/>
      <c r="Q14" s="108"/>
      <c r="R14" s="108"/>
      <c r="S14" s="108"/>
      <c r="T14" s="108"/>
      <c r="U14" s="108"/>
    </row>
    <row r="15" spans="12:21" x14ac:dyDescent="0.25">
      <c r="L15" s="108"/>
      <c r="M15" s="108"/>
      <c r="N15" s="108"/>
      <c r="O15" s="108"/>
      <c r="P15" s="108"/>
      <c r="Q15" s="108"/>
      <c r="R15" s="108"/>
      <c r="S15" s="108"/>
      <c r="T15" s="108"/>
      <c r="U15" s="108"/>
    </row>
    <row r="16" spans="12:21" x14ac:dyDescent="0.25">
      <c r="L16" s="108"/>
      <c r="M16" s="108"/>
      <c r="N16" s="108"/>
      <c r="O16" s="108"/>
      <c r="P16" s="108"/>
      <c r="Q16" s="108"/>
      <c r="R16" s="108"/>
      <c r="S16" s="108"/>
      <c r="T16" s="108"/>
      <c r="U16" s="108"/>
    </row>
    <row r="17" spans="2:21" x14ac:dyDescent="0.25">
      <c r="L17" s="108"/>
      <c r="M17" s="108"/>
      <c r="N17" s="108"/>
      <c r="O17" s="108"/>
      <c r="P17" s="108"/>
      <c r="Q17" s="108"/>
      <c r="R17" s="108"/>
      <c r="S17" s="108"/>
      <c r="T17" s="108"/>
      <c r="U17" s="108"/>
    </row>
    <row r="18" spans="2:21" x14ac:dyDescent="0.25">
      <c r="L18" s="108"/>
      <c r="M18" s="108"/>
      <c r="N18" s="108"/>
      <c r="O18" s="108"/>
      <c r="P18" s="108"/>
      <c r="Q18" s="108"/>
      <c r="R18" s="108"/>
      <c r="S18" s="108"/>
      <c r="T18" s="108"/>
      <c r="U18" s="108"/>
    </row>
    <row r="19" spans="2:21" x14ac:dyDescent="0.25">
      <c r="L19" s="108"/>
      <c r="M19" s="108"/>
      <c r="N19" s="108"/>
      <c r="O19" s="108"/>
      <c r="P19" s="108"/>
      <c r="Q19" s="108"/>
      <c r="R19" s="108"/>
      <c r="S19" s="108"/>
      <c r="T19" s="108"/>
      <c r="U19" s="108"/>
    </row>
    <row r="20" spans="2:21" x14ac:dyDescent="0.25">
      <c r="L20" s="108"/>
      <c r="M20" s="108"/>
      <c r="N20" s="108"/>
      <c r="O20" s="108"/>
      <c r="P20" s="108"/>
      <c r="Q20" s="108"/>
      <c r="R20" s="108"/>
      <c r="S20" s="108"/>
      <c r="T20" s="108"/>
      <c r="U20" s="108"/>
    </row>
    <row r="21" spans="2:21" x14ac:dyDescent="0.25">
      <c r="L21" s="108"/>
      <c r="M21" s="108"/>
      <c r="N21" s="108"/>
      <c r="O21" s="108"/>
      <c r="P21" s="108"/>
      <c r="Q21" s="108"/>
      <c r="R21" s="108"/>
      <c r="S21" s="108"/>
      <c r="T21" s="108"/>
      <c r="U21" s="108"/>
    </row>
    <row r="22" spans="2:21" x14ac:dyDescent="0.25">
      <c r="L22" s="108"/>
      <c r="M22" s="108"/>
      <c r="N22" s="108"/>
      <c r="O22" s="108"/>
      <c r="P22" s="108"/>
      <c r="Q22" s="108"/>
      <c r="R22" s="108"/>
      <c r="S22" s="108"/>
      <c r="T22" s="108"/>
      <c r="U22" s="108"/>
    </row>
    <row r="23" spans="2:21" x14ac:dyDescent="0.25">
      <c r="B23" t="s">
        <v>4</v>
      </c>
      <c r="D23" t="s">
        <v>5</v>
      </c>
      <c r="E23" t="s">
        <v>6</v>
      </c>
      <c r="F23" t="s">
        <v>7</v>
      </c>
      <c r="G23" t="s">
        <v>8</v>
      </c>
      <c r="H23" t="s">
        <v>502</v>
      </c>
      <c r="I23" t="s">
        <v>503</v>
      </c>
      <c r="L23" s="108"/>
      <c r="M23" s="108"/>
      <c r="N23" s="108"/>
      <c r="O23" s="108"/>
      <c r="P23" s="108"/>
      <c r="Q23" s="108"/>
      <c r="R23" s="108"/>
      <c r="S23" s="108"/>
      <c r="T23" s="108"/>
      <c r="U23" s="108"/>
    </row>
    <row r="24" spans="2:21" x14ac:dyDescent="0.25">
      <c r="B24" s="1"/>
      <c r="C24" s="1"/>
      <c r="D24" s="19" t="s">
        <v>9</v>
      </c>
      <c r="E24" s="20"/>
      <c r="F24" s="20"/>
      <c r="G24" s="21"/>
      <c r="H24" s="22" t="s">
        <v>10</v>
      </c>
      <c r="I24" s="20"/>
      <c r="J24" s="20"/>
      <c r="L24" s="108"/>
      <c r="M24" s="108"/>
      <c r="N24" s="108"/>
      <c r="O24" s="108"/>
      <c r="P24" s="108"/>
      <c r="Q24" s="108"/>
      <c r="R24" s="108"/>
      <c r="S24" s="108"/>
      <c r="T24" s="108"/>
      <c r="U24" s="108"/>
    </row>
    <row r="25" spans="2:21" x14ac:dyDescent="0.25">
      <c r="B25" s="23"/>
      <c r="C25" s="23"/>
      <c r="D25" s="24">
        <v>44926</v>
      </c>
      <c r="E25" s="24">
        <v>45291</v>
      </c>
      <c r="F25" s="24">
        <v>45657</v>
      </c>
      <c r="G25" s="25">
        <v>46022</v>
      </c>
      <c r="H25" s="26">
        <v>45838</v>
      </c>
      <c r="I25" s="25">
        <v>46203</v>
      </c>
      <c r="J25" s="27" t="s">
        <v>11</v>
      </c>
      <c r="L25" s="108"/>
      <c r="M25" s="108"/>
      <c r="N25" s="108"/>
      <c r="O25" s="108"/>
      <c r="P25" s="108"/>
      <c r="Q25" s="108"/>
      <c r="R25" s="108"/>
      <c r="S25" s="108"/>
      <c r="T25" s="108"/>
      <c r="U25" s="108"/>
    </row>
    <row r="26" spans="2:21" x14ac:dyDescent="0.25">
      <c r="B26" s="8" t="s">
        <v>12</v>
      </c>
      <c r="C26" s="8"/>
      <c r="D26" s="28">
        <v>3417.9184300000002</v>
      </c>
      <c r="E26" s="28">
        <v>4679.5792099999999</v>
      </c>
      <c r="F26" s="28">
        <v>4061.2458799999999</v>
      </c>
      <c r="G26" s="29">
        <v>4402.3223500000004</v>
      </c>
      <c r="H26" s="30">
        <v>4229.0694899999999</v>
      </c>
      <c r="I26" s="29">
        <v>4236.0922799999998</v>
      </c>
      <c r="J26" s="31">
        <v>1.6605993390759188E-3</v>
      </c>
      <c r="L26" s="108"/>
      <c r="M26" s="108"/>
      <c r="N26" s="108"/>
      <c r="O26" s="108"/>
      <c r="P26" s="108"/>
      <c r="Q26" s="108"/>
      <c r="R26" s="108"/>
      <c r="S26" s="108"/>
      <c r="T26" s="108"/>
      <c r="U26" s="108"/>
    </row>
    <row r="27" spans="2:21" x14ac:dyDescent="0.25">
      <c r="B27" s="8" t="s">
        <v>13</v>
      </c>
      <c r="C27" s="32"/>
      <c r="D27" s="28">
        <v>1581.15977</v>
      </c>
      <c r="E27" s="28">
        <v>2896.4377399999998</v>
      </c>
      <c r="F27" s="28">
        <v>2287.29592</v>
      </c>
      <c r="G27" s="29">
        <v>2208.4743600000002</v>
      </c>
      <c r="H27" s="30">
        <v>2230.5074399999999</v>
      </c>
      <c r="I27" s="29">
        <v>2121.4592499999999</v>
      </c>
      <c r="J27" s="31">
        <v>-4.8889408770589005E-2</v>
      </c>
      <c r="L27" s="108"/>
      <c r="M27" s="108"/>
      <c r="N27" s="108"/>
      <c r="O27" s="108"/>
      <c r="P27" s="108"/>
      <c r="Q27" s="108"/>
      <c r="R27" s="108"/>
      <c r="S27" s="108"/>
      <c r="T27" s="108"/>
      <c r="U27" s="108"/>
    </row>
    <row r="28" spans="2:21" x14ac:dyDescent="0.25">
      <c r="B28" s="8" t="s">
        <v>14</v>
      </c>
      <c r="C28" s="32"/>
      <c r="D28" s="28">
        <v>1836.7586699999999</v>
      </c>
      <c r="E28" s="28">
        <v>1783.14147</v>
      </c>
      <c r="F28" s="28">
        <v>1773.9499499999999</v>
      </c>
      <c r="G28" s="29">
        <v>2193.8479900000002</v>
      </c>
      <c r="H28" s="30">
        <v>1998.56206</v>
      </c>
      <c r="I28" s="29">
        <v>2114.63303</v>
      </c>
      <c r="J28" s="31">
        <v>5.8077240793813489E-2</v>
      </c>
      <c r="L28" s="108"/>
      <c r="M28" s="108"/>
      <c r="N28" s="108"/>
      <c r="O28" s="108"/>
      <c r="P28" s="108"/>
      <c r="Q28" s="108"/>
      <c r="R28" s="108"/>
      <c r="S28" s="108"/>
      <c r="T28" s="108"/>
      <c r="U28" s="108"/>
    </row>
    <row r="29" spans="2:21" x14ac:dyDescent="0.25">
      <c r="B29" s="8" t="s">
        <v>15</v>
      </c>
      <c r="C29" s="32"/>
      <c r="D29" s="28">
        <v>1310.64355</v>
      </c>
      <c r="E29" s="28">
        <v>808.53416000000004</v>
      </c>
      <c r="F29" s="28">
        <v>734.84204</v>
      </c>
      <c r="G29" s="29">
        <v>1098.27673</v>
      </c>
      <c r="H29" s="30">
        <v>922.55373999999995</v>
      </c>
      <c r="I29" s="29">
        <v>1109.49551</v>
      </c>
      <c r="J29" s="31">
        <v>0.20263510069342949</v>
      </c>
      <c r="L29" s="108"/>
      <c r="M29" s="108"/>
      <c r="N29" s="108"/>
      <c r="O29" s="108"/>
      <c r="P29" s="108"/>
      <c r="Q29" s="108"/>
      <c r="R29" s="108"/>
      <c r="S29" s="108"/>
      <c r="T29" s="108"/>
      <c r="U29" s="108"/>
    </row>
    <row r="30" spans="2:21" x14ac:dyDescent="0.25">
      <c r="B30" s="8" t="s">
        <v>16</v>
      </c>
      <c r="C30" s="32"/>
      <c r="D30" s="28">
        <v>582.50851</v>
      </c>
      <c r="E30" s="28">
        <v>455.40143</v>
      </c>
      <c r="F30" s="28">
        <v>323.41615000000002</v>
      </c>
      <c r="G30" s="29">
        <v>346.69995</v>
      </c>
      <c r="H30" s="30">
        <v>313.12148999999999</v>
      </c>
      <c r="I30" s="29">
        <v>312.64632999999998</v>
      </c>
      <c r="J30" s="31">
        <v>-1.517494056380575E-3</v>
      </c>
      <c r="L30" s="108"/>
      <c r="M30" s="108"/>
      <c r="N30" s="108"/>
      <c r="O30" s="108"/>
      <c r="P30" s="108"/>
      <c r="Q30" s="108"/>
      <c r="R30" s="108"/>
      <c r="S30" s="108"/>
      <c r="T30" s="108"/>
      <c r="U30" s="108"/>
    </row>
    <row r="31" spans="2:21" x14ac:dyDescent="0.25">
      <c r="B31" s="8" t="s">
        <v>17</v>
      </c>
      <c r="C31" s="8"/>
      <c r="D31" s="28">
        <v>480.80169999999998</v>
      </c>
      <c r="E31" s="28">
        <v>546.91174000000001</v>
      </c>
      <c r="F31" s="28">
        <v>522.60009000000002</v>
      </c>
      <c r="G31" s="29">
        <v>627.52738999999997</v>
      </c>
      <c r="H31" s="30">
        <v>586.98683000000005</v>
      </c>
      <c r="I31" s="29">
        <v>608.33509000000004</v>
      </c>
      <c r="J31" s="31">
        <v>3.6369231657207735E-2</v>
      </c>
      <c r="L31" s="108"/>
      <c r="M31" s="108"/>
      <c r="N31" s="108"/>
      <c r="O31" s="108"/>
      <c r="P31" s="108"/>
      <c r="Q31" s="108"/>
      <c r="R31" s="108"/>
      <c r="S31" s="108"/>
      <c r="T31" s="108"/>
      <c r="U31" s="108"/>
    </row>
    <row r="32" spans="2:21" x14ac:dyDescent="0.25">
      <c r="B32" s="8" t="s">
        <v>18</v>
      </c>
      <c r="C32" s="8"/>
      <c r="D32" s="28">
        <v>1073.39555</v>
      </c>
      <c r="E32" s="28">
        <v>933.00518999999997</v>
      </c>
      <c r="F32" s="28">
        <v>1084.86328</v>
      </c>
      <c r="G32" s="29">
        <v>1294.9228800000001</v>
      </c>
      <c r="H32" s="30">
        <v>1243.6011900000001</v>
      </c>
      <c r="I32" s="29">
        <v>1434.0771500000001</v>
      </c>
      <c r="J32" s="31">
        <v>0.15316482609670068</v>
      </c>
      <c r="L32" s="108"/>
      <c r="M32" s="108"/>
      <c r="N32" s="108"/>
      <c r="O32" s="108"/>
      <c r="P32" s="108"/>
      <c r="Q32" s="108"/>
      <c r="R32" s="108"/>
      <c r="S32" s="108"/>
      <c r="T32" s="108"/>
      <c r="U32" s="108"/>
    </row>
    <row r="33" spans="2:21" x14ac:dyDescent="0.25">
      <c r="B33" s="8" t="s">
        <v>19</v>
      </c>
      <c r="C33" s="8"/>
      <c r="D33" s="28">
        <v>106.97313</v>
      </c>
      <c r="E33" s="28">
        <v>154.44559000000001</v>
      </c>
      <c r="F33" s="28">
        <v>278.07841999999999</v>
      </c>
      <c r="G33" s="29">
        <v>188.96717000000001</v>
      </c>
      <c r="H33" s="30">
        <v>262.66678999999999</v>
      </c>
      <c r="I33" s="29">
        <v>231.25697</v>
      </c>
      <c r="J33" s="31">
        <v>-0.11958047684673045</v>
      </c>
      <c r="L33" s="11" t="s">
        <v>1</v>
      </c>
    </row>
    <row r="34" spans="2:21" x14ac:dyDescent="0.25">
      <c r="B34" s="8" t="s">
        <v>20</v>
      </c>
      <c r="C34" s="8"/>
      <c r="D34" s="28">
        <v>966.42241999999999</v>
      </c>
      <c r="E34" s="28">
        <v>778.55960000000005</v>
      </c>
      <c r="F34" s="28">
        <v>806.78485999999998</v>
      </c>
      <c r="G34" s="29">
        <v>1105.95571</v>
      </c>
      <c r="H34" s="30">
        <v>980.93439999999998</v>
      </c>
      <c r="I34" s="29">
        <v>1202.8201799999999</v>
      </c>
      <c r="J34" s="31">
        <v>0.22619838798598546</v>
      </c>
      <c r="L34" s="12" t="s">
        <v>199</v>
      </c>
    </row>
    <row r="35" spans="2:21" x14ac:dyDescent="0.25">
      <c r="B35" s="33" t="s">
        <v>21</v>
      </c>
      <c r="C35" s="34"/>
      <c r="D35" s="35">
        <v>966.18465000000003</v>
      </c>
      <c r="E35" s="35">
        <v>778.44210999999996</v>
      </c>
      <c r="F35" s="35">
        <v>806.70838000000003</v>
      </c>
      <c r="G35" s="36">
        <v>1105.72702</v>
      </c>
      <c r="H35" s="37">
        <v>980.81844000000001</v>
      </c>
      <c r="I35" s="36">
        <v>1202.5585900000001</v>
      </c>
      <c r="J35" s="38">
        <v>0.22607665288185252</v>
      </c>
      <c r="L35" s="109" t="s">
        <v>200</v>
      </c>
      <c r="M35" s="109"/>
      <c r="N35" s="109"/>
      <c r="O35" s="109"/>
      <c r="P35" s="109"/>
      <c r="Q35" s="109"/>
      <c r="R35" s="109"/>
      <c r="S35" s="109"/>
      <c r="T35" s="109"/>
      <c r="U35" s="109"/>
    </row>
    <row r="36" spans="2:21" x14ac:dyDescent="0.25">
      <c r="B36" s="39" t="s">
        <v>22</v>
      </c>
      <c r="C36" s="8"/>
      <c r="D36" s="40">
        <v>6.1238000000000001E-2</v>
      </c>
      <c r="E36" s="40">
        <v>7.1083999999999994E-2</v>
      </c>
      <c r="F36" s="40">
        <v>8.5582999999999992E-2</v>
      </c>
      <c r="G36" s="41">
        <v>8.0193999999999988E-2</v>
      </c>
      <c r="H36" s="31">
        <v>8.3077999999999999E-2</v>
      </c>
      <c r="I36" s="41">
        <v>7.8243999999999994E-2</v>
      </c>
      <c r="J36" s="31" t="s">
        <v>98</v>
      </c>
      <c r="L36" s="109"/>
      <c r="M36" s="109"/>
      <c r="N36" s="109"/>
      <c r="O36" s="109"/>
      <c r="P36" s="109"/>
      <c r="Q36" s="109"/>
      <c r="R36" s="109"/>
      <c r="S36" s="109"/>
      <c r="T36" s="109"/>
      <c r="U36" s="109"/>
    </row>
    <row r="37" spans="2:21" x14ac:dyDescent="0.25">
      <c r="B37" s="39" t="s">
        <v>24</v>
      </c>
      <c r="C37" s="8"/>
      <c r="D37" s="40">
        <v>3.4751999999999998E-2</v>
      </c>
      <c r="E37" s="40">
        <v>3.0249999999999999E-2</v>
      </c>
      <c r="F37" s="40">
        <v>2.8309999999999998E-2</v>
      </c>
      <c r="G37" s="41">
        <v>2.6753999999999997E-2</v>
      </c>
      <c r="H37" s="31">
        <v>2.9106E-2</v>
      </c>
      <c r="I37" s="41">
        <v>2.5958000000000002E-2</v>
      </c>
      <c r="J37" s="31" t="s">
        <v>102</v>
      </c>
      <c r="L37" s="12" t="s">
        <v>53</v>
      </c>
      <c r="M37" s="15"/>
      <c r="N37" s="15"/>
      <c r="O37" s="15"/>
      <c r="P37" s="15"/>
      <c r="Q37" s="15"/>
      <c r="R37" s="15"/>
      <c r="S37" s="15"/>
      <c r="T37" s="15"/>
      <c r="U37" s="15"/>
    </row>
    <row r="38" spans="2:21" x14ac:dyDescent="0.25">
      <c r="B38" s="39" t="s">
        <v>25</v>
      </c>
      <c r="C38" s="8"/>
      <c r="D38" s="40">
        <v>8.7582959999999996</v>
      </c>
      <c r="E38" s="40">
        <v>3.8508390000000001</v>
      </c>
      <c r="F38" s="40">
        <v>3.1896080000000002</v>
      </c>
      <c r="G38" s="41">
        <v>5.5270869999999999</v>
      </c>
      <c r="H38" s="31">
        <v>0</v>
      </c>
      <c r="I38" s="41">
        <v>0</v>
      </c>
      <c r="J38" s="31" t="s">
        <v>26</v>
      </c>
      <c r="L38" s="109" t="s">
        <v>201</v>
      </c>
      <c r="M38" s="109"/>
      <c r="N38" s="109"/>
      <c r="O38" s="109"/>
      <c r="P38" s="109"/>
      <c r="Q38" s="109"/>
      <c r="R38" s="109"/>
      <c r="S38" s="109"/>
      <c r="T38" s="109"/>
      <c r="U38" s="109"/>
    </row>
    <row r="39" spans="2:21" x14ac:dyDescent="0.25">
      <c r="B39" s="8" t="s">
        <v>27</v>
      </c>
      <c r="C39" s="42"/>
      <c r="D39" s="40">
        <v>6.2964999999999993E-2</v>
      </c>
      <c r="E39" s="40">
        <v>6.9584999999999994E-2</v>
      </c>
      <c r="F39" s="40">
        <v>8.1044000000000005E-2</v>
      </c>
      <c r="G39" s="41">
        <v>8.7523000000000004E-2</v>
      </c>
      <c r="H39" s="31">
        <v>8.3691999999999989E-2</v>
      </c>
      <c r="I39" s="41">
        <v>8.9309999999999987E-2</v>
      </c>
      <c r="J39" s="31" t="s">
        <v>51</v>
      </c>
      <c r="L39" s="109"/>
      <c r="M39" s="109"/>
      <c r="N39" s="109"/>
      <c r="O39" s="109"/>
      <c r="P39" s="109"/>
      <c r="Q39" s="109"/>
      <c r="R39" s="109"/>
      <c r="S39" s="109"/>
      <c r="T39" s="109"/>
      <c r="U39" s="109"/>
    </row>
    <row r="40" spans="2:21" x14ac:dyDescent="0.25">
      <c r="B40" s="8" t="s">
        <v>29</v>
      </c>
      <c r="C40" s="42"/>
      <c r="D40" s="40">
        <v>6.2982999999999997E-2</v>
      </c>
      <c r="E40" s="40">
        <v>6.9603999999999999E-2</v>
      </c>
      <c r="F40" s="40">
        <v>8.1065999999999999E-2</v>
      </c>
      <c r="G40" s="41">
        <v>8.7548000000000001E-2</v>
      </c>
      <c r="H40" s="31">
        <v>8.3714999999999998E-2</v>
      </c>
      <c r="I40" s="41">
        <v>8.9335999999999999E-2</v>
      </c>
      <c r="J40" s="31" t="s">
        <v>51</v>
      </c>
      <c r="L40" s="12" t="s">
        <v>202</v>
      </c>
      <c r="M40" s="12"/>
      <c r="N40" s="12"/>
      <c r="O40" s="12"/>
      <c r="P40" s="12"/>
      <c r="Q40" s="12"/>
      <c r="R40" s="12"/>
      <c r="S40" s="12"/>
      <c r="T40" s="12"/>
      <c r="U40" s="12"/>
    </row>
    <row r="41" spans="2:21" x14ac:dyDescent="0.25">
      <c r="B41" s="8" t="s">
        <v>30</v>
      </c>
      <c r="C41" s="42"/>
      <c r="D41" s="40">
        <v>1.144323</v>
      </c>
      <c r="E41" s="40">
        <v>1.2327330000000001</v>
      </c>
      <c r="F41" s="40">
        <v>1.186221</v>
      </c>
      <c r="G41" s="41">
        <v>1.2747040000000001</v>
      </c>
      <c r="H41" s="31">
        <v>1.2228619999999999</v>
      </c>
      <c r="I41" s="41">
        <v>1.2682059999999999</v>
      </c>
      <c r="J41" s="31" t="s">
        <v>515</v>
      </c>
      <c r="L41" s="12" t="s">
        <v>203</v>
      </c>
      <c r="M41" s="12"/>
      <c r="N41" s="12"/>
      <c r="O41" s="12"/>
      <c r="P41" s="12"/>
      <c r="Q41" s="12"/>
      <c r="R41" s="12"/>
      <c r="S41" s="12"/>
      <c r="T41" s="12"/>
      <c r="U41" s="12"/>
    </row>
    <row r="42" spans="2:21" x14ac:dyDescent="0.25">
      <c r="B42" s="39" t="s">
        <v>31</v>
      </c>
      <c r="C42" s="42"/>
      <c r="D42" s="40">
        <v>9.8949999999999996E-2</v>
      </c>
      <c r="E42" s="40">
        <v>0.11079</v>
      </c>
      <c r="F42" s="40">
        <v>0.12685000000000002</v>
      </c>
      <c r="G42" s="41">
        <v>0.12664</v>
      </c>
      <c r="H42" s="31">
        <v>0.12637999999999999</v>
      </c>
      <c r="I42" s="41">
        <v>0.12695999999999999</v>
      </c>
      <c r="J42" s="31" t="s">
        <v>101</v>
      </c>
      <c r="L42" s="109" t="s">
        <v>204</v>
      </c>
      <c r="M42" s="109"/>
      <c r="N42" s="109"/>
      <c r="O42" s="109"/>
      <c r="P42" s="109"/>
      <c r="Q42" s="109"/>
      <c r="R42" s="109"/>
      <c r="S42" s="109"/>
      <c r="T42" s="109"/>
      <c r="U42" s="109"/>
    </row>
    <row r="43" spans="2:21" x14ac:dyDescent="0.25">
      <c r="B43" s="39" t="s">
        <v>32</v>
      </c>
      <c r="C43" s="42"/>
      <c r="D43" s="40">
        <v>9.3949999999999992E-2</v>
      </c>
      <c r="E43" s="40">
        <v>0.11079</v>
      </c>
      <c r="F43" s="40">
        <v>0.1101</v>
      </c>
      <c r="G43" s="41">
        <v>0.11196</v>
      </c>
      <c r="H43" s="31">
        <v>0.11102000000000001</v>
      </c>
      <c r="I43" s="41">
        <v>0.11265</v>
      </c>
      <c r="J43" s="31" t="s">
        <v>44</v>
      </c>
      <c r="L43" s="109"/>
      <c r="M43" s="109"/>
      <c r="N43" s="109"/>
      <c r="O43" s="109"/>
      <c r="P43" s="109"/>
      <c r="Q43" s="109"/>
      <c r="R43" s="109"/>
      <c r="S43" s="109"/>
      <c r="T43" s="109"/>
      <c r="U43" s="109"/>
    </row>
    <row r="44" spans="2:21" x14ac:dyDescent="0.25">
      <c r="B44" s="39" t="s">
        <v>33</v>
      </c>
      <c r="C44" s="42"/>
      <c r="D44" s="40">
        <v>3.0586000000000002E-2</v>
      </c>
      <c r="E44" s="40">
        <v>3.3418999999999997E-2</v>
      </c>
      <c r="F44" s="40">
        <v>2.8565999999999998E-2</v>
      </c>
      <c r="G44" s="41">
        <v>2.7113000000000002E-2</v>
      </c>
      <c r="H44" s="31">
        <v>2.7766000000000002E-2</v>
      </c>
      <c r="I44" s="41">
        <v>2.6236000000000002E-2</v>
      </c>
      <c r="J44" s="31" t="s">
        <v>48</v>
      </c>
      <c r="L44" s="109" t="s">
        <v>205</v>
      </c>
      <c r="M44" s="109"/>
      <c r="N44" s="109"/>
      <c r="O44" s="109"/>
      <c r="P44" s="109"/>
      <c r="Q44" s="109"/>
      <c r="R44" s="109"/>
      <c r="S44" s="109"/>
      <c r="T44" s="109"/>
      <c r="U44" s="109"/>
    </row>
    <row r="45" spans="2:21" x14ac:dyDescent="0.25">
      <c r="B45" s="33" t="s">
        <v>34</v>
      </c>
      <c r="C45" s="43"/>
      <c r="D45" s="44">
        <v>0.12954000000000002</v>
      </c>
      <c r="E45" s="44">
        <v>0.14421</v>
      </c>
      <c r="F45" s="44">
        <v>0.15540999999999999</v>
      </c>
      <c r="G45" s="45">
        <v>0.15375</v>
      </c>
      <c r="H45" s="38">
        <v>0.15414999999999998</v>
      </c>
      <c r="I45" s="45">
        <v>0.15319000000000002</v>
      </c>
      <c r="J45" s="38" t="s">
        <v>42</v>
      </c>
      <c r="L45" s="109"/>
      <c r="M45" s="109"/>
      <c r="N45" s="109"/>
      <c r="O45" s="109"/>
      <c r="P45" s="109"/>
      <c r="Q45" s="109"/>
      <c r="R45" s="109"/>
      <c r="S45" s="109"/>
      <c r="T45" s="109"/>
      <c r="U45" s="109"/>
    </row>
    <row r="46" spans="2:21" x14ac:dyDescent="0.25">
      <c r="B46" s="39" t="s">
        <v>35</v>
      </c>
      <c r="C46" s="32"/>
      <c r="D46" s="32">
        <v>0.177116</v>
      </c>
      <c r="E46" s="32">
        <v>0.125887</v>
      </c>
      <c r="F46" s="32">
        <v>0.122726</v>
      </c>
      <c r="G46" s="46">
        <v>0.13794000000000001</v>
      </c>
      <c r="H46" s="47">
        <v>0.13311600000000001</v>
      </c>
      <c r="I46" s="46">
        <v>0.14732599999999998</v>
      </c>
      <c r="J46" s="31" t="s">
        <v>516</v>
      </c>
      <c r="L46" s="12"/>
      <c r="M46" s="12"/>
      <c r="N46" s="12"/>
      <c r="O46" s="12"/>
      <c r="P46" s="12"/>
      <c r="Q46" s="12"/>
      <c r="R46" s="12"/>
      <c r="S46" s="12"/>
      <c r="T46" s="12"/>
      <c r="U46" s="12"/>
    </row>
    <row r="47" spans="2:21" x14ac:dyDescent="0.25">
      <c r="B47" s="8" t="s">
        <v>36</v>
      </c>
      <c r="C47" s="8"/>
      <c r="D47" s="32">
        <v>0.17712399999999998</v>
      </c>
      <c r="E47" s="32">
        <v>0.12590099999999999</v>
      </c>
      <c r="F47" s="32">
        <v>0.12274800000000001</v>
      </c>
      <c r="G47" s="46">
        <v>0.13795099999999999</v>
      </c>
      <c r="H47" s="47">
        <v>0.13313700000000001</v>
      </c>
      <c r="I47" s="46">
        <v>0.14733599999999999</v>
      </c>
      <c r="J47" s="31" t="s">
        <v>516</v>
      </c>
      <c r="L47" s="17" t="s">
        <v>3</v>
      </c>
      <c r="M47" s="15"/>
      <c r="N47" s="15"/>
      <c r="O47" s="15"/>
      <c r="P47" s="15"/>
      <c r="Q47" s="15"/>
      <c r="R47" s="15"/>
      <c r="S47" s="15"/>
      <c r="T47" s="15"/>
      <c r="U47" s="15"/>
    </row>
    <row r="48" spans="2:21" x14ac:dyDescent="0.25">
      <c r="B48" s="33" t="s">
        <v>38</v>
      </c>
      <c r="C48" s="34"/>
      <c r="D48" s="34">
        <v>1.1155E-2</v>
      </c>
      <c r="E48" s="34">
        <v>8.761999999999999E-3</v>
      </c>
      <c r="F48" s="34">
        <v>9.9480000000000002E-3</v>
      </c>
      <c r="G48" s="48">
        <v>1.2076E-2</v>
      </c>
      <c r="H48" s="49">
        <v>1.1143E-2</v>
      </c>
      <c r="I48" s="48">
        <v>1.3161000000000001E-2</v>
      </c>
      <c r="J48" s="38" t="s">
        <v>44</v>
      </c>
      <c r="L48" s="12" t="s">
        <v>206</v>
      </c>
      <c r="M48" s="15"/>
      <c r="N48" s="15"/>
      <c r="O48" s="15"/>
      <c r="P48" s="15"/>
      <c r="Q48" s="15"/>
      <c r="R48" s="15"/>
      <c r="S48" s="15"/>
      <c r="T48" s="15"/>
      <c r="U48" s="15"/>
    </row>
    <row r="49" spans="2:21" x14ac:dyDescent="0.25">
      <c r="B49" s="8" t="s">
        <v>39</v>
      </c>
      <c r="C49" s="8"/>
      <c r="D49" s="42">
        <v>5.1801399999999997</v>
      </c>
      <c r="E49" s="55">
        <v>5.6107699999999996</v>
      </c>
      <c r="F49" s="55">
        <v>7.5775300000000003</v>
      </c>
      <c r="G49" s="51">
        <v>13.61605</v>
      </c>
      <c r="H49" s="55">
        <v>9.9124700000000008</v>
      </c>
      <c r="I49" s="51">
        <v>13.104430000000001</v>
      </c>
      <c r="J49" s="31">
        <v>0.32201459373899732</v>
      </c>
      <c r="L49" s="109" t="s">
        <v>207</v>
      </c>
      <c r="M49" s="109"/>
      <c r="N49" s="109"/>
      <c r="O49" s="109"/>
      <c r="P49" s="109"/>
      <c r="Q49" s="109"/>
      <c r="R49" s="109"/>
      <c r="S49" s="109"/>
      <c r="T49" s="109"/>
      <c r="U49" s="109"/>
    </row>
    <row r="50" spans="2:21" x14ac:dyDescent="0.25">
      <c r="B50" s="8" t="s">
        <v>40</v>
      </c>
      <c r="C50" s="8"/>
      <c r="D50" s="42">
        <v>6.2846799999999998</v>
      </c>
      <c r="E50" s="55">
        <v>7.4956500000000004</v>
      </c>
      <c r="F50" s="55">
        <v>7.3844200000000004</v>
      </c>
      <c r="G50" s="51">
        <v>12.733930000000001</v>
      </c>
      <c r="H50" s="55">
        <v>9.7348800000000004</v>
      </c>
      <c r="I50" s="51">
        <v>11.45337</v>
      </c>
      <c r="J50" s="31">
        <v>0.17652914057492231</v>
      </c>
      <c r="L50" s="109"/>
      <c r="M50" s="109"/>
      <c r="N50" s="109"/>
      <c r="O50" s="109"/>
      <c r="P50" s="109"/>
      <c r="Q50" s="109"/>
      <c r="R50" s="109"/>
      <c r="S50" s="109"/>
      <c r="T50" s="109"/>
      <c r="U50" s="109"/>
    </row>
    <row r="51" spans="2:21" x14ac:dyDescent="0.25">
      <c r="B51" s="33" t="s">
        <v>41</v>
      </c>
      <c r="C51" s="34"/>
      <c r="D51" s="52">
        <v>0.93552999999999997</v>
      </c>
      <c r="E51" s="52">
        <v>0.93430999999999997</v>
      </c>
      <c r="F51" s="52">
        <v>0.98002</v>
      </c>
      <c r="G51" s="53">
        <v>1.8313699999999999</v>
      </c>
      <c r="H51" s="54">
        <v>1.30768</v>
      </c>
      <c r="I51" s="53">
        <v>1.8746400000000001</v>
      </c>
      <c r="J51" s="38">
        <v>0.43356172763978962</v>
      </c>
      <c r="L51" s="12" t="s">
        <v>208</v>
      </c>
    </row>
    <row r="52" spans="2:21" x14ac:dyDescent="0.25">
      <c r="L52" s="12" t="s">
        <v>209</v>
      </c>
      <c r="M52" s="14"/>
      <c r="N52" s="14"/>
      <c r="O52" s="14"/>
      <c r="P52" s="14"/>
      <c r="Q52" s="14"/>
      <c r="R52" s="14"/>
      <c r="S52" s="14"/>
      <c r="T52" s="14"/>
      <c r="U52" s="14"/>
    </row>
    <row r="53" spans="2:21" x14ac:dyDescent="0.25">
      <c r="L53" s="12" t="s">
        <v>210</v>
      </c>
      <c r="M53" s="15"/>
      <c r="N53" s="15"/>
      <c r="O53" s="15"/>
      <c r="P53" s="15"/>
      <c r="Q53" s="15"/>
      <c r="R53" s="15"/>
      <c r="S53" s="15"/>
      <c r="T53" s="15"/>
      <c r="U53" s="15"/>
    </row>
    <row r="54" spans="2:21" x14ac:dyDescent="0.25">
      <c r="L54" s="12" t="s">
        <v>211</v>
      </c>
      <c r="M54" s="15"/>
      <c r="N54" s="15"/>
      <c r="O54" s="15"/>
      <c r="P54" s="15"/>
      <c r="Q54" s="15"/>
      <c r="R54" s="15"/>
      <c r="S54" s="15"/>
      <c r="T54" s="15"/>
      <c r="U54" s="15"/>
    </row>
    <row r="55" spans="2:21" x14ac:dyDescent="0.25">
      <c r="L55" s="12" t="s">
        <v>212</v>
      </c>
      <c r="M55" s="15"/>
      <c r="N55" s="15"/>
      <c r="O55" s="15"/>
      <c r="P55" s="15"/>
      <c r="Q55" s="15"/>
      <c r="R55" s="15"/>
      <c r="S55" s="15"/>
      <c r="T55" s="15"/>
      <c r="U55" s="15"/>
    </row>
    <row r="56" spans="2:21" x14ac:dyDescent="0.25">
      <c r="L56" s="12" t="s">
        <v>213</v>
      </c>
      <c r="M56" s="12"/>
      <c r="N56" s="12"/>
      <c r="O56" s="12"/>
      <c r="P56" s="12"/>
      <c r="Q56" s="12"/>
      <c r="R56" s="12"/>
      <c r="S56" s="12"/>
      <c r="T56" s="12"/>
      <c r="U56" s="12"/>
    </row>
    <row r="57" spans="2:21" x14ac:dyDescent="0.25">
      <c r="L57" s="109" t="s">
        <v>214</v>
      </c>
      <c r="M57" s="109"/>
      <c r="N57" s="109"/>
      <c r="O57" s="109"/>
      <c r="P57" s="109"/>
      <c r="Q57" s="109"/>
      <c r="R57" s="109"/>
      <c r="S57" s="109"/>
      <c r="T57" s="109"/>
      <c r="U57" s="109"/>
    </row>
    <row r="58" spans="2:21" x14ac:dyDescent="0.25">
      <c r="L58" s="109"/>
      <c r="M58" s="109"/>
      <c r="N58" s="109"/>
      <c r="O58" s="109"/>
      <c r="P58" s="109"/>
      <c r="Q58" s="109"/>
      <c r="R58" s="109"/>
      <c r="S58" s="109"/>
      <c r="T58" s="109"/>
      <c r="U58" s="109"/>
    </row>
    <row r="59" spans="2:21" x14ac:dyDescent="0.25">
      <c r="L59" s="12"/>
      <c r="M59" s="15"/>
      <c r="N59" s="15"/>
      <c r="O59" s="15"/>
      <c r="P59" s="15"/>
      <c r="Q59" s="15"/>
      <c r="R59" s="15"/>
      <c r="S59" s="15"/>
      <c r="T59" s="15"/>
      <c r="U59" s="15"/>
    </row>
    <row r="60" spans="2:21" x14ac:dyDescent="0.25">
      <c r="L60" s="12"/>
    </row>
    <row r="62" spans="2:21" x14ac:dyDescent="0.25">
      <c r="L62" s="12"/>
      <c r="M62" s="12"/>
      <c r="N62" s="12"/>
      <c r="O62" s="12"/>
      <c r="P62" s="12"/>
      <c r="Q62" s="12"/>
      <c r="R62" s="12"/>
      <c r="S62" s="12"/>
      <c r="T62" s="12"/>
      <c r="U62" s="12"/>
    </row>
    <row r="63" spans="2:21" x14ac:dyDescent="0.25">
      <c r="L63" s="12"/>
      <c r="M63" s="12"/>
      <c r="N63" s="12"/>
      <c r="O63" s="12"/>
      <c r="P63" s="12"/>
      <c r="Q63" s="12"/>
      <c r="R63" s="12"/>
      <c r="S63" s="12"/>
      <c r="T63" s="12"/>
      <c r="U63" s="12"/>
    </row>
    <row r="64" spans="2:21" x14ac:dyDescent="0.25">
      <c r="L64" s="15"/>
      <c r="M64" s="15"/>
      <c r="N64" s="15"/>
      <c r="O64" s="15"/>
      <c r="P64" s="15"/>
      <c r="Q64" s="15"/>
      <c r="R64" s="15"/>
      <c r="S64" s="15"/>
      <c r="T64" s="15"/>
      <c r="U64" s="15"/>
    </row>
    <row r="66" spans="12:21" x14ac:dyDescent="0.25">
      <c r="L66" s="15"/>
      <c r="M66" s="15"/>
      <c r="N66" s="15"/>
      <c r="O66" s="15"/>
      <c r="P66" s="15"/>
      <c r="Q66" s="15"/>
      <c r="R66" s="15"/>
      <c r="S66" s="15"/>
      <c r="T66" s="15"/>
      <c r="U66" s="15"/>
    </row>
    <row r="67" spans="12:21" x14ac:dyDescent="0.25">
      <c r="L67" s="15"/>
      <c r="M67" s="15"/>
      <c r="N67" s="15"/>
      <c r="O67" s="15"/>
      <c r="P67" s="15"/>
      <c r="Q67" s="15"/>
      <c r="R67" s="15"/>
      <c r="S67" s="15"/>
      <c r="T67" s="15"/>
      <c r="U67" s="15"/>
    </row>
    <row r="68" spans="12:21" x14ac:dyDescent="0.25">
      <c r="L68" s="15"/>
      <c r="M68" s="15"/>
      <c r="N68" s="15"/>
      <c r="O68" s="15"/>
      <c r="P68" s="15"/>
      <c r="Q68" s="15"/>
      <c r="R68" s="15"/>
      <c r="S68" s="15"/>
      <c r="T68" s="15"/>
      <c r="U68" s="15"/>
    </row>
  </sheetData>
  <mergeCells count="7">
    <mergeCell ref="L57:U58"/>
    <mergeCell ref="L6:U32"/>
    <mergeCell ref="L35:U36"/>
    <mergeCell ref="L38:U39"/>
    <mergeCell ref="L42:U43"/>
    <mergeCell ref="L44:U45"/>
    <mergeCell ref="L49:U5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EA692-2A71-4BA1-9C54-6FF8505668ED}">
  <dimension ref="B1:U68"/>
  <sheetViews>
    <sheetView topLeftCell="A15" workbookViewId="0">
      <selection activeCell="B23" sqref="B23:J49"/>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x14ac:dyDescent="0.25">
      <c r="L6" s="108" t="s">
        <v>500</v>
      </c>
      <c r="M6" s="108"/>
      <c r="N6" s="108"/>
      <c r="O6" s="108"/>
      <c r="P6" s="108"/>
      <c r="Q6" s="108"/>
      <c r="R6" s="108"/>
      <c r="S6" s="108"/>
      <c r="T6" s="108"/>
      <c r="U6" s="108"/>
    </row>
    <row r="7" spans="12:21" x14ac:dyDescent="0.25">
      <c r="L7" s="108"/>
      <c r="M7" s="108"/>
      <c r="N7" s="108"/>
      <c r="O7" s="108"/>
      <c r="P7" s="108"/>
      <c r="Q7" s="108"/>
      <c r="R7" s="108"/>
      <c r="S7" s="108"/>
      <c r="T7" s="108"/>
      <c r="U7" s="108"/>
    </row>
    <row r="8" spans="12:21" x14ac:dyDescent="0.25">
      <c r="L8" s="108"/>
      <c r="M8" s="108"/>
      <c r="N8" s="108"/>
      <c r="O8" s="108"/>
      <c r="P8" s="108"/>
      <c r="Q8" s="108"/>
      <c r="R8" s="108"/>
      <c r="S8" s="108"/>
      <c r="T8" s="108"/>
      <c r="U8" s="108"/>
    </row>
    <row r="9" spans="12:21" x14ac:dyDescent="0.25">
      <c r="L9" s="108"/>
      <c r="M9" s="108"/>
      <c r="N9" s="108"/>
      <c r="O9" s="108"/>
      <c r="P9" s="108"/>
      <c r="Q9" s="108"/>
      <c r="R9" s="108"/>
      <c r="S9" s="108"/>
      <c r="T9" s="108"/>
      <c r="U9" s="108"/>
    </row>
    <row r="10" spans="12:21" x14ac:dyDescent="0.25">
      <c r="L10" s="108"/>
      <c r="M10" s="108"/>
      <c r="N10" s="108"/>
      <c r="O10" s="108"/>
      <c r="P10" s="108"/>
      <c r="Q10" s="108"/>
      <c r="R10" s="108"/>
      <c r="S10" s="108"/>
      <c r="T10" s="108"/>
      <c r="U10" s="108"/>
    </row>
    <row r="11" spans="12:21" x14ac:dyDescent="0.25">
      <c r="L11" s="108"/>
      <c r="M11" s="108"/>
      <c r="N11" s="108"/>
      <c r="O11" s="108"/>
      <c r="P11" s="108"/>
      <c r="Q11" s="108"/>
      <c r="R11" s="108"/>
      <c r="S11" s="108"/>
      <c r="T11" s="108"/>
      <c r="U11" s="108"/>
    </row>
    <row r="12" spans="12:21" x14ac:dyDescent="0.25">
      <c r="L12" s="108"/>
      <c r="M12" s="108"/>
      <c r="N12" s="108"/>
      <c r="O12" s="108"/>
      <c r="P12" s="108"/>
      <c r="Q12" s="108"/>
      <c r="R12" s="108"/>
      <c r="S12" s="108"/>
      <c r="T12" s="108"/>
      <c r="U12" s="108"/>
    </row>
    <row r="13" spans="12:21" x14ac:dyDescent="0.25">
      <c r="L13" s="108"/>
      <c r="M13" s="108"/>
      <c r="N13" s="108"/>
      <c r="O13" s="108"/>
      <c r="P13" s="108"/>
      <c r="Q13" s="108"/>
      <c r="R13" s="108"/>
      <c r="S13" s="108"/>
      <c r="T13" s="108"/>
      <c r="U13" s="108"/>
    </row>
    <row r="14" spans="12:21" x14ac:dyDescent="0.25">
      <c r="L14" s="108"/>
      <c r="M14" s="108"/>
      <c r="N14" s="108"/>
      <c r="O14" s="108"/>
      <c r="P14" s="108"/>
      <c r="Q14" s="108"/>
      <c r="R14" s="108"/>
      <c r="S14" s="108"/>
      <c r="T14" s="108"/>
      <c r="U14" s="108"/>
    </row>
    <row r="15" spans="12:21" x14ac:dyDescent="0.25">
      <c r="L15" s="108"/>
      <c r="M15" s="108"/>
      <c r="N15" s="108"/>
      <c r="O15" s="108"/>
      <c r="P15" s="108"/>
      <c r="Q15" s="108"/>
      <c r="R15" s="108"/>
      <c r="S15" s="108"/>
      <c r="T15" s="108"/>
      <c r="U15" s="108"/>
    </row>
    <row r="16" spans="12:21" x14ac:dyDescent="0.25">
      <c r="L16" s="108"/>
      <c r="M16" s="108"/>
      <c r="N16" s="108"/>
      <c r="O16" s="108"/>
      <c r="P16" s="108"/>
      <c r="Q16" s="108"/>
      <c r="R16" s="108"/>
      <c r="S16" s="108"/>
      <c r="T16" s="108"/>
      <c r="U16" s="108"/>
    </row>
    <row r="17" spans="2:21" x14ac:dyDescent="0.25">
      <c r="L17" s="108"/>
      <c r="M17" s="108"/>
      <c r="N17" s="108"/>
      <c r="O17" s="108"/>
      <c r="P17" s="108"/>
      <c r="Q17" s="108"/>
      <c r="R17" s="108"/>
      <c r="S17" s="108"/>
      <c r="T17" s="108"/>
      <c r="U17" s="108"/>
    </row>
    <row r="18" spans="2:21" x14ac:dyDescent="0.25">
      <c r="L18" s="108"/>
      <c r="M18" s="108"/>
      <c r="N18" s="108"/>
      <c r="O18" s="108"/>
      <c r="P18" s="108"/>
      <c r="Q18" s="108"/>
      <c r="R18" s="108"/>
      <c r="S18" s="108"/>
      <c r="T18" s="108"/>
      <c r="U18" s="108"/>
    </row>
    <row r="19" spans="2:21" x14ac:dyDescent="0.25">
      <c r="L19" s="108"/>
      <c r="M19" s="108"/>
      <c r="N19" s="108"/>
      <c r="O19" s="108"/>
      <c r="P19" s="108"/>
      <c r="Q19" s="108"/>
      <c r="R19" s="108"/>
      <c r="S19" s="108"/>
      <c r="T19" s="108"/>
      <c r="U19" s="108"/>
    </row>
    <row r="20" spans="2:21" x14ac:dyDescent="0.25">
      <c r="L20" s="108"/>
      <c r="M20" s="108"/>
      <c r="N20" s="108"/>
      <c r="O20" s="108"/>
      <c r="P20" s="108"/>
      <c r="Q20" s="108"/>
      <c r="R20" s="108"/>
      <c r="S20" s="108"/>
      <c r="T20" s="108"/>
      <c r="U20" s="108"/>
    </row>
    <row r="21" spans="2:21" x14ac:dyDescent="0.25">
      <c r="L21" s="108"/>
      <c r="M21" s="108"/>
      <c r="N21" s="108"/>
      <c r="O21" s="108"/>
      <c r="P21" s="108"/>
      <c r="Q21" s="108"/>
      <c r="R21" s="108"/>
      <c r="S21" s="108"/>
      <c r="T21" s="108"/>
      <c r="U21" s="108"/>
    </row>
    <row r="22" spans="2:21" x14ac:dyDescent="0.25">
      <c r="L22" s="108"/>
      <c r="M22" s="108"/>
      <c r="N22" s="108"/>
      <c r="O22" s="108"/>
      <c r="P22" s="108"/>
      <c r="Q22" s="108"/>
      <c r="R22" s="108"/>
      <c r="S22" s="108"/>
      <c r="T22" s="108"/>
      <c r="U22" s="108"/>
    </row>
    <row r="23" spans="2:21" x14ac:dyDescent="0.25">
      <c r="B23" t="s">
        <v>4</v>
      </c>
      <c r="D23" t="s">
        <v>5</v>
      </c>
      <c r="E23" t="s">
        <v>6</v>
      </c>
      <c r="F23" t="s">
        <v>7</v>
      </c>
      <c r="G23" t="s">
        <v>8</v>
      </c>
      <c r="H23" t="s">
        <v>502</v>
      </c>
      <c r="I23" t="s">
        <v>503</v>
      </c>
      <c r="L23" s="108"/>
      <c r="M23" s="108"/>
      <c r="N23" s="108"/>
      <c r="O23" s="108"/>
      <c r="P23" s="108"/>
      <c r="Q23" s="108"/>
      <c r="R23" s="108"/>
      <c r="S23" s="108"/>
      <c r="T23" s="108"/>
      <c r="U23" s="108"/>
    </row>
    <row r="24" spans="2:21" x14ac:dyDescent="0.25">
      <c r="B24" s="1"/>
      <c r="C24" s="1"/>
      <c r="D24" s="19" t="s">
        <v>9</v>
      </c>
      <c r="E24" s="20"/>
      <c r="F24" s="20"/>
      <c r="G24" s="21"/>
      <c r="H24" s="22" t="s">
        <v>10</v>
      </c>
      <c r="I24" s="20"/>
      <c r="J24" s="20"/>
      <c r="L24" s="108"/>
      <c r="M24" s="108"/>
      <c r="N24" s="108"/>
      <c r="O24" s="108"/>
      <c r="P24" s="108"/>
      <c r="Q24" s="108"/>
      <c r="R24" s="108"/>
      <c r="S24" s="108"/>
      <c r="T24" s="108"/>
      <c r="U24" s="108"/>
    </row>
    <row r="25" spans="2:21" x14ac:dyDescent="0.25">
      <c r="B25" s="23"/>
      <c r="C25" s="23"/>
      <c r="D25" s="24">
        <v>44926</v>
      </c>
      <c r="E25" s="24">
        <v>45291</v>
      </c>
      <c r="F25" s="24">
        <v>45657</v>
      </c>
      <c r="G25" s="25">
        <v>46022</v>
      </c>
      <c r="H25" s="26">
        <v>45838</v>
      </c>
      <c r="I25" s="25">
        <v>46203</v>
      </c>
      <c r="J25" s="27" t="s">
        <v>11</v>
      </c>
      <c r="L25" s="108"/>
      <c r="M25" s="108"/>
      <c r="N25" s="108"/>
      <c r="O25" s="108"/>
      <c r="P25" s="108"/>
      <c r="Q25" s="108"/>
      <c r="R25" s="108"/>
      <c r="S25" s="108"/>
      <c r="T25" s="108"/>
      <c r="U25" s="108"/>
    </row>
    <row r="26" spans="2:21" x14ac:dyDescent="0.25">
      <c r="B26" s="8" t="s">
        <v>55</v>
      </c>
      <c r="C26" s="8"/>
      <c r="D26" s="28">
        <v>3177.5770900000002</v>
      </c>
      <c r="E26" s="28">
        <v>3184.3337000000001</v>
      </c>
      <c r="F26" s="28">
        <v>3187.1380100000001</v>
      </c>
      <c r="G26" s="29">
        <v>2836.08088</v>
      </c>
      <c r="H26" s="30">
        <v>2477.8054400000001</v>
      </c>
      <c r="I26" s="29">
        <v>2543.8505399999999</v>
      </c>
      <c r="J26" s="31">
        <v>2.6654675518026139E-2</v>
      </c>
      <c r="L26" s="108"/>
      <c r="M26" s="108"/>
      <c r="N26" s="108"/>
      <c r="O26" s="108"/>
      <c r="P26" s="108"/>
      <c r="Q26" s="108"/>
      <c r="R26" s="108"/>
      <c r="S26" s="108"/>
      <c r="T26" s="108"/>
      <c r="U26" s="108"/>
    </row>
    <row r="27" spans="2:21" x14ac:dyDescent="0.25">
      <c r="B27" s="39" t="s">
        <v>56</v>
      </c>
      <c r="C27" s="32"/>
      <c r="D27" s="32">
        <v>0.446019</v>
      </c>
      <c r="E27" s="32">
        <v>0.393729</v>
      </c>
      <c r="F27" s="32">
        <v>0.35936100000000004</v>
      </c>
      <c r="G27" s="46">
        <v>0.32759300000000002</v>
      </c>
      <c r="H27" s="47">
        <v>0.33430900000000002</v>
      </c>
      <c r="I27" s="46">
        <v>0.37099799999999999</v>
      </c>
      <c r="J27" s="31">
        <v>0.10974577411915321</v>
      </c>
      <c r="L27" s="108"/>
      <c r="M27" s="108"/>
      <c r="N27" s="108"/>
      <c r="O27" s="108"/>
      <c r="P27" s="108"/>
      <c r="Q27" s="108"/>
      <c r="R27" s="108"/>
      <c r="S27" s="108"/>
      <c r="T27" s="108"/>
      <c r="U27" s="108"/>
    </row>
    <row r="28" spans="2:21" x14ac:dyDescent="0.25">
      <c r="B28" s="39" t="s">
        <v>57</v>
      </c>
      <c r="C28" s="32"/>
      <c r="D28" s="32">
        <v>0.37526100000000001</v>
      </c>
      <c r="E28" s="32">
        <v>0.28984799999999999</v>
      </c>
      <c r="F28" s="32">
        <v>0.28057099999999996</v>
      </c>
      <c r="G28" s="46">
        <v>0.22144800000000001</v>
      </c>
      <c r="H28" s="47">
        <v>0.24555099999999999</v>
      </c>
      <c r="I28" s="46">
        <v>0.26529000000000003</v>
      </c>
      <c r="J28" s="31">
        <v>8.038655920765958E-2</v>
      </c>
      <c r="L28" s="108"/>
      <c r="M28" s="108"/>
      <c r="N28" s="108"/>
      <c r="O28" s="108"/>
      <c r="P28" s="108"/>
      <c r="Q28" s="108"/>
      <c r="R28" s="108"/>
      <c r="S28" s="108"/>
      <c r="T28" s="108"/>
      <c r="U28" s="108"/>
    </row>
    <row r="29" spans="2:21" x14ac:dyDescent="0.25">
      <c r="B29" s="39" t="s">
        <v>58</v>
      </c>
      <c r="C29" s="32"/>
      <c r="D29" s="32">
        <v>0.46169699999999997</v>
      </c>
      <c r="E29" s="32">
        <v>0.41172600000000004</v>
      </c>
      <c r="F29" s="32">
        <v>0.40296100000000001</v>
      </c>
      <c r="G29" s="46">
        <v>0.36110399999999998</v>
      </c>
      <c r="H29" s="47">
        <v>0.37648799999999999</v>
      </c>
      <c r="I29" s="46">
        <v>0.386467</v>
      </c>
      <c r="J29" s="31">
        <v>2.6505492870954717E-2</v>
      </c>
      <c r="L29" s="108"/>
      <c r="M29" s="108"/>
      <c r="N29" s="108"/>
      <c r="O29" s="108"/>
      <c r="P29" s="108"/>
      <c r="Q29" s="108"/>
      <c r="R29" s="108"/>
      <c r="S29" s="108"/>
      <c r="T29" s="108"/>
      <c r="U29" s="108"/>
    </row>
    <row r="30" spans="2:21" x14ac:dyDescent="0.25">
      <c r="B30" s="39" t="s">
        <v>59</v>
      </c>
      <c r="C30" s="32"/>
      <c r="D30" s="32">
        <v>0.209478</v>
      </c>
      <c r="E30" s="32">
        <v>0.13322800000000001</v>
      </c>
      <c r="F30" s="32">
        <v>0.11201599999999999</v>
      </c>
      <c r="G30" s="46">
        <v>7.5434000000000001E-2</v>
      </c>
      <c r="H30" s="47">
        <v>9.5718999999999999E-2</v>
      </c>
      <c r="I30" s="46">
        <v>0.10230299999999999</v>
      </c>
      <c r="J30" s="31">
        <v>6.8784671799747121E-2</v>
      </c>
      <c r="L30" s="108"/>
      <c r="M30" s="108"/>
      <c r="N30" s="108"/>
      <c r="O30" s="108"/>
      <c r="P30" s="108"/>
      <c r="Q30" s="108"/>
      <c r="R30" s="108"/>
      <c r="S30" s="108"/>
      <c r="T30" s="108"/>
      <c r="U30" s="108"/>
    </row>
    <row r="31" spans="2:21" x14ac:dyDescent="0.25">
      <c r="B31" s="33" t="s">
        <v>60</v>
      </c>
      <c r="C31" s="34"/>
      <c r="D31" s="34">
        <v>8.9088000000000001E-2</v>
      </c>
      <c r="E31" s="34">
        <v>0.102497</v>
      </c>
      <c r="F31" s="34">
        <v>0.16969400000000001</v>
      </c>
      <c r="G31" s="48">
        <v>6.5974000000000005E-2</v>
      </c>
      <c r="H31" s="49">
        <v>8.2688000000000011E-2</v>
      </c>
      <c r="I31" s="48">
        <v>9.530799999999999E-2</v>
      </c>
      <c r="J31" s="38">
        <v>0.15262190402476761</v>
      </c>
      <c r="L31" s="108"/>
      <c r="M31" s="108"/>
      <c r="N31" s="108"/>
      <c r="O31" s="108"/>
      <c r="P31" s="108"/>
      <c r="Q31" s="108"/>
      <c r="R31" s="108"/>
      <c r="S31" s="108"/>
      <c r="T31" s="108"/>
      <c r="U31" s="108"/>
    </row>
    <row r="32" spans="2:21" x14ac:dyDescent="0.25">
      <c r="B32" s="39" t="s">
        <v>61</v>
      </c>
      <c r="C32" s="8"/>
      <c r="D32" s="42">
        <v>6.5673048934118841</v>
      </c>
      <c r="E32" s="42">
        <v>2.8597620040394762</v>
      </c>
      <c r="F32" s="42">
        <v>6.1536879282833867</v>
      </c>
      <c r="G32" s="51">
        <v>4.4232496029746233</v>
      </c>
      <c r="H32" s="58">
        <v>5.0235388051825893</v>
      </c>
      <c r="I32" s="51">
        <v>4.3001097784343862</v>
      </c>
      <c r="J32" s="31">
        <v>-0.14400785080068845</v>
      </c>
      <c r="L32" s="108"/>
      <c r="M32" s="108"/>
      <c r="N32" s="108"/>
      <c r="O32" s="108"/>
      <c r="P32" s="108"/>
      <c r="Q32" s="108"/>
      <c r="R32" s="108"/>
      <c r="S32" s="108"/>
      <c r="T32" s="108"/>
      <c r="U32" s="108"/>
    </row>
    <row r="33" spans="2:21" x14ac:dyDescent="0.25">
      <c r="B33" s="39" t="s">
        <v>62</v>
      </c>
      <c r="C33" s="8"/>
      <c r="D33" s="42">
        <v>13.34478</v>
      </c>
      <c r="E33" s="42">
        <v>8.5079399999999996</v>
      </c>
      <c r="F33" s="42">
        <v>7.3262799999999997</v>
      </c>
      <c r="G33" s="51">
        <v>5.7339599999999997</v>
      </c>
      <c r="H33" s="58">
        <v>6.4559300000000004</v>
      </c>
      <c r="I33" s="51">
        <v>6.7658100000000001</v>
      </c>
      <c r="J33" s="31">
        <v>4.7999281280930894E-2</v>
      </c>
      <c r="L33" s="108"/>
      <c r="M33" s="108"/>
      <c r="N33" s="108"/>
      <c r="O33" s="108"/>
      <c r="P33" s="108"/>
      <c r="Q33" s="108"/>
      <c r="R33" s="108"/>
      <c r="S33" s="108"/>
      <c r="T33" s="108"/>
      <c r="U33" s="108"/>
    </row>
    <row r="34" spans="2:21" x14ac:dyDescent="0.25">
      <c r="B34" s="39" t="s">
        <v>63</v>
      </c>
      <c r="C34" s="8"/>
      <c r="D34" s="42">
        <v>9.5875400000000006</v>
      </c>
      <c r="E34" s="42">
        <v>5.1408100000000001</v>
      </c>
      <c r="F34" s="42">
        <v>4.48909</v>
      </c>
      <c r="G34" s="51">
        <v>2.91675</v>
      </c>
      <c r="H34" s="58">
        <v>3.54345</v>
      </c>
      <c r="I34" s="51">
        <v>4.0991400000000002</v>
      </c>
      <c r="J34" s="31">
        <v>0.15682174152309192</v>
      </c>
      <c r="L34" s="108"/>
      <c r="M34" s="108"/>
      <c r="N34" s="108"/>
      <c r="O34" s="108"/>
      <c r="P34" s="108"/>
      <c r="Q34" s="108"/>
      <c r="R34" s="108"/>
      <c r="S34" s="108"/>
      <c r="T34" s="108"/>
      <c r="U34" s="108"/>
    </row>
    <row r="35" spans="2:21" x14ac:dyDescent="0.25">
      <c r="B35" s="39" t="s">
        <v>64</v>
      </c>
      <c r="C35" s="8"/>
      <c r="D35" s="42">
        <v>1.56372</v>
      </c>
      <c r="E35" s="42">
        <v>1.7962499999999999</v>
      </c>
      <c r="F35" s="42">
        <v>2.2196799999999999</v>
      </c>
      <c r="G35" s="51">
        <v>2.5045299999999999</v>
      </c>
      <c r="H35" s="58">
        <v>2.43309</v>
      </c>
      <c r="I35" s="51">
        <v>2.1132599999999999</v>
      </c>
      <c r="J35" s="31">
        <v>-0.13145013131450134</v>
      </c>
      <c r="L35" s="108"/>
      <c r="M35" s="108"/>
      <c r="N35" s="108"/>
      <c r="O35" s="108"/>
      <c r="P35" s="108"/>
      <c r="Q35" s="108"/>
      <c r="R35" s="108"/>
      <c r="S35" s="108"/>
      <c r="T35" s="108"/>
      <c r="U35" s="108"/>
    </row>
    <row r="36" spans="2:21" x14ac:dyDescent="0.25">
      <c r="B36" s="39" t="s">
        <v>65</v>
      </c>
      <c r="C36" s="8"/>
      <c r="D36" s="42">
        <v>1.33877</v>
      </c>
      <c r="E36" s="42">
        <v>1.55525</v>
      </c>
      <c r="F36" s="42">
        <v>1.9439</v>
      </c>
      <c r="G36" s="51">
        <v>2.2171099999999999</v>
      </c>
      <c r="H36" s="58">
        <v>2.1429499999999999</v>
      </c>
      <c r="I36" s="51">
        <v>1.8878299999999999</v>
      </c>
      <c r="J36" s="31">
        <v>-0.11905084113021769</v>
      </c>
      <c r="L36" s="11" t="s">
        <v>1</v>
      </c>
    </row>
    <row r="37" spans="2:21" x14ac:dyDescent="0.25">
      <c r="B37" s="39" t="s">
        <v>66</v>
      </c>
      <c r="C37" s="8"/>
      <c r="D37" s="42">
        <v>2.17652</v>
      </c>
      <c r="E37" s="42">
        <v>2.9727600000000001</v>
      </c>
      <c r="F37" s="42">
        <v>3.6225700000000001</v>
      </c>
      <c r="G37" s="51">
        <v>4.9235800000000003</v>
      </c>
      <c r="H37" s="58">
        <v>4.4329299999999998</v>
      </c>
      <c r="I37" s="51">
        <v>3.4880200000000001</v>
      </c>
      <c r="J37" s="31">
        <v>-0.21315698646267811</v>
      </c>
      <c r="L37" s="12" t="s">
        <v>215</v>
      </c>
    </row>
    <row r="38" spans="2:21" x14ac:dyDescent="0.25">
      <c r="B38" s="33" t="s">
        <v>67</v>
      </c>
      <c r="C38" s="52"/>
      <c r="D38" s="52">
        <v>1.86341</v>
      </c>
      <c r="E38" s="52">
        <v>2.5739100000000001</v>
      </c>
      <c r="F38" s="52">
        <v>3.1724800000000002</v>
      </c>
      <c r="G38" s="53">
        <v>4.3585399999999996</v>
      </c>
      <c r="H38" s="54">
        <v>3.9043199999999998</v>
      </c>
      <c r="I38" s="53">
        <v>3.1159400000000002</v>
      </c>
      <c r="J38" s="38">
        <v>-0.20192504712728454</v>
      </c>
      <c r="L38" s="12" t="s">
        <v>216</v>
      </c>
    </row>
    <row r="39" spans="2:21" x14ac:dyDescent="0.25">
      <c r="B39" s="8" t="s">
        <v>68</v>
      </c>
      <c r="C39" s="42"/>
      <c r="D39" s="59">
        <v>63.380789999999998</v>
      </c>
      <c r="E39" s="59">
        <v>89.136290000000002</v>
      </c>
      <c r="F39" s="59">
        <v>70.188190000000006</v>
      </c>
      <c r="G39" s="60">
        <v>49.678330000000003</v>
      </c>
      <c r="H39" s="61">
        <v>49.770310000000002</v>
      </c>
      <c r="I39" s="60">
        <v>44.64425</v>
      </c>
      <c r="J39" s="31">
        <v>-0.10299433537785885</v>
      </c>
      <c r="L39" s="12" t="s">
        <v>217</v>
      </c>
    </row>
    <row r="40" spans="2:21" x14ac:dyDescent="0.25">
      <c r="B40" s="8" t="s">
        <v>69</v>
      </c>
      <c r="C40" s="42"/>
      <c r="D40" s="59">
        <v>50.956189999999999</v>
      </c>
      <c r="E40" s="59">
        <v>61.941600000000001</v>
      </c>
      <c r="F40" s="59">
        <v>62.058230000000002</v>
      </c>
      <c r="G40" s="60">
        <v>61.798879999999997</v>
      </c>
      <c r="H40" s="61">
        <v>49.328290000000003</v>
      </c>
      <c r="I40" s="60">
        <v>55.155880000000003</v>
      </c>
      <c r="J40" s="31">
        <v>0.11813890163230867</v>
      </c>
      <c r="L40" s="12" t="s">
        <v>218</v>
      </c>
    </row>
    <row r="41" spans="2:21" x14ac:dyDescent="0.25">
      <c r="B41" s="8" t="s">
        <v>70</v>
      </c>
      <c r="C41" s="42"/>
      <c r="D41" s="59">
        <v>41.889589999999998</v>
      </c>
      <c r="E41" s="59">
        <v>46.459029999999998</v>
      </c>
      <c r="F41" s="59">
        <v>43.343179999999997</v>
      </c>
      <c r="G41" s="60">
        <v>42.260429999999999</v>
      </c>
      <c r="H41" s="61">
        <v>45.749830000000003</v>
      </c>
      <c r="I41" s="60">
        <v>47.73507</v>
      </c>
      <c r="J41" s="31">
        <v>4.339338528689618E-2</v>
      </c>
      <c r="L41" s="12" t="s">
        <v>219</v>
      </c>
      <c r="M41" s="15"/>
      <c r="N41" s="15"/>
      <c r="O41" s="15"/>
      <c r="P41" s="15"/>
      <c r="Q41" s="15"/>
      <c r="R41" s="15"/>
      <c r="S41" s="15"/>
      <c r="T41" s="15"/>
      <c r="U41" s="15"/>
    </row>
    <row r="42" spans="2:21" x14ac:dyDescent="0.25">
      <c r="B42" s="39" t="s">
        <v>71</v>
      </c>
      <c r="C42" s="42"/>
      <c r="D42" s="42">
        <v>1.36093</v>
      </c>
      <c r="E42" s="42">
        <v>1.5750599999999999</v>
      </c>
      <c r="F42" s="42">
        <v>1.5300499999999999</v>
      </c>
      <c r="G42" s="51">
        <v>1.5485</v>
      </c>
      <c r="H42" s="58">
        <v>1.45418</v>
      </c>
      <c r="I42" s="51">
        <v>1.5113399999999999</v>
      </c>
      <c r="J42" s="31">
        <v>3.9307375978214543E-2</v>
      </c>
      <c r="L42" s="12" t="s">
        <v>220</v>
      </c>
      <c r="M42" s="15"/>
      <c r="N42" s="15"/>
      <c r="O42" s="15"/>
      <c r="P42" s="15"/>
      <c r="Q42" s="15"/>
      <c r="R42" s="15"/>
      <c r="S42" s="15"/>
      <c r="T42" s="15"/>
      <c r="U42" s="15"/>
    </row>
    <row r="43" spans="2:21" x14ac:dyDescent="0.25">
      <c r="B43" s="39" t="s">
        <v>72</v>
      </c>
      <c r="C43" s="42"/>
      <c r="D43" s="42">
        <v>1.1019699999999999</v>
      </c>
      <c r="E43" s="42">
        <v>1.2767299999999999</v>
      </c>
      <c r="F43" s="42">
        <v>1.1800200000000001</v>
      </c>
      <c r="G43" s="51">
        <v>1.21475</v>
      </c>
      <c r="H43" s="58">
        <v>1.1075200000000001</v>
      </c>
      <c r="I43" s="51">
        <v>1.1672100000000001</v>
      </c>
      <c r="J43" s="31">
        <v>5.3895189251661479E-2</v>
      </c>
      <c r="M43" s="56"/>
      <c r="N43" s="56"/>
      <c r="O43" s="56"/>
      <c r="P43" s="56"/>
      <c r="Q43" s="56"/>
      <c r="R43" s="56"/>
      <c r="S43" s="56"/>
      <c r="T43" s="56"/>
      <c r="U43" s="56"/>
    </row>
    <row r="44" spans="2:21" x14ac:dyDescent="0.25">
      <c r="B44" s="33" t="s">
        <v>73</v>
      </c>
      <c r="C44" s="43"/>
      <c r="D44" s="43">
        <v>54.314190000000004</v>
      </c>
      <c r="E44" s="43">
        <v>73.653720000000007</v>
      </c>
      <c r="F44" s="43">
        <v>51.473140000000001</v>
      </c>
      <c r="G44" s="62">
        <v>30.139880000000002</v>
      </c>
      <c r="H44" s="63">
        <v>46.191850000000002</v>
      </c>
      <c r="I44" s="62">
        <v>37.22343</v>
      </c>
      <c r="J44" s="38">
        <v>-0.1941558954664081</v>
      </c>
      <c r="L44" s="17" t="s">
        <v>3</v>
      </c>
      <c r="M44" s="56"/>
      <c r="N44" s="56"/>
      <c r="O44" s="56"/>
      <c r="P44" s="56"/>
      <c r="Q44" s="56"/>
      <c r="R44" s="56"/>
      <c r="S44" s="56"/>
      <c r="T44" s="56"/>
      <c r="U44" s="56"/>
    </row>
    <row r="45" spans="2:21" x14ac:dyDescent="0.25">
      <c r="B45" s="39" t="s">
        <v>38</v>
      </c>
      <c r="C45" s="32"/>
      <c r="D45" s="32">
        <v>0.13630800000000001</v>
      </c>
      <c r="E45" s="32">
        <v>8.8063000000000002E-2</v>
      </c>
      <c r="F45" s="32">
        <v>8.011900000000001E-2</v>
      </c>
      <c r="G45" s="46">
        <v>5.6590000000000001E-2</v>
      </c>
      <c r="H45" s="47">
        <v>6.8916000000000005E-2</v>
      </c>
      <c r="I45" s="46">
        <v>7.3050000000000004E-2</v>
      </c>
      <c r="J45" s="31">
        <v>5.9986069998258618E-2</v>
      </c>
      <c r="L45" s="12" t="s">
        <v>221</v>
      </c>
    </row>
    <row r="46" spans="2:21" x14ac:dyDescent="0.25">
      <c r="B46" s="39" t="s">
        <v>74</v>
      </c>
      <c r="C46" s="32"/>
      <c r="D46" s="32">
        <v>0.17816500000000002</v>
      </c>
      <c r="E46" s="32">
        <v>0.116981</v>
      </c>
      <c r="F46" s="32">
        <v>0.10654899999999999</v>
      </c>
      <c r="G46" s="46">
        <v>7.3891999999999999E-2</v>
      </c>
      <c r="H46" s="47">
        <v>9.1037999999999994E-2</v>
      </c>
      <c r="I46" s="46">
        <v>9.6000999999999989E-2</v>
      </c>
      <c r="J46" s="31">
        <v>5.4515696742019726E-2</v>
      </c>
      <c r="L46" s="110" t="s">
        <v>222</v>
      </c>
      <c r="M46" s="110"/>
      <c r="N46" s="110"/>
      <c r="O46" s="110"/>
      <c r="P46" s="110"/>
      <c r="Q46" s="110"/>
      <c r="R46" s="110"/>
      <c r="S46" s="110"/>
      <c r="T46" s="110"/>
      <c r="U46" s="110"/>
    </row>
    <row r="47" spans="2:21" x14ac:dyDescent="0.25">
      <c r="B47" s="33" t="s">
        <v>35</v>
      </c>
      <c r="C47" s="34"/>
      <c r="D47" s="34">
        <v>0.35327599999999998</v>
      </c>
      <c r="E47" s="34">
        <v>0.20977900000000002</v>
      </c>
      <c r="F47" s="34">
        <v>0.18410399999999999</v>
      </c>
      <c r="G47" s="48">
        <v>0.11799899999999999</v>
      </c>
      <c r="H47" s="49">
        <v>0.16456199999999999</v>
      </c>
      <c r="I47" s="48">
        <v>0.15947500000000001</v>
      </c>
      <c r="J47" s="38">
        <v>-3.0912361298477076E-2</v>
      </c>
      <c r="L47" s="110" t="s">
        <v>223</v>
      </c>
      <c r="M47" s="110"/>
      <c r="N47" s="110"/>
      <c r="O47" s="110"/>
      <c r="P47" s="110"/>
      <c r="Q47" s="110"/>
      <c r="R47" s="110"/>
      <c r="S47" s="110"/>
      <c r="T47" s="110"/>
      <c r="U47" s="110"/>
    </row>
    <row r="48" spans="2:21" x14ac:dyDescent="0.25">
      <c r="B48" s="39" t="s">
        <v>75</v>
      </c>
      <c r="C48" s="64"/>
      <c r="D48" s="28">
        <v>15191.228279999999</v>
      </c>
      <c r="E48" s="28">
        <v>15206.239079999999</v>
      </c>
      <c r="F48" s="28">
        <v>12183.874830000001</v>
      </c>
      <c r="G48" s="28">
        <v>11462.604069999999</v>
      </c>
      <c r="H48" s="28">
        <v>12025.61167</v>
      </c>
      <c r="I48" s="28">
        <v>14331.66706</v>
      </c>
      <c r="J48" s="40">
        <v>0.19176200373681285</v>
      </c>
      <c r="L48" s="106" t="s">
        <v>224</v>
      </c>
      <c r="M48" s="106"/>
      <c r="N48" s="106"/>
      <c r="O48" s="106"/>
      <c r="P48" s="106"/>
      <c r="Q48" s="106"/>
      <c r="R48" s="106"/>
      <c r="S48" s="106"/>
      <c r="T48" s="106"/>
      <c r="U48" s="106"/>
    </row>
    <row r="49" spans="2:21" x14ac:dyDescent="0.25">
      <c r="B49" s="33" t="s">
        <v>76</v>
      </c>
      <c r="C49" s="34"/>
      <c r="D49" s="35">
        <v>32903.025750654648</v>
      </c>
      <c r="E49" s="35">
        <v>36932.909459203445</v>
      </c>
      <c r="F49" s="35">
        <v>30235.866076369675</v>
      </c>
      <c r="G49" s="35">
        <v>31743.220983428597</v>
      </c>
      <c r="H49" s="35">
        <v>31941.553701578803</v>
      </c>
      <c r="I49" s="35">
        <v>37083.805499563998</v>
      </c>
      <c r="J49" s="44">
        <v>0.1609894072789273</v>
      </c>
      <c r="L49" s="106"/>
      <c r="M49" s="106"/>
      <c r="N49" s="106"/>
      <c r="O49" s="106"/>
      <c r="P49" s="106"/>
      <c r="Q49" s="106"/>
      <c r="R49" s="106"/>
      <c r="S49" s="106"/>
      <c r="T49" s="106"/>
      <c r="U49" s="106"/>
    </row>
    <row r="50" spans="2:21" x14ac:dyDescent="0.25">
      <c r="L50" s="111" t="s">
        <v>225</v>
      </c>
      <c r="M50" s="111"/>
      <c r="N50" s="111"/>
      <c r="O50" s="111"/>
      <c r="P50" s="111"/>
      <c r="Q50" s="111"/>
      <c r="R50" s="111"/>
      <c r="S50" s="111"/>
      <c r="T50" s="111"/>
      <c r="U50" s="111"/>
    </row>
    <row r="51" spans="2:21" x14ac:dyDescent="0.25">
      <c r="L51" s="111"/>
      <c r="M51" s="111"/>
      <c r="N51" s="111"/>
      <c r="O51" s="111"/>
      <c r="P51" s="111"/>
      <c r="Q51" s="111"/>
      <c r="R51" s="111"/>
      <c r="S51" s="111"/>
      <c r="T51" s="111"/>
      <c r="U51" s="111"/>
    </row>
    <row r="52" spans="2:21" x14ac:dyDescent="0.25">
      <c r="L52" s="111"/>
      <c r="M52" s="111"/>
      <c r="N52" s="111"/>
      <c r="O52" s="111"/>
      <c r="P52" s="111"/>
      <c r="Q52" s="111"/>
      <c r="R52" s="111"/>
      <c r="S52" s="111"/>
      <c r="T52" s="111"/>
      <c r="U52" s="111"/>
    </row>
    <row r="53" spans="2:21" x14ac:dyDescent="0.25">
      <c r="L53" s="110" t="s">
        <v>226</v>
      </c>
      <c r="M53" s="110"/>
      <c r="N53" s="110"/>
      <c r="O53" s="110"/>
      <c r="P53" s="110"/>
      <c r="Q53" s="110"/>
      <c r="R53" s="110"/>
      <c r="S53" s="110"/>
      <c r="T53" s="110"/>
      <c r="U53" s="110"/>
    </row>
    <row r="54" spans="2:21" x14ac:dyDescent="0.25">
      <c r="L54" s="106" t="s">
        <v>227</v>
      </c>
      <c r="M54" s="106"/>
      <c r="N54" s="106"/>
      <c r="O54" s="106"/>
      <c r="P54" s="106"/>
      <c r="Q54" s="106"/>
      <c r="R54" s="106"/>
      <c r="S54" s="106"/>
      <c r="T54" s="106"/>
      <c r="U54" s="106"/>
    </row>
    <row r="55" spans="2:21" x14ac:dyDescent="0.25">
      <c r="L55" s="106"/>
      <c r="M55" s="106"/>
      <c r="N55" s="106"/>
      <c r="O55" s="106"/>
      <c r="P55" s="106"/>
      <c r="Q55" s="106"/>
      <c r="R55" s="106"/>
      <c r="S55" s="106"/>
      <c r="T55" s="106"/>
      <c r="U55" s="106"/>
    </row>
    <row r="56" spans="2:21" x14ac:dyDescent="0.25">
      <c r="L56" s="106" t="s">
        <v>228</v>
      </c>
      <c r="M56" s="106"/>
      <c r="N56" s="106"/>
      <c r="O56" s="106"/>
      <c r="P56" s="106"/>
      <c r="Q56" s="106"/>
      <c r="R56" s="106"/>
      <c r="S56" s="106"/>
      <c r="T56" s="106"/>
      <c r="U56" s="106"/>
    </row>
    <row r="57" spans="2:21" x14ac:dyDescent="0.25">
      <c r="L57" s="106"/>
      <c r="M57" s="106"/>
      <c r="N57" s="106"/>
      <c r="O57" s="106"/>
      <c r="P57" s="106"/>
      <c r="Q57" s="106"/>
      <c r="R57" s="106"/>
      <c r="S57" s="106"/>
      <c r="T57" s="106"/>
      <c r="U57" s="106"/>
    </row>
    <row r="58" spans="2:21" x14ac:dyDescent="0.25">
      <c r="L58" s="110" t="s">
        <v>229</v>
      </c>
      <c r="M58" s="110"/>
      <c r="N58" s="110"/>
      <c r="O58" s="110"/>
      <c r="P58" s="110"/>
      <c r="Q58" s="110"/>
      <c r="R58" s="110"/>
      <c r="S58" s="110"/>
      <c r="T58" s="110"/>
      <c r="U58" s="110"/>
    </row>
    <row r="59" spans="2:21" x14ac:dyDescent="0.25">
      <c r="L59" s="110" t="s">
        <v>230</v>
      </c>
      <c r="M59" s="110"/>
      <c r="N59" s="110"/>
      <c r="O59" s="110"/>
      <c r="P59" s="110"/>
      <c r="Q59" s="110"/>
      <c r="R59" s="110"/>
      <c r="S59" s="110"/>
      <c r="T59" s="110"/>
      <c r="U59" s="110"/>
    </row>
    <row r="60" spans="2:21" x14ac:dyDescent="0.25">
      <c r="L60" s="12" t="s">
        <v>231</v>
      </c>
      <c r="M60" s="12"/>
      <c r="N60" s="12"/>
      <c r="O60" s="12"/>
      <c r="P60" s="12"/>
      <c r="Q60" s="12"/>
      <c r="R60" s="12"/>
      <c r="S60" s="12"/>
      <c r="T60" s="12"/>
      <c r="U60" s="12"/>
    </row>
    <row r="66" spans="12:21" x14ac:dyDescent="0.25">
      <c r="L66" s="15"/>
      <c r="M66" s="15"/>
      <c r="N66" s="15"/>
      <c r="O66" s="15"/>
      <c r="P66" s="15"/>
      <c r="Q66" s="15"/>
      <c r="R66" s="15"/>
      <c r="S66" s="15"/>
      <c r="T66" s="15"/>
      <c r="U66" s="15"/>
    </row>
    <row r="67" spans="12:21" x14ac:dyDescent="0.25">
      <c r="L67" s="15"/>
      <c r="M67" s="15"/>
      <c r="N67" s="15"/>
      <c r="O67" s="15"/>
      <c r="P67" s="15"/>
      <c r="Q67" s="15"/>
      <c r="R67" s="15"/>
      <c r="S67" s="15"/>
      <c r="T67" s="15"/>
      <c r="U67" s="15"/>
    </row>
    <row r="68" spans="12:21" x14ac:dyDescent="0.25">
      <c r="L68" s="15"/>
      <c r="M68" s="15"/>
      <c r="N68" s="15"/>
      <c r="O68" s="15"/>
      <c r="P68" s="15"/>
      <c r="Q68" s="15"/>
      <c r="R68" s="15"/>
      <c r="S68" s="15"/>
      <c r="T68" s="15"/>
      <c r="U68" s="15"/>
    </row>
  </sheetData>
  <mergeCells count="10">
    <mergeCell ref="L54:U55"/>
    <mergeCell ref="L56:U57"/>
    <mergeCell ref="L58:U58"/>
    <mergeCell ref="L59:U59"/>
    <mergeCell ref="L6:U35"/>
    <mergeCell ref="L46:U46"/>
    <mergeCell ref="L47:U47"/>
    <mergeCell ref="L48:U49"/>
    <mergeCell ref="L50:U52"/>
    <mergeCell ref="L53:U5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76F72-C74A-4923-BE70-70C2815E590F}">
  <dimension ref="B1:U68"/>
  <sheetViews>
    <sheetView topLeftCell="A18" workbookViewId="0">
      <selection activeCell="B23" sqref="B23:J49"/>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x14ac:dyDescent="0.25">
      <c r="L6" s="108" t="s">
        <v>501</v>
      </c>
      <c r="M6" s="108"/>
      <c r="N6" s="108"/>
      <c r="O6" s="108"/>
      <c r="P6" s="108"/>
      <c r="Q6" s="108"/>
      <c r="R6" s="108"/>
      <c r="S6" s="108"/>
      <c r="T6" s="108"/>
      <c r="U6" s="108"/>
    </row>
    <row r="7" spans="12:21" x14ac:dyDescent="0.25">
      <c r="L7" s="108"/>
      <c r="M7" s="108"/>
      <c r="N7" s="108"/>
      <c r="O7" s="108"/>
      <c r="P7" s="108"/>
      <c r="Q7" s="108"/>
      <c r="R7" s="108"/>
      <c r="S7" s="108"/>
      <c r="T7" s="108"/>
      <c r="U7" s="108"/>
    </row>
    <row r="8" spans="12:21" x14ac:dyDescent="0.25">
      <c r="L8" s="108"/>
      <c r="M8" s="108"/>
      <c r="N8" s="108"/>
      <c r="O8" s="108"/>
      <c r="P8" s="108"/>
      <c r="Q8" s="108"/>
      <c r="R8" s="108"/>
      <c r="S8" s="108"/>
      <c r="T8" s="108"/>
      <c r="U8" s="108"/>
    </row>
    <row r="9" spans="12:21" x14ac:dyDescent="0.25">
      <c r="L9" s="108"/>
      <c r="M9" s="108"/>
      <c r="N9" s="108"/>
      <c r="O9" s="108"/>
      <c r="P9" s="108"/>
      <c r="Q9" s="108"/>
      <c r="R9" s="108"/>
      <c r="S9" s="108"/>
      <c r="T9" s="108"/>
      <c r="U9" s="108"/>
    </row>
    <row r="10" spans="12:21" x14ac:dyDescent="0.25">
      <c r="L10" s="108"/>
      <c r="M10" s="108"/>
      <c r="N10" s="108"/>
      <c r="O10" s="108"/>
      <c r="P10" s="108"/>
      <c r="Q10" s="108"/>
      <c r="R10" s="108"/>
      <c r="S10" s="108"/>
      <c r="T10" s="108"/>
      <c r="U10" s="108"/>
    </row>
    <row r="11" spans="12:21" x14ac:dyDescent="0.25">
      <c r="L11" s="108"/>
      <c r="M11" s="108"/>
      <c r="N11" s="108"/>
      <c r="O11" s="108"/>
      <c r="P11" s="108"/>
      <c r="Q11" s="108"/>
      <c r="R11" s="108"/>
      <c r="S11" s="108"/>
      <c r="T11" s="108"/>
      <c r="U11" s="108"/>
    </row>
    <row r="12" spans="12:21" x14ac:dyDescent="0.25">
      <c r="L12" s="108"/>
      <c r="M12" s="108"/>
      <c r="N12" s="108"/>
      <c r="O12" s="108"/>
      <c r="P12" s="108"/>
      <c r="Q12" s="108"/>
      <c r="R12" s="108"/>
      <c r="S12" s="108"/>
      <c r="T12" s="108"/>
      <c r="U12" s="108"/>
    </row>
    <row r="13" spans="12:21" x14ac:dyDescent="0.25">
      <c r="L13" s="108"/>
      <c r="M13" s="108"/>
      <c r="N13" s="108"/>
      <c r="O13" s="108"/>
      <c r="P13" s="108"/>
      <c r="Q13" s="108"/>
      <c r="R13" s="108"/>
      <c r="S13" s="108"/>
      <c r="T13" s="108"/>
      <c r="U13" s="108"/>
    </row>
    <row r="14" spans="12:21" x14ac:dyDescent="0.25">
      <c r="L14" s="108"/>
      <c r="M14" s="108"/>
      <c r="N14" s="108"/>
      <c r="O14" s="108"/>
      <c r="P14" s="108"/>
      <c r="Q14" s="108"/>
      <c r="R14" s="108"/>
      <c r="S14" s="108"/>
      <c r="T14" s="108"/>
      <c r="U14" s="108"/>
    </row>
    <row r="15" spans="12:21" x14ac:dyDescent="0.25">
      <c r="L15" s="108"/>
      <c r="M15" s="108"/>
      <c r="N15" s="108"/>
      <c r="O15" s="108"/>
      <c r="P15" s="108"/>
      <c r="Q15" s="108"/>
      <c r="R15" s="108"/>
      <c r="S15" s="108"/>
      <c r="T15" s="108"/>
      <c r="U15" s="108"/>
    </row>
    <row r="16" spans="12:21" x14ac:dyDescent="0.25">
      <c r="L16" s="108"/>
      <c r="M16" s="108"/>
      <c r="N16" s="108"/>
      <c r="O16" s="108"/>
      <c r="P16" s="108"/>
      <c r="Q16" s="108"/>
      <c r="R16" s="108"/>
      <c r="S16" s="108"/>
      <c r="T16" s="108"/>
      <c r="U16" s="108"/>
    </row>
    <row r="17" spans="2:21" x14ac:dyDescent="0.25">
      <c r="L17" s="108"/>
      <c r="M17" s="108"/>
      <c r="N17" s="108"/>
      <c r="O17" s="108"/>
      <c r="P17" s="108"/>
      <c r="Q17" s="108"/>
      <c r="R17" s="108"/>
      <c r="S17" s="108"/>
      <c r="T17" s="108"/>
      <c r="U17" s="108"/>
    </row>
    <row r="18" spans="2:21" x14ac:dyDescent="0.25">
      <c r="L18" s="108"/>
      <c r="M18" s="108"/>
      <c r="N18" s="108"/>
      <c r="O18" s="108"/>
      <c r="P18" s="108"/>
      <c r="Q18" s="108"/>
      <c r="R18" s="108"/>
      <c r="S18" s="108"/>
      <c r="T18" s="108"/>
      <c r="U18" s="108"/>
    </row>
    <row r="19" spans="2:21" x14ac:dyDescent="0.25">
      <c r="L19" s="108"/>
      <c r="M19" s="108"/>
      <c r="N19" s="108"/>
      <c r="O19" s="108"/>
      <c r="P19" s="108"/>
      <c r="Q19" s="108"/>
      <c r="R19" s="108"/>
      <c r="S19" s="108"/>
      <c r="T19" s="108"/>
      <c r="U19" s="108"/>
    </row>
    <row r="20" spans="2:21" x14ac:dyDescent="0.25">
      <c r="L20" s="108"/>
      <c r="M20" s="108"/>
      <c r="N20" s="108"/>
      <c r="O20" s="108"/>
      <c r="P20" s="108"/>
      <c r="Q20" s="108"/>
      <c r="R20" s="108"/>
      <c r="S20" s="108"/>
      <c r="T20" s="108"/>
      <c r="U20" s="108"/>
    </row>
    <row r="21" spans="2:21" x14ac:dyDescent="0.25">
      <c r="L21" s="108"/>
      <c r="M21" s="108"/>
      <c r="N21" s="108"/>
      <c r="O21" s="108"/>
      <c r="P21" s="108"/>
      <c r="Q21" s="108"/>
      <c r="R21" s="108"/>
      <c r="S21" s="108"/>
      <c r="T21" s="108"/>
      <c r="U21" s="108"/>
    </row>
    <row r="22" spans="2:21" x14ac:dyDescent="0.25">
      <c r="L22" s="108"/>
      <c r="M22" s="108"/>
      <c r="N22" s="108"/>
      <c r="O22" s="108"/>
      <c r="P22" s="108"/>
      <c r="Q22" s="108"/>
      <c r="R22" s="108"/>
      <c r="S22" s="108"/>
      <c r="T22" s="108"/>
      <c r="U22" s="108"/>
    </row>
    <row r="23" spans="2:21" x14ac:dyDescent="0.25">
      <c r="B23" t="s">
        <v>4</v>
      </c>
      <c r="D23" t="s">
        <v>5</v>
      </c>
      <c r="E23" t="s">
        <v>6</v>
      </c>
      <c r="F23" t="s">
        <v>7</v>
      </c>
      <c r="G23" t="s">
        <v>8</v>
      </c>
      <c r="H23" t="s">
        <v>502</v>
      </c>
      <c r="I23" t="s">
        <v>503</v>
      </c>
      <c r="L23" s="108"/>
      <c r="M23" s="108"/>
      <c r="N23" s="108"/>
      <c r="O23" s="108"/>
      <c r="P23" s="108"/>
      <c r="Q23" s="108"/>
      <c r="R23" s="108"/>
      <c r="S23" s="108"/>
      <c r="T23" s="108"/>
      <c r="U23" s="108"/>
    </row>
    <row r="24" spans="2:21" x14ac:dyDescent="0.25">
      <c r="B24" s="1"/>
      <c r="C24" s="1"/>
      <c r="D24" s="19" t="s">
        <v>9</v>
      </c>
      <c r="E24" s="20"/>
      <c r="F24" s="20"/>
      <c r="G24" s="21"/>
      <c r="H24" s="22" t="s">
        <v>10</v>
      </c>
      <c r="I24" s="20"/>
      <c r="J24" s="20"/>
      <c r="L24" s="108"/>
      <c r="M24" s="108"/>
      <c r="N24" s="108"/>
      <c r="O24" s="108"/>
      <c r="P24" s="108"/>
      <c r="Q24" s="108"/>
      <c r="R24" s="108"/>
      <c r="S24" s="108"/>
      <c r="T24" s="108"/>
      <c r="U24" s="108"/>
    </row>
    <row r="25" spans="2:21" x14ac:dyDescent="0.25">
      <c r="B25" s="23"/>
      <c r="C25" s="23"/>
      <c r="D25" s="24">
        <v>44926</v>
      </c>
      <c r="E25" s="24">
        <v>45291</v>
      </c>
      <c r="F25" s="24">
        <v>45657</v>
      </c>
      <c r="G25" s="25">
        <v>46022</v>
      </c>
      <c r="H25" s="26">
        <v>45838</v>
      </c>
      <c r="I25" s="25">
        <v>46203</v>
      </c>
      <c r="J25" s="27" t="s">
        <v>11</v>
      </c>
      <c r="L25" s="96" t="s">
        <v>1</v>
      </c>
      <c r="M25" s="97"/>
      <c r="N25" s="97"/>
      <c r="O25" s="97"/>
      <c r="P25" s="97"/>
      <c r="Q25" s="97"/>
      <c r="R25" s="97"/>
      <c r="S25" s="97"/>
      <c r="T25" s="97"/>
      <c r="U25" s="65"/>
    </row>
    <row r="26" spans="2:21" x14ac:dyDescent="0.25">
      <c r="B26" s="8" t="s">
        <v>55</v>
      </c>
      <c r="C26" s="8"/>
      <c r="D26" s="28">
        <v>833.26832999999999</v>
      </c>
      <c r="E26" s="28">
        <v>837.49879999999996</v>
      </c>
      <c r="F26" s="28">
        <v>639.04044999999996</v>
      </c>
      <c r="G26" s="29">
        <v>1150.83383</v>
      </c>
      <c r="H26" s="30">
        <v>964.69073000000003</v>
      </c>
      <c r="I26" s="29">
        <v>1439.69112</v>
      </c>
      <c r="J26" s="31">
        <v>0.49238618681450363</v>
      </c>
      <c r="L26" s="98" t="s">
        <v>232</v>
      </c>
      <c r="M26" s="97"/>
      <c r="N26" s="97"/>
      <c r="O26" s="97"/>
      <c r="P26" s="97"/>
      <c r="Q26" s="97"/>
      <c r="R26" s="97"/>
      <c r="S26" s="97"/>
      <c r="T26" s="97"/>
      <c r="U26" s="65"/>
    </row>
    <row r="27" spans="2:21" x14ac:dyDescent="0.25">
      <c r="B27" s="39" t="s">
        <v>56</v>
      </c>
      <c r="C27" s="32"/>
      <c r="D27" s="32">
        <v>0.35179299999999997</v>
      </c>
      <c r="E27" s="32">
        <v>0.32899700000000004</v>
      </c>
      <c r="F27" s="32">
        <v>0.32905000000000001</v>
      </c>
      <c r="G27" s="46">
        <v>0.33457799999999999</v>
      </c>
      <c r="H27" s="47">
        <v>0.32717299999999999</v>
      </c>
      <c r="I27" s="46">
        <v>0.321162</v>
      </c>
      <c r="J27" s="31">
        <v>-1.8372542966565097E-2</v>
      </c>
      <c r="L27" s="98" t="s">
        <v>233</v>
      </c>
      <c r="M27" s="97"/>
      <c r="N27" s="97"/>
      <c r="O27" s="97"/>
      <c r="P27" s="97"/>
      <c r="Q27" s="97"/>
      <c r="R27" s="97"/>
      <c r="S27" s="97"/>
      <c r="T27" s="97"/>
      <c r="U27" s="65"/>
    </row>
    <row r="28" spans="2:21" x14ac:dyDescent="0.25">
      <c r="B28" s="39" t="s">
        <v>57</v>
      </c>
      <c r="C28" s="32"/>
      <c r="D28" s="32">
        <v>0.25344</v>
      </c>
      <c r="E28" s="32">
        <v>0.205896</v>
      </c>
      <c r="F28" s="32">
        <v>0.24309999999999998</v>
      </c>
      <c r="G28" s="46">
        <v>0.26252400000000004</v>
      </c>
      <c r="H28" s="47">
        <v>0.23046900000000001</v>
      </c>
      <c r="I28" s="46">
        <v>0.25069900000000001</v>
      </c>
      <c r="J28" s="31">
        <v>8.7777531902338168E-2</v>
      </c>
      <c r="L28" s="97"/>
      <c r="M28" s="97"/>
      <c r="N28" s="97"/>
      <c r="O28" s="97"/>
      <c r="P28" s="97"/>
      <c r="Q28" s="97"/>
      <c r="R28" s="97"/>
      <c r="S28" s="97"/>
      <c r="T28" s="97"/>
      <c r="U28" s="65"/>
    </row>
    <row r="29" spans="2:21" x14ac:dyDescent="0.25">
      <c r="B29" s="39" t="s">
        <v>58</v>
      </c>
      <c r="C29" s="32"/>
      <c r="D29" s="32">
        <v>0.29621900000000001</v>
      </c>
      <c r="E29" s="32">
        <v>0.25006299999999998</v>
      </c>
      <c r="F29" s="32">
        <v>0.29212199999999999</v>
      </c>
      <c r="G29" s="46">
        <v>0.31161300000000003</v>
      </c>
      <c r="H29" s="47">
        <v>0.283279</v>
      </c>
      <c r="I29" s="46">
        <v>0.30058299999999999</v>
      </c>
      <c r="J29" s="31">
        <v>6.1084655057381587E-2</v>
      </c>
      <c r="L29" s="97"/>
      <c r="M29" s="97"/>
      <c r="N29" s="97"/>
      <c r="O29" s="97"/>
      <c r="P29" s="97"/>
      <c r="Q29" s="97"/>
      <c r="R29" s="97"/>
      <c r="S29" s="97"/>
      <c r="T29" s="97"/>
      <c r="U29" s="65"/>
    </row>
    <row r="30" spans="2:21" x14ac:dyDescent="0.25">
      <c r="B30" s="39" t="s">
        <v>59</v>
      </c>
      <c r="C30" s="32"/>
      <c r="D30" s="32">
        <v>0.121118</v>
      </c>
      <c r="E30" s="32">
        <v>8.7456999999999993E-2</v>
      </c>
      <c r="F30" s="32">
        <v>0.11463</v>
      </c>
      <c r="G30" s="46">
        <v>0.130632</v>
      </c>
      <c r="H30" s="47">
        <v>0.109124</v>
      </c>
      <c r="I30" s="46">
        <v>0.14768800000000001</v>
      </c>
      <c r="J30" s="31">
        <v>0.35339613650526025</v>
      </c>
      <c r="L30" s="97"/>
      <c r="M30" s="97"/>
      <c r="N30" s="97"/>
      <c r="O30" s="97"/>
      <c r="P30" s="97"/>
      <c r="Q30" s="97"/>
      <c r="R30" s="97"/>
      <c r="S30" s="97"/>
      <c r="T30" s="97"/>
      <c r="U30" s="65"/>
    </row>
    <row r="31" spans="2:21" x14ac:dyDescent="0.25">
      <c r="B31" s="33" t="s">
        <v>60</v>
      </c>
      <c r="C31" s="34"/>
      <c r="D31" s="34">
        <v>3.8809000000000003E-2</v>
      </c>
      <c r="E31" s="34">
        <v>-1.6736000000000001E-2</v>
      </c>
      <c r="F31" s="34">
        <v>-7.18E-4</v>
      </c>
      <c r="G31" s="48">
        <v>-1.5800000000000002E-2</v>
      </c>
      <c r="H31" s="49">
        <v>0.11035500000000001</v>
      </c>
      <c r="I31" s="48">
        <v>2.0681999999999999E-2</v>
      </c>
      <c r="J31" s="38">
        <v>-0.8125866521680033</v>
      </c>
      <c r="L31" s="97"/>
      <c r="M31" s="97"/>
      <c r="N31" s="97"/>
      <c r="O31" s="97"/>
      <c r="P31" s="97"/>
      <c r="Q31" s="97"/>
      <c r="R31" s="97"/>
      <c r="S31" s="97"/>
      <c r="T31" s="97"/>
      <c r="U31" s="65"/>
    </row>
    <row r="32" spans="2:21" x14ac:dyDescent="0.25">
      <c r="B32" s="39" t="s">
        <v>61</v>
      </c>
      <c r="C32" s="8"/>
      <c r="D32" s="42">
        <v>2.4232659114118875</v>
      </c>
      <c r="E32" s="42">
        <v>1.6342716953346337</v>
      </c>
      <c r="F32" s="42">
        <v>1.6465628859264971</v>
      </c>
      <c r="G32" s="51">
        <v>1.8300270054481167</v>
      </c>
      <c r="H32" s="58">
        <v>1.4673403025873271</v>
      </c>
      <c r="I32" s="51">
        <v>1.5029590987371826</v>
      </c>
      <c r="J32" s="31">
        <v>2.4274393667951255E-2</v>
      </c>
      <c r="L32" s="97"/>
      <c r="M32" s="97"/>
      <c r="N32" s="97"/>
      <c r="O32" s="97"/>
      <c r="P32" s="97"/>
      <c r="Q32" s="97"/>
      <c r="R32" s="97"/>
      <c r="S32" s="97"/>
      <c r="T32" s="97"/>
      <c r="U32" s="65"/>
    </row>
    <row r="33" spans="2:21" x14ac:dyDescent="0.25">
      <c r="B33" s="39" t="s">
        <v>62</v>
      </c>
      <c r="C33" s="8"/>
      <c r="D33" s="42">
        <v>4.8042800000000003</v>
      </c>
      <c r="E33" s="42">
        <v>4.0030400000000004</v>
      </c>
      <c r="F33" s="42">
        <v>3.2754699999999999</v>
      </c>
      <c r="G33" s="51">
        <v>3.3757100000000002</v>
      </c>
      <c r="H33" s="58">
        <v>2.9704999999999999</v>
      </c>
      <c r="I33" s="51">
        <v>3.12195</v>
      </c>
      <c r="J33" s="31">
        <v>5.0984682713347995E-2</v>
      </c>
      <c r="L33" s="97"/>
      <c r="M33" s="99"/>
      <c r="N33" s="99"/>
      <c r="O33" s="99"/>
      <c r="P33" s="99"/>
      <c r="Q33" s="99"/>
      <c r="R33" s="99"/>
      <c r="S33" s="99"/>
      <c r="T33" s="99"/>
    </row>
    <row r="34" spans="2:21" x14ac:dyDescent="0.25">
      <c r="B34" s="39" t="s">
        <v>63</v>
      </c>
      <c r="C34" s="8"/>
      <c r="D34" s="42">
        <v>2.2989899999999999</v>
      </c>
      <c r="E34" s="42">
        <v>1.8226599999999999</v>
      </c>
      <c r="F34" s="42">
        <v>1.7702800000000001</v>
      </c>
      <c r="G34" s="51">
        <v>1.9180200000000001</v>
      </c>
      <c r="H34" s="58">
        <v>1.53948</v>
      </c>
      <c r="I34" s="51">
        <v>1.6339300000000001</v>
      </c>
      <c r="J34" s="31">
        <v>6.1351885052095545E-2</v>
      </c>
      <c r="L34" s="97"/>
      <c r="M34" s="99"/>
      <c r="N34" s="99"/>
      <c r="O34" s="99"/>
      <c r="P34" s="99"/>
      <c r="Q34" s="99"/>
      <c r="R34" s="99"/>
      <c r="S34" s="99"/>
      <c r="T34" s="99"/>
    </row>
    <row r="35" spans="2:21" x14ac:dyDescent="0.25">
      <c r="B35" s="39" t="s">
        <v>64</v>
      </c>
      <c r="C35" s="8"/>
      <c r="D35" s="42">
        <v>3.1971099999999999</v>
      </c>
      <c r="E35" s="42">
        <v>3.0598399999999999</v>
      </c>
      <c r="F35" s="42">
        <v>2.8453200000000001</v>
      </c>
      <c r="G35" s="51">
        <v>2.7722000000000002</v>
      </c>
      <c r="H35" s="58">
        <v>3.0504199999999999</v>
      </c>
      <c r="I35" s="51">
        <v>2.7587700000000002</v>
      </c>
      <c r="J35" s="31">
        <v>-9.5609784882081716E-2</v>
      </c>
      <c r="L35" s="97"/>
      <c r="M35" s="99"/>
      <c r="N35" s="99"/>
      <c r="O35" s="99"/>
      <c r="P35" s="99"/>
      <c r="Q35" s="99"/>
      <c r="R35" s="99"/>
      <c r="S35" s="99"/>
      <c r="T35" s="99"/>
    </row>
    <row r="36" spans="2:21" x14ac:dyDescent="0.25">
      <c r="B36" s="39" t="s">
        <v>65</v>
      </c>
      <c r="C36" s="8"/>
      <c r="D36" s="42">
        <v>2.6951299999999998</v>
      </c>
      <c r="E36" s="42">
        <v>2.6648700000000001</v>
      </c>
      <c r="F36" s="42">
        <v>2.5251899999999998</v>
      </c>
      <c r="G36" s="51">
        <v>2.3404400000000001</v>
      </c>
      <c r="H36" s="58">
        <v>2.6473599999999999</v>
      </c>
      <c r="I36" s="51">
        <v>2.2825000000000002</v>
      </c>
      <c r="J36" s="31">
        <v>-0.13782031911035886</v>
      </c>
      <c r="L36" s="66" t="s">
        <v>234</v>
      </c>
    </row>
    <row r="37" spans="2:21" x14ac:dyDescent="0.25">
      <c r="B37" s="39" t="s">
        <v>66</v>
      </c>
      <c r="C37" s="8"/>
      <c r="D37" s="42">
        <v>6.6810999999999998</v>
      </c>
      <c r="E37" s="42">
        <v>6.7202200000000003</v>
      </c>
      <c r="F37" s="42">
        <v>5.2645600000000004</v>
      </c>
      <c r="G37" s="51">
        <v>4.87906</v>
      </c>
      <c r="H37" s="58">
        <v>5.8859399999999997</v>
      </c>
      <c r="I37" s="51">
        <v>5.2711800000000002</v>
      </c>
      <c r="J37" s="31">
        <v>-0.10444550912853334</v>
      </c>
      <c r="L37" s="12" t="s">
        <v>235</v>
      </c>
    </row>
    <row r="38" spans="2:21" x14ac:dyDescent="0.25">
      <c r="B38" s="33" t="s">
        <v>67</v>
      </c>
      <c r="C38" s="52"/>
      <c r="D38" s="52">
        <v>5.6320899999999998</v>
      </c>
      <c r="E38" s="52">
        <v>5.8527399999999998</v>
      </c>
      <c r="F38" s="52">
        <v>4.6722299999999999</v>
      </c>
      <c r="G38" s="53">
        <v>4.1191599999999999</v>
      </c>
      <c r="H38" s="54">
        <v>5.1082200000000002</v>
      </c>
      <c r="I38" s="53">
        <v>4.3611800000000001</v>
      </c>
      <c r="J38" s="38">
        <v>-0.14624272251390902</v>
      </c>
      <c r="L38" s="12" t="s">
        <v>236</v>
      </c>
    </row>
    <row r="39" spans="2:21" x14ac:dyDescent="0.25">
      <c r="B39" s="8" t="s">
        <v>68</v>
      </c>
      <c r="C39" s="42"/>
      <c r="D39" s="59">
        <v>68.160830000000004</v>
      </c>
      <c r="E39" s="59">
        <v>72.966419999999999</v>
      </c>
      <c r="F39" s="59">
        <v>73.400930000000002</v>
      </c>
      <c r="G39" s="60">
        <v>74.120919999999998</v>
      </c>
      <c r="H39" s="61">
        <v>70.410690000000002</v>
      </c>
      <c r="I39" s="60">
        <v>65.708029999999994</v>
      </c>
      <c r="J39" s="31">
        <v>-6.678900604439475E-2</v>
      </c>
      <c r="L39" s="12" t="s">
        <v>237</v>
      </c>
      <c r="M39" s="12"/>
      <c r="N39" s="12"/>
      <c r="O39" s="12"/>
      <c r="P39" s="12"/>
      <c r="Q39" s="12"/>
      <c r="R39" s="12"/>
      <c r="S39" s="12"/>
      <c r="T39" s="12"/>
      <c r="U39" s="12"/>
    </row>
    <row r="40" spans="2:21" x14ac:dyDescent="0.25">
      <c r="B40" s="8" t="s">
        <v>69</v>
      </c>
      <c r="C40" s="42"/>
      <c r="D40" s="59">
        <v>50.365989999999996</v>
      </c>
      <c r="E40" s="59">
        <v>57.287849999999999</v>
      </c>
      <c r="F40" s="59">
        <v>68.531670000000005</v>
      </c>
      <c r="G40" s="60">
        <v>69.202179999999998</v>
      </c>
      <c r="H40" s="61">
        <v>0</v>
      </c>
      <c r="I40" s="60">
        <v>72.956569999999999</v>
      </c>
      <c r="J40" s="31" t="s">
        <v>45</v>
      </c>
      <c r="L40" s="12" t="s">
        <v>238</v>
      </c>
      <c r="M40" s="12"/>
      <c r="N40" s="12"/>
      <c r="O40" s="12"/>
      <c r="P40" s="12"/>
      <c r="Q40" s="12"/>
      <c r="R40" s="12"/>
      <c r="S40" s="12"/>
      <c r="T40" s="12"/>
      <c r="U40" s="12"/>
    </row>
    <row r="41" spans="2:21" x14ac:dyDescent="0.25">
      <c r="B41" s="8" t="s">
        <v>70</v>
      </c>
      <c r="C41" s="42"/>
      <c r="D41" s="59">
        <v>10.87153</v>
      </c>
      <c r="E41" s="59">
        <v>10.79743</v>
      </c>
      <c r="F41" s="59">
        <v>9.9497099999999996</v>
      </c>
      <c r="G41" s="60">
        <v>9.2312200000000004</v>
      </c>
      <c r="H41" s="61">
        <v>10.99052</v>
      </c>
      <c r="I41" s="60">
        <v>9.2731899999999996</v>
      </c>
      <c r="J41" s="31">
        <v>-0.15625557298471782</v>
      </c>
      <c r="L41" s="66" t="s">
        <v>239</v>
      </c>
      <c r="M41" s="16"/>
      <c r="N41" s="16"/>
      <c r="O41" s="16"/>
      <c r="P41" s="16"/>
      <c r="Q41" s="16"/>
      <c r="R41" s="16"/>
      <c r="S41" s="16"/>
      <c r="T41" s="16"/>
      <c r="U41" s="16"/>
    </row>
    <row r="42" spans="2:21" x14ac:dyDescent="0.25">
      <c r="B42" s="39" t="s">
        <v>71</v>
      </c>
      <c r="C42" s="42"/>
      <c r="D42" s="42">
        <v>1.23936</v>
      </c>
      <c r="E42" s="42">
        <v>1.05949</v>
      </c>
      <c r="F42" s="42">
        <v>1.2337899999999999</v>
      </c>
      <c r="G42" s="51">
        <v>1.32203</v>
      </c>
      <c r="H42" s="58">
        <v>1.29895</v>
      </c>
      <c r="I42" s="51">
        <v>1.20408</v>
      </c>
      <c r="J42" s="31">
        <v>-7.3035913622541249E-2</v>
      </c>
      <c r="L42" s="12" t="s">
        <v>240</v>
      </c>
      <c r="M42" s="12"/>
      <c r="N42" s="12"/>
      <c r="O42" s="12"/>
      <c r="P42" s="12"/>
      <c r="Q42" s="12"/>
      <c r="R42" s="12"/>
      <c r="S42" s="12"/>
      <c r="T42" s="12"/>
      <c r="U42" s="12"/>
    </row>
    <row r="43" spans="2:21" x14ac:dyDescent="0.25">
      <c r="B43" s="39" t="s">
        <v>72</v>
      </c>
      <c r="C43" s="42"/>
      <c r="D43" s="42">
        <v>1.0467299999999999</v>
      </c>
      <c r="E43" s="42">
        <v>0.88926000000000005</v>
      </c>
      <c r="F43" s="42">
        <v>1.0452300000000001</v>
      </c>
      <c r="G43" s="51">
        <v>1.0628299999999999</v>
      </c>
      <c r="H43" s="58">
        <v>1.0877300000000001</v>
      </c>
      <c r="I43" s="51">
        <v>1.0266999999999999</v>
      </c>
      <c r="J43" s="31">
        <v>-5.6107673779338785E-2</v>
      </c>
      <c r="L43" s="109" t="s">
        <v>241</v>
      </c>
      <c r="M43" s="109"/>
      <c r="N43" s="109"/>
      <c r="O43" s="109"/>
      <c r="P43" s="109"/>
      <c r="Q43" s="109"/>
      <c r="R43" s="109"/>
      <c r="S43" s="109"/>
      <c r="T43" s="109"/>
      <c r="U43" s="109"/>
    </row>
    <row r="44" spans="2:21" x14ac:dyDescent="0.25">
      <c r="B44" s="33" t="s">
        <v>73</v>
      </c>
      <c r="C44" s="43"/>
      <c r="D44" s="43">
        <v>28.666370000000001</v>
      </c>
      <c r="E44" s="43">
        <v>26.476009999999999</v>
      </c>
      <c r="F44" s="43">
        <v>14.81897</v>
      </c>
      <c r="G44" s="62">
        <v>14.14996</v>
      </c>
      <c r="H44" s="63">
        <v>0</v>
      </c>
      <c r="I44" s="62">
        <v>2.0246599999999999</v>
      </c>
      <c r="J44" s="38" t="s">
        <v>45</v>
      </c>
      <c r="L44" s="109"/>
      <c r="M44" s="109"/>
      <c r="N44" s="109"/>
      <c r="O44" s="109"/>
      <c r="P44" s="109"/>
      <c r="Q44" s="109"/>
      <c r="R44" s="109"/>
      <c r="S44" s="109"/>
      <c r="T44" s="109"/>
      <c r="U44" s="109"/>
    </row>
    <row r="45" spans="2:21" x14ac:dyDescent="0.25">
      <c r="B45" s="39" t="s">
        <v>38</v>
      </c>
      <c r="C45" s="32"/>
      <c r="D45" s="32">
        <v>7.0163000000000003E-2</v>
      </c>
      <c r="E45" s="32">
        <v>6.2573999999999991E-2</v>
      </c>
      <c r="F45" s="32">
        <v>7.4926000000000006E-2</v>
      </c>
      <c r="G45" s="46">
        <v>7.3291000000000009E-2</v>
      </c>
      <c r="H45" s="47">
        <v>6.7838000000000009E-2</v>
      </c>
      <c r="I45" s="46">
        <v>7.0544999999999997E-2</v>
      </c>
      <c r="J45" s="31">
        <v>3.9903888675963062E-2</v>
      </c>
      <c r="L45" s="109"/>
      <c r="M45" s="109"/>
      <c r="N45" s="109"/>
      <c r="O45" s="109"/>
      <c r="P45" s="109"/>
      <c r="Q45" s="109"/>
      <c r="R45" s="109"/>
      <c r="S45" s="109"/>
      <c r="T45" s="109"/>
      <c r="U45" s="109"/>
    </row>
    <row r="46" spans="2:21" x14ac:dyDescent="0.25">
      <c r="B46" s="39" t="s">
        <v>74</v>
      </c>
      <c r="C46" s="32"/>
      <c r="D46" s="32">
        <v>8.6266999999999996E-2</v>
      </c>
      <c r="E46" s="32">
        <v>7.8739999999999991E-2</v>
      </c>
      <c r="F46" s="32">
        <v>9.4690999999999997E-2</v>
      </c>
      <c r="G46" s="46">
        <v>9.1267000000000001E-2</v>
      </c>
      <c r="H46" s="47">
        <v>8.5341E-2</v>
      </c>
      <c r="I46" s="46">
        <v>8.8546999999999987E-2</v>
      </c>
      <c r="J46" s="31">
        <v>3.7566937345472784E-2</v>
      </c>
      <c r="L46" s="12" t="s">
        <v>242</v>
      </c>
    </row>
    <row r="47" spans="2:21" x14ac:dyDescent="0.25">
      <c r="B47" s="33" t="s">
        <v>35</v>
      </c>
      <c r="C47" s="34"/>
      <c r="D47" s="34">
        <v>0.13812199999999999</v>
      </c>
      <c r="E47" s="34">
        <v>0.114342</v>
      </c>
      <c r="F47" s="34">
        <v>0.14993000000000001</v>
      </c>
      <c r="G47" s="48">
        <v>0.15073999999999999</v>
      </c>
      <c r="H47" s="49">
        <v>0.13672399999999998</v>
      </c>
      <c r="I47" s="48">
        <v>0.17193800000000001</v>
      </c>
      <c r="J47" s="38">
        <v>0.25755536701676385</v>
      </c>
      <c r="L47" s="109" t="s">
        <v>243</v>
      </c>
      <c r="M47" s="109"/>
      <c r="N47" s="109"/>
      <c r="O47" s="109"/>
      <c r="P47" s="109"/>
      <c r="Q47" s="109"/>
      <c r="R47" s="109"/>
      <c r="S47" s="109"/>
      <c r="T47" s="109"/>
      <c r="U47" s="109"/>
    </row>
    <row r="48" spans="2:21" x14ac:dyDescent="0.25">
      <c r="B48" s="39" t="s">
        <v>75</v>
      </c>
      <c r="C48" s="64"/>
      <c r="D48" s="28">
        <v>1940.42581</v>
      </c>
      <c r="E48" s="28">
        <v>2398.2383300000001</v>
      </c>
      <c r="F48" s="28">
        <v>2624.5469200000002</v>
      </c>
      <c r="G48" s="28">
        <v>3150.0939600000002</v>
      </c>
      <c r="H48" s="28">
        <v>2681.6007399999999</v>
      </c>
      <c r="I48" s="28">
        <v>3375.0997400000001</v>
      </c>
      <c r="J48" s="40">
        <v>0.25861381586581755</v>
      </c>
      <c r="L48" s="109"/>
      <c r="M48" s="109"/>
      <c r="N48" s="109"/>
      <c r="O48" s="109"/>
      <c r="P48" s="109"/>
      <c r="Q48" s="109"/>
      <c r="R48" s="109"/>
      <c r="S48" s="109"/>
      <c r="T48" s="109"/>
      <c r="U48" s="109"/>
    </row>
    <row r="49" spans="2:21" x14ac:dyDescent="0.25">
      <c r="B49" s="33" t="s">
        <v>76</v>
      </c>
      <c r="C49" s="34"/>
      <c r="D49" s="35">
        <v>6550.6460085274739</v>
      </c>
      <c r="E49" s="35">
        <v>9590.5365048007916</v>
      </c>
      <c r="F49" s="35">
        <v>8984.4206187825639</v>
      </c>
      <c r="G49" s="35">
        <v>10108.99404068508</v>
      </c>
      <c r="H49" s="35">
        <v>9466.2885000300048</v>
      </c>
      <c r="I49" s="35">
        <v>11228.511725546688</v>
      </c>
      <c r="J49" s="44">
        <v>0.18615777720181437</v>
      </c>
      <c r="L49" s="109"/>
      <c r="M49" s="109"/>
      <c r="N49" s="109"/>
      <c r="O49" s="109"/>
      <c r="P49" s="109"/>
      <c r="Q49" s="109"/>
      <c r="R49" s="109"/>
      <c r="S49" s="109"/>
      <c r="T49" s="109"/>
      <c r="U49" s="109"/>
    </row>
    <row r="50" spans="2:21" x14ac:dyDescent="0.25">
      <c r="L50" s="12" t="s">
        <v>244</v>
      </c>
    </row>
    <row r="51" spans="2:21" x14ac:dyDescent="0.25">
      <c r="L51" s="12" t="s">
        <v>245</v>
      </c>
    </row>
    <row r="52" spans="2:21" x14ac:dyDescent="0.25">
      <c r="L52" s="109" t="s">
        <v>246</v>
      </c>
      <c r="M52" s="109"/>
      <c r="N52" s="109"/>
      <c r="O52" s="109"/>
      <c r="P52" s="109"/>
      <c r="Q52" s="109"/>
      <c r="R52" s="109"/>
      <c r="S52" s="109"/>
      <c r="T52" s="109"/>
      <c r="U52" s="109"/>
    </row>
    <row r="53" spans="2:21" x14ac:dyDescent="0.25">
      <c r="L53" s="109"/>
      <c r="M53" s="109"/>
      <c r="N53" s="109"/>
      <c r="O53" s="109"/>
      <c r="P53" s="109"/>
      <c r="Q53" s="109"/>
      <c r="R53" s="109"/>
      <c r="S53" s="109"/>
      <c r="T53" s="109"/>
      <c r="U53" s="109"/>
    </row>
    <row r="55" spans="2:21" x14ac:dyDescent="0.25">
      <c r="L55" s="11" t="s">
        <v>3</v>
      </c>
      <c r="M55" s="12"/>
      <c r="N55" s="12"/>
      <c r="O55" s="12"/>
      <c r="P55" s="12"/>
      <c r="Q55" s="12"/>
      <c r="R55" s="12"/>
      <c r="S55" s="12"/>
      <c r="T55" s="12"/>
      <c r="U55" s="12"/>
    </row>
    <row r="56" spans="2:21" x14ac:dyDescent="0.25">
      <c r="L56" s="66" t="s">
        <v>247</v>
      </c>
    </row>
    <row r="57" spans="2:21" x14ac:dyDescent="0.25">
      <c r="L57" s="109" t="s">
        <v>248</v>
      </c>
      <c r="M57" s="109"/>
      <c r="N57" s="109"/>
      <c r="O57" s="109"/>
      <c r="P57" s="109"/>
      <c r="Q57" s="109"/>
      <c r="R57" s="109"/>
      <c r="S57" s="109"/>
      <c r="T57" s="109"/>
      <c r="U57" s="109"/>
    </row>
    <row r="58" spans="2:21" x14ac:dyDescent="0.25">
      <c r="L58" s="109"/>
      <c r="M58" s="109"/>
      <c r="N58" s="109"/>
      <c r="O58" s="109"/>
      <c r="P58" s="109"/>
      <c r="Q58" s="109"/>
      <c r="R58" s="109"/>
      <c r="S58" s="109"/>
      <c r="T58" s="109"/>
      <c r="U58" s="109"/>
    </row>
    <row r="59" spans="2:21" x14ac:dyDescent="0.25">
      <c r="L59" s="66" t="s">
        <v>249</v>
      </c>
    </row>
    <row r="60" spans="2:21" x14ac:dyDescent="0.25">
      <c r="L60" s="12" t="s">
        <v>250</v>
      </c>
    </row>
    <row r="61" spans="2:21" x14ac:dyDescent="0.25">
      <c r="L61" s="66" t="s">
        <v>251</v>
      </c>
      <c r="M61" s="12"/>
      <c r="N61" s="12"/>
      <c r="O61" s="12"/>
      <c r="P61" s="12"/>
      <c r="Q61" s="12"/>
      <c r="R61" s="12"/>
      <c r="S61" s="12"/>
      <c r="T61" s="12"/>
      <c r="U61" s="12"/>
    </row>
    <row r="62" spans="2:21" x14ac:dyDescent="0.25">
      <c r="L62" s="12" t="s">
        <v>252</v>
      </c>
    </row>
    <row r="63" spans="2:21" x14ac:dyDescent="0.25">
      <c r="L63" s="109" t="s">
        <v>253</v>
      </c>
      <c r="M63" s="109"/>
      <c r="N63" s="109"/>
      <c r="O63" s="109"/>
      <c r="P63" s="109"/>
      <c r="Q63" s="109"/>
      <c r="R63" s="109"/>
      <c r="S63" s="109"/>
      <c r="T63" s="109"/>
      <c r="U63" s="109"/>
    </row>
    <row r="64" spans="2:21" x14ac:dyDescent="0.25">
      <c r="L64" s="109"/>
      <c r="M64" s="109"/>
      <c r="N64" s="109"/>
      <c r="O64" s="109"/>
      <c r="P64" s="109"/>
      <c r="Q64" s="109"/>
      <c r="R64" s="109"/>
      <c r="S64" s="109"/>
      <c r="T64" s="109"/>
      <c r="U64" s="109"/>
    </row>
    <row r="66" spans="12:21" x14ac:dyDescent="0.25">
      <c r="L66" s="15"/>
      <c r="M66" s="15"/>
      <c r="N66" s="15"/>
      <c r="O66" s="15"/>
      <c r="P66" s="15"/>
      <c r="Q66" s="15"/>
      <c r="R66" s="15"/>
      <c r="S66" s="15"/>
      <c r="T66" s="15"/>
      <c r="U66" s="15"/>
    </row>
    <row r="67" spans="12:21" x14ac:dyDescent="0.25">
      <c r="L67" s="15"/>
      <c r="M67" s="15"/>
      <c r="N67" s="15"/>
      <c r="O67" s="15"/>
      <c r="P67" s="15"/>
      <c r="Q67" s="15"/>
      <c r="R67" s="15"/>
      <c r="S67" s="15"/>
      <c r="T67" s="15"/>
      <c r="U67" s="15"/>
    </row>
    <row r="68" spans="12:21" x14ac:dyDescent="0.25">
      <c r="L68" s="15"/>
      <c r="M68" s="15"/>
      <c r="N68" s="15"/>
      <c r="O68" s="15"/>
      <c r="P68" s="15"/>
      <c r="Q68" s="15"/>
      <c r="R68" s="15"/>
      <c r="S68" s="15"/>
      <c r="T68" s="15"/>
      <c r="U68" s="15"/>
    </row>
  </sheetData>
  <mergeCells count="6">
    <mergeCell ref="L63:U64"/>
    <mergeCell ref="L6:U24"/>
    <mergeCell ref="L43:U45"/>
    <mergeCell ref="L47:U49"/>
    <mergeCell ref="L52:U53"/>
    <mergeCell ref="L57:U5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62268-15CA-489C-8B99-50FA65FDB431}">
  <dimension ref="B1:U59"/>
  <sheetViews>
    <sheetView topLeftCell="A18" workbookViewId="0">
      <selection activeCell="B23" sqref="B23:J47"/>
    </sheetView>
  </sheetViews>
  <sheetFormatPr defaultRowHeight="15" x14ac:dyDescent="0.25"/>
  <cols>
    <col min="12" max="21" width="12.7109375" style="1" customWidth="1"/>
  </cols>
  <sheetData>
    <row r="1" spans="12:21" x14ac:dyDescent="0.25">
      <c r="O1" s="2"/>
      <c r="P1" s="2"/>
      <c r="Q1" s="2"/>
      <c r="R1" s="2"/>
      <c r="S1" s="2"/>
      <c r="T1" s="2"/>
      <c r="U1" s="2"/>
    </row>
    <row r="2" spans="12:21" ht="21.75" thickBot="1" x14ac:dyDescent="0.3">
      <c r="L2" s="67"/>
      <c r="M2" s="67"/>
      <c r="N2" s="68"/>
      <c r="O2" s="5"/>
      <c r="P2" s="5"/>
      <c r="Q2" s="5"/>
      <c r="R2" s="6" t="str">
        <f>"ESG INTERNO: "&amp;Z16&amp;IF(OR(Z16="NA",Z16=""),"","(")&amp;Z15&amp;IF(OR(Z16="NA",Z16=""),"",")")</f>
        <v xml:space="preserve">ESG INTERNO: </v>
      </c>
      <c r="S2" s="7"/>
      <c r="T2" s="5"/>
      <c r="U2" s="6" t="str">
        <f>"MSCI ESG: "&amp;Z19&amp;IF(Z19="NA","","(")&amp;Z18&amp;IF(Z19="NA","",")")</f>
        <v>MSCI ESG: ()</v>
      </c>
    </row>
    <row r="4" spans="12:21" ht="18" x14ac:dyDescent="0.25">
      <c r="L4" s="69" t="s">
        <v>0</v>
      </c>
      <c r="M4" s="23"/>
      <c r="N4" s="23"/>
      <c r="O4" s="23"/>
      <c r="P4" s="23"/>
      <c r="Q4" s="23"/>
      <c r="R4" s="23"/>
      <c r="S4" s="23"/>
      <c r="T4" s="23"/>
      <c r="U4" s="23"/>
    </row>
    <row r="5" spans="12:21" x14ac:dyDescent="0.25">
      <c r="L5" s="70"/>
      <c r="M5" s="70"/>
      <c r="N5" s="70"/>
      <c r="O5" s="70"/>
      <c r="P5" s="70"/>
      <c r="Q5" s="70"/>
      <c r="R5" s="70"/>
      <c r="S5" s="70"/>
      <c r="T5" s="70"/>
      <c r="U5" s="70"/>
    </row>
    <row r="6" spans="12:21" x14ac:dyDescent="0.25">
      <c r="L6" s="108" t="s">
        <v>254</v>
      </c>
      <c r="M6" s="108"/>
      <c r="N6" s="108"/>
      <c r="O6" s="108"/>
      <c r="P6" s="108"/>
      <c r="Q6" s="108"/>
      <c r="R6" s="108"/>
      <c r="S6" s="108"/>
      <c r="T6" s="108"/>
      <c r="U6" s="108"/>
    </row>
    <row r="7" spans="12:21" x14ac:dyDescent="0.25">
      <c r="L7" s="108"/>
      <c r="M7" s="108"/>
      <c r="N7" s="108"/>
      <c r="O7" s="108"/>
      <c r="P7" s="108"/>
      <c r="Q7" s="108"/>
      <c r="R7" s="108"/>
      <c r="S7" s="108"/>
      <c r="T7" s="108"/>
      <c r="U7" s="108"/>
    </row>
    <row r="8" spans="12:21" x14ac:dyDescent="0.25">
      <c r="L8" s="108"/>
      <c r="M8" s="108"/>
      <c r="N8" s="108"/>
      <c r="O8" s="108"/>
      <c r="P8" s="108"/>
      <c r="Q8" s="108"/>
      <c r="R8" s="108"/>
      <c r="S8" s="108"/>
      <c r="T8" s="108"/>
      <c r="U8" s="108"/>
    </row>
    <row r="9" spans="12:21" x14ac:dyDescent="0.25">
      <c r="L9" s="108"/>
      <c r="M9" s="108"/>
      <c r="N9" s="108"/>
      <c r="O9" s="108"/>
      <c r="P9" s="108"/>
      <c r="Q9" s="108"/>
      <c r="R9" s="108"/>
      <c r="S9" s="108"/>
      <c r="T9" s="108"/>
      <c r="U9" s="108"/>
    </row>
    <row r="10" spans="12:21" x14ac:dyDescent="0.25">
      <c r="L10" s="108"/>
      <c r="M10" s="108"/>
      <c r="N10" s="108"/>
      <c r="O10" s="108"/>
      <c r="P10" s="108"/>
      <c r="Q10" s="108"/>
      <c r="R10" s="108"/>
      <c r="S10" s="108"/>
      <c r="T10" s="108"/>
      <c r="U10" s="108"/>
    </row>
    <row r="11" spans="12:21" x14ac:dyDescent="0.25">
      <c r="L11" s="108"/>
      <c r="M11" s="108"/>
      <c r="N11" s="108"/>
      <c r="O11" s="108"/>
      <c r="P11" s="108"/>
      <c r="Q11" s="108"/>
      <c r="R11" s="108"/>
      <c r="S11" s="108"/>
      <c r="T11" s="108"/>
      <c r="U11" s="108"/>
    </row>
    <row r="12" spans="12:21" x14ac:dyDescent="0.25">
      <c r="L12" s="108"/>
      <c r="M12" s="108"/>
      <c r="N12" s="108"/>
      <c r="O12" s="108"/>
      <c r="P12" s="108"/>
      <c r="Q12" s="108"/>
      <c r="R12" s="108"/>
      <c r="S12" s="108"/>
      <c r="T12" s="108"/>
      <c r="U12" s="108"/>
    </row>
    <row r="13" spans="12:21" x14ac:dyDescent="0.25">
      <c r="L13" s="108"/>
      <c r="M13" s="108"/>
      <c r="N13" s="108"/>
      <c r="O13" s="108"/>
      <c r="P13" s="108"/>
      <c r="Q13" s="108"/>
      <c r="R13" s="108"/>
      <c r="S13" s="108"/>
      <c r="T13" s="108"/>
      <c r="U13" s="108"/>
    </row>
    <row r="14" spans="12:21" x14ac:dyDescent="0.25">
      <c r="L14" s="108"/>
      <c r="M14" s="108"/>
      <c r="N14" s="108"/>
      <c r="O14" s="108"/>
      <c r="P14" s="108"/>
      <c r="Q14" s="108"/>
      <c r="R14" s="108"/>
      <c r="S14" s="108"/>
      <c r="T14" s="108"/>
      <c r="U14" s="108"/>
    </row>
    <row r="15" spans="12:21" x14ac:dyDescent="0.25">
      <c r="L15" s="108"/>
      <c r="M15" s="108"/>
      <c r="N15" s="108"/>
      <c r="O15" s="108"/>
      <c r="P15" s="108"/>
      <c r="Q15" s="108"/>
      <c r="R15" s="108"/>
      <c r="S15" s="108"/>
      <c r="T15" s="108"/>
      <c r="U15" s="108"/>
    </row>
    <row r="16" spans="12:21" x14ac:dyDescent="0.25">
      <c r="L16" s="108"/>
      <c r="M16" s="108"/>
      <c r="N16" s="108"/>
      <c r="O16" s="108"/>
      <c r="P16" s="108"/>
      <c r="Q16" s="108"/>
      <c r="R16" s="108"/>
      <c r="S16" s="108"/>
      <c r="T16" s="108"/>
      <c r="U16" s="108"/>
    </row>
    <row r="17" spans="2:21" x14ac:dyDescent="0.25">
      <c r="L17" s="108"/>
      <c r="M17" s="108"/>
      <c r="N17" s="108"/>
      <c r="O17" s="108"/>
      <c r="P17" s="108"/>
      <c r="Q17" s="108"/>
      <c r="R17" s="108"/>
      <c r="S17" s="108"/>
      <c r="T17" s="108"/>
      <c r="U17" s="108"/>
    </row>
    <row r="18" spans="2:21" x14ac:dyDescent="0.25">
      <c r="L18" s="108"/>
      <c r="M18" s="108"/>
      <c r="N18" s="108"/>
      <c r="O18" s="108"/>
      <c r="P18" s="108"/>
      <c r="Q18" s="108"/>
      <c r="R18" s="108"/>
      <c r="S18" s="108"/>
      <c r="T18" s="108"/>
      <c r="U18" s="108"/>
    </row>
    <row r="19" spans="2:21" x14ac:dyDescent="0.25">
      <c r="L19" s="108"/>
      <c r="M19" s="108"/>
      <c r="N19" s="108"/>
      <c r="O19" s="108"/>
      <c r="P19" s="108"/>
      <c r="Q19" s="108"/>
      <c r="R19" s="108"/>
      <c r="S19" s="108"/>
      <c r="T19" s="108"/>
      <c r="U19" s="108"/>
    </row>
    <row r="20" spans="2:21" x14ac:dyDescent="0.25">
      <c r="L20" s="108"/>
      <c r="M20" s="108"/>
      <c r="N20" s="108"/>
      <c r="O20" s="108"/>
      <c r="P20" s="108"/>
      <c r="Q20" s="108"/>
      <c r="R20" s="108"/>
      <c r="S20" s="108"/>
      <c r="T20" s="108"/>
      <c r="U20" s="108"/>
    </row>
    <row r="21" spans="2:21" x14ac:dyDescent="0.25">
      <c r="L21" s="108"/>
      <c r="M21" s="108"/>
      <c r="N21" s="108"/>
      <c r="O21" s="108"/>
      <c r="P21" s="108"/>
      <c r="Q21" s="108"/>
      <c r="R21" s="108"/>
      <c r="S21" s="108"/>
      <c r="T21" s="108"/>
      <c r="U21" s="108"/>
    </row>
    <row r="22" spans="2:21" x14ac:dyDescent="0.25">
      <c r="L22" s="108"/>
      <c r="M22" s="108"/>
      <c r="N22" s="108"/>
      <c r="O22" s="108"/>
      <c r="P22" s="108"/>
      <c r="Q22" s="108"/>
      <c r="R22" s="108"/>
      <c r="S22" s="108"/>
      <c r="T22" s="108"/>
      <c r="U22" s="108"/>
    </row>
    <row r="23" spans="2:21" x14ac:dyDescent="0.25">
      <c r="B23" t="s">
        <v>4</v>
      </c>
      <c r="D23" t="s">
        <v>5</v>
      </c>
      <c r="E23" t="s">
        <v>6</v>
      </c>
      <c r="F23" t="s">
        <v>7</v>
      </c>
      <c r="G23" t="s">
        <v>8</v>
      </c>
      <c r="H23" t="s">
        <v>502</v>
      </c>
      <c r="I23" t="s">
        <v>503</v>
      </c>
      <c r="L23" s="108"/>
      <c r="M23" s="108"/>
      <c r="N23" s="108"/>
      <c r="O23" s="108"/>
      <c r="P23" s="108"/>
      <c r="Q23" s="108"/>
      <c r="R23" s="108"/>
      <c r="S23" s="108"/>
      <c r="T23" s="108"/>
      <c r="U23" s="108"/>
    </row>
    <row r="24" spans="2:21" x14ac:dyDescent="0.25">
      <c r="B24" s="1"/>
      <c r="C24" s="1"/>
      <c r="D24" s="19" t="s">
        <v>9</v>
      </c>
      <c r="E24" s="20"/>
      <c r="F24" s="20"/>
      <c r="G24" s="21"/>
      <c r="H24" s="22" t="s">
        <v>10</v>
      </c>
      <c r="I24" s="20"/>
      <c r="J24" s="20"/>
      <c r="L24" s="108"/>
      <c r="M24" s="108"/>
      <c r="N24" s="108"/>
      <c r="O24" s="108"/>
      <c r="P24" s="108"/>
      <c r="Q24" s="108"/>
      <c r="R24" s="108"/>
      <c r="S24" s="108"/>
      <c r="T24" s="108"/>
      <c r="U24" s="108"/>
    </row>
    <row r="25" spans="2:21" x14ac:dyDescent="0.25">
      <c r="B25" s="23"/>
      <c r="C25" s="23"/>
      <c r="D25" s="24">
        <v>44926</v>
      </c>
      <c r="E25" s="24">
        <v>45291</v>
      </c>
      <c r="F25" s="24">
        <v>45657</v>
      </c>
      <c r="G25" s="25">
        <v>46022</v>
      </c>
      <c r="H25" s="26">
        <v>45838</v>
      </c>
      <c r="I25" s="25">
        <v>46203</v>
      </c>
      <c r="J25" s="27" t="s">
        <v>11</v>
      </c>
      <c r="L25" s="108"/>
      <c r="M25" s="108"/>
      <c r="N25" s="108"/>
      <c r="O25" s="108"/>
      <c r="P25" s="108"/>
      <c r="Q25" s="108"/>
      <c r="R25" s="108"/>
      <c r="S25" s="108"/>
      <c r="T25" s="108"/>
      <c r="U25" s="108"/>
    </row>
    <row r="26" spans="2:21" x14ac:dyDescent="0.25">
      <c r="B26" s="8" t="s">
        <v>55</v>
      </c>
      <c r="C26" s="8"/>
      <c r="D26" s="59">
        <v>16.779</v>
      </c>
      <c r="E26" s="59">
        <v>36.042999999999999</v>
      </c>
      <c r="F26" s="59">
        <v>26.266999999999999</v>
      </c>
      <c r="G26" s="60">
        <v>23.901</v>
      </c>
      <c r="H26" s="61">
        <v>58.100999999999999</v>
      </c>
      <c r="I26" s="60">
        <v>33.204999999999998</v>
      </c>
      <c r="J26" s="31">
        <v>-0.42849520662294971</v>
      </c>
      <c r="L26" s="108"/>
      <c r="M26" s="108"/>
      <c r="N26" s="108"/>
      <c r="O26" s="108"/>
      <c r="P26" s="108"/>
      <c r="Q26" s="108"/>
      <c r="R26" s="108"/>
      <c r="S26" s="108"/>
      <c r="T26" s="108"/>
      <c r="U26" s="108"/>
    </row>
    <row r="27" spans="2:21" x14ac:dyDescent="0.25">
      <c r="B27" s="39" t="s">
        <v>56</v>
      </c>
      <c r="C27" s="32"/>
      <c r="D27" s="32">
        <v>0.76940200000000003</v>
      </c>
      <c r="E27" s="32">
        <v>0.64374700000000007</v>
      </c>
      <c r="F27" s="32">
        <v>0.7550960000000001</v>
      </c>
      <c r="G27" s="46">
        <v>0.77139499999999994</v>
      </c>
      <c r="H27" s="47">
        <v>0.76012100000000005</v>
      </c>
      <c r="I27" s="46">
        <v>0.80410700000000002</v>
      </c>
      <c r="J27" s="31">
        <v>5.7867102737590326E-2</v>
      </c>
      <c r="L27" s="11" t="s">
        <v>1</v>
      </c>
      <c r="M27" s="65"/>
      <c r="N27" s="65"/>
      <c r="O27" s="65"/>
      <c r="P27" s="65"/>
      <c r="Q27" s="65"/>
      <c r="R27" s="65"/>
      <c r="S27" s="65"/>
      <c r="T27" s="65"/>
      <c r="U27" s="65"/>
    </row>
    <row r="28" spans="2:21" x14ac:dyDescent="0.25">
      <c r="B28" s="39" t="s">
        <v>57</v>
      </c>
      <c r="C28" s="32"/>
      <c r="D28" s="32">
        <v>0.59279000000000004</v>
      </c>
      <c r="E28" s="32">
        <v>0.367481</v>
      </c>
      <c r="F28" s="32">
        <v>0.44196399999999997</v>
      </c>
      <c r="G28" s="46">
        <v>0.47081800000000001</v>
      </c>
      <c r="H28" s="47">
        <v>0.444129</v>
      </c>
      <c r="I28" s="46">
        <v>0.56058999999999992</v>
      </c>
      <c r="J28" s="31">
        <v>0.26222336303191174</v>
      </c>
      <c r="L28" s="12" t="s">
        <v>255</v>
      </c>
      <c r="M28" s="65"/>
      <c r="N28" s="65"/>
      <c r="O28" s="65"/>
      <c r="P28" s="65"/>
      <c r="Q28" s="65"/>
      <c r="R28" s="65"/>
      <c r="S28" s="65"/>
      <c r="T28" s="65"/>
      <c r="U28" s="65"/>
    </row>
    <row r="29" spans="2:21" x14ac:dyDescent="0.25">
      <c r="B29" s="39" t="s">
        <v>58</v>
      </c>
      <c r="C29" s="32"/>
      <c r="D29" s="32">
        <v>0.70980399999999999</v>
      </c>
      <c r="E29" s="32">
        <v>0.58790300000000006</v>
      </c>
      <c r="F29" s="32">
        <v>0.69</v>
      </c>
      <c r="G29" s="46">
        <v>0.71448999999999996</v>
      </c>
      <c r="H29" s="47">
        <v>0.68959999999999999</v>
      </c>
      <c r="I29" s="46">
        <v>0.75584699999999994</v>
      </c>
      <c r="J29" s="31">
        <v>9.6065835266821331E-2</v>
      </c>
      <c r="L29" s="71" t="s">
        <v>256</v>
      </c>
      <c r="M29" s="15"/>
      <c r="N29" s="15"/>
      <c r="O29" s="15"/>
      <c r="P29" s="15"/>
      <c r="Q29" s="15"/>
      <c r="R29" s="15"/>
      <c r="S29" s="15"/>
      <c r="T29" s="15"/>
      <c r="U29" s="15"/>
    </row>
    <row r="30" spans="2:21" x14ac:dyDescent="0.25">
      <c r="B30" s="39" t="s">
        <v>59</v>
      </c>
      <c r="C30" s="32"/>
      <c r="D30" s="32">
        <v>0.26654</v>
      </c>
      <c r="E30" s="32">
        <v>0.28784300000000002</v>
      </c>
      <c r="F30" s="32">
        <v>-0.36667</v>
      </c>
      <c r="G30" s="46">
        <v>0.32103700000000002</v>
      </c>
      <c r="H30" s="47">
        <v>-0.217364</v>
      </c>
      <c r="I30" s="46">
        <v>0.30604199999999998</v>
      </c>
      <c r="J30" s="31">
        <v>-2.4079700410371538</v>
      </c>
      <c r="L30" s="12" t="s">
        <v>257</v>
      </c>
      <c r="M30" s="15"/>
      <c r="N30" s="15"/>
      <c r="O30" s="15"/>
      <c r="P30" s="15"/>
      <c r="Q30" s="15"/>
      <c r="R30" s="15"/>
      <c r="S30" s="15"/>
      <c r="T30" s="15"/>
      <c r="U30" s="15"/>
    </row>
    <row r="31" spans="2:21" x14ac:dyDescent="0.25">
      <c r="B31" s="33" t="s">
        <v>60</v>
      </c>
      <c r="C31" s="34"/>
      <c r="D31" s="34">
        <v>0.42855200000000004</v>
      </c>
      <c r="E31" s="34">
        <v>0.14959899999999998</v>
      </c>
      <c r="F31" s="34">
        <v>0.29419600000000001</v>
      </c>
      <c r="G31" s="48">
        <v>0.401474</v>
      </c>
      <c r="H31" s="49">
        <v>0.31962399999999996</v>
      </c>
      <c r="I31" s="48">
        <v>0.33309300000000003</v>
      </c>
      <c r="J31" s="38">
        <v>4.2140139664105458E-2</v>
      </c>
      <c r="L31" s="12" t="s">
        <v>258</v>
      </c>
      <c r="M31" s="12"/>
      <c r="N31" s="12"/>
      <c r="O31" s="12"/>
      <c r="P31" s="12"/>
      <c r="Q31" s="12"/>
      <c r="R31" s="12"/>
      <c r="S31" s="12"/>
      <c r="T31" s="12"/>
      <c r="U31" s="12"/>
    </row>
    <row r="32" spans="2:21" x14ac:dyDescent="0.25">
      <c r="B32" s="39" t="s">
        <v>61</v>
      </c>
      <c r="C32" s="8"/>
      <c r="D32" s="42">
        <v>3.4346010214375791</v>
      </c>
      <c r="E32" s="42">
        <v>2.3347508161172383</v>
      </c>
      <c r="F32" s="42">
        <v>3.0113430097792677</v>
      </c>
      <c r="G32" s="51">
        <v>2.8892099630875441</v>
      </c>
      <c r="H32" s="58">
        <v>2.9224023125996816</v>
      </c>
      <c r="I32" s="51">
        <v>3.259028756410729</v>
      </c>
      <c r="J32" s="31">
        <v>0.11518826219090772</v>
      </c>
      <c r="L32" s="12" t="s">
        <v>259</v>
      </c>
      <c r="M32" s="65"/>
      <c r="N32" s="65"/>
      <c r="O32" s="65"/>
      <c r="P32" s="65"/>
      <c r="Q32" s="65"/>
      <c r="R32" s="65"/>
      <c r="S32" s="65"/>
      <c r="T32" s="65"/>
      <c r="U32" s="65"/>
    </row>
    <row r="33" spans="2:21" x14ac:dyDescent="0.25">
      <c r="B33" s="39" t="s">
        <v>62</v>
      </c>
      <c r="C33" s="8"/>
      <c r="D33" s="42">
        <v>3.6009600000000002</v>
      </c>
      <c r="E33" s="42">
        <v>3.1777700000000002</v>
      </c>
      <c r="F33" s="42">
        <v>3.36842</v>
      </c>
      <c r="G33" s="51">
        <v>3.2824300000000002</v>
      </c>
      <c r="H33" s="58">
        <v>3.4547500000000002</v>
      </c>
      <c r="I33" s="51">
        <v>4.2172599999999996</v>
      </c>
      <c r="J33" s="31">
        <v>0.22071351038425346</v>
      </c>
      <c r="L33" s="12" t="s">
        <v>260</v>
      </c>
    </row>
    <row r="34" spans="2:21" x14ac:dyDescent="0.25">
      <c r="B34" s="39" t="s">
        <v>63</v>
      </c>
      <c r="C34" s="8"/>
      <c r="D34" s="42">
        <v>3.4226399999999999</v>
      </c>
      <c r="E34" s="42">
        <v>2.7592099999999999</v>
      </c>
      <c r="F34" s="42">
        <v>2.97614</v>
      </c>
      <c r="G34" s="51">
        <v>2.8865099999999999</v>
      </c>
      <c r="H34" s="58">
        <v>3.09158</v>
      </c>
      <c r="I34" s="51">
        <v>3.8161700000000001</v>
      </c>
      <c r="J34" s="31">
        <v>0.23437530324300204</v>
      </c>
      <c r="L34" s="12" t="s">
        <v>261</v>
      </c>
      <c r="M34" s="12"/>
      <c r="N34" s="12"/>
      <c r="O34" s="12"/>
      <c r="P34" s="12"/>
      <c r="Q34" s="12"/>
      <c r="R34" s="12"/>
      <c r="S34" s="12"/>
      <c r="T34" s="12"/>
      <c r="U34" s="12"/>
    </row>
    <row r="35" spans="2:21" x14ac:dyDescent="0.25">
      <c r="B35" s="39" t="s">
        <v>64</v>
      </c>
      <c r="C35" s="8"/>
      <c r="D35" s="42">
        <v>4.7147600000000001</v>
      </c>
      <c r="E35" s="42">
        <v>5.3522699999999999</v>
      </c>
      <c r="F35" s="42">
        <v>5.0421199999999997</v>
      </c>
      <c r="G35" s="51">
        <v>4.7212300000000003</v>
      </c>
      <c r="H35" s="58">
        <v>4.9933899999999998</v>
      </c>
      <c r="I35" s="51">
        <v>3.4602200000000001</v>
      </c>
      <c r="J35" s="31">
        <v>-0.30703990675673232</v>
      </c>
      <c r="L35" s="12" t="s">
        <v>262</v>
      </c>
      <c r="M35" s="12"/>
      <c r="N35" s="12"/>
      <c r="O35" s="12"/>
      <c r="P35" s="12"/>
      <c r="Q35" s="12"/>
      <c r="R35" s="12"/>
      <c r="S35" s="12"/>
      <c r="T35" s="12"/>
      <c r="U35" s="12"/>
    </row>
    <row r="36" spans="2:21" x14ac:dyDescent="0.25">
      <c r="B36" s="39" t="s">
        <v>65</v>
      </c>
      <c r="C36" s="8"/>
      <c r="D36" s="42">
        <v>4.4947699999999999</v>
      </c>
      <c r="E36" s="42">
        <v>4.8177099999999999</v>
      </c>
      <c r="F36" s="42">
        <v>4.6758100000000002</v>
      </c>
      <c r="G36" s="51">
        <v>4.4208299999999996</v>
      </c>
      <c r="H36" s="58">
        <v>4.20275</v>
      </c>
      <c r="I36" s="51">
        <v>3.1545000000000001</v>
      </c>
      <c r="J36" s="31">
        <v>-0.24942002260424723</v>
      </c>
      <c r="L36" s="12" t="s">
        <v>263</v>
      </c>
      <c r="M36" s="12"/>
      <c r="N36" s="12"/>
      <c r="O36" s="12"/>
      <c r="P36" s="12"/>
      <c r="Q36" s="12"/>
      <c r="R36" s="12"/>
      <c r="S36" s="12"/>
      <c r="T36" s="12"/>
      <c r="U36" s="12"/>
    </row>
    <row r="37" spans="2:21" x14ac:dyDescent="0.25">
      <c r="B37" s="39" t="s">
        <v>66</v>
      </c>
      <c r="C37" s="8"/>
      <c r="D37" s="42">
        <v>4.9603999999999999</v>
      </c>
      <c r="E37" s="42">
        <v>6.16418</v>
      </c>
      <c r="F37" s="42">
        <v>5.7067199999999998</v>
      </c>
      <c r="G37" s="51">
        <v>5.3687899999999997</v>
      </c>
      <c r="H37" s="58">
        <v>5.5799599999999998</v>
      </c>
      <c r="I37" s="51">
        <v>3.82389</v>
      </c>
      <c r="J37" s="31">
        <v>-0.31471014129133534</v>
      </c>
      <c r="L37" s="12" t="s">
        <v>264</v>
      </c>
      <c r="M37" s="12"/>
      <c r="N37" s="12"/>
      <c r="O37" s="12"/>
      <c r="P37" s="12"/>
      <c r="Q37" s="12"/>
      <c r="R37" s="12"/>
      <c r="S37" s="12"/>
      <c r="T37" s="12"/>
      <c r="U37" s="12"/>
    </row>
    <row r="38" spans="2:21" x14ac:dyDescent="0.25">
      <c r="B38" s="33" t="s">
        <v>67</v>
      </c>
      <c r="C38" s="52"/>
      <c r="D38" s="52">
        <v>4.7289500000000002</v>
      </c>
      <c r="E38" s="52">
        <v>5.54854</v>
      </c>
      <c r="F38" s="52">
        <v>5.2921300000000002</v>
      </c>
      <c r="G38" s="53">
        <v>5.0271999999999997</v>
      </c>
      <c r="H38" s="54">
        <v>4.6964499999999996</v>
      </c>
      <c r="I38" s="53">
        <v>3.4860500000000001</v>
      </c>
      <c r="J38" s="38">
        <v>-0.25772658071522103</v>
      </c>
      <c r="L38" s="12" t="s">
        <v>265</v>
      </c>
    </row>
    <row r="39" spans="2:21" x14ac:dyDescent="0.25">
      <c r="B39" s="8" t="s">
        <v>68</v>
      </c>
      <c r="C39" s="42"/>
      <c r="D39" s="59">
        <v>58.754420000000003</v>
      </c>
      <c r="E39" s="59">
        <v>61.901449999999997</v>
      </c>
      <c r="F39" s="59">
        <v>78.693659999999994</v>
      </c>
      <c r="G39" s="60">
        <v>73.84863</v>
      </c>
      <c r="H39" s="61">
        <v>67.587779999999995</v>
      </c>
      <c r="I39" s="60">
        <v>55.944279999999999</v>
      </c>
      <c r="J39" s="31">
        <v>-0.17227226578532384</v>
      </c>
      <c r="L39" s="106" t="s">
        <v>266</v>
      </c>
      <c r="M39" s="106"/>
      <c r="N39" s="106"/>
      <c r="O39" s="106"/>
      <c r="P39" s="106"/>
      <c r="Q39" s="106"/>
      <c r="R39" s="106"/>
      <c r="S39" s="106"/>
      <c r="T39" s="106"/>
      <c r="U39" s="106"/>
    </row>
    <row r="40" spans="2:21" x14ac:dyDescent="0.25">
      <c r="B40" s="8" t="s">
        <v>69</v>
      </c>
      <c r="C40" s="42"/>
      <c r="D40" s="59">
        <v>100.39727000000001</v>
      </c>
      <c r="E40" s="59">
        <v>60.980919999999998</v>
      </c>
      <c r="F40" s="59">
        <v>76.784239999999997</v>
      </c>
      <c r="G40" s="60">
        <v>69.150710000000004</v>
      </c>
      <c r="H40" s="61">
        <v>54.845269999999999</v>
      </c>
      <c r="I40" s="60">
        <v>47.078429999999997</v>
      </c>
      <c r="J40" s="31">
        <v>-0.14161367060459362</v>
      </c>
      <c r="L40" s="106"/>
      <c r="M40" s="106"/>
      <c r="N40" s="106"/>
      <c r="O40" s="106"/>
      <c r="P40" s="106"/>
      <c r="Q40" s="106"/>
      <c r="R40" s="106"/>
      <c r="S40" s="106"/>
      <c r="T40" s="106"/>
      <c r="U40" s="106"/>
    </row>
    <row r="41" spans="2:21" x14ac:dyDescent="0.25">
      <c r="B41" s="8" t="s">
        <v>70</v>
      </c>
      <c r="C41" s="42"/>
      <c r="D41" s="59">
        <v>22.993179999999999</v>
      </c>
      <c r="E41" s="59">
        <v>17.895589999999999</v>
      </c>
      <c r="F41" s="59">
        <v>34.941650000000003</v>
      </c>
      <c r="G41" s="60">
        <v>38.724679999999999</v>
      </c>
      <c r="H41" s="61">
        <v>36.037909999999997</v>
      </c>
      <c r="I41" s="60">
        <v>36.607680000000002</v>
      </c>
      <c r="J41" s="31">
        <v>1.5810295325117574E-2</v>
      </c>
      <c r="L41" s="106" t="s">
        <v>267</v>
      </c>
      <c r="M41" s="106"/>
      <c r="N41" s="106"/>
      <c r="O41" s="106"/>
      <c r="P41" s="106"/>
      <c r="Q41" s="106"/>
      <c r="R41" s="106"/>
      <c r="S41" s="106"/>
      <c r="T41" s="106"/>
      <c r="U41" s="106"/>
    </row>
    <row r="42" spans="2:21" x14ac:dyDescent="0.25">
      <c r="B42" s="39" t="s">
        <v>71</v>
      </c>
      <c r="C42" s="42"/>
      <c r="D42" s="42">
        <v>1.6258600000000001</v>
      </c>
      <c r="E42" s="42">
        <v>3.68255</v>
      </c>
      <c r="F42" s="42">
        <v>3.2862399999999998</v>
      </c>
      <c r="G42" s="51">
        <v>2.0272700000000001</v>
      </c>
      <c r="H42" s="58">
        <v>4.3510900000000001</v>
      </c>
      <c r="I42" s="51">
        <v>3.9220999999999999</v>
      </c>
      <c r="J42" s="31">
        <v>-9.8593685720129942E-2</v>
      </c>
      <c r="L42" s="106"/>
      <c r="M42" s="106"/>
      <c r="N42" s="106"/>
      <c r="O42" s="106"/>
      <c r="P42" s="106"/>
      <c r="Q42" s="106"/>
      <c r="R42" s="106"/>
      <c r="S42" s="106"/>
      <c r="T42" s="106"/>
      <c r="U42" s="106"/>
    </row>
    <row r="43" spans="2:21" x14ac:dyDescent="0.25">
      <c r="B43" s="39" t="s">
        <v>72</v>
      </c>
      <c r="C43" s="42"/>
      <c r="D43" s="42">
        <v>1.5166299999999999</v>
      </c>
      <c r="E43" s="42">
        <v>3.3864900000000002</v>
      </c>
      <c r="F43" s="42">
        <v>2.9702700000000002</v>
      </c>
      <c r="G43" s="51">
        <v>1.8182400000000001</v>
      </c>
      <c r="H43" s="58">
        <v>3.9968400000000002</v>
      </c>
      <c r="I43" s="51">
        <v>3.50759</v>
      </c>
      <c r="J43" s="31">
        <v>-0.1224092032705838</v>
      </c>
      <c r="L43" s="106"/>
      <c r="M43" s="106"/>
      <c r="N43" s="106"/>
      <c r="O43" s="106"/>
      <c r="P43" s="106"/>
      <c r="Q43" s="106"/>
      <c r="R43" s="106"/>
      <c r="S43" s="106"/>
      <c r="T43" s="106"/>
      <c r="U43" s="106"/>
    </row>
    <row r="44" spans="2:21" x14ac:dyDescent="0.25">
      <c r="B44" s="33" t="s">
        <v>73</v>
      </c>
      <c r="C44" s="43"/>
      <c r="D44" s="43">
        <v>-18.64968</v>
      </c>
      <c r="E44" s="43">
        <v>18.816120000000002</v>
      </c>
      <c r="F44" s="43">
        <v>36.851080000000003</v>
      </c>
      <c r="G44" s="62">
        <v>43.42259</v>
      </c>
      <c r="H44" s="63">
        <v>48.780430000000003</v>
      </c>
      <c r="I44" s="62">
        <v>45.473529999999997</v>
      </c>
      <c r="J44" s="38">
        <v>-6.779153033296359E-2</v>
      </c>
      <c r="L44" s="15"/>
      <c r="M44" s="15"/>
      <c r="N44" s="15"/>
      <c r="O44" s="15"/>
      <c r="P44" s="15"/>
      <c r="Q44" s="15"/>
      <c r="R44" s="15"/>
      <c r="S44" s="15"/>
      <c r="T44" s="15"/>
      <c r="U44" s="15"/>
    </row>
    <row r="45" spans="2:21" x14ac:dyDescent="0.25">
      <c r="B45" s="39" t="s">
        <v>38</v>
      </c>
      <c r="C45" s="32"/>
      <c r="D45" s="32">
        <v>3.7959E-2</v>
      </c>
      <c r="E45" s="32">
        <v>2.2048999999999999E-2</v>
      </c>
      <c r="F45" s="32">
        <v>2.4636000000000002E-2</v>
      </c>
      <c r="G45" s="46">
        <v>2.9169999999999998E-2</v>
      </c>
      <c r="H45" s="47">
        <v>2.5051999999999998E-2</v>
      </c>
      <c r="I45" s="46">
        <v>4.4389000000000005E-2</v>
      </c>
      <c r="J45" s="31">
        <v>0.77187450103784161</v>
      </c>
      <c r="L45" s="94" t="s">
        <v>3</v>
      </c>
      <c r="M45" s="94"/>
      <c r="N45" s="94"/>
      <c r="O45" s="94"/>
      <c r="P45" s="94"/>
      <c r="Q45" s="94"/>
      <c r="R45" s="94"/>
      <c r="S45" s="94"/>
      <c r="T45" s="94"/>
      <c r="U45" s="94"/>
    </row>
    <row r="46" spans="2:21" x14ac:dyDescent="0.25">
      <c r="B46" s="39" t="s">
        <v>74</v>
      </c>
      <c r="C46" s="32"/>
      <c r="D46" s="32">
        <v>3.8904999999999995E-2</v>
      </c>
      <c r="E46" s="32">
        <v>2.2509000000000001E-2</v>
      </c>
      <c r="F46" s="32">
        <v>2.5097000000000001E-2</v>
      </c>
      <c r="G46" s="46">
        <v>2.9845E-2</v>
      </c>
      <c r="H46" s="47">
        <v>2.5417000000000002E-2</v>
      </c>
      <c r="I46" s="46">
        <v>4.5225000000000001E-2</v>
      </c>
      <c r="J46" s="31">
        <v>0.77932092693866295</v>
      </c>
      <c r="L46" s="113" t="s">
        <v>268</v>
      </c>
      <c r="M46" s="113"/>
      <c r="N46" s="113"/>
      <c r="O46" s="113"/>
      <c r="P46" s="113"/>
      <c r="Q46" s="113"/>
      <c r="R46" s="113"/>
      <c r="S46" s="113"/>
      <c r="T46" s="113"/>
      <c r="U46" s="113"/>
    </row>
    <row r="47" spans="2:21" x14ac:dyDescent="0.25">
      <c r="B47" s="33" t="s">
        <v>35</v>
      </c>
      <c r="C47" s="34"/>
      <c r="D47" s="34">
        <v>4.3899000000000001E-2</v>
      </c>
      <c r="E47" s="34">
        <v>4.0795999999999999E-2</v>
      </c>
      <c r="F47" s="34">
        <v>-4.8730999999999997E-2</v>
      </c>
      <c r="G47" s="48">
        <v>4.9075000000000001E-2</v>
      </c>
      <c r="H47" s="49">
        <v>-2.8986999999999999E-2</v>
      </c>
      <c r="I47" s="48">
        <v>5.9335000000000006E-2</v>
      </c>
      <c r="J47" s="38">
        <v>-3.0469520819677789</v>
      </c>
      <c r="L47" s="113" t="s">
        <v>269</v>
      </c>
      <c r="M47" s="113"/>
      <c r="N47" s="113"/>
      <c r="O47" s="113"/>
      <c r="P47" s="113"/>
      <c r="Q47" s="113"/>
      <c r="R47" s="113"/>
      <c r="S47" s="113"/>
      <c r="T47" s="113"/>
      <c r="U47" s="113"/>
    </row>
    <row r="48" spans="2:21" x14ac:dyDescent="0.25">
      <c r="L48" s="112" t="s">
        <v>270</v>
      </c>
      <c r="M48" s="112"/>
      <c r="N48" s="112"/>
      <c r="O48" s="112"/>
      <c r="P48" s="112"/>
      <c r="Q48" s="112"/>
      <c r="R48" s="112"/>
      <c r="S48" s="112"/>
      <c r="T48" s="112"/>
      <c r="U48" s="112"/>
    </row>
    <row r="51" spans="12:21" ht="18" x14ac:dyDescent="0.25">
      <c r="L51" s="9" t="s">
        <v>77</v>
      </c>
      <c r="M51" s="10"/>
      <c r="N51" s="10"/>
      <c r="O51" s="10"/>
      <c r="Q51" s="9" t="s">
        <v>78</v>
      </c>
      <c r="R51" s="23"/>
      <c r="S51" s="69"/>
      <c r="T51" s="69"/>
      <c r="U51" s="69"/>
    </row>
    <row r="52" spans="12:21" x14ac:dyDescent="0.25">
      <c r="Q52" s="1" t="s">
        <v>79</v>
      </c>
      <c r="S52" s="72">
        <v>0.99970000000000003</v>
      </c>
    </row>
    <row r="53" spans="12:21" x14ac:dyDescent="0.25">
      <c r="L53" s="73" t="s">
        <v>80</v>
      </c>
      <c r="M53" s="73"/>
      <c r="N53" s="74" t="s">
        <v>81</v>
      </c>
      <c r="O53" s="75" t="s">
        <v>82</v>
      </c>
      <c r="Q53" s="1" t="s">
        <v>83</v>
      </c>
      <c r="S53" s="72">
        <v>2.9999999999999997E-4</v>
      </c>
    </row>
    <row r="54" spans="12:21" x14ac:dyDescent="0.25">
      <c r="L54" s="76">
        <f>$AG$6</f>
        <v>0</v>
      </c>
      <c r="M54" s="76"/>
      <c r="N54" s="77" t="str">
        <f>TEXT($AH$9*10000,"0")&amp;","&amp;TEXT($AI$9*10000,"0")&amp;","&amp;TEXT($AJ$9*10000,"0")</f>
        <v>0,0,0</v>
      </c>
      <c r="O54" s="77" t="str">
        <f>TEXT($AH$29*10000,"0")&amp;","&amp;TEXT($AI$29*10000,"0")&amp;","&amp;TEXT($AJ$29*10000,"0")</f>
        <v>0,0,0</v>
      </c>
    </row>
    <row r="55" spans="12:21" x14ac:dyDescent="0.25">
      <c r="L55" s="76">
        <f>$AB$6</f>
        <v>0</v>
      </c>
      <c r="M55" s="76"/>
      <c r="N55" s="77" t="str">
        <f>TEXT($AC$9*10000,"0")&amp;","&amp;TEXT($AD$9*10000,"0")&amp;","&amp;TEXT($AE$9*10000,"0")</f>
        <v>0,0,0</v>
      </c>
      <c r="O55" s="77" t="str">
        <f>TEXT($AC$29*10000,"0")&amp;","&amp;TEXT($AD$29*10000,"0")&amp;","&amp;TEXT($AE$29*10000,"0")</f>
        <v>0,0,0</v>
      </c>
    </row>
    <row r="57" spans="12:21" x14ac:dyDescent="0.25">
      <c r="L57" s="78" t="s">
        <v>84</v>
      </c>
    </row>
    <row r="58" spans="12:21" x14ac:dyDescent="0.25">
      <c r="L58" s="78" t="s">
        <v>84</v>
      </c>
    </row>
    <row r="59" spans="12:21" x14ac:dyDescent="0.25">
      <c r="L59" s="78" t="s">
        <v>84</v>
      </c>
    </row>
  </sheetData>
  <mergeCells count="6">
    <mergeCell ref="L48:U48"/>
    <mergeCell ref="L6:U26"/>
    <mergeCell ref="L39:U40"/>
    <mergeCell ref="L41:U43"/>
    <mergeCell ref="L46:U46"/>
    <mergeCell ref="L47:U4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0CB00-708E-4945-9AC2-63BF6E6F08FE}">
  <dimension ref="B1:U68"/>
  <sheetViews>
    <sheetView topLeftCell="A12" zoomScale="85" zoomScaleNormal="85" workbookViewId="0">
      <selection activeCell="B23" sqref="B23:J51"/>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ht="15" customHeight="1" x14ac:dyDescent="0.25">
      <c r="L6" s="108" t="s">
        <v>271</v>
      </c>
      <c r="M6" s="108"/>
      <c r="N6" s="108"/>
      <c r="O6" s="108"/>
      <c r="P6" s="108"/>
      <c r="Q6" s="108"/>
      <c r="R6" s="108"/>
      <c r="S6" s="108"/>
      <c r="T6" s="108"/>
      <c r="U6" s="108"/>
    </row>
    <row r="7" spans="12:21" x14ac:dyDescent="0.25">
      <c r="L7" s="108"/>
      <c r="M7" s="108"/>
      <c r="N7" s="108"/>
      <c r="O7" s="108"/>
      <c r="P7" s="108"/>
      <c r="Q7" s="108"/>
      <c r="R7" s="108"/>
      <c r="S7" s="108"/>
      <c r="T7" s="108"/>
      <c r="U7" s="108"/>
    </row>
    <row r="8" spans="12:21" x14ac:dyDescent="0.25">
      <c r="L8" s="108"/>
      <c r="M8" s="108"/>
      <c r="N8" s="108"/>
      <c r="O8" s="108"/>
      <c r="P8" s="108"/>
      <c r="Q8" s="108"/>
      <c r="R8" s="108"/>
      <c r="S8" s="108"/>
      <c r="T8" s="108"/>
      <c r="U8" s="108"/>
    </row>
    <row r="9" spans="12:21" x14ac:dyDescent="0.25">
      <c r="L9" s="108"/>
      <c r="M9" s="108"/>
      <c r="N9" s="108"/>
      <c r="O9" s="108"/>
      <c r="P9" s="108"/>
      <c r="Q9" s="108"/>
      <c r="R9" s="108"/>
      <c r="S9" s="108"/>
      <c r="T9" s="108"/>
      <c r="U9" s="108"/>
    </row>
    <row r="10" spans="12:21" x14ac:dyDescent="0.25">
      <c r="L10" s="108"/>
      <c r="M10" s="108"/>
      <c r="N10" s="108"/>
      <c r="O10" s="108"/>
      <c r="P10" s="108"/>
      <c r="Q10" s="108"/>
      <c r="R10" s="108"/>
      <c r="S10" s="108"/>
      <c r="T10" s="108"/>
      <c r="U10" s="108"/>
    </row>
    <row r="11" spans="12:21" x14ac:dyDescent="0.25">
      <c r="L11" s="108"/>
      <c r="M11" s="108"/>
      <c r="N11" s="108"/>
      <c r="O11" s="108"/>
      <c r="P11" s="108"/>
      <c r="Q11" s="108"/>
      <c r="R11" s="108"/>
      <c r="S11" s="108"/>
      <c r="T11" s="108"/>
      <c r="U11" s="108"/>
    </row>
    <row r="12" spans="12:21" x14ac:dyDescent="0.25">
      <c r="L12" s="108"/>
      <c r="M12" s="108"/>
      <c r="N12" s="108"/>
      <c r="O12" s="108"/>
      <c r="P12" s="108"/>
      <c r="Q12" s="108"/>
      <c r="R12" s="108"/>
      <c r="S12" s="108"/>
      <c r="T12" s="108"/>
      <c r="U12" s="108"/>
    </row>
    <row r="13" spans="12:21" x14ac:dyDescent="0.25">
      <c r="L13" s="108"/>
      <c r="M13" s="108"/>
      <c r="N13" s="108"/>
      <c r="O13" s="108"/>
      <c r="P13" s="108"/>
      <c r="Q13" s="108"/>
      <c r="R13" s="108"/>
      <c r="S13" s="108"/>
      <c r="T13" s="108"/>
      <c r="U13" s="108"/>
    </row>
    <row r="14" spans="12:21" x14ac:dyDescent="0.25">
      <c r="L14" s="108"/>
      <c r="M14" s="108"/>
      <c r="N14" s="108"/>
      <c r="O14" s="108"/>
      <c r="P14" s="108"/>
      <c r="Q14" s="108"/>
      <c r="R14" s="108"/>
      <c r="S14" s="108"/>
      <c r="T14" s="108"/>
      <c r="U14" s="108"/>
    </row>
    <row r="15" spans="12:21" x14ac:dyDescent="0.25">
      <c r="L15" s="108"/>
      <c r="M15" s="108"/>
      <c r="N15" s="108"/>
      <c r="O15" s="108"/>
      <c r="P15" s="108"/>
      <c r="Q15" s="108"/>
      <c r="R15" s="108"/>
      <c r="S15" s="108"/>
      <c r="T15" s="108"/>
      <c r="U15" s="108"/>
    </row>
    <row r="16" spans="12:21" x14ac:dyDescent="0.25">
      <c r="L16" s="108"/>
      <c r="M16" s="108"/>
      <c r="N16" s="108"/>
      <c r="O16" s="108"/>
      <c r="P16" s="108"/>
      <c r="Q16" s="108"/>
      <c r="R16" s="108"/>
      <c r="S16" s="108"/>
      <c r="T16" s="108"/>
      <c r="U16" s="108"/>
    </row>
    <row r="17" spans="2:21" x14ac:dyDescent="0.25">
      <c r="L17" s="108"/>
      <c r="M17" s="108"/>
      <c r="N17" s="108"/>
      <c r="O17" s="108"/>
      <c r="P17" s="108"/>
      <c r="Q17" s="108"/>
      <c r="R17" s="108"/>
      <c r="S17" s="108"/>
      <c r="T17" s="108"/>
      <c r="U17" s="108"/>
    </row>
    <row r="18" spans="2:21" x14ac:dyDescent="0.25">
      <c r="L18" s="108"/>
      <c r="M18" s="108"/>
      <c r="N18" s="108"/>
      <c r="O18" s="108"/>
      <c r="P18" s="108"/>
      <c r="Q18" s="108"/>
      <c r="R18" s="108"/>
      <c r="S18" s="108"/>
      <c r="T18" s="108"/>
      <c r="U18" s="108"/>
    </row>
    <row r="19" spans="2:21" x14ac:dyDescent="0.25">
      <c r="L19" s="108"/>
      <c r="M19" s="108"/>
      <c r="N19" s="108"/>
      <c r="O19" s="108"/>
      <c r="P19" s="108"/>
      <c r="Q19" s="108"/>
      <c r="R19" s="108"/>
      <c r="S19" s="108"/>
      <c r="T19" s="108"/>
      <c r="U19" s="108"/>
    </row>
    <row r="20" spans="2:21" x14ac:dyDescent="0.25">
      <c r="L20" s="108"/>
      <c r="M20" s="108"/>
      <c r="N20" s="108"/>
      <c r="O20" s="108"/>
      <c r="P20" s="108"/>
      <c r="Q20" s="108"/>
      <c r="R20" s="108"/>
      <c r="S20" s="108"/>
      <c r="T20" s="108"/>
      <c r="U20" s="108"/>
    </row>
    <row r="21" spans="2:21" x14ac:dyDescent="0.25">
      <c r="L21" s="108"/>
      <c r="M21" s="108"/>
      <c r="N21" s="108"/>
      <c r="O21" s="108"/>
      <c r="P21" s="108"/>
      <c r="Q21" s="108"/>
      <c r="R21" s="108"/>
      <c r="S21" s="108"/>
      <c r="T21" s="108"/>
      <c r="U21" s="108"/>
    </row>
    <row r="22" spans="2:21" x14ac:dyDescent="0.25">
      <c r="L22" s="108"/>
      <c r="M22" s="108"/>
      <c r="N22" s="108"/>
      <c r="O22" s="108"/>
      <c r="P22" s="108"/>
      <c r="Q22" s="108"/>
      <c r="R22" s="108"/>
      <c r="S22" s="108"/>
      <c r="T22" s="108"/>
      <c r="U22" s="108"/>
    </row>
    <row r="23" spans="2:21" x14ac:dyDescent="0.25">
      <c r="B23" t="s">
        <v>4</v>
      </c>
      <c r="D23" t="s">
        <v>5</v>
      </c>
      <c r="E23" t="s">
        <v>6</v>
      </c>
      <c r="F23" t="s">
        <v>7</v>
      </c>
      <c r="G23" t="s">
        <v>8</v>
      </c>
      <c r="H23" t="s">
        <v>502</v>
      </c>
      <c r="I23" t="s">
        <v>503</v>
      </c>
      <c r="L23" s="108"/>
      <c r="M23" s="108"/>
      <c r="N23" s="108"/>
      <c r="O23" s="108"/>
      <c r="P23" s="108"/>
      <c r="Q23" s="108"/>
      <c r="R23" s="108"/>
      <c r="S23" s="108"/>
      <c r="T23" s="108"/>
      <c r="U23" s="108"/>
    </row>
    <row r="24" spans="2:21" x14ac:dyDescent="0.25">
      <c r="B24" s="1"/>
      <c r="C24" s="1"/>
      <c r="D24" s="19" t="s">
        <v>9</v>
      </c>
      <c r="E24" s="20"/>
      <c r="F24" s="20"/>
      <c r="G24" s="21"/>
      <c r="H24" s="22" t="s">
        <v>10</v>
      </c>
      <c r="I24" s="20"/>
      <c r="J24" s="20"/>
      <c r="L24" s="108"/>
      <c r="M24" s="108"/>
      <c r="N24" s="108"/>
      <c r="O24" s="108"/>
      <c r="P24" s="108"/>
      <c r="Q24" s="108"/>
      <c r="R24" s="108"/>
      <c r="S24" s="108"/>
      <c r="T24" s="108"/>
      <c r="U24" s="108"/>
    </row>
    <row r="25" spans="2:21" ht="15" customHeight="1" x14ac:dyDescent="0.25">
      <c r="B25" s="23"/>
      <c r="C25" s="23"/>
      <c r="D25" s="24">
        <v>44926</v>
      </c>
      <c r="E25" s="24">
        <v>45291</v>
      </c>
      <c r="F25" s="24">
        <v>45657</v>
      </c>
      <c r="G25" s="25">
        <v>46022</v>
      </c>
      <c r="H25" s="26">
        <v>45838</v>
      </c>
      <c r="I25" s="25">
        <v>46203</v>
      </c>
      <c r="J25" s="27" t="s">
        <v>11</v>
      </c>
      <c r="L25" s="108"/>
      <c r="M25" s="108"/>
      <c r="N25" s="108"/>
      <c r="O25" s="108"/>
      <c r="P25" s="108"/>
      <c r="Q25" s="108"/>
      <c r="R25" s="108"/>
      <c r="S25" s="108"/>
      <c r="T25" s="108"/>
      <c r="U25" s="108"/>
    </row>
    <row r="26" spans="2:21" x14ac:dyDescent="0.25">
      <c r="B26" s="8" t="s">
        <v>12</v>
      </c>
      <c r="C26" s="8"/>
      <c r="D26" s="28">
        <v>13771.48681</v>
      </c>
      <c r="E26" s="28">
        <v>22211.00315</v>
      </c>
      <c r="F26" s="28">
        <v>19417.249660000001</v>
      </c>
      <c r="G26" s="29">
        <v>22498.111540000002</v>
      </c>
      <c r="H26" s="30">
        <v>22792.408230000001</v>
      </c>
      <c r="I26" s="29">
        <v>21141.455809999999</v>
      </c>
      <c r="J26" s="31">
        <v>-7.2434312484232044E-2</v>
      </c>
      <c r="L26" s="108"/>
      <c r="M26" s="108"/>
      <c r="N26" s="108"/>
      <c r="O26" s="108"/>
      <c r="P26" s="108"/>
      <c r="Q26" s="108"/>
      <c r="R26" s="108"/>
      <c r="S26" s="108"/>
      <c r="T26" s="108"/>
      <c r="U26" s="108"/>
    </row>
    <row r="27" spans="2:21" x14ac:dyDescent="0.25">
      <c r="B27" s="8" t="s">
        <v>13</v>
      </c>
      <c r="C27" s="32"/>
      <c r="D27" s="28">
        <v>7816.4778900000001</v>
      </c>
      <c r="E27" s="28">
        <v>14670.322120000001</v>
      </c>
      <c r="F27" s="28">
        <v>12779.377409999999</v>
      </c>
      <c r="G27" s="29">
        <v>14356.33671</v>
      </c>
      <c r="H27" s="30">
        <v>15126.85115</v>
      </c>
      <c r="I27" s="29">
        <v>12415.51395</v>
      </c>
      <c r="J27" s="31">
        <v>-0.17924002643471504</v>
      </c>
      <c r="L27" s="108"/>
      <c r="M27" s="108"/>
      <c r="N27" s="108"/>
      <c r="O27" s="108"/>
      <c r="P27" s="108"/>
      <c r="Q27" s="108"/>
      <c r="R27" s="108"/>
      <c r="S27" s="108"/>
      <c r="T27" s="108"/>
      <c r="U27" s="108"/>
    </row>
    <row r="28" spans="2:21" x14ac:dyDescent="0.25">
      <c r="B28" s="8" t="s">
        <v>14</v>
      </c>
      <c r="C28" s="32"/>
      <c r="D28" s="28">
        <v>5955.0089200000002</v>
      </c>
      <c r="E28" s="28">
        <v>7540.6810299999997</v>
      </c>
      <c r="F28" s="28">
        <v>6637.8722600000001</v>
      </c>
      <c r="G28" s="29">
        <v>8141.7748300000003</v>
      </c>
      <c r="H28" s="30">
        <v>7665.5570900000002</v>
      </c>
      <c r="I28" s="29">
        <v>8725.9418600000008</v>
      </c>
      <c r="J28" s="31">
        <v>0.13833107725246885</v>
      </c>
      <c r="L28" s="108"/>
      <c r="M28" s="108"/>
      <c r="N28" s="108"/>
      <c r="O28" s="108"/>
      <c r="P28" s="108"/>
      <c r="Q28" s="108"/>
      <c r="R28" s="108"/>
      <c r="S28" s="108"/>
      <c r="T28" s="108"/>
      <c r="U28" s="108"/>
    </row>
    <row r="29" spans="2:21" x14ac:dyDescent="0.25">
      <c r="B29" s="8" t="s">
        <v>15</v>
      </c>
      <c r="C29" s="32"/>
      <c r="D29" s="28">
        <v>77.719279999999998</v>
      </c>
      <c r="E29" s="28">
        <v>390.57369999999997</v>
      </c>
      <c r="F29" s="28">
        <v>379.31796000000003</v>
      </c>
      <c r="G29" s="29">
        <v>815.63278000000003</v>
      </c>
      <c r="H29" s="30">
        <v>532.00954999999999</v>
      </c>
      <c r="I29" s="29">
        <v>955.05714</v>
      </c>
      <c r="J29" s="31">
        <v>0.79518796232135314</v>
      </c>
      <c r="L29" s="108"/>
      <c r="M29" s="108"/>
      <c r="N29" s="108"/>
      <c r="O29" s="108"/>
      <c r="P29" s="108"/>
      <c r="Q29" s="108"/>
      <c r="R29" s="108"/>
      <c r="S29" s="108"/>
      <c r="T29" s="108"/>
      <c r="U29" s="108"/>
    </row>
    <row r="30" spans="2:21" x14ac:dyDescent="0.25">
      <c r="B30" s="8" t="s">
        <v>16</v>
      </c>
      <c r="C30" s="32"/>
      <c r="D30" s="28">
        <v>609.09150999999997</v>
      </c>
      <c r="E30" s="28">
        <v>942.98440000000005</v>
      </c>
      <c r="F30" s="28">
        <v>869.68623000000002</v>
      </c>
      <c r="G30" s="29">
        <v>1199.17571</v>
      </c>
      <c r="H30" s="30">
        <v>1085.5055600000001</v>
      </c>
      <c r="I30" s="29">
        <v>1412.4406899999999</v>
      </c>
      <c r="J30" s="31">
        <v>0.30118236335887572</v>
      </c>
      <c r="L30" s="108"/>
      <c r="M30" s="108"/>
      <c r="N30" s="108"/>
      <c r="O30" s="108"/>
      <c r="P30" s="108"/>
      <c r="Q30" s="108"/>
      <c r="R30" s="108"/>
      <c r="S30" s="108"/>
      <c r="T30" s="108"/>
      <c r="U30" s="108"/>
    </row>
    <row r="31" spans="2:21" x14ac:dyDescent="0.25">
      <c r="B31" s="8" t="s">
        <v>17</v>
      </c>
      <c r="C31" s="8"/>
      <c r="D31" s="28">
        <v>2295.2819800000002</v>
      </c>
      <c r="E31" s="28">
        <v>2873.6713100000002</v>
      </c>
      <c r="F31" s="28">
        <v>2507.7504800000002</v>
      </c>
      <c r="G31" s="29">
        <v>3209.3739</v>
      </c>
      <c r="H31" s="30">
        <v>3075.0029800000002</v>
      </c>
      <c r="I31" s="29">
        <v>3306.7022200000001</v>
      </c>
      <c r="J31" s="31">
        <v>7.5349273320053811E-2</v>
      </c>
      <c r="L31" s="108"/>
      <c r="M31" s="108"/>
      <c r="N31" s="108"/>
      <c r="O31" s="108"/>
      <c r="P31" s="108"/>
      <c r="Q31" s="108"/>
      <c r="R31" s="108"/>
      <c r="S31" s="108"/>
      <c r="T31" s="108"/>
      <c r="U31" s="108"/>
    </row>
    <row r="32" spans="2:21" x14ac:dyDescent="0.25">
      <c r="B32" s="8" t="s">
        <v>18</v>
      </c>
      <c r="C32" s="8"/>
      <c r="D32" s="28">
        <v>3177.8776800000001</v>
      </c>
      <c r="E32" s="28">
        <v>4198.1793100000004</v>
      </c>
      <c r="F32" s="28">
        <v>3721.96146</v>
      </c>
      <c r="G32" s="29">
        <v>4644.6187499999996</v>
      </c>
      <c r="H32" s="30">
        <v>4122.2724099999996</v>
      </c>
      <c r="I32" s="29">
        <v>4906.0566699999999</v>
      </c>
      <c r="J32" s="31">
        <v>0.19013402852724148</v>
      </c>
      <c r="L32" s="108"/>
      <c r="M32" s="108"/>
      <c r="N32" s="108"/>
      <c r="O32" s="108"/>
      <c r="P32" s="108"/>
      <c r="Q32" s="108"/>
      <c r="R32" s="108"/>
      <c r="S32" s="108"/>
      <c r="T32" s="108"/>
      <c r="U32" s="108"/>
    </row>
    <row r="33" spans="2:21" x14ac:dyDescent="0.25">
      <c r="B33" s="8" t="s">
        <v>19</v>
      </c>
      <c r="C33" s="8"/>
      <c r="D33" s="28">
        <v>818.35937999999999</v>
      </c>
      <c r="E33" s="28">
        <v>1054.7796900000001</v>
      </c>
      <c r="F33" s="28">
        <v>937.35302000000001</v>
      </c>
      <c r="G33" s="29">
        <v>1209.3405700000001</v>
      </c>
      <c r="H33" s="30">
        <v>1067.33125</v>
      </c>
      <c r="I33" s="29">
        <v>1310.8571400000001</v>
      </c>
      <c r="J33" s="31">
        <v>0.22816336540319626</v>
      </c>
      <c r="L33" s="11" t="s">
        <v>1</v>
      </c>
    </row>
    <row r="34" spans="2:21" x14ac:dyDescent="0.25">
      <c r="B34" s="8" t="s">
        <v>20</v>
      </c>
      <c r="C34" s="8"/>
      <c r="D34" s="28">
        <v>2359.51829</v>
      </c>
      <c r="E34" s="28">
        <v>3143.3996299999999</v>
      </c>
      <c r="F34" s="28">
        <v>2784.6084300000002</v>
      </c>
      <c r="G34" s="29">
        <v>3435.27819</v>
      </c>
      <c r="H34" s="30">
        <v>3054.9411599999999</v>
      </c>
      <c r="I34" s="29">
        <v>3595.1995299999999</v>
      </c>
      <c r="J34" s="31">
        <v>0.1768473897546361</v>
      </c>
      <c r="L34" s="12" t="s">
        <v>272</v>
      </c>
    </row>
    <row r="35" spans="2:21" x14ac:dyDescent="0.25">
      <c r="B35" s="33" t="s">
        <v>21</v>
      </c>
      <c r="C35" s="34"/>
      <c r="D35" s="35">
        <v>2327.8871600000002</v>
      </c>
      <c r="E35" s="35">
        <v>3100.5743400000001</v>
      </c>
      <c r="F35" s="35">
        <v>2696.4976299999998</v>
      </c>
      <c r="G35" s="36">
        <v>3265.4195</v>
      </c>
      <c r="H35" s="37">
        <v>3068.5770699999998</v>
      </c>
      <c r="I35" s="36">
        <v>3427.4578900000001</v>
      </c>
      <c r="J35" s="38">
        <v>0.11695349727683402</v>
      </c>
      <c r="L35" s="12" t="s">
        <v>273</v>
      </c>
      <c r="M35" s="12"/>
      <c r="N35" s="12"/>
      <c r="O35" s="12"/>
      <c r="P35" s="12"/>
      <c r="Q35" s="12"/>
      <c r="R35" s="12"/>
      <c r="S35" s="12"/>
      <c r="T35" s="12"/>
      <c r="U35" s="12"/>
    </row>
    <row r="36" spans="2:21" ht="15" customHeight="1" x14ac:dyDescent="0.25">
      <c r="B36" s="39" t="s">
        <v>22</v>
      </c>
      <c r="C36" s="8"/>
      <c r="D36" s="40">
        <v>1.0482E-2</v>
      </c>
      <c r="E36" s="40">
        <v>1.0156E-2</v>
      </c>
      <c r="F36" s="40">
        <v>9.1050000000000002E-3</v>
      </c>
      <c r="G36" s="41">
        <v>1.3499000000000001E-2</v>
      </c>
      <c r="H36" s="31">
        <v>1.1214E-2</v>
      </c>
      <c r="I36" s="41">
        <v>0</v>
      </c>
      <c r="J36" s="31" t="s">
        <v>23</v>
      </c>
      <c r="L36" s="109" t="s">
        <v>274</v>
      </c>
      <c r="M36" s="109"/>
      <c r="N36" s="109"/>
      <c r="O36" s="109"/>
      <c r="P36" s="109"/>
      <c r="Q36" s="109"/>
      <c r="R36" s="109"/>
      <c r="S36" s="109"/>
      <c r="T36" s="109"/>
      <c r="U36" s="109"/>
    </row>
    <row r="37" spans="2:21" ht="30" x14ac:dyDescent="0.25">
      <c r="B37" s="39" t="s">
        <v>24</v>
      </c>
      <c r="C37" s="8"/>
      <c r="D37" s="40">
        <v>1.794745</v>
      </c>
      <c r="E37" s="40">
        <v>1.823415</v>
      </c>
      <c r="F37" s="40">
        <v>1.8367640000000001</v>
      </c>
      <c r="G37" s="41">
        <v>1.3508799999999999</v>
      </c>
      <c r="H37" s="31">
        <v>1.5852310000000001</v>
      </c>
      <c r="I37" s="41">
        <v>0</v>
      </c>
      <c r="J37" s="31" t="s">
        <v>517</v>
      </c>
      <c r="L37" s="109"/>
      <c r="M37" s="109"/>
      <c r="N37" s="109"/>
      <c r="O37" s="109"/>
      <c r="P37" s="109"/>
      <c r="Q37" s="109"/>
      <c r="R37" s="109"/>
      <c r="S37" s="109"/>
      <c r="T37" s="109"/>
      <c r="U37" s="109"/>
    </row>
    <row r="38" spans="2:21" ht="15" customHeight="1" x14ac:dyDescent="0.25">
      <c r="B38" s="39" t="s">
        <v>25</v>
      </c>
      <c r="C38" s="8"/>
      <c r="D38" s="40">
        <v>1.1095440000000001</v>
      </c>
      <c r="E38" s="40">
        <v>1.112025</v>
      </c>
      <c r="F38" s="40">
        <v>0.94498599999999999</v>
      </c>
      <c r="G38" s="41">
        <v>1.0828060000000002</v>
      </c>
      <c r="H38" s="31">
        <v>0</v>
      </c>
      <c r="I38" s="41">
        <v>0</v>
      </c>
      <c r="J38" s="31" t="s">
        <v>26</v>
      </c>
      <c r="L38" s="12" t="s">
        <v>275</v>
      </c>
      <c r="M38" s="12"/>
      <c r="N38" s="12"/>
      <c r="O38" s="12"/>
      <c r="P38" s="12"/>
      <c r="Q38" s="12"/>
      <c r="R38" s="12"/>
      <c r="S38" s="12"/>
      <c r="T38" s="12"/>
      <c r="U38" s="12"/>
    </row>
    <row r="39" spans="2:21" ht="30" x14ac:dyDescent="0.25">
      <c r="B39" s="8" t="s">
        <v>27</v>
      </c>
      <c r="C39" s="42"/>
      <c r="D39" s="40">
        <v>0.119939</v>
      </c>
      <c r="E39" s="40">
        <v>0.11171499999999999</v>
      </c>
      <c r="F39" s="40">
        <v>0.105089</v>
      </c>
      <c r="G39" s="41">
        <v>9.8324999999999996E-2</v>
      </c>
      <c r="H39" s="31">
        <v>9.9951000000000012E-2</v>
      </c>
      <c r="I39" s="41">
        <v>0</v>
      </c>
      <c r="J39" s="31" t="s">
        <v>518</v>
      </c>
      <c r="L39" s="12" t="s">
        <v>276</v>
      </c>
      <c r="M39" s="12"/>
      <c r="N39" s="12"/>
      <c r="O39" s="12"/>
      <c r="P39" s="12"/>
      <c r="Q39" s="12"/>
      <c r="R39" s="12"/>
      <c r="S39" s="12"/>
      <c r="T39" s="12"/>
      <c r="U39" s="12"/>
    </row>
    <row r="40" spans="2:21" ht="15" customHeight="1" x14ac:dyDescent="0.25">
      <c r="B40" s="8" t="s">
        <v>29</v>
      </c>
      <c r="C40" s="42"/>
      <c r="D40" s="40">
        <v>0.12146800000000001</v>
      </c>
      <c r="E40" s="40">
        <v>0.112369</v>
      </c>
      <c r="F40" s="40">
        <v>0.10485099999999999</v>
      </c>
      <c r="G40" s="41">
        <v>9.8748000000000002E-2</v>
      </c>
      <c r="H40" s="31">
        <v>9.9544999999999995E-2</v>
      </c>
      <c r="I40" s="41">
        <v>0</v>
      </c>
      <c r="J40" s="31" t="s">
        <v>518</v>
      </c>
      <c r="L40" s="12" t="s">
        <v>277</v>
      </c>
      <c r="M40" s="12"/>
      <c r="N40" s="12"/>
      <c r="O40" s="12"/>
      <c r="P40" s="12"/>
      <c r="Q40" s="12"/>
      <c r="R40" s="12"/>
      <c r="S40" s="12"/>
      <c r="T40" s="12"/>
      <c r="U40" s="12"/>
    </row>
    <row r="41" spans="2:21" ht="30" x14ac:dyDescent="0.25">
      <c r="B41" s="8" t="s">
        <v>30</v>
      </c>
      <c r="C41" s="42"/>
      <c r="D41" s="40">
        <v>1.092921</v>
      </c>
      <c r="E41" s="40">
        <v>1.0626959999999999</v>
      </c>
      <c r="F41" s="40">
        <v>1.1273439999999999</v>
      </c>
      <c r="G41" s="41">
        <v>1.10588</v>
      </c>
      <c r="H41" s="31">
        <v>1.0464230000000001</v>
      </c>
      <c r="I41" s="41">
        <v>0</v>
      </c>
      <c r="J41" s="31" t="s">
        <v>519</v>
      </c>
      <c r="L41" s="12" t="s">
        <v>278</v>
      </c>
      <c r="M41" s="12"/>
      <c r="N41" s="12"/>
      <c r="O41" s="12"/>
      <c r="P41" s="12"/>
      <c r="Q41" s="12"/>
      <c r="R41" s="12"/>
      <c r="S41" s="12"/>
      <c r="T41" s="12"/>
      <c r="U41" s="12"/>
    </row>
    <row r="42" spans="2:21" ht="30" x14ac:dyDescent="0.25">
      <c r="B42" s="39" t="s">
        <v>31</v>
      </c>
      <c r="C42" s="42"/>
      <c r="D42" s="40">
        <v>0</v>
      </c>
      <c r="E42" s="40">
        <v>0</v>
      </c>
      <c r="F42" s="40">
        <v>0</v>
      </c>
      <c r="G42" s="41">
        <v>0.1966</v>
      </c>
      <c r="H42" s="31">
        <v>0.1396</v>
      </c>
      <c r="I42" s="41">
        <v>0</v>
      </c>
      <c r="J42" s="31" t="s">
        <v>520</v>
      </c>
      <c r="L42" s="12" t="s">
        <v>279</v>
      </c>
      <c r="M42" s="14"/>
      <c r="N42" s="14"/>
      <c r="O42" s="14"/>
      <c r="P42" s="14"/>
      <c r="Q42" s="14"/>
      <c r="R42" s="14"/>
      <c r="S42" s="14"/>
      <c r="T42" s="14"/>
      <c r="U42" s="14"/>
    </row>
    <row r="43" spans="2:21" x14ac:dyDescent="0.25">
      <c r="B43" s="39" t="s">
        <v>32</v>
      </c>
      <c r="C43" s="42"/>
      <c r="D43" s="40">
        <v>0</v>
      </c>
      <c r="E43" s="40">
        <v>0</v>
      </c>
      <c r="F43" s="40">
        <v>0</v>
      </c>
      <c r="G43" s="41">
        <v>0.12609999999999999</v>
      </c>
      <c r="H43" s="31">
        <v>0</v>
      </c>
      <c r="I43" s="41">
        <v>0</v>
      </c>
      <c r="J43" s="31" t="s">
        <v>26</v>
      </c>
      <c r="L43" s="12" t="s">
        <v>280</v>
      </c>
      <c r="M43" s="14"/>
      <c r="N43" s="14"/>
      <c r="O43" s="14"/>
      <c r="P43" s="14"/>
      <c r="Q43" s="14"/>
      <c r="R43" s="14"/>
      <c r="S43" s="14"/>
      <c r="T43" s="14"/>
      <c r="U43" s="14"/>
    </row>
    <row r="44" spans="2:21" x14ac:dyDescent="0.25">
      <c r="B44" s="39" t="s">
        <v>33</v>
      </c>
      <c r="C44" s="42"/>
      <c r="D44" s="40">
        <v>0</v>
      </c>
      <c r="E44" s="40">
        <v>0</v>
      </c>
      <c r="F44" s="40">
        <v>0</v>
      </c>
      <c r="G44" s="41">
        <v>4.0260000000000001E-3</v>
      </c>
      <c r="H44" s="31">
        <v>0</v>
      </c>
      <c r="I44" s="41">
        <v>0</v>
      </c>
      <c r="J44" s="31" t="s">
        <v>26</v>
      </c>
      <c r="L44" s="12" t="s">
        <v>281</v>
      </c>
    </row>
    <row r="45" spans="2:21" ht="30" x14ac:dyDescent="0.25">
      <c r="B45" s="33" t="s">
        <v>34</v>
      </c>
      <c r="C45" s="43"/>
      <c r="D45" s="44">
        <v>0</v>
      </c>
      <c r="E45" s="44">
        <v>0</v>
      </c>
      <c r="F45" s="44">
        <v>0</v>
      </c>
      <c r="G45" s="45">
        <v>0.2006</v>
      </c>
      <c r="H45" s="38">
        <v>0.21719999999999998</v>
      </c>
      <c r="I45" s="45">
        <v>0</v>
      </c>
      <c r="J45" s="38" t="s">
        <v>521</v>
      </c>
      <c r="L45" s="12" t="s">
        <v>282</v>
      </c>
    </row>
    <row r="46" spans="2:21" ht="30" x14ac:dyDescent="0.25">
      <c r="B46" s="39" t="s">
        <v>35</v>
      </c>
      <c r="C46" s="32"/>
      <c r="D46" s="32">
        <v>0.193272</v>
      </c>
      <c r="E46" s="32">
        <v>0.21768899999999999</v>
      </c>
      <c r="F46" s="32">
        <v>0.23319900000000002</v>
      </c>
      <c r="G46" s="46">
        <v>0.24706700000000001</v>
      </c>
      <c r="H46" s="47">
        <v>0.23338599999999998</v>
      </c>
      <c r="I46" s="46">
        <v>0</v>
      </c>
      <c r="J46" s="31" t="s">
        <v>522</v>
      </c>
      <c r="L46" s="12" t="s">
        <v>283</v>
      </c>
    </row>
    <row r="47" spans="2:21" x14ac:dyDescent="0.25">
      <c r="B47" s="8" t="s">
        <v>36</v>
      </c>
      <c r="C47" s="8"/>
      <c r="D47" s="32">
        <v>0.19311200000000001</v>
      </c>
      <c r="E47" s="32">
        <v>0.21597999999999998</v>
      </c>
      <c r="F47" s="32">
        <v>0.22941199999999998</v>
      </c>
      <c r="G47" s="46">
        <v>0.24463399999999999</v>
      </c>
      <c r="H47" s="47">
        <v>0.23347499999999999</v>
      </c>
      <c r="I47" s="46">
        <v>0.24097299999999999</v>
      </c>
      <c r="J47" s="31" t="s">
        <v>513</v>
      </c>
      <c r="L47" s="12" t="s">
        <v>284</v>
      </c>
      <c r="M47" s="15"/>
      <c r="N47" s="15"/>
      <c r="O47" s="15"/>
      <c r="P47" s="15"/>
      <c r="Q47" s="15"/>
      <c r="R47" s="15"/>
      <c r="S47" s="15"/>
      <c r="T47" s="15"/>
      <c r="U47" s="15"/>
    </row>
    <row r="48" spans="2:21" x14ac:dyDescent="0.25">
      <c r="B48" s="33" t="s">
        <v>38</v>
      </c>
      <c r="C48" s="34"/>
      <c r="D48" s="34">
        <v>2.3476E-2</v>
      </c>
      <c r="E48" s="34">
        <v>2.4461E-2</v>
      </c>
      <c r="F48" s="34">
        <v>2.4451000000000001E-2</v>
      </c>
      <c r="G48" s="48">
        <v>2.4397000000000002E-2</v>
      </c>
      <c r="H48" s="49">
        <v>2.3231999999999999E-2</v>
      </c>
      <c r="I48" s="48">
        <v>0</v>
      </c>
      <c r="J48" s="38" t="s">
        <v>523</v>
      </c>
      <c r="L48" s="12" t="s">
        <v>285</v>
      </c>
      <c r="M48" s="15"/>
      <c r="N48" s="15"/>
      <c r="O48" s="15"/>
      <c r="P48" s="15"/>
      <c r="Q48" s="15"/>
      <c r="R48" s="15"/>
      <c r="S48" s="15"/>
      <c r="T48" s="15"/>
      <c r="U48" s="15"/>
    </row>
    <row r="49" spans="2:21" ht="15" customHeight="1" x14ac:dyDescent="0.25">
      <c r="B49" s="8" t="s">
        <v>39</v>
      </c>
      <c r="C49" s="8"/>
      <c r="D49" s="42">
        <v>9.2484800000000007</v>
      </c>
      <c r="E49" s="50">
        <v>9.6469199999999997</v>
      </c>
      <c r="F49" s="50">
        <v>6.99275</v>
      </c>
      <c r="G49" s="51">
        <v>8.1716300000000004</v>
      </c>
      <c r="H49" s="50">
        <v>8.6956299999999995</v>
      </c>
      <c r="I49" s="51">
        <v>8.5374300000000005</v>
      </c>
      <c r="J49" s="31">
        <v>-1.8193046392268153E-2</v>
      </c>
      <c r="L49" s="12" t="s">
        <v>286</v>
      </c>
      <c r="M49" s="16"/>
      <c r="N49" s="16"/>
      <c r="O49" s="16"/>
      <c r="P49" s="16"/>
      <c r="Q49" s="16"/>
      <c r="R49" s="16"/>
      <c r="S49" s="16"/>
      <c r="T49" s="16"/>
      <c r="U49" s="16"/>
    </row>
    <row r="50" spans="2:21" x14ac:dyDescent="0.25">
      <c r="B50" s="8" t="s">
        <v>40</v>
      </c>
      <c r="C50" s="8"/>
      <c r="D50" s="42">
        <v>7.8903400000000001</v>
      </c>
      <c r="E50" s="50">
        <v>8.48644</v>
      </c>
      <c r="F50" s="50">
        <v>6.2892000000000001</v>
      </c>
      <c r="G50" s="51">
        <v>7.6478000000000002</v>
      </c>
      <c r="H50" s="50">
        <v>8.0452200000000005</v>
      </c>
      <c r="I50" s="51">
        <v>8.0109600000000007</v>
      </c>
      <c r="J50" s="31">
        <v>-4.2584292287842773E-3</v>
      </c>
      <c r="L50" s="12" t="s">
        <v>287</v>
      </c>
      <c r="M50" s="16"/>
      <c r="N50" s="16"/>
      <c r="O50" s="16"/>
      <c r="P50" s="16"/>
      <c r="Q50" s="16"/>
      <c r="R50" s="16"/>
      <c r="S50" s="16"/>
      <c r="T50" s="16"/>
      <c r="U50" s="16"/>
    </row>
    <row r="51" spans="2:21" x14ac:dyDescent="0.25">
      <c r="B51" s="33" t="s">
        <v>41</v>
      </c>
      <c r="C51" s="34"/>
      <c r="D51" s="52">
        <v>2.0563500000000001</v>
      </c>
      <c r="E51" s="52">
        <v>2.1880299999999999</v>
      </c>
      <c r="F51" s="52">
        <v>1.8127599999999999</v>
      </c>
      <c r="G51" s="53">
        <v>2.14751</v>
      </c>
      <c r="H51" s="54">
        <v>2.3360500000000002</v>
      </c>
      <c r="I51" s="53">
        <v>2.3344200000000002</v>
      </c>
      <c r="J51" s="38">
        <v>-6.9775903769186964E-4</v>
      </c>
    </row>
    <row r="52" spans="2:21" x14ac:dyDescent="0.25">
      <c r="L52" s="17" t="s">
        <v>3</v>
      </c>
      <c r="M52" s="14"/>
      <c r="N52" s="14"/>
      <c r="O52" s="14"/>
      <c r="P52" s="14"/>
      <c r="Q52" s="14"/>
      <c r="R52" s="14"/>
      <c r="S52" s="14"/>
      <c r="T52" s="14"/>
      <c r="U52" s="14"/>
    </row>
    <row r="53" spans="2:21" x14ac:dyDescent="0.25">
      <c r="L53" s="12" t="s">
        <v>288</v>
      </c>
      <c r="M53" s="15"/>
      <c r="N53" s="15"/>
      <c r="O53" s="15"/>
      <c r="P53" s="15"/>
      <c r="Q53" s="15"/>
      <c r="R53" s="15"/>
      <c r="S53" s="15"/>
      <c r="T53" s="15"/>
      <c r="U53" s="15"/>
    </row>
    <row r="54" spans="2:21" x14ac:dyDescent="0.25">
      <c r="L54" s="12" t="s">
        <v>289</v>
      </c>
      <c r="M54" s="15"/>
      <c r="N54" s="15"/>
      <c r="O54" s="15"/>
      <c r="P54" s="15"/>
      <c r="Q54" s="15"/>
      <c r="R54" s="15"/>
      <c r="S54" s="15"/>
      <c r="T54" s="15"/>
      <c r="U54" s="15"/>
    </row>
    <row r="55" spans="2:21" x14ac:dyDescent="0.25">
      <c r="L55" s="12" t="s">
        <v>290</v>
      </c>
      <c r="M55" s="15"/>
      <c r="N55" s="15"/>
      <c r="O55" s="15"/>
      <c r="P55" s="15"/>
      <c r="Q55" s="15"/>
      <c r="R55" s="15"/>
      <c r="S55" s="15"/>
      <c r="T55" s="15"/>
      <c r="U55" s="15"/>
    </row>
    <row r="56" spans="2:21" x14ac:dyDescent="0.25">
      <c r="L56" s="12" t="s">
        <v>291</v>
      </c>
      <c r="M56" s="15"/>
      <c r="N56" s="15"/>
      <c r="O56" s="15"/>
      <c r="P56" s="15"/>
      <c r="Q56" s="15"/>
      <c r="R56" s="15"/>
      <c r="S56" s="15"/>
      <c r="T56" s="15"/>
      <c r="U56" s="15"/>
    </row>
    <row r="57" spans="2:21" x14ac:dyDescent="0.25">
      <c r="L57" s="12" t="s">
        <v>292</v>
      </c>
      <c r="M57" s="14"/>
      <c r="N57" s="14"/>
      <c r="O57" s="14"/>
      <c r="P57" s="14"/>
      <c r="Q57" s="14"/>
      <c r="R57" s="14"/>
      <c r="S57" s="14"/>
      <c r="T57" s="14"/>
      <c r="U57" s="14"/>
    </row>
    <row r="58" spans="2:21" x14ac:dyDescent="0.25">
      <c r="L58" s="12" t="s">
        <v>293</v>
      </c>
      <c r="M58" s="14"/>
      <c r="N58" s="14"/>
      <c r="O58" s="14"/>
      <c r="P58" s="14"/>
      <c r="Q58" s="14"/>
      <c r="R58" s="14"/>
      <c r="S58" s="14"/>
      <c r="T58" s="14"/>
      <c r="U58" s="14"/>
    </row>
    <row r="59" spans="2:21" x14ac:dyDescent="0.25">
      <c r="L59" s="12" t="s">
        <v>294</v>
      </c>
      <c r="M59" s="12"/>
      <c r="N59" s="12"/>
      <c r="O59" s="12"/>
      <c r="P59" s="12"/>
      <c r="Q59" s="12"/>
      <c r="R59" s="12"/>
      <c r="S59" s="12"/>
      <c r="T59" s="12"/>
      <c r="U59" s="12"/>
    </row>
    <row r="60" spans="2:21" x14ac:dyDescent="0.25">
      <c r="L60" s="12" t="s">
        <v>295</v>
      </c>
    </row>
    <row r="61" spans="2:21" x14ac:dyDescent="0.25">
      <c r="L61" s="12" t="s">
        <v>296</v>
      </c>
    </row>
    <row r="62" spans="2:21" ht="15" customHeight="1" x14ac:dyDescent="0.25">
      <c r="L62" s="12" t="s">
        <v>297</v>
      </c>
    </row>
    <row r="63" spans="2:21" x14ac:dyDescent="0.25">
      <c r="L63" s="109" t="s">
        <v>298</v>
      </c>
      <c r="M63" s="109"/>
      <c r="N63" s="109"/>
      <c r="O63" s="109"/>
      <c r="P63" s="109"/>
      <c r="Q63" s="109"/>
      <c r="R63" s="109"/>
      <c r="S63" s="109"/>
      <c r="T63" s="109"/>
      <c r="U63" s="109"/>
    </row>
    <row r="64" spans="2:21" x14ac:dyDescent="0.25">
      <c r="L64" s="109"/>
      <c r="M64" s="109"/>
      <c r="N64" s="109"/>
      <c r="O64" s="109"/>
      <c r="P64" s="109"/>
      <c r="Q64" s="109"/>
      <c r="R64" s="109"/>
      <c r="S64" s="109"/>
      <c r="T64" s="109"/>
      <c r="U64" s="109"/>
    </row>
    <row r="66" spans="12:21" x14ac:dyDescent="0.25">
      <c r="L66" s="15"/>
      <c r="M66" s="15"/>
      <c r="N66" s="15"/>
      <c r="O66" s="15"/>
      <c r="P66" s="15"/>
      <c r="Q66" s="15"/>
      <c r="R66" s="15"/>
      <c r="S66" s="15"/>
      <c r="T66" s="15"/>
      <c r="U66" s="15"/>
    </row>
    <row r="67" spans="12:21" x14ac:dyDescent="0.25">
      <c r="L67" s="15"/>
      <c r="M67" s="15"/>
      <c r="N67" s="15"/>
      <c r="O67" s="15"/>
      <c r="P67" s="15"/>
      <c r="Q67" s="15"/>
      <c r="R67" s="15"/>
      <c r="S67" s="15"/>
      <c r="T67" s="15"/>
      <c r="U67" s="15"/>
    </row>
    <row r="68" spans="12:21" x14ac:dyDescent="0.25">
      <c r="L68" s="15"/>
      <c r="M68" s="15"/>
      <c r="N68" s="15"/>
      <c r="O68" s="15"/>
      <c r="P68" s="15"/>
      <c r="Q68" s="15"/>
      <c r="R68" s="15"/>
      <c r="S68" s="15"/>
      <c r="T68" s="15"/>
      <c r="U68" s="15"/>
    </row>
  </sheetData>
  <mergeCells count="3">
    <mergeCell ref="L6:U32"/>
    <mergeCell ref="L63:U64"/>
    <mergeCell ref="L36:U37"/>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D19A2-0CF5-4527-AD83-7D2BB37EB018}">
  <dimension ref="B1:U66"/>
  <sheetViews>
    <sheetView topLeftCell="A18" workbookViewId="0">
      <selection activeCell="D26" sqref="D26:I26"/>
    </sheetView>
  </sheetViews>
  <sheetFormatPr defaultRowHeight="15" x14ac:dyDescent="0.25"/>
  <cols>
    <col min="4" max="9" width="10.42578125" bestFit="1" customWidth="1"/>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x14ac:dyDescent="0.25">
      <c r="L6" s="108" t="s">
        <v>299</v>
      </c>
      <c r="M6" s="108"/>
      <c r="N6" s="108"/>
      <c r="O6" s="108"/>
      <c r="P6" s="108"/>
      <c r="Q6" s="108"/>
      <c r="R6" s="108"/>
      <c r="S6" s="108"/>
      <c r="T6" s="108"/>
      <c r="U6" s="108"/>
    </row>
    <row r="7" spans="12:21" x14ac:dyDescent="0.25">
      <c r="L7" s="108"/>
      <c r="M7" s="108"/>
      <c r="N7" s="108"/>
      <c r="O7" s="108"/>
      <c r="P7" s="108"/>
      <c r="Q7" s="108"/>
      <c r="R7" s="108"/>
      <c r="S7" s="108"/>
      <c r="T7" s="108"/>
      <c r="U7" s="108"/>
    </row>
    <row r="8" spans="12:21" x14ac:dyDescent="0.25">
      <c r="L8" s="108"/>
      <c r="M8" s="108"/>
      <c r="N8" s="108"/>
      <c r="O8" s="108"/>
      <c r="P8" s="108"/>
      <c r="Q8" s="108"/>
      <c r="R8" s="108"/>
      <c r="S8" s="108"/>
      <c r="T8" s="108"/>
      <c r="U8" s="108"/>
    </row>
    <row r="9" spans="12:21" x14ac:dyDescent="0.25">
      <c r="L9" s="108"/>
      <c r="M9" s="108"/>
      <c r="N9" s="108"/>
      <c r="O9" s="108"/>
      <c r="P9" s="108"/>
      <c r="Q9" s="108"/>
      <c r="R9" s="108"/>
      <c r="S9" s="108"/>
      <c r="T9" s="108"/>
      <c r="U9" s="108"/>
    </row>
    <row r="10" spans="12:21" x14ac:dyDescent="0.25">
      <c r="L10" s="108"/>
      <c r="M10" s="108"/>
      <c r="N10" s="108"/>
      <c r="O10" s="108"/>
      <c r="P10" s="108"/>
      <c r="Q10" s="108"/>
      <c r="R10" s="108"/>
      <c r="S10" s="108"/>
      <c r="T10" s="108"/>
      <c r="U10" s="108"/>
    </row>
    <row r="11" spans="12:21" x14ac:dyDescent="0.25">
      <c r="L11" s="108"/>
      <c r="M11" s="108"/>
      <c r="N11" s="108"/>
      <c r="O11" s="108"/>
      <c r="P11" s="108"/>
      <c r="Q11" s="108"/>
      <c r="R11" s="108"/>
      <c r="S11" s="108"/>
      <c r="T11" s="108"/>
      <c r="U11" s="108"/>
    </row>
    <row r="12" spans="12:21" x14ac:dyDescent="0.25">
      <c r="L12" s="108"/>
      <c r="M12" s="108"/>
      <c r="N12" s="108"/>
      <c r="O12" s="108"/>
      <c r="P12" s="108"/>
      <c r="Q12" s="108"/>
      <c r="R12" s="108"/>
      <c r="S12" s="108"/>
      <c r="T12" s="108"/>
      <c r="U12" s="108"/>
    </row>
    <row r="13" spans="12:21" x14ac:dyDescent="0.25">
      <c r="L13" s="108"/>
      <c r="M13" s="108"/>
      <c r="N13" s="108"/>
      <c r="O13" s="108"/>
      <c r="P13" s="108"/>
      <c r="Q13" s="108"/>
      <c r="R13" s="108"/>
      <c r="S13" s="108"/>
      <c r="T13" s="108"/>
      <c r="U13" s="108"/>
    </row>
    <row r="14" spans="12:21" x14ac:dyDescent="0.25">
      <c r="L14" s="108"/>
      <c r="M14" s="108"/>
      <c r="N14" s="108"/>
      <c r="O14" s="108"/>
      <c r="P14" s="108"/>
      <c r="Q14" s="108"/>
      <c r="R14" s="108"/>
      <c r="S14" s="108"/>
      <c r="T14" s="108"/>
      <c r="U14" s="108"/>
    </row>
    <row r="15" spans="12:21" x14ac:dyDescent="0.25">
      <c r="L15" s="108"/>
      <c r="M15" s="108"/>
      <c r="N15" s="108"/>
      <c r="O15" s="108"/>
      <c r="P15" s="108"/>
      <c r="Q15" s="108"/>
      <c r="R15" s="108"/>
      <c r="S15" s="108"/>
      <c r="T15" s="108"/>
      <c r="U15" s="108"/>
    </row>
    <row r="16" spans="12:21" x14ac:dyDescent="0.25">
      <c r="L16" s="108"/>
      <c r="M16" s="108"/>
      <c r="N16" s="108"/>
      <c r="O16" s="108"/>
      <c r="P16" s="108"/>
      <c r="Q16" s="108"/>
      <c r="R16" s="108"/>
      <c r="S16" s="108"/>
      <c r="T16" s="108"/>
      <c r="U16" s="108"/>
    </row>
    <row r="17" spans="2:21" x14ac:dyDescent="0.25">
      <c r="L17" s="108"/>
      <c r="M17" s="108"/>
      <c r="N17" s="108"/>
      <c r="O17" s="108"/>
      <c r="P17" s="108"/>
      <c r="Q17" s="108"/>
      <c r="R17" s="108"/>
      <c r="S17" s="108"/>
      <c r="T17" s="108"/>
      <c r="U17" s="108"/>
    </row>
    <row r="18" spans="2:21" x14ac:dyDescent="0.25">
      <c r="L18" s="108"/>
      <c r="M18" s="108"/>
      <c r="N18" s="108"/>
      <c r="O18" s="108"/>
      <c r="P18" s="108"/>
      <c r="Q18" s="108"/>
      <c r="R18" s="108"/>
      <c r="S18" s="108"/>
      <c r="T18" s="108"/>
      <c r="U18" s="108"/>
    </row>
    <row r="19" spans="2:21" x14ac:dyDescent="0.25">
      <c r="L19" s="108"/>
      <c r="M19" s="108"/>
      <c r="N19" s="108"/>
      <c r="O19" s="108"/>
      <c r="P19" s="108"/>
      <c r="Q19" s="108"/>
      <c r="R19" s="108"/>
      <c r="S19" s="108"/>
      <c r="T19" s="108"/>
      <c r="U19" s="108"/>
    </row>
    <row r="20" spans="2:21" x14ac:dyDescent="0.25">
      <c r="L20" s="108"/>
      <c r="M20" s="108"/>
      <c r="N20" s="108"/>
      <c r="O20" s="108"/>
      <c r="P20" s="108"/>
      <c r="Q20" s="108"/>
      <c r="R20" s="108"/>
      <c r="S20" s="108"/>
      <c r="T20" s="108"/>
      <c r="U20" s="108"/>
    </row>
    <row r="21" spans="2:21" x14ac:dyDescent="0.25">
      <c r="L21" s="108"/>
      <c r="M21" s="108"/>
      <c r="N21" s="108"/>
      <c r="O21" s="108"/>
      <c r="P21" s="108"/>
      <c r="Q21" s="108"/>
      <c r="R21" s="108"/>
      <c r="S21" s="108"/>
      <c r="T21" s="108"/>
      <c r="U21" s="108"/>
    </row>
    <row r="22" spans="2:21" x14ac:dyDescent="0.25">
      <c r="L22" s="108"/>
      <c r="M22" s="108"/>
      <c r="N22" s="108"/>
      <c r="O22" s="108"/>
      <c r="P22" s="108"/>
      <c r="Q22" s="108"/>
      <c r="R22" s="108"/>
      <c r="S22" s="108"/>
      <c r="T22" s="108"/>
      <c r="U22" s="108"/>
    </row>
    <row r="23" spans="2:21" x14ac:dyDescent="0.25">
      <c r="L23" s="108"/>
      <c r="M23" s="108"/>
      <c r="N23" s="108"/>
      <c r="O23" s="108"/>
      <c r="P23" s="108"/>
      <c r="Q23" s="108"/>
      <c r="R23" s="108"/>
      <c r="S23" s="108"/>
      <c r="T23" s="108"/>
      <c r="U23" s="108"/>
    </row>
    <row r="24" spans="2:21" x14ac:dyDescent="0.25">
      <c r="B24" t="s">
        <v>4</v>
      </c>
      <c r="D24" t="s">
        <v>5</v>
      </c>
      <c r="E24" t="s">
        <v>6</v>
      </c>
      <c r="F24" t="s">
        <v>7</v>
      </c>
      <c r="G24" t="s">
        <v>8</v>
      </c>
      <c r="H24" t="s">
        <v>502</v>
      </c>
      <c r="I24" t="s">
        <v>503</v>
      </c>
      <c r="L24" s="108"/>
      <c r="M24" s="108"/>
      <c r="N24" s="108"/>
      <c r="O24" s="108"/>
      <c r="P24" s="108"/>
      <c r="Q24" s="108"/>
      <c r="R24" s="108"/>
      <c r="S24" s="108"/>
      <c r="T24" s="108"/>
      <c r="U24" s="108"/>
    </row>
    <row r="25" spans="2:21" x14ac:dyDescent="0.25">
      <c r="D25" s="24" t="s">
        <v>9</v>
      </c>
      <c r="E25" s="24"/>
      <c r="F25" s="24"/>
      <c r="G25" s="25"/>
      <c r="H25" s="26" t="s">
        <v>10</v>
      </c>
      <c r="I25" s="25"/>
      <c r="L25" s="108"/>
      <c r="M25" s="108"/>
      <c r="N25" s="108"/>
      <c r="O25" s="108"/>
      <c r="P25" s="108"/>
      <c r="Q25" s="108"/>
      <c r="R25" s="108"/>
      <c r="S25" s="108"/>
      <c r="T25" s="108"/>
      <c r="U25" s="108"/>
    </row>
    <row r="26" spans="2:21" x14ac:dyDescent="0.25">
      <c r="D26" s="24">
        <v>44926</v>
      </c>
      <c r="E26" s="24">
        <v>45291</v>
      </c>
      <c r="F26" s="24">
        <v>45657</v>
      </c>
      <c r="G26" s="25">
        <v>46022</v>
      </c>
      <c r="H26" s="26">
        <v>45838</v>
      </c>
      <c r="I26" s="25">
        <v>46203</v>
      </c>
      <c r="J26" t="s">
        <v>11</v>
      </c>
      <c r="L26" s="108"/>
      <c r="M26" s="108"/>
      <c r="N26" s="108"/>
      <c r="O26" s="108"/>
      <c r="P26" s="108"/>
      <c r="Q26" s="108"/>
      <c r="R26" s="108"/>
      <c r="S26" s="108"/>
      <c r="T26" s="108"/>
      <c r="U26" s="108"/>
    </row>
    <row r="27" spans="2:21" x14ac:dyDescent="0.25">
      <c r="B27" t="s">
        <v>12</v>
      </c>
      <c r="D27">
        <v>1226.09645</v>
      </c>
      <c r="E27">
        <v>1604.2881400000001</v>
      </c>
      <c r="F27">
        <v>1567.8247899999999</v>
      </c>
      <c r="G27">
        <v>1712.8422800000001</v>
      </c>
      <c r="H27">
        <v>1642.6399799999999</v>
      </c>
      <c r="I27">
        <v>1704.2064</v>
      </c>
      <c r="J27">
        <v>3.7480166530465153E-2</v>
      </c>
      <c r="L27" s="108"/>
      <c r="M27" s="108"/>
      <c r="N27" s="108"/>
      <c r="O27" s="108"/>
      <c r="P27" s="108"/>
      <c r="Q27" s="108"/>
      <c r="R27" s="108"/>
      <c r="S27" s="108"/>
      <c r="T27" s="108"/>
      <c r="U27" s="108"/>
    </row>
    <row r="28" spans="2:21" x14ac:dyDescent="0.25">
      <c r="B28" t="s">
        <v>13</v>
      </c>
      <c r="D28">
        <v>364.87306999999998</v>
      </c>
      <c r="E28">
        <v>613.53710000000001</v>
      </c>
      <c r="F28">
        <v>563.25061000000005</v>
      </c>
      <c r="G28">
        <v>559.25837000000001</v>
      </c>
      <c r="H28">
        <v>557.38601000000006</v>
      </c>
      <c r="I28">
        <v>541.06389999999999</v>
      </c>
      <c r="J28">
        <v>-2.928331480727342E-2</v>
      </c>
      <c r="L28" s="108"/>
      <c r="M28" s="108"/>
      <c r="N28" s="108"/>
      <c r="O28" s="108"/>
      <c r="P28" s="108"/>
      <c r="Q28" s="108"/>
      <c r="R28" s="108"/>
      <c r="S28" s="108"/>
      <c r="T28" s="108"/>
      <c r="U28" s="108"/>
    </row>
    <row r="29" spans="2:21" x14ac:dyDescent="0.25">
      <c r="B29" t="s">
        <v>14</v>
      </c>
      <c r="D29">
        <v>861.22338999999999</v>
      </c>
      <c r="E29">
        <v>990.75103999999999</v>
      </c>
      <c r="F29">
        <v>1004.57419</v>
      </c>
      <c r="G29">
        <v>1153.5839100000001</v>
      </c>
      <c r="H29">
        <v>1085.25397</v>
      </c>
      <c r="I29">
        <v>1163.1424999999999</v>
      </c>
      <c r="J29">
        <v>7.176986415447062E-2</v>
      </c>
      <c r="L29" s="108"/>
      <c r="M29" s="108"/>
      <c r="N29" s="108"/>
      <c r="O29" s="108"/>
      <c r="P29" s="108"/>
      <c r="Q29" s="108"/>
      <c r="R29" s="108"/>
      <c r="S29" s="108"/>
      <c r="T29" s="108"/>
      <c r="U29" s="108"/>
    </row>
    <row r="30" spans="2:21" x14ac:dyDescent="0.25">
      <c r="B30" t="s">
        <v>15</v>
      </c>
      <c r="D30">
        <v>265.29232999999999</v>
      </c>
      <c r="E30">
        <v>275.64508000000001</v>
      </c>
      <c r="F30">
        <v>274.12450999999999</v>
      </c>
      <c r="G30">
        <v>362.67284999999998</v>
      </c>
      <c r="H30">
        <v>323.45103999999998</v>
      </c>
      <c r="I30">
        <v>384.73761000000002</v>
      </c>
      <c r="J30">
        <v>0.18947711530004674</v>
      </c>
      <c r="L30" s="108"/>
      <c r="M30" s="108"/>
      <c r="N30" s="108"/>
      <c r="O30" s="108"/>
      <c r="P30" s="108"/>
      <c r="Q30" s="108"/>
      <c r="R30" s="108"/>
      <c r="S30" s="108"/>
      <c r="T30" s="108"/>
      <c r="U30" s="108"/>
    </row>
    <row r="31" spans="2:21" x14ac:dyDescent="0.25">
      <c r="B31" t="s">
        <v>16</v>
      </c>
      <c r="D31">
        <v>262.47485999999998</v>
      </c>
      <c r="E31">
        <v>478.54154</v>
      </c>
      <c r="F31">
        <v>469.08924999999999</v>
      </c>
      <c r="G31">
        <v>325.17804999999998</v>
      </c>
      <c r="H31">
        <v>373.60529000000002</v>
      </c>
      <c r="I31">
        <v>259.79939999999999</v>
      </c>
      <c r="J31">
        <v>-0.30461530670510584</v>
      </c>
      <c r="L31" s="108"/>
      <c r="M31" s="108"/>
      <c r="N31" s="108"/>
      <c r="O31" s="108"/>
      <c r="P31" s="108"/>
      <c r="Q31" s="108"/>
      <c r="R31" s="108"/>
      <c r="S31" s="108"/>
      <c r="T31" s="108"/>
      <c r="U31" s="108"/>
    </row>
    <row r="32" spans="2:21" x14ac:dyDescent="0.25">
      <c r="B32" t="s">
        <v>17</v>
      </c>
      <c r="D32">
        <v>419.52929</v>
      </c>
      <c r="E32">
        <v>431.33944000000002</v>
      </c>
      <c r="F32">
        <v>442.56416000000002</v>
      </c>
      <c r="G32">
        <v>560.12275999999997</v>
      </c>
      <c r="H32">
        <v>498.38324</v>
      </c>
      <c r="I32">
        <v>588.03561000000002</v>
      </c>
      <c r="J32">
        <v>0.17988640629247499</v>
      </c>
      <c r="L32" s="11" t="s">
        <v>1</v>
      </c>
    </row>
    <row r="33" spans="2:21" x14ac:dyDescent="0.25">
      <c r="B33" t="s">
        <v>18</v>
      </c>
      <c r="D33">
        <v>391.31475</v>
      </c>
      <c r="E33">
        <v>303.35883000000001</v>
      </c>
      <c r="F33">
        <v>306.70510999999999</v>
      </c>
      <c r="G33">
        <v>571.92349000000002</v>
      </c>
      <c r="H33">
        <v>480.51670000000001</v>
      </c>
      <c r="I33">
        <v>646.81416000000002</v>
      </c>
      <c r="J33">
        <v>0.34608050042797678</v>
      </c>
      <c r="L33" s="12" t="s">
        <v>300</v>
      </c>
    </row>
    <row r="34" spans="2:21" x14ac:dyDescent="0.25">
      <c r="B34" t="s">
        <v>19</v>
      </c>
      <c r="D34">
        <v>83.709800000000001</v>
      </c>
      <c r="E34">
        <v>60.865760000000002</v>
      </c>
      <c r="F34">
        <v>59.152349999999998</v>
      </c>
      <c r="G34">
        <v>138.38654</v>
      </c>
      <c r="H34">
        <v>109.45534000000001</v>
      </c>
      <c r="I34">
        <v>152.60131999999999</v>
      </c>
      <c r="J34">
        <v>0.39418798571179781</v>
      </c>
      <c r="L34" s="109" t="s">
        <v>301</v>
      </c>
      <c r="M34" s="109"/>
      <c r="N34" s="109"/>
      <c r="O34" s="109"/>
      <c r="P34" s="109"/>
      <c r="Q34" s="109"/>
      <c r="R34" s="109"/>
      <c r="S34" s="109"/>
      <c r="T34" s="109"/>
      <c r="U34" s="109"/>
    </row>
    <row r="35" spans="2:21" x14ac:dyDescent="0.25">
      <c r="B35" t="s">
        <v>20</v>
      </c>
      <c r="D35">
        <v>307.60494999999997</v>
      </c>
      <c r="E35">
        <v>242.49306999999999</v>
      </c>
      <c r="F35">
        <v>247.55276000000001</v>
      </c>
      <c r="G35">
        <v>433.53694999999999</v>
      </c>
      <c r="H35">
        <v>371.06135999999998</v>
      </c>
      <c r="I35">
        <v>494.21284000000003</v>
      </c>
      <c r="J35">
        <v>0.33188979849586087</v>
      </c>
      <c r="L35" s="109"/>
      <c r="M35" s="109"/>
      <c r="N35" s="109"/>
      <c r="O35" s="109"/>
      <c r="P35" s="109"/>
      <c r="Q35" s="109"/>
      <c r="R35" s="109"/>
      <c r="S35" s="109"/>
      <c r="T35" s="109"/>
      <c r="U35" s="109"/>
    </row>
    <row r="36" spans="2:21" x14ac:dyDescent="0.25">
      <c r="B36" t="s">
        <v>21</v>
      </c>
      <c r="D36">
        <v>307.60494999999997</v>
      </c>
      <c r="E36">
        <v>242.49306999999999</v>
      </c>
      <c r="F36">
        <v>247.55276000000001</v>
      </c>
      <c r="G36">
        <v>433.53694999999999</v>
      </c>
      <c r="H36">
        <v>371.06135999999998</v>
      </c>
      <c r="I36">
        <v>494.21284000000003</v>
      </c>
      <c r="J36">
        <v>0.33188979849586087</v>
      </c>
      <c r="L36" s="109" t="s">
        <v>302</v>
      </c>
      <c r="M36" s="109"/>
      <c r="N36" s="109"/>
      <c r="O36" s="109"/>
      <c r="P36" s="109"/>
      <c r="Q36" s="109"/>
      <c r="R36" s="109"/>
      <c r="S36" s="109"/>
      <c r="T36" s="109"/>
      <c r="U36" s="109"/>
    </row>
    <row r="37" spans="2:21" x14ac:dyDescent="0.25">
      <c r="B37" t="s">
        <v>22</v>
      </c>
      <c r="D37">
        <v>3.0093000000000002E-2</v>
      </c>
      <c r="E37">
        <v>3.5009999999999999E-2</v>
      </c>
      <c r="F37">
        <v>2.6966E-2</v>
      </c>
      <c r="G37">
        <v>2.4482E-2</v>
      </c>
      <c r="H37">
        <v>2.6038000000000002E-2</v>
      </c>
      <c r="I37">
        <v>2.1866E-2</v>
      </c>
      <c r="J37" t="s">
        <v>54</v>
      </c>
      <c r="L37" s="109"/>
      <c r="M37" s="109"/>
      <c r="N37" s="109"/>
      <c r="O37" s="109"/>
      <c r="P37" s="109"/>
      <c r="Q37" s="109"/>
      <c r="R37" s="109"/>
      <c r="S37" s="109"/>
      <c r="T37" s="109"/>
      <c r="U37" s="109"/>
    </row>
    <row r="38" spans="2:21" x14ac:dyDescent="0.25">
      <c r="B38" t="s">
        <v>24</v>
      </c>
      <c r="D38">
        <v>0.95919100000000002</v>
      </c>
      <c r="E38">
        <v>0.80934099999999998</v>
      </c>
      <c r="F38">
        <v>0.81542000000000003</v>
      </c>
      <c r="G38">
        <v>0.82874300000000001</v>
      </c>
      <c r="H38">
        <v>0.83011799999999991</v>
      </c>
      <c r="I38">
        <v>0.68293400000000004</v>
      </c>
      <c r="J38" t="s">
        <v>524</v>
      </c>
      <c r="L38" s="12" t="s">
        <v>303</v>
      </c>
    </row>
    <row r="39" spans="2:21" x14ac:dyDescent="0.25">
      <c r="B39" t="s">
        <v>25</v>
      </c>
      <c r="D39">
        <v>1.2406759999999999</v>
      </c>
      <c r="E39">
        <v>1.127521</v>
      </c>
      <c r="F39">
        <v>0.79491699999999998</v>
      </c>
      <c r="G39">
        <v>0.91380300000000003</v>
      </c>
      <c r="H39">
        <v>0</v>
      </c>
      <c r="I39">
        <v>0</v>
      </c>
      <c r="J39" t="s">
        <v>26</v>
      </c>
      <c r="L39" s="109" t="s">
        <v>304</v>
      </c>
      <c r="M39" s="109"/>
      <c r="N39" s="109"/>
      <c r="O39" s="109"/>
      <c r="P39" s="109"/>
      <c r="Q39" s="109"/>
      <c r="R39" s="109"/>
      <c r="S39" s="109"/>
      <c r="T39" s="109"/>
      <c r="U39" s="109"/>
    </row>
    <row r="40" spans="2:21" x14ac:dyDescent="0.25">
      <c r="B40" t="s">
        <v>27</v>
      </c>
      <c r="D40">
        <v>0.103172</v>
      </c>
      <c r="E40">
        <v>0.11003500000000001</v>
      </c>
      <c r="F40">
        <v>0.11471000000000001</v>
      </c>
      <c r="G40">
        <v>0.122627</v>
      </c>
      <c r="H40">
        <v>0.11295999999999999</v>
      </c>
      <c r="I40">
        <v>0.12216900000000001</v>
      </c>
      <c r="J40" t="s">
        <v>100</v>
      </c>
      <c r="L40" s="109"/>
      <c r="M40" s="109"/>
      <c r="N40" s="109"/>
      <c r="O40" s="109"/>
      <c r="P40" s="109"/>
      <c r="Q40" s="109"/>
      <c r="R40" s="109"/>
      <c r="S40" s="109"/>
      <c r="T40" s="109"/>
      <c r="U40" s="109"/>
    </row>
    <row r="41" spans="2:21" x14ac:dyDescent="0.25">
      <c r="B41" t="s">
        <v>29</v>
      </c>
      <c r="D41">
        <v>0.103172</v>
      </c>
      <c r="E41">
        <v>0.11003500000000001</v>
      </c>
      <c r="F41">
        <v>0.11471000000000001</v>
      </c>
      <c r="G41">
        <v>0.122627</v>
      </c>
      <c r="H41">
        <v>0.11295999999999999</v>
      </c>
      <c r="I41">
        <v>0.12216900000000001</v>
      </c>
      <c r="J41" t="s">
        <v>100</v>
      </c>
      <c r="L41" s="12" t="s">
        <v>99</v>
      </c>
    </row>
    <row r="42" spans="2:21" x14ac:dyDescent="0.25">
      <c r="B42" t="s">
        <v>30</v>
      </c>
      <c r="D42">
        <v>1.020948</v>
      </c>
      <c r="E42">
        <v>1.0263960000000001</v>
      </c>
      <c r="F42">
        <v>0.95871300000000004</v>
      </c>
      <c r="G42">
        <v>0.93904200000000004</v>
      </c>
      <c r="H42">
        <v>0.96268100000000001</v>
      </c>
      <c r="I42">
        <v>0.92406299999999997</v>
      </c>
      <c r="J42" t="s">
        <v>525</v>
      </c>
      <c r="L42" s="109" t="s">
        <v>305</v>
      </c>
      <c r="M42" s="109"/>
      <c r="N42" s="109"/>
      <c r="O42" s="109"/>
      <c r="P42" s="109"/>
      <c r="Q42" s="109"/>
      <c r="R42" s="109"/>
      <c r="S42" s="109"/>
      <c r="T42" s="109"/>
      <c r="U42" s="109"/>
    </row>
    <row r="43" spans="2:21" x14ac:dyDescent="0.25">
      <c r="B43" t="s">
        <v>31</v>
      </c>
      <c r="D43">
        <v>0.108462</v>
      </c>
      <c r="E43">
        <v>0.117516</v>
      </c>
      <c r="F43">
        <v>0.122726</v>
      </c>
      <c r="G43">
        <v>0.125</v>
      </c>
      <c r="H43">
        <v>0.116572</v>
      </c>
      <c r="I43">
        <v>0.11900000000000001</v>
      </c>
      <c r="J43" t="s">
        <v>44</v>
      </c>
      <c r="L43" s="109"/>
      <c r="M43" s="109"/>
      <c r="N43" s="109"/>
      <c r="O43" s="109"/>
      <c r="P43" s="109"/>
      <c r="Q43" s="109"/>
      <c r="R43" s="109"/>
      <c r="S43" s="109"/>
      <c r="T43" s="109"/>
      <c r="U43" s="109"/>
    </row>
    <row r="44" spans="2:21" x14ac:dyDescent="0.25">
      <c r="B44" t="s">
        <v>32</v>
      </c>
      <c r="D44">
        <v>0</v>
      </c>
      <c r="E44">
        <v>0</v>
      </c>
      <c r="F44">
        <v>0</v>
      </c>
      <c r="G44">
        <v>0</v>
      </c>
      <c r="H44">
        <v>0</v>
      </c>
      <c r="I44">
        <v>0.11900000000000001</v>
      </c>
      <c r="J44" t="s">
        <v>526</v>
      </c>
      <c r="L44" s="12" t="s">
        <v>306</v>
      </c>
    </row>
    <row r="45" spans="2:21" x14ac:dyDescent="0.25">
      <c r="B45" t="s">
        <v>33</v>
      </c>
      <c r="D45">
        <v>4.233E-2</v>
      </c>
      <c r="E45">
        <v>3.7006999999999998E-2</v>
      </c>
      <c r="F45">
        <v>3.6495E-2</v>
      </c>
      <c r="G45">
        <v>3.5220000000000001E-2</v>
      </c>
      <c r="H45">
        <v>5.2046999999999996E-2</v>
      </c>
      <c r="I45">
        <v>3.6083999999999998E-2</v>
      </c>
      <c r="J45" t="s">
        <v>527</v>
      </c>
      <c r="L45" s="12" t="s">
        <v>307</v>
      </c>
      <c r="M45" s="12"/>
      <c r="N45" s="12"/>
      <c r="O45" s="12"/>
      <c r="P45" s="12"/>
      <c r="Q45" s="12"/>
      <c r="R45" s="12"/>
      <c r="S45" s="12"/>
      <c r="T45" s="12"/>
      <c r="U45" s="12"/>
    </row>
    <row r="46" spans="2:21" x14ac:dyDescent="0.25">
      <c r="B46" t="s">
        <v>34</v>
      </c>
      <c r="D46">
        <v>0.15079999999999999</v>
      </c>
      <c r="E46">
        <v>0.1545</v>
      </c>
      <c r="F46">
        <v>0.15920000000000001</v>
      </c>
      <c r="G46">
        <v>0.16020000000000001</v>
      </c>
      <c r="H46">
        <v>0.1686</v>
      </c>
      <c r="I46">
        <v>0.15460000000000002</v>
      </c>
      <c r="J46" t="s">
        <v>528</v>
      </c>
      <c r="L46" s="12" t="s">
        <v>308</v>
      </c>
      <c r="M46" s="12"/>
      <c r="N46" s="12"/>
      <c r="O46" s="12"/>
      <c r="P46" s="12"/>
      <c r="Q46" s="12"/>
      <c r="R46" s="12"/>
      <c r="S46" s="12"/>
      <c r="T46" s="12"/>
      <c r="U46" s="12"/>
    </row>
    <row r="47" spans="2:21" x14ac:dyDescent="0.25">
      <c r="B47" t="s">
        <v>35</v>
      </c>
      <c r="D47">
        <v>0.16879999999999998</v>
      </c>
      <c r="E47">
        <v>0.121749</v>
      </c>
      <c r="F47">
        <v>0.11549799999999999</v>
      </c>
      <c r="G47">
        <v>0.15964400000000001</v>
      </c>
      <c r="H47">
        <v>0.15851599999999999</v>
      </c>
      <c r="I47">
        <v>0.176763</v>
      </c>
      <c r="J47" t="s">
        <v>43</v>
      </c>
      <c r="L47" s="109" t="s">
        <v>309</v>
      </c>
      <c r="M47" s="109"/>
      <c r="N47" s="109"/>
      <c r="O47" s="109"/>
      <c r="P47" s="109"/>
      <c r="Q47" s="109"/>
      <c r="R47" s="109"/>
      <c r="S47" s="109"/>
      <c r="T47" s="109"/>
      <c r="U47" s="109"/>
    </row>
    <row r="48" spans="2:21" x14ac:dyDescent="0.25">
      <c r="B48" t="s">
        <v>36</v>
      </c>
      <c r="D48">
        <v>0.16879999999999998</v>
      </c>
      <c r="E48">
        <v>0.121749</v>
      </c>
      <c r="F48">
        <v>0.11549799999999999</v>
      </c>
      <c r="G48">
        <v>0.15964400000000001</v>
      </c>
      <c r="H48">
        <v>0.15851599999999999</v>
      </c>
      <c r="I48">
        <v>0.176763</v>
      </c>
      <c r="J48" t="s">
        <v>43</v>
      </c>
      <c r="L48" s="109"/>
      <c r="M48" s="109"/>
      <c r="N48" s="109"/>
      <c r="O48" s="109"/>
      <c r="P48" s="109"/>
      <c r="Q48" s="109"/>
      <c r="R48" s="109"/>
      <c r="S48" s="109"/>
      <c r="T48" s="109"/>
      <c r="U48" s="109"/>
    </row>
    <row r="49" spans="2:21" x14ac:dyDescent="0.25">
      <c r="B49" t="s">
        <v>38</v>
      </c>
      <c r="D49">
        <v>1.7415E-2</v>
      </c>
      <c r="E49">
        <v>1.3395999999999998E-2</v>
      </c>
      <c r="F49">
        <v>1.3247999999999999E-2</v>
      </c>
      <c r="G49">
        <v>1.9576E-2</v>
      </c>
      <c r="H49">
        <v>1.7905999999999998E-2</v>
      </c>
      <c r="I49">
        <v>2.1595E-2</v>
      </c>
      <c r="J49" t="s">
        <v>50</v>
      </c>
      <c r="L49" s="12" t="s">
        <v>310</v>
      </c>
      <c r="M49" s="16"/>
      <c r="N49" s="16"/>
      <c r="O49" s="16"/>
      <c r="P49" s="16"/>
      <c r="Q49" s="16"/>
      <c r="R49" s="16"/>
      <c r="S49" s="16"/>
      <c r="T49" s="16"/>
      <c r="U49" s="16"/>
    </row>
    <row r="50" spans="2:21" x14ac:dyDescent="0.25">
      <c r="B50" t="s">
        <v>39</v>
      </c>
      <c r="D50">
        <v>10.472289999999999</v>
      </c>
      <c r="E50">
        <v>9.0996699999999997</v>
      </c>
      <c r="F50">
        <v>12.718400000000001</v>
      </c>
      <c r="G50">
        <v>7.1958299999999999</v>
      </c>
      <c r="H50">
        <v>9.0683600000000002</v>
      </c>
      <c r="I50">
        <v>8.1799099999999996</v>
      </c>
      <c r="J50">
        <v>-9.7972511016324981E-2</v>
      </c>
      <c r="L50" s="12" t="s">
        <v>311</v>
      </c>
    </row>
    <row r="51" spans="2:21" x14ac:dyDescent="0.25">
      <c r="B51" t="s">
        <v>40</v>
      </c>
      <c r="D51">
        <v>0</v>
      </c>
      <c r="E51">
        <v>0</v>
      </c>
      <c r="F51">
        <v>0</v>
      </c>
      <c r="G51">
        <v>0</v>
      </c>
      <c r="H51">
        <v>0</v>
      </c>
      <c r="I51">
        <v>0</v>
      </c>
      <c r="J51" t="s">
        <v>45</v>
      </c>
    </row>
    <row r="52" spans="2:21" x14ac:dyDescent="0.25">
      <c r="B52" t="s">
        <v>41</v>
      </c>
      <c r="D52">
        <v>2.2811300000000001</v>
      </c>
      <c r="E52">
        <v>1.37185</v>
      </c>
      <c r="F52">
        <v>1.26257</v>
      </c>
      <c r="G52">
        <v>1.14595</v>
      </c>
      <c r="H52">
        <v>1.3215600000000001</v>
      </c>
      <c r="I52">
        <v>1.43604</v>
      </c>
      <c r="J52">
        <v>8.6624897847997762E-2</v>
      </c>
      <c r="L52" s="17" t="s">
        <v>3</v>
      </c>
      <c r="M52" s="14"/>
      <c r="N52" s="14"/>
      <c r="O52" s="14"/>
      <c r="P52" s="14"/>
      <c r="Q52" s="14"/>
      <c r="R52" s="14"/>
      <c r="S52" s="14"/>
      <c r="T52" s="14"/>
      <c r="U52" s="14"/>
    </row>
    <row r="53" spans="2:21" x14ac:dyDescent="0.25">
      <c r="L53" s="12" t="s">
        <v>312</v>
      </c>
      <c r="M53" s="15"/>
      <c r="N53" s="15"/>
      <c r="O53" s="15"/>
      <c r="P53" s="15"/>
      <c r="Q53" s="15"/>
      <c r="R53" s="15"/>
      <c r="S53" s="15"/>
      <c r="T53" s="15"/>
      <c r="U53" s="15"/>
    </row>
    <row r="54" spans="2:21" x14ac:dyDescent="0.25">
      <c r="L54" s="109" t="s">
        <v>313</v>
      </c>
      <c r="M54" s="109"/>
      <c r="N54" s="109"/>
      <c r="O54" s="109"/>
      <c r="P54" s="109"/>
      <c r="Q54" s="109"/>
      <c r="R54" s="109"/>
      <c r="S54" s="109"/>
      <c r="T54" s="109"/>
      <c r="U54" s="109"/>
    </row>
    <row r="55" spans="2:21" x14ac:dyDescent="0.25">
      <c r="L55" s="109"/>
      <c r="M55" s="109"/>
      <c r="N55" s="109"/>
      <c r="O55" s="109"/>
      <c r="P55" s="109"/>
      <c r="Q55" s="109"/>
      <c r="R55" s="109"/>
      <c r="S55" s="109"/>
      <c r="T55" s="109"/>
      <c r="U55" s="109"/>
    </row>
    <row r="56" spans="2:21" x14ac:dyDescent="0.25">
      <c r="L56" s="12" t="s">
        <v>314</v>
      </c>
      <c r="M56" s="12"/>
      <c r="N56" s="12"/>
      <c r="O56" s="12"/>
      <c r="P56" s="12"/>
      <c r="Q56" s="12"/>
      <c r="R56" s="12"/>
      <c r="S56" s="12"/>
      <c r="T56" s="12"/>
      <c r="U56" s="12"/>
    </row>
    <row r="57" spans="2:21" x14ac:dyDescent="0.25">
      <c r="L57" s="12" t="s">
        <v>315</v>
      </c>
      <c r="M57" s="12"/>
      <c r="N57" s="12"/>
      <c r="O57" s="12"/>
      <c r="P57" s="12"/>
      <c r="Q57" s="12"/>
      <c r="R57" s="12"/>
      <c r="S57" s="12"/>
      <c r="T57" s="12"/>
      <c r="U57" s="12"/>
    </row>
    <row r="58" spans="2:21" x14ac:dyDescent="0.25">
      <c r="L58" s="109" t="s">
        <v>316</v>
      </c>
      <c r="M58" s="109"/>
      <c r="N58" s="109"/>
      <c r="O58" s="109"/>
      <c r="P58" s="109"/>
      <c r="Q58" s="109"/>
      <c r="R58" s="109"/>
      <c r="S58" s="109"/>
      <c r="T58" s="109"/>
      <c r="U58" s="109"/>
    </row>
    <row r="59" spans="2:21" x14ac:dyDescent="0.25">
      <c r="L59" s="109"/>
      <c r="M59" s="109"/>
      <c r="N59" s="109"/>
      <c r="O59" s="109"/>
      <c r="P59" s="109"/>
      <c r="Q59" s="109"/>
      <c r="R59" s="109"/>
      <c r="S59" s="109"/>
      <c r="T59" s="109"/>
      <c r="U59" s="109"/>
    </row>
    <row r="60" spans="2:21" x14ac:dyDescent="0.25">
      <c r="L60" s="12" t="s">
        <v>317</v>
      </c>
    </row>
    <row r="61" spans="2:21" x14ac:dyDescent="0.25">
      <c r="L61" s="12" t="s">
        <v>318</v>
      </c>
      <c r="M61" s="12"/>
      <c r="N61" s="12"/>
      <c r="O61" s="12"/>
      <c r="P61" s="12"/>
      <c r="Q61" s="12"/>
      <c r="R61" s="12"/>
      <c r="S61" s="12"/>
      <c r="T61" s="12"/>
      <c r="U61" s="12"/>
    </row>
    <row r="62" spans="2:21" x14ac:dyDescent="0.25">
      <c r="L62" s="12" t="s">
        <v>319</v>
      </c>
      <c r="M62" s="12"/>
      <c r="N62" s="12"/>
      <c r="O62" s="12"/>
      <c r="P62" s="12"/>
      <c r="Q62" s="12"/>
      <c r="R62" s="12"/>
      <c r="S62" s="12"/>
      <c r="T62" s="12"/>
      <c r="U62" s="12"/>
    </row>
    <row r="63" spans="2:21" x14ac:dyDescent="0.25">
      <c r="L63" s="109" t="s">
        <v>320</v>
      </c>
      <c r="M63" s="109"/>
      <c r="N63" s="109"/>
      <c r="O63" s="109"/>
      <c r="P63" s="109"/>
      <c r="Q63" s="109"/>
      <c r="R63" s="109"/>
      <c r="S63" s="109"/>
      <c r="T63" s="109"/>
      <c r="U63" s="109"/>
    </row>
    <row r="64" spans="2:21" x14ac:dyDescent="0.25">
      <c r="L64" s="109"/>
      <c r="M64" s="109"/>
      <c r="N64" s="109"/>
      <c r="O64" s="109"/>
      <c r="P64" s="109"/>
      <c r="Q64" s="109"/>
      <c r="R64" s="109"/>
      <c r="S64" s="109"/>
      <c r="T64" s="109"/>
      <c r="U64" s="109"/>
    </row>
    <row r="66" spans="12:21" x14ac:dyDescent="0.25">
      <c r="L66" s="15"/>
      <c r="M66" s="15"/>
      <c r="N66" s="15"/>
      <c r="O66" s="15"/>
      <c r="P66" s="15"/>
      <c r="Q66" s="15"/>
      <c r="R66" s="15"/>
      <c r="S66" s="15"/>
      <c r="T66" s="15"/>
      <c r="U66" s="15"/>
    </row>
  </sheetData>
  <mergeCells count="9">
    <mergeCell ref="L54:U55"/>
    <mergeCell ref="L58:U59"/>
    <mergeCell ref="L63:U64"/>
    <mergeCell ref="L6:U31"/>
    <mergeCell ref="L34:U35"/>
    <mergeCell ref="L36:U37"/>
    <mergeCell ref="L39:U40"/>
    <mergeCell ref="L42:U43"/>
    <mergeCell ref="L47:U4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9979C-17EC-473E-B993-2BB4ED969270}">
  <dimension ref="B1:U68"/>
  <sheetViews>
    <sheetView topLeftCell="A23" workbookViewId="0">
      <selection activeCell="D25" sqref="D25:I25"/>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x14ac:dyDescent="0.25">
      <c r="L6" s="108" t="s">
        <v>103</v>
      </c>
      <c r="M6" s="108"/>
      <c r="N6" s="108"/>
      <c r="O6" s="108"/>
      <c r="P6" s="108"/>
      <c r="Q6" s="108"/>
      <c r="R6" s="108"/>
      <c r="S6" s="108"/>
      <c r="T6" s="108"/>
      <c r="U6" s="108"/>
    </row>
    <row r="7" spans="12:21" x14ac:dyDescent="0.25">
      <c r="L7" s="108"/>
      <c r="M7" s="108"/>
      <c r="N7" s="108"/>
      <c r="O7" s="108"/>
      <c r="P7" s="108"/>
      <c r="Q7" s="108"/>
      <c r="R7" s="108"/>
      <c r="S7" s="108"/>
      <c r="T7" s="108"/>
      <c r="U7" s="108"/>
    </row>
    <row r="8" spans="12:21" x14ac:dyDescent="0.25">
      <c r="L8" s="108"/>
      <c r="M8" s="108"/>
      <c r="N8" s="108"/>
      <c r="O8" s="108"/>
      <c r="P8" s="108"/>
      <c r="Q8" s="108"/>
      <c r="R8" s="108"/>
      <c r="S8" s="108"/>
      <c r="T8" s="108"/>
      <c r="U8" s="108"/>
    </row>
    <row r="9" spans="12:21" x14ac:dyDescent="0.25">
      <c r="L9" s="108"/>
      <c r="M9" s="108"/>
      <c r="N9" s="108"/>
      <c r="O9" s="108"/>
      <c r="P9" s="108"/>
      <c r="Q9" s="108"/>
      <c r="R9" s="108"/>
      <c r="S9" s="108"/>
      <c r="T9" s="108"/>
      <c r="U9" s="108"/>
    </row>
    <row r="10" spans="12:21" x14ac:dyDescent="0.25">
      <c r="L10" s="108"/>
      <c r="M10" s="108"/>
      <c r="N10" s="108"/>
      <c r="O10" s="108"/>
      <c r="P10" s="108"/>
      <c r="Q10" s="108"/>
      <c r="R10" s="108"/>
      <c r="S10" s="108"/>
      <c r="T10" s="108"/>
      <c r="U10" s="108"/>
    </row>
    <row r="11" spans="12:21" x14ac:dyDescent="0.25">
      <c r="L11" s="108"/>
      <c r="M11" s="108"/>
      <c r="N11" s="108"/>
      <c r="O11" s="108"/>
      <c r="P11" s="108"/>
      <c r="Q11" s="108"/>
      <c r="R11" s="108"/>
      <c r="S11" s="108"/>
      <c r="T11" s="108"/>
      <c r="U11" s="108"/>
    </row>
    <row r="12" spans="12:21" x14ac:dyDescent="0.25">
      <c r="L12" s="108"/>
      <c r="M12" s="108"/>
      <c r="N12" s="108"/>
      <c r="O12" s="108"/>
      <c r="P12" s="108"/>
      <c r="Q12" s="108"/>
      <c r="R12" s="108"/>
      <c r="S12" s="108"/>
      <c r="T12" s="108"/>
      <c r="U12" s="108"/>
    </row>
    <row r="13" spans="12:21" x14ac:dyDescent="0.25">
      <c r="L13" s="108"/>
      <c r="M13" s="108"/>
      <c r="N13" s="108"/>
      <c r="O13" s="108"/>
      <c r="P13" s="108"/>
      <c r="Q13" s="108"/>
      <c r="R13" s="108"/>
      <c r="S13" s="108"/>
      <c r="T13" s="108"/>
      <c r="U13" s="108"/>
    </row>
    <row r="14" spans="12:21" x14ac:dyDescent="0.25">
      <c r="L14" s="108"/>
      <c r="M14" s="108"/>
      <c r="N14" s="108"/>
      <c r="O14" s="108"/>
      <c r="P14" s="108"/>
      <c r="Q14" s="108"/>
      <c r="R14" s="108"/>
      <c r="S14" s="108"/>
      <c r="T14" s="108"/>
      <c r="U14" s="108"/>
    </row>
    <row r="15" spans="12:21" x14ac:dyDescent="0.25">
      <c r="L15" s="108"/>
      <c r="M15" s="108"/>
      <c r="N15" s="108"/>
      <c r="O15" s="108"/>
      <c r="P15" s="108"/>
      <c r="Q15" s="108"/>
      <c r="R15" s="108"/>
      <c r="S15" s="108"/>
      <c r="T15" s="108"/>
      <c r="U15" s="108"/>
    </row>
    <row r="16" spans="12:21" x14ac:dyDescent="0.25">
      <c r="L16" s="108"/>
      <c r="M16" s="108"/>
      <c r="N16" s="108"/>
      <c r="O16" s="108"/>
      <c r="P16" s="108"/>
      <c r="Q16" s="108"/>
      <c r="R16" s="108"/>
      <c r="S16" s="108"/>
      <c r="T16" s="108"/>
      <c r="U16" s="108"/>
    </row>
    <row r="17" spans="2:21" x14ac:dyDescent="0.25">
      <c r="L17" s="108"/>
      <c r="M17" s="108"/>
      <c r="N17" s="108"/>
      <c r="O17" s="108"/>
      <c r="P17" s="108"/>
      <c r="Q17" s="108"/>
      <c r="R17" s="108"/>
      <c r="S17" s="108"/>
      <c r="T17" s="108"/>
      <c r="U17" s="108"/>
    </row>
    <row r="18" spans="2:21" x14ac:dyDescent="0.25">
      <c r="L18" s="108"/>
      <c r="M18" s="108"/>
      <c r="N18" s="108"/>
      <c r="O18" s="108"/>
      <c r="P18" s="108"/>
      <c r="Q18" s="108"/>
      <c r="R18" s="108"/>
      <c r="S18" s="108"/>
      <c r="T18" s="108"/>
      <c r="U18" s="108"/>
    </row>
    <row r="19" spans="2:21" x14ac:dyDescent="0.25">
      <c r="L19" s="108"/>
      <c r="M19" s="108"/>
      <c r="N19" s="108"/>
      <c r="O19" s="108"/>
      <c r="P19" s="108"/>
      <c r="Q19" s="108"/>
      <c r="R19" s="108"/>
      <c r="S19" s="108"/>
      <c r="T19" s="108"/>
      <c r="U19" s="108"/>
    </row>
    <row r="20" spans="2:21" x14ac:dyDescent="0.25">
      <c r="L20" s="108"/>
      <c r="M20" s="108"/>
      <c r="N20" s="108"/>
      <c r="O20" s="108"/>
      <c r="P20" s="108"/>
      <c r="Q20" s="108"/>
      <c r="R20" s="108"/>
      <c r="S20" s="108"/>
      <c r="T20" s="108"/>
      <c r="U20" s="108"/>
    </row>
    <row r="21" spans="2:21" x14ac:dyDescent="0.25">
      <c r="L21" s="108"/>
      <c r="M21" s="108"/>
      <c r="N21" s="108"/>
      <c r="O21" s="108"/>
      <c r="P21" s="108"/>
      <c r="Q21" s="108"/>
      <c r="R21" s="108"/>
      <c r="S21" s="108"/>
      <c r="T21" s="108"/>
      <c r="U21" s="108"/>
    </row>
    <row r="22" spans="2:21" x14ac:dyDescent="0.25">
      <c r="L22" s="108"/>
      <c r="M22" s="108"/>
      <c r="N22" s="108"/>
      <c r="O22" s="108"/>
      <c r="P22" s="108"/>
      <c r="Q22" s="108"/>
      <c r="R22" s="108"/>
      <c r="S22" s="108"/>
      <c r="T22" s="108"/>
      <c r="U22" s="108"/>
    </row>
    <row r="23" spans="2:21" x14ac:dyDescent="0.25">
      <c r="B23" t="s">
        <v>4</v>
      </c>
      <c r="D23" t="s">
        <v>5</v>
      </c>
      <c r="E23" t="s">
        <v>6</v>
      </c>
      <c r="F23" t="s">
        <v>7</v>
      </c>
      <c r="G23" t="s">
        <v>8</v>
      </c>
      <c r="H23" t="s">
        <v>502</v>
      </c>
      <c r="I23" t="s">
        <v>503</v>
      </c>
      <c r="L23" s="108"/>
      <c r="M23" s="108"/>
      <c r="N23" s="108"/>
      <c r="O23" s="108"/>
      <c r="P23" s="108"/>
      <c r="Q23" s="108"/>
      <c r="R23" s="108"/>
      <c r="S23" s="108"/>
      <c r="T23" s="108"/>
      <c r="U23" s="108"/>
    </row>
    <row r="24" spans="2:21" x14ac:dyDescent="0.25">
      <c r="D24" t="s">
        <v>9</v>
      </c>
      <c r="H24" t="s">
        <v>10</v>
      </c>
      <c r="L24" s="108"/>
      <c r="M24" s="108"/>
      <c r="N24" s="108"/>
      <c r="O24" s="108"/>
      <c r="P24" s="108"/>
      <c r="Q24" s="108"/>
      <c r="R24" s="108"/>
      <c r="S24" s="108"/>
      <c r="T24" s="108"/>
      <c r="U24" s="108"/>
    </row>
    <row r="25" spans="2:21" x14ac:dyDescent="0.25">
      <c r="D25" s="24">
        <v>44926</v>
      </c>
      <c r="E25" s="24">
        <v>45291</v>
      </c>
      <c r="F25" s="24">
        <v>45657</v>
      </c>
      <c r="G25" s="25">
        <v>46022</v>
      </c>
      <c r="H25" s="26">
        <v>45838</v>
      </c>
      <c r="I25" s="25">
        <v>46203</v>
      </c>
      <c r="J25" t="s">
        <v>11</v>
      </c>
      <c r="L25" s="108"/>
      <c r="M25" s="108"/>
      <c r="N25" s="108"/>
      <c r="O25" s="108"/>
      <c r="P25" s="108"/>
      <c r="Q25" s="108"/>
      <c r="R25" s="108"/>
      <c r="S25" s="108"/>
      <c r="T25" s="108"/>
      <c r="U25" s="108"/>
    </row>
    <row r="26" spans="2:21" x14ac:dyDescent="0.25">
      <c r="B26" t="s">
        <v>12</v>
      </c>
      <c r="D26">
        <v>3413.4126099999999</v>
      </c>
      <c r="E26">
        <v>4450.5006100000001</v>
      </c>
      <c r="F26">
        <v>4625.8863600000004</v>
      </c>
      <c r="G26">
        <v>5194.2366599999996</v>
      </c>
      <c r="H26">
        <v>4917.8007200000002</v>
      </c>
      <c r="I26">
        <v>5301.8946900000001</v>
      </c>
      <c r="J26">
        <v>7.8102792664603848E-2</v>
      </c>
      <c r="L26" s="108"/>
      <c r="M26" s="108"/>
      <c r="N26" s="108"/>
      <c r="O26" s="108"/>
      <c r="P26" s="108"/>
      <c r="Q26" s="108"/>
      <c r="R26" s="108"/>
      <c r="S26" s="108"/>
      <c r="T26" s="108"/>
      <c r="U26" s="108"/>
    </row>
    <row r="27" spans="2:21" x14ac:dyDescent="0.25">
      <c r="B27" t="s">
        <v>13</v>
      </c>
      <c r="D27">
        <v>728.99109999999996</v>
      </c>
      <c r="E27">
        <v>1199.75764</v>
      </c>
      <c r="F27">
        <v>1131.3060800000001</v>
      </c>
      <c r="G27">
        <v>1121.58314</v>
      </c>
      <c r="H27">
        <v>1122.2218800000001</v>
      </c>
      <c r="I27">
        <v>1058.7677200000001</v>
      </c>
      <c r="J27">
        <v>-5.6543328134004978E-2</v>
      </c>
      <c r="L27" s="108"/>
      <c r="M27" s="108"/>
      <c r="N27" s="108"/>
      <c r="O27" s="108"/>
      <c r="P27" s="108"/>
      <c r="Q27" s="108"/>
      <c r="R27" s="108"/>
      <c r="S27" s="108"/>
      <c r="T27" s="108"/>
      <c r="U27" s="108"/>
    </row>
    <row r="28" spans="2:21" x14ac:dyDescent="0.25">
      <c r="B28" t="s">
        <v>14</v>
      </c>
      <c r="D28">
        <v>2684.4215100000001</v>
      </c>
      <c r="E28">
        <v>3250.7429699999998</v>
      </c>
      <c r="F28">
        <v>3494.5802800000001</v>
      </c>
      <c r="G28">
        <v>4072.65353</v>
      </c>
      <c r="H28">
        <v>3795.5788400000001</v>
      </c>
      <c r="I28">
        <v>4243.12698</v>
      </c>
      <c r="J28">
        <v>0.11791301376313923</v>
      </c>
      <c r="L28" s="108"/>
      <c r="M28" s="108"/>
      <c r="N28" s="108"/>
      <c r="O28" s="108"/>
      <c r="P28" s="108"/>
      <c r="Q28" s="108"/>
      <c r="R28" s="108"/>
      <c r="S28" s="108"/>
      <c r="T28" s="108"/>
      <c r="U28" s="108"/>
    </row>
    <row r="29" spans="2:21" x14ac:dyDescent="0.25">
      <c r="B29" t="s">
        <v>15</v>
      </c>
      <c r="D29">
        <v>1106.75855</v>
      </c>
      <c r="E29">
        <v>1152.5116499999999</v>
      </c>
      <c r="F29">
        <v>1268.3603800000001</v>
      </c>
      <c r="G29">
        <v>1512.6758199999999</v>
      </c>
      <c r="H29">
        <v>1438.82988</v>
      </c>
      <c r="I29">
        <v>1618.74107</v>
      </c>
      <c r="J29">
        <v>0.12503993175343298</v>
      </c>
      <c r="L29" s="108"/>
      <c r="M29" s="108"/>
      <c r="N29" s="108"/>
      <c r="O29" s="108"/>
      <c r="P29" s="108"/>
      <c r="Q29" s="108"/>
      <c r="R29" s="108"/>
      <c r="S29" s="108"/>
      <c r="T29" s="108"/>
      <c r="U29" s="108"/>
    </row>
    <row r="30" spans="2:21" x14ac:dyDescent="0.25">
      <c r="B30" t="s">
        <v>16</v>
      </c>
      <c r="D30">
        <v>519.33264999999994</v>
      </c>
      <c r="E30">
        <v>932.13815</v>
      </c>
      <c r="F30">
        <v>914.50603999999998</v>
      </c>
      <c r="G30">
        <v>664.42719999999997</v>
      </c>
      <c r="H30">
        <v>751.70997999999997</v>
      </c>
      <c r="I30">
        <v>621.82294999999999</v>
      </c>
      <c r="J30">
        <v>-0.17278875291771434</v>
      </c>
      <c r="L30" s="108"/>
      <c r="M30" s="108"/>
      <c r="N30" s="108"/>
      <c r="O30" s="108"/>
      <c r="P30" s="108"/>
      <c r="Q30" s="108"/>
      <c r="R30" s="108"/>
      <c r="S30" s="108"/>
      <c r="T30" s="108"/>
      <c r="U30" s="108"/>
    </row>
    <row r="31" spans="2:21" x14ac:dyDescent="0.25">
      <c r="B31" t="s">
        <v>17</v>
      </c>
      <c r="D31">
        <v>690.06668000000002</v>
      </c>
      <c r="E31">
        <v>805.80503999999996</v>
      </c>
      <c r="F31">
        <v>848.84929</v>
      </c>
      <c r="G31">
        <v>923.58925999999997</v>
      </c>
      <c r="H31">
        <v>1007.11198</v>
      </c>
      <c r="I31">
        <v>1037.0062700000001</v>
      </c>
      <c r="J31">
        <v>2.9683183790545353E-2</v>
      </c>
      <c r="L31" s="108"/>
      <c r="M31" s="108"/>
      <c r="N31" s="108"/>
      <c r="O31" s="108"/>
      <c r="P31" s="108"/>
      <c r="Q31" s="108"/>
      <c r="R31" s="108"/>
      <c r="S31" s="108"/>
      <c r="T31" s="108"/>
      <c r="U31" s="108"/>
    </row>
    <row r="32" spans="2:21" x14ac:dyDescent="0.25">
      <c r="B32" t="s">
        <v>18</v>
      </c>
      <c r="D32">
        <v>1620.0855799999999</v>
      </c>
      <c r="E32">
        <v>1667.92002</v>
      </c>
      <c r="F32">
        <v>1866.7199599999999</v>
      </c>
      <c r="G32">
        <v>2621.0439299999998</v>
      </c>
      <c r="H32">
        <v>2286.2946999999999</v>
      </c>
      <c r="I32">
        <v>2811.8156300000001</v>
      </c>
      <c r="J32">
        <v>0.22985703898976806</v>
      </c>
      <c r="L32" s="108"/>
      <c r="M32" s="108"/>
      <c r="N32" s="108"/>
      <c r="O32" s="108"/>
      <c r="P32" s="108"/>
      <c r="Q32" s="108"/>
      <c r="R32" s="108"/>
      <c r="S32" s="108"/>
      <c r="T32" s="108"/>
      <c r="U32" s="108"/>
    </row>
    <row r="33" spans="2:21" x14ac:dyDescent="0.25">
      <c r="B33" t="s">
        <v>19</v>
      </c>
      <c r="D33">
        <v>438.12738000000002</v>
      </c>
      <c r="E33">
        <v>411.40460999999999</v>
      </c>
      <c r="F33">
        <v>481.01866999999999</v>
      </c>
      <c r="G33">
        <v>689.21883000000003</v>
      </c>
      <c r="H33">
        <v>599.39544999999998</v>
      </c>
      <c r="I33">
        <v>750.35609999999997</v>
      </c>
      <c r="J33">
        <v>0.25185484808067859</v>
      </c>
      <c r="L33" s="11" t="s">
        <v>1</v>
      </c>
    </row>
    <row r="34" spans="2:21" x14ac:dyDescent="0.25">
      <c r="B34" t="s">
        <v>20</v>
      </c>
      <c r="D34">
        <v>1181.9582</v>
      </c>
      <c r="E34">
        <v>1256.5154199999999</v>
      </c>
      <c r="F34">
        <v>1385.70129</v>
      </c>
      <c r="G34">
        <v>1931.8251</v>
      </c>
      <c r="H34">
        <v>1686.8992599999999</v>
      </c>
      <c r="I34">
        <v>2061.4595300000001</v>
      </c>
      <c r="J34">
        <v>0.22204068665013232</v>
      </c>
      <c r="L34" s="12" t="s">
        <v>104</v>
      </c>
    </row>
    <row r="35" spans="2:21" x14ac:dyDescent="0.25">
      <c r="B35" t="s">
        <v>21</v>
      </c>
      <c r="D35">
        <v>1176.2458300000001</v>
      </c>
      <c r="E35">
        <v>1253.0063299999999</v>
      </c>
      <c r="F35">
        <v>1381.6279500000001</v>
      </c>
      <c r="G35">
        <v>1923.67219</v>
      </c>
      <c r="H35">
        <v>1681.02153</v>
      </c>
      <c r="I35">
        <v>2051.4788600000002</v>
      </c>
      <c r="J35">
        <v>0.22037631487087506</v>
      </c>
      <c r="L35" s="109" t="s">
        <v>105</v>
      </c>
      <c r="M35" s="109"/>
      <c r="N35" s="109"/>
      <c r="O35" s="109"/>
      <c r="P35" s="109"/>
      <c r="Q35" s="109"/>
      <c r="R35" s="109"/>
      <c r="S35" s="109"/>
      <c r="T35" s="109"/>
      <c r="U35" s="109"/>
    </row>
    <row r="36" spans="2:21" x14ac:dyDescent="0.25">
      <c r="B36" t="s">
        <v>22</v>
      </c>
      <c r="D36">
        <v>4.1870000000000004E-2</v>
      </c>
      <c r="E36">
        <v>4.4561000000000003E-2</v>
      </c>
      <c r="F36">
        <v>3.8689000000000001E-2</v>
      </c>
      <c r="G36">
        <v>3.2723000000000002E-2</v>
      </c>
      <c r="H36">
        <v>3.8370000000000001E-2</v>
      </c>
      <c r="I36">
        <v>2.8499E-2</v>
      </c>
      <c r="J36" t="s">
        <v>511</v>
      </c>
      <c r="L36" s="109"/>
      <c r="M36" s="109"/>
      <c r="N36" s="109"/>
      <c r="O36" s="109"/>
      <c r="P36" s="109"/>
      <c r="Q36" s="109"/>
      <c r="R36" s="109"/>
      <c r="S36" s="109"/>
      <c r="T36" s="109"/>
      <c r="U36" s="109"/>
    </row>
    <row r="37" spans="2:21" x14ac:dyDescent="0.25">
      <c r="B37" t="s">
        <v>24</v>
      </c>
      <c r="D37">
        <v>0.91414299999999993</v>
      </c>
      <c r="E37">
        <v>0.92580099999999999</v>
      </c>
      <c r="F37">
        <v>1.0224059999999999</v>
      </c>
      <c r="G37">
        <v>1.0863350000000001</v>
      </c>
      <c r="H37">
        <v>0</v>
      </c>
      <c r="I37">
        <v>0</v>
      </c>
      <c r="J37" t="s">
        <v>26</v>
      </c>
      <c r="L37" s="12" t="s">
        <v>106</v>
      </c>
      <c r="M37" s="15"/>
      <c r="N37" s="15"/>
      <c r="O37" s="15"/>
      <c r="P37" s="15"/>
      <c r="Q37" s="15"/>
      <c r="R37" s="15"/>
      <c r="S37" s="15"/>
      <c r="T37" s="15"/>
      <c r="U37" s="15"/>
    </row>
    <row r="38" spans="2:21" x14ac:dyDescent="0.25">
      <c r="B38" t="s">
        <v>25</v>
      </c>
      <c r="D38">
        <v>0.99090900000000004</v>
      </c>
      <c r="E38">
        <v>1.201856</v>
      </c>
      <c r="F38">
        <v>1.0455920000000001</v>
      </c>
      <c r="G38">
        <v>1.0153220000000001</v>
      </c>
      <c r="H38">
        <v>0</v>
      </c>
      <c r="I38">
        <v>0</v>
      </c>
      <c r="J38" t="s">
        <v>26</v>
      </c>
      <c r="L38" s="12" t="s">
        <v>107</v>
      </c>
      <c r="M38" s="12"/>
      <c r="N38" s="12"/>
      <c r="O38" s="12"/>
      <c r="P38" s="12"/>
      <c r="Q38" s="12"/>
      <c r="R38" s="12"/>
      <c r="S38" s="12"/>
      <c r="T38" s="12"/>
      <c r="U38" s="12"/>
    </row>
    <row r="39" spans="2:21" x14ac:dyDescent="0.25">
      <c r="B39" t="s">
        <v>27</v>
      </c>
      <c r="D39">
        <v>0.109125</v>
      </c>
      <c r="E39">
        <v>0.120424</v>
      </c>
      <c r="F39">
        <v>0.12235</v>
      </c>
      <c r="G39">
        <v>0.122615</v>
      </c>
      <c r="H39">
        <v>0.11468099999999999</v>
      </c>
      <c r="I39">
        <v>0.11330399999999999</v>
      </c>
      <c r="J39" t="s">
        <v>42</v>
      </c>
      <c r="L39" s="12" t="s">
        <v>108</v>
      </c>
      <c r="M39" s="12"/>
      <c r="N39" s="12"/>
      <c r="O39" s="12"/>
      <c r="P39" s="12"/>
      <c r="Q39" s="12"/>
      <c r="R39" s="12"/>
      <c r="S39" s="12"/>
      <c r="T39" s="12"/>
      <c r="U39" s="12"/>
    </row>
    <row r="40" spans="2:21" x14ac:dyDescent="0.25">
      <c r="B40" t="s">
        <v>29</v>
      </c>
      <c r="D40">
        <v>0.109787</v>
      </c>
      <c r="E40">
        <v>0.12118000000000001</v>
      </c>
      <c r="F40">
        <v>0.123058</v>
      </c>
      <c r="G40">
        <v>0.12326599999999999</v>
      </c>
      <c r="H40">
        <v>0.115327</v>
      </c>
      <c r="I40">
        <v>0.11393499999999999</v>
      </c>
      <c r="J40" t="s">
        <v>42</v>
      </c>
      <c r="L40" s="109" t="s">
        <v>109</v>
      </c>
      <c r="M40" s="109"/>
      <c r="N40" s="109"/>
      <c r="O40" s="109"/>
      <c r="P40" s="109"/>
      <c r="Q40" s="109"/>
      <c r="R40" s="109"/>
      <c r="S40" s="109"/>
      <c r="T40" s="109"/>
      <c r="U40" s="109"/>
    </row>
    <row r="41" spans="2:21" x14ac:dyDescent="0.25">
      <c r="B41" t="s">
        <v>30</v>
      </c>
      <c r="D41">
        <v>1.040243</v>
      </c>
      <c r="E41">
        <v>0.98949100000000001</v>
      </c>
      <c r="F41">
        <v>0.88871300000000009</v>
      </c>
      <c r="G41">
        <v>0.87357099999999999</v>
      </c>
      <c r="H41">
        <v>0.85515600000000003</v>
      </c>
      <c r="I41">
        <v>0.86440499999999998</v>
      </c>
      <c r="J41" t="s">
        <v>100</v>
      </c>
      <c r="L41" s="109"/>
      <c r="M41" s="109"/>
      <c r="N41" s="109"/>
      <c r="O41" s="109"/>
      <c r="P41" s="109"/>
      <c r="Q41" s="109"/>
      <c r="R41" s="109"/>
      <c r="S41" s="109"/>
      <c r="T41" s="109"/>
      <c r="U41" s="109"/>
    </row>
    <row r="42" spans="2:21" x14ac:dyDescent="0.25">
      <c r="B42" t="s">
        <v>31</v>
      </c>
      <c r="D42">
        <v>0</v>
      </c>
      <c r="E42">
        <v>0</v>
      </c>
      <c r="F42">
        <v>0</v>
      </c>
      <c r="G42">
        <v>0</v>
      </c>
      <c r="H42">
        <v>0</v>
      </c>
      <c r="I42">
        <v>0</v>
      </c>
      <c r="J42" t="s">
        <v>26</v>
      </c>
      <c r="L42" s="12" t="s">
        <v>110</v>
      </c>
      <c r="M42" s="14"/>
      <c r="N42" s="14"/>
      <c r="O42" s="14"/>
      <c r="P42" s="14"/>
      <c r="Q42" s="14"/>
      <c r="R42" s="14"/>
      <c r="S42" s="14"/>
      <c r="T42" s="14"/>
      <c r="U42" s="14"/>
    </row>
    <row r="43" spans="2:21" x14ac:dyDescent="0.25">
      <c r="B43" t="s">
        <v>32</v>
      </c>
      <c r="D43">
        <v>0</v>
      </c>
      <c r="E43">
        <v>0</v>
      </c>
      <c r="F43">
        <v>0</v>
      </c>
      <c r="G43">
        <v>0</v>
      </c>
      <c r="H43">
        <v>0</v>
      </c>
      <c r="I43">
        <v>0</v>
      </c>
      <c r="J43" t="s">
        <v>26</v>
      </c>
      <c r="L43" s="12" t="s">
        <v>111</v>
      </c>
      <c r="M43" s="14"/>
      <c r="N43" s="14"/>
      <c r="O43" s="14"/>
      <c r="P43" s="14"/>
      <c r="Q43" s="14"/>
      <c r="R43" s="14"/>
      <c r="S43" s="14"/>
      <c r="T43" s="14"/>
      <c r="U43" s="14"/>
    </row>
    <row r="44" spans="2:21" x14ac:dyDescent="0.25">
      <c r="B44" t="s">
        <v>33</v>
      </c>
      <c r="D44">
        <v>0</v>
      </c>
      <c r="E44">
        <v>0</v>
      </c>
      <c r="F44">
        <v>0</v>
      </c>
      <c r="G44">
        <v>0</v>
      </c>
      <c r="H44">
        <v>0</v>
      </c>
      <c r="I44">
        <v>0</v>
      </c>
      <c r="J44" t="s">
        <v>26</v>
      </c>
      <c r="L44" s="109" t="s">
        <v>112</v>
      </c>
      <c r="M44" s="109"/>
      <c r="N44" s="109"/>
      <c r="O44" s="109"/>
      <c r="P44" s="109"/>
      <c r="Q44" s="109"/>
      <c r="R44" s="109"/>
      <c r="S44" s="109"/>
      <c r="T44" s="109"/>
      <c r="U44" s="109"/>
    </row>
    <row r="45" spans="2:21" x14ac:dyDescent="0.25">
      <c r="B45" t="s">
        <v>34</v>
      </c>
      <c r="D45">
        <v>0</v>
      </c>
      <c r="E45">
        <v>0</v>
      </c>
      <c r="F45">
        <v>0</v>
      </c>
      <c r="G45">
        <v>0</v>
      </c>
      <c r="H45">
        <v>0</v>
      </c>
      <c r="I45">
        <v>0</v>
      </c>
      <c r="J45" t="s">
        <v>26</v>
      </c>
      <c r="L45" s="109"/>
      <c r="M45" s="109"/>
      <c r="N45" s="109"/>
      <c r="O45" s="109"/>
      <c r="P45" s="109"/>
      <c r="Q45" s="109"/>
      <c r="R45" s="109"/>
      <c r="S45" s="109"/>
      <c r="T45" s="109"/>
      <c r="U45" s="109"/>
    </row>
    <row r="46" spans="2:21" x14ac:dyDescent="0.25">
      <c r="B46" t="s">
        <v>35</v>
      </c>
      <c r="D46">
        <v>0.211009</v>
      </c>
      <c r="E46">
        <v>0.20122099999999998</v>
      </c>
      <c r="F46">
        <v>0.21192599999999998</v>
      </c>
      <c r="G46">
        <v>0.246889</v>
      </c>
      <c r="H46">
        <v>0.25611800000000001</v>
      </c>
      <c r="I46">
        <v>0.283719</v>
      </c>
      <c r="J46" t="s">
        <v>529</v>
      </c>
      <c r="L46" s="12" t="s">
        <v>113</v>
      </c>
    </row>
    <row r="47" spans="2:21" x14ac:dyDescent="0.25">
      <c r="B47" t="s">
        <v>36</v>
      </c>
      <c r="D47">
        <v>0.21126300000000001</v>
      </c>
      <c r="E47">
        <v>0.20191900000000002</v>
      </c>
      <c r="F47">
        <v>0.21252600000000002</v>
      </c>
      <c r="G47">
        <v>0.24715199999999998</v>
      </c>
      <c r="H47">
        <v>0.25666499999999998</v>
      </c>
      <c r="I47">
        <v>0.28391899999999998</v>
      </c>
      <c r="J47" t="s">
        <v>530</v>
      </c>
      <c r="L47" s="12" t="s">
        <v>114</v>
      </c>
      <c r="M47" s="12"/>
      <c r="N47" s="12"/>
      <c r="O47" s="12"/>
      <c r="P47" s="12"/>
      <c r="Q47" s="12"/>
      <c r="R47" s="12"/>
      <c r="S47" s="12"/>
      <c r="T47" s="12"/>
      <c r="U47" s="12"/>
    </row>
    <row r="48" spans="2:21" x14ac:dyDescent="0.25">
      <c r="B48" t="s">
        <v>38</v>
      </c>
      <c r="D48">
        <v>2.3166000000000003E-2</v>
      </c>
      <c r="E48">
        <v>2.4384000000000003E-2</v>
      </c>
      <c r="F48">
        <v>2.6078999999999998E-2</v>
      </c>
      <c r="G48">
        <v>3.0432999999999998E-2</v>
      </c>
      <c r="H48">
        <v>2.9537000000000001E-2</v>
      </c>
      <c r="I48">
        <v>3.2325E-2</v>
      </c>
      <c r="J48" t="s">
        <v>49</v>
      </c>
      <c r="L48" s="109" t="s">
        <v>115</v>
      </c>
      <c r="M48" s="109"/>
      <c r="N48" s="109"/>
      <c r="O48" s="109"/>
      <c r="P48" s="109"/>
      <c r="Q48" s="109"/>
      <c r="R48" s="109"/>
      <c r="S48" s="109"/>
      <c r="T48" s="109"/>
      <c r="U48" s="109"/>
    </row>
    <row r="49" spans="2:21" x14ac:dyDescent="0.25">
      <c r="B49" t="s">
        <v>39</v>
      </c>
      <c r="D49">
        <v>7.8888100000000003</v>
      </c>
      <c r="E49">
        <v>7.5598400000000003</v>
      </c>
      <c r="F49">
        <v>10.480370000000001</v>
      </c>
      <c r="G49">
        <v>12.079499999999999</v>
      </c>
      <c r="H49">
        <v>10.826359999999999</v>
      </c>
      <c r="I49">
        <v>12.4099</v>
      </c>
      <c r="J49">
        <v>0.14626707406736905</v>
      </c>
      <c r="L49" s="109"/>
      <c r="M49" s="109"/>
      <c r="N49" s="109"/>
      <c r="O49" s="109"/>
      <c r="P49" s="109"/>
      <c r="Q49" s="109"/>
      <c r="R49" s="109"/>
      <c r="S49" s="109"/>
      <c r="T49" s="109"/>
      <c r="U49" s="109"/>
    </row>
    <row r="50" spans="2:21" x14ac:dyDescent="0.25">
      <c r="B50" t="s">
        <v>40</v>
      </c>
      <c r="D50">
        <v>0</v>
      </c>
      <c r="E50">
        <v>0</v>
      </c>
      <c r="F50">
        <v>0</v>
      </c>
      <c r="G50">
        <v>0</v>
      </c>
      <c r="H50">
        <v>0</v>
      </c>
      <c r="I50">
        <v>0</v>
      </c>
      <c r="J50" t="s">
        <v>45</v>
      </c>
      <c r="L50" s="12" t="s">
        <v>116</v>
      </c>
      <c r="M50" s="16"/>
      <c r="N50" s="16"/>
      <c r="O50" s="16"/>
      <c r="P50" s="16"/>
      <c r="Q50" s="16"/>
      <c r="R50" s="16"/>
      <c r="S50" s="16"/>
      <c r="T50" s="16"/>
      <c r="U50" s="16"/>
    </row>
    <row r="51" spans="2:21" x14ac:dyDescent="0.25">
      <c r="B51" t="s">
        <v>41</v>
      </c>
      <c r="D51">
        <v>1.6830799999999999</v>
      </c>
      <c r="E51">
        <v>1.6998800000000001</v>
      </c>
      <c r="F51">
        <v>2.31942</v>
      </c>
      <c r="G51">
        <v>3.12201</v>
      </c>
      <c r="H51">
        <v>3.0177200000000002</v>
      </c>
      <c r="I51">
        <v>4.0345300000000002</v>
      </c>
      <c r="J51">
        <v>0.33694643638243438</v>
      </c>
      <c r="L51" s="12" t="s">
        <v>117</v>
      </c>
    </row>
    <row r="53" spans="2:21" x14ac:dyDescent="0.25">
      <c r="L53" s="17" t="s">
        <v>3</v>
      </c>
      <c r="M53" s="14"/>
      <c r="N53" s="14"/>
      <c r="O53" s="14"/>
      <c r="P53" s="14"/>
      <c r="Q53" s="14"/>
      <c r="R53" s="14"/>
      <c r="S53" s="14"/>
      <c r="T53" s="14"/>
      <c r="U53" s="14"/>
    </row>
    <row r="54" spans="2:21" x14ac:dyDescent="0.25">
      <c r="L54" s="12" t="s">
        <v>118</v>
      </c>
      <c r="M54" s="15"/>
      <c r="N54" s="15"/>
      <c r="O54" s="15"/>
      <c r="P54" s="15"/>
      <c r="Q54" s="15"/>
      <c r="R54" s="15"/>
      <c r="S54" s="15"/>
      <c r="T54" s="15"/>
      <c r="U54" s="15"/>
    </row>
    <row r="55" spans="2:21" x14ac:dyDescent="0.25">
      <c r="L55" s="109" t="s">
        <v>119</v>
      </c>
      <c r="M55" s="109"/>
      <c r="N55" s="109"/>
      <c r="O55" s="109"/>
      <c r="P55" s="109"/>
      <c r="Q55" s="109"/>
      <c r="R55" s="109"/>
      <c r="S55" s="109"/>
      <c r="T55" s="109"/>
      <c r="U55" s="109"/>
    </row>
    <row r="56" spans="2:21" x14ac:dyDescent="0.25">
      <c r="L56" s="109"/>
      <c r="M56" s="109"/>
      <c r="N56" s="109"/>
      <c r="O56" s="109"/>
      <c r="P56" s="109"/>
      <c r="Q56" s="109"/>
      <c r="R56" s="109"/>
      <c r="S56" s="109"/>
      <c r="T56" s="109"/>
      <c r="U56" s="109"/>
    </row>
    <row r="57" spans="2:21" x14ac:dyDescent="0.25">
      <c r="L57" s="109" t="s">
        <v>120</v>
      </c>
      <c r="M57" s="109"/>
      <c r="N57" s="109"/>
      <c r="O57" s="109"/>
      <c r="P57" s="109"/>
      <c r="Q57" s="109"/>
      <c r="R57" s="109"/>
      <c r="S57" s="109"/>
      <c r="T57" s="109"/>
      <c r="U57" s="109"/>
    </row>
    <row r="58" spans="2:21" x14ac:dyDescent="0.25">
      <c r="L58" s="109"/>
      <c r="M58" s="109"/>
      <c r="N58" s="109"/>
      <c r="O58" s="109"/>
      <c r="P58" s="109"/>
      <c r="Q58" s="109"/>
      <c r="R58" s="109"/>
      <c r="S58" s="109"/>
      <c r="T58" s="109"/>
      <c r="U58" s="109"/>
    </row>
    <row r="59" spans="2:21" x14ac:dyDescent="0.25">
      <c r="L59" s="12" t="s">
        <v>121</v>
      </c>
      <c r="M59" s="14"/>
      <c r="N59" s="14"/>
      <c r="O59" s="14"/>
      <c r="P59" s="14"/>
      <c r="Q59" s="14"/>
      <c r="R59" s="14"/>
      <c r="S59" s="14"/>
      <c r="T59" s="14"/>
      <c r="U59" s="14"/>
    </row>
    <row r="60" spans="2:21" x14ac:dyDescent="0.25">
      <c r="L60" s="109" t="s">
        <v>122</v>
      </c>
      <c r="M60" s="109"/>
      <c r="N60" s="109"/>
      <c r="O60" s="109"/>
      <c r="P60" s="109"/>
      <c r="Q60" s="109"/>
      <c r="R60" s="109"/>
      <c r="S60" s="109"/>
      <c r="T60" s="109"/>
      <c r="U60" s="109"/>
    </row>
    <row r="61" spans="2:21" x14ac:dyDescent="0.25">
      <c r="L61" s="109"/>
      <c r="M61" s="109"/>
      <c r="N61" s="109"/>
      <c r="O61" s="109"/>
      <c r="P61" s="109"/>
      <c r="Q61" s="109"/>
      <c r="R61" s="109"/>
      <c r="S61" s="109"/>
      <c r="T61" s="109"/>
      <c r="U61" s="109"/>
    </row>
    <row r="62" spans="2:21" x14ac:dyDescent="0.25">
      <c r="L62" s="12" t="s">
        <v>123</v>
      </c>
    </row>
    <row r="63" spans="2:21" x14ac:dyDescent="0.25">
      <c r="L63" s="12" t="s">
        <v>124</v>
      </c>
    </row>
    <row r="64" spans="2:21" x14ac:dyDescent="0.25">
      <c r="L64" s="13"/>
      <c r="M64" s="13"/>
      <c r="N64" s="13"/>
      <c r="O64" s="13"/>
      <c r="P64" s="13"/>
      <c r="Q64" s="13"/>
      <c r="R64" s="13"/>
      <c r="S64" s="13"/>
      <c r="T64" s="13"/>
      <c r="U64" s="13"/>
    </row>
    <row r="66" spans="12:21" x14ac:dyDescent="0.25">
      <c r="L66" s="15"/>
      <c r="M66" s="15"/>
      <c r="N66" s="15"/>
      <c r="O66" s="15"/>
      <c r="P66" s="15"/>
      <c r="Q66" s="15"/>
      <c r="R66" s="15"/>
      <c r="S66" s="15"/>
      <c r="T66" s="15"/>
      <c r="U66" s="15"/>
    </row>
    <row r="67" spans="12:21" x14ac:dyDescent="0.25">
      <c r="L67" s="15"/>
      <c r="M67" s="15"/>
      <c r="N67" s="15"/>
      <c r="O67" s="15"/>
      <c r="P67" s="15"/>
      <c r="Q67" s="15"/>
      <c r="R67" s="15"/>
      <c r="S67" s="15"/>
      <c r="T67" s="15"/>
      <c r="U67" s="15"/>
    </row>
    <row r="68" spans="12:21" x14ac:dyDescent="0.25">
      <c r="L68" s="15"/>
      <c r="M68" s="15"/>
      <c r="N68" s="15"/>
      <c r="O68" s="15"/>
      <c r="P68" s="15"/>
      <c r="Q68" s="15"/>
      <c r="R68" s="15"/>
      <c r="S68" s="15"/>
      <c r="T68" s="15"/>
      <c r="U68" s="15"/>
    </row>
  </sheetData>
  <mergeCells count="8">
    <mergeCell ref="L57:U58"/>
    <mergeCell ref="L60:U61"/>
    <mergeCell ref="L6:U32"/>
    <mergeCell ref="L35:U36"/>
    <mergeCell ref="L40:U41"/>
    <mergeCell ref="L44:U45"/>
    <mergeCell ref="L48:U49"/>
    <mergeCell ref="L55:U5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BD3BC-753D-4643-B214-D8B35CB254F9}">
  <dimension ref="B1:U68"/>
  <sheetViews>
    <sheetView topLeftCell="A21" workbookViewId="0">
      <selection activeCell="B23" sqref="B23:J51"/>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x14ac:dyDescent="0.25">
      <c r="L6" s="108" t="s">
        <v>321</v>
      </c>
      <c r="M6" s="108"/>
      <c r="N6" s="108"/>
      <c r="O6" s="108"/>
      <c r="P6" s="108"/>
      <c r="Q6" s="108"/>
      <c r="R6" s="108"/>
      <c r="S6" s="108"/>
      <c r="T6" s="108"/>
      <c r="U6" s="108"/>
    </row>
    <row r="7" spans="12:21" x14ac:dyDescent="0.25">
      <c r="L7" s="108"/>
      <c r="M7" s="108"/>
      <c r="N7" s="108"/>
      <c r="O7" s="108"/>
      <c r="P7" s="108"/>
      <c r="Q7" s="108"/>
      <c r="R7" s="108"/>
      <c r="S7" s="108"/>
      <c r="T7" s="108"/>
      <c r="U7" s="108"/>
    </row>
    <row r="8" spans="12:21" x14ac:dyDescent="0.25">
      <c r="L8" s="108"/>
      <c r="M8" s="108"/>
      <c r="N8" s="108"/>
      <c r="O8" s="108"/>
      <c r="P8" s="108"/>
      <c r="Q8" s="108"/>
      <c r="R8" s="108"/>
      <c r="S8" s="108"/>
      <c r="T8" s="108"/>
      <c r="U8" s="108"/>
    </row>
    <row r="9" spans="12:21" x14ac:dyDescent="0.25">
      <c r="L9" s="108"/>
      <c r="M9" s="108"/>
      <c r="N9" s="108"/>
      <c r="O9" s="108"/>
      <c r="P9" s="108"/>
      <c r="Q9" s="108"/>
      <c r="R9" s="108"/>
      <c r="S9" s="108"/>
      <c r="T9" s="108"/>
      <c r="U9" s="108"/>
    </row>
    <row r="10" spans="12:21" x14ac:dyDescent="0.25">
      <c r="L10" s="108"/>
      <c r="M10" s="108"/>
      <c r="N10" s="108"/>
      <c r="O10" s="108"/>
      <c r="P10" s="108"/>
      <c r="Q10" s="108"/>
      <c r="R10" s="108"/>
      <c r="S10" s="108"/>
      <c r="T10" s="108"/>
      <c r="U10" s="108"/>
    </row>
    <row r="11" spans="12:21" x14ac:dyDescent="0.25">
      <c r="L11" s="108"/>
      <c r="M11" s="108"/>
      <c r="N11" s="108"/>
      <c r="O11" s="108"/>
      <c r="P11" s="108"/>
      <c r="Q11" s="108"/>
      <c r="R11" s="108"/>
      <c r="S11" s="108"/>
      <c r="T11" s="108"/>
      <c r="U11" s="108"/>
    </row>
    <row r="12" spans="12:21" x14ac:dyDescent="0.25">
      <c r="L12" s="108"/>
      <c r="M12" s="108"/>
      <c r="N12" s="108"/>
      <c r="O12" s="108"/>
      <c r="P12" s="108"/>
      <c r="Q12" s="108"/>
      <c r="R12" s="108"/>
      <c r="S12" s="108"/>
      <c r="T12" s="108"/>
      <c r="U12" s="108"/>
    </row>
    <row r="13" spans="12:21" x14ac:dyDescent="0.25">
      <c r="L13" s="108"/>
      <c r="M13" s="108"/>
      <c r="N13" s="108"/>
      <c r="O13" s="108"/>
      <c r="P13" s="108"/>
      <c r="Q13" s="108"/>
      <c r="R13" s="108"/>
      <c r="S13" s="108"/>
      <c r="T13" s="108"/>
      <c r="U13" s="108"/>
    </row>
    <row r="14" spans="12:21" x14ac:dyDescent="0.25">
      <c r="L14" s="108"/>
      <c r="M14" s="108"/>
      <c r="N14" s="108"/>
      <c r="O14" s="108"/>
      <c r="P14" s="108"/>
      <c r="Q14" s="108"/>
      <c r="R14" s="108"/>
      <c r="S14" s="108"/>
      <c r="T14" s="108"/>
      <c r="U14" s="108"/>
    </row>
    <row r="15" spans="12:21" x14ac:dyDescent="0.25">
      <c r="L15" s="108"/>
      <c r="M15" s="108"/>
      <c r="N15" s="108"/>
      <c r="O15" s="108"/>
      <c r="P15" s="108"/>
      <c r="Q15" s="108"/>
      <c r="R15" s="108"/>
      <c r="S15" s="108"/>
      <c r="T15" s="108"/>
      <c r="U15" s="108"/>
    </row>
    <row r="16" spans="12:21" x14ac:dyDescent="0.25">
      <c r="L16" s="108"/>
      <c r="M16" s="108"/>
      <c r="N16" s="108"/>
      <c r="O16" s="108"/>
      <c r="P16" s="108"/>
      <c r="Q16" s="108"/>
      <c r="R16" s="108"/>
      <c r="S16" s="108"/>
      <c r="T16" s="108"/>
      <c r="U16" s="108"/>
    </row>
    <row r="17" spans="2:21" x14ac:dyDescent="0.25">
      <c r="L17" s="108"/>
      <c r="M17" s="108"/>
      <c r="N17" s="108"/>
      <c r="O17" s="108"/>
      <c r="P17" s="108"/>
      <c r="Q17" s="108"/>
      <c r="R17" s="108"/>
      <c r="S17" s="108"/>
      <c r="T17" s="108"/>
      <c r="U17" s="108"/>
    </row>
    <row r="18" spans="2:21" x14ac:dyDescent="0.25">
      <c r="L18" s="108"/>
      <c r="M18" s="108"/>
      <c r="N18" s="108"/>
      <c r="O18" s="108"/>
      <c r="P18" s="108"/>
      <c r="Q18" s="108"/>
      <c r="R18" s="108"/>
      <c r="S18" s="108"/>
      <c r="T18" s="108"/>
      <c r="U18" s="108"/>
    </row>
    <row r="19" spans="2:21" x14ac:dyDescent="0.25">
      <c r="L19" s="108"/>
      <c r="M19" s="108"/>
      <c r="N19" s="108"/>
      <c r="O19" s="108"/>
      <c r="P19" s="108"/>
      <c r="Q19" s="108"/>
      <c r="R19" s="108"/>
      <c r="S19" s="108"/>
      <c r="T19" s="108"/>
      <c r="U19" s="108"/>
    </row>
    <row r="20" spans="2:21" x14ac:dyDescent="0.25">
      <c r="L20" s="108"/>
      <c r="M20" s="108"/>
      <c r="N20" s="108"/>
      <c r="O20" s="108"/>
      <c r="P20" s="108"/>
      <c r="Q20" s="108"/>
      <c r="R20" s="108"/>
      <c r="S20" s="108"/>
      <c r="T20" s="108"/>
      <c r="U20" s="108"/>
    </row>
    <row r="21" spans="2:21" x14ac:dyDescent="0.25">
      <c r="L21" s="108"/>
      <c r="M21" s="108"/>
      <c r="N21" s="108"/>
      <c r="O21" s="108"/>
      <c r="P21" s="108"/>
      <c r="Q21" s="108"/>
      <c r="R21" s="108"/>
      <c r="S21" s="108"/>
      <c r="T21" s="108"/>
      <c r="U21" s="108"/>
    </row>
    <row r="22" spans="2:21" x14ac:dyDescent="0.25">
      <c r="L22" s="108"/>
      <c r="M22" s="108"/>
      <c r="N22" s="108"/>
      <c r="O22" s="108"/>
      <c r="P22" s="108"/>
      <c r="Q22" s="108"/>
      <c r="R22" s="108"/>
      <c r="S22" s="108"/>
      <c r="T22" s="108"/>
      <c r="U22" s="108"/>
    </row>
    <row r="23" spans="2:21" x14ac:dyDescent="0.25">
      <c r="B23" t="s">
        <v>4</v>
      </c>
      <c r="D23" t="s">
        <v>5</v>
      </c>
      <c r="E23" t="s">
        <v>6</v>
      </c>
      <c r="F23" t="s">
        <v>7</v>
      </c>
      <c r="G23" t="s">
        <v>8</v>
      </c>
      <c r="H23" t="s">
        <v>502</v>
      </c>
      <c r="I23" t="s">
        <v>503</v>
      </c>
      <c r="L23" s="108"/>
      <c r="M23" s="108"/>
      <c r="N23" s="108"/>
      <c r="O23" s="108"/>
      <c r="P23" s="108"/>
      <c r="Q23" s="108"/>
      <c r="R23" s="108"/>
      <c r="S23" s="108"/>
      <c r="T23" s="108"/>
      <c r="U23" s="108"/>
    </row>
    <row r="24" spans="2:21" x14ac:dyDescent="0.25">
      <c r="D24" t="s">
        <v>9</v>
      </c>
      <c r="H24" t="s">
        <v>10</v>
      </c>
      <c r="L24" s="108"/>
      <c r="M24" s="108"/>
      <c r="N24" s="108"/>
      <c r="O24" s="108"/>
      <c r="P24" s="108"/>
      <c r="Q24" s="108"/>
      <c r="R24" s="108"/>
      <c r="S24" s="108"/>
      <c r="T24" s="108"/>
      <c r="U24" s="108"/>
    </row>
    <row r="25" spans="2:21" x14ac:dyDescent="0.25">
      <c r="D25" s="24">
        <v>44926</v>
      </c>
      <c r="E25" s="24">
        <v>45291</v>
      </c>
      <c r="F25" s="24">
        <v>45657</v>
      </c>
      <c r="G25" s="25">
        <v>46022</v>
      </c>
      <c r="H25" s="26">
        <v>45838</v>
      </c>
      <c r="I25" s="25">
        <v>46203</v>
      </c>
      <c r="J25" t="s">
        <v>11</v>
      </c>
      <c r="L25" s="108"/>
      <c r="M25" s="108"/>
      <c r="N25" s="108"/>
      <c r="O25" s="108"/>
      <c r="P25" s="108"/>
      <c r="Q25" s="108"/>
      <c r="R25" s="108"/>
      <c r="S25" s="108"/>
      <c r="T25" s="108"/>
      <c r="U25" s="108"/>
    </row>
    <row r="26" spans="2:21" x14ac:dyDescent="0.25">
      <c r="B26" t="s">
        <v>12</v>
      </c>
      <c r="D26">
        <v>11619.031950000001</v>
      </c>
      <c r="E26">
        <v>19380.097969999999</v>
      </c>
      <c r="F26">
        <v>16814.141800000001</v>
      </c>
      <c r="G26">
        <v>19835.584869999999</v>
      </c>
      <c r="H26">
        <v>19956.64071</v>
      </c>
      <c r="I26">
        <v>18610.510610000001</v>
      </c>
      <c r="J26">
        <v>-6.7452740146064283E-2</v>
      </c>
      <c r="L26" s="108"/>
      <c r="M26" s="108"/>
      <c r="N26" s="108"/>
      <c r="O26" s="108"/>
      <c r="P26" s="108"/>
      <c r="Q26" s="108"/>
      <c r="R26" s="108"/>
      <c r="S26" s="108"/>
      <c r="T26" s="108"/>
      <c r="U26" s="108"/>
    </row>
    <row r="27" spans="2:21" x14ac:dyDescent="0.25">
      <c r="B27" t="s">
        <v>13</v>
      </c>
      <c r="D27">
        <v>7248.9631099999997</v>
      </c>
      <c r="E27">
        <v>13413.2462</v>
      </c>
      <c r="F27">
        <v>11601.015429999999</v>
      </c>
      <c r="G27">
        <v>13335.129370000001</v>
      </c>
      <c r="H27">
        <v>13931.84743</v>
      </c>
      <c r="I27">
        <v>11568.14026</v>
      </c>
      <c r="J27">
        <v>-0.16966214867599938</v>
      </c>
      <c r="L27" s="108"/>
      <c r="M27" s="108"/>
      <c r="N27" s="108"/>
      <c r="O27" s="108"/>
      <c r="P27" s="108"/>
      <c r="Q27" s="108"/>
      <c r="R27" s="108"/>
      <c r="S27" s="108"/>
      <c r="T27" s="108"/>
      <c r="U27" s="108"/>
    </row>
    <row r="28" spans="2:21" x14ac:dyDescent="0.25">
      <c r="B28" t="s">
        <v>14</v>
      </c>
      <c r="D28">
        <v>4370.0688300000002</v>
      </c>
      <c r="E28">
        <v>5966.85178</v>
      </c>
      <c r="F28">
        <v>5213.12637</v>
      </c>
      <c r="G28">
        <v>6500.4555</v>
      </c>
      <c r="H28">
        <v>6024.7932700000001</v>
      </c>
      <c r="I28">
        <v>7042.3703500000001</v>
      </c>
      <c r="J28">
        <v>0.16889825665337721</v>
      </c>
      <c r="L28" s="108"/>
      <c r="M28" s="108"/>
      <c r="N28" s="108"/>
      <c r="O28" s="108"/>
      <c r="P28" s="108"/>
      <c r="Q28" s="108"/>
      <c r="R28" s="108"/>
      <c r="S28" s="108"/>
      <c r="T28" s="108"/>
      <c r="U28" s="108"/>
    </row>
    <row r="29" spans="2:21" x14ac:dyDescent="0.25">
      <c r="B29" t="s">
        <v>15</v>
      </c>
      <c r="D29">
        <v>732.48880999999994</v>
      </c>
      <c r="E29">
        <v>915.59751000000006</v>
      </c>
      <c r="F29">
        <v>840.84385999999995</v>
      </c>
      <c r="G29">
        <v>1250.7221</v>
      </c>
      <c r="H29">
        <v>1066.6365000000001</v>
      </c>
      <c r="I29">
        <v>1379.5236399999999</v>
      </c>
      <c r="J29">
        <v>0.2933399897715856</v>
      </c>
      <c r="L29" s="108"/>
      <c r="M29" s="108"/>
      <c r="N29" s="108"/>
      <c r="O29" s="108"/>
      <c r="P29" s="108"/>
      <c r="Q29" s="108"/>
      <c r="R29" s="108"/>
      <c r="S29" s="108"/>
      <c r="T29" s="108"/>
      <c r="U29" s="108"/>
    </row>
    <row r="30" spans="2:21" x14ac:dyDescent="0.25">
      <c r="B30" t="s">
        <v>16</v>
      </c>
      <c r="D30">
        <v>600.94021999999995</v>
      </c>
      <c r="E30">
        <v>933.52025000000003</v>
      </c>
      <c r="F30">
        <v>862.19970000000001</v>
      </c>
      <c r="G30">
        <v>1183.6784600000001</v>
      </c>
      <c r="H30">
        <v>1070.7387900000001</v>
      </c>
      <c r="I30">
        <v>1357.60267</v>
      </c>
      <c r="J30">
        <v>0.26791210207299931</v>
      </c>
      <c r="L30" s="108"/>
      <c r="M30" s="108"/>
      <c r="N30" s="108"/>
      <c r="O30" s="108"/>
      <c r="P30" s="108"/>
      <c r="Q30" s="108"/>
      <c r="R30" s="108"/>
      <c r="S30" s="108"/>
      <c r="T30" s="108"/>
      <c r="U30" s="108"/>
    </row>
    <row r="31" spans="2:21" x14ac:dyDescent="0.25">
      <c r="B31" t="s">
        <v>17</v>
      </c>
      <c r="D31">
        <v>2098.9331499999998</v>
      </c>
      <c r="E31">
        <v>2626.6569500000001</v>
      </c>
      <c r="F31">
        <v>2308.3494000000001</v>
      </c>
      <c r="G31">
        <v>2968.1390099999999</v>
      </c>
      <c r="H31">
        <v>2795.82422</v>
      </c>
      <c r="I31">
        <v>3179.0447600000002</v>
      </c>
      <c r="J31">
        <v>0.13706889626988072</v>
      </c>
      <c r="L31" s="108"/>
      <c r="M31" s="108"/>
      <c r="N31" s="108"/>
      <c r="O31" s="108"/>
      <c r="P31" s="108"/>
      <c r="Q31" s="108"/>
      <c r="R31" s="108"/>
      <c r="S31" s="108"/>
      <c r="T31" s="108"/>
      <c r="U31" s="108"/>
    </row>
    <row r="32" spans="2:21" x14ac:dyDescent="0.25">
      <c r="B32" t="s">
        <v>18</v>
      </c>
      <c r="D32">
        <v>2411.2969699999999</v>
      </c>
      <c r="E32">
        <v>3332.6235099999999</v>
      </c>
      <c r="F32">
        <v>2901.3696399999999</v>
      </c>
      <c r="G32">
        <v>3611.1358100000002</v>
      </c>
      <c r="H32">
        <v>3235.8130099999998</v>
      </c>
      <c r="I32">
        <v>3896.7941799999999</v>
      </c>
      <c r="J32">
        <v>0.20427050882028563</v>
      </c>
      <c r="L32" s="108"/>
      <c r="M32" s="108"/>
      <c r="N32" s="108"/>
      <c r="O32" s="108"/>
      <c r="P32" s="108"/>
      <c r="Q32" s="108"/>
      <c r="R32" s="108"/>
      <c r="S32" s="108"/>
      <c r="T32" s="108"/>
      <c r="U32" s="108"/>
    </row>
    <row r="33" spans="2:21" x14ac:dyDescent="0.25">
      <c r="B33" t="s">
        <v>19</v>
      </c>
      <c r="D33">
        <v>640.10744999999997</v>
      </c>
      <c r="E33">
        <v>853.25241000000005</v>
      </c>
      <c r="F33">
        <v>746.49428</v>
      </c>
      <c r="G33">
        <v>981.88099999999997</v>
      </c>
      <c r="H33">
        <v>861.31920000000002</v>
      </c>
      <c r="I33">
        <v>1060.7978800000001</v>
      </c>
      <c r="J33">
        <v>0.23159669493028834</v>
      </c>
      <c r="L33" s="11" t="s">
        <v>1</v>
      </c>
    </row>
    <row r="34" spans="2:21" x14ac:dyDescent="0.25">
      <c r="B34" t="s">
        <v>20</v>
      </c>
      <c r="D34">
        <v>1771.1895199999999</v>
      </c>
      <c r="E34">
        <v>2479.3710900000001</v>
      </c>
      <c r="F34">
        <v>2154.87536</v>
      </c>
      <c r="G34">
        <v>2629.2548099999999</v>
      </c>
      <c r="H34">
        <v>2374.4938099999999</v>
      </c>
      <c r="I34">
        <v>2835.9962999999998</v>
      </c>
      <c r="J34">
        <v>0.19435826198258233</v>
      </c>
      <c r="L34" s="12" t="s">
        <v>322</v>
      </c>
    </row>
    <row r="35" spans="2:21" x14ac:dyDescent="0.25">
      <c r="B35" t="s">
        <v>21</v>
      </c>
      <c r="D35">
        <v>1771.1895199999999</v>
      </c>
      <c r="E35">
        <v>2481.1456199999998</v>
      </c>
      <c r="F35">
        <v>2152.5718099999999</v>
      </c>
      <c r="G35">
        <v>2628.4216299999998</v>
      </c>
      <c r="H35">
        <v>2416.4384300000002</v>
      </c>
      <c r="I35">
        <v>2784.0095200000001</v>
      </c>
      <c r="J35">
        <v>0.15211274801650942</v>
      </c>
      <c r="L35" s="12" t="s">
        <v>323</v>
      </c>
      <c r="M35" s="12"/>
      <c r="N35" s="12"/>
      <c r="O35" s="12"/>
      <c r="P35" s="12"/>
      <c r="Q35" s="12"/>
      <c r="R35" s="12"/>
      <c r="S35" s="12"/>
      <c r="T35" s="12"/>
      <c r="U35" s="12"/>
    </row>
    <row r="36" spans="2:21" x14ac:dyDescent="0.25">
      <c r="B36" t="s">
        <v>22</v>
      </c>
      <c r="D36">
        <v>1.0026999999999999E-2</v>
      </c>
      <c r="E36">
        <v>9.7879999999999998E-3</v>
      </c>
      <c r="F36">
        <v>9.0310000000000008E-3</v>
      </c>
      <c r="G36">
        <v>1.374E-2</v>
      </c>
      <c r="H36">
        <v>1.1004E-2</v>
      </c>
      <c r="I36">
        <v>0</v>
      </c>
      <c r="J36" t="s">
        <v>23</v>
      </c>
      <c r="L36" s="109" t="s">
        <v>324</v>
      </c>
      <c r="M36" s="109"/>
      <c r="N36" s="109"/>
      <c r="O36" s="109"/>
      <c r="P36" s="109"/>
      <c r="Q36" s="109"/>
      <c r="R36" s="109"/>
      <c r="S36" s="109"/>
      <c r="T36" s="109"/>
      <c r="U36" s="109"/>
    </row>
    <row r="37" spans="2:21" x14ac:dyDescent="0.25">
      <c r="B37" t="s">
        <v>24</v>
      </c>
      <c r="D37">
        <v>1.873775</v>
      </c>
      <c r="E37">
        <v>1.873775</v>
      </c>
      <c r="F37">
        <v>1.8606720000000001</v>
      </c>
      <c r="G37">
        <v>1.344954</v>
      </c>
      <c r="H37">
        <v>1.5938720000000002</v>
      </c>
      <c r="I37">
        <v>0</v>
      </c>
      <c r="J37" t="s">
        <v>531</v>
      </c>
      <c r="L37" s="109"/>
      <c r="M37" s="109"/>
      <c r="N37" s="109"/>
      <c r="O37" s="109"/>
      <c r="P37" s="109"/>
      <c r="Q37" s="109"/>
      <c r="R37" s="109"/>
      <c r="S37" s="109"/>
      <c r="T37" s="109"/>
      <c r="U37" s="109"/>
    </row>
    <row r="38" spans="2:21" x14ac:dyDescent="0.25">
      <c r="B38" t="s">
        <v>25</v>
      </c>
      <c r="D38">
        <v>1.0920430000000001</v>
      </c>
      <c r="E38">
        <v>1.1034820000000001</v>
      </c>
      <c r="F38">
        <v>0.96591300000000002</v>
      </c>
      <c r="G38">
        <v>1.0854170000000001</v>
      </c>
      <c r="H38">
        <v>0</v>
      </c>
      <c r="I38">
        <v>0</v>
      </c>
      <c r="J38" t="s">
        <v>26</v>
      </c>
      <c r="L38" s="12" t="s">
        <v>325</v>
      </c>
      <c r="M38" s="12"/>
      <c r="N38" s="12"/>
      <c r="O38" s="12"/>
      <c r="P38" s="12"/>
      <c r="Q38" s="12"/>
      <c r="R38" s="12"/>
      <c r="S38" s="12"/>
      <c r="T38" s="12"/>
      <c r="U38" s="12"/>
    </row>
    <row r="39" spans="2:21" x14ac:dyDescent="0.25">
      <c r="B39" t="s">
        <v>27</v>
      </c>
      <c r="D39">
        <v>0.10373900000000001</v>
      </c>
      <c r="E39">
        <v>9.2420000000000002E-2</v>
      </c>
      <c r="F39">
        <v>8.7035000000000001E-2</v>
      </c>
      <c r="G39">
        <v>7.9863999999999991E-2</v>
      </c>
      <c r="H39">
        <v>8.5688999999999987E-2</v>
      </c>
      <c r="I39">
        <v>8.3405000000000007E-2</v>
      </c>
      <c r="J39" t="s">
        <v>48</v>
      </c>
      <c r="L39" s="12" t="s">
        <v>276</v>
      </c>
      <c r="M39" s="12"/>
      <c r="N39" s="12"/>
      <c r="O39" s="12"/>
      <c r="P39" s="12"/>
      <c r="Q39" s="12"/>
      <c r="R39" s="12"/>
      <c r="S39" s="12"/>
      <c r="T39" s="12"/>
      <c r="U39" s="12"/>
    </row>
    <row r="40" spans="2:21" x14ac:dyDescent="0.25">
      <c r="B40" t="s">
        <v>29</v>
      </c>
      <c r="D40">
        <v>0.103742</v>
      </c>
      <c r="E40">
        <v>9.1395999999999991E-2</v>
      </c>
      <c r="F40">
        <v>8.4976999999999997E-2</v>
      </c>
      <c r="G40">
        <v>7.8882999999999995E-2</v>
      </c>
      <c r="H40">
        <v>8.3444000000000004E-2</v>
      </c>
      <c r="I40">
        <v>8.2266999999999993E-2</v>
      </c>
      <c r="J40" t="s">
        <v>42</v>
      </c>
      <c r="L40" s="12" t="s">
        <v>326</v>
      </c>
      <c r="M40" s="12"/>
      <c r="N40" s="12"/>
      <c r="O40" s="12"/>
      <c r="P40" s="12"/>
      <c r="Q40" s="12"/>
      <c r="R40" s="12"/>
      <c r="S40" s="12"/>
      <c r="T40" s="12"/>
      <c r="U40" s="12"/>
    </row>
    <row r="41" spans="2:21" x14ac:dyDescent="0.25">
      <c r="B41" t="s">
        <v>30</v>
      </c>
      <c r="D41">
        <v>1.021471</v>
      </c>
      <c r="E41">
        <v>1.004475</v>
      </c>
      <c r="F41">
        <v>1.0602880000000001</v>
      </c>
      <c r="G41">
        <v>1.041156</v>
      </c>
      <c r="H41">
        <v>1.015452</v>
      </c>
      <c r="I41">
        <v>1.0420180000000001</v>
      </c>
      <c r="J41" t="s">
        <v>530</v>
      </c>
      <c r="L41" s="12" t="s">
        <v>327</v>
      </c>
      <c r="M41" s="12"/>
      <c r="N41" s="12"/>
      <c r="O41" s="12"/>
      <c r="P41" s="12"/>
      <c r="Q41" s="12"/>
      <c r="R41" s="12"/>
      <c r="S41" s="12"/>
      <c r="T41" s="12"/>
      <c r="U41" s="12"/>
    </row>
    <row r="42" spans="2:21" x14ac:dyDescent="0.25">
      <c r="B42" t="s">
        <v>31</v>
      </c>
      <c r="D42">
        <v>0.22450000000000001</v>
      </c>
      <c r="E42">
        <v>0.20480000000000001</v>
      </c>
      <c r="F42">
        <v>0</v>
      </c>
      <c r="G42">
        <v>0.1966</v>
      </c>
      <c r="H42">
        <v>0.2152</v>
      </c>
      <c r="I42">
        <v>0</v>
      </c>
      <c r="J42" t="s">
        <v>532</v>
      </c>
      <c r="L42" s="12" t="s">
        <v>328</v>
      </c>
      <c r="M42" s="14"/>
      <c r="N42" s="14"/>
      <c r="O42" s="14"/>
      <c r="P42" s="14"/>
      <c r="Q42" s="14"/>
      <c r="R42" s="14"/>
      <c r="S42" s="14"/>
      <c r="T42" s="14"/>
      <c r="U42" s="14"/>
    </row>
    <row r="43" spans="2:21" x14ac:dyDescent="0.25">
      <c r="B43" t="s">
        <v>32</v>
      </c>
      <c r="D43">
        <v>0.15140000000000001</v>
      </c>
      <c r="E43">
        <v>0.14730000000000001</v>
      </c>
      <c r="F43">
        <v>0</v>
      </c>
      <c r="G43">
        <v>0.12609999999999999</v>
      </c>
      <c r="H43">
        <v>0.1396</v>
      </c>
      <c r="I43">
        <v>0</v>
      </c>
      <c r="J43" t="s">
        <v>520</v>
      </c>
      <c r="L43" s="12" t="s">
        <v>329</v>
      </c>
      <c r="M43" s="14"/>
      <c r="N43" s="14"/>
      <c r="O43" s="14"/>
      <c r="P43" s="14"/>
      <c r="Q43" s="14"/>
      <c r="R43" s="14"/>
      <c r="S43" s="14"/>
      <c r="T43" s="14"/>
      <c r="U43" s="14"/>
    </row>
    <row r="44" spans="2:21" x14ac:dyDescent="0.25">
      <c r="B44" t="s">
        <v>33</v>
      </c>
      <c r="D44">
        <v>3.9000000000000003E-3</v>
      </c>
      <c r="E44">
        <v>2.3999999999999998E-3</v>
      </c>
      <c r="F44">
        <v>0</v>
      </c>
      <c r="G44">
        <v>4.0260000000000001E-3</v>
      </c>
      <c r="H44">
        <v>2.0369999999999997E-3</v>
      </c>
      <c r="I44">
        <v>0</v>
      </c>
      <c r="J44" t="s">
        <v>48</v>
      </c>
      <c r="L44" s="12" t="s">
        <v>330</v>
      </c>
    </row>
    <row r="45" spans="2:21" x14ac:dyDescent="0.25">
      <c r="B45" t="s">
        <v>34</v>
      </c>
      <c r="D45">
        <v>0.22850000000000001</v>
      </c>
      <c r="E45">
        <v>0.2072</v>
      </c>
      <c r="F45">
        <v>0</v>
      </c>
      <c r="G45">
        <v>0.2006</v>
      </c>
      <c r="H45">
        <v>0.21719999999999998</v>
      </c>
      <c r="I45">
        <v>0</v>
      </c>
      <c r="J45" t="s">
        <v>521</v>
      </c>
      <c r="L45" s="12" t="s">
        <v>331</v>
      </c>
    </row>
    <row r="46" spans="2:21" x14ac:dyDescent="0.25">
      <c r="B46" t="s">
        <v>35</v>
      </c>
      <c r="D46">
        <v>0.23883500000000002</v>
      </c>
      <c r="E46">
        <v>0.28355799999999998</v>
      </c>
      <c r="F46">
        <v>0.300817</v>
      </c>
      <c r="G46">
        <v>0.31662600000000002</v>
      </c>
      <c r="H46">
        <v>0.29153899999999999</v>
      </c>
      <c r="I46">
        <v>0.31175399999999998</v>
      </c>
      <c r="J46" t="s">
        <v>533</v>
      </c>
      <c r="L46" s="12" t="s">
        <v>332</v>
      </c>
    </row>
    <row r="47" spans="2:21" x14ac:dyDescent="0.25">
      <c r="B47" t="s">
        <v>36</v>
      </c>
      <c r="D47">
        <v>0.238843</v>
      </c>
      <c r="E47">
        <v>0.28061599999999998</v>
      </c>
      <c r="F47">
        <v>0.29366300000000001</v>
      </c>
      <c r="G47">
        <v>0.31260399999999999</v>
      </c>
      <c r="H47">
        <v>0.28891600000000001</v>
      </c>
      <c r="I47">
        <v>0.30332300000000001</v>
      </c>
      <c r="J47" t="s">
        <v>516</v>
      </c>
      <c r="L47" s="12" t="s">
        <v>333</v>
      </c>
      <c r="M47" s="15"/>
      <c r="N47" s="15"/>
      <c r="O47" s="15"/>
      <c r="P47" s="15"/>
      <c r="Q47" s="15"/>
      <c r="R47" s="15"/>
      <c r="S47" s="15"/>
      <c r="T47" s="15"/>
      <c r="U47" s="15"/>
    </row>
    <row r="48" spans="2:21" x14ac:dyDescent="0.25">
      <c r="B48" t="s">
        <v>38</v>
      </c>
      <c r="D48">
        <v>2.4777E-2</v>
      </c>
      <c r="E48">
        <v>2.5916000000000002E-2</v>
      </c>
      <c r="F48">
        <v>2.5562000000000001E-2</v>
      </c>
      <c r="G48">
        <v>2.4975999999999998E-2</v>
      </c>
      <c r="H48">
        <v>2.4327000000000001E-2</v>
      </c>
      <c r="I48">
        <v>2.5647000000000003E-2</v>
      </c>
      <c r="J48" t="s">
        <v>101</v>
      </c>
      <c r="L48" s="12" t="s">
        <v>334</v>
      </c>
      <c r="M48" s="15"/>
      <c r="N48" s="15"/>
      <c r="O48" s="15"/>
      <c r="P48" s="15"/>
      <c r="Q48" s="15"/>
      <c r="R48" s="15"/>
      <c r="S48" s="15"/>
      <c r="T48" s="15"/>
      <c r="U48" s="15"/>
    </row>
    <row r="49" spans="2:21" x14ac:dyDescent="0.25">
      <c r="B49" t="s">
        <v>39</v>
      </c>
      <c r="D49">
        <v>0</v>
      </c>
      <c r="E49">
        <v>0</v>
      </c>
      <c r="F49">
        <v>0</v>
      </c>
      <c r="G49">
        <v>0</v>
      </c>
      <c r="H49">
        <v>0</v>
      </c>
      <c r="I49">
        <v>0</v>
      </c>
      <c r="J49" t="s">
        <v>45</v>
      </c>
      <c r="L49" s="12" t="s">
        <v>286</v>
      </c>
      <c r="M49" s="16"/>
      <c r="N49" s="16"/>
      <c r="O49" s="16"/>
      <c r="P49" s="16"/>
      <c r="Q49" s="16"/>
      <c r="R49" s="16"/>
      <c r="S49" s="16"/>
      <c r="T49" s="16"/>
      <c r="U49" s="16"/>
    </row>
    <row r="50" spans="2:21" x14ac:dyDescent="0.25">
      <c r="B50" t="s">
        <v>40</v>
      </c>
      <c r="D50">
        <v>0</v>
      </c>
      <c r="E50">
        <v>0</v>
      </c>
      <c r="F50">
        <v>0</v>
      </c>
      <c r="G50">
        <v>0</v>
      </c>
      <c r="H50">
        <v>0</v>
      </c>
      <c r="I50">
        <v>0</v>
      </c>
      <c r="J50" t="s">
        <v>45</v>
      </c>
      <c r="L50" s="12" t="s">
        <v>287</v>
      </c>
      <c r="M50" s="16"/>
      <c r="N50" s="16"/>
      <c r="O50" s="16"/>
      <c r="P50" s="16"/>
      <c r="Q50" s="16"/>
      <c r="R50" s="16"/>
      <c r="S50" s="16"/>
      <c r="T50" s="16"/>
      <c r="U50" s="16"/>
    </row>
    <row r="51" spans="2:21" x14ac:dyDescent="0.25">
      <c r="B51" t="s">
        <v>41</v>
      </c>
      <c r="D51">
        <v>0</v>
      </c>
      <c r="E51">
        <v>0</v>
      </c>
      <c r="F51">
        <v>0</v>
      </c>
      <c r="G51">
        <v>0</v>
      </c>
      <c r="H51">
        <v>0</v>
      </c>
      <c r="I51">
        <v>0</v>
      </c>
      <c r="J51" t="s">
        <v>45</v>
      </c>
    </row>
    <row r="52" spans="2:21" x14ac:dyDescent="0.25">
      <c r="L52" s="17" t="s">
        <v>3</v>
      </c>
      <c r="M52" s="14"/>
      <c r="N52" s="14"/>
      <c r="O52" s="14"/>
      <c r="P52" s="14"/>
      <c r="Q52" s="14"/>
      <c r="R52" s="14"/>
      <c r="S52" s="14"/>
      <c r="T52" s="14"/>
      <c r="U52" s="14"/>
    </row>
    <row r="53" spans="2:21" x14ac:dyDescent="0.25">
      <c r="L53" s="12" t="s">
        <v>288</v>
      </c>
      <c r="M53" s="15"/>
      <c r="N53" s="15"/>
      <c r="O53" s="15"/>
      <c r="P53" s="15"/>
      <c r="Q53" s="15"/>
      <c r="R53" s="15"/>
      <c r="S53" s="15"/>
      <c r="T53" s="15"/>
      <c r="U53" s="15"/>
    </row>
    <row r="54" spans="2:21" x14ac:dyDescent="0.25">
      <c r="L54" s="12" t="s">
        <v>335</v>
      </c>
      <c r="M54" s="15"/>
      <c r="N54" s="15"/>
      <c r="O54" s="15"/>
      <c r="P54" s="15"/>
      <c r="Q54" s="15"/>
      <c r="R54" s="15"/>
      <c r="S54" s="15"/>
      <c r="T54" s="15"/>
      <c r="U54" s="15"/>
    </row>
    <row r="55" spans="2:21" x14ac:dyDescent="0.25">
      <c r="L55" s="12" t="s">
        <v>336</v>
      </c>
      <c r="M55" s="15"/>
      <c r="N55" s="15"/>
      <c r="O55" s="15"/>
      <c r="P55" s="15"/>
      <c r="Q55" s="15"/>
      <c r="R55" s="15"/>
      <c r="S55" s="15"/>
      <c r="T55" s="15"/>
      <c r="U55" s="15"/>
    </row>
    <row r="56" spans="2:21" x14ac:dyDescent="0.25">
      <c r="L56" s="12" t="s">
        <v>337</v>
      </c>
      <c r="M56" s="15"/>
      <c r="N56" s="15"/>
      <c r="O56" s="15"/>
      <c r="P56" s="15"/>
      <c r="Q56" s="15"/>
      <c r="R56" s="15"/>
      <c r="S56" s="15"/>
      <c r="T56" s="15"/>
      <c r="U56" s="15"/>
    </row>
    <row r="57" spans="2:21" x14ac:dyDescent="0.25">
      <c r="L57" s="12" t="s">
        <v>338</v>
      </c>
      <c r="M57" s="14"/>
      <c r="N57" s="14"/>
      <c r="O57" s="14"/>
      <c r="P57" s="14"/>
      <c r="Q57" s="14"/>
      <c r="R57" s="14"/>
      <c r="S57" s="14"/>
      <c r="T57" s="14"/>
      <c r="U57" s="14"/>
    </row>
    <row r="58" spans="2:21" x14ac:dyDescent="0.25">
      <c r="L58" s="12" t="s">
        <v>339</v>
      </c>
      <c r="M58" s="14"/>
      <c r="N58" s="14"/>
      <c r="O58" s="14"/>
      <c r="P58" s="14"/>
      <c r="Q58" s="14"/>
      <c r="R58" s="14"/>
      <c r="S58" s="14"/>
      <c r="T58" s="14"/>
      <c r="U58" s="14"/>
    </row>
    <row r="59" spans="2:21" x14ac:dyDescent="0.25">
      <c r="L59" s="12" t="s">
        <v>340</v>
      </c>
      <c r="M59" s="12"/>
      <c r="N59" s="12"/>
      <c r="O59" s="12"/>
      <c r="P59" s="12"/>
      <c r="Q59" s="12"/>
      <c r="R59" s="12"/>
      <c r="S59" s="12"/>
      <c r="T59" s="12"/>
      <c r="U59" s="12"/>
    </row>
    <row r="60" spans="2:21" x14ac:dyDescent="0.25">
      <c r="L60" s="12" t="s">
        <v>341</v>
      </c>
    </row>
    <row r="61" spans="2:21" x14ac:dyDescent="0.25">
      <c r="L61" s="12" t="s">
        <v>342</v>
      </c>
    </row>
    <row r="62" spans="2:21" x14ac:dyDescent="0.25">
      <c r="L62" s="12" t="s">
        <v>343</v>
      </c>
    </row>
    <row r="63" spans="2:21" x14ac:dyDescent="0.25">
      <c r="L63" s="109" t="s">
        <v>344</v>
      </c>
      <c r="M63" s="109"/>
      <c r="N63" s="109"/>
      <c r="O63" s="109"/>
      <c r="P63" s="109"/>
      <c r="Q63" s="109"/>
      <c r="R63" s="109"/>
      <c r="S63" s="109"/>
      <c r="T63" s="109"/>
      <c r="U63" s="109"/>
    </row>
    <row r="64" spans="2:21" x14ac:dyDescent="0.25">
      <c r="L64" s="109"/>
      <c r="M64" s="109"/>
      <c r="N64" s="109"/>
      <c r="O64" s="109"/>
      <c r="P64" s="109"/>
      <c r="Q64" s="109"/>
      <c r="R64" s="109"/>
      <c r="S64" s="109"/>
      <c r="T64" s="109"/>
      <c r="U64" s="109"/>
    </row>
    <row r="66" spans="12:21" x14ac:dyDescent="0.25">
      <c r="L66" s="15"/>
      <c r="M66" s="15"/>
      <c r="N66" s="15"/>
      <c r="O66" s="15"/>
      <c r="P66" s="15"/>
      <c r="Q66" s="15"/>
      <c r="R66" s="15"/>
      <c r="S66" s="15"/>
      <c r="T66" s="15"/>
      <c r="U66" s="15"/>
    </row>
    <row r="67" spans="12:21" x14ac:dyDescent="0.25">
      <c r="L67" s="15"/>
      <c r="M67" s="15"/>
      <c r="N67" s="15"/>
      <c r="O67" s="15"/>
      <c r="P67" s="15"/>
      <c r="Q67" s="15"/>
      <c r="R67" s="15"/>
      <c r="S67" s="15"/>
      <c r="T67" s="15"/>
      <c r="U67" s="15"/>
    </row>
    <row r="68" spans="12:21" x14ac:dyDescent="0.25">
      <c r="L68" s="15"/>
      <c r="M68" s="15"/>
      <c r="N68" s="15"/>
      <c r="O68" s="15"/>
      <c r="P68" s="15"/>
      <c r="Q68" s="15"/>
      <c r="R68" s="15"/>
      <c r="S68" s="15"/>
      <c r="T68" s="15"/>
      <c r="U68" s="15"/>
    </row>
  </sheetData>
  <mergeCells count="3">
    <mergeCell ref="L6:U32"/>
    <mergeCell ref="L36:U37"/>
    <mergeCell ref="L63:U6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A763B-C10B-46F0-B90F-EE0195740C34}">
  <dimension ref="B1:U53"/>
  <sheetViews>
    <sheetView topLeftCell="A18" workbookViewId="0">
      <selection activeCell="B23" sqref="B23:J47"/>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x14ac:dyDescent="0.25">
      <c r="L6" s="108" t="s">
        <v>345</v>
      </c>
      <c r="M6" s="108"/>
      <c r="N6" s="108"/>
      <c r="O6" s="108"/>
      <c r="P6" s="108"/>
      <c r="Q6" s="108"/>
      <c r="R6" s="108"/>
      <c r="S6" s="108"/>
      <c r="T6" s="108"/>
      <c r="U6" s="108"/>
    </row>
    <row r="7" spans="12:21" x14ac:dyDescent="0.25">
      <c r="L7" s="108"/>
      <c r="M7" s="108"/>
      <c r="N7" s="108"/>
      <c r="O7" s="108"/>
      <c r="P7" s="108"/>
      <c r="Q7" s="108"/>
      <c r="R7" s="108"/>
      <c r="S7" s="108"/>
      <c r="T7" s="108"/>
      <c r="U7" s="108"/>
    </row>
    <row r="8" spans="12:21" x14ac:dyDescent="0.25">
      <c r="L8" s="108"/>
      <c r="M8" s="108"/>
      <c r="N8" s="108"/>
      <c r="O8" s="108"/>
      <c r="P8" s="108"/>
      <c r="Q8" s="108"/>
      <c r="R8" s="108"/>
      <c r="S8" s="108"/>
      <c r="T8" s="108"/>
      <c r="U8" s="108"/>
    </row>
    <row r="9" spans="12:21" x14ac:dyDescent="0.25">
      <c r="L9" s="108"/>
      <c r="M9" s="108"/>
      <c r="N9" s="108"/>
      <c r="O9" s="108"/>
      <c r="P9" s="108"/>
      <c r="Q9" s="108"/>
      <c r="R9" s="108"/>
      <c r="S9" s="108"/>
      <c r="T9" s="108"/>
      <c r="U9" s="108"/>
    </row>
    <row r="10" spans="12:21" x14ac:dyDescent="0.25">
      <c r="L10" s="108"/>
      <c r="M10" s="108"/>
      <c r="N10" s="108"/>
      <c r="O10" s="108"/>
      <c r="P10" s="108"/>
      <c r="Q10" s="108"/>
      <c r="R10" s="108"/>
      <c r="S10" s="108"/>
      <c r="T10" s="108"/>
      <c r="U10" s="108"/>
    </row>
    <row r="11" spans="12:21" x14ac:dyDescent="0.25">
      <c r="L11" s="108"/>
      <c r="M11" s="108"/>
      <c r="N11" s="108"/>
      <c r="O11" s="108"/>
      <c r="P11" s="108"/>
      <c r="Q11" s="108"/>
      <c r="R11" s="108"/>
      <c r="S11" s="108"/>
      <c r="T11" s="108"/>
      <c r="U11" s="108"/>
    </row>
    <row r="12" spans="12:21" x14ac:dyDescent="0.25">
      <c r="L12" s="108"/>
      <c r="M12" s="108"/>
      <c r="N12" s="108"/>
      <c r="O12" s="108"/>
      <c r="P12" s="108"/>
      <c r="Q12" s="108"/>
      <c r="R12" s="108"/>
      <c r="S12" s="108"/>
      <c r="T12" s="108"/>
      <c r="U12" s="108"/>
    </row>
    <row r="13" spans="12:21" x14ac:dyDescent="0.25">
      <c r="L13" s="108"/>
      <c r="M13" s="108"/>
      <c r="N13" s="108"/>
      <c r="O13" s="108"/>
      <c r="P13" s="108"/>
      <c r="Q13" s="108"/>
      <c r="R13" s="108"/>
      <c r="S13" s="108"/>
      <c r="T13" s="108"/>
      <c r="U13" s="108"/>
    </row>
    <row r="14" spans="12:21" x14ac:dyDescent="0.25">
      <c r="L14" s="108"/>
      <c r="M14" s="108"/>
      <c r="N14" s="108"/>
      <c r="O14" s="108"/>
      <c r="P14" s="108"/>
      <c r="Q14" s="108"/>
      <c r="R14" s="108"/>
      <c r="S14" s="108"/>
      <c r="T14" s="108"/>
      <c r="U14" s="108"/>
    </row>
    <row r="15" spans="12:21" x14ac:dyDescent="0.25">
      <c r="L15" s="108"/>
      <c r="M15" s="108"/>
      <c r="N15" s="108"/>
      <c r="O15" s="108"/>
      <c r="P15" s="108"/>
      <c r="Q15" s="108"/>
      <c r="R15" s="108"/>
      <c r="S15" s="108"/>
      <c r="T15" s="108"/>
      <c r="U15" s="108"/>
    </row>
    <row r="16" spans="12:21" x14ac:dyDescent="0.25">
      <c r="L16" s="108"/>
      <c r="M16" s="108"/>
      <c r="N16" s="108"/>
      <c r="O16" s="108"/>
      <c r="P16" s="108"/>
      <c r="Q16" s="108"/>
      <c r="R16" s="108"/>
      <c r="S16" s="108"/>
      <c r="T16" s="108"/>
      <c r="U16" s="108"/>
    </row>
    <row r="17" spans="2:21" x14ac:dyDescent="0.25">
      <c r="L17" s="108"/>
      <c r="M17" s="108"/>
      <c r="N17" s="108"/>
      <c r="O17" s="108"/>
      <c r="P17" s="108"/>
      <c r="Q17" s="108"/>
      <c r="R17" s="108"/>
      <c r="S17" s="108"/>
      <c r="T17" s="108"/>
      <c r="U17" s="108"/>
    </row>
    <row r="18" spans="2:21" x14ac:dyDescent="0.25">
      <c r="L18" s="108"/>
      <c r="M18" s="108"/>
      <c r="N18" s="108"/>
      <c r="O18" s="108"/>
      <c r="P18" s="108"/>
      <c r="Q18" s="108"/>
      <c r="R18" s="108"/>
      <c r="S18" s="108"/>
      <c r="T18" s="108"/>
      <c r="U18" s="108"/>
    </row>
    <row r="19" spans="2:21" x14ac:dyDescent="0.25">
      <c r="L19" s="108"/>
      <c r="M19" s="108"/>
      <c r="N19" s="108"/>
      <c r="O19" s="108"/>
      <c r="P19" s="108"/>
      <c r="Q19" s="108"/>
      <c r="R19" s="108"/>
      <c r="S19" s="108"/>
      <c r="T19" s="108"/>
      <c r="U19" s="108"/>
    </row>
    <row r="20" spans="2:21" x14ac:dyDescent="0.25">
      <c r="L20" s="108"/>
      <c r="M20" s="108"/>
      <c r="N20" s="108"/>
      <c r="O20" s="108"/>
      <c r="P20" s="108"/>
      <c r="Q20" s="108"/>
      <c r="R20" s="108"/>
      <c r="S20" s="108"/>
      <c r="T20" s="108"/>
      <c r="U20" s="108"/>
    </row>
    <row r="21" spans="2:21" x14ac:dyDescent="0.25">
      <c r="L21" s="11" t="s">
        <v>1</v>
      </c>
      <c r="M21" s="65"/>
      <c r="N21" s="65"/>
      <c r="O21" s="65"/>
      <c r="P21" s="65"/>
      <c r="Q21" s="65"/>
      <c r="R21" s="65"/>
      <c r="S21" s="65"/>
      <c r="T21" s="65"/>
      <c r="U21" s="65"/>
    </row>
    <row r="22" spans="2:21" x14ac:dyDescent="0.25">
      <c r="L22" s="12" t="s">
        <v>346</v>
      </c>
      <c r="M22" s="65"/>
      <c r="N22" s="65"/>
      <c r="O22" s="65"/>
      <c r="P22" s="65"/>
      <c r="Q22" s="65"/>
      <c r="R22" s="65"/>
      <c r="S22" s="65"/>
      <c r="T22" s="65"/>
      <c r="U22" s="65"/>
    </row>
    <row r="23" spans="2:21" x14ac:dyDescent="0.25">
      <c r="B23" t="s">
        <v>4</v>
      </c>
      <c r="D23" t="s">
        <v>5</v>
      </c>
      <c r="E23" t="s">
        <v>6</v>
      </c>
      <c r="F23" t="s">
        <v>7</v>
      </c>
      <c r="G23" t="s">
        <v>8</v>
      </c>
      <c r="H23" t="s">
        <v>502</v>
      </c>
      <c r="I23" t="s">
        <v>503</v>
      </c>
      <c r="L23" s="109" t="s">
        <v>347</v>
      </c>
      <c r="M23" s="109"/>
      <c r="N23" s="109"/>
      <c r="O23" s="109"/>
      <c r="P23" s="109"/>
      <c r="Q23" s="109"/>
      <c r="R23" s="109"/>
      <c r="S23" s="109"/>
      <c r="T23" s="109"/>
      <c r="U23" s="109"/>
    </row>
    <row r="24" spans="2:21" x14ac:dyDescent="0.25">
      <c r="B24" s="1"/>
      <c r="C24" s="1"/>
      <c r="D24" s="19" t="s">
        <v>9</v>
      </c>
      <c r="E24" s="20"/>
      <c r="F24" s="20"/>
      <c r="G24" s="21"/>
      <c r="H24" s="22" t="s">
        <v>10</v>
      </c>
      <c r="I24" s="20"/>
      <c r="J24" s="20"/>
      <c r="L24" s="12" t="s">
        <v>348</v>
      </c>
      <c r="M24" s="12"/>
      <c r="N24" s="12"/>
      <c r="O24" s="12"/>
      <c r="P24" s="12"/>
      <c r="Q24" s="12"/>
      <c r="R24" s="12"/>
      <c r="S24" s="12"/>
      <c r="T24" s="12"/>
      <c r="U24" s="12"/>
    </row>
    <row r="25" spans="2:21" x14ac:dyDescent="0.25">
      <c r="B25" s="23"/>
      <c r="C25" s="23"/>
      <c r="D25" s="24">
        <v>44926</v>
      </c>
      <c r="E25" s="24">
        <v>45291</v>
      </c>
      <c r="F25" s="24">
        <v>45657</v>
      </c>
      <c r="G25" s="25">
        <v>46022</v>
      </c>
      <c r="H25" s="26">
        <v>45838</v>
      </c>
      <c r="I25" s="25">
        <v>46203</v>
      </c>
      <c r="J25" s="27" t="s">
        <v>11</v>
      </c>
      <c r="L25" s="12" t="s">
        <v>349</v>
      </c>
      <c r="M25" s="65"/>
      <c r="N25" s="65"/>
      <c r="O25" s="65"/>
      <c r="P25" s="65"/>
      <c r="Q25" s="65"/>
      <c r="R25" s="65"/>
      <c r="S25" s="65"/>
      <c r="T25" s="65"/>
      <c r="U25" s="65"/>
    </row>
    <row r="26" spans="2:21" x14ac:dyDescent="0.25">
      <c r="B26" s="8" t="s">
        <v>92</v>
      </c>
      <c r="C26" s="8"/>
      <c r="D26" s="59">
        <v>48.584000000000003</v>
      </c>
      <c r="E26" s="59">
        <v>56.863</v>
      </c>
      <c r="F26" s="59">
        <v>236.16900000000001</v>
      </c>
      <c r="G26" s="60">
        <v>90.263000000000005</v>
      </c>
      <c r="H26" s="61">
        <v>103.43899999999999</v>
      </c>
      <c r="I26" s="60">
        <v>115.179</v>
      </c>
      <c r="J26" s="31">
        <v>0.1134968435503052</v>
      </c>
      <c r="L26" s="12" t="s">
        <v>350</v>
      </c>
      <c r="M26" s="12"/>
      <c r="N26" s="12"/>
      <c r="O26" s="12"/>
      <c r="P26" s="12"/>
      <c r="Q26" s="12"/>
      <c r="R26" s="12"/>
      <c r="S26" s="12"/>
      <c r="T26" s="12"/>
      <c r="U26" s="12"/>
    </row>
    <row r="27" spans="2:21" x14ac:dyDescent="0.25">
      <c r="B27" s="39" t="s">
        <v>56</v>
      </c>
      <c r="C27" s="32"/>
      <c r="D27" s="32">
        <v>0.25449899999999998</v>
      </c>
      <c r="E27" s="32">
        <v>0.238786</v>
      </c>
      <c r="F27" s="32">
        <v>0.24644300000000002</v>
      </c>
      <c r="G27" s="46">
        <v>0.25525900000000001</v>
      </c>
      <c r="H27" s="47">
        <v>0.248645</v>
      </c>
      <c r="I27" s="46">
        <v>0.26716099999999998</v>
      </c>
      <c r="J27" s="31">
        <v>7.446761447042971E-2</v>
      </c>
      <c r="L27" s="12" t="s">
        <v>351</v>
      </c>
      <c r="M27" s="12"/>
      <c r="N27" s="12"/>
      <c r="O27" s="12"/>
      <c r="P27" s="12"/>
      <c r="Q27" s="12"/>
      <c r="R27" s="12"/>
      <c r="S27" s="12"/>
      <c r="T27" s="12"/>
      <c r="U27" s="12"/>
    </row>
    <row r="28" spans="2:21" x14ac:dyDescent="0.25">
      <c r="B28" s="39" t="s">
        <v>57</v>
      </c>
      <c r="C28" s="32"/>
      <c r="D28" s="32">
        <v>0.196497</v>
      </c>
      <c r="E28" s="32">
        <v>0.17851299999999998</v>
      </c>
      <c r="F28" s="32">
        <v>0.18688400000000002</v>
      </c>
      <c r="G28" s="46">
        <v>0.18768899999999999</v>
      </c>
      <c r="H28" s="47">
        <v>0.19385100000000002</v>
      </c>
      <c r="I28" s="46">
        <v>0.19492899999999999</v>
      </c>
      <c r="J28" s="31">
        <v>5.5609720868088353E-3</v>
      </c>
      <c r="L28" s="114" t="s">
        <v>352</v>
      </c>
      <c r="M28" s="114"/>
      <c r="N28" s="114"/>
      <c r="O28" s="114"/>
      <c r="P28" s="114"/>
      <c r="Q28" s="114"/>
      <c r="R28" s="114"/>
      <c r="S28" s="114"/>
      <c r="T28" s="114"/>
      <c r="U28" s="114"/>
    </row>
    <row r="29" spans="2:21" x14ac:dyDescent="0.25">
      <c r="B29" s="39" t="s">
        <v>58</v>
      </c>
      <c r="C29" s="32"/>
      <c r="D29" s="32">
        <v>0.24757000000000001</v>
      </c>
      <c r="E29" s="32">
        <v>0.23206600000000002</v>
      </c>
      <c r="F29" s="32">
        <v>0.24409500000000001</v>
      </c>
      <c r="G29" s="46">
        <v>0.24717500000000001</v>
      </c>
      <c r="H29" s="47">
        <v>0.25126199999999999</v>
      </c>
      <c r="I29" s="46">
        <v>0.25809799999999999</v>
      </c>
      <c r="J29" s="31">
        <v>2.7206660776400771E-2</v>
      </c>
      <c r="L29" s="114"/>
      <c r="M29" s="114"/>
      <c r="N29" s="114"/>
      <c r="O29" s="114"/>
      <c r="P29" s="114"/>
      <c r="Q29" s="114"/>
      <c r="R29" s="114"/>
      <c r="S29" s="114"/>
      <c r="T29" s="114"/>
      <c r="U29" s="114"/>
    </row>
    <row r="30" spans="2:21" x14ac:dyDescent="0.25">
      <c r="B30" s="39" t="s">
        <v>59</v>
      </c>
      <c r="C30" s="32"/>
      <c r="D30" s="32">
        <v>0.122168</v>
      </c>
      <c r="E30" s="32">
        <v>0.10486000000000001</v>
      </c>
      <c r="F30" s="32">
        <v>9.3584999999999988E-2</v>
      </c>
      <c r="G30" s="46">
        <v>0.108432</v>
      </c>
      <c r="H30" s="47">
        <v>9.0624999999999997E-2</v>
      </c>
      <c r="I30" s="46">
        <v>0.11616199999999999</v>
      </c>
      <c r="J30" s="31">
        <v>0.28178758620689637</v>
      </c>
      <c r="L30" s="114" t="s">
        <v>353</v>
      </c>
      <c r="M30" s="114"/>
      <c r="N30" s="114"/>
      <c r="O30" s="114"/>
      <c r="P30" s="114"/>
      <c r="Q30" s="114"/>
      <c r="R30" s="114"/>
      <c r="S30" s="114"/>
      <c r="T30" s="114"/>
      <c r="U30" s="114"/>
    </row>
    <row r="31" spans="2:21" x14ac:dyDescent="0.25">
      <c r="B31" s="33" t="s">
        <v>60</v>
      </c>
      <c r="C31" s="34"/>
      <c r="D31" s="34">
        <v>1.1960999999999999E-2</v>
      </c>
      <c r="E31" s="34">
        <v>-3.823E-2</v>
      </c>
      <c r="F31" s="34">
        <v>-3.552E-3</v>
      </c>
      <c r="G31" s="48">
        <v>-1.9879000000000001E-2</v>
      </c>
      <c r="H31" s="49">
        <v>-2.1040999999999997E-2</v>
      </c>
      <c r="I31" s="48">
        <v>3.7027000000000004E-2</v>
      </c>
      <c r="J31" s="38">
        <v>-2.7597547645073908</v>
      </c>
      <c r="L31" s="114"/>
      <c r="M31" s="114"/>
      <c r="N31" s="114"/>
      <c r="O31" s="114"/>
      <c r="P31" s="114"/>
      <c r="Q31" s="114"/>
      <c r="R31" s="114"/>
      <c r="S31" s="114"/>
      <c r="T31" s="114"/>
      <c r="U31" s="114"/>
    </row>
    <row r="32" spans="2:21" x14ac:dyDescent="0.25">
      <c r="B32" s="39" t="s">
        <v>61</v>
      </c>
      <c r="C32" s="8"/>
      <c r="D32" s="42">
        <v>10.971098932904532</v>
      </c>
      <c r="E32" s="42">
        <v>5.7191748742868818</v>
      </c>
      <c r="F32" s="42">
        <v>7.4306183285747256</v>
      </c>
      <c r="G32" s="51">
        <v>8.6172757111683236</v>
      </c>
      <c r="H32" s="58">
        <v>6.7473489926756125</v>
      </c>
      <c r="I32" s="51">
        <v>11.945751103448277</v>
      </c>
      <c r="J32" s="31">
        <v>0.77043622857149341</v>
      </c>
      <c r="L32" s="109" t="s">
        <v>354</v>
      </c>
      <c r="M32" s="109"/>
      <c r="N32" s="109"/>
      <c r="O32" s="109"/>
      <c r="P32" s="109"/>
      <c r="Q32" s="109"/>
      <c r="R32" s="109"/>
      <c r="S32" s="109"/>
      <c r="T32" s="109"/>
      <c r="U32" s="109"/>
    </row>
    <row r="33" spans="2:21" x14ac:dyDescent="0.25">
      <c r="B33" s="39" t="s">
        <v>62</v>
      </c>
      <c r="C33" s="8"/>
      <c r="D33" s="42">
        <v>11.224030000000001</v>
      </c>
      <c r="E33" s="42">
        <v>8.7691400000000002</v>
      </c>
      <c r="F33" s="42">
        <v>8.50366</v>
      </c>
      <c r="G33" s="51">
        <v>9.2563899999999997</v>
      </c>
      <c r="H33" s="58">
        <v>8.3352199999999996</v>
      </c>
      <c r="I33" s="51">
        <v>10.416510000000001</v>
      </c>
      <c r="J33" s="31">
        <v>0.24969826831205433</v>
      </c>
      <c r="L33" s="114" t="s">
        <v>355</v>
      </c>
      <c r="M33" s="114"/>
      <c r="N33" s="114"/>
      <c r="O33" s="114"/>
      <c r="P33" s="114"/>
      <c r="Q33" s="114"/>
      <c r="R33" s="114"/>
      <c r="S33" s="114"/>
      <c r="T33" s="114"/>
      <c r="U33" s="114"/>
    </row>
    <row r="34" spans="2:21" x14ac:dyDescent="0.25">
      <c r="B34" s="39" t="s">
        <v>63</v>
      </c>
      <c r="C34" s="8"/>
      <c r="D34" s="42">
        <v>3.7282000000000002</v>
      </c>
      <c r="E34" s="42">
        <v>4.2708500000000003</v>
      </c>
      <c r="F34" s="42">
        <v>2.0117400000000001</v>
      </c>
      <c r="G34" s="51">
        <v>2.43797</v>
      </c>
      <c r="H34" s="58">
        <v>1.93896</v>
      </c>
      <c r="I34" s="51">
        <v>2.3173900000000001</v>
      </c>
      <c r="J34" s="31">
        <v>0.19517163840409291</v>
      </c>
      <c r="L34" s="114"/>
      <c r="M34" s="114"/>
      <c r="N34" s="114"/>
      <c r="O34" s="114"/>
      <c r="P34" s="114"/>
      <c r="Q34" s="114"/>
      <c r="R34" s="114"/>
      <c r="S34" s="114"/>
      <c r="T34" s="114"/>
      <c r="U34" s="114"/>
    </row>
    <row r="35" spans="2:21" x14ac:dyDescent="0.25">
      <c r="B35" s="39" t="s">
        <v>64</v>
      </c>
      <c r="C35" s="8"/>
      <c r="D35" s="42">
        <v>1.8742799999999999</v>
      </c>
      <c r="E35" s="42">
        <v>2.1478999999999999</v>
      </c>
      <c r="F35" s="42">
        <v>2.4795699999999998</v>
      </c>
      <c r="G35" s="51">
        <v>2.4892400000000001</v>
      </c>
      <c r="H35" s="58">
        <v>2.4576799999999999</v>
      </c>
      <c r="I35" s="51">
        <v>2.4121100000000002</v>
      </c>
      <c r="J35" s="31">
        <v>-1.8541876892028131E-2</v>
      </c>
      <c r="L35" s="106" t="s">
        <v>356</v>
      </c>
      <c r="M35" s="106"/>
      <c r="N35" s="106"/>
      <c r="O35" s="106"/>
      <c r="P35" s="106"/>
      <c r="Q35" s="106"/>
      <c r="R35" s="106"/>
      <c r="S35" s="106"/>
      <c r="T35" s="106"/>
      <c r="U35" s="106"/>
    </row>
    <row r="36" spans="2:21" x14ac:dyDescent="0.25">
      <c r="B36" s="39" t="s">
        <v>65</v>
      </c>
      <c r="C36" s="8"/>
      <c r="D36" s="42">
        <v>1.82423</v>
      </c>
      <c r="E36" s="42">
        <v>2.0886100000000001</v>
      </c>
      <c r="F36" s="42">
        <v>2.2435499999999999</v>
      </c>
      <c r="G36" s="51">
        <v>2.4024299999999998</v>
      </c>
      <c r="H36" s="58">
        <v>2.3581500000000002</v>
      </c>
      <c r="I36" s="51">
        <v>2.3057799999999999</v>
      </c>
      <c r="J36" s="31">
        <v>-2.2208086847740893E-2</v>
      </c>
      <c r="L36" s="106"/>
      <c r="M36" s="106"/>
      <c r="N36" s="106"/>
      <c r="O36" s="106"/>
      <c r="P36" s="106"/>
      <c r="Q36" s="106"/>
      <c r="R36" s="106"/>
      <c r="S36" s="106"/>
      <c r="T36" s="106"/>
      <c r="U36" s="106"/>
    </row>
    <row r="37" spans="2:21" x14ac:dyDescent="0.25">
      <c r="B37" s="39" t="s">
        <v>66</v>
      </c>
      <c r="C37" s="8"/>
      <c r="D37" s="42">
        <v>5.6426499999999997</v>
      </c>
      <c r="E37" s="42">
        <v>4.4101699999999999</v>
      </c>
      <c r="F37" s="42">
        <v>10.481210000000001</v>
      </c>
      <c r="G37" s="51">
        <v>9.4510400000000008</v>
      </c>
      <c r="H37" s="58">
        <v>10.565099999999999</v>
      </c>
      <c r="I37" s="51">
        <v>10.84226</v>
      </c>
      <c r="J37" s="31">
        <v>2.623354251261234E-2</v>
      </c>
      <c r="L37" s="106"/>
      <c r="M37" s="106"/>
      <c r="N37" s="106"/>
      <c r="O37" s="106"/>
      <c r="P37" s="106"/>
      <c r="Q37" s="106"/>
      <c r="R37" s="106"/>
      <c r="S37" s="106"/>
      <c r="T37" s="106"/>
      <c r="U37" s="106"/>
    </row>
    <row r="38" spans="2:21" x14ac:dyDescent="0.25">
      <c r="B38" s="33" t="s">
        <v>67</v>
      </c>
      <c r="C38" s="52"/>
      <c r="D38" s="52">
        <v>5.4919799999999999</v>
      </c>
      <c r="E38" s="52">
        <v>4.2884500000000001</v>
      </c>
      <c r="F38" s="52">
        <v>9.4835600000000007</v>
      </c>
      <c r="G38" s="53">
        <v>9.1214499999999994</v>
      </c>
      <c r="H38" s="54">
        <v>10.13724</v>
      </c>
      <c r="I38" s="53">
        <v>10.364319999999999</v>
      </c>
      <c r="J38" s="38">
        <v>2.2400574515351268E-2</v>
      </c>
      <c r="L38" s="12" t="s">
        <v>357</v>
      </c>
      <c r="M38" s="12"/>
      <c r="N38" s="12"/>
      <c r="O38" s="12"/>
      <c r="P38" s="12"/>
      <c r="Q38" s="12"/>
      <c r="R38" s="12"/>
      <c r="S38" s="12"/>
      <c r="T38" s="12"/>
      <c r="U38" s="12"/>
    </row>
    <row r="39" spans="2:21" x14ac:dyDescent="0.25">
      <c r="B39" s="8" t="s">
        <v>68</v>
      </c>
      <c r="C39" s="42"/>
      <c r="D39" s="59">
        <v>46.289299999999997</v>
      </c>
      <c r="E39" s="59">
        <v>46.687519999999999</v>
      </c>
      <c r="F39" s="59">
        <v>46.324620000000003</v>
      </c>
      <c r="G39" s="60">
        <v>51.442740000000001</v>
      </c>
      <c r="H39" s="61">
        <v>51.559899999999999</v>
      </c>
      <c r="I39" s="60">
        <v>59.202269999999999</v>
      </c>
      <c r="J39" s="31">
        <v>0.14822313464533488</v>
      </c>
      <c r="L39" s="110" t="s">
        <v>358</v>
      </c>
      <c r="M39" s="110"/>
      <c r="N39" s="110"/>
      <c r="O39" s="110"/>
      <c r="P39" s="110"/>
      <c r="Q39" s="110"/>
      <c r="R39" s="110"/>
      <c r="S39" s="110"/>
      <c r="T39" s="110"/>
      <c r="U39" s="110"/>
    </row>
    <row r="40" spans="2:21" x14ac:dyDescent="0.25">
      <c r="B40" s="8" t="s">
        <v>69</v>
      </c>
      <c r="C40" s="42"/>
      <c r="D40" s="59">
        <v>73.332149999999999</v>
      </c>
      <c r="E40" s="59">
        <v>60.838929999999998</v>
      </c>
      <c r="F40" s="59">
        <v>64.883020000000002</v>
      </c>
      <c r="G40" s="60">
        <v>66.50264</v>
      </c>
      <c r="H40" s="61">
        <v>53.194009999999999</v>
      </c>
      <c r="I40" s="60">
        <v>57.552109999999999</v>
      </c>
      <c r="J40" s="31">
        <v>8.1928397577095691E-2</v>
      </c>
      <c r="L40" s="15"/>
      <c r="M40" s="15"/>
      <c r="N40" s="15"/>
      <c r="O40" s="15"/>
      <c r="P40" s="15"/>
      <c r="Q40" s="15"/>
      <c r="R40" s="15"/>
      <c r="S40" s="15"/>
      <c r="T40" s="15"/>
      <c r="U40" s="15"/>
    </row>
    <row r="41" spans="2:21" x14ac:dyDescent="0.25">
      <c r="B41" s="8" t="s">
        <v>70</v>
      </c>
      <c r="C41" s="42"/>
      <c r="D41" s="59">
        <v>13.63275</v>
      </c>
      <c r="E41" s="59">
        <v>19.319089999999999</v>
      </c>
      <c r="F41" s="59">
        <v>27.957640000000001</v>
      </c>
      <c r="G41" s="60">
        <v>23.53228</v>
      </c>
      <c r="H41" s="61">
        <v>28.146979999999999</v>
      </c>
      <c r="I41" s="60">
        <v>23.071650000000002</v>
      </c>
      <c r="J41" s="31">
        <v>-0.18031525939905446</v>
      </c>
      <c r="L41" s="11" t="s">
        <v>3</v>
      </c>
      <c r="M41" s="15"/>
      <c r="N41" s="15"/>
      <c r="O41" s="15"/>
      <c r="P41" s="15"/>
      <c r="Q41" s="15"/>
      <c r="R41" s="15"/>
      <c r="S41" s="15"/>
      <c r="T41" s="15"/>
      <c r="U41" s="15"/>
    </row>
    <row r="42" spans="2:21" x14ac:dyDescent="0.25">
      <c r="B42" s="39" t="s">
        <v>71</v>
      </c>
      <c r="C42" s="42"/>
      <c r="D42" s="42">
        <v>0.49730000000000002</v>
      </c>
      <c r="E42" s="42">
        <v>0.44901000000000002</v>
      </c>
      <c r="F42" s="42">
        <v>0.3851</v>
      </c>
      <c r="G42" s="51">
        <v>0.39530999999999999</v>
      </c>
      <c r="H42" s="58">
        <v>0.35761999999999999</v>
      </c>
      <c r="I42" s="51">
        <v>0.58162999999999998</v>
      </c>
      <c r="J42" s="31">
        <v>0.62639114143504271</v>
      </c>
      <c r="L42" s="109" t="s">
        <v>359</v>
      </c>
      <c r="M42" s="109"/>
      <c r="N42" s="109"/>
      <c r="O42" s="109"/>
      <c r="P42" s="109"/>
      <c r="Q42" s="109"/>
      <c r="R42" s="109"/>
      <c r="S42" s="109"/>
      <c r="T42" s="109"/>
      <c r="U42" s="109"/>
    </row>
    <row r="43" spans="2:21" x14ac:dyDescent="0.25">
      <c r="B43" s="39" t="s">
        <v>72</v>
      </c>
      <c r="C43" s="42"/>
      <c r="D43" s="42">
        <v>0.42053000000000001</v>
      </c>
      <c r="E43" s="42">
        <v>0.31222</v>
      </c>
      <c r="F43" s="42">
        <v>0.29108000000000001</v>
      </c>
      <c r="G43" s="51">
        <v>0.31356000000000001</v>
      </c>
      <c r="H43" s="58">
        <v>0.27562999999999999</v>
      </c>
      <c r="I43" s="51">
        <v>0.46431</v>
      </c>
      <c r="J43" s="31">
        <v>0.68454087000689334</v>
      </c>
      <c r="L43" s="109" t="s">
        <v>360</v>
      </c>
      <c r="M43" s="109"/>
      <c r="N43" s="109"/>
      <c r="O43" s="109"/>
      <c r="P43" s="109"/>
      <c r="Q43" s="109"/>
      <c r="R43" s="109"/>
      <c r="S43" s="109"/>
      <c r="T43" s="109"/>
      <c r="U43" s="109"/>
    </row>
    <row r="44" spans="2:21" x14ac:dyDescent="0.25">
      <c r="B44" s="33" t="s">
        <v>73</v>
      </c>
      <c r="C44" s="43"/>
      <c r="D44" s="43">
        <v>-13.4101</v>
      </c>
      <c r="E44" s="43">
        <v>5.1676700000000002</v>
      </c>
      <c r="F44" s="43">
        <v>9.3992500000000003</v>
      </c>
      <c r="G44" s="62">
        <v>8.4723799999999994</v>
      </c>
      <c r="H44" s="63">
        <v>26.512869999999999</v>
      </c>
      <c r="I44" s="62">
        <v>24.721820000000001</v>
      </c>
      <c r="J44" s="38">
        <v>-6.7553984159391178E-2</v>
      </c>
    </row>
    <row r="45" spans="2:21" ht="15.75" x14ac:dyDescent="0.25">
      <c r="B45" s="39" t="s">
        <v>38</v>
      </c>
      <c r="C45" s="32"/>
      <c r="D45" s="32">
        <v>8.0732999999999999E-2</v>
      </c>
      <c r="E45" s="32">
        <v>7.2679999999999995E-2</v>
      </c>
      <c r="F45" s="32">
        <v>6.9390999999999994E-2</v>
      </c>
      <c r="G45" s="46">
        <v>6.5948000000000007E-2</v>
      </c>
      <c r="H45" s="47">
        <v>7.0511999999999991E-2</v>
      </c>
      <c r="I45" s="46">
        <v>6.5978999999999996E-2</v>
      </c>
      <c r="J45" s="31">
        <v>-6.4286929884274979E-2</v>
      </c>
      <c r="L45" s="9" t="s">
        <v>77</v>
      </c>
      <c r="M45" s="10"/>
      <c r="N45" s="10"/>
      <c r="O45" s="10"/>
      <c r="Q45" s="9" t="s">
        <v>78</v>
      </c>
      <c r="R45" s="10"/>
      <c r="S45" s="10"/>
      <c r="T45" s="10"/>
      <c r="U45" s="10"/>
    </row>
    <row r="46" spans="2:21" x14ac:dyDescent="0.25">
      <c r="B46" s="39" t="s">
        <v>74</v>
      </c>
      <c r="C46" s="32"/>
      <c r="D46" s="32">
        <v>0.10022</v>
      </c>
      <c r="E46" s="32">
        <v>8.9519000000000001E-2</v>
      </c>
      <c r="F46" s="32">
        <v>8.382400000000001E-2</v>
      </c>
      <c r="G46" s="46">
        <v>7.9341999999999996E-2</v>
      </c>
      <c r="H46" s="47">
        <v>8.324899999999999E-2</v>
      </c>
      <c r="I46" s="46">
        <v>7.9231999999999997E-2</v>
      </c>
      <c r="J46" s="31">
        <v>-4.8252831865848167E-2</v>
      </c>
      <c r="Q46" s="79" t="s">
        <v>86</v>
      </c>
      <c r="R46" s="80">
        <v>0.83150000000000002</v>
      </c>
    </row>
    <row r="47" spans="2:21" x14ac:dyDescent="0.25">
      <c r="B47" s="33" t="s">
        <v>35</v>
      </c>
      <c r="C47" s="34"/>
      <c r="D47" s="34">
        <v>0.16336999999999999</v>
      </c>
      <c r="E47" s="34">
        <v>0.13495599999999999</v>
      </c>
      <c r="F47" s="34">
        <v>0.11147399999999999</v>
      </c>
      <c r="G47" s="48">
        <v>0.123791</v>
      </c>
      <c r="H47" s="49">
        <v>0.10338599999999999</v>
      </c>
      <c r="I47" s="48">
        <v>0.125918</v>
      </c>
      <c r="J47" s="38">
        <v>0.21794053353452125</v>
      </c>
      <c r="L47" s="73" t="s">
        <v>80</v>
      </c>
      <c r="M47" s="73"/>
      <c r="N47" s="74" t="s">
        <v>81</v>
      </c>
      <c r="O47" s="75" t="s">
        <v>82</v>
      </c>
      <c r="Q47" s="79" t="s">
        <v>87</v>
      </c>
      <c r="R47" s="80">
        <v>8.2699999999999996E-2</v>
      </c>
    </row>
    <row r="48" spans="2:21" x14ac:dyDescent="0.25">
      <c r="L48" s="76">
        <f>$AG$6</f>
        <v>0</v>
      </c>
      <c r="M48" s="76"/>
      <c r="N48" s="77" t="str">
        <f>TEXT($AH$9*10000,"0")&amp;","&amp;TEXT($AI$9*10000,"0")&amp;","&amp;TEXT($AJ$9*10000,"0")</f>
        <v>0,0,0</v>
      </c>
      <c r="O48" s="77" t="str">
        <f>TEXT($AH$29*10000,"0")&amp;","&amp;TEXT($AI$29*10000,"0")&amp;","&amp;TEXT($AJ$29*10000,"0")</f>
        <v>0,0,0</v>
      </c>
      <c r="Q48" s="79" t="s">
        <v>88</v>
      </c>
      <c r="R48" s="80">
        <v>5.4999999999999997E-3</v>
      </c>
    </row>
    <row r="49" spans="12:18" x14ac:dyDescent="0.25">
      <c r="L49" s="76">
        <f>$AB$6</f>
        <v>0</v>
      </c>
      <c r="M49" s="76"/>
      <c r="N49" s="77" t="str">
        <f>TEXT($AC$9*10000,"0")&amp;","&amp;TEXT($AD$9*10000,"0")&amp;","&amp;TEXT($AE$9*10000,"0")</f>
        <v>0,0,0</v>
      </c>
      <c r="O49" s="77" t="str">
        <f>TEXT($AC$29*10000,"0")&amp;","&amp;TEXT($AD$29*10000,"0")&amp;","&amp;TEXT($AE$29*10000,"0")</f>
        <v>0,0,0</v>
      </c>
      <c r="Q49" s="79" t="s">
        <v>89</v>
      </c>
      <c r="R49" s="80">
        <v>3.5700000000000003E-2</v>
      </c>
    </row>
    <row r="50" spans="12:18" x14ac:dyDescent="0.25">
      <c r="L50" s="81"/>
      <c r="M50" s="81"/>
      <c r="Q50" s="79" t="s">
        <v>90</v>
      </c>
      <c r="R50" s="80">
        <v>5.1999999999999998E-3</v>
      </c>
    </row>
    <row r="51" spans="12:18" x14ac:dyDescent="0.25">
      <c r="Q51" s="79" t="s">
        <v>91</v>
      </c>
      <c r="R51" s="80">
        <f>100%-SUM(R46:R50)</f>
        <v>3.9400000000000102E-2</v>
      </c>
    </row>
    <row r="52" spans="12:18" x14ac:dyDescent="0.25">
      <c r="Q52" s="79"/>
      <c r="R52" s="79"/>
    </row>
    <row r="53" spans="12:18" x14ac:dyDescent="0.25">
      <c r="Q53" s="79"/>
      <c r="R53" s="79"/>
    </row>
  </sheetData>
  <mergeCells count="10">
    <mergeCell ref="L35:U37"/>
    <mergeCell ref="L39:U39"/>
    <mergeCell ref="L42:U42"/>
    <mergeCell ref="L43:U43"/>
    <mergeCell ref="L6:U20"/>
    <mergeCell ref="L23:U23"/>
    <mergeCell ref="L28:U29"/>
    <mergeCell ref="L30:U31"/>
    <mergeCell ref="L32:U32"/>
    <mergeCell ref="L33:U34"/>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67E68-0E99-40E5-998B-062AF3399B7C}">
  <dimension ref="B1:U63"/>
  <sheetViews>
    <sheetView topLeftCell="A15" workbookViewId="0">
      <selection activeCell="B23" sqref="B23:J47"/>
    </sheetView>
  </sheetViews>
  <sheetFormatPr defaultRowHeight="15" x14ac:dyDescent="0.25"/>
  <cols>
    <col min="12" max="21" width="12.7109375" style="1" customWidth="1"/>
  </cols>
  <sheetData>
    <row r="1" spans="12:21" x14ac:dyDescent="0.25">
      <c r="O1" s="2"/>
      <c r="P1" s="2"/>
      <c r="Q1" s="2"/>
      <c r="R1" s="2"/>
      <c r="S1" s="2"/>
      <c r="T1" s="2"/>
      <c r="U1" s="2"/>
    </row>
    <row r="2" spans="12:21" ht="21.75" thickBot="1" x14ac:dyDescent="0.3">
      <c r="L2" s="67"/>
      <c r="M2" s="67"/>
      <c r="N2" s="68"/>
      <c r="O2" s="5"/>
      <c r="P2" s="5"/>
      <c r="Q2" s="5"/>
      <c r="R2" s="6" t="str">
        <f>"ESG INTERNO: "&amp;Z16&amp;IF(OR(Z16="NA",Z16=""),"","(")&amp;Z15&amp;IF(OR(Z16="NA",Z16=""),"",")")</f>
        <v xml:space="preserve">ESG INTERNO: </v>
      </c>
      <c r="S2" s="7"/>
      <c r="T2" s="5"/>
      <c r="U2" s="6" t="str">
        <f>"MSCI ESG: "&amp;Z19&amp;IF(Z19="NA","","(")&amp;Z18&amp;IF(Z19="NA","",")")</f>
        <v>MSCI ESG: ()</v>
      </c>
    </row>
    <row r="4" spans="12:21" ht="18" x14ac:dyDescent="0.25">
      <c r="L4" s="69" t="s">
        <v>0</v>
      </c>
      <c r="M4" s="23"/>
      <c r="N4" s="23"/>
      <c r="O4" s="23"/>
      <c r="P4" s="23"/>
      <c r="Q4" s="23"/>
      <c r="R4" s="23"/>
      <c r="S4" s="23"/>
      <c r="T4" s="23"/>
      <c r="U4" s="23"/>
    </row>
    <row r="5" spans="12:21" x14ac:dyDescent="0.25">
      <c r="L5" s="70"/>
      <c r="M5" s="70"/>
      <c r="N5" s="70"/>
      <c r="O5" s="70"/>
      <c r="P5" s="70"/>
      <c r="Q5" s="70"/>
      <c r="R5" s="70"/>
      <c r="S5" s="70"/>
      <c r="T5" s="70"/>
      <c r="U5" s="70"/>
    </row>
    <row r="6" spans="12:21" x14ac:dyDescent="0.25">
      <c r="L6" s="108" t="s">
        <v>361</v>
      </c>
      <c r="M6" s="108"/>
      <c r="N6" s="108"/>
      <c r="O6" s="108"/>
      <c r="P6" s="108"/>
      <c r="Q6" s="108"/>
      <c r="R6" s="108"/>
      <c r="S6" s="108"/>
      <c r="T6" s="108"/>
      <c r="U6" s="108"/>
    </row>
    <row r="7" spans="12:21" x14ac:dyDescent="0.25">
      <c r="L7" s="108"/>
      <c r="M7" s="108"/>
      <c r="N7" s="108"/>
      <c r="O7" s="108"/>
      <c r="P7" s="108"/>
      <c r="Q7" s="108"/>
      <c r="R7" s="108"/>
      <c r="S7" s="108"/>
      <c r="T7" s="108"/>
      <c r="U7" s="108"/>
    </row>
    <row r="8" spans="12:21" x14ac:dyDescent="0.25">
      <c r="L8" s="108"/>
      <c r="M8" s="108"/>
      <c r="N8" s="108"/>
      <c r="O8" s="108"/>
      <c r="P8" s="108"/>
      <c r="Q8" s="108"/>
      <c r="R8" s="108"/>
      <c r="S8" s="108"/>
      <c r="T8" s="108"/>
      <c r="U8" s="108"/>
    </row>
    <row r="9" spans="12:21" x14ac:dyDescent="0.25">
      <c r="L9" s="108"/>
      <c r="M9" s="108"/>
      <c r="N9" s="108"/>
      <c r="O9" s="108"/>
      <c r="P9" s="108"/>
      <c r="Q9" s="108"/>
      <c r="R9" s="108"/>
      <c r="S9" s="108"/>
      <c r="T9" s="108"/>
      <c r="U9" s="108"/>
    </row>
    <row r="10" spans="12:21" x14ac:dyDescent="0.25">
      <c r="L10" s="108"/>
      <c r="M10" s="108"/>
      <c r="N10" s="108"/>
      <c r="O10" s="108"/>
      <c r="P10" s="108"/>
      <c r="Q10" s="108"/>
      <c r="R10" s="108"/>
      <c r="S10" s="108"/>
      <c r="T10" s="108"/>
      <c r="U10" s="108"/>
    </row>
    <row r="11" spans="12:21" x14ac:dyDescent="0.25">
      <c r="L11" s="108"/>
      <c r="M11" s="108"/>
      <c r="N11" s="108"/>
      <c r="O11" s="108"/>
      <c r="P11" s="108"/>
      <c r="Q11" s="108"/>
      <c r="R11" s="108"/>
      <c r="S11" s="108"/>
      <c r="T11" s="108"/>
      <c r="U11" s="108"/>
    </row>
    <row r="12" spans="12:21" x14ac:dyDescent="0.25">
      <c r="L12" s="108"/>
      <c r="M12" s="108"/>
      <c r="N12" s="108"/>
      <c r="O12" s="108"/>
      <c r="P12" s="108"/>
      <c r="Q12" s="108"/>
      <c r="R12" s="108"/>
      <c r="S12" s="108"/>
      <c r="T12" s="108"/>
      <c r="U12" s="108"/>
    </row>
    <row r="13" spans="12:21" x14ac:dyDescent="0.25">
      <c r="L13" s="108"/>
      <c r="M13" s="108"/>
      <c r="N13" s="108"/>
      <c r="O13" s="108"/>
      <c r="P13" s="108"/>
      <c r="Q13" s="108"/>
      <c r="R13" s="108"/>
      <c r="S13" s="108"/>
      <c r="T13" s="108"/>
      <c r="U13" s="108"/>
    </row>
    <row r="14" spans="12:21" x14ac:dyDescent="0.25">
      <c r="L14" s="108"/>
      <c r="M14" s="108"/>
      <c r="N14" s="108"/>
      <c r="O14" s="108"/>
      <c r="P14" s="108"/>
      <c r="Q14" s="108"/>
      <c r="R14" s="108"/>
      <c r="S14" s="108"/>
      <c r="T14" s="108"/>
      <c r="U14" s="108"/>
    </row>
    <row r="15" spans="12:21" x14ac:dyDescent="0.25">
      <c r="L15" s="108"/>
      <c r="M15" s="108"/>
      <c r="N15" s="108"/>
      <c r="O15" s="108"/>
      <c r="P15" s="108"/>
      <c r="Q15" s="108"/>
      <c r="R15" s="108"/>
      <c r="S15" s="108"/>
      <c r="T15" s="108"/>
      <c r="U15" s="108"/>
    </row>
    <row r="16" spans="12:21" x14ac:dyDescent="0.25">
      <c r="L16" s="108"/>
      <c r="M16" s="108"/>
      <c r="N16" s="108"/>
      <c r="O16" s="108"/>
      <c r="P16" s="108"/>
      <c r="Q16" s="108"/>
      <c r="R16" s="108"/>
      <c r="S16" s="108"/>
      <c r="T16" s="108"/>
      <c r="U16" s="108"/>
    </row>
    <row r="17" spans="2:21" x14ac:dyDescent="0.25">
      <c r="L17" s="108"/>
      <c r="M17" s="108"/>
      <c r="N17" s="108"/>
      <c r="O17" s="108"/>
      <c r="P17" s="108"/>
      <c r="Q17" s="108"/>
      <c r="R17" s="108"/>
      <c r="S17" s="108"/>
      <c r="T17" s="108"/>
      <c r="U17" s="108"/>
    </row>
    <row r="18" spans="2:21" x14ac:dyDescent="0.25">
      <c r="L18" s="108"/>
      <c r="M18" s="108"/>
      <c r="N18" s="108"/>
      <c r="O18" s="108"/>
      <c r="P18" s="108"/>
      <c r="Q18" s="108"/>
      <c r="R18" s="108"/>
      <c r="S18" s="108"/>
      <c r="T18" s="108"/>
      <c r="U18" s="108"/>
    </row>
    <row r="19" spans="2:21" x14ac:dyDescent="0.25">
      <c r="L19" s="108"/>
      <c r="M19" s="108"/>
      <c r="N19" s="108"/>
      <c r="O19" s="108"/>
      <c r="P19" s="108"/>
      <c r="Q19" s="108"/>
      <c r="R19" s="108"/>
      <c r="S19" s="108"/>
      <c r="T19" s="108"/>
      <c r="U19" s="108"/>
    </row>
    <row r="20" spans="2:21" x14ac:dyDescent="0.25">
      <c r="L20" s="108"/>
      <c r="M20" s="108"/>
      <c r="N20" s="108"/>
      <c r="O20" s="108"/>
      <c r="P20" s="108"/>
      <c r="Q20" s="108"/>
      <c r="R20" s="108"/>
      <c r="S20" s="108"/>
      <c r="T20" s="108"/>
      <c r="U20" s="108"/>
    </row>
    <row r="21" spans="2:21" x14ac:dyDescent="0.25">
      <c r="L21" s="108"/>
      <c r="M21" s="108"/>
      <c r="N21" s="108"/>
      <c r="O21" s="108"/>
      <c r="P21" s="108"/>
      <c r="Q21" s="108"/>
      <c r="R21" s="108"/>
      <c r="S21" s="108"/>
      <c r="T21" s="108"/>
      <c r="U21" s="108"/>
    </row>
    <row r="22" spans="2:21" x14ac:dyDescent="0.25">
      <c r="L22" s="108"/>
      <c r="M22" s="108"/>
      <c r="N22" s="108"/>
      <c r="O22" s="108"/>
      <c r="P22" s="108"/>
      <c r="Q22" s="108"/>
      <c r="R22" s="108"/>
      <c r="S22" s="108"/>
      <c r="T22" s="108"/>
      <c r="U22" s="108"/>
    </row>
    <row r="23" spans="2:21" x14ac:dyDescent="0.25">
      <c r="B23" t="s">
        <v>4</v>
      </c>
      <c r="D23" t="s">
        <v>5</v>
      </c>
      <c r="E23" t="s">
        <v>6</v>
      </c>
      <c r="F23" t="s">
        <v>7</v>
      </c>
      <c r="G23" t="s">
        <v>8</v>
      </c>
      <c r="H23" t="s">
        <v>502</v>
      </c>
      <c r="I23" t="s">
        <v>503</v>
      </c>
      <c r="L23" s="108"/>
      <c r="M23" s="108"/>
      <c r="N23" s="108"/>
      <c r="O23" s="108"/>
      <c r="P23" s="108"/>
      <c r="Q23" s="108"/>
      <c r="R23" s="108"/>
      <c r="S23" s="108"/>
      <c r="T23" s="108"/>
      <c r="U23" s="108"/>
    </row>
    <row r="24" spans="2:21" x14ac:dyDescent="0.25">
      <c r="B24" s="1"/>
      <c r="C24" s="1"/>
      <c r="D24" s="19" t="s">
        <v>9</v>
      </c>
      <c r="E24" s="20"/>
      <c r="F24" s="20"/>
      <c r="G24" s="21"/>
      <c r="H24" s="22" t="s">
        <v>10</v>
      </c>
      <c r="I24" s="20"/>
      <c r="J24" s="20"/>
      <c r="L24" s="108"/>
      <c r="M24" s="108"/>
      <c r="N24" s="108"/>
      <c r="O24" s="108"/>
      <c r="P24" s="108"/>
      <c r="Q24" s="108"/>
      <c r="R24" s="108"/>
      <c r="S24" s="108"/>
      <c r="T24" s="108"/>
      <c r="U24" s="108"/>
    </row>
    <row r="25" spans="2:21" x14ac:dyDescent="0.25">
      <c r="B25" s="23"/>
      <c r="C25" s="23"/>
      <c r="D25" s="24">
        <v>44926</v>
      </c>
      <c r="E25" s="24">
        <v>45291</v>
      </c>
      <c r="F25" s="24">
        <v>45657</v>
      </c>
      <c r="G25" s="25">
        <v>46022</v>
      </c>
      <c r="H25" s="26">
        <v>45838</v>
      </c>
      <c r="I25" s="25">
        <v>46203</v>
      </c>
      <c r="J25" s="27" t="s">
        <v>11</v>
      </c>
      <c r="L25" s="108"/>
      <c r="M25" s="108"/>
      <c r="N25" s="108"/>
      <c r="O25" s="108"/>
      <c r="P25" s="108"/>
      <c r="Q25" s="108"/>
      <c r="R25" s="108"/>
      <c r="S25" s="108"/>
      <c r="T25" s="108"/>
      <c r="U25" s="108"/>
    </row>
    <row r="26" spans="2:21" x14ac:dyDescent="0.25">
      <c r="B26" s="8" t="s">
        <v>55</v>
      </c>
      <c r="C26" s="8"/>
      <c r="D26" s="59">
        <v>11.932740000000001</v>
      </c>
      <c r="E26" s="59">
        <v>86.007000000000005</v>
      </c>
      <c r="F26" s="59">
        <v>167.84255999999999</v>
      </c>
      <c r="G26" s="60">
        <v>164.54462000000001</v>
      </c>
      <c r="H26" s="61">
        <v>125.52009</v>
      </c>
      <c r="I26" s="60">
        <v>170.81058999999999</v>
      </c>
      <c r="J26" s="31">
        <v>0.36082271770200292</v>
      </c>
      <c r="L26" s="108"/>
      <c r="M26" s="108"/>
      <c r="N26" s="108"/>
      <c r="O26" s="108"/>
      <c r="P26" s="108"/>
      <c r="Q26" s="108"/>
      <c r="R26" s="108"/>
      <c r="S26" s="108"/>
      <c r="T26" s="108"/>
      <c r="U26" s="108"/>
    </row>
    <row r="27" spans="2:21" x14ac:dyDescent="0.25">
      <c r="B27" s="39" t="s">
        <v>56</v>
      </c>
      <c r="C27" s="32"/>
      <c r="D27" s="32">
        <v>0.32472000000000001</v>
      </c>
      <c r="E27" s="32">
        <v>0.32215000000000005</v>
      </c>
      <c r="F27" s="32">
        <v>0.32978000000000002</v>
      </c>
      <c r="G27" s="46">
        <v>0.31321899999999997</v>
      </c>
      <c r="H27" s="47">
        <v>0.323266</v>
      </c>
      <c r="I27" s="46">
        <v>0.33175600000000005</v>
      </c>
      <c r="J27" s="31">
        <v>2.6263201202724851E-2</v>
      </c>
      <c r="L27" s="11" t="s">
        <v>1</v>
      </c>
      <c r="M27" s="65"/>
      <c r="N27" s="65"/>
      <c r="O27" s="65"/>
      <c r="P27" s="65"/>
      <c r="Q27" s="65"/>
      <c r="R27" s="65"/>
      <c r="S27" s="65"/>
      <c r="T27" s="65"/>
      <c r="U27" s="65"/>
    </row>
    <row r="28" spans="2:21" x14ac:dyDescent="0.25">
      <c r="B28" s="39" t="s">
        <v>57</v>
      </c>
      <c r="C28" s="32"/>
      <c r="D28" s="32">
        <v>0.25938600000000001</v>
      </c>
      <c r="E28" s="32">
        <v>0.27473999999999998</v>
      </c>
      <c r="F28" s="32">
        <v>0.28442200000000001</v>
      </c>
      <c r="G28" s="46">
        <v>0.26447900000000002</v>
      </c>
      <c r="H28" s="47">
        <v>0.27615100000000004</v>
      </c>
      <c r="I28" s="46">
        <v>0.28616199999999997</v>
      </c>
      <c r="J28" s="31">
        <v>3.6251905660308781E-2</v>
      </c>
      <c r="L28" s="12" t="s">
        <v>362</v>
      </c>
      <c r="M28" s="65"/>
      <c r="N28" s="65"/>
      <c r="O28" s="65"/>
      <c r="P28" s="65"/>
      <c r="Q28" s="65"/>
      <c r="R28" s="65"/>
      <c r="S28" s="65"/>
      <c r="T28" s="65"/>
      <c r="U28" s="65"/>
    </row>
    <row r="29" spans="2:21" x14ac:dyDescent="0.25">
      <c r="B29" s="39" t="s">
        <v>58</v>
      </c>
      <c r="C29" s="32"/>
      <c r="D29" s="32">
        <v>0.29679899999999998</v>
      </c>
      <c r="E29" s="32">
        <v>0.30983899999999998</v>
      </c>
      <c r="F29" s="32">
        <v>0.33309699999999998</v>
      </c>
      <c r="G29" s="46">
        <v>0.31801600000000002</v>
      </c>
      <c r="H29" s="47">
        <v>0.33183399999999996</v>
      </c>
      <c r="I29" s="46">
        <v>0.34045900000000001</v>
      </c>
      <c r="J29" s="31">
        <v>2.5991911618459929E-2</v>
      </c>
      <c r="L29" s="109" t="s">
        <v>363</v>
      </c>
      <c r="M29" s="109"/>
      <c r="N29" s="109"/>
      <c r="O29" s="109"/>
      <c r="P29" s="109"/>
      <c r="Q29" s="109"/>
      <c r="R29" s="109"/>
      <c r="S29" s="109"/>
      <c r="T29" s="109"/>
      <c r="U29" s="109"/>
    </row>
    <row r="30" spans="2:21" x14ac:dyDescent="0.25">
      <c r="B30" s="39" t="s">
        <v>59</v>
      </c>
      <c r="C30" s="32"/>
      <c r="D30" s="32">
        <v>0.16553599999999999</v>
      </c>
      <c r="E30" s="32">
        <v>0.165487</v>
      </c>
      <c r="F30" s="32">
        <v>0.156166</v>
      </c>
      <c r="G30" s="46">
        <v>0.15345300000000001</v>
      </c>
      <c r="H30" s="47">
        <v>0.154691</v>
      </c>
      <c r="I30" s="46">
        <v>0.163656</v>
      </c>
      <c r="J30" s="31">
        <v>5.7954244267604427E-2</v>
      </c>
      <c r="L30" s="109"/>
      <c r="M30" s="109"/>
      <c r="N30" s="109"/>
      <c r="O30" s="109"/>
      <c r="P30" s="109"/>
      <c r="Q30" s="109"/>
      <c r="R30" s="109"/>
      <c r="S30" s="109"/>
      <c r="T30" s="109"/>
      <c r="U30" s="109"/>
    </row>
    <row r="31" spans="2:21" x14ac:dyDescent="0.25">
      <c r="B31" s="33" t="s">
        <v>60</v>
      </c>
      <c r="C31" s="34"/>
      <c r="D31" s="34">
        <v>7.4720999999999996E-2</v>
      </c>
      <c r="E31" s="34">
        <v>0.105434</v>
      </c>
      <c r="F31" s="34">
        <v>0.13106500000000001</v>
      </c>
      <c r="G31" s="48">
        <v>9.5169000000000004E-2</v>
      </c>
      <c r="H31" s="49">
        <v>0</v>
      </c>
      <c r="I31" s="48">
        <v>6.2075999999999999E-2</v>
      </c>
      <c r="J31" s="38" t="s">
        <v>45</v>
      </c>
      <c r="L31" s="71" t="s">
        <v>364</v>
      </c>
      <c r="M31" s="12"/>
      <c r="N31" s="12"/>
      <c r="O31" s="12"/>
      <c r="P31" s="12"/>
      <c r="Q31" s="12"/>
      <c r="R31" s="12"/>
      <c r="S31" s="12"/>
      <c r="T31" s="12"/>
      <c r="U31" s="12"/>
    </row>
    <row r="32" spans="2:21" x14ac:dyDescent="0.25">
      <c r="B32" s="39" t="s">
        <v>61</v>
      </c>
      <c r="C32" s="8"/>
      <c r="D32" s="42">
        <v>6.6542326514371792</v>
      </c>
      <c r="E32" s="42">
        <v>4.7622772461279093</v>
      </c>
      <c r="F32" s="42">
        <v>4.021404801867682</v>
      </c>
      <c r="G32" s="51">
        <v>4.1514440402204924</v>
      </c>
      <c r="H32" s="58">
        <v>3.9057455172589757</v>
      </c>
      <c r="I32" s="51">
        <v>3.6069121965149686</v>
      </c>
      <c r="J32" s="31">
        <v>-7.6511211348384567E-2</v>
      </c>
      <c r="L32" s="71" t="s">
        <v>365</v>
      </c>
      <c r="M32" s="65"/>
      <c r="N32" s="65"/>
      <c r="O32" s="65"/>
      <c r="P32" s="65"/>
      <c r="Q32" s="65"/>
      <c r="R32" s="65"/>
      <c r="S32" s="65"/>
      <c r="T32" s="65"/>
      <c r="U32" s="65"/>
    </row>
    <row r="33" spans="2:21" x14ac:dyDescent="0.25">
      <c r="B33" s="39" t="s">
        <v>62</v>
      </c>
      <c r="C33" s="8"/>
      <c r="D33" s="42">
        <v>9.1293900000000008</v>
      </c>
      <c r="E33" s="42">
        <v>7.2625999999999999</v>
      </c>
      <c r="F33" s="42">
        <v>6.1901599999999997</v>
      </c>
      <c r="G33" s="51">
        <v>6.1508799999999999</v>
      </c>
      <c r="H33" s="58">
        <v>6.1377699999999997</v>
      </c>
      <c r="I33" s="51">
        <v>6.2971000000000004</v>
      </c>
      <c r="J33" s="31">
        <v>2.5958939484536092E-2</v>
      </c>
      <c r="L33" s="12" t="s">
        <v>366</v>
      </c>
    </row>
    <row r="34" spans="2:21" x14ac:dyDescent="0.25">
      <c r="B34" s="39" t="s">
        <v>63</v>
      </c>
      <c r="C34" s="8"/>
      <c r="D34" s="42">
        <v>6.4072800000000001</v>
      </c>
      <c r="E34" s="42">
        <v>5.5852000000000004</v>
      </c>
      <c r="F34" s="42">
        <v>4.6023199999999997</v>
      </c>
      <c r="G34" s="51">
        <v>4.22262</v>
      </c>
      <c r="H34" s="58">
        <v>4.6803699999999999</v>
      </c>
      <c r="I34" s="51">
        <v>4.1856299999999997</v>
      </c>
      <c r="J34" s="31">
        <v>-0.10570531816929007</v>
      </c>
      <c r="L34" s="71" t="s">
        <v>367</v>
      </c>
      <c r="M34" s="12"/>
      <c r="N34" s="12"/>
      <c r="O34" s="12"/>
      <c r="P34" s="12"/>
      <c r="Q34" s="12"/>
      <c r="R34" s="12"/>
      <c r="S34" s="12"/>
      <c r="T34" s="12"/>
      <c r="U34" s="12"/>
    </row>
    <row r="35" spans="2:21" x14ac:dyDescent="0.25">
      <c r="B35" s="39" t="s">
        <v>64</v>
      </c>
      <c r="C35" s="8"/>
      <c r="D35" s="42">
        <v>2.3281800000000001</v>
      </c>
      <c r="E35" s="42">
        <v>2.4738500000000001</v>
      </c>
      <c r="F35" s="42">
        <v>2.9009399999999999</v>
      </c>
      <c r="G35" s="51">
        <v>3.2672500000000002</v>
      </c>
      <c r="H35" s="58">
        <v>2.6746699999999999</v>
      </c>
      <c r="I35" s="51">
        <v>2.9556800000000001</v>
      </c>
      <c r="J35" s="31">
        <v>0.10506342838555782</v>
      </c>
      <c r="L35" s="109" t="s">
        <v>368</v>
      </c>
      <c r="M35" s="109"/>
      <c r="N35" s="109"/>
      <c r="O35" s="109"/>
      <c r="P35" s="109"/>
      <c r="Q35" s="109"/>
      <c r="R35" s="109"/>
      <c r="S35" s="109"/>
      <c r="T35" s="109"/>
      <c r="U35" s="109"/>
    </row>
    <row r="36" spans="2:21" x14ac:dyDescent="0.25">
      <c r="B36" s="39" t="s">
        <v>65</v>
      </c>
      <c r="C36" s="8"/>
      <c r="D36" s="42">
        <v>2.2897699999999999</v>
      </c>
      <c r="E36" s="42">
        <v>2.2440500000000001</v>
      </c>
      <c r="F36" s="42">
        <v>2.4924900000000001</v>
      </c>
      <c r="G36" s="51">
        <v>2.8947699999999998</v>
      </c>
      <c r="H36" s="58">
        <v>2.3868900000000002</v>
      </c>
      <c r="I36" s="51">
        <v>2.5977899999999998</v>
      </c>
      <c r="J36" s="31">
        <v>8.8357653683244664E-2</v>
      </c>
      <c r="L36" s="109"/>
      <c r="M36" s="109"/>
      <c r="N36" s="109"/>
      <c r="O36" s="109"/>
      <c r="P36" s="109"/>
      <c r="Q36" s="109"/>
      <c r="R36" s="109"/>
      <c r="S36" s="109"/>
      <c r="T36" s="109"/>
      <c r="U36" s="109"/>
    </row>
    <row r="37" spans="2:21" x14ac:dyDescent="0.25">
      <c r="B37" s="39" t="s">
        <v>66</v>
      </c>
      <c r="C37" s="8"/>
      <c r="D37" s="42">
        <v>3.3172999999999999</v>
      </c>
      <c r="E37" s="42">
        <v>3.2168299999999999</v>
      </c>
      <c r="F37" s="42">
        <v>3.9017900000000001</v>
      </c>
      <c r="G37" s="51">
        <v>4.7592499999999998</v>
      </c>
      <c r="H37" s="58">
        <v>3.50752</v>
      </c>
      <c r="I37" s="51">
        <v>4.4466900000000003</v>
      </c>
      <c r="J37" s="31">
        <v>0.26775898640634987</v>
      </c>
      <c r="L37" s="12" t="s">
        <v>369</v>
      </c>
      <c r="M37" s="12"/>
      <c r="N37" s="12"/>
      <c r="O37" s="12"/>
      <c r="P37" s="12"/>
      <c r="Q37" s="12"/>
      <c r="R37" s="12"/>
      <c r="S37" s="12"/>
      <c r="T37" s="12"/>
      <c r="U37" s="12"/>
    </row>
    <row r="38" spans="2:21" x14ac:dyDescent="0.25">
      <c r="B38" s="33" t="s">
        <v>67</v>
      </c>
      <c r="C38" s="52"/>
      <c r="D38" s="52">
        <v>3.2625700000000002</v>
      </c>
      <c r="E38" s="52">
        <v>2.9180000000000001</v>
      </c>
      <c r="F38" s="52">
        <v>3.35242</v>
      </c>
      <c r="G38" s="53">
        <v>4.2166699999999997</v>
      </c>
      <c r="H38" s="54">
        <v>3.1301299999999999</v>
      </c>
      <c r="I38" s="53">
        <v>3.9082599999999998</v>
      </c>
      <c r="J38" s="38">
        <v>0.24859350889579668</v>
      </c>
      <c r="L38" s="71" t="s">
        <v>370</v>
      </c>
    </row>
    <row r="39" spans="2:21" x14ac:dyDescent="0.25">
      <c r="B39" s="8" t="s">
        <v>68</v>
      </c>
      <c r="C39" s="42"/>
      <c r="D39" s="59">
        <v>53.401330000000002</v>
      </c>
      <c r="E39" s="59">
        <v>51.83511</v>
      </c>
      <c r="F39" s="59">
        <v>51.683959999999999</v>
      </c>
      <c r="G39" s="60">
        <v>50.852170000000001</v>
      </c>
      <c r="H39" s="61">
        <v>0</v>
      </c>
      <c r="I39" s="60">
        <v>49.60277</v>
      </c>
      <c r="J39" s="31" t="s">
        <v>45</v>
      </c>
      <c r="L39" s="71" t="s">
        <v>371</v>
      </c>
      <c r="M39" s="15"/>
      <c r="N39" s="15"/>
      <c r="O39" s="15"/>
      <c r="P39" s="15"/>
      <c r="Q39" s="15"/>
      <c r="R39" s="15"/>
      <c r="S39" s="15"/>
      <c r="T39" s="15"/>
      <c r="U39" s="15"/>
    </row>
    <row r="40" spans="2:21" x14ac:dyDescent="0.25">
      <c r="B40" s="8" t="s">
        <v>69</v>
      </c>
      <c r="C40" s="42"/>
      <c r="D40" s="59">
        <v>50.680250000000001</v>
      </c>
      <c r="E40" s="59">
        <v>44.421959999999999</v>
      </c>
      <c r="F40" s="59">
        <v>45.495629999999998</v>
      </c>
      <c r="G40" s="60">
        <v>45.578650000000003</v>
      </c>
      <c r="H40" s="61">
        <v>0</v>
      </c>
      <c r="I40" s="60">
        <v>42.558639999999997</v>
      </c>
      <c r="J40" s="31" t="s">
        <v>45</v>
      </c>
      <c r="L40" s="71" t="s">
        <v>372</v>
      </c>
      <c r="M40" s="15"/>
      <c r="N40" s="15"/>
      <c r="O40" s="15"/>
      <c r="P40" s="15"/>
      <c r="Q40" s="15"/>
      <c r="R40" s="15"/>
      <c r="S40" s="15"/>
      <c r="T40" s="15"/>
      <c r="U40" s="15"/>
    </row>
    <row r="41" spans="2:21" x14ac:dyDescent="0.25">
      <c r="B41" s="8" t="s">
        <v>70</v>
      </c>
      <c r="C41" s="42"/>
      <c r="D41" s="59">
        <v>4.8442800000000004</v>
      </c>
      <c r="E41" s="59">
        <v>3.9591599999999998</v>
      </c>
      <c r="F41" s="59">
        <v>4.0765099999999999</v>
      </c>
      <c r="G41" s="60">
        <v>4.6033799999999996</v>
      </c>
      <c r="H41" s="61">
        <v>0</v>
      </c>
      <c r="I41" s="60">
        <v>5.0136399999999997</v>
      </c>
      <c r="J41" s="31" t="s">
        <v>45</v>
      </c>
      <c r="L41" s="12" t="s">
        <v>373</v>
      </c>
      <c r="M41" s="15"/>
      <c r="N41" s="15"/>
      <c r="O41" s="15"/>
      <c r="P41" s="15"/>
      <c r="Q41" s="15"/>
      <c r="R41" s="15"/>
      <c r="S41" s="15"/>
      <c r="T41" s="15"/>
      <c r="U41" s="15"/>
    </row>
    <row r="42" spans="2:21" x14ac:dyDescent="0.25">
      <c r="B42" s="39" t="s">
        <v>71</v>
      </c>
      <c r="C42" s="42"/>
      <c r="D42" s="42">
        <v>0.35060999999999998</v>
      </c>
      <c r="E42" s="42">
        <v>0.37797999999999998</v>
      </c>
      <c r="F42" s="42">
        <v>0.54225000000000001</v>
      </c>
      <c r="G42" s="51">
        <v>0.45873000000000003</v>
      </c>
      <c r="H42" s="58">
        <v>0.50927999999999995</v>
      </c>
      <c r="I42" s="51">
        <v>0.51932999999999996</v>
      </c>
      <c r="J42" s="31">
        <v>1.9733741753063194E-2</v>
      </c>
      <c r="L42" s="71" t="s">
        <v>374</v>
      </c>
      <c r="M42" s="15"/>
      <c r="N42" s="15"/>
      <c r="O42" s="15"/>
      <c r="P42" s="15"/>
      <c r="Q42" s="15"/>
      <c r="R42" s="15"/>
      <c r="S42" s="15"/>
      <c r="T42" s="15"/>
      <c r="U42" s="15"/>
    </row>
    <row r="43" spans="2:21" x14ac:dyDescent="0.25">
      <c r="B43" s="39" t="s">
        <v>72</v>
      </c>
      <c r="C43" s="42"/>
      <c r="D43" s="42">
        <v>0.32178000000000001</v>
      </c>
      <c r="E43" s="42">
        <v>0.35283999999999999</v>
      </c>
      <c r="F43" s="42">
        <v>0.51393</v>
      </c>
      <c r="G43" s="51">
        <v>0.42307</v>
      </c>
      <c r="H43" s="58">
        <v>0.46432000000000001</v>
      </c>
      <c r="I43" s="51">
        <v>0.48129</v>
      </c>
      <c r="J43" s="31">
        <v>3.6548070296347213E-2</v>
      </c>
      <c r="L43" s="71" t="s">
        <v>375</v>
      </c>
      <c r="M43" s="15"/>
      <c r="N43" s="15"/>
      <c r="O43" s="15"/>
      <c r="P43" s="15"/>
      <c r="Q43" s="15"/>
      <c r="R43" s="15"/>
      <c r="S43" s="15"/>
      <c r="T43" s="15"/>
      <c r="U43" s="15"/>
    </row>
    <row r="44" spans="2:21" x14ac:dyDescent="0.25">
      <c r="B44" s="33" t="s">
        <v>73</v>
      </c>
      <c r="C44" s="43"/>
      <c r="D44" s="43">
        <v>7.5653600000000001</v>
      </c>
      <c r="E44" s="43">
        <v>11.372310000000001</v>
      </c>
      <c r="F44" s="43">
        <v>10.26484</v>
      </c>
      <c r="G44" s="62">
        <v>9.8768999999999991</v>
      </c>
      <c r="H44" s="63">
        <v>0</v>
      </c>
      <c r="I44" s="62">
        <v>12.057779999999999</v>
      </c>
      <c r="J44" s="38" t="s">
        <v>45</v>
      </c>
      <c r="L44" s="15"/>
      <c r="M44" s="15"/>
      <c r="N44" s="15"/>
      <c r="O44" s="15"/>
      <c r="P44" s="15"/>
      <c r="Q44" s="15"/>
      <c r="R44" s="15"/>
      <c r="S44" s="15"/>
      <c r="T44" s="15"/>
      <c r="U44" s="15"/>
    </row>
    <row r="45" spans="2:21" x14ac:dyDescent="0.25">
      <c r="B45" s="39" t="s">
        <v>38</v>
      </c>
      <c r="C45" s="32"/>
      <c r="D45" s="32">
        <v>8.3621000000000001E-2</v>
      </c>
      <c r="E45" s="32">
        <v>9.257E-2</v>
      </c>
      <c r="F45" s="32">
        <v>8.2481000000000013E-2</v>
      </c>
      <c r="G45" s="46">
        <v>6.4870999999999998E-2</v>
      </c>
      <c r="H45" s="47">
        <v>0</v>
      </c>
      <c r="I45" s="46">
        <v>7.1904999999999997E-2</v>
      </c>
      <c r="J45" s="31" t="s">
        <v>45</v>
      </c>
      <c r="L45" s="94" t="s">
        <v>3</v>
      </c>
      <c r="M45" s="94"/>
      <c r="N45" s="94"/>
      <c r="O45" s="94"/>
      <c r="P45" s="94"/>
      <c r="Q45" s="94"/>
      <c r="R45" s="94"/>
      <c r="S45" s="94"/>
      <c r="T45" s="94"/>
      <c r="U45" s="94"/>
    </row>
    <row r="46" spans="2:21" x14ac:dyDescent="0.25">
      <c r="B46" s="39" t="s">
        <v>74</v>
      </c>
      <c r="C46" s="32"/>
      <c r="D46" s="32">
        <v>0.10219400000000001</v>
      </c>
      <c r="E46" s="32">
        <v>0.112691</v>
      </c>
      <c r="F46" s="32">
        <v>0.10102</v>
      </c>
      <c r="G46" s="46">
        <v>7.9364999999999991E-2</v>
      </c>
      <c r="H46" s="47">
        <v>0</v>
      </c>
      <c r="I46" s="46">
        <v>8.7735000000000007E-2</v>
      </c>
      <c r="J46" s="31" t="s">
        <v>45</v>
      </c>
      <c r="L46" s="113" t="s">
        <v>376</v>
      </c>
      <c r="M46" s="113"/>
      <c r="N46" s="113"/>
      <c r="O46" s="113"/>
      <c r="P46" s="113"/>
      <c r="Q46" s="113"/>
      <c r="R46" s="113"/>
      <c r="S46" s="113"/>
      <c r="T46" s="113"/>
      <c r="U46" s="113"/>
    </row>
    <row r="47" spans="2:21" x14ac:dyDescent="0.25">
      <c r="B47" s="33" t="s">
        <v>35</v>
      </c>
      <c r="C47" s="34"/>
      <c r="D47" s="34">
        <v>0.18404299999999998</v>
      </c>
      <c r="E47" s="34">
        <v>0.19860700000000001</v>
      </c>
      <c r="F47" s="34">
        <v>0.172259</v>
      </c>
      <c r="G47" s="48">
        <v>0.14193</v>
      </c>
      <c r="H47" s="49">
        <v>0</v>
      </c>
      <c r="I47" s="48">
        <v>0.14834700000000001</v>
      </c>
      <c r="J47" s="38" t="s">
        <v>45</v>
      </c>
      <c r="L47" s="95" t="s">
        <v>377</v>
      </c>
      <c r="M47" s="95"/>
      <c r="N47" s="95"/>
      <c r="O47" s="95"/>
      <c r="P47" s="95"/>
      <c r="Q47" s="95"/>
      <c r="R47" s="95"/>
      <c r="S47" s="95"/>
      <c r="T47" s="95"/>
      <c r="U47" s="95"/>
    </row>
    <row r="48" spans="2:21" x14ac:dyDescent="0.25">
      <c r="L48" s="112" t="s">
        <v>378</v>
      </c>
      <c r="M48" s="112"/>
      <c r="N48" s="112"/>
      <c r="O48" s="112"/>
      <c r="P48" s="112"/>
      <c r="Q48" s="112"/>
      <c r="R48" s="112"/>
      <c r="S48" s="112"/>
      <c r="T48" s="112"/>
      <c r="U48" s="112"/>
    </row>
    <row r="49" spans="12:21" x14ac:dyDescent="0.25">
      <c r="L49" s="95" t="s">
        <v>379</v>
      </c>
      <c r="M49" s="95"/>
      <c r="N49" s="95"/>
      <c r="O49" s="95"/>
      <c r="P49" s="95"/>
      <c r="Q49" s="95"/>
      <c r="R49" s="95"/>
      <c r="S49" s="95"/>
      <c r="T49" s="95"/>
      <c r="U49" s="95"/>
    </row>
    <row r="50" spans="12:21" x14ac:dyDescent="0.25">
      <c r="L50" s="95" t="s">
        <v>380</v>
      </c>
      <c r="M50" s="100"/>
      <c r="N50" s="100"/>
      <c r="O50" s="100"/>
      <c r="P50" s="100"/>
      <c r="Q50" s="100"/>
      <c r="R50" s="100"/>
      <c r="S50" s="100"/>
      <c r="T50" s="100"/>
      <c r="U50" s="100"/>
    </row>
    <row r="51" spans="12:21" x14ac:dyDescent="0.25">
      <c r="L51" s="95" t="s">
        <v>381</v>
      </c>
      <c r="M51" s="100"/>
      <c r="N51" s="100"/>
      <c r="O51" s="100"/>
      <c r="P51" s="100"/>
      <c r="Q51" s="100"/>
      <c r="R51" s="100"/>
      <c r="S51" s="100"/>
      <c r="T51" s="100"/>
      <c r="U51" s="100"/>
    </row>
    <row r="52" spans="12:21" x14ac:dyDescent="0.25">
      <c r="L52" s="112" t="s">
        <v>382</v>
      </c>
      <c r="M52" s="112"/>
      <c r="N52" s="112"/>
      <c r="O52" s="112"/>
      <c r="P52" s="112"/>
      <c r="Q52" s="112"/>
      <c r="R52" s="112"/>
      <c r="S52" s="112"/>
      <c r="T52" s="112"/>
      <c r="U52" s="112"/>
    </row>
    <row r="53" spans="12:21" x14ac:dyDescent="0.25">
      <c r="L53" s="115" t="s">
        <v>383</v>
      </c>
      <c r="M53" s="115"/>
      <c r="N53" s="115"/>
      <c r="O53" s="115"/>
      <c r="P53" s="115"/>
      <c r="Q53" s="115"/>
      <c r="R53" s="115"/>
      <c r="S53" s="115"/>
      <c r="T53" s="115"/>
      <c r="U53" s="115"/>
    </row>
    <row r="54" spans="12:21" x14ac:dyDescent="0.25">
      <c r="L54" s="115"/>
      <c r="M54" s="115"/>
      <c r="N54" s="115"/>
      <c r="O54" s="115"/>
      <c r="P54" s="115"/>
      <c r="Q54" s="115"/>
      <c r="R54" s="115"/>
      <c r="S54" s="115"/>
      <c r="T54" s="115"/>
      <c r="U54" s="115"/>
    </row>
    <row r="55" spans="12:21" x14ac:dyDescent="0.25">
      <c r="L55" s="95" t="s">
        <v>384</v>
      </c>
      <c r="M55" s="100"/>
      <c r="N55" s="100"/>
      <c r="O55" s="100"/>
      <c r="P55" s="100"/>
      <c r="Q55" s="100"/>
      <c r="R55" s="100"/>
      <c r="S55" s="100"/>
      <c r="T55" s="100"/>
      <c r="U55" s="100"/>
    </row>
    <row r="56" spans="12:21" x14ac:dyDescent="0.25">
      <c r="L56" s="112" t="s">
        <v>85</v>
      </c>
      <c r="M56" s="112"/>
      <c r="N56" s="112"/>
      <c r="O56" s="112"/>
      <c r="P56" s="112"/>
      <c r="Q56" s="112"/>
      <c r="R56" s="112"/>
      <c r="S56" s="112"/>
      <c r="T56" s="112"/>
      <c r="U56" s="112"/>
    </row>
    <row r="57" spans="12:21" x14ac:dyDescent="0.25">
      <c r="L57" s="101"/>
      <c r="M57" s="101"/>
      <c r="N57" s="101"/>
      <c r="O57" s="101"/>
      <c r="P57" s="101"/>
      <c r="Q57" s="101"/>
      <c r="R57" s="101"/>
      <c r="S57" s="101"/>
      <c r="T57" s="101"/>
      <c r="U57" s="101"/>
    </row>
    <row r="58" spans="12:21" x14ac:dyDescent="0.25">
      <c r="L58" s="101"/>
      <c r="M58" s="101"/>
      <c r="N58" s="101"/>
      <c r="O58" s="101"/>
      <c r="P58" s="101"/>
      <c r="Q58" s="101"/>
      <c r="R58" s="101"/>
      <c r="S58" s="101"/>
      <c r="T58" s="101"/>
      <c r="U58" s="101"/>
    </row>
    <row r="59" spans="12:21" x14ac:dyDescent="0.25">
      <c r="L59" s="112" t="s">
        <v>385</v>
      </c>
      <c r="M59" s="112"/>
      <c r="N59" s="112"/>
      <c r="O59" s="112"/>
      <c r="P59" s="112"/>
      <c r="Q59" s="112"/>
      <c r="R59" s="112"/>
      <c r="S59" s="112"/>
      <c r="T59" s="112"/>
      <c r="U59" s="112"/>
    </row>
    <row r="60" spans="12:21" x14ac:dyDescent="0.25">
      <c r="L60" s="95" t="s">
        <v>386</v>
      </c>
      <c r="M60" s="95"/>
      <c r="N60" s="95"/>
      <c r="O60" s="95"/>
      <c r="P60" s="95"/>
      <c r="Q60" s="95"/>
      <c r="R60" s="95"/>
      <c r="S60" s="95"/>
      <c r="T60" s="95"/>
      <c r="U60" s="95"/>
    </row>
    <row r="61" spans="12:21" x14ac:dyDescent="0.25">
      <c r="L61" s="95" t="s">
        <v>387</v>
      </c>
      <c r="M61" s="95"/>
      <c r="N61" s="95"/>
      <c r="O61" s="95"/>
      <c r="P61" s="95"/>
      <c r="Q61" s="95"/>
      <c r="R61" s="95"/>
      <c r="S61" s="95"/>
      <c r="T61" s="95"/>
      <c r="U61" s="95"/>
    </row>
    <row r="62" spans="12:21" x14ac:dyDescent="0.25">
      <c r="L62" s="100"/>
      <c r="M62" s="100"/>
      <c r="N62" s="100"/>
      <c r="O62" s="100"/>
      <c r="P62" s="100"/>
      <c r="Q62" s="100"/>
      <c r="R62" s="100"/>
      <c r="S62" s="100"/>
      <c r="T62" s="100"/>
      <c r="U62" s="100"/>
    </row>
    <row r="63" spans="12:21" x14ac:dyDescent="0.25">
      <c r="L63" s="100"/>
      <c r="M63" s="100"/>
      <c r="N63" s="100"/>
      <c r="O63" s="100"/>
      <c r="P63" s="100"/>
      <c r="Q63" s="100"/>
      <c r="R63" s="100"/>
      <c r="S63" s="100"/>
      <c r="T63" s="100"/>
      <c r="U63" s="100"/>
    </row>
  </sheetData>
  <mergeCells count="9">
    <mergeCell ref="L53:U54"/>
    <mergeCell ref="L56:U56"/>
    <mergeCell ref="L59:U59"/>
    <mergeCell ref="L6:U26"/>
    <mergeCell ref="L29:U30"/>
    <mergeCell ref="L35:U36"/>
    <mergeCell ref="L46:U46"/>
    <mergeCell ref="L48:U48"/>
    <mergeCell ref="L52:U5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742FD-AF04-4450-B643-943E2BE43E70}">
  <dimension ref="B1:U70"/>
  <sheetViews>
    <sheetView topLeftCell="A18" workbookViewId="0">
      <selection activeCell="B23" sqref="B23:J47"/>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x14ac:dyDescent="0.25">
      <c r="L6" s="108" t="s">
        <v>388</v>
      </c>
      <c r="M6" s="108"/>
      <c r="N6" s="108"/>
      <c r="O6" s="108"/>
      <c r="P6" s="108"/>
      <c r="Q6" s="108"/>
      <c r="R6" s="108"/>
      <c r="S6" s="108"/>
      <c r="T6" s="108"/>
      <c r="U6" s="108"/>
    </row>
    <row r="7" spans="12:21" x14ac:dyDescent="0.25">
      <c r="L7" s="108"/>
      <c r="M7" s="108"/>
      <c r="N7" s="108"/>
      <c r="O7" s="108"/>
      <c r="P7" s="108"/>
      <c r="Q7" s="108"/>
      <c r="R7" s="108"/>
      <c r="S7" s="108"/>
      <c r="T7" s="108"/>
      <c r="U7" s="108"/>
    </row>
    <row r="8" spans="12:21" x14ac:dyDescent="0.25">
      <c r="L8" s="108"/>
      <c r="M8" s="108"/>
      <c r="N8" s="108"/>
      <c r="O8" s="108"/>
      <c r="P8" s="108"/>
      <c r="Q8" s="108"/>
      <c r="R8" s="108"/>
      <c r="S8" s="108"/>
      <c r="T8" s="108"/>
      <c r="U8" s="108"/>
    </row>
    <row r="9" spans="12:21" x14ac:dyDescent="0.25">
      <c r="L9" s="108"/>
      <c r="M9" s="108"/>
      <c r="N9" s="108"/>
      <c r="O9" s="108"/>
      <c r="P9" s="108"/>
      <c r="Q9" s="108"/>
      <c r="R9" s="108"/>
      <c r="S9" s="108"/>
      <c r="T9" s="108"/>
      <c r="U9" s="108"/>
    </row>
    <row r="10" spans="12:21" x14ac:dyDescent="0.25">
      <c r="L10" s="108"/>
      <c r="M10" s="108"/>
      <c r="N10" s="108"/>
      <c r="O10" s="108"/>
      <c r="P10" s="108"/>
      <c r="Q10" s="108"/>
      <c r="R10" s="108"/>
      <c r="S10" s="108"/>
      <c r="T10" s="108"/>
      <c r="U10" s="108"/>
    </row>
    <row r="11" spans="12:21" x14ac:dyDescent="0.25">
      <c r="L11" s="108"/>
      <c r="M11" s="108"/>
      <c r="N11" s="108"/>
      <c r="O11" s="108"/>
      <c r="P11" s="108"/>
      <c r="Q11" s="108"/>
      <c r="R11" s="108"/>
      <c r="S11" s="108"/>
      <c r="T11" s="108"/>
      <c r="U11" s="108"/>
    </row>
    <row r="12" spans="12:21" x14ac:dyDescent="0.25">
      <c r="L12" s="108"/>
      <c r="M12" s="108"/>
      <c r="N12" s="108"/>
      <c r="O12" s="108"/>
      <c r="P12" s="108"/>
      <c r="Q12" s="108"/>
      <c r="R12" s="108"/>
      <c r="S12" s="108"/>
      <c r="T12" s="108"/>
      <c r="U12" s="108"/>
    </row>
    <row r="13" spans="12:21" x14ac:dyDescent="0.25">
      <c r="L13" s="108"/>
      <c r="M13" s="108"/>
      <c r="N13" s="108"/>
      <c r="O13" s="108"/>
      <c r="P13" s="108"/>
      <c r="Q13" s="108"/>
      <c r="R13" s="108"/>
      <c r="S13" s="108"/>
      <c r="T13" s="108"/>
      <c r="U13" s="108"/>
    </row>
    <row r="14" spans="12:21" x14ac:dyDescent="0.25">
      <c r="L14" s="108"/>
      <c r="M14" s="108"/>
      <c r="N14" s="108"/>
      <c r="O14" s="108"/>
      <c r="P14" s="108"/>
      <c r="Q14" s="108"/>
      <c r="R14" s="108"/>
      <c r="S14" s="108"/>
      <c r="T14" s="108"/>
      <c r="U14" s="108"/>
    </row>
    <row r="15" spans="12:21" x14ac:dyDescent="0.25">
      <c r="L15" s="108"/>
      <c r="M15" s="108"/>
      <c r="N15" s="108"/>
      <c r="O15" s="108"/>
      <c r="P15" s="108"/>
      <c r="Q15" s="108"/>
      <c r="R15" s="108"/>
      <c r="S15" s="108"/>
      <c r="T15" s="108"/>
      <c r="U15" s="108"/>
    </row>
    <row r="16" spans="12:21" x14ac:dyDescent="0.25">
      <c r="L16" s="108"/>
      <c r="M16" s="108"/>
      <c r="N16" s="108"/>
      <c r="O16" s="108"/>
      <c r="P16" s="108"/>
      <c r="Q16" s="108"/>
      <c r="R16" s="108"/>
      <c r="S16" s="108"/>
      <c r="T16" s="108"/>
      <c r="U16" s="108"/>
    </row>
    <row r="17" spans="2:21" x14ac:dyDescent="0.25">
      <c r="L17" s="108"/>
      <c r="M17" s="108"/>
      <c r="N17" s="108"/>
      <c r="O17" s="108"/>
      <c r="P17" s="108"/>
      <c r="Q17" s="108"/>
      <c r="R17" s="108"/>
      <c r="S17" s="108"/>
      <c r="T17" s="108"/>
      <c r="U17" s="108"/>
    </row>
    <row r="18" spans="2:21" x14ac:dyDescent="0.25">
      <c r="L18" s="108"/>
      <c r="M18" s="108"/>
      <c r="N18" s="108"/>
      <c r="O18" s="108"/>
      <c r="P18" s="108"/>
      <c r="Q18" s="108"/>
      <c r="R18" s="108"/>
      <c r="S18" s="108"/>
      <c r="T18" s="108"/>
      <c r="U18" s="108"/>
    </row>
    <row r="19" spans="2:21" x14ac:dyDescent="0.25">
      <c r="L19" s="108"/>
      <c r="M19" s="108"/>
      <c r="N19" s="108"/>
      <c r="O19" s="108"/>
      <c r="P19" s="108"/>
      <c r="Q19" s="108"/>
      <c r="R19" s="108"/>
      <c r="S19" s="108"/>
      <c r="T19" s="108"/>
      <c r="U19" s="108"/>
    </row>
    <row r="20" spans="2:21" x14ac:dyDescent="0.25">
      <c r="L20" s="108"/>
      <c r="M20" s="108"/>
      <c r="N20" s="108"/>
      <c r="O20" s="108"/>
      <c r="P20" s="108"/>
      <c r="Q20" s="108"/>
      <c r="R20" s="108"/>
      <c r="S20" s="108"/>
      <c r="T20" s="108"/>
      <c r="U20" s="108"/>
    </row>
    <row r="21" spans="2:21" x14ac:dyDescent="0.25">
      <c r="L21" s="108"/>
      <c r="M21" s="108"/>
      <c r="N21" s="108"/>
      <c r="O21" s="108"/>
      <c r="P21" s="108"/>
      <c r="Q21" s="108"/>
      <c r="R21" s="108"/>
      <c r="S21" s="108"/>
      <c r="T21" s="108"/>
      <c r="U21" s="108"/>
    </row>
    <row r="22" spans="2:21" x14ac:dyDescent="0.25">
      <c r="L22" s="108"/>
      <c r="M22" s="108"/>
      <c r="N22" s="108"/>
      <c r="O22" s="108"/>
      <c r="P22" s="108"/>
      <c r="Q22" s="108"/>
      <c r="R22" s="108"/>
      <c r="S22" s="108"/>
      <c r="T22" s="108"/>
      <c r="U22" s="108"/>
    </row>
    <row r="23" spans="2:21" x14ac:dyDescent="0.25">
      <c r="B23" t="s">
        <v>4</v>
      </c>
      <c r="D23" t="s">
        <v>5</v>
      </c>
      <c r="E23" t="s">
        <v>6</v>
      </c>
      <c r="F23" t="s">
        <v>7</v>
      </c>
      <c r="G23" t="s">
        <v>8</v>
      </c>
      <c r="H23" t="s">
        <v>502</v>
      </c>
      <c r="I23" t="s">
        <v>503</v>
      </c>
      <c r="L23" s="108"/>
      <c r="M23" s="108"/>
      <c r="N23" s="108"/>
      <c r="O23" s="108"/>
      <c r="P23" s="108"/>
      <c r="Q23" s="108"/>
      <c r="R23" s="108"/>
      <c r="S23" s="108"/>
      <c r="T23" s="108"/>
      <c r="U23" s="108"/>
    </row>
    <row r="24" spans="2:21" x14ac:dyDescent="0.25">
      <c r="B24" s="1"/>
      <c r="C24" s="1"/>
      <c r="D24" s="19" t="s">
        <v>9</v>
      </c>
      <c r="E24" s="20"/>
      <c r="F24" s="20"/>
      <c r="G24" s="21"/>
      <c r="H24" s="22" t="s">
        <v>10</v>
      </c>
      <c r="I24" s="20"/>
      <c r="J24" s="20"/>
      <c r="L24" s="108"/>
      <c r="M24" s="108"/>
      <c r="N24" s="108"/>
      <c r="O24" s="108"/>
      <c r="P24" s="108"/>
      <c r="Q24" s="108"/>
      <c r="R24" s="108"/>
      <c r="S24" s="108"/>
      <c r="T24" s="108"/>
      <c r="U24" s="108"/>
    </row>
    <row r="25" spans="2:21" x14ac:dyDescent="0.25">
      <c r="B25" s="23"/>
      <c r="C25" s="23"/>
      <c r="D25" s="24">
        <v>44926</v>
      </c>
      <c r="E25" s="24">
        <v>45291</v>
      </c>
      <c r="F25" s="24">
        <v>45657</v>
      </c>
      <c r="G25" s="25">
        <v>46022</v>
      </c>
      <c r="H25" s="26">
        <v>45838</v>
      </c>
      <c r="I25" s="25">
        <v>46203</v>
      </c>
      <c r="J25" s="27" t="s">
        <v>11</v>
      </c>
      <c r="L25" s="108"/>
      <c r="M25" s="108"/>
      <c r="N25" s="108"/>
      <c r="O25" s="108"/>
      <c r="P25" s="108"/>
      <c r="Q25" s="108"/>
      <c r="R25" s="108"/>
      <c r="S25" s="108"/>
      <c r="T25" s="108"/>
      <c r="U25" s="108"/>
    </row>
    <row r="26" spans="2:21" x14ac:dyDescent="0.25">
      <c r="B26" s="8" t="s">
        <v>92</v>
      </c>
      <c r="C26" s="8"/>
      <c r="D26" s="59">
        <v>257.36900000000003</v>
      </c>
      <c r="E26" s="59">
        <v>520.68499999999995</v>
      </c>
      <c r="F26" s="59">
        <v>409.57499999999999</v>
      </c>
      <c r="G26" s="60">
        <v>491.05</v>
      </c>
      <c r="H26" s="61">
        <v>221.876</v>
      </c>
      <c r="I26" s="60">
        <v>159.17099999999999</v>
      </c>
      <c r="J26" s="31">
        <v>-0.28261281075916278</v>
      </c>
      <c r="L26" s="11" t="s">
        <v>1</v>
      </c>
      <c r="M26" s="65"/>
      <c r="N26" s="65"/>
      <c r="O26" s="65"/>
      <c r="P26" s="65"/>
      <c r="Q26" s="65"/>
      <c r="R26" s="65"/>
      <c r="S26" s="65"/>
      <c r="T26" s="65"/>
      <c r="U26" s="65"/>
    </row>
    <row r="27" spans="2:21" x14ac:dyDescent="0.25">
      <c r="B27" s="39" t="s">
        <v>56</v>
      </c>
      <c r="C27" s="32"/>
      <c r="D27" s="32">
        <v>0.48307600000000001</v>
      </c>
      <c r="E27" s="32">
        <v>0.459171</v>
      </c>
      <c r="F27" s="32">
        <v>0.52456199999999997</v>
      </c>
      <c r="G27" s="46">
        <v>0.540099</v>
      </c>
      <c r="H27" s="47">
        <v>0.54075799999999996</v>
      </c>
      <c r="I27" s="46">
        <v>0.476715</v>
      </c>
      <c r="J27" s="31">
        <v>-0.11843190484468091</v>
      </c>
      <c r="L27" s="12" t="s">
        <v>389</v>
      </c>
      <c r="M27" s="65"/>
      <c r="N27" s="65"/>
      <c r="O27" s="65"/>
      <c r="P27" s="65"/>
      <c r="Q27" s="65"/>
      <c r="R27" s="65"/>
      <c r="S27" s="65"/>
      <c r="T27" s="65"/>
      <c r="U27" s="65"/>
    </row>
    <row r="28" spans="2:21" x14ac:dyDescent="0.25">
      <c r="B28" s="39" t="s">
        <v>57</v>
      </c>
      <c r="C28" s="32"/>
      <c r="D28" s="32">
        <v>0.45001600000000003</v>
      </c>
      <c r="E28" s="32">
        <v>0.42891199999999996</v>
      </c>
      <c r="F28" s="32">
        <v>0.50085800000000003</v>
      </c>
      <c r="G28" s="46">
        <v>0.50036000000000003</v>
      </c>
      <c r="H28" s="47">
        <v>0.51006099999999999</v>
      </c>
      <c r="I28" s="46">
        <v>0.43595100000000003</v>
      </c>
      <c r="J28" s="31">
        <v>-0.14529634690752669</v>
      </c>
      <c r="L28" s="106" t="s">
        <v>390</v>
      </c>
      <c r="M28" s="106"/>
      <c r="N28" s="106"/>
      <c r="O28" s="106"/>
      <c r="P28" s="106"/>
      <c r="Q28" s="106"/>
      <c r="R28" s="106"/>
      <c r="S28" s="106"/>
      <c r="T28" s="106"/>
      <c r="U28" s="106"/>
    </row>
    <row r="29" spans="2:21" x14ac:dyDescent="0.25">
      <c r="B29" s="39" t="s">
        <v>58</v>
      </c>
      <c r="C29" s="32"/>
      <c r="D29" s="32">
        <v>0.52899399999999996</v>
      </c>
      <c r="E29" s="32">
        <v>0.500058</v>
      </c>
      <c r="F29" s="32">
        <v>0.57719900000000002</v>
      </c>
      <c r="G29" s="46">
        <v>0.59052000000000004</v>
      </c>
      <c r="H29" s="47">
        <v>0.59376300000000004</v>
      </c>
      <c r="I29" s="46">
        <v>0.53956300000000001</v>
      </c>
      <c r="J29" s="31">
        <v>-9.1282211926307366E-2</v>
      </c>
      <c r="L29" s="109" t="s">
        <v>391</v>
      </c>
      <c r="M29" s="109"/>
      <c r="N29" s="109"/>
      <c r="O29" s="109"/>
      <c r="P29" s="109"/>
      <c r="Q29" s="109"/>
      <c r="R29" s="109"/>
      <c r="S29" s="109"/>
      <c r="T29" s="109"/>
      <c r="U29" s="109"/>
    </row>
    <row r="30" spans="2:21" x14ac:dyDescent="0.25">
      <c r="B30" s="39" t="s">
        <v>59</v>
      </c>
      <c r="C30" s="32"/>
      <c r="D30" s="32">
        <v>0.33212600000000003</v>
      </c>
      <c r="E30" s="32">
        <v>0.304066</v>
      </c>
      <c r="F30" s="32">
        <v>0.33197200000000004</v>
      </c>
      <c r="G30" s="46">
        <v>0.303894</v>
      </c>
      <c r="H30" s="47">
        <v>0.33348300000000003</v>
      </c>
      <c r="I30" s="46">
        <v>0.25767499999999999</v>
      </c>
      <c r="J30" s="31">
        <v>-0.22732193245232901</v>
      </c>
      <c r="L30" s="106" t="s">
        <v>392</v>
      </c>
      <c r="M30" s="106"/>
      <c r="N30" s="106"/>
      <c r="O30" s="106"/>
      <c r="P30" s="106"/>
      <c r="Q30" s="106"/>
      <c r="R30" s="106"/>
      <c r="S30" s="106"/>
      <c r="T30" s="106"/>
      <c r="U30" s="106"/>
    </row>
    <row r="31" spans="2:21" x14ac:dyDescent="0.25">
      <c r="B31" s="33" t="s">
        <v>60</v>
      </c>
      <c r="C31" s="34"/>
      <c r="D31" s="34">
        <v>4.1971999999999995E-2</v>
      </c>
      <c r="E31" s="34">
        <v>0.25523200000000001</v>
      </c>
      <c r="F31" s="34">
        <v>0.13200200000000001</v>
      </c>
      <c r="G31" s="48">
        <v>0.28885500000000003</v>
      </c>
      <c r="H31" s="49">
        <v>0.24790500000000001</v>
      </c>
      <c r="I31" s="48">
        <v>0.140848</v>
      </c>
      <c r="J31" s="38">
        <v>-0.43184687682781708</v>
      </c>
      <c r="L31" s="109" t="s">
        <v>393</v>
      </c>
      <c r="M31" s="109"/>
      <c r="N31" s="109"/>
      <c r="O31" s="109"/>
      <c r="P31" s="109"/>
      <c r="Q31" s="109"/>
      <c r="R31" s="109"/>
      <c r="S31" s="109"/>
      <c r="T31" s="109"/>
      <c r="U31" s="109"/>
    </row>
    <row r="32" spans="2:21" x14ac:dyDescent="0.25">
      <c r="B32" s="39" t="s">
        <v>61</v>
      </c>
      <c r="C32" s="8"/>
      <c r="D32" s="42">
        <v>37.155070930619225</v>
      </c>
      <c r="E32" s="42">
        <v>18.586955141398541</v>
      </c>
      <c r="F32" s="42">
        <v>11.853487552377153</v>
      </c>
      <c r="G32" s="51">
        <v>12.780923781986022</v>
      </c>
      <c r="H32" s="58">
        <v>12.926073052439378</v>
      </c>
      <c r="I32" s="51">
        <v>9.6791747632957428</v>
      </c>
      <c r="J32" s="31">
        <v>-0.25118984520444809</v>
      </c>
      <c r="L32" s="109" t="s">
        <v>394</v>
      </c>
      <c r="M32" s="109"/>
      <c r="N32" s="109"/>
      <c r="O32" s="109"/>
      <c r="P32" s="109"/>
      <c r="Q32" s="109"/>
      <c r="R32" s="109"/>
      <c r="S32" s="109"/>
      <c r="T32" s="109"/>
      <c r="U32" s="109"/>
    </row>
    <row r="33" spans="2:21" x14ac:dyDescent="0.25">
      <c r="B33" s="39" t="s">
        <v>62</v>
      </c>
      <c r="C33" s="8"/>
      <c r="D33" s="42">
        <v>37.846789999999999</v>
      </c>
      <c r="E33" s="42">
        <v>19.911259999999999</v>
      </c>
      <c r="F33" s="42">
        <v>17.5305</v>
      </c>
      <c r="G33" s="51">
        <v>14.828440000000001</v>
      </c>
      <c r="H33" s="58">
        <v>15.6737</v>
      </c>
      <c r="I33" s="51">
        <v>12.82127</v>
      </c>
      <c r="J33" s="31">
        <v>-0.18198829887008172</v>
      </c>
      <c r="L33" s="106" t="s">
        <v>395</v>
      </c>
      <c r="M33" s="106"/>
      <c r="N33" s="106"/>
      <c r="O33" s="106"/>
      <c r="P33" s="106"/>
      <c r="Q33" s="106"/>
      <c r="R33" s="106"/>
      <c r="S33" s="106"/>
      <c r="T33" s="106"/>
      <c r="U33" s="106"/>
    </row>
    <row r="34" spans="2:21" x14ac:dyDescent="0.25">
      <c r="B34" s="39" t="s">
        <v>63</v>
      </c>
      <c r="C34" s="8"/>
      <c r="D34" s="42">
        <v>11.33569</v>
      </c>
      <c r="E34" s="42">
        <v>14.74464</v>
      </c>
      <c r="F34" s="42">
        <v>13.69971</v>
      </c>
      <c r="G34" s="51">
        <v>12.124930000000001</v>
      </c>
      <c r="H34" s="58">
        <v>12.96471</v>
      </c>
      <c r="I34" s="51">
        <v>9.3778500000000005</v>
      </c>
      <c r="J34" s="31">
        <v>-0.27666334225755917</v>
      </c>
      <c r="L34" s="106" t="s">
        <v>396</v>
      </c>
      <c r="M34" s="106"/>
      <c r="N34" s="106"/>
      <c r="O34" s="106"/>
      <c r="P34" s="106"/>
      <c r="Q34" s="106"/>
      <c r="R34" s="106"/>
      <c r="S34" s="106"/>
      <c r="T34" s="106"/>
      <c r="U34" s="106"/>
    </row>
    <row r="35" spans="2:21" x14ac:dyDescent="0.25">
      <c r="B35" s="39" t="s">
        <v>64</v>
      </c>
      <c r="C35" s="8"/>
      <c r="D35" s="42">
        <v>1.16534</v>
      </c>
      <c r="E35" s="42">
        <v>1.2016199999999999</v>
      </c>
      <c r="F35" s="42">
        <v>0.96906000000000003</v>
      </c>
      <c r="G35" s="51">
        <v>0.73784000000000005</v>
      </c>
      <c r="H35" s="58">
        <v>0.70459000000000005</v>
      </c>
      <c r="I35" s="51">
        <v>0.95033000000000001</v>
      </c>
      <c r="J35" s="31">
        <v>0.34877020678692561</v>
      </c>
      <c r="L35" s="109" t="s">
        <v>397</v>
      </c>
      <c r="M35" s="109"/>
      <c r="N35" s="109"/>
      <c r="O35" s="109"/>
      <c r="P35" s="109"/>
      <c r="Q35" s="109"/>
      <c r="R35" s="109"/>
      <c r="S35" s="109"/>
      <c r="T35" s="109"/>
      <c r="U35" s="109"/>
    </row>
    <row r="36" spans="2:21" x14ac:dyDescent="0.25">
      <c r="B36" s="39" t="s">
        <v>65</v>
      </c>
      <c r="C36" s="8"/>
      <c r="D36" s="42">
        <v>0.96048999999999995</v>
      </c>
      <c r="E36" s="42">
        <v>0.80457999999999996</v>
      </c>
      <c r="F36" s="42">
        <v>0.71548</v>
      </c>
      <c r="G36" s="51">
        <v>0.41716999999999999</v>
      </c>
      <c r="H36" s="58">
        <v>0.56964000000000004</v>
      </c>
      <c r="I36" s="51">
        <v>0.81847000000000003</v>
      </c>
      <c r="J36" s="31">
        <v>0.43681974580436767</v>
      </c>
      <c r="L36" s="106" t="s">
        <v>398</v>
      </c>
      <c r="M36" s="106"/>
      <c r="N36" s="106"/>
      <c r="O36" s="106"/>
      <c r="P36" s="106"/>
      <c r="Q36" s="106"/>
      <c r="R36" s="106"/>
      <c r="S36" s="106"/>
      <c r="T36" s="106"/>
      <c r="U36" s="106"/>
    </row>
    <row r="37" spans="2:21" x14ac:dyDescent="0.25">
      <c r="B37" s="39" t="s">
        <v>66</v>
      </c>
      <c r="C37" s="8"/>
      <c r="D37" s="42">
        <v>3.8907500000000002</v>
      </c>
      <c r="E37" s="42">
        <v>1.6226700000000001</v>
      </c>
      <c r="F37" s="42">
        <v>1.24003</v>
      </c>
      <c r="G37" s="51">
        <v>0.90234999999999999</v>
      </c>
      <c r="H37" s="58">
        <v>0.85180999999999996</v>
      </c>
      <c r="I37" s="51">
        <v>1.29928</v>
      </c>
      <c r="J37" s="31">
        <v>0.52531667860203579</v>
      </c>
      <c r="L37" s="12" t="s">
        <v>399</v>
      </c>
      <c r="M37" s="1"/>
      <c r="N37" s="1"/>
      <c r="O37" s="1"/>
      <c r="P37" s="1"/>
      <c r="Q37" s="1"/>
      <c r="R37" s="1"/>
      <c r="S37" s="1"/>
      <c r="T37" s="1"/>
      <c r="U37" s="1"/>
    </row>
    <row r="38" spans="2:21" x14ac:dyDescent="0.25">
      <c r="B38" s="33" t="s">
        <v>67</v>
      </c>
      <c r="C38" s="52"/>
      <c r="D38" s="52">
        <v>3.20682</v>
      </c>
      <c r="E38" s="52">
        <v>1.0865100000000001</v>
      </c>
      <c r="F38" s="52">
        <v>0.91554999999999997</v>
      </c>
      <c r="G38" s="53">
        <v>0.51019000000000003</v>
      </c>
      <c r="H38" s="54">
        <v>0.68866000000000005</v>
      </c>
      <c r="I38" s="53">
        <v>1.119</v>
      </c>
      <c r="J38" s="38">
        <v>0.62489472308541205</v>
      </c>
      <c r="L38" s="106" t="s">
        <v>400</v>
      </c>
      <c r="M38" s="106"/>
      <c r="N38" s="106"/>
      <c r="O38" s="106"/>
      <c r="P38" s="106"/>
      <c r="Q38" s="106"/>
      <c r="R38" s="106"/>
      <c r="S38" s="106"/>
      <c r="T38" s="106"/>
      <c r="U38" s="106"/>
    </row>
    <row r="39" spans="2:21" x14ac:dyDescent="0.25">
      <c r="B39" s="8" t="s">
        <v>68</v>
      </c>
      <c r="C39" s="42"/>
      <c r="D39" s="59">
        <v>51.864310000000003</v>
      </c>
      <c r="E39" s="59">
        <v>54.313099999999999</v>
      </c>
      <c r="F39" s="59">
        <v>58.508389999999999</v>
      </c>
      <c r="G39" s="60">
        <v>62.488370000000003</v>
      </c>
      <c r="H39" s="61">
        <v>56.632309999999997</v>
      </c>
      <c r="I39" s="60">
        <v>64.90795</v>
      </c>
      <c r="J39" s="31">
        <v>0.14612930321931072</v>
      </c>
      <c r="L39" s="106"/>
      <c r="M39" s="106"/>
      <c r="N39" s="106"/>
      <c r="O39" s="106"/>
      <c r="P39" s="106"/>
      <c r="Q39" s="106"/>
      <c r="R39" s="106"/>
      <c r="S39" s="106"/>
      <c r="T39" s="106"/>
      <c r="U39" s="106"/>
    </row>
    <row r="40" spans="2:21" x14ac:dyDescent="0.25">
      <c r="B40" s="8" t="s">
        <v>69</v>
      </c>
      <c r="C40" s="42"/>
      <c r="D40" s="59">
        <v>118.78158999999999</v>
      </c>
      <c r="E40" s="59">
        <v>109.19450000000001</v>
      </c>
      <c r="F40" s="59">
        <v>80.151799999999994</v>
      </c>
      <c r="G40" s="60">
        <v>83.257230000000007</v>
      </c>
      <c r="H40" s="61">
        <v>76.653649999999999</v>
      </c>
      <c r="I40" s="60">
        <v>61.53389</v>
      </c>
      <c r="J40" s="31">
        <v>-0.1972477501071378</v>
      </c>
      <c r="L40" s="15"/>
      <c r="M40" s="15"/>
      <c r="N40" s="15"/>
      <c r="O40" s="15"/>
      <c r="P40" s="15"/>
      <c r="Q40" s="15"/>
      <c r="R40" s="15"/>
      <c r="S40" s="15"/>
      <c r="T40" s="15"/>
      <c r="U40" s="15"/>
    </row>
    <row r="41" spans="2:21" x14ac:dyDescent="0.25">
      <c r="B41" s="8" t="s">
        <v>70</v>
      </c>
      <c r="C41" s="42"/>
      <c r="D41" s="59">
        <v>20.73237</v>
      </c>
      <c r="E41" s="59">
        <v>20.60389</v>
      </c>
      <c r="F41" s="59">
        <v>22.095790000000001</v>
      </c>
      <c r="G41" s="60">
        <v>23.81005</v>
      </c>
      <c r="H41" s="61">
        <v>28.1572</v>
      </c>
      <c r="I41" s="60">
        <v>30.008479999999999</v>
      </c>
      <c r="J41" s="31">
        <v>6.5748014717372349E-2</v>
      </c>
      <c r="L41" s="11" t="s">
        <v>3</v>
      </c>
    </row>
    <row r="42" spans="2:21" x14ac:dyDescent="0.25">
      <c r="B42" s="39" t="s">
        <v>71</v>
      </c>
      <c r="C42" s="42"/>
      <c r="D42" s="42">
        <v>0.67652000000000001</v>
      </c>
      <c r="E42" s="42">
        <v>0.78678999999999999</v>
      </c>
      <c r="F42" s="42">
        <v>1.71163</v>
      </c>
      <c r="G42" s="51">
        <v>2.0526800000000001</v>
      </c>
      <c r="H42" s="58">
        <v>1.59382</v>
      </c>
      <c r="I42" s="51">
        <v>1.5998600000000001</v>
      </c>
      <c r="J42" s="31">
        <v>3.7896374747461437E-3</v>
      </c>
      <c r="L42" s="12" t="s">
        <v>401</v>
      </c>
      <c r="M42" s="13"/>
      <c r="N42" s="13"/>
      <c r="O42" s="13"/>
      <c r="P42" s="13"/>
      <c r="Q42" s="13"/>
      <c r="R42" s="13"/>
      <c r="S42" s="13"/>
      <c r="T42" s="13"/>
      <c r="U42" s="13"/>
    </row>
    <row r="43" spans="2:21" x14ac:dyDescent="0.25">
      <c r="B43" s="39" t="s">
        <v>72</v>
      </c>
      <c r="C43" s="42"/>
      <c r="D43" s="42">
        <v>0.60029999999999994</v>
      </c>
      <c r="E43" s="42">
        <v>0.69859000000000004</v>
      </c>
      <c r="F43" s="42">
        <v>1.55182</v>
      </c>
      <c r="G43" s="51">
        <v>1.7973699999999999</v>
      </c>
      <c r="H43" s="58">
        <v>1.35158</v>
      </c>
      <c r="I43" s="51">
        <v>1.3362400000000001</v>
      </c>
      <c r="J43" s="31">
        <v>-1.1349679634205856E-2</v>
      </c>
      <c r="L43" s="12" t="s">
        <v>402</v>
      </c>
      <c r="M43" s="13"/>
      <c r="N43" s="13"/>
      <c r="O43" s="13"/>
      <c r="P43" s="13"/>
      <c r="Q43" s="13"/>
      <c r="R43" s="13"/>
      <c r="S43" s="13"/>
      <c r="T43" s="13"/>
      <c r="U43" s="13"/>
    </row>
    <row r="44" spans="2:21" x14ac:dyDescent="0.25">
      <c r="B44" s="33" t="s">
        <v>73</v>
      </c>
      <c r="C44" s="43"/>
      <c r="D44" s="43">
        <v>-46.184910000000002</v>
      </c>
      <c r="E44" s="43">
        <v>-34.277520000000003</v>
      </c>
      <c r="F44" s="43">
        <v>0.45238</v>
      </c>
      <c r="G44" s="62">
        <v>3.0411800000000002</v>
      </c>
      <c r="H44" s="63">
        <v>8.1358499999999996</v>
      </c>
      <c r="I44" s="62">
        <v>33.382539999999999</v>
      </c>
      <c r="J44" s="38">
        <v>3.1031410362777097</v>
      </c>
      <c r="L44" s="109" t="s">
        <v>403</v>
      </c>
      <c r="M44" s="109"/>
      <c r="N44" s="109"/>
      <c r="O44" s="109"/>
      <c r="P44" s="109"/>
      <c r="Q44" s="109"/>
      <c r="R44" s="109"/>
      <c r="S44" s="109"/>
      <c r="T44" s="109"/>
      <c r="U44" s="109"/>
    </row>
    <row r="45" spans="2:21" x14ac:dyDescent="0.25">
      <c r="B45" s="39" t="s">
        <v>38</v>
      </c>
      <c r="C45" s="32"/>
      <c r="D45" s="32">
        <v>0.122068</v>
      </c>
      <c r="E45" s="32">
        <v>0.105281</v>
      </c>
      <c r="F45" s="32">
        <v>0.13078099999999998</v>
      </c>
      <c r="G45" s="46">
        <v>0.12289899999999999</v>
      </c>
      <c r="H45" s="47">
        <v>0.13733100000000001</v>
      </c>
      <c r="I45" s="46">
        <v>9.7590999999999997E-2</v>
      </c>
      <c r="J45" s="31">
        <v>-0.28937384858480608</v>
      </c>
      <c r="L45" s="106" t="s">
        <v>404</v>
      </c>
      <c r="M45" s="106"/>
      <c r="N45" s="106"/>
      <c r="O45" s="106"/>
      <c r="P45" s="106"/>
      <c r="Q45" s="106"/>
      <c r="R45" s="106"/>
      <c r="S45" s="106"/>
      <c r="T45" s="106"/>
      <c r="U45" s="106"/>
    </row>
    <row r="46" spans="2:21" x14ac:dyDescent="0.25">
      <c r="B46" s="39" t="s">
        <v>74</v>
      </c>
      <c r="C46" s="32"/>
      <c r="D46" s="32">
        <v>0.17359000000000002</v>
      </c>
      <c r="E46" s="32">
        <v>0.14612700000000001</v>
      </c>
      <c r="F46" s="32">
        <v>0.17633400000000002</v>
      </c>
      <c r="G46" s="46">
        <v>0.16201199999999999</v>
      </c>
      <c r="H46" s="47">
        <v>0.21438199999999999</v>
      </c>
      <c r="I46" s="46">
        <v>0.12736800000000001</v>
      </c>
      <c r="J46" s="31">
        <v>-0.40588295659150486</v>
      </c>
      <c r="L46" s="106"/>
      <c r="M46" s="106"/>
      <c r="N46" s="106"/>
      <c r="O46" s="106"/>
      <c r="P46" s="106"/>
      <c r="Q46" s="106"/>
      <c r="R46" s="106"/>
      <c r="S46" s="106"/>
      <c r="T46" s="106"/>
      <c r="U46" s="106"/>
    </row>
    <row r="47" spans="2:21" x14ac:dyDescent="0.25">
      <c r="B47" s="33" t="s">
        <v>35</v>
      </c>
      <c r="C47" s="34"/>
      <c r="D47" s="34">
        <v>0.27218300000000001</v>
      </c>
      <c r="E47" s="34">
        <v>0.24743600000000002</v>
      </c>
      <c r="F47" s="34">
        <v>0.281665</v>
      </c>
      <c r="G47" s="48">
        <v>0.223053</v>
      </c>
      <c r="H47" s="49">
        <v>0.27134900000000001</v>
      </c>
      <c r="I47" s="48">
        <v>0.164968</v>
      </c>
      <c r="J47" s="38">
        <v>-0.39204493106663374</v>
      </c>
      <c r="L47" s="106" t="s">
        <v>405</v>
      </c>
      <c r="M47" s="106"/>
      <c r="N47" s="106"/>
      <c r="O47" s="106"/>
      <c r="P47" s="106"/>
      <c r="Q47" s="106"/>
      <c r="R47" s="106"/>
      <c r="S47" s="106"/>
      <c r="T47" s="106"/>
      <c r="U47" s="106"/>
    </row>
    <row r="48" spans="2:21" x14ac:dyDescent="0.25">
      <c r="L48" s="106"/>
      <c r="M48" s="106"/>
      <c r="N48" s="106"/>
      <c r="O48" s="106"/>
      <c r="P48" s="106"/>
      <c r="Q48" s="106"/>
      <c r="R48" s="106"/>
      <c r="S48" s="106"/>
      <c r="T48" s="106"/>
      <c r="U48" s="106"/>
    </row>
    <row r="49" spans="12:21" x14ac:dyDescent="0.25">
      <c r="L49" s="106" t="s">
        <v>406</v>
      </c>
      <c r="M49" s="106"/>
      <c r="N49" s="106"/>
      <c r="O49" s="106"/>
      <c r="P49" s="106"/>
      <c r="Q49" s="106"/>
      <c r="R49" s="106"/>
      <c r="S49" s="106"/>
      <c r="T49" s="106"/>
      <c r="U49" s="106"/>
    </row>
    <row r="50" spans="12:21" x14ac:dyDescent="0.25">
      <c r="L50" s="106"/>
      <c r="M50" s="106"/>
      <c r="N50" s="106"/>
      <c r="O50" s="106"/>
      <c r="P50" s="106"/>
      <c r="Q50" s="106"/>
      <c r="R50" s="106"/>
      <c r="S50" s="106"/>
      <c r="T50" s="106"/>
      <c r="U50" s="106"/>
    </row>
    <row r="51" spans="12:21" x14ac:dyDescent="0.25">
      <c r="L51" s="106"/>
      <c r="M51" s="106"/>
      <c r="N51" s="106"/>
      <c r="O51" s="106"/>
      <c r="P51" s="106"/>
      <c r="Q51" s="106"/>
      <c r="R51" s="106"/>
      <c r="S51" s="106"/>
      <c r="T51" s="106"/>
      <c r="U51" s="106"/>
    </row>
    <row r="52" spans="12:21" x14ac:dyDescent="0.25">
      <c r="L52" s="12" t="s">
        <v>407</v>
      </c>
    </row>
    <row r="53" spans="12:21" x14ac:dyDescent="0.25">
      <c r="L53" s="106" t="s">
        <v>408</v>
      </c>
      <c r="M53" s="106"/>
      <c r="N53" s="106"/>
      <c r="O53" s="106"/>
      <c r="P53" s="106"/>
      <c r="Q53" s="106"/>
      <c r="R53" s="106"/>
      <c r="S53" s="106"/>
      <c r="T53" s="106"/>
      <c r="U53" s="106"/>
    </row>
    <row r="54" spans="12:21" x14ac:dyDescent="0.25">
      <c r="L54" s="106"/>
      <c r="M54" s="106"/>
      <c r="N54" s="106"/>
      <c r="O54" s="106"/>
      <c r="P54" s="106"/>
      <c r="Q54" s="106"/>
      <c r="R54" s="106"/>
      <c r="S54" s="106"/>
      <c r="T54" s="106"/>
      <c r="U54" s="106"/>
    </row>
    <row r="55" spans="12:21" x14ac:dyDescent="0.25">
      <c r="L55" s="106"/>
      <c r="M55" s="106"/>
      <c r="N55" s="106"/>
      <c r="O55" s="106"/>
      <c r="P55" s="106"/>
      <c r="Q55" s="106"/>
      <c r="R55" s="106"/>
      <c r="S55" s="106"/>
      <c r="T55" s="106"/>
      <c r="U55" s="106"/>
    </row>
    <row r="56" spans="12:21" x14ac:dyDescent="0.25">
      <c r="L56" s="106" t="s">
        <v>409</v>
      </c>
      <c r="M56" s="106"/>
      <c r="N56" s="106"/>
      <c r="O56" s="106"/>
      <c r="P56" s="106"/>
      <c r="Q56" s="106"/>
      <c r="R56" s="106"/>
      <c r="S56" s="106"/>
      <c r="T56" s="106"/>
      <c r="U56" s="106"/>
    </row>
    <row r="57" spans="12:21" x14ac:dyDescent="0.25">
      <c r="L57" s="106" t="s">
        <v>410</v>
      </c>
      <c r="M57" s="106"/>
      <c r="N57" s="106"/>
      <c r="O57" s="106"/>
      <c r="P57" s="106"/>
      <c r="Q57" s="106"/>
      <c r="R57" s="106"/>
      <c r="S57" s="106"/>
      <c r="T57" s="106"/>
      <c r="U57" s="106"/>
    </row>
    <row r="58" spans="12:21" x14ac:dyDescent="0.25">
      <c r="L58" s="12" t="s">
        <v>411</v>
      </c>
    </row>
    <row r="59" spans="12:21" x14ac:dyDescent="0.25">
      <c r="L59" s="12" t="s">
        <v>412</v>
      </c>
    </row>
    <row r="60" spans="12:21" x14ac:dyDescent="0.25">
      <c r="L60" s="106" t="s">
        <v>413</v>
      </c>
      <c r="M60" s="106"/>
      <c r="N60" s="106"/>
      <c r="O60" s="106"/>
      <c r="P60" s="106"/>
      <c r="Q60" s="106"/>
      <c r="R60" s="106"/>
      <c r="S60" s="106"/>
      <c r="T60" s="106"/>
      <c r="U60" s="106"/>
    </row>
    <row r="61" spans="12:21" x14ac:dyDescent="0.25">
      <c r="L61" s="106"/>
      <c r="M61" s="106"/>
      <c r="N61" s="106"/>
      <c r="O61" s="106"/>
      <c r="P61" s="106"/>
      <c r="Q61" s="106"/>
      <c r="R61" s="106"/>
      <c r="S61" s="106"/>
      <c r="T61" s="106"/>
      <c r="U61" s="106"/>
    </row>
    <row r="62" spans="12:21" x14ac:dyDescent="0.25">
      <c r="L62" s="15"/>
      <c r="M62" s="15"/>
      <c r="N62" s="15"/>
      <c r="O62" s="15"/>
      <c r="P62" s="15"/>
      <c r="Q62" s="15"/>
      <c r="R62" s="15"/>
      <c r="S62" s="15"/>
      <c r="T62" s="15"/>
      <c r="U62" s="15"/>
    </row>
    <row r="69" spans="12:12" x14ac:dyDescent="0.25">
      <c r="L69" s="12"/>
    </row>
    <row r="70" spans="12:12" x14ac:dyDescent="0.25">
      <c r="L70" s="12"/>
    </row>
  </sheetData>
  <mergeCells count="19">
    <mergeCell ref="L60:U61"/>
    <mergeCell ref="L45:U46"/>
    <mergeCell ref="L47:U48"/>
    <mergeCell ref="L49:U51"/>
    <mergeCell ref="L53:U55"/>
    <mergeCell ref="L56:U56"/>
    <mergeCell ref="L57:U57"/>
    <mergeCell ref="L44:U44"/>
    <mergeCell ref="L6:U25"/>
    <mergeCell ref="L28:U28"/>
    <mergeCell ref="L29:U29"/>
    <mergeCell ref="L30:U30"/>
    <mergeCell ref="L31:U31"/>
    <mergeCell ref="L32:U32"/>
    <mergeCell ref="L33:U33"/>
    <mergeCell ref="L34:U34"/>
    <mergeCell ref="L35:U35"/>
    <mergeCell ref="L36:U36"/>
    <mergeCell ref="L38:U39"/>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0CDDF-BEA9-4E6D-B79A-9F9FBFD8E4A8}">
  <dimension ref="B1:U60"/>
  <sheetViews>
    <sheetView topLeftCell="A18" workbookViewId="0">
      <selection activeCell="B23" sqref="B23:J47"/>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x14ac:dyDescent="0.25">
      <c r="L6" s="108" t="s">
        <v>414</v>
      </c>
      <c r="M6" s="108"/>
      <c r="N6" s="108"/>
      <c r="O6" s="108"/>
      <c r="P6" s="108"/>
      <c r="Q6" s="108"/>
      <c r="R6" s="108"/>
      <c r="S6" s="108"/>
      <c r="T6" s="108"/>
      <c r="U6" s="108"/>
    </row>
    <row r="7" spans="12:21" x14ac:dyDescent="0.25">
      <c r="L7" s="108"/>
      <c r="M7" s="108"/>
      <c r="N7" s="108"/>
      <c r="O7" s="108"/>
      <c r="P7" s="108"/>
      <c r="Q7" s="108"/>
      <c r="R7" s="108"/>
      <c r="S7" s="108"/>
      <c r="T7" s="108"/>
      <c r="U7" s="108"/>
    </row>
    <row r="8" spans="12:21" x14ac:dyDescent="0.25">
      <c r="L8" s="108"/>
      <c r="M8" s="108"/>
      <c r="N8" s="108"/>
      <c r="O8" s="108"/>
      <c r="P8" s="108"/>
      <c r="Q8" s="108"/>
      <c r="R8" s="108"/>
      <c r="S8" s="108"/>
      <c r="T8" s="108"/>
      <c r="U8" s="108"/>
    </row>
    <row r="9" spans="12:21" x14ac:dyDescent="0.25">
      <c r="L9" s="108"/>
      <c r="M9" s="108"/>
      <c r="N9" s="108"/>
      <c r="O9" s="108"/>
      <c r="P9" s="108"/>
      <c r="Q9" s="108"/>
      <c r="R9" s="108"/>
      <c r="S9" s="108"/>
      <c r="T9" s="108"/>
      <c r="U9" s="108"/>
    </row>
    <row r="10" spans="12:21" x14ac:dyDescent="0.25">
      <c r="L10" s="108"/>
      <c r="M10" s="108"/>
      <c r="N10" s="108"/>
      <c r="O10" s="108"/>
      <c r="P10" s="108"/>
      <c r="Q10" s="108"/>
      <c r="R10" s="108"/>
      <c r="S10" s="108"/>
      <c r="T10" s="108"/>
      <c r="U10" s="108"/>
    </row>
    <row r="11" spans="12:21" x14ac:dyDescent="0.25">
      <c r="L11" s="108"/>
      <c r="M11" s="108"/>
      <c r="N11" s="108"/>
      <c r="O11" s="108"/>
      <c r="P11" s="108"/>
      <c r="Q11" s="108"/>
      <c r="R11" s="108"/>
      <c r="S11" s="108"/>
      <c r="T11" s="108"/>
      <c r="U11" s="108"/>
    </row>
    <row r="12" spans="12:21" x14ac:dyDescent="0.25">
      <c r="L12" s="108"/>
      <c r="M12" s="108"/>
      <c r="N12" s="108"/>
      <c r="O12" s="108"/>
      <c r="P12" s="108"/>
      <c r="Q12" s="108"/>
      <c r="R12" s="108"/>
      <c r="S12" s="108"/>
      <c r="T12" s="108"/>
      <c r="U12" s="108"/>
    </row>
    <row r="13" spans="12:21" x14ac:dyDescent="0.25">
      <c r="L13" s="108"/>
      <c r="M13" s="108"/>
      <c r="N13" s="108"/>
      <c r="O13" s="108"/>
      <c r="P13" s="108"/>
      <c r="Q13" s="108"/>
      <c r="R13" s="108"/>
      <c r="S13" s="108"/>
      <c r="T13" s="108"/>
      <c r="U13" s="108"/>
    </row>
    <row r="14" spans="12:21" x14ac:dyDescent="0.25">
      <c r="L14" s="108"/>
      <c r="M14" s="108"/>
      <c r="N14" s="108"/>
      <c r="O14" s="108"/>
      <c r="P14" s="108"/>
      <c r="Q14" s="108"/>
      <c r="R14" s="108"/>
      <c r="S14" s="108"/>
      <c r="T14" s="108"/>
      <c r="U14" s="108"/>
    </row>
    <row r="15" spans="12:21" x14ac:dyDescent="0.25">
      <c r="L15" s="108"/>
      <c r="M15" s="108"/>
      <c r="N15" s="108"/>
      <c r="O15" s="108"/>
      <c r="P15" s="108"/>
      <c r="Q15" s="108"/>
      <c r="R15" s="108"/>
      <c r="S15" s="108"/>
      <c r="T15" s="108"/>
      <c r="U15" s="108"/>
    </row>
    <row r="16" spans="12:21" x14ac:dyDescent="0.25">
      <c r="L16" s="108"/>
      <c r="M16" s="108"/>
      <c r="N16" s="108"/>
      <c r="O16" s="108"/>
      <c r="P16" s="108"/>
      <c r="Q16" s="108"/>
      <c r="R16" s="108"/>
      <c r="S16" s="108"/>
      <c r="T16" s="108"/>
      <c r="U16" s="108"/>
    </row>
    <row r="17" spans="2:21" x14ac:dyDescent="0.25">
      <c r="L17" s="108"/>
      <c r="M17" s="108"/>
      <c r="N17" s="108"/>
      <c r="O17" s="108"/>
      <c r="P17" s="108"/>
      <c r="Q17" s="108"/>
      <c r="R17" s="108"/>
      <c r="S17" s="108"/>
      <c r="T17" s="108"/>
      <c r="U17" s="108"/>
    </row>
    <row r="18" spans="2:21" x14ac:dyDescent="0.25">
      <c r="L18" s="108"/>
      <c r="M18" s="108"/>
      <c r="N18" s="108"/>
      <c r="O18" s="108"/>
      <c r="P18" s="108"/>
      <c r="Q18" s="108"/>
      <c r="R18" s="108"/>
      <c r="S18" s="108"/>
      <c r="T18" s="108"/>
      <c r="U18" s="108"/>
    </row>
    <row r="19" spans="2:21" x14ac:dyDescent="0.25">
      <c r="L19" s="108"/>
      <c r="M19" s="108"/>
      <c r="N19" s="108"/>
      <c r="O19" s="108"/>
      <c r="P19" s="108"/>
      <c r="Q19" s="108"/>
      <c r="R19" s="108"/>
      <c r="S19" s="108"/>
      <c r="T19" s="108"/>
      <c r="U19" s="108"/>
    </row>
    <row r="20" spans="2:21" x14ac:dyDescent="0.25">
      <c r="L20" s="108"/>
      <c r="M20" s="108"/>
      <c r="N20" s="108"/>
      <c r="O20" s="108"/>
      <c r="P20" s="108"/>
      <c r="Q20" s="108"/>
      <c r="R20" s="108"/>
      <c r="S20" s="108"/>
      <c r="T20" s="108"/>
      <c r="U20" s="108"/>
    </row>
    <row r="21" spans="2:21" x14ac:dyDescent="0.25">
      <c r="L21" s="96" t="s">
        <v>1</v>
      </c>
      <c r="M21" s="97"/>
      <c r="N21" s="97"/>
      <c r="O21" s="97"/>
      <c r="P21" s="97"/>
      <c r="Q21" s="97"/>
      <c r="R21" s="97"/>
      <c r="S21" s="97"/>
      <c r="T21" s="65"/>
      <c r="U21" s="65"/>
    </row>
    <row r="22" spans="2:21" x14ac:dyDescent="0.25">
      <c r="L22" s="102" t="s">
        <v>415</v>
      </c>
      <c r="M22" s="97"/>
      <c r="N22" s="97"/>
      <c r="O22" s="97"/>
      <c r="P22" s="97"/>
      <c r="Q22" s="97"/>
      <c r="R22" s="97"/>
      <c r="S22" s="97"/>
      <c r="T22" s="65"/>
      <c r="U22" s="65"/>
    </row>
    <row r="23" spans="2:21" x14ac:dyDescent="0.25">
      <c r="B23" t="s">
        <v>4</v>
      </c>
      <c r="D23" t="s">
        <v>5</v>
      </c>
      <c r="E23" t="s">
        <v>6</v>
      </c>
      <c r="F23" t="s">
        <v>7</v>
      </c>
      <c r="G23" t="s">
        <v>8</v>
      </c>
      <c r="H23" t="s">
        <v>502</v>
      </c>
      <c r="I23" t="s">
        <v>503</v>
      </c>
      <c r="L23" s="102" t="s">
        <v>416</v>
      </c>
      <c r="M23" s="102"/>
      <c r="N23" s="102"/>
      <c r="O23" s="102"/>
      <c r="P23" s="102"/>
      <c r="Q23" s="102"/>
      <c r="R23" s="102"/>
      <c r="S23" s="102"/>
      <c r="T23" s="12"/>
      <c r="U23" s="12"/>
    </row>
    <row r="24" spans="2:21" x14ac:dyDescent="0.25">
      <c r="B24" s="1"/>
      <c r="C24" s="1"/>
      <c r="D24" s="19" t="s">
        <v>9</v>
      </c>
      <c r="E24" s="20"/>
      <c r="F24" s="20"/>
      <c r="G24" s="21"/>
      <c r="H24" s="22" t="s">
        <v>10</v>
      </c>
      <c r="I24" s="20"/>
      <c r="J24" s="20"/>
      <c r="L24" s="99"/>
      <c r="M24" s="99"/>
      <c r="N24" s="103" t="s">
        <v>93</v>
      </c>
      <c r="O24" s="99"/>
      <c r="P24" s="104" t="s">
        <v>94</v>
      </c>
      <c r="Q24" s="99"/>
      <c r="R24" s="105" t="s">
        <v>95</v>
      </c>
      <c r="S24" s="99"/>
    </row>
    <row r="25" spans="2:21" x14ac:dyDescent="0.25">
      <c r="B25" s="23"/>
      <c r="C25" s="23"/>
      <c r="D25" s="24">
        <v>44926</v>
      </c>
      <c r="E25" s="24">
        <v>45291</v>
      </c>
      <c r="F25" s="24">
        <v>45657</v>
      </c>
      <c r="G25" s="25">
        <v>46022</v>
      </c>
      <c r="H25" s="26">
        <v>45838</v>
      </c>
      <c r="I25" s="25">
        <v>46203</v>
      </c>
      <c r="J25" s="27" t="s">
        <v>11</v>
      </c>
    </row>
    <row r="26" spans="2:21" x14ac:dyDescent="0.25">
      <c r="B26" s="8" t="s">
        <v>92</v>
      </c>
      <c r="C26" s="8"/>
      <c r="D26" s="59">
        <v>308.26285000000001</v>
      </c>
      <c r="E26" s="59">
        <v>286.76017999999999</v>
      </c>
      <c r="F26" s="59">
        <v>663.74503000000004</v>
      </c>
      <c r="G26" s="60">
        <v>741.08280000000002</v>
      </c>
      <c r="H26" s="61">
        <v>430.94233000000003</v>
      </c>
      <c r="I26" s="60">
        <v>388.70326999999997</v>
      </c>
      <c r="J26" s="31">
        <v>-9.8015574380915571E-2</v>
      </c>
    </row>
    <row r="27" spans="2:21" x14ac:dyDescent="0.25">
      <c r="B27" s="39" t="s">
        <v>56</v>
      </c>
      <c r="C27" s="32"/>
      <c r="D27" s="32">
        <v>0.22534500000000002</v>
      </c>
      <c r="E27" s="32">
        <v>0.165934</v>
      </c>
      <c r="F27" s="32">
        <v>0.26895199999999997</v>
      </c>
      <c r="G27" s="46">
        <v>0.258525</v>
      </c>
      <c r="H27" s="47">
        <v>0.27665000000000001</v>
      </c>
      <c r="I27" s="46">
        <v>0.224222</v>
      </c>
      <c r="J27" s="31">
        <v>-0.18951021145852165</v>
      </c>
    </row>
    <row r="28" spans="2:21" x14ac:dyDescent="0.25">
      <c r="B28" s="39" t="s">
        <v>57</v>
      </c>
      <c r="C28" s="32"/>
      <c r="D28" s="32">
        <v>0.19142299999999998</v>
      </c>
      <c r="E28" s="32">
        <v>0.10823199999999999</v>
      </c>
      <c r="F28" s="32">
        <v>0.21503</v>
      </c>
      <c r="G28" s="46">
        <v>0.213587</v>
      </c>
      <c r="H28" s="47">
        <v>0.21804600000000002</v>
      </c>
      <c r="I28" s="46">
        <v>0.17697700000000002</v>
      </c>
      <c r="J28" s="31">
        <v>-0.18835016464415766</v>
      </c>
    </row>
    <row r="29" spans="2:21" x14ac:dyDescent="0.25">
      <c r="B29" s="39" t="s">
        <v>58</v>
      </c>
      <c r="C29" s="32"/>
      <c r="D29" s="32">
        <v>0.339808</v>
      </c>
      <c r="E29" s="32">
        <v>0.24341599999999999</v>
      </c>
      <c r="F29" s="32">
        <v>0.36035099999999998</v>
      </c>
      <c r="G29" s="46">
        <v>0.381046</v>
      </c>
      <c r="H29" s="47">
        <v>0.36233699999999996</v>
      </c>
      <c r="I29" s="46">
        <v>0.33571800000000002</v>
      </c>
      <c r="J29" s="31">
        <v>-7.346475794633156E-2</v>
      </c>
    </row>
    <row r="30" spans="2:21" x14ac:dyDescent="0.25">
      <c r="B30" s="39" t="s">
        <v>59</v>
      </c>
      <c r="C30" s="32"/>
      <c r="D30" s="32">
        <v>0.117407</v>
      </c>
      <c r="E30" s="32">
        <v>8.9309999999999997E-3</v>
      </c>
      <c r="F30" s="32">
        <v>0.13611999999999999</v>
      </c>
      <c r="G30" s="46">
        <v>0.117356</v>
      </c>
      <c r="H30" s="47">
        <v>0.14178299999999999</v>
      </c>
      <c r="I30" s="46">
        <v>8.5275000000000004E-2</v>
      </c>
      <c r="J30" s="31">
        <v>-0.39855271788578317</v>
      </c>
    </row>
    <row r="31" spans="2:21" x14ac:dyDescent="0.25">
      <c r="B31" s="33" t="s">
        <v>60</v>
      </c>
      <c r="C31" s="34"/>
      <c r="D31" s="34">
        <v>-0.24038000000000001</v>
      </c>
      <c r="E31" s="34">
        <v>8.4730000000000014E-3</v>
      </c>
      <c r="F31" s="34">
        <v>0.109483</v>
      </c>
      <c r="G31" s="48">
        <v>0.17250299999999999</v>
      </c>
      <c r="H31" s="49">
        <v>0.2039</v>
      </c>
      <c r="I31" s="48">
        <v>0.131352</v>
      </c>
      <c r="J31" s="38">
        <v>-0.35580186365865618</v>
      </c>
    </row>
    <row r="32" spans="2:21" x14ac:dyDescent="0.25">
      <c r="B32" s="39" t="s">
        <v>61</v>
      </c>
      <c r="C32" s="8"/>
      <c r="D32" s="42">
        <v>3.0037734110336918</v>
      </c>
      <c r="E32" s="42">
        <v>5.6853874319318898</v>
      </c>
      <c r="F32" s="42">
        <v>5.9572249200823046</v>
      </c>
      <c r="G32" s="51">
        <v>5.6556544232423835</v>
      </c>
      <c r="H32" s="58">
        <v>7.3117470787121475</v>
      </c>
      <c r="I32" s="51">
        <v>4.42437528545193</v>
      </c>
      <c r="J32" s="31">
        <v>-0.39489492212698141</v>
      </c>
    </row>
    <row r="33" spans="2:21" x14ac:dyDescent="0.25">
      <c r="B33" s="39" t="s">
        <v>62</v>
      </c>
      <c r="C33" s="8"/>
      <c r="D33" s="42">
        <v>10.203889999999999</v>
      </c>
      <c r="E33" s="42">
        <v>5.6964300000000003</v>
      </c>
      <c r="F33" s="42">
        <v>6.2398400000000001</v>
      </c>
      <c r="G33" s="51">
        <v>6.6169000000000002</v>
      </c>
      <c r="H33" s="58">
        <v>6.8722799999999999</v>
      </c>
      <c r="I33" s="51">
        <v>6.3847800000000001</v>
      </c>
      <c r="J33" s="31">
        <v>-7.0937156227627529E-2</v>
      </c>
    </row>
    <row r="34" spans="2:21" x14ac:dyDescent="0.25">
      <c r="B34" s="39" t="s">
        <v>63</v>
      </c>
      <c r="C34" s="8"/>
      <c r="D34" s="42" t="s">
        <v>46</v>
      </c>
      <c r="E34" s="42">
        <v>2.2224400000000002</v>
      </c>
      <c r="F34" s="42">
        <v>3.57877</v>
      </c>
      <c r="G34" s="51">
        <v>4.3340500000000004</v>
      </c>
      <c r="H34" s="58">
        <v>4.8225300000000004</v>
      </c>
      <c r="I34" s="51">
        <v>4.7809699999999999</v>
      </c>
      <c r="J34" s="31">
        <v>-8.6178831443247672E-3</v>
      </c>
      <c r="L34" s="109" t="s">
        <v>417</v>
      </c>
      <c r="M34" s="109"/>
      <c r="N34" s="109"/>
      <c r="O34" s="109"/>
      <c r="P34" s="109"/>
      <c r="Q34" s="109"/>
      <c r="R34" s="109"/>
      <c r="S34" s="109"/>
      <c r="T34" s="109"/>
      <c r="U34" s="109"/>
    </row>
    <row r="35" spans="2:21" x14ac:dyDescent="0.25">
      <c r="B35" s="39" t="s">
        <v>64</v>
      </c>
      <c r="C35" s="8"/>
      <c r="D35" s="42">
        <v>3.36768</v>
      </c>
      <c r="E35" s="42">
        <v>3.6487799999999999</v>
      </c>
      <c r="F35" s="42">
        <v>2.2876500000000002</v>
      </c>
      <c r="G35" s="51">
        <v>2.48671</v>
      </c>
      <c r="H35" s="58">
        <v>1.9723900000000001</v>
      </c>
      <c r="I35" s="51">
        <v>2.1538900000000001</v>
      </c>
      <c r="J35" s="31">
        <v>9.2020340804810363E-2</v>
      </c>
      <c r="L35" s="109" t="s">
        <v>418</v>
      </c>
      <c r="M35" s="109"/>
      <c r="N35" s="109"/>
      <c r="O35" s="109"/>
      <c r="P35" s="109"/>
      <c r="Q35" s="109"/>
      <c r="R35" s="109"/>
      <c r="S35" s="109"/>
      <c r="T35" s="109"/>
      <c r="U35" s="109"/>
    </row>
    <row r="36" spans="2:21" x14ac:dyDescent="0.25">
      <c r="B36" s="39" t="s">
        <v>65</v>
      </c>
      <c r="C36" s="8"/>
      <c r="D36" s="42">
        <v>2.9495100000000001</v>
      </c>
      <c r="E36" s="42">
        <v>3.19015</v>
      </c>
      <c r="F36" s="42">
        <v>1.6257699999999999</v>
      </c>
      <c r="G36" s="51">
        <v>1.6198600000000001</v>
      </c>
      <c r="H36" s="58">
        <v>1.5280400000000001</v>
      </c>
      <c r="I36" s="51">
        <v>1.6785000000000001</v>
      </c>
      <c r="J36" s="31">
        <v>9.846600874322653E-2</v>
      </c>
      <c r="L36" s="12" t="s">
        <v>419</v>
      </c>
      <c r="M36" s="12"/>
      <c r="N36" s="12"/>
      <c r="O36" s="12"/>
      <c r="P36" s="12"/>
      <c r="Q36" s="12"/>
      <c r="R36" s="12"/>
      <c r="S36" s="12"/>
      <c r="T36" s="12"/>
      <c r="U36" s="12"/>
    </row>
    <row r="37" spans="2:21" x14ac:dyDescent="0.25">
      <c r="B37" s="39" t="s">
        <v>66</v>
      </c>
      <c r="C37" s="8"/>
      <c r="D37" s="42" t="s">
        <v>46</v>
      </c>
      <c r="E37" s="42">
        <v>9.3523200000000006</v>
      </c>
      <c r="F37" s="42">
        <v>3.9886900000000001</v>
      </c>
      <c r="G37" s="51">
        <v>3.7965300000000002</v>
      </c>
      <c r="H37" s="58">
        <v>2.8107199999999999</v>
      </c>
      <c r="I37" s="51">
        <v>2.87643</v>
      </c>
      <c r="J37" s="31">
        <v>2.3378351454431678E-2</v>
      </c>
      <c r="L37" s="109" t="s">
        <v>420</v>
      </c>
      <c r="M37" s="109"/>
      <c r="N37" s="109"/>
      <c r="O37" s="109"/>
      <c r="P37" s="109"/>
      <c r="Q37" s="109"/>
      <c r="R37" s="109"/>
      <c r="S37" s="109"/>
      <c r="T37" s="109"/>
      <c r="U37" s="109"/>
    </row>
    <row r="38" spans="2:21" x14ac:dyDescent="0.25">
      <c r="B38" s="33" t="s">
        <v>67</v>
      </c>
      <c r="C38" s="52"/>
      <c r="D38" s="52" t="s">
        <v>46</v>
      </c>
      <c r="E38" s="52">
        <v>8.1768000000000001</v>
      </c>
      <c r="F38" s="52">
        <v>2.8346499999999999</v>
      </c>
      <c r="G38" s="53">
        <v>2.47309</v>
      </c>
      <c r="H38" s="54">
        <v>2.1775000000000002</v>
      </c>
      <c r="I38" s="53">
        <v>2.2415600000000002</v>
      </c>
      <c r="J38" s="38">
        <v>2.941905855338689E-2</v>
      </c>
      <c r="L38" s="109" t="s">
        <v>421</v>
      </c>
      <c r="M38" s="109"/>
      <c r="N38" s="109"/>
      <c r="O38" s="109"/>
      <c r="P38" s="109"/>
      <c r="Q38" s="109"/>
      <c r="R38" s="109"/>
      <c r="S38" s="109"/>
      <c r="T38" s="109"/>
      <c r="U38" s="109"/>
    </row>
    <row r="39" spans="2:21" x14ac:dyDescent="0.25">
      <c r="B39" s="8" t="s">
        <v>68</v>
      </c>
      <c r="C39" s="42"/>
      <c r="D39" s="59">
        <v>75.853939999999994</v>
      </c>
      <c r="E39" s="59">
        <v>81.334410000000005</v>
      </c>
      <c r="F39" s="59">
        <v>68.366600000000005</v>
      </c>
      <c r="G39" s="60">
        <v>74.856759999999994</v>
      </c>
      <c r="H39" s="61">
        <v>68.521090000000001</v>
      </c>
      <c r="I39" s="60">
        <v>71.991870000000006</v>
      </c>
      <c r="J39" s="31">
        <v>5.0652726043908691E-2</v>
      </c>
      <c r="L39" s="109"/>
      <c r="M39" s="109"/>
      <c r="N39" s="109"/>
      <c r="O39" s="109"/>
      <c r="P39" s="109"/>
      <c r="Q39" s="109"/>
      <c r="R39" s="109"/>
      <c r="S39" s="109"/>
      <c r="T39" s="109"/>
      <c r="U39" s="109"/>
    </row>
    <row r="40" spans="2:21" x14ac:dyDescent="0.25">
      <c r="B40" s="8" t="s">
        <v>69</v>
      </c>
      <c r="C40" s="42"/>
      <c r="D40" s="59">
        <v>53.440379999999998</v>
      </c>
      <c r="E40" s="59">
        <v>47.630679999999998</v>
      </c>
      <c r="F40" s="59">
        <v>50.569490000000002</v>
      </c>
      <c r="G40" s="60">
        <v>57.710149999999999</v>
      </c>
      <c r="H40" s="61">
        <v>47.339039999999997</v>
      </c>
      <c r="I40" s="60">
        <v>52.32385</v>
      </c>
      <c r="J40" s="31">
        <v>0.10530019197685458</v>
      </c>
    </row>
    <row r="41" spans="2:21" x14ac:dyDescent="0.25">
      <c r="B41" s="8" t="s">
        <v>70</v>
      </c>
      <c r="C41" s="42"/>
      <c r="D41" s="59">
        <v>78.323890000000006</v>
      </c>
      <c r="E41" s="59">
        <v>71.675420000000003</v>
      </c>
      <c r="F41" s="59">
        <v>81.529060000000001</v>
      </c>
      <c r="G41" s="60">
        <v>88.628569999999996</v>
      </c>
      <c r="H41" s="61">
        <v>79.989750000000001</v>
      </c>
      <c r="I41" s="60">
        <v>79.382390000000001</v>
      </c>
      <c r="J41" s="31">
        <v>-7.5929728496463289E-3</v>
      </c>
      <c r="L41" s="11" t="s">
        <v>3</v>
      </c>
    </row>
    <row r="42" spans="2:21" x14ac:dyDescent="0.25">
      <c r="B42" s="39" t="s">
        <v>71</v>
      </c>
      <c r="C42" s="42"/>
      <c r="D42" s="42">
        <v>1.65561</v>
      </c>
      <c r="E42" s="42">
        <v>1.91536</v>
      </c>
      <c r="F42" s="42">
        <v>2.0214400000000001</v>
      </c>
      <c r="G42" s="51">
        <v>2.1314799999999998</v>
      </c>
      <c r="H42" s="58">
        <v>1.5478700000000001</v>
      </c>
      <c r="I42" s="51">
        <v>1.7428699999999999</v>
      </c>
      <c r="J42" s="31">
        <v>0.1259795719278749</v>
      </c>
      <c r="L42" s="12" t="s">
        <v>422</v>
      </c>
    </row>
    <row r="43" spans="2:21" x14ac:dyDescent="0.25">
      <c r="B43" s="39" t="s">
        <v>72</v>
      </c>
      <c r="C43" s="42"/>
      <c r="D43" s="42">
        <v>1.1457200000000001</v>
      </c>
      <c r="E43" s="42">
        <v>1.25895</v>
      </c>
      <c r="F43" s="42">
        <v>1.4377899999999999</v>
      </c>
      <c r="G43" s="51">
        <v>1.58172</v>
      </c>
      <c r="H43" s="58">
        <v>1.0517799999999999</v>
      </c>
      <c r="I43" s="51">
        <v>1.1894899999999999</v>
      </c>
      <c r="J43" s="31">
        <v>0.13093042271197408</v>
      </c>
      <c r="L43" s="12" t="s">
        <v>423</v>
      </c>
    </row>
    <row r="44" spans="2:21" x14ac:dyDescent="0.25">
      <c r="B44" s="33" t="s">
        <v>73</v>
      </c>
      <c r="C44" s="43"/>
      <c r="D44" s="43">
        <v>100.73745</v>
      </c>
      <c r="E44" s="43">
        <v>105.37915</v>
      </c>
      <c r="F44" s="43">
        <v>99.326179999999994</v>
      </c>
      <c r="G44" s="62">
        <v>105.77518000000001</v>
      </c>
      <c r="H44" s="63">
        <v>101.1718</v>
      </c>
      <c r="I44" s="62">
        <v>99.050420000000003</v>
      </c>
      <c r="J44" s="38">
        <v>-2.0968095852796909E-2</v>
      </c>
      <c r="L44" s="12" t="s">
        <v>424</v>
      </c>
    </row>
    <row r="45" spans="2:21" x14ac:dyDescent="0.25">
      <c r="B45" s="39" t="s">
        <v>38</v>
      </c>
      <c r="C45" s="32"/>
      <c r="D45" s="32">
        <v>2.8593E-2</v>
      </c>
      <c r="E45" s="32">
        <v>1.9311999999999999E-2</v>
      </c>
      <c r="F45" s="32">
        <v>4.1154999999999997E-2</v>
      </c>
      <c r="G45" s="46">
        <v>3.6105999999999999E-2</v>
      </c>
      <c r="H45" s="47">
        <v>4.3269000000000002E-2</v>
      </c>
      <c r="I45" s="46">
        <v>3.3633000000000003E-2</v>
      </c>
      <c r="J45" s="31">
        <v>-0.22269985439922346</v>
      </c>
      <c r="L45" s="12" t="s">
        <v>425</v>
      </c>
    </row>
    <row r="46" spans="2:21" x14ac:dyDescent="0.25">
      <c r="B46" s="39" t="s">
        <v>74</v>
      </c>
      <c r="C46" s="32"/>
      <c r="D46" s="32">
        <v>3.6889999999999999E-2</v>
      </c>
      <c r="E46" s="32">
        <v>2.4984000000000003E-2</v>
      </c>
      <c r="F46" s="32">
        <v>5.3404E-2</v>
      </c>
      <c r="G46" s="46">
        <v>4.7085999999999996E-2</v>
      </c>
      <c r="H46" s="47">
        <v>5.6555999999999995E-2</v>
      </c>
      <c r="I46" s="46">
        <v>4.4600999999999995E-2</v>
      </c>
      <c r="J46" s="31">
        <v>-0.21138340759601104</v>
      </c>
      <c r="L46" s="12" t="s">
        <v>426</v>
      </c>
    </row>
    <row r="47" spans="2:21" x14ac:dyDescent="0.25">
      <c r="B47" s="33" t="s">
        <v>35</v>
      </c>
      <c r="C47" s="34"/>
      <c r="D47" s="34">
        <v>5.5603E-2</v>
      </c>
      <c r="E47" s="34">
        <v>5.0590000000000001E-3</v>
      </c>
      <c r="F47" s="34">
        <v>8.1388999999999989E-2</v>
      </c>
      <c r="G47" s="48">
        <v>6.2240999999999998E-2</v>
      </c>
      <c r="H47" s="49">
        <v>8.6879000000000012E-2</v>
      </c>
      <c r="I47" s="48">
        <v>4.9486999999999996E-2</v>
      </c>
      <c r="J47" s="38">
        <v>-0.43039169419537526</v>
      </c>
      <c r="L47" s="12" t="s">
        <v>427</v>
      </c>
      <c r="M47" s="15"/>
      <c r="N47" s="15"/>
      <c r="O47" s="15"/>
      <c r="P47" s="15"/>
      <c r="Q47" s="15"/>
      <c r="R47" s="15"/>
      <c r="S47" s="15"/>
      <c r="T47" s="15"/>
      <c r="U47" s="15"/>
    </row>
    <row r="48" spans="2:21" x14ac:dyDescent="0.25">
      <c r="L48" s="12" t="s">
        <v>428</v>
      </c>
    </row>
    <row r="49" spans="12:21" x14ac:dyDescent="0.25">
      <c r="L49" s="12" t="s">
        <v>429</v>
      </c>
      <c r="M49" s="15"/>
      <c r="N49" s="15"/>
      <c r="O49" s="15"/>
      <c r="P49" s="15"/>
      <c r="Q49" s="15"/>
      <c r="R49" s="15"/>
      <c r="S49" s="15"/>
      <c r="T49" s="15"/>
      <c r="U49" s="15"/>
    </row>
    <row r="50" spans="12:21" x14ac:dyDescent="0.25">
      <c r="M50" s="15"/>
      <c r="N50" s="15"/>
      <c r="O50" s="15"/>
      <c r="P50" s="15"/>
      <c r="Q50" s="15"/>
      <c r="R50" s="15"/>
      <c r="S50" s="15"/>
      <c r="T50" s="15"/>
      <c r="U50" s="15"/>
    </row>
    <row r="51" spans="12:21" ht="15.75" x14ac:dyDescent="0.25">
      <c r="L51" s="9" t="s">
        <v>77</v>
      </c>
      <c r="M51" s="10"/>
      <c r="N51" s="10"/>
      <c r="O51" s="10"/>
      <c r="P51" s="32"/>
      <c r="Q51" s="9" t="s">
        <v>78</v>
      </c>
      <c r="R51" s="10"/>
      <c r="S51" s="10"/>
      <c r="T51" s="10"/>
    </row>
    <row r="52" spans="12:21" ht="15.75" x14ac:dyDescent="0.25">
      <c r="P52" s="12"/>
      <c r="Q52" s="82"/>
    </row>
    <row r="53" spans="12:21" ht="15.75" x14ac:dyDescent="0.25">
      <c r="L53" s="73" t="s">
        <v>80</v>
      </c>
      <c r="M53" s="73"/>
      <c r="N53" s="74" t="s">
        <v>81</v>
      </c>
      <c r="O53" s="75" t="s">
        <v>82</v>
      </c>
      <c r="Q53" s="82"/>
    </row>
    <row r="54" spans="12:21" ht="15.75" x14ac:dyDescent="0.25">
      <c r="L54" s="76">
        <f>$AG$6</f>
        <v>0</v>
      </c>
      <c r="M54" s="76"/>
      <c r="N54" s="77" t="str">
        <f>TEXT($AH$9*10000,"0")&amp;","&amp;TEXT($AI$9*10000,"0")&amp;","&amp;TEXT($AJ$9*10000,"0")</f>
        <v>0,0,0</v>
      </c>
      <c r="O54" s="77" t="str">
        <f>TEXT($AH$29*10000,"0")&amp;","&amp;TEXT($AI$29*10000,"0")&amp;","&amp;TEXT($AJ$29*10000,"0")</f>
        <v>0,0,0</v>
      </c>
      <c r="Q54" s="82"/>
    </row>
    <row r="55" spans="12:21" x14ac:dyDescent="0.25">
      <c r="L55" s="76">
        <f>$AB$6</f>
        <v>0</v>
      </c>
      <c r="M55" s="76"/>
      <c r="N55" s="77" t="str">
        <f>TEXT($AC$9*10000,"0")&amp;","&amp;TEXT($AD$9*10000,"0")&amp;","&amp;TEXT($AE$9*10000,"0")</f>
        <v>0,0,0</v>
      </c>
      <c r="O55" s="77" t="str">
        <f>TEXT($AC$29*10000,"0")&amp;","&amp;TEXT($AD$29*10000,"0")&amp;","&amp;TEXT($AE$29*10000,"0")</f>
        <v>0,0,0</v>
      </c>
      <c r="Q55" s="8" t="s">
        <v>96</v>
      </c>
      <c r="R55" s="83">
        <v>0.61770000000000003</v>
      </c>
    </row>
    <row r="56" spans="12:21" x14ac:dyDescent="0.25">
      <c r="Q56" s="8" t="s">
        <v>97</v>
      </c>
      <c r="R56" s="83">
        <v>0.1195</v>
      </c>
    </row>
    <row r="57" spans="12:21" x14ac:dyDescent="0.25">
      <c r="Q57" s="8" t="s">
        <v>88</v>
      </c>
      <c r="R57" s="83">
        <v>0.1187</v>
      </c>
    </row>
    <row r="58" spans="12:21" x14ac:dyDescent="0.25">
      <c r="Q58" s="8" t="s">
        <v>89</v>
      </c>
      <c r="R58" s="83">
        <v>8.9700000000000002E-2</v>
      </c>
    </row>
    <row r="59" spans="12:21" x14ac:dyDescent="0.25">
      <c r="Q59" s="8" t="s">
        <v>90</v>
      </c>
      <c r="R59" s="83">
        <v>1.4E-2</v>
      </c>
    </row>
    <row r="60" spans="12:21" x14ac:dyDescent="0.25">
      <c r="Q60" s="8" t="s">
        <v>91</v>
      </c>
      <c r="R60" s="83">
        <f>100%-SUM(R55:R59)</f>
        <v>4.039999999999988E-2</v>
      </c>
    </row>
  </sheetData>
  <mergeCells count="5">
    <mergeCell ref="L6:U20"/>
    <mergeCell ref="L34:U34"/>
    <mergeCell ref="L35:U35"/>
    <mergeCell ref="L37:U37"/>
    <mergeCell ref="L38:U39"/>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6006F-84C0-4C24-BE6A-219E154BC52B}">
  <dimension ref="B1:U94"/>
  <sheetViews>
    <sheetView topLeftCell="A18" workbookViewId="0">
      <selection activeCell="B23" sqref="B23:J47"/>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5" spans="12:21" x14ac:dyDescent="0.25">
      <c r="M5" s="89"/>
      <c r="N5" s="89"/>
      <c r="O5" s="89"/>
      <c r="P5" s="89"/>
      <c r="Q5" s="89"/>
      <c r="R5" s="89"/>
      <c r="S5" s="89"/>
      <c r="T5" s="89"/>
      <c r="U5" s="89"/>
    </row>
    <row r="6" spans="12:21" x14ac:dyDescent="0.25">
      <c r="L6" s="116" t="s">
        <v>430</v>
      </c>
      <c r="M6" s="116"/>
      <c r="N6" s="116"/>
      <c r="O6" s="116"/>
      <c r="P6" s="116"/>
      <c r="Q6" s="116"/>
      <c r="R6" s="116"/>
      <c r="S6" s="116"/>
      <c r="T6" s="116"/>
      <c r="U6" s="116"/>
    </row>
    <row r="7" spans="12:21" x14ac:dyDescent="0.25">
      <c r="L7" s="116"/>
      <c r="M7" s="116"/>
      <c r="N7" s="116"/>
      <c r="O7" s="116"/>
      <c r="P7" s="116"/>
      <c r="Q7" s="116"/>
      <c r="R7" s="116"/>
      <c r="S7" s="116"/>
      <c r="T7" s="116"/>
      <c r="U7" s="116"/>
    </row>
    <row r="8" spans="12:21" x14ac:dyDescent="0.25">
      <c r="L8" s="116"/>
      <c r="M8" s="116"/>
      <c r="N8" s="116"/>
      <c r="O8" s="116"/>
      <c r="P8" s="116"/>
      <c r="Q8" s="116"/>
      <c r="R8" s="116"/>
      <c r="S8" s="116"/>
      <c r="T8" s="116"/>
      <c r="U8" s="116"/>
    </row>
    <row r="9" spans="12:21" x14ac:dyDescent="0.25">
      <c r="L9" s="116"/>
      <c r="M9" s="116"/>
      <c r="N9" s="116"/>
      <c r="O9" s="116"/>
      <c r="P9" s="116"/>
      <c r="Q9" s="116"/>
      <c r="R9" s="116"/>
      <c r="S9" s="116"/>
      <c r="T9" s="116"/>
      <c r="U9" s="116"/>
    </row>
    <row r="10" spans="12:21" x14ac:dyDescent="0.25">
      <c r="L10" s="116"/>
      <c r="M10" s="116"/>
      <c r="N10" s="116"/>
      <c r="O10" s="116"/>
      <c r="P10" s="116"/>
      <c r="Q10" s="116"/>
      <c r="R10" s="116"/>
      <c r="S10" s="116"/>
      <c r="T10" s="116"/>
      <c r="U10" s="116"/>
    </row>
    <row r="11" spans="12:21" x14ac:dyDescent="0.25">
      <c r="L11" s="116"/>
      <c r="M11" s="116"/>
      <c r="N11" s="116"/>
      <c r="O11" s="116"/>
      <c r="P11" s="116"/>
      <c r="Q11" s="116"/>
      <c r="R11" s="116"/>
      <c r="S11" s="116"/>
      <c r="T11" s="116"/>
      <c r="U11" s="116"/>
    </row>
    <row r="12" spans="12:21" x14ac:dyDescent="0.25">
      <c r="L12" s="116"/>
      <c r="M12" s="116"/>
      <c r="N12" s="116"/>
      <c r="O12" s="116"/>
      <c r="P12" s="116"/>
      <c r="Q12" s="116"/>
      <c r="R12" s="116"/>
      <c r="S12" s="116"/>
      <c r="T12" s="116"/>
      <c r="U12" s="116"/>
    </row>
    <row r="13" spans="12:21" x14ac:dyDescent="0.25">
      <c r="L13" s="116"/>
      <c r="M13" s="116"/>
      <c r="N13" s="116"/>
      <c r="O13" s="116"/>
      <c r="P13" s="116"/>
      <c r="Q13" s="116"/>
      <c r="R13" s="116"/>
      <c r="S13" s="116"/>
      <c r="T13" s="116"/>
      <c r="U13" s="116"/>
    </row>
    <row r="14" spans="12:21" x14ac:dyDescent="0.25">
      <c r="L14" s="116"/>
      <c r="M14" s="116"/>
      <c r="N14" s="116"/>
      <c r="O14" s="116"/>
      <c r="P14" s="116"/>
      <c r="Q14" s="116"/>
      <c r="R14" s="116"/>
      <c r="S14" s="116"/>
      <c r="T14" s="116"/>
      <c r="U14" s="116"/>
    </row>
    <row r="15" spans="12:21" x14ac:dyDescent="0.25">
      <c r="L15" s="116"/>
      <c r="M15" s="116"/>
      <c r="N15" s="116"/>
      <c r="O15" s="116"/>
      <c r="P15" s="116"/>
      <c r="Q15" s="116"/>
      <c r="R15" s="116"/>
      <c r="S15" s="116"/>
      <c r="T15" s="116"/>
      <c r="U15" s="116"/>
    </row>
    <row r="16" spans="12:21" x14ac:dyDescent="0.25">
      <c r="L16" s="116"/>
      <c r="M16" s="116"/>
      <c r="N16" s="116"/>
      <c r="O16" s="116"/>
      <c r="P16" s="116"/>
      <c r="Q16" s="116"/>
      <c r="R16" s="116"/>
      <c r="S16" s="116"/>
      <c r="T16" s="116"/>
      <c r="U16" s="116"/>
    </row>
    <row r="17" spans="2:21" x14ac:dyDescent="0.25">
      <c r="L17" s="116"/>
      <c r="M17" s="116"/>
      <c r="N17" s="116"/>
      <c r="O17" s="116"/>
      <c r="P17" s="116"/>
      <c r="Q17" s="116"/>
      <c r="R17" s="116"/>
      <c r="S17" s="116"/>
      <c r="T17" s="116"/>
      <c r="U17" s="116"/>
    </row>
    <row r="18" spans="2:21" x14ac:dyDescent="0.25">
      <c r="L18" s="116"/>
      <c r="M18" s="116"/>
      <c r="N18" s="116"/>
      <c r="O18" s="116"/>
      <c r="P18" s="116"/>
      <c r="Q18" s="116"/>
      <c r="R18" s="116"/>
      <c r="S18" s="116"/>
      <c r="T18" s="116"/>
      <c r="U18" s="116"/>
    </row>
    <row r="19" spans="2:21" x14ac:dyDescent="0.25">
      <c r="L19" s="116"/>
      <c r="M19" s="116"/>
      <c r="N19" s="116"/>
      <c r="O19" s="116"/>
      <c r="P19" s="116"/>
      <c r="Q19" s="116"/>
      <c r="R19" s="116"/>
      <c r="S19" s="116"/>
      <c r="T19" s="116"/>
      <c r="U19" s="116"/>
    </row>
    <row r="20" spans="2:21" x14ac:dyDescent="0.25">
      <c r="L20" s="116"/>
      <c r="M20" s="116"/>
      <c r="N20" s="116"/>
      <c r="O20" s="116"/>
      <c r="P20" s="116"/>
      <c r="Q20" s="116"/>
      <c r="R20" s="116"/>
      <c r="S20" s="116"/>
      <c r="T20" s="116"/>
      <c r="U20" s="116"/>
    </row>
    <row r="21" spans="2:21" x14ac:dyDescent="0.25">
      <c r="L21" s="116"/>
      <c r="M21" s="116"/>
      <c r="N21" s="116"/>
      <c r="O21" s="116"/>
      <c r="P21" s="116"/>
      <c r="Q21" s="116"/>
      <c r="R21" s="116"/>
      <c r="S21" s="116"/>
      <c r="T21" s="116"/>
      <c r="U21" s="116"/>
    </row>
    <row r="22" spans="2:21" x14ac:dyDescent="0.25">
      <c r="L22" s="116"/>
      <c r="M22" s="116"/>
      <c r="N22" s="116"/>
      <c r="O22" s="116"/>
      <c r="P22" s="116"/>
      <c r="Q22" s="116"/>
      <c r="R22" s="116"/>
      <c r="S22" s="116"/>
      <c r="T22" s="116"/>
      <c r="U22" s="116"/>
    </row>
    <row r="23" spans="2:21" x14ac:dyDescent="0.25">
      <c r="B23" t="s">
        <v>4</v>
      </c>
      <c r="D23" t="s">
        <v>5</v>
      </c>
      <c r="E23" t="s">
        <v>6</v>
      </c>
      <c r="F23" t="s">
        <v>7</v>
      </c>
      <c r="G23" t="s">
        <v>8</v>
      </c>
      <c r="H23" t="s">
        <v>502</v>
      </c>
      <c r="I23" t="s">
        <v>503</v>
      </c>
      <c r="L23" s="116"/>
      <c r="M23" s="116"/>
      <c r="N23" s="116"/>
      <c r="O23" s="116"/>
      <c r="P23" s="116"/>
      <c r="Q23" s="116"/>
      <c r="R23" s="116"/>
      <c r="S23" s="116"/>
      <c r="T23" s="116"/>
      <c r="U23" s="116"/>
    </row>
    <row r="24" spans="2:21" x14ac:dyDescent="0.25">
      <c r="B24" s="1"/>
      <c r="C24" s="1"/>
      <c r="D24" s="19" t="s">
        <v>9</v>
      </c>
      <c r="E24" s="20"/>
      <c r="F24" s="20"/>
      <c r="G24" s="21"/>
      <c r="H24" s="22" t="s">
        <v>10</v>
      </c>
      <c r="I24" s="20"/>
      <c r="J24" s="20"/>
      <c r="L24" s="116"/>
      <c r="M24" s="116"/>
      <c r="N24" s="116"/>
      <c r="O24" s="116"/>
      <c r="P24" s="116"/>
      <c r="Q24" s="116"/>
      <c r="R24" s="116"/>
      <c r="S24" s="116"/>
      <c r="T24" s="116"/>
      <c r="U24" s="116"/>
    </row>
    <row r="25" spans="2:21" x14ac:dyDescent="0.25">
      <c r="B25" s="23"/>
      <c r="C25" s="23"/>
      <c r="D25" s="24">
        <v>44926</v>
      </c>
      <c r="E25" s="24">
        <v>45291</v>
      </c>
      <c r="F25" s="24">
        <v>45657</v>
      </c>
      <c r="G25" s="25">
        <v>46022</v>
      </c>
      <c r="H25" s="26">
        <v>45838</v>
      </c>
      <c r="I25" s="25">
        <v>46203</v>
      </c>
      <c r="J25" s="27" t="s">
        <v>11</v>
      </c>
      <c r="L25" s="116"/>
      <c r="M25" s="116"/>
      <c r="N25" s="116"/>
      <c r="O25" s="116"/>
      <c r="P25" s="116"/>
      <c r="Q25" s="116"/>
      <c r="R25" s="116"/>
      <c r="S25" s="116"/>
      <c r="T25" s="116"/>
      <c r="U25" s="116"/>
    </row>
    <row r="26" spans="2:21" x14ac:dyDescent="0.25">
      <c r="B26" s="8" t="s">
        <v>92</v>
      </c>
      <c r="C26" s="8"/>
      <c r="D26" s="91">
        <v>876.36725999999999</v>
      </c>
      <c r="E26" s="91">
        <v>1283.50072</v>
      </c>
      <c r="F26" s="91">
        <v>870.50036999999998</v>
      </c>
      <c r="G26" s="92">
        <v>1330.4199900000001</v>
      </c>
      <c r="H26" s="61">
        <v>2298.4063000000001</v>
      </c>
      <c r="I26" s="60">
        <v>1174.9677999999999</v>
      </c>
      <c r="J26" s="31">
        <v>-0.48879021085175423</v>
      </c>
      <c r="L26" s="116"/>
      <c r="M26" s="116"/>
      <c r="N26" s="116"/>
      <c r="O26" s="116"/>
      <c r="P26" s="116"/>
      <c r="Q26" s="116"/>
      <c r="R26" s="116"/>
      <c r="S26" s="116"/>
      <c r="T26" s="116"/>
      <c r="U26" s="116"/>
    </row>
    <row r="27" spans="2:21" x14ac:dyDescent="0.25">
      <c r="B27" s="39" t="s">
        <v>56</v>
      </c>
      <c r="C27" s="32"/>
      <c r="D27" s="32">
        <v>0.57764199999999999</v>
      </c>
      <c r="E27" s="32">
        <v>0.55509500000000001</v>
      </c>
      <c r="F27" s="32">
        <v>0.56597700000000006</v>
      </c>
      <c r="G27" s="46">
        <v>0.61318800000000007</v>
      </c>
      <c r="H27" s="47">
        <v>0.58475299999999997</v>
      </c>
      <c r="I27" s="46">
        <v>0.65800799999999993</v>
      </c>
      <c r="J27" s="31">
        <v>0.12527511616015641</v>
      </c>
      <c r="L27" s="116"/>
      <c r="M27" s="116"/>
      <c r="N27" s="116"/>
      <c r="O27" s="116"/>
      <c r="P27" s="116"/>
      <c r="Q27" s="116"/>
      <c r="R27" s="116"/>
      <c r="S27" s="116"/>
      <c r="T27" s="116"/>
      <c r="U27" s="116"/>
    </row>
    <row r="28" spans="2:21" x14ac:dyDescent="0.25">
      <c r="B28" s="39" t="s">
        <v>57</v>
      </c>
      <c r="C28" s="32"/>
      <c r="D28" s="32">
        <v>0.48826999999999998</v>
      </c>
      <c r="E28" s="32">
        <v>0.44327599999999995</v>
      </c>
      <c r="F28" s="32">
        <v>0.47305599999999998</v>
      </c>
      <c r="G28" s="46">
        <v>0.50448899999999997</v>
      </c>
      <c r="H28" s="47">
        <v>0.49271500000000001</v>
      </c>
      <c r="I28" s="46">
        <v>0.54959400000000003</v>
      </c>
      <c r="J28" s="31">
        <v>0.11543996022041147</v>
      </c>
      <c r="L28" s="116"/>
      <c r="M28" s="116"/>
      <c r="N28" s="116"/>
      <c r="O28" s="116"/>
      <c r="P28" s="116"/>
      <c r="Q28" s="116"/>
      <c r="R28" s="116"/>
      <c r="S28" s="116"/>
      <c r="T28" s="116"/>
      <c r="U28" s="116"/>
    </row>
    <row r="29" spans="2:21" x14ac:dyDescent="0.25">
      <c r="B29" s="39" t="s">
        <v>58</v>
      </c>
      <c r="C29" s="32"/>
      <c r="D29" s="32">
        <v>0.57412700000000005</v>
      </c>
      <c r="E29" s="32">
        <v>0.60257099999999997</v>
      </c>
      <c r="F29" s="32">
        <v>0.65440200000000004</v>
      </c>
      <c r="G29" s="46">
        <v>0.65925200000000006</v>
      </c>
      <c r="H29" s="47">
        <v>0.65827699999999989</v>
      </c>
      <c r="I29" s="46">
        <v>0.68621700000000008</v>
      </c>
      <c r="J29" s="31">
        <v>4.2444138257906827E-2</v>
      </c>
      <c r="L29" s="11" t="s">
        <v>1</v>
      </c>
      <c r="M29" s="90"/>
      <c r="N29" s="90"/>
      <c r="O29" s="90"/>
      <c r="P29" s="90"/>
      <c r="Q29" s="90"/>
      <c r="R29" s="90"/>
      <c r="S29" s="90"/>
      <c r="T29" s="90"/>
      <c r="U29" s="90"/>
    </row>
    <row r="30" spans="2:21" x14ac:dyDescent="0.25">
      <c r="B30" s="39" t="s">
        <v>59</v>
      </c>
      <c r="C30" s="32"/>
      <c r="D30" s="32">
        <v>0.21812899999999999</v>
      </c>
      <c r="E30" s="32">
        <v>0.19659400000000002</v>
      </c>
      <c r="F30" s="32">
        <v>0.21357600000000002</v>
      </c>
      <c r="G30" s="46">
        <v>0.226939</v>
      </c>
      <c r="H30" s="47">
        <v>0.19268999999999997</v>
      </c>
      <c r="I30" s="46">
        <v>0.28559099999999998</v>
      </c>
      <c r="J30" s="31">
        <v>0.48212673205667156</v>
      </c>
      <c r="L30" s="12" t="s">
        <v>431</v>
      </c>
      <c r="M30" s="90"/>
      <c r="N30" s="90"/>
      <c r="O30" s="90"/>
      <c r="P30" s="90"/>
      <c r="Q30" s="90"/>
      <c r="R30" s="90"/>
      <c r="S30" s="90"/>
      <c r="T30" s="90"/>
      <c r="U30" s="90"/>
    </row>
    <row r="31" spans="2:21" x14ac:dyDescent="0.25">
      <c r="B31" s="33" t="s">
        <v>60</v>
      </c>
      <c r="C31" s="34"/>
      <c r="D31" s="34">
        <v>0.16031600000000001</v>
      </c>
      <c r="E31" s="34">
        <v>0.320023</v>
      </c>
      <c r="F31" s="34">
        <v>0.28789399999999998</v>
      </c>
      <c r="G31" s="48">
        <v>0.434091</v>
      </c>
      <c r="H31" s="49">
        <v>0.57266700000000004</v>
      </c>
      <c r="I31" s="48">
        <v>0.22897800000000001</v>
      </c>
      <c r="J31" s="38">
        <v>-0.60015506393768114</v>
      </c>
      <c r="L31" s="12" t="s">
        <v>432</v>
      </c>
      <c r="M31" s="90"/>
      <c r="N31" s="90"/>
      <c r="O31" s="90"/>
      <c r="P31" s="90"/>
      <c r="Q31" s="90"/>
      <c r="R31" s="90"/>
      <c r="S31" s="90"/>
      <c r="T31" s="90"/>
      <c r="U31" s="90"/>
    </row>
    <row r="32" spans="2:21" x14ac:dyDescent="0.25">
      <c r="B32" s="39" t="s">
        <v>61</v>
      </c>
      <c r="C32" s="8"/>
      <c r="D32" s="42">
        <v>14.297421905288475</v>
      </c>
      <c r="E32" s="42">
        <v>16.895319612016216</v>
      </c>
      <c r="F32" s="42">
        <v>14.511760294579316</v>
      </c>
      <c r="G32" s="51">
        <v>20.750526962434986</v>
      </c>
      <c r="H32" s="58">
        <v>17.81612925740983</v>
      </c>
      <c r="I32" s="51">
        <v>21.455431627919058</v>
      </c>
      <c r="J32" s="31">
        <v>0.20427009244982997</v>
      </c>
      <c r="L32" s="106" t="s">
        <v>433</v>
      </c>
      <c r="M32" s="106"/>
      <c r="N32" s="106"/>
      <c r="O32" s="106"/>
      <c r="P32" s="106"/>
      <c r="Q32" s="106"/>
      <c r="R32" s="106"/>
      <c r="S32" s="106"/>
      <c r="T32" s="106"/>
      <c r="U32" s="106"/>
    </row>
    <row r="33" spans="2:21" x14ac:dyDescent="0.25">
      <c r="B33" s="39" t="s">
        <v>62</v>
      </c>
      <c r="C33" s="8"/>
      <c r="D33" s="42">
        <v>21.468889999999998</v>
      </c>
      <c r="E33" s="42">
        <v>22.230899999999998</v>
      </c>
      <c r="F33" s="42">
        <v>24.41001</v>
      </c>
      <c r="G33" s="51">
        <v>32.684350000000002</v>
      </c>
      <c r="H33" s="58">
        <v>27.885529999999999</v>
      </c>
      <c r="I33" s="51">
        <v>35.689610000000002</v>
      </c>
      <c r="J33" s="31">
        <v>0.27986127572257025</v>
      </c>
      <c r="L33" s="106"/>
      <c r="M33" s="106"/>
      <c r="N33" s="106"/>
      <c r="O33" s="106"/>
      <c r="P33" s="106"/>
      <c r="Q33" s="106"/>
      <c r="R33" s="106"/>
      <c r="S33" s="106"/>
      <c r="T33" s="106"/>
      <c r="U33" s="106"/>
    </row>
    <row r="34" spans="2:21" x14ac:dyDescent="0.25">
      <c r="B34" s="39" t="s">
        <v>63</v>
      </c>
      <c r="C34" s="8"/>
      <c r="D34" s="42">
        <v>15.88186</v>
      </c>
      <c r="E34" s="42">
        <v>17.960059999999999</v>
      </c>
      <c r="F34" s="42">
        <v>21.23254</v>
      </c>
      <c r="G34" s="51">
        <v>29.116530000000001</v>
      </c>
      <c r="H34" s="58">
        <v>24.8033</v>
      </c>
      <c r="I34" s="51">
        <v>31.883949999999999</v>
      </c>
      <c r="J34" s="31">
        <v>0.28547209443904631</v>
      </c>
      <c r="L34" s="106" t="s">
        <v>434</v>
      </c>
      <c r="M34" s="106"/>
      <c r="N34" s="106"/>
      <c r="O34" s="106"/>
      <c r="P34" s="106"/>
      <c r="Q34" s="106"/>
      <c r="R34" s="106"/>
      <c r="S34" s="106"/>
      <c r="T34" s="106"/>
      <c r="U34" s="106"/>
    </row>
    <row r="35" spans="2:21" x14ac:dyDescent="0.25">
      <c r="B35" s="39" t="s">
        <v>64</v>
      </c>
      <c r="C35" s="8"/>
      <c r="D35" s="42">
        <v>1.0399400000000001</v>
      </c>
      <c r="E35" s="42">
        <v>1.10693</v>
      </c>
      <c r="F35" s="42">
        <v>0.77283000000000002</v>
      </c>
      <c r="G35" s="51">
        <v>0.60587000000000002</v>
      </c>
      <c r="H35" s="58">
        <v>0.68076000000000003</v>
      </c>
      <c r="I35" s="51">
        <v>0.58391999999999999</v>
      </c>
      <c r="J35" s="31">
        <v>-0.14225277630883137</v>
      </c>
      <c r="L35" s="106"/>
      <c r="M35" s="106"/>
      <c r="N35" s="106"/>
      <c r="O35" s="106"/>
      <c r="P35" s="106"/>
      <c r="Q35" s="106"/>
      <c r="R35" s="106"/>
      <c r="S35" s="106"/>
      <c r="T35" s="106"/>
      <c r="U35" s="106"/>
    </row>
    <row r="36" spans="2:21" x14ac:dyDescent="0.25">
      <c r="B36" s="39" t="s">
        <v>65</v>
      </c>
      <c r="C36" s="8"/>
      <c r="D36" s="42">
        <v>0.85980999999999996</v>
      </c>
      <c r="E36" s="42">
        <v>0.81732000000000005</v>
      </c>
      <c r="F36" s="42">
        <v>0.60941999999999996</v>
      </c>
      <c r="G36" s="51">
        <v>0.38879000000000002</v>
      </c>
      <c r="H36" s="58">
        <v>0.27982000000000001</v>
      </c>
      <c r="I36" s="51">
        <v>0.40905999999999998</v>
      </c>
      <c r="J36" s="31">
        <v>0.46186834393538678</v>
      </c>
      <c r="L36" s="117" t="s">
        <v>435</v>
      </c>
      <c r="M36" s="117"/>
      <c r="N36" s="117"/>
      <c r="O36" s="117"/>
      <c r="P36" s="117"/>
      <c r="Q36" s="117"/>
      <c r="R36" s="117"/>
      <c r="S36" s="117"/>
      <c r="T36" s="117"/>
      <c r="U36" s="117"/>
    </row>
    <row r="37" spans="2:21" x14ac:dyDescent="0.25">
      <c r="B37" s="39" t="s">
        <v>66</v>
      </c>
      <c r="C37" s="8"/>
      <c r="D37" s="42">
        <v>1.40578</v>
      </c>
      <c r="E37" s="42">
        <v>1.37015</v>
      </c>
      <c r="F37" s="42">
        <v>0.88848000000000005</v>
      </c>
      <c r="G37" s="51">
        <v>0.68010999999999999</v>
      </c>
      <c r="H37" s="58">
        <v>0.76536000000000004</v>
      </c>
      <c r="I37" s="51">
        <v>0.65361000000000002</v>
      </c>
      <c r="J37" s="31">
        <v>-0.14600972091564757</v>
      </c>
      <c r="L37" s="117"/>
      <c r="M37" s="117"/>
      <c r="N37" s="117"/>
      <c r="O37" s="117"/>
      <c r="P37" s="117"/>
      <c r="Q37" s="117"/>
      <c r="R37" s="117"/>
      <c r="S37" s="117"/>
      <c r="T37" s="117"/>
      <c r="U37" s="117"/>
    </row>
    <row r="38" spans="2:21" x14ac:dyDescent="0.25">
      <c r="B38" s="33" t="s">
        <v>67</v>
      </c>
      <c r="C38" s="52"/>
      <c r="D38" s="52">
        <v>1.16228</v>
      </c>
      <c r="E38" s="52">
        <v>1.0116700000000001</v>
      </c>
      <c r="F38" s="52">
        <v>0.70062000000000002</v>
      </c>
      <c r="G38" s="53">
        <v>0.43642999999999998</v>
      </c>
      <c r="H38" s="54">
        <v>0.31458999999999998</v>
      </c>
      <c r="I38" s="53">
        <v>0.45788000000000001</v>
      </c>
      <c r="J38" s="38">
        <v>0.45548173813535087</v>
      </c>
      <c r="L38" s="117" t="s">
        <v>436</v>
      </c>
      <c r="M38" s="117"/>
      <c r="N38" s="117"/>
      <c r="O38" s="117"/>
      <c r="P38" s="117"/>
      <c r="Q38" s="117"/>
      <c r="R38" s="117"/>
      <c r="S38" s="117"/>
      <c r="T38" s="117"/>
      <c r="U38" s="117"/>
    </row>
    <row r="39" spans="2:21" x14ac:dyDescent="0.25">
      <c r="B39" s="8" t="s">
        <v>68</v>
      </c>
      <c r="C39" s="42"/>
      <c r="D39" s="59">
        <v>76.762420000000006</v>
      </c>
      <c r="E39" s="59">
        <v>76.472250000000003</v>
      </c>
      <c r="F39" s="59">
        <v>61.171039999999998</v>
      </c>
      <c r="G39" s="60">
        <v>53.824730000000002</v>
      </c>
      <c r="H39" s="61">
        <v>50.526949999999999</v>
      </c>
      <c r="I39" s="60">
        <v>46.775480000000002</v>
      </c>
      <c r="J39" s="31">
        <v>-7.4246911796575832E-2</v>
      </c>
      <c r="L39" s="117"/>
      <c r="M39" s="117"/>
      <c r="N39" s="117"/>
      <c r="O39" s="117"/>
      <c r="P39" s="117"/>
      <c r="Q39" s="117"/>
      <c r="R39" s="117"/>
      <c r="S39" s="117"/>
      <c r="T39" s="117"/>
      <c r="U39" s="117"/>
    </row>
    <row r="40" spans="2:21" x14ac:dyDescent="0.25">
      <c r="B40" s="8" t="s">
        <v>69</v>
      </c>
      <c r="C40" s="42"/>
      <c r="D40" s="59">
        <v>142.35694000000001</v>
      </c>
      <c r="E40" s="59">
        <v>148.33491000000001</v>
      </c>
      <c r="F40" s="59">
        <v>149.23577</v>
      </c>
      <c r="G40" s="60">
        <v>160.36312000000001</v>
      </c>
      <c r="H40" s="61">
        <v>83.007940000000005</v>
      </c>
      <c r="I40" s="60">
        <v>70.358500000000006</v>
      </c>
      <c r="J40" s="31">
        <v>-0.15238831369625605</v>
      </c>
      <c r="L40" s="106" t="s">
        <v>437</v>
      </c>
      <c r="M40" s="106"/>
      <c r="N40" s="106"/>
      <c r="O40" s="106"/>
      <c r="P40" s="106"/>
      <c r="Q40" s="106"/>
      <c r="R40" s="106"/>
      <c r="S40" s="106"/>
      <c r="T40" s="106"/>
      <c r="U40" s="106"/>
    </row>
    <row r="41" spans="2:21" x14ac:dyDescent="0.25">
      <c r="B41" s="8" t="s">
        <v>70</v>
      </c>
      <c r="C41" s="42"/>
      <c r="D41" s="59">
        <v>67.257459999999995</v>
      </c>
      <c r="E41" s="59">
        <v>86.089269999999999</v>
      </c>
      <c r="F41" s="59">
        <v>76.21584</v>
      </c>
      <c r="G41" s="60">
        <v>58.547460000000001</v>
      </c>
      <c r="H41" s="61">
        <v>77.738069999999993</v>
      </c>
      <c r="I41" s="60">
        <v>68.477289999999996</v>
      </c>
      <c r="J41" s="31">
        <v>-0.11912798967095528</v>
      </c>
      <c r="L41" s="106"/>
      <c r="M41" s="106"/>
      <c r="N41" s="106"/>
      <c r="O41" s="106"/>
      <c r="P41" s="106"/>
      <c r="Q41" s="106"/>
      <c r="R41" s="106"/>
      <c r="S41" s="106"/>
      <c r="T41" s="106"/>
      <c r="U41" s="106"/>
    </row>
    <row r="42" spans="2:21" x14ac:dyDescent="0.25">
      <c r="B42" s="39" t="s">
        <v>71</v>
      </c>
      <c r="C42" s="42"/>
      <c r="D42" s="42">
        <v>1.25051</v>
      </c>
      <c r="E42" s="42">
        <v>1.3226</v>
      </c>
      <c r="F42" s="42">
        <v>1.0936699999999999</v>
      </c>
      <c r="G42" s="51">
        <v>1.1694899999999999</v>
      </c>
      <c r="H42" s="58">
        <v>0.97672999999999999</v>
      </c>
      <c r="I42" s="51">
        <v>1.80243</v>
      </c>
      <c r="J42" s="31">
        <v>0.84537180182855032</v>
      </c>
      <c r="L42" s="106" t="s">
        <v>438</v>
      </c>
      <c r="M42" s="106"/>
      <c r="N42" s="106"/>
      <c r="O42" s="106"/>
      <c r="P42" s="106"/>
      <c r="Q42" s="106"/>
      <c r="R42" s="106"/>
      <c r="S42" s="106"/>
      <c r="T42" s="106"/>
      <c r="U42" s="106"/>
    </row>
    <row r="43" spans="2:21" x14ac:dyDescent="0.25">
      <c r="B43" s="39" t="s">
        <v>72</v>
      </c>
      <c r="C43" s="42"/>
      <c r="D43" s="42">
        <v>0.94345999999999997</v>
      </c>
      <c r="E43" s="42">
        <v>0.98799000000000003</v>
      </c>
      <c r="F43" s="42">
        <v>0.55810999999999999</v>
      </c>
      <c r="G43" s="51">
        <v>0.96236999999999995</v>
      </c>
      <c r="H43" s="58">
        <v>0.82103999999999999</v>
      </c>
      <c r="I43" s="51">
        <v>1.41869</v>
      </c>
      <c r="J43" s="31">
        <v>0.72791825002435928</v>
      </c>
      <c r="L43" s="106"/>
      <c r="M43" s="106"/>
      <c r="N43" s="106"/>
      <c r="O43" s="106"/>
      <c r="P43" s="106"/>
      <c r="Q43" s="106"/>
      <c r="R43" s="106"/>
      <c r="S43" s="106"/>
      <c r="T43" s="106"/>
      <c r="U43" s="106"/>
    </row>
    <row r="44" spans="2:21" x14ac:dyDescent="0.25">
      <c r="B44" s="33" t="s">
        <v>73</v>
      </c>
      <c r="C44" s="43"/>
      <c r="D44" s="43">
        <v>1.6629400000000001</v>
      </c>
      <c r="E44" s="43">
        <v>14.226610000000001</v>
      </c>
      <c r="F44" s="43">
        <v>-11.848879999999999</v>
      </c>
      <c r="G44" s="62">
        <v>-47.990929999999999</v>
      </c>
      <c r="H44" s="63">
        <v>45.257080000000002</v>
      </c>
      <c r="I44" s="62">
        <v>44.894269999999999</v>
      </c>
      <c r="J44" s="38">
        <v>-8.0166462352410095E-3</v>
      </c>
      <c r="L44" s="117" t="s">
        <v>439</v>
      </c>
      <c r="M44" s="117"/>
      <c r="N44" s="117"/>
      <c r="O44" s="117"/>
      <c r="P44" s="117"/>
      <c r="Q44" s="117"/>
      <c r="R44" s="117"/>
      <c r="S44" s="117"/>
      <c r="T44" s="117"/>
      <c r="U44" s="117"/>
    </row>
    <row r="45" spans="2:21" x14ac:dyDescent="0.25">
      <c r="B45" s="39" t="s">
        <v>38</v>
      </c>
      <c r="C45" s="32"/>
      <c r="D45" s="32">
        <v>0.153639</v>
      </c>
      <c r="E45" s="32">
        <v>0.11823800000000001</v>
      </c>
      <c r="F45" s="32">
        <v>0.13522000000000001</v>
      </c>
      <c r="G45" s="46">
        <v>0.18498100000000001</v>
      </c>
      <c r="H45" s="47">
        <v>0.1603</v>
      </c>
      <c r="I45" s="46">
        <v>0.219753</v>
      </c>
      <c r="J45" s="31">
        <v>0.37088583905177797</v>
      </c>
      <c r="L45" s="117"/>
      <c r="M45" s="117"/>
      <c r="N45" s="117"/>
      <c r="O45" s="117"/>
      <c r="P45" s="117"/>
      <c r="Q45" s="117"/>
      <c r="R45" s="117"/>
      <c r="S45" s="117"/>
      <c r="T45" s="117"/>
      <c r="U45" s="117"/>
    </row>
    <row r="46" spans="2:21" x14ac:dyDescent="0.25">
      <c r="B46" s="39" t="s">
        <v>74</v>
      </c>
      <c r="C46" s="32"/>
      <c r="D46" s="32">
        <v>0.19738399999999998</v>
      </c>
      <c r="E46" s="32">
        <v>0.150918</v>
      </c>
      <c r="F46" s="32">
        <v>0.17740700000000001</v>
      </c>
      <c r="G46" s="46">
        <v>0.24673700000000001</v>
      </c>
      <c r="H46" s="47">
        <v>0.207402</v>
      </c>
      <c r="I46" s="46">
        <v>0.28860800000000003</v>
      </c>
      <c r="J46" s="31">
        <v>0.39153913655606032</v>
      </c>
      <c r="L46" s="117" t="s">
        <v>440</v>
      </c>
      <c r="M46" s="117"/>
      <c r="N46" s="117"/>
      <c r="O46" s="117"/>
      <c r="P46" s="117"/>
      <c r="Q46" s="117"/>
      <c r="R46" s="117"/>
      <c r="S46" s="117"/>
      <c r="T46" s="117"/>
      <c r="U46" s="117"/>
    </row>
    <row r="47" spans="2:21" x14ac:dyDescent="0.25">
      <c r="B47" s="33" t="s">
        <v>35</v>
      </c>
      <c r="C47" s="34"/>
      <c r="D47" s="34">
        <v>0.32684199999999997</v>
      </c>
      <c r="E47" s="34">
        <v>0.24413799999999999</v>
      </c>
      <c r="F47" s="34">
        <v>0.259044</v>
      </c>
      <c r="G47" s="48">
        <v>0.42065199999999997</v>
      </c>
      <c r="H47" s="49">
        <v>0.330233</v>
      </c>
      <c r="I47" s="48">
        <v>0.45892899999999998</v>
      </c>
      <c r="J47" s="38">
        <v>0.38971271799002505</v>
      </c>
      <c r="L47" s="117"/>
      <c r="M47" s="117"/>
      <c r="N47" s="117"/>
      <c r="O47" s="117"/>
      <c r="P47" s="117"/>
      <c r="Q47" s="117"/>
      <c r="R47" s="117"/>
      <c r="S47" s="117"/>
      <c r="T47" s="117"/>
      <c r="U47" s="117"/>
    </row>
    <row r="48" spans="2:21" x14ac:dyDescent="0.25">
      <c r="L48" s="12" t="s">
        <v>441</v>
      </c>
      <c r="M48" s="12"/>
      <c r="N48" s="12"/>
      <c r="O48" s="12"/>
      <c r="P48" s="12"/>
      <c r="Q48" s="12"/>
      <c r="R48" s="12"/>
      <c r="S48" s="12"/>
      <c r="T48" s="12"/>
      <c r="U48" s="12"/>
    </row>
    <row r="49" spans="12:21" x14ac:dyDescent="0.25">
      <c r="L49" s="12" t="s">
        <v>442</v>
      </c>
      <c r="M49" s="12"/>
      <c r="N49" s="12"/>
      <c r="O49" s="12"/>
      <c r="P49" s="12"/>
      <c r="Q49" s="12"/>
      <c r="R49" s="12"/>
      <c r="S49" s="12"/>
      <c r="T49" s="12"/>
      <c r="U49" s="12"/>
    </row>
    <row r="50" spans="12:21" x14ac:dyDescent="0.25">
      <c r="L50" s="106" t="s">
        <v>443</v>
      </c>
      <c r="M50" s="106"/>
      <c r="N50" s="106"/>
      <c r="O50" s="106"/>
      <c r="P50" s="106"/>
      <c r="Q50" s="106"/>
      <c r="R50" s="106"/>
      <c r="S50" s="106"/>
      <c r="T50" s="106"/>
      <c r="U50" s="106"/>
    </row>
    <row r="51" spans="12:21" x14ac:dyDescent="0.25">
      <c r="L51" s="106"/>
      <c r="M51" s="106"/>
      <c r="N51" s="106"/>
      <c r="O51" s="106"/>
      <c r="P51" s="106"/>
      <c r="Q51" s="106"/>
      <c r="R51" s="106"/>
      <c r="S51" s="106"/>
      <c r="T51" s="106"/>
      <c r="U51" s="106"/>
    </row>
    <row r="52" spans="12:21" x14ac:dyDescent="0.25">
      <c r="L52" s="106"/>
      <c r="M52" s="106"/>
      <c r="N52" s="106"/>
      <c r="O52" s="106"/>
      <c r="P52" s="106"/>
      <c r="Q52" s="106"/>
      <c r="R52" s="106"/>
      <c r="S52" s="106"/>
      <c r="T52" s="106"/>
      <c r="U52" s="106"/>
    </row>
    <row r="54" spans="12:21" x14ac:dyDescent="0.25">
      <c r="L54" s="11" t="s">
        <v>3</v>
      </c>
    </row>
    <row r="55" spans="12:21" x14ac:dyDescent="0.25">
      <c r="L55" s="12" t="s">
        <v>444</v>
      </c>
    </row>
    <row r="56" spans="12:21" x14ac:dyDescent="0.25">
      <c r="L56" s="12" t="s">
        <v>445</v>
      </c>
    </row>
    <row r="57" spans="12:21" x14ac:dyDescent="0.25">
      <c r="L57" s="12" t="s">
        <v>446</v>
      </c>
    </row>
    <row r="58" spans="12:21" x14ac:dyDescent="0.25">
      <c r="L58" s="12" t="s">
        <v>447</v>
      </c>
    </row>
    <row r="59" spans="12:21" x14ac:dyDescent="0.25">
      <c r="L59" s="12" t="s">
        <v>448</v>
      </c>
    </row>
    <row r="60" spans="12:21" x14ac:dyDescent="0.25">
      <c r="L60" s="109" t="s">
        <v>449</v>
      </c>
      <c r="M60" s="109"/>
      <c r="N60" s="109"/>
      <c r="O60" s="109"/>
      <c r="P60" s="109"/>
      <c r="Q60" s="109"/>
      <c r="R60" s="109"/>
      <c r="S60" s="109"/>
      <c r="T60" s="109"/>
      <c r="U60" s="109"/>
    </row>
    <row r="61" spans="12:21" x14ac:dyDescent="0.25">
      <c r="L61" s="12" t="s">
        <v>450</v>
      </c>
    </row>
    <row r="62" spans="12:21" x14ac:dyDescent="0.25">
      <c r="L62" s="12" t="s">
        <v>451</v>
      </c>
    </row>
    <row r="63" spans="12:21" x14ac:dyDescent="0.25">
      <c r="L63" s="12" t="s">
        <v>452</v>
      </c>
    </row>
    <row r="84" spans="12:21" x14ac:dyDescent="0.25">
      <c r="M84" s="12"/>
      <c r="N84" s="12"/>
      <c r="O84" s="12"/>
      <c r="P84" s="12"/>
      <c r="Q84" s="12"/>
      <c r="R84" s="12"/>
      <c r="S84" s="12"/>
      <c r="T84" s="12"/>
      <c r="U84" s="12"/>
    </row>
    <row r="85" spans="12:21" x14ac:dyDescent="0.25">
      <c r="M85" s="12"/>
      <c r="N85" s="12"/>
      <c r="O85" s="12"/>
      <c r="P85" s="12"/>
      <c r="Q85" s="12"/>
      <c r="R85" s="12"/>
      <c r="S85" s="12"/>
      <c r="T85" s="12"/>
      <c r="U85" s="12"/>
    </row>
    <row r="86" spans="12:21" x14ac:dyDescent="0.25">
      <c r="L86" s="12"/>
      <c r="M86" s="12"/>
      <c r="N86" s="12"/>
      <c r="O86" s="12"/>
      <c r="P86" s="12"/>
      <c r="Q86" s="12"/>
      <c r="R86" s="12"/>
      <c r="S86" s="12"/>
      <c r="T86" s="12"/>
      <c r="U86" s="12"/>
    </row>
    <row r="92" spans="12:21" x14ac:dyDescent="0.25">
      <c r="M92" s="12"/>
      <c r="N92" s="12"/>
      <c r="O92" s="12"/>
      <c r="P92" s="12"/>
      <c r="Q92" s="12"/>
      <c r="R92" s="12"/>
      <c r="S92" s="12"/>
      <c r="T92" s="12"/>
      <c r="U92" s="12"/>
    </row>
    <row r="93" spans="12:21" x14ac:dyDescent="0.25">
      <c r="M93" s="12"/>
      <c r="N93" s="12"/>
      <c r="O93" s="12"/>
      <c r="P93" s="12"/>
      <c r="Q93" s="12"/>
      <c r="R93" s="12"/>
      <c r="S93" s="12"/>
      <c r="T93" s="12"/>
      <c r="U93" s="12"/>
    </row>
    <row r="94" spans="12:21" x14ac:dyDescent="0.25">
      <c r="M94" s="12"/>
      <c r="N94" s="12"/>
      <c r="O94" s="12"/>
      <c r="P94" s="12"/>
      <c r="Q94" s="12"/>
      <c r="R94" s="12"/>
      <c r="S94" s="12"/>
      <c r="T94" s="12"/>
      <c r="U94" s="12"/>
    </row>
  </sheetData>
  <mergeCells count="11">
    <mergeCell ref="L42:U43"/>
    <mergeCell ref="L44:U45"/>
    <mergeCell ref="L46:U47"/>
    <mergeCell ref="L50:U52"/>
    <mergeCell ref="L60:U60"/>
    <mergeCell ref="L40:U41"/>
    <mergeCell ref="L6:U28"/>
    <mergeCell ref="L32:U33"/>
    <mergeCell ref="L34:U35"/>
    <mergeCell ref="L36:U37"/>
    <mergeCell ref="L38:U39"/>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E0224-ED0E-4BE0-B219-19849D706285}">
  <dimension ref="B1:U64"/>
  <sheetViews>
    <sheetView topLeftCell="A15" workbookViewId="0">
      <selection activeCell="B23" sqref="B23:J47"/>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x14ac:dyDescent="0.25">
      <c r="L6" s="107" t="s">
        <v>453</v>
      </c>
      <c r="M6" s="107"/>
      <c r="N6" s="107"/>
      <c r="O6" s="107"/>
      <c r="P6" s="107"/>
      <c r="Q6" s="107"/>
      <c r="R6" s="107"/>
      <c r="S6" s="107"/>
      <c r="T6" s="107"/>
      <c r="U6" s="107"/>
    </row>
    <row r="7" spans="12:21" x14ac:dyDescent="0.25">
      <c r="L7" s="107"/>
      <c r="M7" s="107"/>
      <c r="N7" s="107"/>
      <c r="O7" s="107"/>
      <c r="P7" s="107"/>
      <c r="Q7" s="107"/>
      <c r="R7" s="107"/>
      <c r="S7" s="107"/>
      <c r="T7" s="107"/>
      <c r="U7" s="107"/>
    </row>
    <row r="8" spans="12:21" x14ac:dyDescent="0.25">
      <c r="L8" s="107"/>
      <c r="M8" s="107"/>
      <c r="N8" s="107"/>
      <c r="O8" s="107"/>
      <c r="P8" s="107"/>
      <c r="Q8" s="107"/>
      <c r="R8" s="107"/>
      <c r="S8" s="107"/>
      <c r="T8" s="107"/>
      <c r="U8" s="107"/>
    </row>
    <row r="9" spans="12:21" x14ac:dyDescent="0.25">
      <c r="L9" s="107"/>
      <c r="M9" s="107"/>
      <c r="N9" s="107"/>
      <c r="O9" s="107"/>
      <c r="P9" s="107"/>
      <c r="Q9" s="107"/>
      <c r="R9" s="107"/>
      <c r="S9" s="107"/>
      <c r="T9" s="107"/>
      <c r="U9" s="107"/>
    </row>
    <row r="10" spans="12:21" x14ac:dyDescent="0.25">
      <c r="L10" s="107"/>
      <c r="M10" s="107"/>
      <c r="N10" s="107"/>
      <c r="O10" s="107"/>
      <c r="P10" s="107"/>
      <c r="Q10" s="107"/>
      <c r="R10" s="107"/>
      <c r="S10" s="107"/>
      <c r="T10" s="107"/>
      <c r="U10" s="107"/>
    </row>
    <row r="11" spans="12:21" x14ac:dyDescent="0.25">
      <c r="L11" s="107"/>
      <c r="M11" s="107"/>
      <c r="N11" s="107"/>
      <c r="O11" s="107"/>
      <c r="P11" s="107"/>
      <c r="Q11" s="107"/>
      <c r="R11" s="107"/>
      <c r="S11" s="107"/>
      <c r="T11" s="107"/>
      <c r="U11" s="107"/>
    </row>
    <row r="12" spans="12:21" x14ac:dyDescent="0.25">
      <c r="L12" s="107"/>
      <c r="M12" s="107"/>
      <c r="N12" s="107"/>
      <c r="O12" s="107"/>
      <c r="P12" s="107"/>
      <c r="Q12" s="107"/>
      <c r="R12" s="107"/>
      <c r="S12" s="107"/>
      <c r="T12" s="107"/>
      <c r="U12" s="107"/>
    </row>
    <row r="13" spans="12:21" x14ac:dyDescent="0.25">
      <c r="L13" s="107"/>
      <c r="M13" s="107"/>
      <c r="N13" s="107"/>
      <c r="O13" s="107"/>
      <c r="P13" s="107"/>
      <c r="Q13" s="107"/>
      <c r="R13" s="107"/>
      <c r="S13" s="107"/>
      <c r="T13" s="107"/>
      <c r="U13" s="107"/>
    </row>
    <row r="14" spans="12:21" x14ac:dyDescent="0.25">
      <c r="L14" s="107"/>
      <c r="M14" s="107"/>
      <c r="N14" s="107"/>
      <c r="O14" s="107"/>
      <c r="P14" s="107"/>
      <c r="Q14" s="107"/>
      <c r="R14" s="107"/>
      <c r="S14" s="107"/>
      <c r="T14" s="107"/>
      <c r="U14" s="107"/>
    </row>
    <row r="15" spans="12:21" x14ac:dyDescent="0.25">
      <c r="L15" s="107"/>
      <c r="M15" s="107"/>
      <c r="N15" s="107"/>
      <c r="O15" s="107"/>
      <c r="P15" s="107"/>
      <c r="Q15" s="107"/>
      <c r="R15" s="107"/>
      <c r="S15" s="107"/>
      <c r="T15" s="107"/>
      <c r="U15" s="107"/>
    </row>
    <row r="16" spans="12:21" x14ac:dyDescent="0.25">
      <c r="L16" s="107"/>
      <c r="M16" s="107"/>
      <c r="N16" s="107"/>
      <c r="O16" s="107"/>
      <c r="P16" s="107"/>
      <c r="Q16" s="107"/>
      <c r="R16" s="107"/>
      <c r="S16" s="107"/>
      <c r="T16" s="107"/>
      <c r="U16" s="107"/>
    </row>
    <row r="17" spans="2:21" x14ac:dyDescent="0.25">
      <c r="L17" s="107"/>
      <c r="M17" s="107"/>
      <c r="N17" s="107"/>
      <c r="O17" s="107"/>
      <c r="P17" s="107"/>
      <c r="Q17" s="107"/>
      <c r="R17" s="107"/>
      <c r="S17" s="107"/>
      <c r="T17" s="107"/>
      <c r="U17" s="107"/>
    </row>
    <row r="18" spans="2:21" x14ac:dyDescent="0.25">
      <c r="L18" s="107"/>
      <c r="M18" s="107"/>
      <c r="N18" s="107"/>
      <c r="O18" s="107"/>
      <c r="P18" s="107"/>
      <c r="Q18" s="107"/>
      <c r="R18" s="107"/>
      <c r="S18" s="107"/>
      <c r="T18" s="107"/>
      <c r="U18" s="107"/>
    </row>
    <row r="19" spans="2:21" x14ac:dyDescent="0.25">
      <c r="L19" s="107"/>
      <c r="M19" s="107"/>
      <c r="N19" s="107"/>
      <c r="O19" s="107"/>
      <c r="P19" s="107"/>
      <c r="Q19" s="107"/>
      <c r="R19" s="107"/>
      <c r="S19" s="107"/>
      <c r="T19" s="107"/>
      <c r="U19" s="107"/>
    </row>
    <row r="20" spans="2:21" x14ac:dyDescent="0.25">
      <c r="L20" s="107"/>
      <c r="M20" s="107"/>
      <c r="N20" s="107"/>
      <c r="O20" s="107"/>
      <c r="P20" s="107"/>
      <c r="Q20" s="107"/>
      <c r="R20" s="107"/>
      <c r="S20" s="107"/>
      <c r="T20" s="107"/>
      <c r="U20" s="107"/>
    </row>
    <row r="21" spans="2:21" x14ac:dyDescent="0.25">
      <c r="L21" s="107"/>
      <c r="M21" s="107"/>
      <c r="N21" s="107"/>
      <c r="O21" s="107"/>
      <c r="P21" s="107"/>
      <c r="Q21" s="107"/>
      <c r="R21" s="107"/>
      <c r="S21" s="107"/>
      <c r="T21" s="107"/>
      <c r="U21" s="107"/>
    </row>
    <row r="22" spans="2:21" x14ac:dyDescent="0.25">
      <c r="L22" s="107"/>
      <c r="M22" s="107"/>
      <c r="N22" s="107"/>
      <c r="O22" s="107"/>
      <c r="P22" s="107"/>
      <c r="Q22" s="107"/>
      <c r="R22" s="107"/>
      <c r="S22" s="107"/>
      <c r="T22" s="107"/>
      <c r="U22" s="107"/>
    </row>
    <row r="23" spans="2:21" x14ac:dyDescent="0.25">
      <c r="B23" t="s">
        <v>4</v>
      </c>
      <c r="D23" t="s">
        <v>5</v>
      </c>
      <c r="E23" t="s">
        <v>6</v>
      </c>
      <c r="F23" t="s">
        <v>7</v>
      </c>
      <c r="G23" t="s">
        <v>8</v>
      </c>
      <c r="H23" t="s">
        <v>502</v>
      </c>
      <c r="I23" t="s">
        <v>503</v>
      </c>
      <c r="L23" s="107"/>
      <c r="M23" s="107"/>
      <c r="N23" s="107"/>
      <c r="O23" s="107"/>
      <c r="P23" s="107"/>
      <c r="Q23" s="107"/>
      <c r="R23" s="107"/>
      <c r="S23" s="107"/>
      <c r="T23" s="107"/>
      <c r="U23" s="107"/>
    </row>
    <row r="24" spans="2:21" x14ac:dyDescent="0.25">
      <c r="B24" s="1"/>
      <c r="C24" s="1"/>
      <c r="D24" s="19" t="s">
        <v>9</v>
      </c>
      <c r="E24" s="20"/>
      <c r="F24" s="20"/>
      <c r="G24" s="21"/>
      <c r="H24" s="22" t="s">
        <v>10</v>
      </c>
      <c r="I24" s="20"/>
      <c r="J24" s="20"/>
      <c r="L24" s="11" t="s">
        <v>1</v>
      </c>
      <c r="M24" s="93"/>
      <c r="N24" s="93"/>
      <c r="O24" s="93"/>
      <c r="P24" s="93"/>
      <c r="Q24" s="93"/>
      <c r="R24" s="93"/>
      <c r="S24" s="93"/>
      <c r="T24" s="93"/>
      <c r="U24" s="93"/>
    </row>
    <row r="25" spans="2:21" x14ac:dyDescent="0.25">
      <c r="B25" s="23"/>
      <c r="C25" s="23"/>
      <c r="D25" s="24">
        <v>44926</v>
      </c>
      <c r="E25" s="24">
        <v>45291</v>
      </c>
      <c r="F25" s="24">
        <v>45657</v>
      </c>
      <c r="G25" s="25">
        <v>46022</v>
      </c>
      <c r="H25" s="26">
        <v>45838</v>
      </c>
      <c r="I25" s="25">
        <v>46203</v>
      </c>
      <c r="J25" s="27" t="s">
        <v>11</v>
      </c>
      <c r="L25" s="12" t="s">
        <v>454</v>
      </c>
      <c r="M25" s="93"/>
      <c r="N25" s="93"/>
      <c r="O25" s="93"/>
      <c r="P25" s="93"/>
      <c r="Q25" s="93"/>
      <c r="R25" s="93"/>
      <c r="S25" s="93"/>
      <c r="T25" s="93"/>
      <c r="U25" s="93"/>
    </row>
    <row r="26" spans="2:21" x14ac:dyDescent="0.25">
      <c r="B26" s="8" t="s">
        <v>55</v>
      </c>
      <c r="C26" s="8"/>
      <c r="D26" s="59">
        <v>497.82600000000002</v>
      </c>
      <c r="E26" s="59">
        <v>457.25900000000001</v>
      </c>
      <c r="F26" s="59">
        <v>620.53700000000003</v>
      </c>
      <c r="G26" s="60">
        <v>515.87099999999998</v>
      </c>
      <c r="H26" s="61">
        <v>412.30799999999999</v>
      </c>
      <c r="I26" s="60">
        <v>379.74</v>
      </c>
      <c r="J26" s="31">
        <v>-7.8989493291422908E-2</v>
      </c>
      <c r="L26" s="12" t="s">
        <v>455</v>
      </c>
      <c r="M26" s="12"/>
      <c r="N26" s="12"/>
      <c r="O26" s="12"/>
      <c r="P26" s="12"/>
      <c r="Q26" s="12"/>
      <c r="R26" s="12"/>
      <c r="S26" s="12"/>
      <c r="T26" s="12"/>
      <c r="U26" s="12"/>
    </row>
    <row r="27" spans="2:21" x14ac:dyDescent="0.25">
      <c r="B27" s="39" t="s">
        <v>56</v>
      </c>
      <c r="C27" s="32"/>
      <c r="D27" s="32">
        <v>0.20716699999999999</v>
      </c>
      <c r="E27" s="32">
        <v>0.11444900000000001</v>
      </c>
      <c r="F27" s="32">
        <v>0.190557</v>
      </c>
      <c r="G27" s="46">
        <v>0.23401</v>
      </c>
      <c r="H27" s="47">
        <v>0.186612</v>
      </c>
      <c r="I27" s="46">
        <v>0.28071299999999999</v>
      </c>
      <c r="J27" s="31">
        <v>0.50426017619445695</v>
      </c>
      <c r="L27" s="12" t="s">
        <v>257</v>
      </c>
      <c r="M27" s="65"/>
      <c r="N27" s="65"/>
      <c r="O27" s="65"/>
      <c r="P27" s="65"/>
      <c r="Q27" s="65"/>
      <c r="R27" s="65"/>
      <c r="S27" s="65"/>
      <c r="T27" s="65"/>
      <c r="U27" s="65"/>
    </row>
    <row r="28" spans="2:21" x14ac:dyDescent="0.25">
      <c r="B28" s="39" t="s">
        <v>57</v>
      </c>
      <c r="C28" s="32"/>
      <c r="D28" s="32">
        <v>0.13242300000000001</v>
      </c>
      <c r="E28" s="32">
        <v>-7.8859999999999989E-3</v>
      </c>
      <c r="F28" s="32">
        <v>9.5538000000000012E-2</v>
      </c>
      <c r="G28" s="46">
        <v>0.13873100000000002</v>
      </c>
      <c r="H28" s="47">
        <v>9.9194999999999992E-2</v>
      </c>
      <c r="I28" s="46">
        <v>0.198375</v>
      </c>
      <c r="J28" s="31">
        <v>0.99984878270074118</v>
      </c>
      <c r="L28" s="106" t="s">
        <v>456</v>
      </c>
      <c r="M28" s="106"/>
      <c r="N28" s="106"/>
      <c r="O28" s="106"/>
      <c r="P28" s="106"/>
      <c r="Q28" s="106"/>
      <c r="R28" s="106"/>
      <c r="S28" s="106"/>
      <c r="T28" s="106"/>
      <c r="U28" s="106"/>
    </row>
    <row r="29" spans="2:21" x14ac:dyDescent="0.25">
      <c r="B29" s="39" t="s">
        <v>58</v>
      </c>
      <c r="C29" s="32"/>
      <c r="D29" s="32">
        <v>0.22871200000000003</v>
      </c>
      <c r="E29" s="32">
        <v>0.11276899999999999</v>
      </c>
      <c r="F29" s="32">
        <v>0.21995799999999999</v>
      </c>
      <c r="G29" s="46">
        <v>0.219969</v>
      </c>
      <c r="H29" s="47">
        <v>0.21690500000000001</v>
      </c>
      <c r="I29" s="46">
        <v>0.27308700000000002</v>
      </c>
      <c r="J29" s="31">
        <v>0.25901662017934113</v>
      </c>
      <c r="L29" s="106"/>
      <c r="M29" s="106"/>
      <c r="N29" s="106"/>
      <c r="O29" s="106"/>
      <c r="P29" s="106"/>
      <c r="Q29" s="106"/>
      <c r="R29" s="106"/>
      <c r="S29" s="106"/>
      <c r="T29" s="106"/>
      <c r="U29" s="106"/>
    </row>
    <row r="30" spans="2:21" x14ac:dyDescent="0.25">
      <c r="B30" s="39" t="s">
        <v>59</v>
      </c>
      <c r="C30" s="32"/>
      <c r="D30" s="32">
        <v>1.6378999999999998E-2</v>
      </c>
      <c r="E30" s="32">
        <v>-0.11346299999999999</v>
      </c>
      <c r="F30" s="32">
        <v>-7.4111999999999997E-2</v>
      </c>
      <c r="G30" s="46">
        <v>4.4177999999999995E-2</v>
      </c>
      <c r="H30" s="47">
        <v>-3.2563000000000002E-2</v>
      </c>
      <c r="I30" s="46">
        <v>8.0168000000000003E-2</v>
      </c>
      <c r="J30" s="31">
        <v>-3.4619353253692839</v>
      </c>
      <c r="L30" s="106"/>
      <c r="M30" s="106"/>
      <c r="N30" s="106"/>
      <c r="O30" s="106"/>
      <c r="P30" s="106"/>
      <c r="Q30" s="106"/>
      <c r="R30" s="106"/>
      <c r="S30" s="106"/>
      <c r="T30" s="106"/>
      <c r="U30" s="106"/>
    </row>
    <row r="31" spans="2:21" x14ac:dyDescent="0.25">
      <c r="B31" s="33" t="s">
        <v>60</v>
      </c>
      <c r="C31" s="34"/>
      <c r="D31" s="34">
        <v>-5.0649999999999992E-3</v>
      </c>
      <c r="E31" s="34">
        <v>2.4920000000000001E-2</v>
      </c>
      <c r="F31" s="34">
        <v>0.113135</v>
      </c>
      <c r="G31" s="48">
        <v>6.0648999999999995E-2</v>
      </c>
      <c r="H31" s="49">
        <v>0.108997</v>
      </c>
      <c r="I31" s="48">
        <v>0.107242</v>
      </c>
      <c r="J31" s="38">
        <v>-1.6101360587906011E-2</v>
      </c>
      <c r="L31" s="12" t="s">
        <v>457</v>
      </c>
    </row>
    <row r="32" spans="2:21" x14ac:dyDescent="0.25">
      <c r="B32" s="39" t="s">
        <v>61</v>
      </c>
      <c r="C32" s="8"/>
      <c r="D32" s="42">
        <v>1.769015137546458</v>
      </c>
      <c r="E32" s="42">
        <v>1.3705059424774795</v>
      </c>
      <c r="F32" s="42">
        <v>1.8458233631382783</v>
      </c>
      <c r="G32" s="51">
        <v>1.8245307754686064</v>
      </c>
      <c r="H32" s="58">
        <v>1.3557127189864369</v>
      </c>
      <c r="I32" s="51">
        <v>2.4407123894560523</v>
      </c>
      <c r="J32" s="31">
        <v>0.80031680405033523</v>
      </c>
      <c r="L32" s="106" t="s">
        <v>458</v>
      </c>
      <c r="M32" s="106"/>
      <c r="N32" s="106"/>
      <c r="O32" s="106"/>
      <c r="P32" s="106"/>
      <c r="Q32" s="106"/>
      <c r="R32" s="106"/>
      <c r="S32" s="106"/>
      <c r="T32" s="106"/>
      <c r="U32" s="106"/>
    </row>
    <row r="33" spans="2:21" x14ac:dyDescent="0.25">
      <c r="B33" s="39" t="s">
        <v>62</v>
      </c>
      <c r="C33" s="8"/>
      <c r="D33" s="42">
        <v>4.5639700000000003</v>
      </c>
      <c r="E33" s="42">
        <v>1.5523</v>
      </c>
      <c r="F33" s="42">
        <v>3.19651</v>
      </c>
      <c r="G33" s="51">
        <v>3.3013499999999998</v>
      </c>
      <c r="H33" s="58">
        <v>3.00787</v>
      </c>
      <c r="I33" s="51">
        <v>4.5798899999999998</v>
      </c>
      <c r="J33" s="31">
        <v>0.52263561922556478</v>
      </c>
      <c r="L33" s="106"/>
      <c r="M33" s="106"/>
      <c r="N33" s="106"/>
      <c r="O33" s="106"/>
      <c r="P33" s="106"/>
      <c r="Q33" s="106"/>
      <c r="R33" s="106"/>
      <c r="S33" s="106"/>
      <c r="T33" s="106"/>
      <c r="U33" s="106"/>
    </row>
    <row r="34" spans="2:21" x14ac:dyDescent="0.25">
      <c r="B34" s="39" t="s">
        <v>63</v>
      </c>
      <c r="C34" s="8"/>
      <c r="D34" s="42">
        <v>2.0484100000000001</v>
      </c>
      <c r="E34" s="42" t="s">
        <v>46</v>
      </c>
      <c r="F34" s="42">
        <v>1.91231</v>
      </c>
      <c r="G34" s="51">
        <v>1.6520699999999999</v>
      </c>
      <c r="H34" s="58">
        <v>1.8120700000000001</v>
      </c>
      <c r="I34" s="51">
        <v>2.8542200000000002</v>
      </c>
      <c r="J34" s="31">
        <v>0.57511575159900019</v>
      </c>
      <c r="L34" s="12" t="s">
        <v>459</v>
      </c>
      <c r="M34" s="15"/>
      <c r="N34" s="15"/>
      <c r="O34" s="15"/>
      <c r="P34" s="15"/>
      <c r="Q34" s="15"/>
      <c r="R34" s="15"/>
      <c r="S34" s="15"/>
      <c r="T34" s="15"/>
      <c r="U34" s="15"/>
    </row>
    <row r="35" spans="2:21" x14ac:dyDescent="0.25">
      <c r="B35" s="39" t="s">
        <v>64</v>
      </c>
      <c r="C35" s="8"/>
      <c r="D35" s="42">
        <v>2.41282</v>
      </c>
      <c r="E35" s="42">
        <v>6.2132399999999999</v>
      </c>
      <c r="F35" s="42">
        <v>2.8827799999999999</v>
      </c>
      <c r="G35" s="51">
        <v>2.5941100000000001</v>
      </c>
      <c r="H35" s="58">
        <v>2.99193</v>
      </c>
      <c r="I35" s="51">
        <v>1.89039</v>
      </c>
      <c r="J35" s="31">
        <v>-0.36817037831767452</v>
      </c>
      <c r="L35" s="106" t="s">
        <v>460</v>
      </c>
      <c r="M35" s="106"/>
      <c r="N35" s="106"/>
      <c r="O35" s="106"/>
      <c r="P35" s="106"/>
      <c r="Q35" s="106"/>
      <c r="R35" s="106"/>
      <c r="S35" s="106"/>
      <c r="T35" s="106"/>
      <c r="U35" s="106"/>
    </row>
    <row r="36" spans="2:21" x14ac:dyDescent="0.25">
      <c r="B36" s="39" t="s">
        <v>65</v>
      </c>
      <c r="C36" s="8"/>
      <c r="D36" s="42">
        <v>1.66937</v>
      </c>
      <c r="E36" s="42">
        <v>4.5993700000000004</v>
      </c>
      <c r="F36" s="42">
        <v>1.8897200000000001</v>
      </c>
      <c r="G36" s="51">
        <v>1.85361</v>
      </c>
      <c r="H36" s="58">
        <v>2.3471899999999999</v>
      </c>
      <c r="I36" s="51">
        <v>1.50206</v>
      </c>
      <c r="J36" s="31">
        <v>-0.36006032745538286</v>
      </c>
      <c r="L36" s="106"/>
      <c r="M36" s="106"/>
      <c r="N36" s="106"/>
      <c r="O36" s="106"/>
      <c r="P36" s="106"/>
      <c r="Q36" s="106"/>
      <c r="R36" s="106"/>
      <c r="S36" s="106"/>
      <c r="T36" s="106"/>
      <c r="U36" s="106"/>
    </row>
    <row r="37" spans="2:21" x14ac:dyDescent="0.25">
      <c r="B37" s="39" t="s">
        <v>66</v>
      </c>
      <c r="C37" s="8"/>
      <c r="D37" s="42">
        <v>5.3758800000000004</v>
      </c>
      <c r="E37" s="42" t="s">
        <v>46</v>
      </c>
      <c r="F37" s="42">
        <v>4.8187100000000003</v>
      </c>
      <c r="G37" s="51">
        <v>5.1838300000000004</v>
      </c>
      <c r="H37" s="58">
        <v>4.9663399999999998</v>
      </c>
      <c r="I37" s="51">
        <v>3.0333299999999999</v>
      </c>
      <c r="J37" s="31">
        <v>-0.38922224414760165</v>
      </c>
      <c r="L37" s="106" t="s">
        <v>461</v>
      </c>
      <c r="M37" s="106"/>
      <c r="N37" s="106"/>
      <c r="O37" s="106"/>
      <c r="P37" s="106"/>
      <c r="Q37" s="106"/>
      <c r="R37" s="106"/>
      <c r="S37" s="106"/>
      <c r="T37" s="106"/>
      <c r="U37" s="106"/>
    </row>
    <row r="38" spans="2:21" x14ac:dyDescent="0.25">
      <c r="B38" s="33" t="s">
        <v>67</v>
      </c>
      <c r="C38" s="52"/>
      <c r="D38" s="52">
        <v>3.7194400000000001</v>
      </c>
      <c r="E38" s="52" t="s">
        <v>46</v>
      </c>
      <c r="F38" s="52">
        <v>3.1587499999999999</v>
      </c>
      <c r="G38" s="53">
        <v>3.7040799999999998</v>
      </c>
      <c r="H38" s="54">
        <v>3.8961199999999998</v>
      </c>
      <c r="I38" s="53">
        <v>2.4102199999999998</v>
      </c>
      <c r="J38" s="38">
        <v>-0.38137942363171562</v>
      </c>
      <c r="L38" s="106"/>
      <c r="M38" s="106"/>
      <c r="N38" s="106"/>
      <c r="O38" s="106"/>
      <c r="P38" s="106"/>
      <c r="Q38" s="106"/>
      <c r="R38" s="106"/>
      <c r="S38" s="106"/>
      <c r="T38" s="106"/>
      <c r="U38" s="106"/>
    </row>
    <row r="39" spans="2:21" x14ac:dyDescent="0.25">
      <c r="B39" s="8" t="s">
        <v>68</v>
      </c>
      <c r="C39" s="42"/>
      <c r="D39" s="59">
        <v>27.363689999999998</v>
      </c>
      <c r="E39" s="59">
        <v>25.93252</v>
      </c>
      <c r="F39" s="59">
        <v>18.700399999999998</v>
      </c>
      <c r="G39" s="60">
        <v>22.455169999999999</v>
      </c>
      <c r="H39" s="61">
        <v>21.774439999999998</v>
      </c>
      <c r="I39" s="60">
        <v>17.93647</v>
      </c>
      <c r="J39" s="31">
        <v>-0.17626033092010629</v>
      </c>
      <c r="L39" s="12" t="s">
        <v>462</v>
      </c>
    </row>
    <row r="40" spans="2:21" x14ac:dyDescent="0.25">
      <c r="B40" s="8" t="s">
        <v>69</v>
      </c>
      <c r="C40" s="42"/>
      <c r="D40" s="59">
        <v>62.057670000000002</v>
      </c>
      <c r="E40" s="59">
        <v>71.044330000000002</v>
      </c>
      <c r="F40" s="59">
        <v>73.60772</v>
      </c>
      <c r="G40" s="60">
        <v>72.068889999999996</v>
      </c>
      <c r="H40" s="61">
        <v>67.842190000000002</v>
      </c>
      <c r="I40" s="60">
        <v>64.593689999999995</v>
      </c>
      <c r="J40" s="31">
        <v>-4.7883183016350306E-2</v>
      </c>
      <c r="L40" s="12" t="s">
        <v>463</v>
      </c>
      <c r="M40" s="15"/>
      <c r="N40" s="15"/>
      <c r="O40" s="15"/>
      <c r="P40" s="15"/>
      <c r="Q40" s="15"/>
      <c r="R40" s="15"/>
      <c r="S40" s="15"/>
      <c r="T40" s="15"/>
      <c r="U40" s="15"/>
    </row>
    <row r="41" spans="2:21" x14ac:dyDescent="0.25">
      <c r="B41" s="8" t="s">
        <v>70</v>
      </c>
      <c r="C41" s="42"/>
      <c r="D41" s="59">
        <v>58.244880000000002</v>
      </c>
      <c r="E41" s="59">
        <v>58.854430000000001</v>
      </c>
      <c r="F41" s="59">
        <v>54.333799999999997</v>
      </c>
      <c r="G41" s="60">
        <v>58.696379999999998</v>
      </c>
      <c r="H41" s="61">
        <v>61.046250000000001</v>
      </c>
      <c r="I41" s="60">
        <v>63.300130000000003</v>
      </c>
      <c r="J41" s="31">
        <v>3.6920859184634613E-2</v>
      </c>
      <c r="L41" s="12" t="s">
        <v>464</v>
      </c>
    </row>
    <row r="42" spans="2:21" x14ac:dyDescent="0.25">
      <c r="B42" s="39" t="s">
        <v>71</v>
      </c>
      <c r="C42" s="42"/>
      <c r="D42" s="42">
        <v>1.35758</v>
      </c>
      <c r="E42" s="42">
        <v>0.96982999999999997</v>
      </c>
      <c r="F42" s="42">
        <v>1.0541100000000001</v>
      </c>
      <c r="G42" s="51">
        <v>0.86702000000000001</v>
      </c>
      <c r="H42" s="58">
        <v>0.92647000000000002</v>
      </c>
      <c r="I42" s="51">
        <v>0.79527999999999999</v>
      </c>
      <c r="J42" s="31">
        <v>-0.14160199466793311</v>
      </c>
      <c r="L42" s="106" t="s">
        <v>465</v>
      </c>
      <c r="M42" s="106"/>
      <c r="N42" s="106"/>
      <c r="O42" s="106"/>
      <c r="P42" s="106"/>
      <c r="Q42" s="106"/>
      <c r="R42" s="106"/>
      <c r="S42" s="106"/>
      <c r="T42" s="106"/>
      <c r="U42" s="106"/>
    </row>
    <row r="43" spans="2:21" x14ac:dyDescent="0.25">
      <c r="B43" s="39" t="s">
        <v>72</v>
      </c>
      <c r="C43" s="42"/>
      <c r="D43" s="42">
        <v>0.82567000000000002</v>
      </c>
      <c r="E43" s="42">
        <v>0.57230999999999999</v>
      </c>
      <c r="F43" s="42">
        <v>0.68855999999999995</v>
      </c>
      <c r="G43" s="51">
        <v>0.51927999999999996</v>
      </c>
      <c r="H43" s="58">
        <v>0.50497999999999998</v>
      </c>
      <c r="I43" s="51">
        <v>0.39380999999999999</v>
      </c>
      <c r="J43" s="31">
        <v>-0.22014733256762642</v>
      </c>
      <c r="L43" s="106"/>
      <c r="M43" s="106"/>
      <c r="N43" s="106"/>
      <c r="O43" s="106"/>
      <c r="P43" s="106"/>
      <c r="Q43" s="106"/>
      <c r="R43" s="106"/>
      <c r="S43" s="106"/>
      <c r="T43" s="106"/>
      <c r="U43" s="106"/>
    </row>
    <row r="44" spans="2:21" x14ac:dyDescent="0.25">
      <c r="B44" s="33" t="s">
        <v>73</v>
      </c>
      <c r="C44" s="43"/>
      <c r="D44" s="43">
        <v>23.550899999999999</v>
      </c>
      <c r="E44" s="43">
        <v>13.742620000000001</v>
      </c>
      <c r="F44" s="43">
        <v>-0.57352000000000003</v>
      </c>
      <c r="G44" s="62">
        <v>9.0826600000000006</v>
      </c>
      <c r="H44" s="63">
        <v>14.97851</v>
      </c>
      <c r="I44" s="62">
        <v>16.642910000000001</v>
      </c>
      <c r="J44" s="38">
        <v>0.1111191967692382</v>
      </c>
    </row>
    <row r="45" spans="2:21" x14ac:dyDescent="0.25">
      <c r="B45" s="39" t="s">
        <v>38</v>
      </c>
      <c r="C45" s="32"/>
      <c r="D45" s="32">
        <v>5.1262999999999996E-2</v>
      </c>
      <c r="E45" s="32">
        <v>-2.5890000000000002E-3</v>
      </c>
      <c r="F45" s="32">
        <v>3.4624999999999996E-2</v>
      </c>
      <c r="G45" s="46">
        <v>5.2519999999999997E-2</v>
      </c>
      <c r="H45" s="47">
        <v>3.6269999999999997E-2</v>
      </c>
      <c r="I45" s="46">
        <v>8.3728999999999998E-2</v>
      </c>
      <c r="J45" s="31">
        <v>1.3084918665563827</v>
      </c>
      <c r="L45" s="11" t="s">
        <v>3</v>
      </c>
      <c r="M45" s="15"/>
      <c r="N45" s="15"/>
      <c r="O45" s="15"/>
      <c r="P45" s="15"/>
      <c r="Q45" s="15"/>
      <c r="R45" s="15"/>
      <c r="S45" s="15"/>
      <c r="T45" s="15"/>
      <c r="U45" s="15"/>
    </row>
    <row r="46" spans="2:21" x14ac:dyDescent="0.25">
      <c r="B46" s="39" t="s">
        <v>74</v>
      </c>
      <c r="C46" s="32"/>
      <c r="D46" s="32">
        <v>7.4425999999999992E-2</v>
      </c>
      <c r="E46" s="32">
        <v>-3.82E-3</v>
      </c>
      <c r="F46" s="32">
        <v>5.3513000000000005E-2</v>
      </c>
      <c r="G46" s="46">
        <v>8.6255999999999999E-2</v>
      </c>
      <c r="H46" s="47">
        <v>5.5743000000000001E-2</v>
      </c>
      <c r="I46" s="46">
        <v>0.13258200000000001</v>
      </c>
      <c r="J46" s="31">
        <v>1.3784511059684625</v>
      </c>
      <c r="L46" s="12" t="s">
        <v>466</v>
      </c>
      <c r="M46" s="57"/>
      <c r="N46" s="57"/>
      <c r="O46" s="57"/>
      <c r="P46" s="57"/>
      <c r="Q46" s="57"/>
      <c r="R46" s="57"/>
      <c r="S46" s="57"/>
      <c r="T46" s="57"/>
      <c r="U46" s="57"/>
    </row>
    <row r="47" spans="2:21" x14ac:dyDescent="0.25">
      <c r="B47" s="33" t="s">
        <v>35</v>
      </c>
      <c r="C47" s="34"/>
      <c r="D47" s="34">
        <v>4.5899999999999996E-2</v>
      </c>
      <c r="E47" s="34">
        <v>-0.184556</v>
      </c>
      <c r="F47" s="34">
        <v>-0.14918900000000002</v>
      </c>
      <c r="G47" s="48">
        <v>0.18992100000000001</v>
      </c>
      <c r="H47" s="49">
        <v>-5.2941000000000002E-2</v>
      </c>
      <c r="I47" s="48">
        <v>0.29907800000000001</v>
      </c>
      <c r="J47" s="38">
        <v>-6.6492699420109176</v>
      </c>
      <c r="L47" s="106" t="s">
        <v>467</v>
      </c>
      <c r="M47" s="106"/>
      <c r="N47" s="106"/>
      <c r="O47" s="106"/>
      <c r="P47" s="106"/>
      <c r="Q47" s="106"/>
      <c r="R47" s="106"/>
      <c r="S47" s="106"/>
      <c r="T47" s="106"/>
      <c r="U47" s="106"/>
    </row>
    <row r="48" spans="2:21" x14ac:dyDescent="0.25">
      <c r="L48" s="106"/>
      <c r="M48" s="106"/>
      <c r="N48" s="106"/>
      <c r="O48" s="106"/>
      <c r="P48" s="106"/>
      <c r="Q48" s="106"/>
      <c r="R48" s="106"/>
      <c r="S48" s="106"/>
      <c r="T48" s="106"/>
      <c r="U48" s="106"/>
    </row>
    <row r="49" spans="12:21" x14ac:dyDescent="0.25">
      <c r="L49" s="12" t="s">
        <v>468</v>
      </c>
      <c r="M49" s="15"/>
      <c r="N49" s="15"/>
      <c r="O49" s="15"/>
      <c r="P49" s="15"/>
      <c r="Q49" s="15"/>
      <c r="R49" s="15"/>
      <c r="S49" s="15"/>
      <c r="T49" s="15"/>
      <c r="U49" s="15"/>
    </row>
    <row r="50" spans="12:21" x14ac:dyDescent="0.25">
      <c r="L50" s="106" t="s">
        <v>469</v>
      </c>
      <c r="M50" s="106"/>
      <c r="N50" s="106"/>
      <c r="O50" s="106"/>
      <c r="P50" s="106"/>
      <c r="Q50" s="106"/>
      <c r="R50" s="106"/>
      <c r="S50" s="106"/>
      <c r="T50" s="106"/>
      <c r="U50" s="106"/>
    </row>
    <row r="51" spans="12:21" x14ac:dyDescent="0.25">
      <c r="L51" s="106"/>
      <c r="M51" s="106"/>
      <c r="N51" s="106"/>
      <c r="O51" s="106"/>
      <c r="P51" s="106"/>
      <c r="Q51" s="106"/>
      <c r="R51" s="106"/>
      <c r="S51" s="106"/>
      <c r="T51" s="106"/>
      <c r="U51" s="106"/>
    </row>
    <row r="52" spans="12:21" x14ac:dyDescent="0.25">
      <c r="L52" s="12" t="s">
        <v>470</v>
      </c>
    </row>
    <row r="53" spans="12:21" x14ac:dyDescent="0.25">
      <c r="L53" s="12" t="s">
        <v>471</v>
      </c>
    </row>
    <row r="54" spans="12:21" x14ac:dyDescent="0.25">
      <c r="L54" s="12" t="s">
        <v>472</v>
      </c>
      <c r="M54" s="15"/>
      <c r="N54" s="15"/>
      <c r="O54" s="15"/>
      <c r="P54" s="15"/>
      <c r="Q54" s="15"/>
      <c r="R54" s="15"/>
      <c r="S54" s="15"/>
      <c r="T54" s="15"/>
      <c r="U54" s="15"/>
    </row>
    <row r="55" spans="12:21" x14ac:dyDescent="0.25">
      <c r="L55" s="12" t="s">
        <v>473</v>
      </c>
      <c r="M55" s="15"/>
      <c r="N55" s="15"/>
      <c r="O55" s="15"/>
      <c r="P55" s="15"/>
      <c r="Q55" s="15"/>
      <c r="R55" s="15"/>
      <c r="S55" s="15"/>
      <c r="T55" s="15"/>
      <c r="U55" s="15"/>
    </row>
    <row r="56" spans="12:21" x14ac:dyDescent="0.25">
      <c r="L56" s="106" t="s">
        <v>474</v>
      </c>
      <c r="M56" s="106"/>
      <c r="N56" s="106"/>
      <c r="O56" s="106"/>
      <c r="P56" s="106"/>
      <c r="Q56" s="106"/>
      <c r="R56" s="106"/>
      <c r="S56" s="106"/>
      <c r="T56" s="106"/>
      <c r="U56" s="106"/>
    </row>
    <row r="57" spans="12:21" x14ac:dyDescent="0.25">
      <c r="L57" s="106"/>
      <c r="M57" s="106"/>
      <c r="N57" s="106"/>
      <c r="O57" s="106"/>
      <c r="P57" s="106"/>
      <c r="Q57" s="106"/>
      <c r="R57" s="106"/>
      <c r="S57" s="106"/>
      <c r="T57" s="106"/>
      <c r="U57" s="106"/>
    </row>
    <row r="58" spans="12:21" x14ac:dyDescent="0.25">
      <c r="L58" s="106" t="s">
        <v>475</v>
      </c>
      <c r="M58" s="106"/>
      <c r="N58" s="106"/>
      <c r="O58" s="106"/>
      <c r="P58" s="106"/>
      <c r="Q58" s="106"/>
      <c r="R58" s="106"/>
      <c r="S58" s="106"/>
      <c r="T58" s="106"/>
      <c r="U58" s="106"/>
    </row>
    <row r="59" spans="12:21" x14ac:dyDescent="0.25">
      <c r="L59" s="106"/>
      <c r="M59" s="106"/>
      <c r="N59" s="106"/>
      <c r="O59" s="106"/>
      <c r="P59" s="106"/>
      <c r="Q59" s="106"/>
      <c r="R59" s="106"/>
      <c r="S59" s="106"/>
      <c r="T59" s="106"/>
      <c r="U59" s="106"/>
    </row>
    <row r="60" spans="12:21" x14ac:dyDescent="0.25">
      <c r="L60" s="12" t="s">
        <v>476</v>
      </c>
      <c r="M60" s="15"/>
      <c r="N60" s="15"/>
      <c r="O60" s="15"/>
      <c r="P60" s="15"/>
      <c r="Q60" s="15"/>
      <c r="R60" s="15"/>
      <c r="S60" s="15"/>
      <c r="T60" s="15"/>
      <c r="U60" s="15"/>
    </row>
    <row r="61" spans="12:21" x14ac:dyDescent="0.25">
      <c r="L61" s="12" t="s">
        <v>477</v>
      </c>
      <c r="M61" s="15"/>
      <c r="N61" s="15"/>
      <c r="O61" s="15"/>
      <c r="P61" s="15"/>
      <c r="Q61" s="15"/>
      <c r="R61" s="15"/>
      <c r="S61" s="15"/>
      <c r="T61" s="15"/>
      <c r="U61" s="15"/>
    </row>
    <row r="62" spans="12:21" x14ac:dyDescent="0.25">
      <c r="L62" s="15"/>
      <c r="M62" s="15"/>
      <c r="N62" s="15"/>
      <c r="O62" s="15"/>
      <c r="P62" s="15"/>
      <c r="Q62" s="15"/>
      <c r="R62" s="15"/>
      <c r="S62" s="15"/>
      <c r="T62" s="15"/>
      <c r="U62" s="15"/>
    </row>
    <row r="63" spans="12:21" x14ac:dyDescent="0.25">
      <c r="L63" s="15"/>
      <c r="M63" s="15"/>
      <c r="N63" s="15"/>
      <c r="O63" s="15"/>
      <c r="P63" s="15"/>
      <c r="Q63" s="15"/>
      <c r="R63" s="15"/>
      <c r="S63" s="15"/>
      <c r="T63" s="15"/>
      <c r="U63" s="15"/>
    </row>
    <row r="64" spans="12:21" x14ac:dyDescent="0.25">
      <c r="L64" s="12"/>
    </row>
  </sheetData>
  <mergeCells count="10">
    <mergeCell ref="L47:U48"/>
    <mergeCell ref="L50:U51"/>
    <mergeCell ref="L56:U57"/>
    <mergeCell ref="L58:U59"/>
    <mergeCell ref="L6:U23"/>
    <mergeCell ref="L28:U30"/>
    <mergeCell ref="L32:U33"/>
    <mergeCell ref="L35:U36"/>
    <mergeCell ref="L37:U38"/>
    <mergeCell ref="L42:U4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393CA-BE00-4F7F-B203-0F3BD2A7F3AB}">
  <dimension ref="B1:U83"/>
  <sheetViews>
    <sheetView topLeftCell="A21" workbookViewId="0">
      <selection activeCell="B23" sqref="B23:J47"/>
    </sheetView>
  </sheetViews>
  <sheetFormatPr defaultRowHeight="15" x14ac:dyDescent="0.25"/>
  <cols>
    <col min="12" max="21" width="12.7109375" style="8" customWidth="1"/>
  </cols>
  <sheetData>
    <row r="1" spans="12:21" x14ac:dyDescent="0.25">
      <c r="L1" s="1"/>
      <c r="M1" s="1"/>
      <c r="N1" s="1"/>
      <c r="O1" s="2"/>
      <c r="P1" s="2"/>
      <c r="Q1" s="2"/>
      <c r="R1" s="2"/>
      <c r="S1" s="2"/>
      <c r="T1" s="2"/>
      <c r="U1" s="2"/>
    </row>
    <row r="2" spans="12:21" ht="21.75" thickBot="1" x14ac:dyDescent="0.3">
      <c r="L2" s="3"/>
      <c r="M2" s="3"/>
      <c r="N2" s="4"/>
      <c r="O2" s="5"/>
      <c r="P2" s="5"/>
      <c r="Q2" s="5"/>
      <c r="R2" s="6" t="str">
        <f>"ESG INTERNO: "&amp;Z16&amp;IF(OR(Z16="NA",Z16=""),"","(")&amp;Z15&amp;IF(OR(Z16="NA",Z16=""),"",")")</f>
        <v xml:space="preserve">ESG INTERNO: </v>
      </c>
      <c r="S2" s="7"/>
      <c r="T2" s="5"/>
      <c r="U2" s="6" t="str">
        <f>"MSCI ESG: "&amp;Z19&amp;IF(Z19="NA","","(")&amp;Z18&amp;IF(Z19="NA","",")")</f>
        <v>MSCI ESG: ()</v>
      </c>
    </row>
    <row r="4" spans="12:21" ht="15.75" x14ac:dyDescent="0.25">
      <c r="L4" s="9" t="s">
        <v>0</v>
      </c>
      <c r="M4" s="10"/>
      <c r="N4" s="10"/>
      <c r="O4" s="10"/>
      <c r="P4" s="10"/>
      <c r="Q4" s="10"/>
      <c r="R4" s="10"/>
      <c r="S4" s="10"/>
      <c r="T4" s="10"/>
      <c r="U4" s="10"/>
    </row>
    <row r="6" spans="12:21" x14ac:dyDescent="0.25">
      <c r="L6" s="116" t="s">
        <v>478</v>
      </c>
      <c r="M6" s="116"/>
      <c r="N6" s="116"/>
      <c r="O6" s="116"/>
      <c r="P6" s="116"/>
      <c r="Q6" s="116"/>
      <c r="R6" s="116"/>
      <c r="S6" s="116"/>
      <c r="T6" s="116"/>
      <c r="U6" s="116"/>
    </row>
    <row r="7" spans="12:21" x14ac:dyDescent="0.25">
      <c r="L7" s="116"/>
      <c r="M7" s="116"/>
      <c r="N7" s="116"/>
      <c r="O7" s="116"/>
      <c r="P7" s="116"/>
      <c r="Q7" s="116"/>
      <c r="R7" s="116"/>
      <c r="S7" s="116"/>
      <c r="T7" s="116"/>
      <c r="U7" s="116"/>
    </row>
    <row r="8" spans="12:21" x14ac:dyDescent="0.25">
      <c r="L8" s="116"/>
      <c r="M8" s="116"/>
      <c r="N8" s="116"/>
      <c r="O8" s="116"/>
      <c r="P8" s="116"/>
      <c r="Q8" s="116"/>
      <c r="R8" s="116"/>
      <c r="S8" s="116"/>
      <c r="T8" s="116"/>
      <c r="U8" s="116"/>
    </row>
    <row r="9" spans="12:21" x14ac:dyDescent="0.25">
      <c r="L9" s="116"/>
      <c r="M9" s="116"/>
      <c r="N9" s="116"/>
      <c r="O9" s="116"/>
      <c r="P9" s="116"/>
      <c r="Q9" s="116"/>
      <c r="R9" s="116"/>
      <c r="S9" s="116"/>
      <c r="T9" s="116"/>
      <c r="U9" s="116"/>
    </row>
    <row r="10" spans="12:21" x14ac:dyDescent="0.25">
      <c r="L10" s="116"/>
      <c r="M10" s="116"/>
      <c r="N10" s="116"/>
      <c r="O10" s="116"/>
      <c r="P10" s="116"/>
      <c r="Q10" s="116"/>
      <c r="R10" s="116"/>
      <c r="S10" s="116"/>
      <c r="T10" s="116"/>
      <c r="U10" s="116"/>
    </row>
    <row r="11" spans="12:21" x14ac:dyDescent="0.25">
      <c r="L11" s="116"/>
      <c r="M11" s="116"/>
      <c r="N11" s="116"/>
      <c r="O11" s="116"/>
      <c r="P11" s="116"/>
      <c r="Q11" s="116"/>
      <c r="R11" s="116"/>
      <c r="S11" s="116"/>
      <c r="T11" s="116"/>
      <c r="U11" s="116"/>
    </row>
    <row r="12" spans="12:21" x14ac:dyDescent="0.25">
      <c r="L12" s="116"/>
      <c r="M12" s="116"/>
      <c r="N12" s="116"/>
      <c r="O12" s="116"/>
      <c r="P12" s="116"/>
      <c r="Q12" s="116"/>
      <c r="R12" s="116"/>
      <c r="S12" s="116"/>
      <c r="T12" s="116"/>
      <c r="U12" s="116"/>
    </row>
    <row r="13" spans="12:21" x14ac:dyDescent="0.25">
      <c r="L13" s="116"/>
      <c r="M13" s="116"/>
      <c r="N13" s="116"/>
      <c r="O13" s="116"/>
      <c r="P13" s="116"/>
      <c r="Q13" s="116"/>
      <c r="R13" s="116"/>
      <c r="S13" s="116"/>
      <c r="T13" s="116"/>
      <c r="U13" s="116"/>
    </row>
    <row r="14" spans="12:21" x14ac:dyDescent="0.25">
      <c r="L14" s="116"/>
      <c r="M14" s="116"/>
      <c r="N14" s="116"/>
      <c r="O14" s="116"/>
      <c r="P14" s="116"/>
      <c r="Q14" s="116"/>
      <c r="R14" s="116"/>
      <c r="S14" s="116"/>
      <c r="T14" s="116"/>
      <c r="U14" s="116"/>
    </row>
    <row r="15" spans="12:21" x14ac:dyDescent="0.25">
      <c r="L15" s="116"/>
      <c r="M15" s="116"/>
      <c r="N15" s="116"/>
      <c r="O15" s="116"/>
      <c r="P15" s="116"/>
      <c r="Q15" s="116"/>
      <c r="R15" s="116"/>
      <c r="S15" s="116"/>
      <c r="T15" s="116"/>
      <c r="U15" s="116"/>
    </row>
    <row r="16" spans="12:21" x14ac:dyDescent="0.25">
      <c r="L16" s="116"/>
      <c r="M16" s="116"/>
      <c r="N16" s="116"/>
      <c r="O16" s="116"/>
      <c r="P16" s="116"/>
      <c r="Q16" s="116"/>
      <c r="R16" s="116"/>
      <c r="S16" s="116"/>
      <c r="T16" s="116"/>
      <c r="U16" s="116"/>
    </row>
    <row r="17" spans="2:21" x14ac:dyDescent="0.25">
      <c r="L17" s="116"/>
      <c r="M17" s="116"/>
      <c r="N17" s="116"/>
      <c r="O17" s="116"/>
      <c r="P17" s="116"/>
      <c r="Q17" s="116"/>
      <c r="R17" s="116"/>
      <c r="S17" s="116"/>
      <c r="T17" s="116"/>
      <c r="U17" s="116"/>
    </row>
    <row r="18" spans="2:21" x14ac:dyDescent="0.25">
      <c r="L18" s="116"/>
      <c r="M18" s="116"/>
      <c r="N18" s="116"/>
      <c r="O18" s="116"/>
      <c r="P18" s="116"/>
      <c r="Q18" s="116"/>
      <c r="R18" s="116"/>
      <c r="S18" s="116"/>
      <c r="T18" s="116"/>
      <c r="U18" s="116"/>
    </row>
    <row r="19" spans="2:21" x14ac:dyDescent="0.25">
      <c r="L19" s="116"/>
      <c r="M19" s="116"/>
      <c r="N19" s="116"/>
      <c r="O19" s="116"/>
      <c r="P19" s="116"/>
      <c r="Q19" s="116"/>
      <c r="R19" s="116"/>
      <c r="S19" s="116"/>
      <c r="T19" s="116"/>
      <c r="U19" s="116"/>
    </row>
    <row r="20" spans="2:21" x14ac:dyDescent="0.25">
      <c r="L20" s="116"/>
      <c r="M20" s="116"/>
      <c r="N20" s="116"/>
      <c r="O20" s="116"/>
      <c r="P20" s="116"/>
      <c r="Q20" s="116"/>
      <c r="R20" s="116"/>
      <c r="S20" s="116"/>
      <c r="T20" s="116"/>
      <c r="U20" s="116"/>
    </row>
    <row r="21" spans="2:21" x14ac:dyDescent="0.25">
      <c r="L21" s="116"/>
      <c r="M21" s="116"/>
      <c r="N21" s="116"/>
      <c r="O21" s="116"/>
      <c r="P21" s="116"/>
      <c r="Q21" s="116"/>
      <c r="R21" s="116"/>
      <c r="S21" s="116"/>
      <c r="T21" s="116"/>
      <c r="U21" s="116"/>
    </row>
    <row r="22" spans="2:21" x14ac:dyDescent="0.25">
      <c r="L22" s="116"/>
      <c r="M22" s="116"/>
      <c r="N22" s="116"/>
      <c r="O22" s="116"/>
      <c r="P22" s="116"/>
      <c r="Q22" s="116"/>
      <c r="R22" s="116"/>
      <c r="S22" s="116"/>
      <c r="T22" s="116"/>
      <c r="U22" s="116"/>
    </row>
    <row r="23" spans="2:21" x14ac:dyDescent="0.25">
      <c r="B23" t="s">
        <v>4</v>
      </c>
      <c r="D23" t="s">
        <v>5</v>
      </c>
      <c r="E23" t="s">
        <v>6</v>
      </c>
      <c r="F23" t="s">
        <v>7</v>
      </c>
      <c r="G23" t="s">
        <v>8</v>
      </c>
      <c r="H23" t="s">
        <v>502</v>
      </c>
      <c r="I23" t="s">
        <v>503</v>
      </c>
      <c r="L23" s="116"/>
      <c r="M23" s="116"/>
      <c r="N23" s="116"/>
      <c r="O23" s="116"/>
      <c r="P23" s="116"/>
      <c r="Q23" s="116"/>
      <c r="R23" s="116"/>
      <c r="S23" s="116"/>
      <c r="T23" s="116"/>
      <c r="U23" s="116"/>
    </row>
    <row r="24" spans="2:21" x14ac:dyDescent="0.25">
      <c r="B24" s="1"/>
      <c r="C24" s="1"/>
      <c r="D24" s="19" t="s">
        <v>9</v>
      </c>
      <c r="E24" s="20"/>
      <c r="F24" s="20"/>
      <c r="G24" s="21"/>
      <c r="H24" s="22" t="s">
        <v>10</v>
      </c>
      <c r="I24" s="20"/>
      <c r="J24" s="20"/>
      <c r="L24" s="116"/>
      <c r="M24" s="116"/>
      <c r="N24" s="116"/>
      <c r="O24" s="116"/>
      <c r="P24" s="116"/>
      <c r="Q24" s="116"/>
      <c r="R24" s="116"/>
      <c r="S24" s="116"/>
      <c r="T24" s="116"/>
      <c r="U24" s="116"/>
    </row>
    <row r="25" spans="2:21" x14ac:dyDescent="0.25">
      <c r="B25" s="23"/>
      <c r="C25" s="23"/>
      <c r="D25" s="24">
        <v>44926</v>
      </c>
      <c r="E25" s="24">
        <v>45291</v>
      </c>
      <c r="F25" s="24">
        <v>45657</v>
      </c>
      <c r="G25" s="25">
        <v>46022</v>
      </c>
      <c r="H25" s="26">
        <v>45838</v>
      </c>
      <c r="I25" s="25">
        <v>46203</v>
      </c>
      <c r="J25" s="27" t="s">
        <v>11</v>
      </c>
      <c r="L25" s="116"/>
      <c r="M25" s="116"/>
      <c r="N25" s="116"/>
      <c r="O25" s="116"/>
      <c r="P25" s="116"/>
      <c r="Q25" s="116"/>
      <c r="R25" s="116"/>
      <c r="S25" s="116"/>
      <c r="T25" s="116"/>
      <c r="U25" s="116"/>
    </row>
    <row r="26" spans="2:21" x14ac:dyDescent="0.25">
      <c r="B26" s="8" t="s">
        <v>55</v>
      </c>
      <c r="C26" s="8"/>
      <c r="D26" s="59">
        <v>73.599999999999994</v>
      </c>
      <c r="E26" s="59">
        <v>61.642000000000003</v>
      </c>
      <c r="F26" s="59">
        <v>155.834</v>
      </c>
      <c r="G26" s="60">
        <v>334.67099999999999</v>
      </c>
      <c r="H26" s="61">
        <v>146.80600000000001</v>
      </c>
      <c r="I26" s="60">
        <v>493.15199999999999</v>
      </c>
      <c r="J26" s="87">
        <v>2.3592087516858982</v>
      </c>
      <c r="L26" s="116"/>
      <c r="M26" s="116"/>
      <c r="N26" s="116"/>
      <c r="O26" s="116"/>
      <c r="P26" s="116"/>
      <c r="Q26" s="116"/>
      <c r="R26" s="116"/>
      <c r="S26" s="116"/>
      <c r="T26" s="116"/>
      <c r="U26" s="116"/>
    </row>
    <row r="27" spans="2:21" x14ac:dyDescent="0.25">
      <c r="B27" s="39" t="s">
        <v>56</v>
      </c>
      <c r="C27" s="32"/>
      <c r="D27" s="32">
        <v>0.19720199999999999</v>
      </c>
      <c r="E27" s="32">
        <v>0.178095</v>
      </c>
      <c r="F27" s="32">
        <v>0.27202000000000004</v>
      </c>
      <c r="G27" s="46">
        <v>0.37560899999999997</v>
      </c>
      <c r="H27" s="47">
        <v>0.36831899999999995</v>
      </c>
      <c r="I27" s="46">
        <v>0.41543799999999997</v>
      </c>
      <c r="J27" s="87">
        <v>0.12792986514407345</v>
      </c>
    </row>
    <row r="28" spans="2:21" x14ac:dyDescent="0.25">
      <c r="B28" s="39" t="s">
        <v>57</v>
      </c>
      <c r="C28" s="32"/>
      <c r="D28" s="32">
        <v>-0.106798</v>
      </c>
      <c r="E28" s="32">
        <v>1.2586999999999999E-2</v>
      </c>
      <c r="F28" s="32">
        <v>0.27494299999999999</v>
      </c>
      <c r="G28" s="46">
        <v>0.33438800000000002</v>
      </c>
      <c r="H28" s="47">
        <v>0.33344099999999999</v>
      </c>
      <c r="I28" s="46">
        <v>0.36849600000000005</v>
      </c>
      <c r="J28" s="87">
        <v>0.10513104267321682</v>
      </c>
      <c r="L28" s="84" t="s">
        <v>1</v>
      </c>
      <c r="M28" s="85"/>
      <c r="N28" s="85"/>
      <c r="O28" s="85"/>
      <c r="P28" s="85"/>
      <c r="Q28" s="85"/>
      <c r="R28" s="85"/>
      <c r="S28" s="85"/>
      <c r="T28" s="85"/>
      <c r="U28" s="85"/>
    </row>
    <row r="29" spans="2:21" x14ac:dyDescent="0.25">
      <c r="B29" s="39" t="s">
        <v>58</v>
      </c>
      <c r="C29" s="32"/>
      <c r="D29" s="32">
        <v>0.29992000000000002</v>
      </c>
      <c r="E29" s="32">
        <v>0.29166899999999996</v>
      </c>
      <c r="F29" s="32">
        <v>0.47017000000000003</v>
      </c>
      <c r="G29" s="46">
        <v>0.46579300000000001</v>
      </c>
      <c r="H29" s="47">
        <v>0.496255</v>
      </c>
      <c r="I29" s="46">
        <v>0.49129600000000001</v>
      </c>
      <c r="J29" s="87">
        <v>-9.9928464196834543E-3</v>
      </c>
      <c r="L29" s="118" t="s">
        <v>479</v>
      </c>
      <c r="M29" s="118"/>
      <c r="N29" s="118"/>
      <c r="O29" s="118"/>
      <c r="P29" s="118"/>
      <c r="Q29" s="118"/>
      <c r="R29" s="118"/>
      <c r="S29" s="118"/>
      <c r="T29" s="118"/>
      <c r="U29" s="118"/>
    </row>
    <row r="30" spans="2:21" x14ac:dyDescent="0.25">
      <c r="B30" s="39" t="s">
        <v>59</v>
      </c>
      <c r="C30" s="32"/>
      <c r="D30" s="32">
        <v>-8.5550999999999988E-2</v>
      </c>
      <c r="E30" s="32">
        <v>-1.1304000000000002E-2</v>
      </c>
      <c r="F30" s="32">
        <v>0.14276900000000001</v>
      </c>
      <c r="G30" s="46">
        <v>0.173984</v>
      </c>
      <c r="H30" s="47">
        <v>0.19273399999999999</v>
      </c>
      <c r="I30" s="46">
        <v>0.19080900000000001</v>
      </c>
      <c r="J30" s="87">
        <v>-9.987858914358605E-3</v>
      </c>
      <c r="L30" s="111" t="s">
        <v>480</v>
      </c>
      <c r="M30" s="111"/>
      <c r="N30" s="111"/>
      <c r="O30" s="111"/>
      <c r="P30" s="111"/>
      <c r="Q30" s="111"/>
      <c r="R30" s="111"/>
      <c r="S30" s="111"/>
      <c r="T30" s="111"/>
      <c r="U30" s="111"/>
    </row>
    <row r="31" spans="2:21" x14ac:dyDescent="0.25">
      <c r="B31" s="33" t="s">
        <v>60</v>
      </c>
      <c r="C31" s="34"/>
      <c r="D31" s="34">
        <v>4.4856E-2</v>
      </c>
      <c r="E31" s="34">
        <v>2.6785999999999997E-2</v>
      </c>
      <c r="F31" s="34">
        <v>0.15635599999999999</v>
      </c>
      <c r="G31" s="48">
        <v>0.25975999999999999</v>
      </c>
      <c r="H31" s="49">
        <v>0.20189499999999999</v>
      </c>
      <c r="I31" s="48">
        <v>0.135131</v>
      </c>
      <c r="J31" s="88">
        <v>-0.33068674310904178</v>
      </c>
      <c r="L31" s="111"/>
      <c r="M31" s="111"/>
      <c r="N31" s="111"/>
      <c r="O31" s="111"/>
      <c r="P31" s="111"/>
      <c r="Q31" s="111"/>
      <c r="R31" s="111"/>
      <c r="S31" s="111"/>
      <c r="T31" s="111"/>
      <c r="U31" s="111"/>
    </row>
    <row r="32" spans="2:21" x14ac:dyDescent="0.25">
      <c r="B32" s="39" t="s">
        <v>61</v>
      </c>
      <c r="C32" s="8"/>
      <c r="D32" s="42">
        <v>7.0979670482012178</v>
      </c>
      <c r="E32" s="42">
        <v>4.3278160893585786</v>
      </c>
      <c r="F32" s="42">
        <v>4.2059359051746092</v>
      </c>
      <c r="G32" s="51">
        <v>5.3360946630639532</v>
      </c>
      <c r="H32" s="58">
        <v>4.5279301492494861</v>
      </c>
      <c r="I32" s="51">
        <v>6.1433558454233799</v>
      </c>
      <c r="J32" s="87">
        <v>0.35676912914428538</v>
      </c>
      <c r="L32" s="111" t="s">
        <v>481</v>
      </c>
      <c r="M32" s="111"/>
      <c r="N32" s="111"/>
      <c r="O32" s="111"/>
      <c r="P32" s="111"/>
      <c r="Q32" s="111"/>
      <c r="R32" s="111"/>
      <c r="S32" s="111"/>
      <c r="T32" s="111"/>
      <c r="U32" s="111"/>
    </row>
    <row r="33" spans="2:21" x14ac:dyDescent="0.25">
      <c r="B33" s="39" t="s">
        <v>62</v>
      </c>
      <c r="C33" s="8"/>
      <c r="D33" s="42">
        <v>6.02928</v>
      </c>
      <c r="E33" s="42">
        <v>4.4877099999999999</v>
      </c>
      <c r="F33" s="42">
        <v>6.3418200000000002</v>
      </c>
      <c r="G33" s="51">
        <v>7.2517699999999996</v>
      </c>
      <c r="H33" s="58">
        <v>7.3711599999999997</v>
      </c>
      <c r="I33" s="51">
        <v>8.2039100000000005</v>
      </c>
      <c r="J33" s="87">
        <v>0.11297407735010512</v>
      </c>
      <c r="L33" s="111"/>
      <c r="M33" s="111"/>
      <c r="N33" s="111"/>
      <c r="O33" s="111"/>
      <c r="P33" s="111"/>
      <c r="Q33" s="111"/>
      <c r="R33" s="111"/>
      <c r="S33" s="111"/>
      <c r="T33" s="111"/>
      <c r="U33" s="111"/>
    </row>
    <row r="34" spans="2:21" x14ac:dyDescent="0.25">
      <c r="B34" s="39" t="s">
        <v>63</v>
      </c>
      <c r="C34" s="8"/>
      <c r="D34" s="42">
        <v>2.5478700000000001</v>
      </c>
      <c r="E34" s="42">
        <v>3.028</v>
      </c>
      <c r="F34" s="42">
        <v>5.3329599999999999</v>
      </c>
      <c r="G34" s="51">
        <v>5.3247499999999999</v>
      </c>
      <c r="H34" s="58">
        <v>6.1730999999999998</v>
      </c>
      <c r="I34" s="51">
        <v>5.8275800000000002</v>
      </c>
      <c r="J34" s="87">
        <v>-5.5971877986748853E-2</v>
      </c>
      <c r="L34" s="86" t="s">
        <v>482</v>
      </c>
    </row>
    <row r="35" spans="2:21" x14ac:dyDescent="0.25">
      <c r="B35" s="39" t="s">
        <v>64</v>
      </c>
      <c r="C35" s="8"/>
      <c r="D35" s="42">
        <v>2.77597</v>
      </c>
      <c r="E35" s="42">
        <v>3.0604300000000002</v>
      </c>
      <c r="F35" s="42">
        <v>1.6332800000000001</v>
      </c>
      <c r="G35" s="51">
        <v>1.58399</v>
      </c>
      <c r="H35" s="58">
        <v>1.2750600000000001</v>
      </c>
      <c r="I35" s="51">
        <v>1.5791900000000001</v>
      </c>
      <c r="J35" s="87">
        <v>0.23852210876350921</v>
      </c>
      <c r="L35" s="111" t="s">
        <v>483</v>
      </c>
      <c r="M35" s="111"/>
      <c r="N35" s="111"/>
      <c r="O35" s="111"/>
      <c r="P35" s="111"/>
      <c r="Q35" s="111"/>
      <c r="R35" s="111"/>
      <c r="S35" s="111"/>
      <c r="T35" s="111"/>
      <c r="U35" s="111"/>
    </row>
    <row r="36" spans="2:21" x14ac:dyDescent="0.25">
      <c r="B36" s="39" t="s">
        <v>65</v>
      </c>
      <c r="C36" s="8"/>
      <c r="D36" s="42">
        <v>2.5242499999999999</v>
      </c>
      <c r="E36" s="42">
        <v>2.82606</v>
      </c>
      <c r="F36" s="42">
        <v>1.2938099999999999</v>
      </c>
      <c r="G36" s="51">
        <v>0.98329</v>
      </c>
      <c r="H36" s="58">
        <v>1.0177499999999999</v>
      </c>
      <c r="I36" s="51">
        <v>0.82562000000000002</v>
      </c>
      <c r="J36" s="87">
        <v>-0.18877916973716524</v>
      </c>
      <c r="L36" s="111"/>
      <c r="M36" s="111"/>
      <c r="N36" s="111"/>
      <c r="O36" s="111"/>
      <c r="P36" s="111"/>
      <c r="Q36" s="111"/>
      <c r="R36" s="111"/>
      <c r="S36" s="111"/>
      <c r="T36" s="111"/>
      <c r="U36" s="111"/>
    </row>
    <row r="37" spans="2:21" x14ac:dyDescent="0.25">
      <c r="B37" s="39" t="s">
        <v>66</v>
      </c>
      <c r="C37" s="8"/>
      <c r="D37" s="42">
        <v>6.5690600000000003</v>
      </c>
      <c r="E37" s="42">
        <v>4.5357799999999999</v>
      </c>
      <c r="F37" s="42">
        <v>1.9422600000000001</v>
      </c>
      <c r="G37" s="51">
        <v>2.1572300000000002</v>
      </c>
      <c r="H37" s="58">
        <v>1.5225299999999999</v>
      </c>
      <c r="I37" s="51">
        <v>2.22315</v>
      </c>
      <c r="J37" s="87">
        <v>0.46016827254635384</v>
      </c>
      <c r="L37" s="111" t="s">
        <v>484</v>
      </c>
      <c r="M37" s="111"/>
      <c r="N37" s="111"/>
      <c r="O37" s="111"/>
      <c r="P37" s="111"/>
      <c r="Q37" s="111"/>
      <c r="R37" s="111"/>
      <c r="S37" s="111"/>
      <c r="T37" s="111"/>
      <c r="U37" s="111"/>
    </row>
    <row r="38" spans="2:21" x14ac:dyDescent="0.25">
      <c r="B38" s="33" t="s">
        <v>67</v>
      </c>
      <c r="C38" s="52"/>
      <c r="D38" s="52">
        <v>5.9733900000000002</v>
      </c>
      <c r="E38" s="52">
        <v>4.1884199999999998</v>
      </c>
      <c r="F38" s="52">
        <v>1.53857</v>
      </c>
      <c r="G38" s="53">
        <v>1.3391500000000001</v>
      </c>
      <c r="H38" s="54">
        <v>1.2152700000000001</v>
      </c>
      <c r="I38" s="53">
        <v>1.16229</v>
      </c>
      <c r="J38" s="88">
        <v>-4.3595250438174249E-2</v>
      </c>
      <c r="L38" s="111"/>
      <c r="M38" s="111"/>
      <c r="N38" s="111"/>
      <c r="O38" s="111"/>
      <c r="P38" s="111"/>
      <c r="Q38" s="111"/>
      <c r="R38" s="111"/>
      <c r="S38" s="111"/>
      <c r="T38" s="111"/>
      <c r="U38" s="111"/>
    </row>
    <row r="39" spans="2:21" x14ac:dyDescent="0.25">
      <c r="B39" s="8" t="s">
        <v>68</v>
      </c>
      <c r="C39" s="42"/>
      <c r="D39" s="59">
        <v>13.888249999999999</v>
      </c>
      <c r="E39" s="59">
        <v>10.106120000000001</v>
      </c>
      <c r="F39" s="59">
        <v>10.24837</v>
      </c>
      <c r="G39" s="60">
        <v>9.1527399999999997</v>
      </c>
      <c r="H39" s="61">
        <v>9.5181100000000001</v>
      </c>
      <c r="I39" s="60">
        <v>11.16572</v>
      </c>
      <c r="J39" s="87">
        <v>0.17310264327686897</v>
      </c>
      <c r="L39" s="111" t="s">
        <v>485</v>
      </c>
      <c r="M39" s="111"/>
      <c r="N39" s="111"/>
      <c r="O39" s="111"/>
      <c r="P39" s="111"/>
      <c r="Q39" s="111"/>
      <c r="R39" s="111"/>
      <c r="S39" s="111"/>
      <c r="T39" s="111"/>
      <c r="U39" s="111"/>
    </row>
    <row r="40" spans="2:21" x14ac:dyDescent="0.25">
      <c r="B40" s="8" t="s">
        <v>69</v>
      </c>
      <c r="C40" s="42"/>
      <c r="D40" s="59">
        <v>117.41101</v>
      </c>
      <c r="E40" s="59">
        <v>127.78942000000001</v>
      </c>
      <c r="F40" s="59">
        <v>114.71904000000001</v>
      </c>
      <c r="G40" s="60">
        <v>106.10988</v>
      </c>
      <c r="H40" s="61">
        <v>96.327520000000007</v>
      </c>
      <c r="I40" s="60">
        <v>99.238029999999995</v>
      </c>
      <c r="J40" s="87">
        <v>3.0214729913113025E-2</v>
      </c>
      <c r="L40" s="111"/>
      <c r="M40" s="111"/>
      <c r="N40" s="111"/>
      <c r="O40" s="111"/>
      <c r="P40" s="111"/>
      <c r="Q40" s="111"/>
      <c r="R40" s="111"/>
      <c r="S40" s="111"/>
      <c r="T40" s="111"/>
      <c r="U40" s="111"/>
    </row>
    <row r="41" spans="2:21" x14ac:dyDescent="0.25">
      <c r="B41" s="8" t="s">
        <v>70</v>
      </c>
      <c r="C41" s="42"/>
      <c r="D41" s="59">
        <v>27.940390000000001</v>
      </c>
      <c r="E41" s="59">
        <v>26.501190000000001</v>
      </c>
      <c r="F41" s="59">
        <v>22.605260000000001</v>
      </c>
      <c r="G41" s="60">
        <v>21.171099999999999</v>
      </c>
      <c r="H41" s="61">
        <v>21.05904</v>
      </c>
      <c r="I41" s="60">
        <v>23.756029999999999</v>
      </c>
      <c r="J41" s="87">
        <v>0.12806804108829262</v>
      </c>
      <c r="L41" s="86" t="s">
        <v>486</v>
      </c>
    </row>
    <row r="42" spans="2:21" x14ac:dyDescent="0.25">
      <c r="B42" s="39" t="s">
        <v>71</v>
      </c>
      <c r="C42" s="42"/>
      <c r="D42" s="42">
        <v>0.62234</v>
      </c>
      <c r="E42" s="42">
        <v>0.47252</v>
      </c>
      <c r="F42" s="42">
        <v>0.92329000000000006</v>
      </c>
      <c r="G42" s="51">
        <v>0.84387000000000001</v>
      </c>
      <c r="H42" s="58">
        <v>0.78371999999999997</v>
      </c>
      <c r="I42" s="51">
        <v>1.6201099999999999</v>
      </c>
      <c r="J42" s="87">
        <v>1.0672051242790794</v>
      </c>
      <c r="L42" s="111" t="s">
        <v>487</v>
      </c>
      <c r="M42" s="111"/>
      <c r="N42" s="111"/>
      <c r="O42" s="111"/>
      <c r="P42" s="111"/>
      <c r="Q42" s="111"/>
      <c r="R42" s="111"/>
      <c r="S42" s="111"/>
      <c r="T42" s="111"/>
      <c r="U42" s="111"/>
    </row>
    <row r="43" spans="2:21" x14ac:dyDescent="0.25">
      <c r="B43" s="39" t="s">
        <v>72</v>
      </c>
      <c r="C43" s="42"/>
      <c r="D43" s="42">
        <v>0.46418999999999999</v>
      </c>
      <c r="E43" s="42">
        <v>0.36126999999999998</v>
      </c>
      <c r="F43" s="42">
        <v>0.80149000000000004</v>
      </c>
      <c r="G43" s="51">
        <v>0.76224999999999998</v>
      </c>
      <c r="H43" s="58">
        <v>0.68601999999999996</v>
      </c>
      <c r="I43" s="51">
        <v>1.45387</v>
      </c>
      <c r="J43" s="87">
        <v>1.119282236669485</v>
      </c>
      <c r="L43" s="111"/>
      <c r="M43" s="111"/>
      <c r="N43" s="111"/>
      <c r="O43" s="111"/>
      <c r="P43" s="111"/>
      <c r="Q43" s="111"/>
      <c r="R43" s="111"/>
      <c r="S43" s="111"/>
      <c r="T43" s="111"/>
      <c r="U43" s="111"/>
    </row>
    <row r="44" spans="2:21" x14ac:dyDescent="0.25">
      <c r="B44" s="33" t="s">
        <v>73</v>
      </c>
      <c r="C44" s="43"/>
      <c r="D44" s="43">
        <v>-75.582380000000001</v>
      </c>
      <c r="E44" s="43">
        <v>-91.182109999999994</v>
      </c>
      <c r="F44" s="43">
        <v>-81.86542</v>
      </c>
      <c r="G44" s="62">
        <v>-75.786050000000003</v>
      </c>
      <c r="H44" s="63">
        <v>-65.750370000000004</v>
      </c>
      <c r="I44" s="62">
        <v>-64.316289999999995</v>
      </c>
      <c r="J44" s="88">
        <v>-2.1810979923002849E-2</v>
      </c>
      <c r="L44" s="86" t="s">
        <v>488</v>
      </c>
    </row>
    <row r="45" spans="2:21" x14ac:dyDescent="0.25">
      <c r="B45" s="39" t="s">
        <v>38</v>
      </c>
      <c r="C45" s="32"/>
      <c r="D45" s="32">
        <v>-3.0663999999999997E-2</v>
      </c>
      <c r="E45" s="32">
        <v>3.6080000000000001E-3</v>
      </c>
      <c r="F45" s="32">
        <v>8.8834999999999997E-2</v>
      </c>
      <c r="G45" s="46">
        <v>0.12212300000000001</v>
      </c>
      <c r="H45" s="47">
        <v>0.12964600000000001</v>
      </c>
      <c r="I45" s="46">
        <v>0.13853099999999999</v>
      </c>
      <c r="J45" s="87">
        <v>6.8532773861129437E-2</v>
      </c>
      <c r="L45" s="86" t="s">
        <v>489</v>
      </c>
      <c r="M45" s="86"/>
      <c r="N45" s="86"/>
      <c r="O45" s="86"/>
      <c r="P45" s="86"/>
      <c r="Q45" s="86"/>
      <c r="R45" s="86"/>
      <c r="S45" s="86"/>
      <c r="T45" s="86"/>
      <c r="U45" s="86"/>
    </row>
    <row r="46" spans="2:21" x14ac:dyDescent="0.25">
      <c r="B46" s="39" t="s">
        <v>74</v>
      </c>
      <c r="C46" s="32"/>
      <c r="D46" s="32">
        <v>-4.9195999999999997E-2</v>
      </c>
      <c r="E46" s="32">
        <v>5.8960000000000002E-3</v>
      </c>
      <c r="F46" s="32">
        <v>0.139347</v>
      </c>
      <c r="G46" s="46">
        <v>0.18890799999999999</v>
      </c>
      <c r="H46" s="47">
        <v>0.20161899999999999</v>
      </c>
      <c r="I46" s="46">
        <v>0.202289</v>
      </c>
      <c r="J46" s="87">
        <v>3.3230995094708504E-3</v>
      </c>
    </row>
    <row r="47" spans="2:21" x14ac:dyDescent="0.25">
      <c r="B47" s="33" t="s">
        <v>35</v>
      </c>
      <c r="C47" s="34"/>
      <c r="D47" s="34">
        <v>-0.19562499999999999</v>
      </c>
      <c r="E47" s="34">
        <v>-2.6981999999999999E-2</v>
      </c>
      <c r="F47" s="34">
        <v>0.33681300000000003</v>
      </c>
      <c r="G47" s="48">
        <v>0.41915399999999997</v>
      </c>
      <c r="H47" s="49">
        <v>0.52942199999999995</v>
      </c>
      <c r="I47" s="48">
        <v>0.40527099999999999</v>
      </c>
      <c r="J47" s="88">
        <v>-0.23450291072150375</v>
      </c>
      <c r="L47" s="84" t="s">
        <v>3</v>
      </c>
    </row>
    <row r="48" spans="2:21" x14ac:dyDescent="0.25">
      <c r="L48" s="86" t="s">
        <v>490</v>
      </c>
    </row>
    <row r="49" spans="12:21" x14ac:dyDescent="0.25">
      <c r="L49" s="86" t="s">
        <v>491</v>
      </c>
      <c r="M49" s="16"/>
      <c r="N49" s="16"/>
      <c r="O49" s="16"/>
      <c r="P49" s="16"/>
      <c r="Q49" s="16"/>
      <c r="R49" s="16"/>
      <c r="S49" s="16"/>
      <c r="T49" s="16"/>
      <c r="U49" s="16"/>
    </row>
    <row r="50" spans="12:21" x14ac:dyDescent="0.25">
      <c r="L50" s="111" t="s">
        <v>492</v>
      </c>
      <c r="M50" s="111"/>
      <c r="N50" s="111"/>
      <c r="O50" s="111"/>
      <c r="P50" s="111"/>
      <c r="Q50" s="111"/>
      <c r="R50" s="111"/>
      <c r="S50" s="111"/>
      <c r="T50" s="111"/>
      <c r="U50" s="111"/>
    </row>
    <row r="51" spans="12:21" x14ac:dyDescent="0.25">
      <c r="L51" s="111"/>
      <c r="M51" s="111"/>
      <c r="N51" s="111"/>
      <c r="O51" s="111"/>
      <c r="P51" s="111"/>
      <c r="Q51" s="111"/>
      <c r="R51" s="111"/>
      <c r="S51" s="111"/>
      <c r="T51" s="111"/>
      <c r="U51" s="111"/>
    </row>
    <row r="52" spans="12:21" x14ac:dyDescent="0.25">
      <c r="L52" s="86" t="s">
        <v>493</v>
      </c>
      <c r="M52" s="86"/>
      <c r="N52" s="86"/>
      <c r="O52" s="86"/>
      <c r="P52" s="86"/>
      <c r="Q52" s="86"/>
      <c r="R52" s="86"/>
      <c r="S52" s="86"/>
      <c r="T52" s="86"/>
      <c r="U52" s="86"/>
    </row>
    <row r="53" spans="12:21" x14ac:dyDescent="0.25">
      <c r="L53" s="86" t="s">
        <v>494</v>
      </c>
      <c r="M53" s="86"/>
      <c r="N53" s="86"/>
      <c r="O53" s="86"/>
      <c r="P53" s="86"/>
      <c r="Q53" s="86"/>
      <c r="R53" s="86"/>
      <c r="S53" s="86"/>
      <c r="T53" s="86"/>
      <c r="U53" s="86"/>
    </row>
    <row r="54" spans="12:21" x14ac:dyDescent="0.25">
      <c r="L54" s="86" t="s">
        <v>495</v>
      </c>
      <c r="M54" s="16"/>
      <c r="N54" s="16"/>
      <c r="O54" s="16"/>
      <c r="P54" s="16"/>
      <c r="Q54" s="16"/>
      <c r="R54" s="16"/>
      <c r="S54" s="16"/>
      <c r="T54" s="16"/>
      <c r="U54" s="16"/>
    </row>
    <row r="55" spans="12:21" x14ac:dyDescent="0.25">
      <c r="L55" s="86" t="s">
        <v>496</v>
      </c>
    </row>
    <row r="56" spans="12:21" x14ac:dyDescent="0.25">
      <c r="L56" s="86" t="s">
        <v>497</v>
      </c>
    </row>
    <row r="57" spans="12:21" x14ac:dyDescent="0.25">
      <c r="L57" s="111" t="s">
        <v>498</v>
      </c>
      <c r="M57" s="111"/>
      <c r="N57" s="111"/>
      <c r="O57" s="111"/>
      <c r="P57" s="111"/>
      <c r="Q57" s="111"/>
      <c r="R57" s="111"/>
      <c r="S57" s="111"/>
      <c r="T57" s="111"/>
      <c r="U57" s="111"/>
    </row>
    <row r="58" spans="12:21" x14ac:dyDescent="0.25">
      <c r="L58" s="111"/>
      <c r="M58" s="111"/>
      <c r="N58" s="111"/>
      <c r="O58" s="111"/>
      <c r="P58" s="111"/>
      <c r="Q58" s="111"/>
      <c r="R58" s="111"/>
      <c r="S58" s="111"/>
      <c r="T58" s="111"/>
      <c r="U58" s="111"/>
    </row>
    <row r="59" spans="12:21" x14ac:dyDescent="0.25">
      <c r="L59" s="111" t="s">
        <v>499</v>
      </c>
      <c r="M59" s="111"/>
      <c r="N59" s="111"/>
      <c r="O59" s="111"/>
      <c r="P59" s="111"/>
      <c r="Q59" s="111"/>
      <c r="R59" s="111"/>
      <c r="S59" s="111"/>
      <c r="T59" s="111"/>
      <c r="U59" s="111"/>
    </row>
    <row r="60" spans="12:21" x14ac:dyDescent="0.25">
      <c r="L60" s="111"/>
      <c r="M60" s="111"/>
      <c r="N60" s="111"/>
      <c r="O60" s="111"/>
      <c r="P60" s="111"/>
      <c r="Q60" s="111"/>
      <c r="R60" s="111"/>
      <c r="S60" s="111"/>
      <c r="T60" s="111"/>
      <c r="U60" s="111"/>
    </row>
    <row r="83" spans="12:21" x14ac:dyDescent="0.25">
      <c r="L83" s="118"/>
      <c r="M83" s="118"/>
      <c r="N83" s="118"/>
      <c r="O83" s="118"/>
      <c r="P83" s="118"/>
      <c r="Q83" s="118"/>
      <c r="R83" s="118"/>
      <c r="S83" s="118"/>
      <c r="T83" s="118"/>
      <c r="U83" s="118"/>
    </row>
  </sheetData>
  <mergeCells count="12">
    <mergeCell ref="L83:U83"/>
    <mergeCell ref="L6:U26"/>
    <mergeCell ref="L29:U29"/>
    <mergeCell ref="L30:U31"/>
    <mergeCell ref="L32:U33"/>
    <mergeCell ref="L35:U36"/>
    <mergeCell ref="L37:U38"/>
    <mergeCell ref="L39:U40"/>
    <mergeCell ref="L42:U43"/>
    <mergeCell ref="L50:U51"/>
    <mergeCell ref="L57:U58"/>
    <mergeCell ref="L59:U6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Cibest</vt:lpstr>
      <vt:lpstr>Grupo Aval</vt:lpstr>
      <vt:lpstr>Davivienda</vt:lpstr>
      <vt:lpstr>BCI</vt:lpstr>
      <vt:lpstr>Ecopetrol</vt:lpstr>
      <vt:lpstr>EPM</vt:lpstr>
      <vt:lpstr>Orazen</vt:lpstr>
      <vt:lpstr>Banorte</vt:lpstr>
      <vt:lpstr>IBK</vt:lpstr>
      <vt:lpstr>BCP</vt:lpstr>
      <vt:lpstr>BBVA Mexico</vt:lpstr>
      <vt:lpstr>Pluz Energia</vt:lpstr>
      <vt:lpstr>LdS</vt:lpstr>
      <vt:lpstr>Orygen</vt:lpstr>
      <vt:lpstr>Engie</vt:lpstr>
      <vt:lpstr>Minsur</vt:lpstr>
      <vt:lpstr>Nexa</vt:lpstr>
      <vt:lpstr>Volcan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 Olivares Untiveros</dc:creator>
  <cp:lastModifiedBy>Franco Olivares Untiveros</cp:lastModifiedBy>
  <dcterms:created xsi:type="dcterms:W3CDTF">2026-09-28T16:06:52Z</dcterms:created>
  <dcterms:modified xsi:type="dcterms:W3CDTF">2026-10-05T20:51:06Z</dcterms:modified>
</cp:coreProperties>
</file>