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esa de Inversiones\Bottom-Up\2 Proceso de Inversión Renta Fija\Corporates - Emisiones\Crédito - BU\3. ESG\9. ESG Manager - MSCI\1.Data Histórica\Dataset\Comparables\"/>
    </mc:Choice>
  </mc:AlternateContent>
  <xr:revisionPtr revIDLastSave="0" documentId="13_ncr:1_{F79FB034-6862-45B5-A36A-7A55FD2B2E89}" xr6:coauthVersionLast="47" xr6:coauthVersionMax="47" xr10:uidLastSave="{00000000-0000-0000-0000-000000000000}"/>
  <bookViews>
    <workbookView xWindow="-120" yWindow="-120" windowWidth="29040" windowHeight="15720" xr2:uid="{D8D2D5C9-51F5-4370-B2C7-2A1FF4FBB988}"/>
  </bookViews>
  <sheets>
    <sheet name="MKT" sheetId="1" r:id="rId1"/>
    <sheet name="Assets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46210.6621180556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B4" i="2"/>
  <c r="B5" i="2" s="1"/>
  <c r="A3" i="1"/>
  <c r="B4" i="1"/>
  <c r="A4" i="1" s="1"/>
  <c r="D67" i="1" a="1"/>
  <c r="G67" i="1" a="1"/>
  <c r="F67" i="1" a="1"/>
  <c r="K67" i="1" a="1"/>
  <c r="E67" i="1" a="1"/>
  <c r="I67" i="1" a="1"/>
  <c r="P2" i="1" a="1"/>
  <c r="C67" i="1" a="1"/>
  <c r="H67" i="1" a="1"/>
  <c r="J67" i="1" a="1"/>
  <c r="J67" i="1" l="1"/>
  <c r="H67" i="1"/>
  <c r="C67" i="1"/>
  <c r="P2" i="1"/>
  <c r="I67" i="1"/>
  <c r="E67" i="1"/>
  <c r="K67" i="1"/>
  <c r="F67" i="1"/>
  <c r="G67" i="1"/>
  <c r="D67" i="1"/>
  <c r="A4" i="2"/>
  <c r="B5" i="1"/>
  <c r="A5" i="1" s="1"/>
  <c r="A5" i="2"/>
  <c r="B6" i="2"/>
  <c r="B6" i="1" l="1"/>
  <c r="B7" i="1" s="1"/>
  <c r="A6" i="2"/>
  <c r="B7" i="2"/>
  <c r="A6" i="1" l="1"/>
  <c r="A7" i="2"/>
  <c r="B8" i="2"/>
  <c r="B8" i="1"/>
  <c r="A7" i="1"/>
  <c r="A8" i="1" l="1"/>
  <c r="B9" i="1"/>
  <c r="A8" i="2"/>
  <c r="B9" i="2"/>
  <c r="A9" i="2" l="1"/>
  <c r="B10" i="2"/>
  <c r="A9" i="1"/>
  <c r="B10" i="1"/>
  <c r="B11" i="1" l="1"/>
  <c r="A10" i="1"/>
  <c r="A10" i="2"/>
  <c r="B11" i="2"/>
  <c r="A11" i="2" l="1"/>
  <c r="B12" i="2"/>
  <c r="A11" i="1"/>
  <c r="B12" i="1"/>
  <c r="A12" i="1" l="1"/>
  <c r="B13" i="1"/>
  <c r="A12" i="2"/>
  <c r="B13" i="2"/>
  <c r="A13" i="2" l="1"/>
  <c r="B14" i="2"/>
  <c r="B14" i="1"/>
  <c r="A13" i="1"/>
  <c r="A14" i="1" l="1"/>
  <c r="B15" i="1"/>
  <c r="A14" i="2"/>
  <c r="B15" i="2"/>
  <c r="A15" i="1" l="1"/>
  <c r="B16" i="1"/>
  <c r="A15" i="2"/>
  <c r="B16" i="2"/>
  <c r="A16" i="2" l="1"/>
  <c r="B17" i="2"/>
  <c r="B17" i="1"/>
  <c r="A16" i="1"/>
  <c r="A17" i="2" l="1"/>
  <c r="B18" i="2"/>
  <c r="A17" i="1"/>
  <c r="B18" i="1"/>
  <c r="A18" i="1" l="1"/>
  <c r="B19" i="1"/>
  <c r="A18" i="2"/>
  <c r="B19" i="2"/>
  <c r="A19" i="2" l="1"/>
  <c r="B20" i="2"/>
  <c r="B20" i="1"/>
  <c r="A19" i="1"/>
  <c r="A20" i="1" l="1"/>
  <c r="B21" i="1"/>
  <c r="A20" i="2"/>
  <c r="B21" i="2"/>
  <c r="A21" i="1" l="1"/>
  <c r="B22" i="1"/>
  <c r="A21" i="2"/>
  <c r="B22" i="2"/>
  <c r="A22" i="2" l="1"/>
  <c r="B23" i="2"/>
  <c r="A22" i="1"/>
  <c r="B23" i="1"/>
  <c r="A23" i="1" l="1"/>
  <c r="B24" i="1"/>
  <c r="A23" i="2"/>
  <c r="B24" i="2"/>
  <c r="A24" i="2" l="1"/>
  <c r="B25" i="2"/>
  <c r="A24" i="1"/>
  <c r="B25" i="1"/>
  <c r="B26" i="1" l="1"/>
  <c r="A26" i="1" s="1"/>
  <c r="A25" i="1"/>
  <c r="A25" i="2"/>
  <c r="B26" i="2"/>
  <c r="A26" i="2" l="1"/>
  <c r="B27" i="2"/>
  <c r="E27" i="2" a="1"/>
  <c r="G27" i="2" a="1"/>
  <c r="J27" i="2" a="1"/>
  <c r="O27" i="2" a="1"/>
  <c r="K27" i="2" a="1"/>
  <c r="P27" i="2" a="1"/>
  <c r="N27" i="2" a="1"/>
  <c r="C27" i="2" a="1"/>
  <c r="R27" i="2" a="1"/>
  <c r="M27" i="2" a="1"/>
  <c r="F27" i="2" a="1"/>
  <c r="I27" i="2" a="1"/>
  <c r="Q27" i="2" a="1"/>
  <c r="L27" i="2" a="1"/>
  <c r="D27" i="2" a="1"/>
  <c r="H27" i="2" a="1"/>
  <c r="S27" i="2" a="1"/>
  <c r="T27" i="2" a="1"/>
  <c r="T27" i="2" l="1"/>
  <c r="S27" i="2"/>
  <c r="H27" i="2"/>
  <c r="D27" i="2"/>
  <c r="L27" i="2"/>
  <c r="Q27" i="2"/>
  <c r="I27" i="2"/>
  <c r="F27" i="2"/>
  <c r="M27" i="2"/>
  <c r="R27" i="2"/>
  <c r="C27" i="2"/>
  <c r="N27" i="2"/>
  <c r="P27" i="2"/>
  <c r="K27" i="2"/>
  <c r="O27" i="2"/>
  <c r="J27" i="2"/>
  <c r="G27" i="2"/>
  <c r="E27" i="2"/>
  <c r="A2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<sst xmlns="http://schemas.openxmlformats.org/spreadsheetml/2006/main" count="49" uniqueCount="22">
  <si>
    <t>FUND_TOTAL_ASSETS</t>
  </si>
  <si>
    <t>CUR_MKT_CAP</t>
  </si>
  <si>
    <t>EPU US Equity</t>
  </si>
  <si>
    <t>IEMG US Equity</t>
  </si>
  <si>
    <t>CEMB US Equity</t>
  </si>
  <si>
    <t>ILF US Equity</t>
  </si>
  <si>
    <t>ACWI US Equity</t>
  </si>
  <si>
    <t>EEM US Equity</t>
  </si>
  <si>
    <t>SWDA LN Equity</t>
  </si>
  <si>
    <t>ETFPERUD PE Equity</t>
  </si>
  <si>
    <t>FECHA</t>
  </si>
  <si>
    <t>IEMG US</t>
  </si>
  <si>
    <t>CEMB US</t>
  </si>
  <si>
    <t>ILF US</t>
  </si>
  <si>
    <t>ACWI US</t>
  </si>
  <si>
    <t>EEM US</t>
  </si>
  <si>
    <t>SWDA LN</t>
  </si>
  <si>
    <t>EPU US</t>
  </si>
  <si>
    <t>ETFPERUD</t>
  </si>
  <si>
    <t>EMB US Equity</t>
  </si>
  <si>
    <t>EMB US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</si>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</sst>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14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BDH|14628818118001580602</stp>
        <tr r="D27" s="2"/>
      </tp>
      <tp t="s">
        <v>#N/A N/A</v>
        <stp/>
        <stp>BDH|14951339425429024730</stp>
        <tr r="C27" s="2"/>
        <tr r="J27" s="2"/>
      </tp>
      <tp t="s">
        <v>#N/A N/A</v>
        <stp/>
        <stp>BDH|17594302281381225578</stp>
        <tr r="D67" s="1"/>
      </tp>
      <tp t="s">
        <v>#N/A N/A</v>
        <stp/>
        <stp>BDH|16671775189484097581</stp>
        <tr r="F67" s="1"/>
      </tp>
      <tp t="s">
        <v>#N/A N/A</v>
        <stp/>
        <stp>BDH|17729672635788676251</stp>
        <tr r="E27" s="2"/>
      </tp>
      <tp t="s">
        <v>#N/A N/A</v>
        <stp/>
        <stp>BDH|17796361939106846839</stp>
        <tr r="J67" s="1"/>
      </tp>
      <tp t="s">
        <v>#N/A N/A</v>
        <stp/>
        <stp>BDH|15319895328544603514</stp>
        <tr r="I27" s="2"/>
      </tp>
      <tp t="s">
        <v>#N/A N/A</v>
        <stp/>
        <stp>BDH|14249334907299548172</stp>
        <tr r="T27" s="2"/>
      </tp>
      <tp t="s">
        <v>#N/A N/A</v>
        <stp/>
        <stp>BDH|12723625921751873872</stp>
        <tr r="S27" s="2"/>
        <tr r="L27" s="2"/>
      </tp>
      <tp t="s">
        <v>#N/A N/A</v>
        <stp/>
        <stp>BDH|15061478327478409975</stp>
        <tr r="K67" s="1"/>
      </tp>
      <tp t="s">
        <v>#N/A N/A</v>
        <stp/>
        <stp>BDH|14523502621766875652</stp>
        <tr r="K27" s="2"/>
      </tp>
      <tp t="s">
        <v>#N/A N/A</v>
        <stp/>
        <stp>BDH|16576746778228944894</stp>
        <tr r="H67" s="1"/>
      </tp>
      <tp t="s">
        <v>#N/A N/A</v>
        <stp/>
        <stp>BDH|13811714969524485194</stp>
        <tr r="R27" s="2"/>
      </tp>
      <tp t="s">
        <v>#N/A N/A</v>
        <stp/>
        <stp>BDH|13030666366194811335</stp>
        <tr r="Q27" s="2"/>
      </tp>
    </main>
    <main first="bofaddin.rtdserver">
      <tp t="s">
        <v>#N/A N/A</v>
        <stp/>
        <stp>BDH|2489949147565697467</stp>
        <tr r="N27" s="2"/>
      </tp>
      <tp t="s">
        <v>#N/A N/A</v>
        <stp/>
        <stp>BDH|3491339784534819633</stp>
        <tr r="G67" s="1"/>
      </tp>
      <tp t="s">
        <v>#N/A N/A</v>
        <stp/>
        <stp>BDH|5481038465258629145</stp>
        <tr r="G27" s="2"/>
      </tp>
      <tp t="s">
        <v>#N/A N/A</v>
        <stp/>
        <stp>BDH|1900074885438469529</stp>
        <tr r="M27" s="2"/>
      </tp>
      <tp t="s">
        <v>#N/A N/A</v>
        <stp/>
        <stp>BDH|4093537595634218860</stp>
        <tr r="H27" s="2"/>
      </tp>
      <tp t="s">
        <v>#N/A N/A</v>
        <stp/>
        <stp>BDH|7503063716906700412</stp>
        <tr r="E67" s="1"/>
      </tp>
      <tp t="s">
        <v>#N/A N/A</v>
        <stp/>
        <stp>BDS|8025585299700540289</stp>
        <tr r="P2" s="1"/>
      </tp>
      <tp t="s">
        <v>#N/A N/A</v>
        <stp/>
        <stp>BDH|3252742535232795455</stp>
        <tr r="F27" s="2"/>
      </tp>
      <tp t="s">
        <v>#N/A N/A</v>
        <stp/>
        <stp>BDH|6508417419064616506</stp>
        <tr r="P27" s="2"/>
      </tp>
      <tp t="s">
        <v>#N/A N/A</v>
        <stp/>
        <stp>BDH|7096879787986770368</stp>
        <tr r="O27" s="2"/>
      </tp>
      <tp t="s">
        <v>#N/A N/A</v>
        <stp/>
        <stp>BDH|9167116293246389422</stp>
        <tr r="I67" s="1"/>
      </tp>
      <tp t="s">
        <v>#N/A N/A</v>
        <stp/>
        <stp>BDH|946574980220535318</stp>
        <tr r="C67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B510A-3002-48FD-92FF-B6BC33734DCD}">
  <dimension ref="A1:P67"/>
  <sheetViews>
    <sheetView tabSelected="1" topLeftCell="A46" workbookViewId="0">
      <selection activeCell="L59" sqref="L59"/>
    </sheetView>
  </sheetViews>
  <sheetFormatPr defaultColWidth="11.42578125" defaultRowHeight="15" x14ac:dyDescent="0.25"/>
  <cols>
    <col min="3" max="10" width="22.28515625" customWidth="1"/>
    <col min="11" max="11" width="20.7109375" customWidth="1"/>
  </cols>
  <sheetData>
    <row r="1" spans="1:16" x14ac:dyDescent="0.25">
      <c r="C1" s="2" t="s">
        <v>1</v>
      </c>
      <c r="D1" s="2"/>
      <c r="E1" s="2"/>
      <c r="F1" s="2"/>
      <c r="G1" s="2"/>
      <c r="H1" s="2"/>
      <c r="I1" s="2"/>
      <c r="J1" s="2"/>
      <c r="K1" s="2"/>
    </row>
    <row r="2" spans="1:16" x14ac:dyDescent="0.25">
      <c r="A2" t="s">
        <v>10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2</v>
      </c>
      <c r="J2" t="s">
        <v>9</v>
      </c>
      <c r="K2" t="s">
        <v>19</v>
      </c>
      <c r="P2" t="str" cm="1">
        <f t="array" ref="P2">_xll.BDS("CEMB US Equity", "PRODUCT_ISIN", "INCLUDE_EXPIRED_CONTRACTS=Y", "REFERENCE_DATE=2023-07-06")</f>
        <v>#N/A Field Not Applicable</v>
      </c>
    </row>
    <row r="3" spans="1:16" x14ac:dyDescent="0.25">
      <c r="A3" s="3">
        <f>EOMONTH(B3,-1)+1</f>
        <v>44378</v>
      </c>
      <c r="B3" s="3">
        <v>44407</v>
      </c>
      <c r="C3" s="4">
        <v>79379.100000000006</v>
      </c>
      <c r="D3" s="4">
        <v>458.41300000000001</v>
      </c>
      <c r="E3" s="4">
        <v>1692.9</v>
      </c>
      <c r="F3" s="4">
        <v>16991.099999999999</v>
      </c>
      <c r="G3" s="4">
        <v>30418.2</v>
      </c>
      <c r="H3" s="4">
        <v>29088.9</v>
      </c>
      <c r="I3" s="4">
        <v>99.344999999999999</v>
      </c>
      <c r="J3" s="4" t="s">
        <v>21</v>
      </c>
      <c r="K3" s="4">
        <v>20742.3</v>
      </c>
    </row>
    <row r="4" spans="1:16" x14ac:dyDescent="0.25">
      <c r="A4" s="3">
        <f t="shared" ref="A4:A26" si="0">EOMONTH(B4,-1)+1</f>
        <v>44409</v>
      </c>
      <c r="B4" s="3">
        <f>EOMONTH(B3,1)</f>
        <v>44439</v>
      </c>
      <c r="C4" s="4">
        <v>80484.2</v>
      </c>
      <c r="D4" s="4">
        <v>481.29</v>
      </c>
      <c r="E4" s="4">
        <v>1479.5</v>
      </c>
      <c r="F4" s="4">
        <v>17360.5</v>
      </c>
      <c r="G4" s="4">
        <v>30895.7</v>
      </c>
      <c r="H4" s="4">
        <v>30692.5</v>
      </c>
      <c r="I4" s="4">
        <v>95.424000000000007</v>
      </c>
      <c r="J4" s="4" t="s">
        <v>21</v>
      </c>
      <c r="K4" s="4">
        <v>21124.6</v>
      </c>
    </row>
    <row r="5" spans="1:16" x14ac:dyDescent="0.25">
      <c r="A5" s="3">
        <f t="shared" si="0"/>
        <v>44440</v>
      </c>
      <c r="B5" s="3">
        <f t="shared" ref="B5:B26" si="1">EOMONTH(B4,1)</f>
        <v>44469</v>
      </c>
      <c r="C5" s="4">
        <v>78521.7</v>
      </c>
      <c r="D5" s="4">
        <v>498.048</v>
      </c>
      <c r="E5" s="4">
        <v>1280.56</v>
      </c>
      <c r="F5" s="4">
        <v>16147.1</v>
      </c>
      <c r="G5" s="4">
        <v>29699</v>
      </c>
      <c r="H5" s="4">
        <v>31116.9</v>
      </c>
      <c r="I5" s="4">
        <v>109.413</v>
      </c>
      <c r="J5" s="4" t="s">
        <v>21</v>
      </c>
      <c r="K5" s="4">
        <v>20030.900000000001</v>
      </c>
    </row>
    <row r="6" spans="1:16" x14ac:dyDescent="0.25">
      <c r="A6" s="3">
        <f t="shared" si="0"/>
        <v>44470</v>
      </c>
      <c r="B6" s="3">
        <f>EOMONTH(B5,1)-3</f>
        <v>44497</v>
      </c>
      <c r="C6" s="4">
        <v>80403.3</v>
      </c>
      <c r="D6" s="4">
        <v>520.50400000000002</v>
      </c>
      <c r="E6" s="4">
        <v>1233.1199999999999</v>
      </c>
      <c r="F6" s="4">
        <v>17191.7</v>
      </c>
      <c r="G6" s="4">
        <v>30459.5</v>
      </c>
      <c r="H6" s="4">
        <v>32508.5</v>
      </c>
      <c r="I6" s="4">
        <v>119.33</v>
      </c>
      <c r="J6" s="4" t="s">
        <v>21</v>
      </c>
      <c r="K6" s="4">
        <v>19725.5</v>
      </c>
    </row>
    <row r="7" spans="1:16" x14ac:dyDescent="0.25">
      <c r="A7" s="3">
        <f t="shared" si="0"/>
        <v>44501</v>
      </c>
      <c r="B7" s="3">
        <f t="shared" si="1"/>
        <v>44530</v>
      </c>
      <c r="C7" s="4">
        <v>76436.600000000006</v>
      </c>
      <c r="D7" s="4">
        <v>513.68600000000004</v>
      </c>
      <c r="E7" s="4">
        <v>1171.6600000000001</v>
      </c>
      <c r="F7" s="4">
        <v>16748.900000000001</v>
      </c>
      <c r="G7" s="4">
        <v>28791.200000000001</v>
      </c>
      <c r="H7" s="4">
        <v>34046.9</v>
      </c>
      <c r="I7" s="4">
        <v>137.47200000000001</v>
      </c>
      <c r="J7" s="4">
        <v>8.2614999999999998</v>
      </c>
      <c r="K7" s="4">
        <v>19086.7</v>
      </c>
    </row>
    <row r="8" spans="1:16" x14ac:dyDescent="0.25">
      <c r="A8" s="3">
        <f t="shared" si="0"/>
        <v>44531</v>
      </c>
      <c r="B8" s="3">
        <f>EOMONTH(B7,1)-1</f>
        <v>44560</v>
      </c>
      <c r="C8" s="4">
        <v>76839.199999999997</v>
      </c>
      <c r="D8" s="4">
        <v>548.46500000000003</v>
      </c>
      <c r="E8" s="4">
        <v>822.85</v>
      </c>
      <c r="F8" s="4">
        <v>17651.3</v>
      </c>
      <c r="G8" s="4">
        <v>29071.1</v>
      </c>
      <c r="H8" s="4">
        <v>34296.6</v>
      </c>
      <c r="I8" s="4">
        <v>159.05500000000001</v>
      </c>
      <c r="J8" s="4">
        <v>8.4563000000000006</v>
      </c>
      <c r="K8" s="4">
        <v>19971.8</v>
      </c>
    </row>
    <row r="9" spans="1:16" x14ac:dyDescent="0.25">
      <c r="A9" s="3">
        <f t="shared" si="0"/>
        <v>44562</v>
      </c>
      <c r="B9" s="3">
        <f t="shared" si="1"/>
        <v>44592</v>
      </c>
      <c r="C9" s="4">
        <v>76429.2</v>
      </c>
      <c r="D9" s="4">
        <v>543.91</v>
      </c>
      <c r="E9" s="4">
        <v>1057</v>
      </c>
      <c r="F9" s="4">
        <v>18538.099999999999</v>
      </c>
      <c r="G9" s="4">
        <v>28923</v>
      </c>
      <c r="H9" s="4">
        <v>32998.800000000003</v>
      </c>
      <c r="I9" s="4">
        <v>212.398</v>
      </c>
      <c r="J9" s="4">
        <v>9.6349999999999998</v>
      </c>
      <c r="K9" s="4">
        <v>18399.3</v>
      </c>
    </row>
    <row r="10" spans="1:16" x14ac:dyDescent="0.25">
      <c r="A10" s="3">
        <f t="shared" si="0"/>
        <v>44593</v>
      </c>
      <c r="B10" s="3">
        <f t="shared" si="1"/>
        <v>44620</v>
      </c>
      <c r="C10" s="4">
        <v>73414.600000000006</v>
      </c>
      <c r="D10" s="4">
        <v>497.56400000000002</v>
      </c>
      <c r="E10" s="4">
        <v>1311.38</v>
      </c>
      <c r="F10" s="4">
        <v>18518.900000000001</v>
      </c>
      <c r="G10" s="4">
        <v>27673.5</v>
      </c>
      <c r="H10" s="4">
        <v>32857</v>
      </c>
      <c r="I10" s="4">
        <v>207.298</v>
      </c>
      <c r="J10" s="4">
        <v>9.9629999999999992</v>
      </c>
      <c r="K10" s="4">
        <v>16268.8</v>
      </c>
    </row>
    <row r="11" spans="1:16" x14ac:dyDescent="0.25">
      <c r="A11" s="3">
        <f t="shared" si="0"/>
        <v>44621</v>
      </c>
      <c r="B11" s="3">
        <f t="shared" si="1"/>
        <v>44651</v>
      </c>
      <c r="C11" s="4">
        <v>73559.3</v>
      </c>
      <c r="D11" s="4">
        <v>368.88</v>
      </c>
      <c r="E11" s="4">
        <v>1739.83</v>
      </c>
      <c r="F11" s="4">
        <v>19197.7</v>
      </c>
      <c r="G11" s="4">
        <v>28464.799999999999</v>
      </c>
      <c r="H11" s="4">
        <v>35435.599999999999</v>
      </c>
      <c r="I11" s="4">
        <v>254.82</v>
      </c>
      <c r="J11" s="4">
        <v>10.9777</v>
      </c>
      <c r="K11" s="4">
        <v>16726.7</v>
      </c>
    </row>
    <row r="12" spans="1:16" x14ac:dyDescent="0.25">
      <c r="A12" s="3">
        <f t="shared" si="0"/>
        <v>44652</v>
      </c>
      <c r="B12" s="3">
        <f>EOMONTH(B11,1)-2</f>
        <v>44679</v>
      </c>
      <c r="C12" s="4">
        <v>69468.399999999994</v>
      </c>
      <c r="D12" s="4">
        <v>334.25799999999998</v>
      </c>
      <c r="E12" s="4">
        <v>1528.92</v>
      </c>
      <c r="F12" s="4">
        <v>18387.8</v>
      </c>
      <c r="G12" s="4">
        <v>27650.1</v>
      </c>
      <c r="H12" s="4">
        <v>34664</v>
      </c>
      <c r="I12" s="4">
        <v>178.24799999999999</v>
      </c>
      <c r="J12" s="4">
        <v>9.8221000000000007</v>
      </c>
      <c r="K12" s="4">
        <v>15300.5</v>
      </c>
    </row>
    <row r="13" spans="1:16" x14ac:dyDescent="0.25">
      <c r="A13" s="3">
        <f t="shared" si="0"/>
        <v>44682</v>
      </c>
      <c r="B13" s="3">
        <f t="shared" si="1"/>
        <v>44712</v>
      </c>
      <c r="C13" s="4">
        <v>70054.8</v>
      </c>
      <c r="D13" s="4">
        <v>330.85399999999998</v>
      </c>
      <c r="E13" s="4">
        <v>1613.4</v>
      </c>
      <c r="F13" s="4">
        <v>18114.7</v>
      </c>
      <c r="G13" s="4">
        <v>27861</v>
      </c>
      <c r="H13" s="4">
        <v>34292.199999999997</v>
      </c>
      <c r="I13" s="4">
        <v>133.12799999999999</v>
      </c>
      <c r="J13" s="4">
        <v>9.1046999999999993</v>
      </c>
      <c r="K13" s="4">
        <v>15549</v>
      </c>
    </row>
    <row r="14" spans="1:16" x14ac:dyDescent="0.25">
      <c r="A14" s="3">
        <f t="shared" si="0"/>
        <v>44713</v>
      </c>
      <c r="B14" s="3">
        <f t="shared" si="1"/>
        <v>44742</v>
      </c>
      <c r="C14" s="4">
        <v>65583.399999999994</v>
      </c>
      <c r="D14" s="4">
        <v>316.94200000000001</v>
      </c>
      <c r="E14" s="4">
        <v>1143.9000000000001</v>
      </c>
      <c r="F14" s="4">
        <v>16962.599999999999</v>
      </c>
      <c r="G14" s="4">
        <v>26147.200000000001</v>
      </c>
      <c r="H14" s="4">
        <v>32909.800000000003</v>
      </c>
      <c r="I14" s="4">
        <v>117.392</v>
      </c>
      <c r="J14" s="4">
        <v>7.9928999999999997</v>
      </c>
      <c r="K14" s="4">
        <v>14009.5</v>
      </c>
    </row>
    <row r="15" spans="1:16" x14ac:dyDescent="0.25">
      <c r="A15" s="3">
        <f t="shared" si="0"/>
        <v>44743</v>
      </c>
      <c r="B15" s="3">
        <f>EOMONTH(B14,1)-4</f>
        <v>44769</v>
      </c>
      <c r="C15" s="4">
        <v>65503.199999999997</v>
      </c>
      <c r="D15" s="4">
        <v>301.95150000000001</v>
      </c>
      <c r="E15" s="4">
        <v>1009.785</v>
      </c>
      <c r="F15" s="4">
        <v>17763.27</v>
      </c>
      <c r="G15" s="4">
        <v>26068.958999999999</v>
      </c>
      <c r="H15" s="4">
        <v>34808.895199999999</v>
      </c>
      <c r="I15" s="4">
        <v>118.53400000000001</v>
      </c>
      <c r="J15" s="4">
        <v>7.74</v>
      </c>
      <c r="K15" s="4">
        <v>15044.128000000001</v>
      </c>
    </row>
    <row r="16" spans="1:16" x14ac:dyDescent="0.25">
      <c r="A16" s="3">
        <f t="shared" si="0"/>
        <v>44774</v>
      </c>
      <c r="B16" s="3">
        <f t="shared" si="1"/>
        <v>44804</v>
      </c>
      <c r="C16" s="4">
        <v>64839.48</v>
      </c>
      <c r="D16" s="4">
        <v>304.01</v>
      </c>
      <c r="E16" s="4">
        <v>1057.4849999999999</v>
      </c>
      <c r="F16" s="4">
        <v>17231.54</v>
      </c>
      <c r="G16" s="4">
        <v>25710.3315</v>
      </c>
      <c r="H16" s="4">
        <v>36239.7526</v>
      </c>
      <c r="I16" s="4">
        <v>127.2</v>
      </c>
      <c r="J16" s="4">
        <v>7.8583999999999996</v>
      </c>
      <c r="K16" s="4">
        <v>15422.24</v>
      </c>
    </row>
    <row r="17" spans="1:11" x14ac:dyDescent="0.25">
      <c r="A17" s="3">
        <f t="shared" si="0"/>
        <v>44805</v>
      </c>
      <c r="B17" s="3">
        <f t="shared" si="1"/>
        <v>44834</v>
      </c>
      <c r="C17" s="4">
        <v>56398.356</v>
      </c>
      <c r="D17" s="4">
        <v>289.24</v>
      </c>
      <c r="E17" s="4">
        <v>984.38</v>
      </c>
      <c r="F17" s="4">
        <v>14351.852000000001</v>
      </c>
      <c r="G17" s="4">
        <v>20687.328000000001</v>
      </c>
      <c r="H17" s="4">
        <v>34956.469400000002</v>
      </c>
      <c r="I17" s="4">
        <v>112.884</v>
      </c>
      <c r="J17" s="4">
        <v>7.7853000000000003</v>
      </c>
      <c r="K17" s="4">
        <v>13347.14</v>
      </c>
    </row>
    <row r="18" spans="1:11" x14ac:dyDescent="0.25">
      <c r="A18" s="3">
        <f t="shared" si="0"/>
        <v>44835</v>
      </c>
      <c r="B18" s="3">
        <f t="shared" si="1"/>
        <v>44865</v>
      </c>
      <c r="C18" s="4">
        <v>56079.87</v>
      </c>
      <c r="D18" s="4">
        <v>284.923</v>
      </c>
      <c r="E18" s="4">
        <v>1100.75</v>
      </c>
      <c r="F18" s="4">
        <v>15577.314</v>
      </c>
      <c r="G18" s="4">
        <v>19770.3675</v>
      </c>
      <c r="H18" s="4">
        <v>36059.462599999999</v>
      </c>
      <c r="I18" s="4">
        <v>119.52849999999999</v>
      </c>
      <c r="J18" s="4">
        <v>8.1823999999999995</v>
      </c>
      <c r="K18" s="4">
        <v>13618.14</v>
      </c>
    </row>
    <row r="19" spans="1:11" x14ac:dyDescent="0.25">
      <c r="A19" s="3">
        <f t="shared" si="0"/>
        <v>44866</v>
      </c>
      <c r="B19" s="3">
        <f t="shared" si="1"/>
        <v>44895</v>
      </c>
      <c r="C19" s="4">
        <v>65264.639999999999</v>
      </c>
      <c r="D19" s="4">
        <v>295.66500000000002</v>
      </c>
      <c r="E19" s="4">
        <v>1098.3</v>
      </c>
      <c r="F19" s="4">
        <v>18543.756000000001</v>
      </c>
      <c r="G19" s="4">
        <v>23563.8</v>
      </c>
      <c r="H19" s="4">
        <v>36453.830099999999</v>
      </c>
      <c r="I19" s="4">
        <v>124.65600000000001</v>
      </c>
      <c r="J19" s="4">
        <v>28.621300000000002</v>
      </c>
      <c r="K19" s="4">
        <v>14684.457</v>
      </c>
    </row>
    <row r="20" spans="1:11" x14ac:dyDescent="0.25">
      <c r="A20" s="3">
        <f t="shared" si="0"/>
        <v>44896</v>
      </c>
      <c r="B20" s="3">
        <f>EOMONTH(B19,1)-2</f>
        <v>44924</v>
      </c>
      <c r="C20" s="4">
        <v>64063.188000000002</v>
      </c>
      <c r="D20" s="4">
        <v>295.87200000000001</v>
      </c>
      <c r="E20" s="4">
        <v>906.28250000000003</v>
      </c>
      <c r="F20" s="4">
        <v>18273.46</v>
      </c>
      <c r="G20" s="4">
        <v>23190.583500000001</v>
      </c>
      <c r="H20" s="4">
        <v>36257.818299999999</v>
      </c>
      <c r="I20" s="4">
        <v>112.008</v>
      </c>
      <c r="J20" s="4">
        <v>28.522200000000002</v>
      </c>
      <c r="K20" s="4">
        <v>14655.724</v>
      </c>
    </row>
    <row r="21" spans="1:11" x14ac:dyDescent="0.25">
      <c r="A21" s="3">
        <f t="shared" si="0"/>
        <v>44927</v>
      </c>
      <c r="B21" s="3">
        <f>EOMONTH(B20,1)-1</f>
        <v>44956</v>
      </c>
      <c r="C21" s="4">
        <v>71989.440000000002</v>
      </c>
      <c r="D21" s="4">
        <v>315.315</v>
      </c>
      <c r="E21" s="4">
        <v>991.45</v>
      </c>
      <c r="F21" s="4">
        <v>19371.941999999999</v>
      </c>
      <c r="G21" s="4">
        <v>26430.592499999999</v>
      </c>
      <c r="H21" s="4">
        <v>38212.876799999998</v>
      </c>
      <c r="I21" s="4">
        <v>125.226</v>
      </c>
      <c r="J21" s="4">
        <v>50.937600000000003</v>
      </c>
      <c r="K21" s="4">
        <v>17539.740000000002</v>
      </c>
    </row>
    <row r="22" spans="1:11" x14ac:dyDescent="0.25">
      <c r="A22" s="3">
        <f t="shared" si="0"/>
        <v>44958</v>
      </c>
      <c r="B22" s="3">
        <f t="shared" si="1"/>
        <v>44985</v>
      </c>
      <c r="C22" s="4">
        <v>67786.259999999995</v>
      </c>
      <c r="D22" s="4">
        <v>328.09199999999998</v>
      </c>
      <c r="E22" s="4">
        <v>980.51250000000005</v>
      </c>
      <c r="F22" s="4">
        <v>18543.844000000001</v>
      </c>
      <c r="G22" s="4">
        <v>24377.359499999999</v>
      </c>
      <c r="H22" s="4">
        <v>38660.8269</v>
      </c>
      <c r="I22" s="4">
        <v>123.42</v>
      </c>
      <c r="J22" s="4">
        <v>48.517299999999999</v>
      </c>
      <c r="K22" s="4">
        <v>15189.768</v>
      </c>
    </row>
    <row r="23" spans="1:11" x14ac:dyDescent="0.25">
      <c r="A23" s="3">
        <f t="shared" si="0"/>
        <v>44986</v>
      </c>
      <c r="B23" s="3">
        <f t="shared" si="1"/>
        <v>45016</v>
      </c>
      <c r="C23" s="4">
        <v>69847.763999999996</v>
      </c>
      <c r="D23" s="4">
        <v>359.37</v>
      </c>
      <c r="E23" s="4">
        <v>1002.54</v>
      </c>
      <c r="F23" s="4">
        <v>18578.407999999999</v>
      </c>
      <c r="G23" s="4">
        <v>24664.473000000002</v>
      </c>
      <c r="H23" s="4">
        <v>39374.152399999999</v>
      </c>
      <c r="I23" s="4">
        <v>126.492</v>
      </c>
      <c r="J23" s="4">
        <v>50.1188</v>
      </c>
      <c r="K23" s="4">
        <v>14788.392</v>
      </c>
    </row>
    <row r="24" spans="1:11" x14ac:dyDescent="0.25">
      <c r="A24" s="3">
        <f t="shared" si="0"/>
        <v>45017</v>
      </c>
      <c r="B24" s="3">
        <f>EOMONTH(B23,1)-2</f>
        <v>45044</v>
      </c>
      <c r="C24" s="4">
        <v>69547.127999999997</v>
      </c>
      <c r="D24" s="4">
        <v>382.98750000000001</v>
      </c>
      <c r="E24" s="4">
        <v>1008.19</v>
      </c>
      <c r="F24" s="4">
        <v>17592.099999999999</v>
      </c>
      <c r="G24" s="4">
        <v>24458.2065</v>
      </c>
      <c r="H24" s="4">
        <v>40005.126799999998</v>
      </c>
      <c r="I24" s="4">
        <v>128.733</v>
      </c>
      <c r="J24" s="4">
        <v>52.554499999999997</v>
      </c>
      <c r="K24" s="4">
        <v>15188.245000000001</v>
      </c>
    </row>
    <row r="25" spans="1:11" x14ac:dyDescent="0.25">
      <c r="A25" s="3">
        <f t="shared" si="0"/>
        <v>45047</v>
      </c>
      <c r="B25" s="3">
        <f t="shared" si="1"/>
        <v>45077</v>
      </c>
      <c r="C25" s="4">
        <v>68115.528000000006</v>
      </c>
      <c r="D25" s="4">
        <v>431.5</v>
      </c>
      <c r="E25" s="4">
        <v>1016.4</v>
      </c>
      <c r="F25" s="4">
        <v>16839.756000000001</v>
      </c>
      <c r="G25" s="4">
        <v>23320.7235</v>
      </c>
      <c r="H25" s="4">
        <v>40593.657899999998</v>
      </c>
      <c r="I25" s="4">
        <v>113.30549999999999</v>
      </c>
      <c r="J25" s="4">
        <v>61.4358</v>
      </c>
      <c r="K25" s="4">
        <v>14404.121999999999</v>
      </c>
    </row>
    <row r="26" spans="1:11" x14ac:dyDescent="0.25">
      <c r="A26" s="3">
        <f t="shared" si="0"/>
        <v>45078</v>
      </c>
      <c r="B26" s="3">
        <f t="shared" si="1"/>
        <v>45107</v>
      </c>
      <c r="C26" s="4">
        <v>71273.34</v>
      </c>
      <c r="D26" s="4">
        <v>442.37400000000002</v>
      </c>
      <c r="E26" s="4">
        <v>1256.6125</v>
      </c>
      <c r="F26" s="4">
        <v>17806.464</v>
      </c>
      <c r="G26" s="4">
        <v>23480.838</v>
      </c>
      <c r="H26" s="4">
        <v>42955.552799999998</v>
      </c>
      <c r="I26" s="4">
        <v>108.8075</v>
      </c>
      <c r="J26" s="4">
        <v>66.06</v>
      </c>
      <c r="K26" s="4">
        <v>15101.23</v>
      </c>
    </row>
    <row r="27" spans="1:11" x14ac:dyDescent="0.25">
      <c r="A27" s="3">
        <v>45108</v>
      </c>
      <c r="B27" s="3">
        <v>45138</v>
      </c>
      <c r="C27" s="4">
        <v>75743.945999999996</v>
      </c>
      <c r="D27" s="4">
        <v>444.21</v>
      </c>
      <c r="E27" s="4">
        <v>1544.4974999999999</v>
      </c>
      <c r="F27" s="4">
        <v>18446.784</v>
      </c>
      <c r="G27" s="4">
        <v>24899.422500000001</v>
      </c>
      <c r="H27" s="4">
        <v>44465.0507</v>
      </c>
      <c r="I27" s="4">
        <v>115.09</v>
      </c>
      <c r="J27" s="4">
        <v>69.209599999999995</v>
      </c>
      <c r="K27" s="4">
        <v>16062.976000000001</v>
      </c>
    </row>
    <row r="28" spans="1:11" x14ac:dyDescent="0.25">
      <c r="A28" s="3">
        <v>45139</v>
      </c>
      <c r="B28" s="3">
        <v>45169</v>
      </c>
      <c r="C28" s="4">
        <v>71146.812000000005</v>
      </c>
      <c r="D28" s="4">
        <v>429.3</v>
      </c>
      <c r="E28" s="4">
        <v>1449.105</v>
      </c>
      <c r="F28" s="4">
        <v>17910.400000000001</v>
      </c>
      <c r="G28" s="4">
        <v>21310.4385</v>
      </c>
      <c r="H28" s="4">
        <v>44663.6633</v>
      </c>
      <c r="I28" s="4">
        <v>104.0975</v>
      </c>
      <c r="J28" s="4">
        <v>65.636300000000006</v>
      </c>
      <c r="K28" s="4">
        <v>14520.968000000001</v>
      </c>
    </row>
    <row r="29" spans="1:11" x14ac:dyDescent="0.25">
      <c r="A29" s="3">
        <v>45170</v>
      </c>
      <c r="B29" s="3">
        <v>45198</v>
      </c>
      <c r="C29" s="4">
        <v>69015.017999999996</v>
      </c>
      <c r="D29" s="4">
        <v>422.9</v>
      </c>
      <c r="E29" s="4">
        <v>1412.19</v>
      </c>
      <c r="F29" s="4">
        <v>17143.871999999999</v>
      </c>
      <c r="G29" s="4">
        <v>18870.637500000001</v>
      </c>
      <c r="H29" s="4">
        <v>45548.641499999998</v>
      </c>
      <c r="I29" s="4">
        <v>98.084999999999994</v>
      </c>
      <c r="J29" s="4">
        <v>67.305999999999997</v>
      </c>
      <c r="K29" s="4">
        <v>13640.556</v>
      </c>
    </row>
    <row r="30" spans="1:11" x14ac:dyDescent="0.25">
      <c r="A30" s="3">
        <v>45200</v>
      </c>
      <c r="B30" s="3">
        <v>45230</v>
      </c>
      <c r="C30" s="4">
        <v>66567.06</v>
      </c>
      <c r="D30" s="4">
        <v>414.9</v>
      </c>
      <c r="E30" s="4">
        <v>1339.2</v>
      </c>
      <c r="F30" s="4">
        <v>16707.712</v>
      </c>
      <c r="G30" s="4">
        <v>15986.52</v>
      </c>
      <c r="H30" s="4">
        <v>44475.684399999998</v>
      </c>
      <c r="I30" s="4">
        <v>87.992500000000007</v>
      </c>
      <c r="J30" s="4">
        <v>63.526200000000003</v>
      </c>
      <c r="K30" s="4">
        <v>12178.5</v>
      </c>
    </row>
    <row r="31" spans="1:11" x14ac:dyDescent="0.25">
      <c r="A31" s="3">
        <v>45231</v>
      </c>
      <c r="B31" s="3">
        <v>45260</v>
      </c>
      <c r="C31" s="4">
        <v>71823.69</v>
      </c>
      <c r="D31" s="4">
        <v>408.21499999999997</v>
      </c>
      <c r="E31" s="4">
        <v>1658.4075</v>
      </c>
      <c r="F31" s="4">
        <v>18192.511999999999</v>
      </c>
      <c r="G31" s="4">
        <v>16947.504000000001</v>
      </c>
      <c r="H31" s="4">
        <v>47254.996700000003</v>
      </c>
      <c r="I31" s="4">
        <v>90.328999999999994</v>
      </c>
      <c r="J31" s="4">
        <v>64.303200000000004</v>
      </c>
      <c r="K31" s="4">
        <v>14864.097</v>
      </c>
    </row>
    <row r="32" spans="1:11" x14ac:dyDescent="0.25">
      <c r="A32" s="3">
        <v>45261</v>
      </c>
      <c r="B32" s="3">
        <v>45289</v>
      </c>
      <c r="C32" s="4">
        <v>74747.123999999996</v>
      </c>
      <c r="D32" s="4">
        <v>410.40899999999999</v>
      </c>
      <c r="E32" s="4">
        <v>1859.84</v>
      </c>
      <c r="F32" s="4">
        <v>19051.344000000001</v>
      </c>
      <c r="G32" s="4">
        <v>17841.177</v>
      </c>
      <c r="H32" s="4">
        <v>50089.503599999996</v>
      </c>
      <c r="I32" s="4">
        <v>99.701999999999998</v>
      </c>
      <c r="J32" s="4">
        <v>80.764099999999999</v>
      </c>
      <c r="K32" s="4">
        <v>16529.536</v>
      </c>
    </row>
    <row r="33" spans="1:11" x14ac:dyDescent="0.25">
      <c r="A33" s="3">
        <v>45292</v>
      </c>
      <c r="B33" s="3">
        <v>45322</v>
      </c>
      <c r="C33" s="4">
        <v>71599.41</v>
      </c>
      <c r="D33" s="4">
        <v>412.6155</v>
      </c>
      <c r="E33" s="4">
        <v>1718.5025000000001</v>
      </c>
      <c r="F33" s="4">
        <v>18552.689999999999</v>
      </c>
      <c r="G33" s="4">
        <v>16999.092000000001</v>
      </c>
      <c r="H33" s="4">
        <v>51900.621400000004</v>
      </c>
      <c r="I33" s="4">
        <v>92.576300000000003</v>
      </c>
      <c r="J33" s="4">
        <v>83.915999999999997</v>
      </c>
      <c r="K33" s="4">
        <v>15326.116</v>
      </c>
    </row>
    <row r="34" spans="1:11" x14ac:dyDescent="0.25">
      <c r="A34" s="3">
        <v>45323</v>
      </c>
      <c r="B34" s="3">
        <v>45351</v>
      </c>
      <c r="C34" s="4">
        <v>74392.452000000005</v>
      </c>
      <c r="D34" s="4">
        <v>420.09</v>
      </c>
      <c r="E34" s="4">
        <v>1755.625</v>
      </c>
      <c r="F34" s="4">
        <v>18962.37</v>
      </c>
      <c r="G34" s="4">
        <v>17707.572</v>
      </c>
      <c r="H34" s="4">
        <v>55147.271399999998</v>
      </c>
      <c r="I34" s="4">
        <v>96.665499999999994</v>
      </c>
      <c r="J34" s="4" t="s">
        <v>21</v>
      </c>
      <c r="K34" s="4">
        <v>14428.22</v>
      </c>
    </row>
    <row r="35" spans="1:11" x14ac:dyDescent="0.25">
      <c r="A35" s="3">
        <v>45352</v>
      </c>
      <c r="B35" s="3">
        <v>45379</v>
      </c>
      <c r="C35" s="4">
        <v>76254.48</v>
      </c>
      <c r="D35" s="4">
        <v>431.45600000000002</v>
      </c>
      <c r="E35" s="4">
        <v>1727.73</v>
      </c>
      <c r="F35" s="4">
        <v>19581.114000000001</v>
      </c>
      <c r="G35" s="4">
        <v>18190.223999999998</v>
      </c>
      <c r="H35" s="4">
        <v>57493.537100000001</v>
      </c>
      <c r="I35" s="4">
        <v>109.676</v>
      </c>
      <c r="J35" s="4" t="s">
        <v>21</v>
      </c>
      <c r="K35" s="4">
        <v>13629.84</v>
      </c>
    </row>
    <row r="36" spans="1:11" x14ac:dyDescent="0.25">
      <c r="A36" s="3">
        <v>45383</v>
      </c>
      <c r="B36" s="3">
        <v>45408</v>
      </c>
      <c r="C36" s="4">
        <v>76550.039999999994</v>
      </c>
      <c r="D36" s="4">
        <v>424.18099999999998</v>
      </c>
      <c r="E36" s="4">
        <v>1568.44</v>
      </c>
      <c r="F36" s="4">
        <v>17932.46</v>
      </c>
      <c r="G36" s="4">
        <v>17211.1185</v>
      </c>
      <c r="H36" s="4">
        <v>57011.643100000001</v>
      </c>
      <c r="I36" s="4">
        <v>115.0526</v>
      </c>
      <c r="J36" s="4">
        <v>83.523200000000003</v>
      </c>
      <c r="K36" s="4">
        <v>13912.468000000001</v>
      </c>
    </row>
    <row r="37" spans="1:11" x14ac:dyDescent="0.25">
      <c r="A37" s="3">
        <v>45413</v>
      </c>
      <c r="B37" s="3">
        <v>45443</v>
      </c>
      <c r="C37" s="4">
        <v>77717.501999999993</v>
      </c>
      <c r="D37" s="4">
        <v>427.88099999999997</v>
      </c>
      <c r="E37" s="4">
        <v>1522.125</v>
      </c>
      <c r="F37" s="4">
        <v>18550.36</v>
      </c>
      <c r="G37" s="4">
        <v>18636.250499999998</v>
      </c>
      <c r="H37" s="4">
        <v>57688.018499999998</v>
      </c>
      <c r="I37" s="4">
        <v>127.16500000000001</v>
      </c>
      <c r="J37" s="4">
        <v>109.22799999999999</v>
      </c>
      <c r="K37" s="4">
        <v>14835.73</v>
      </c>
    </row>
    <row r="38" spans="1:11" x14ac:dyDescent="0.25">
      <c r="A38" s="3">
        <v>45444</v>
      </c>
      <c r="B38" s="3">
        <v>45471</v>
      </c>
      <c r="C38" s="4">
        <v>79106.634000000005</v>
      </c>
      <c r="D38" s="4">
        <v>427.495</v>
      </c>
      <c r="E38" s="4">
        <v>1367.99</v>
      </c>
      <c r="F38" s="4">
        <v>18838.240000000002</v>
      </c>
      <c r="G38" s="4">
        <v>18993.0105</v>
      </c>
      <c r="H38" s="4">
        <v>60948.170899999997</v>
      </c>
      <c r="I38" s="4">
        <v>118.6785</v>
      </c>
      <c r="J38" s="4">
        <v>103.252</v>
      </c>
      <c r="K38" s="4">
        <v>14802.704</v>
      </c>
    </row>
    <row r="39" spans="1:11" x14ac:dyDescent="0.25">
      <c r="A39" s="3">
        <v>45474</v>
      </c>
      <c r="B39" s="3">
        <v>45504</v>
      </c>
      <c r="C39" s="4">
        <v>79615.44</v>
      </c>
      <c r="D39" s="4">
        <v>431.32799999999997</v>
      </c>
      <c r="E39" s="4">
        <v>1364</v>
      </c>
      <c r="F39" s="4">
        <v>18215.148000000001</v>
      </c>
      <c r="G39" s="4">
        <v>19076.2425</v>
      </c>
      <c r="H39" s="4">
        <v>60971.9277</v>
      </c>
      <c r="I39" s="4">
        <v>123.36</v>
      </c>
      <c r="J39" s="4">
        <v>104.248</v>
      </c>
      <c r="K39" s="4">
        <v>15340.32</v>
      </c>
    </row>
    <row r="40" spans="1:11" x14ac:dyDescent="0.25">
      <c r="A40" s="3">
        <v>45505</v>
      </c>
      <c r="B40" s="3">
        <v>45534</v>
      </c>
      <c r="C40" s="4">
        <v>80121.551999999996</v>
      </c>
      <c r="D40" s="4">
        <v>427.88799999999998</v>
      </c>
      <c r="E40" s="4">
        <v>1387.2550000000001</v>
      </c>
      <c r="F40" s="4">
        <v>18670.008000000002</v>
      </c>
      <c r="G40" s="4">
        <v>17662.432499999999</v>
      </c>
      <c r="H40" s="4">
        <v>62084.066500000001</v>
      </c>
      <c r="I40" s="4">
        <v>79.325999999999993</v>
      </c>
      <c r="J40" s="4" t="s">
        <v>21</v>
      </c>
      <c r="K40" s="4">
        <v>15905.67</v>
      </c>
    </row>
    <row r="41" spans="1:11" x14ac:dyDescent="0.25">
      <c r="A41" s="3">
        <v>45536</v>
      </c>
      <c r="B41" s="3">
        <v>45565</v>
      </c>
      <c r="C41" s="4">
        <v>84840.498000000007</v>
      </c>
      <c r="D41" s="4">
        <v>441.6</v>
      </c>
      <c r="E41" s="4">
        <v>1386.1849999999999</v>
      </c>
      <c r="F41" s="4">
        <v>19391.009999999998</v>
      </c>
      <c r="G41" s="4">
        <v>18676.485000000001</v>
      </c>
      <c r="H41" s="4">
        <v>63295.294999999998</v>
      </c>
      <c r="I41" s="4">
        <v>82.042000000000002</v>
      </c>
      <c r="J41" s="4">
        <v>104.87220000000001</v>
      </c>
      <c r="K41" s="4">
        <v>16030.254000000001</v>
      </c>
    </row>
    <row r="42" spans="1:11" x14ac:dyDescent="0.25">
      <c r="A42" s="3">
        <v>45566</v>
      </c>
      <c r="B42" s="3">
        <v>45596</v>
      </c>
      <c r="C42" s="4">
        <v>82195.236000000004</v>
      </c>
      <c r="D42" s="4">
        <v>444.53050000000002</v>
      </c>
      <c r="E42" s="4">
        <v>1309.95</v>
      </c>
      <c r="F42" s="4">
        <v>18985.509999999998</v>
      </c>
      <c r="G42" s="4">
        <v>18102.262500000001</v>
      </c>
      <c r="H42" s="4">
        <v>65934.691500000001</v>
      </c>
      <c r="I42" s="4">
        <v>82.802000000000007</v>
      </c>
      <c r="J42" s="4">
        <v>105.6442</v>
      </c>
      <c r="K42" s="4">
        <v>14847.236000000001</v>
      </c>
    </row>
    <row r="43" spans="1:11" x14ac:dyDescent="0.25">
      <c r="A43" s="3">
        <v>45597</v>
      </c>
      <c r="B43" s="3">
        <v>45625</v>
      </c>
      <c r="C43" s="4">
        <v>80650.350000000006</v>
      </c>
      <c r="D43" s="4">
        <v>430.01749999999998</v>
      </c>
      <c r="E43" s="4">
        <v>1262.7650000000001</v>
      </c>
      <c r="F43" s="4">
        <v>19751.094000000001</v>
      </c>
      <c r="G43" s="4">
        <v>17500.832999999999</v>
      </c>
      <c r="H43" s="4">
        <v>71815.607000000004</v>
      </c>
      <c r="I43" s="4">
        <v>76.751999999999995</v>
      </c>
      <c r="J43" s="4">
        <v>100.233</v>
      </c>
      <c r="K43" s="4">
        <v>14965.16</v>
      </c>
    </row>
    <row r="44" spans="1:11" x14ac:dyDescent="0.25">
      <c r="A44" s="3">
        <v>45627</v>
      </c>
      <c r="B44" s="3">
        <v>45657</v>
      </c>
      <c r="C44" s="4">
        <v>77797.356</v>
      </c>
      <c r="D44" s="4">
        <v>408.29599999999999</v>
      </c>
      <c r="E44" s="4">
        <v>1061.1824999999999</v>
      </c>
      <c r="F44" s="4">
        <v>19176</v>
      </c>
      <c r="G44" s="4">
        <v>16918.280999999999</v>
      </c>
      <c r="H44" s="4">
        <v>74066.890499999994</v>
      </c>
      <c r="I44" s="4">
        <v>71.301599999999993</v>
      </c>
      <c r="J44" s="4">
        <v>97.735500000000002</v>
      </c>
      <c r="K44" s="4">
        <v>13827.912</v>
      </c>
    </row>
    <row r="45" spans="1:11" x14ac:dyDescent="0.25">
      <c r="A45" s="3">
        <v>45658</v>
      </c>
      <c r="B45" s="3">
        <v>45688</v>
      </c>
      <c r="C45" s="4">
        <v>78944.501999999993</v>
      </c>
      <c r="D45" s="4">
        <v>405.44</v>
      </c>
      <c r="E45" s="4">
        <v>1159.48</v>
      </c>
      <c r="F45" s="4">
        <v>19584.304400000001</v>
      </c>
      <c r="G45" s="4">
        <v>15821.352000000001</v>
      </c>
      <c r="H45" s="4">
        <v>78652.526199999993</v>
      </c>
      <c r="I45" s="4">
        <v>70.489999999999995</v>
      </c>
      <c r="J45" s="4">
        <v>93.183599999999998</v>
      </c>
      <c r="K45" s="4">
        <v>13872.26</v>
      </c>
    </row>
    <row r="46" spans="1:11" x14ac:dyDescent="0.25">
      <c r="A46" s="3">
        <v>45689</v>
      </c>
      <c r="B46" s="3">
        <v>45716</v>
      </c>
      <c r="C46" s="4">
        <v>81410.495999999999</v>
      </c>
      <c r="D46" s="4">
        <v>406.5985</v>
      </c>
      <c r="E46" s="4">
        <v>1265.5999999999999</v>
      </c>
      <c r="F46" s="4">
        <v>19405.298299999999</v>
      </c>
      <c r="G46" s="4">
        <v>16372.269</v>
      </c>
      <c r="H46" s="4">
        <v>76894.575899999996</v>
      </c>
      <c r="I46" s="4">
        <v>71.647599999999997</v>
      </c>
      <c r="J46" s="4">
        <v>83.636600000000001</v>
      </c>
      <c r="K46" s="4">
        <v>14549.942999999999</v>
      </c>
    </row>
    <row r="47" spans="1:11" x14ac:dyDescent="0.25">
      <c r="A47" s="3">
        <v>45717</v>
      </c>
      <c r="B47" s="3">
        <v>45747</v>
      </c>
      <c r="C47" s="4">
        <v>83156.975999999995</v>
      </c>
      <c r="D47" s="4">
        <v>395.32499999999999</v>
      </c>
      <c r="E47" s="4">
        <v>1342.35</v>
      </c>
      <c r="F47" s="4">
        <v>18855.18</v>
      </c>
      <c r="G47" s="4">
        <v>16616.924999999999</v>
      </c>
      <c r="H47" s="4">
        <v>72757.459600000002</v>
      </c>
      <c r="I47" s="4">
        <v>136.059</v>
      </c>
      <c r="J47" s="4">
        <v>104.3334</v>
      </c>
      <c r="K47" s="4">
        <v>13833.093000000001</v>
      </c>
    </row>
    <row r="48" spans="1:11" x14ac:dyDescent="0.25">
      <c r="A48" s="3">
        <v>45748</v>
      </c>
      <c r="B48" s="3">
        <v>45777</v>
      </c>
      <c r="C48" s="4">
        <v>83465.135999999999</v>
      </c>
      <c r="D48" s="4">
        <v>371.34199999999998</v>
      </c>
      <c r="E48" s="4">
        <v>1568.7</v>
      </c>
      <c r="F48" s="4">
        <v>20239.27</v>
      </c>
      <c r="G48" s="4">
        <v>16482.204000000002</v>
      </c>
      <c r="H48" s="4">
        <v>72397.636899999998</v>
      </c>
      <c r="I48" s="4">
        <v>137.423</v>
      </c>
      <c r="J48" s="4">
        <v>93.887100000000004</v>
      </c>
      <c r="K48" s="4">
        <v>12774.32</v>
      </c>
    </row>
    <row r="49" spans="1:11" x14ac:dyDescent="0.25">
      <c r="A49" s="3">
        <v>45778</v>
      </c>
      <c r="B49" s="3">
        <v>45807</v>
      </c>
      <c r="C49" s="4">
        <v>87484.005900000004</v>
      </c>
      <c r="D49" s="4">
        <v>372.91899999999998</v>
      </c>
      <c r="E49" s="4">
        <v>1706.4</v>
      </c>
      <c r="F49" s="4">
        <v>21391.4503</v>
      </c>
      <c r="G49" s="4">
        <v>17145.108199999999</v>
      </c>
      <c r="H49" s="4">
        <v>76577.448399999994</v>
      </c>
      <c r="I49" s="4">
        <v>144.584</v>
      </c>
      <c r="J49" s="4">
        <v>79.367199999999997</v>
      </c>
      <c r="K49" s="4">
        <v>12656.82</v>
      </c>
    </row>
    <row r="50" spans="1:11" x14ac:dyDescent="0.25">
      <c r="A50" s="3">
        <v>45809</v>
      </c>
      <c r="B50" s="3">
        <v>45838</v>
      </c>
      <c r="C50" s="4">
        <v>96168.06</v>
      </c>
      <c r="D50" s="4">
        <v>381.69600000000003</v>
      </c>
      <c r="E50" s="4">
        <v>1651.23</v>
      </c>
      <c r="F50" s="4">
        <v>22247.8</v>
      </c>
      <c r="G50" s="4">
        <v>18343.259999999998</v>
      </c>
      <c r="H50" s="4">
        <v>78953.3649</v>
      </c>
      <c r="I50" s="4">
        <v>153.05850000000001</v>
      </c>
      <c r="J50" s="4">
        <v>56.430300000000003</v>
      </c>
      <c r="K50" s="4">
        <v>13911.523999999999</v>
      </c>
    </row>
    <row r="51" spans="1:11" x14ac:dyDescent="0.25">
      <c r="A51" s="3">
        <v>45839</v>
      </c>
      <c r="B51" s="3">
        <v>45869</v>
      </c>
      <c r="C51" s="4">
        <v>98675.748000000007</v>
      </c>
      <c r="D51" s="4">
        <v>393.5274</v>
      </c>
      <c r="E51" s="4">
        <v>1623.42</v>
      </c>
      <c r="F51" s="4">
        <v>22041.216</v>
      </c>
      <c r="G51" s="4">
        <v>18464.939999999999</v>
      </c>
      <c r="H51" s="4">
        <v>84957.487299999993</v>
      </c>
      <c r="I51" s="4">
        <v>150.815</v>
      </c>
      <c r="J51" s="4">
        <v>53.34</v>
      </c>
      <c r="K51" s="4">
        <v>13317.558000000001</v>
      </c>
    </row>
    <row r="52" spans="1:11" x14ac:dyDescent="0.25">
      <c r="A52" s="3">
        <v>45870</v>
      </c>
      <c r="B52" s="3">
        <v>45898</v>
      </c>
      <c r="C52" s="4">
        <v>101740.6743</v>
      </c>
      <c r="D52" s="4">
        <v>397.55399999999997</v>
      </c>
      <c r="E52" s="4">
        <v>1761.5</v>
      </c>
      <c r="F52" s="4">
        <v>22044.288400000001</v>
      </c>
      <c r="G52" s="4">
        <v>18959.265200000002</v>
      </c>
      <c r="H52" s="4">
        <v>85786.474900000001</v>
      </c>
      <c r="I52" s="4">
        <v>166.78</v>
      </c>
      <c r="J52" s="4">
        <v>56.387999999999998</v>
      </c>
      <c r="K52" s="4">
        <v>13430.924000000001</v>
      </c>
    </row>
    <row r="53" spans="1:11" x14ac:dyDescent="0.25">
      <c r="A53" s="3">
        <v>45901</v>
      </c>
      <c r="B53" s="3">
        <v>45930</v>
      </c>
      <c r="C53" s="4">
        <v>110270.976</v>
      </c>
      <c r="D53" s="4">
        <v>404.42500000000001</v>
      </c>
      <c r="E53" s="4">
        <v>1957.2974999999999</v>
      </c>
      <c r="F53" s="4">
        <v>22837.248</v>
      </c>
      <c r="G53" s="4">
        <v>20305.349999999999</v>
      </c>
      <c r="H53" s="4">
        <v>88838.971799999999</v>
      </c>
      <c r="I53" s="4">
        <v>209.1</v>
      </c>
      <c r="J53" s="4">
        <v>63.588000000000001</v>
      </c>
      <c r="K53" s="4">
        <v>15020.982</v>
      </c>
    </row>
    <row r="54" spans="1:11" x14ac:dyDescent="0.25">
      <c r="A54" s="3">
        <v>45931</v>
      </c>
      <c r="B54" s="3">
        <v>45961</v>
      </c>
      <c r="C54" s="4">
        <v>114857.4424</v>
      </c>
      <c r="D54" s="4">
        <v>392.44499999999999</v>
      </c>
      <c r="E54" s="4">
        <v>2081.4650000000001</v>
      </c>
      <c r="F54" s="4">
        <v>23672.034599999999</v>
      </c>
      <c r="G54" s="4">
        <v>21027.824700000001</v>
      </c>
      <c r="H54" s="4">
        <v>94080.142900000006</v>
      </c>
      <c r="I54" s="4">
        <v>244.84200000000001</v>
      </c>
      <c r="J54" s="4">
        <v>65.930000000000007</v>
      </c>
      <c r="K54" s="4">
        <v>15148.188700000001</v>
      </c>
    </row>
    <row r="55" spans="1:11" x14ac:dyDescent="0.25">
      <c r="A55" s="3">
        <v>45962</v>
      </c>
      <c r="B55" s="3">
        <v>45989</v>
      </c>
      <c r="C55" s="4">
        <v>117478.6773</v>
      </c>
      <c r="D55" s="4">
        <v>394.32600000000002</v>
      </c>
      <c r="E55" s="4">
        <v>2367.4</v>
      </c>
      <c r="F55" s="4">
        <v>24389.428199999998</v>
      </c>
      <c r="G55" s="4">
        <v>20655.179899999999</v>
      </c>
      <c r="H55" s="4">
        <v>94574.793799999999</v>
      </c>
      <c r="I55" s="4">
        <v>241.76249999999999</v>
      </c>
      <c r="J55" s="4">
        <v>66.727999999999994</v>
      </c>
      <c r="K55" s="4">
        <v>15718.625</v>
      </c>
    </row>
    <row r="56" spans="1:11" x14ac:dyDescent="0.25">
      <c r="A56" s="3">
        <v>45992</v>
      </c>
      <c r="B56" s="3">
        <v>46022</v>
      </c>
      <c r="C56" s="4">
        <v>120391.02</v>
      </c>
      <c r="D56" s="4">
        <v>387.60149999999999</v>
      </c>
      <c r="E56" s="4">
        <v>2481.6750000000002</v>
      </c>
      <c r="F56" s="4">
        <v>25213.518</v>
      </c>
      <c r="G56" s="4">
        <v>21098.911499999998</v>
      </c>
      <c r="H56" s="4">
        <v>94897.654699999999</v>
      </c>
      <c r="I56" s="4">
        <v>274.93</v>
      </c>
      <c r="J56" s="4" t="s">
        <v>21</v>
      </c>
      <c r="K56" s="4">
        <v>16589.044000000002</v>
      </c>
    </row>
    <row r="57" spans="1:11" x14ac:dyDescent="0.25">
      <c r="A57" s="3">
        <v>46023</v>
      </c>
      <c r="B57" s="3">
        <v>46052</v>
      </c>
      <c r="C57" s="4">
        <v>138662.15530000001</v>
      </c>
      <c r="D57" s="4">
        <v>410.83109999999999</v>
      </c>
      <c r="E57" s="4">
        <v>4022.2001</v>
      </c>
      <c r="F57" s="4">
        <v>26917.5</v>
      </c>
      <c r="G57" s="4">
        <v>26940.7343</v>
      </c>
      <c r="H57" s="4">
        <v>95330.836899999995</v>
      </c>
      <c r="I57" s="4">
        <v>532.59</v>
      </c>
      <c r="J57" s="4">
        <v>89.983999999999995</v>
      </c>
      <c r="K57" s="4">
        <v>16882.184300000001</v>
      </c>
    </row>
    <row r="58" spans="1:11" x14ac:dyDescent="0.25">
      <c r="A58" s="3">
        <v>46054</v>
      </c>
      <c r="B58" s="3">
        <v>46080</v>
      </c>
      <c r="C58" s="4">
        <v>148945.10810000001</v>
      </c>
      <c r="D58" s="4">
        <v>415.90649999999999</v>
      </c>
      <c r="E58" s="4">
        <v>4395.8398999999999</v>
      </c>
      <c r="F58" s="4">
        <v>29151.764999999999</v>
      </c>
      <c r="G58" s="4">
        <v>30188.5929</v>
      </c>
      <c r="H58" s="4">
        <v>98155.120999999999</v>
      </c>
      <c r="I58" s="4">
        <v>609.96</v>
      </c>
      <c r="J58" s="4">
        <v>95.5167</v>
      </c>
      <c r="K58" s="4">
        <v>16516.370599999998</v>
      </c>
    </row>
    <row r="59" spans="1:11" x14ac:dyDescent="0.25">
      <c r="A59" s="3">
        <v>46082</v>
      </c>
      <c r="B59" s="3">
        <v>46112</v>
      </c>
      <c r="C59" s="4">
        <v>135384.75</v>
      </c>
      <c r="D59" s="4">
        <v>389.40800000000002</v>
      </c>
      <c r="E59" s="4">
        <v>4280.16</v>
      </c>
      <c r="F59" s="4">
        <v>28255.153999999999</v>
      </c>
      <c r="G59" s="4">
        <v>25146.612000000001</v>
      </c>
      <c r="H59" s="4">
        <v>92783.340700000001</v>
      </c>
      <c r="I59" s="4">
        <v>508.47300000000001</v>
      </c>
      <c r="J59" s="4">
        <v>82.938100000000006</v>
      </c>
      <c r="K59" s="4">
        <v>13873.460999999999</v>
      </c>
    </row>
    <row r="60" spans="1:11" x14ac:dyDescent="0.25">
      <c r="A60" s="3">
        <v>46113</v>
      </c>
      <c r="B60" s="3">
        <v>46142</v>
      </c>
      <c r="C60" s="4">
        <v>152349.09</v>
      </c>
      <c r="D60" s="4">
        <v>391.7824</v>
      </c>
      <c r="E60" s="4">
        <v>4974.0600000000004</v>
      </c>
      <c r="F60" s="4">
        <v>31338.472000000002</v>
      </c>
      <c r="G60" s="4">
        <v>28334.772000000001</v>
      </c>
      <c r="H60" s="4">
        <v>100249.74619999999</v>
      </c>
      <c r="I60" s="4">
        <v>500.03100000000001</v>
      </c>
      <c r="J60" s="4">
        <v>80.114999999999995</v>
      </c>
      <c r="K60" s="4">
        <v>14408.32</v>
      </c>
    </row>
    <row r="61" spans="1:11" x14ac:dyDescent="0.25">
      <c r="A61" s="3">
        <v>46143</v>
      </c>
      <c r="B61" s="3">
        <v>46170</v>
      </c>
      <c r="C61" s="4">
        <v>162189.96</v>
      </c>
      <c r="D61" s="4">
        <v>432.24299999999999</v>
      </c>
      <c r="E61" s="4">
        <v>4440.1499999999996</v>
      </c>
      <c r="F61" s="4">
        <v>32852.699999999997</v>
      </c>
      <c r="G61" s="4">
        <v>30380.508000000002</v>
      </c>
      <c r="H61" s="4">
        <v>105605.485</v>
      </c>
      <c r="I61" s="4">
        <v>527.55799999999999</v>
      </c>
      <c r="J61" s="4">
        <v>85.106300000000005</v>
      </c>
      <c r="K61" s="4">
        <v>14174.679</v>
      </c>
    </row>
    <row r="62" spans="1:11" x14ac:dyDescent="0.25">
      <c r="A62" s="3">
        <v>46174</v>
      </c>
      <c r="B62" s="3">
        <v>46203</v>
      </c>
      <c r="C62" s="4">
        <v>160394.80799999999</v>
      </c>
      <c r="D62" s="4">
        <v>397.15499999999997</v>
      </c>
      <c r="E62" s="4">
        <v>3737.8125</v>
      </c>
      <c r="F62" s="4">
        <v>33214.851999999999</v>
      </c>
      <c r="G62" s="4">
        <v>30291.948</v>
      </c>
      <c r="H62" s="4">
        <v>106454.6361</v>
      </c>
      <c r="I62" s="4">
        <v>521.875</v>
      </c>
      <c r="J62" s="4">
        <v>91.264499999999998</v>
      </c>
      <c r="K62" s="4">
        <v>14678.168</v>
      </c>
    </row>
    <row r="63" spans="1:11" x14ac:dyDescent="0.25">
      <c r="A63" s="3">
        <v>46204</v>
      </c>
      <c r="B63" s="3">
        <v>46224</v>
      </c>
      <c r="C63" s="4">
        <v>153730.98000000001</v>
      </c>
      <c r="D63">
        <v>399.08</v>
      </c>
      <c r="E63">
        <v>3772.5374999999999</v>
      </c>
      <c r="F63">
        <v>32820.9</v>
      </c>
      <c r="G63">
        <v>29373.597000000002</v>
      </c>
      <c r="H63">
        <v>106893.8147</v>
      </c>
      <c r="I63">
        <v>544.5625</v>
      </c>
      <c r="J63">
        <v>96.39</v>
      </c>
      <c r="K63">
        <v>15079.578</v>
      </c>
    </row>
    <row r="66" spans="3:11" x14ac:dyDescent="0.25">
      <c r="C66" t="s">
        <v>11</v>
      </c>
      <c r="D66" t="s">
        <v>12</v>
      </c>
      <c r="E66" t="s">
        <v>13</v>
      </c>
      <c r="F66" t="s">
        <v>14</v>
      </c>
      <c r="G66" t="s">
        <v>15</v>
      </c>
      <c r="H66" t="s">
        <v>16</v>
      </c>
      <c r="I66" t="s">
        <v>17</v>
      </c>
      <c r="J66" t="s">
        <v>18</v>
      </c>
      <c r="K66" t="s">
        <v>20</v>
      </c>
    </row>
    <row r="67" spans="3:11" x14ac:dyDescent="0.25">
      <c r="C67" s="4" t="str" cm="1">
        <f t="array" ref="C67">_xll.BDH(C$2,$C$1,$B67)</f>
        <v>#N/A Mandatory parameter [STARTDATE] cannot be empty</v>
      </c>
      <c r="D67" s="4" t="str" cm="1">
        <f t="array" ref="D67">_xll.BDH(D$2,$C$1,$B67)</f>
        <v>#N/A Mandatory parameter [STARTDATE] cannot be empty</v>
      </c>
      <c r="E67" s="4" t="str" cm="1">
        <f t="array" ref="E67">_xll.BDH(E$2,$C$1,$B67)</f>
        <v>#N/A Mandatory parameter [STARTDATE] cannot be empty</v>
      </c>
      <c r="F67" s="4" t="str" cm="1">
        <f t="array" ref="F67">_xll.BDH(F$2,$C$1,$B67)</f>
        <v>#N/A Mandatory parameter [STARTDATE] cannot be empty</v>
      </c>
      <c r="G67" s="4" t="str" cm="1">
        <f t="array" ref="G67">_xll.BDH(G$2,$C$1,$B67)</f>
        <v>#N/A Mandatory parameter [STARTDATE] cannot be empty</v>
      </c>
      <c r="H67" s="4" t="str" cm="1">
        <f t="array" ref="H67">_xll.BDH(H$2,$C$1,$B67)</f>
        <v>#N/A Mandatory parameter [STARTDATE] cannot be empty</v>
      </c>
      <c r="I67" s="4" t="str" cm="1">
        <f t="array" ref="I67">_xll.BDH(I$2,$C$1,$B67)</f>
        <v>#N/A Mandatory parameter [STARTDATE] cannot be empty</v>
      </c>
      <c r="J67" s="4" t="str" cm="1">
        <f t="array" ref="J67">_xll.BDH(J$2,$C$1,$B67)</f>
        <v>#N/A Mandatory parameter [STARTDATE] cannot be empty</v>
      </c>
      <c r="K67" s="4" t="str" cm="1">
        <f t="array" ref="K67">_xll.BDH(K$2,$C$1,$B67)</f>
        <v>#N/A Mandatory parameter [STARTDATE] cannot be empty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998B5-82AD-44D6-B620-0DC4BF2103F7}">
  <dimension ref="A1:T253"/>
  <sheetViews>
    <sheetView topLeftCell="A16" workbookViewId="0">
      <selection activeCell="C25" sqref="C25"/>
    </sheetView>
  </sheetViews>
  <sheetFormatPr defaultColWidth="11.42578125" defaultRowHeight="15" x14ac:dyDescent="0.25"/>
  <cols>
    <col min="3" max="3" width="17.5703125" customWidth="1"/>
    <col min="4" max="10" width="16.5703125" customWidth="1"/>
    <col min="11" max="11" width="21.28515625" customWidth="1"/>
  </cols>
  <sheetData>
    <row r="1" spans="1:20" x14ac:dyDescent="0.25">
      <c r="C1" s="1" t="s">
        <v>0</v>
      </c>
      <c r="D1" s="1"/>
      <c r="E1" s="1"/>
      <c r="F1" s="1"/>
      <c r="G1" s="1"/>
      <c r="H1" s="1"/>
      <c r="I1" s="1"/>
      <c r="J1" s="1"/>
      <c r="K1" s="1"/>
      <c r="L1" s="2" t="s">
        <v>1</v>
      </c>
      <c r="M1" s="2"/>
      <c r="N1" s="2"/>
      <c r="O1" s="2"/>
      <c r="P1" s="2"/>
      <c r="Q1" s="2"/>
      <c r="R1" s="2"/>
      <c r="S1" s="2"/>
      <c r="T1" s="2"/>
    </row>
    <row r="2" spans="1:20" x14ac:dyDescent="0.25">
      <c r="A2" t="s">
        <v>10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2</v>
      </c>
      <c r="K2" t="s">
        <v>9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2</v>
      </c>
      <c r="T2" t="s">
        <v>9</v>
      </c>
    </row>
    <row r="3" spans="1:20" x14ac:dyDescent="0.25">
      <c r="A3" s="3">
        <f>EOMONTH(B3,-1)+1</f>
        <v>44378</v>
      </c>
      <c r="B3" s="3">
        <v>44407</v>
      </c>
      <c r="C3" s="4">
        <v>100.1658</v>
      </c>
      <c r="D3" s="4">
        <v>78996.966799999995</v>
      </c>
      <c r="E3" s="4">
        <v>456.40100000000001</v>
      </c>
      <c r="F3" s="4">
        <v>1695.6155000000001</v>
      </c>
      <c r="G3" s="4">
        <v>16965.982599999999</v>
      </c>
      <c r="H3" s="4">
        <v>30331.1273</v>
      </c>
      <c r="I3" s="4">
        <v>42276.191599999998</v>
      </c>
      <c r="J3" s="4">
        <v>100.1658</v>
      </c>
      <c r="K3" s="4">
        <v>7.66</v>
      </c>
      <c r="L3" s="4">
        <v>99.344999999999999</v>
      </c>
      <c r="M3" s="4">
        <v>79379.100000000006</v>
      </c>
      <c r="N3" s="4">
        <v>458.41300000000001</v>
      </c>
      <c r="O3" s="4">
        <v>1692.9</v>
      </c>
      <c r="P3" s="4">
        <v>16991.099999999999</v>
      </c>
      <c r="Q3" s="4">
        <v>30418.2</v>
      </c>
      <c r="R3" s="4">
        <v>29088.9</v>
      </c>
      <c r="S3" s="4">
        <v>99.344999999999999</v>
      </c>
      <c r="T3" s="4">
        <v>8.2614999999999998</v>
      </c>
    </row>
    <row r="4" spans="1:20" x14ac:dyDescent="0.25">
      <c r="A4" s="3">
        <f t="shared" ref="A4:A27" si="0">EOMONTH(B4,-1)+1</f>
        <v>44409</v>
      </c>
      <c r="B4" s="3">
        <f>EOMONTH(B3,1)</f>
        <v>44439</v>
      </c>
      <c r="C4" s="4">
        <v>95.871200000000002</v>
      </c>
      <c r="D4" s="4">
        <v>80611.524999999994</v>
      </c>
      <c r="E4" s="4">
        <v>479.26479999999998</v>
      </c>
      <c r="F4" s="4">
        <v>1484.1033</v>
      </c>
      <c r="G4" s="4">
        <v>17372.446</v>
      </c>
      <c r="H4" s="4">
        <v>30988.068500000001</v>
      </c>
      <c r="I4" s="4">
        <v>43957.537199999999</v>
      </c>
      <c r="J4" s="4">
        <v>95.871200000000002</v>
      </c>
      <c r="K4" s="4">
        <v>7.5</v>
      </c>
      <c r="L4" s="4">
        <v>95.424000000000007</v>
      </c>
      <c r="M4" s="4">
        <v>80484.2</v>
      </c>
      <c r="N4" s="4">
        <v>481.29</v>
      </c>
      <c r="O4" s="4">
        <v>1479.5</v>
      </c>
      <c r="P4" s="4">
        <v>17360.5</v>
      </c>
      <c r="Q4" s="4">
        <v>30895.7</v>
      </c>
      <c r="R4" s="4">
        <v>30692.5</v>
      </c>
      <c r="S4" s="4">
        <v>95.424000000000007</v>
      </c>
      <c r="T4" s="4">
        <v>8.2614999999999998</v>
      </c>
    </row>
    <row r="5" spans="1:20" x14ac:dyDescent="0.25">
      <c r="A5" s="3">
        <f t="shared" si="0"/>
        <v>44440</v>
      </c>
      <c r="B5" s="3">
        <f t="shared" ref="B5:B27" si="1">EOMONTH(B4,1)</f>
        <v>44469</v>
      </c>
      <c r="C5" s="4">
        <v>110.277</v>
      </c>
      <c r="D5" s="4">
        <v>78533.635500000004</v>
      </c>
      <c r="E5" s="4">
        <v>496.82170000000002</v>
      </c>
      <c r="F5" s="4">
        <v>1282.6599000000001</v>
      </c>
      <c r="G5" s="4">
        <v>16157.5167</v>
      </c>
      <c r="H5" s="4">
        <v>29746.1335</v>
      </c>
      <c r="I5" s="4">
        <v>43300.3177</v>
      </c>
      <c r="J5" s="4">
        <v>110.277</v>
      </c>
      <c r="K5" s="4">
        <v>7.37</v>
      </c>
      <c r="L5" s="4">
        <v>109.413</v>
      </c>
      <c r="M5" s="4">
        <v>78521.7</v>
      </c>
      <c r="N5" s="4">
        <v>498.048</v>
      </c>
      <c r="O5" s="4">
        <v>1280.56</v>
      </c>
      <c r="P5" s="4">
        <v>16147.1</v>
      </c>
      <c r="Q5" s="4">
        <v>29699</v>
      </c>
      <c r="R5" s="4">
        <v>31116.9</v>
      </c>
      <c r="S5" s="4">
        <v>109.413</v>
      </c>
      <c r="T5" s="4">
        <v>8.2614999999999998</v>
      </c>
    </row>
    <row r="6" spans="1:20" x14ac:dyDescent="0.25">
      <c r="A6" s="3">
        <f t="shared" si="0"/>
        <v>44470</v>
      </c>
      <c r="B6" s="3">
        <f>EOMONTH(B5,1)-3</f>
        <v>44497</v>
      </c>
      <c r="C6" s="4">
        <v>120.63849999999999</v>
      </c>
      <c r="D6" s="4">
        <v>80272.666599999997</v>
      </c>
      <c r="E6" s="4">
        <v>518.58100000000002</v>
      </c>
      <c r="F6" s="4">
        <v>1231.7284999999999</v>
      </c>
      <c r="G6" s="4">
        <v>17186.319299999999</v>
      </c>
      <c r="H6" s="4">
        <v>30389.4</v>
      </c>
      <c r="I6" s="4">
        <v>46626.962099999997</v>
      </c>
      <c r="J6" s="4">
        <v>120.63849999999999</v>
      </c>
      <c r="K6" s="4">
        <v>8.7799999999999994</v>
      </c>
      <c r="L6" s="4">
        <v>119.33</v>
      </c>
      <c r="M6" s="4">
        <v>80403.3</v>
      </c>
      <c r="N6" s="4">
        <v>520.50400000000002</v>
      </c>
      <c r="O6" s="4">
        <v>1233.1199999999999</v>
      </c>
      <c r="P6" s="4">
        <v>17191.7</v>
      </c>
      <c r="Q6" s="4">
        <v>30459.5</v>
      </c>
      <c r="R6" s="4">
        <v>32508.5</v>
      </c>
      <c r="S6" s="4">
        <v>119.33</v>
      </c>
      <c r="T6" s="4">
        <v>8.2614999999999998</v>
      </c>
    </row>
    <row r="7" spans="1:20" x14ac:dyDescent="0.25">
      <c r="A7" s="3">
        <f t="shared" si="0"/>
        <v>44501</v>
      </c>
      <c r="B7" s="3">
        <f t="shared" si="1"/>
        <v>44530</v>
      </c>
      <c r="C7" s="4">
        <v>138.31870000000001</v>
      </c>
      <c r="D7" s="4">
        <v>76248.447799999994</v>
      </c>
      <c r="E7" s="4">
        <v>513.60739999999998</v>
      </c>
      <c r="F7" s="4">
        <v>1175.8207</v>
      </c>
      <c r="G7" s="4">
        <v>16733.503000000001</v>
      </c>
      <c r="H7" s="4">
        <v>28750.6878</v>
      </c>
      <c r="I7" s="4">
        <v>46543.207600000002</v>
      </c>
      <c r="J7" s="4">
        <v>138.31870000000001</v>
      </c>
      <c r="K7" s="4">
        <v>8.3699999999999992</v>
      </c>
      <c r="L7" s="4">
        <v>137.47200000000001</v>
      </c>
      <c r="M7" s="4">
        <v>76436.600000000006</v>
      </c>
      <c r="N7" s="4">
        <v>513.68600000000004</v>
      </c>
      <c r="O7" s="4">
        <v>1171.6600000000001</v>
      </c>
      <c r="P7" s="4">
        <v>16748.900000000001</v>
      </c>
      <c r="Q7" s="4">
        <v>28791.200000000001</v>
      </c>
      <c r="R7" s="4">
        <v>34046.9</v>
      </c>
      <c r="S7" s="4">
        <v>137.47200000000001</v>
      </c>
      <c r="T7" s="4">
        <v>8.2614999999999998</v>
      </c>
    </row>
    <row r="8" spans="1:20" x14ac:dyDescent="0.25">
      <c r="A8" s="3">
        <f t="shared" si="0"/>
        <v>44531</v>
      </c>
      <c r="B8" s="3">
        <f>EOMONTH(B7,1)-1</f>
        <v>44560</v>
      </c>
      <c r="C8" s="4">
        <v>160.2886</v>
      </c>
      <c r="D8" s="4">
        <v>76730.784</v>
      </c>
      <c r="E8" s="4">
        <v>544.93219999999997</v>
      </c>
      <c r="F8" s="4">
        <v>823.39869999999996</v>
      </c>
      <c r="G8" s="4">
        <v>17636.5779</v>
      </c>
      <c r="H8" s="4">
        <v>29018.4935</v>
      </c>
      <c r="I8" s="4">
        <v>47742.784200000002</v>
      </c>
      <c r="J8" s="4">
        <v>160.2886</v>
      </c>
      <c r="K8" s="4">
        <v>8.59</v>
      </c>
      <c r="L8" s="4">
        <v>159.05500000000001</v>
      </c>
      <c r="M8" s="4">
        <v>76839.199999999997</v>
      </c>
      <c r="N8" s="4">
        <v>548.46500000000003</v>
      </c>
      <c r="O8" s="4">
        <v>822.85</v>
      </c>
      <c r="P8" s="4">
        <v>17651.3</v>
      </c>
      <c r="Q8" s="4">
        <v>29071.1</v>
      </c>
      <c r="R8" s="4">
        <v>34296.6</v>
      </c>
      <c r="S8" s="4">
        <v>159.05500000000001</v>
      </c>
      <c r="T8" s="4">
        <v>8.4563000000000006</v>
      </c>
    </row>
    <row r="9" spans="1:20" x14ac:dyDescent="0.25">
      <c r="A9" s="3">
        <f t="shared" si="0"/>
        <v>44562</v>
      </c>
      <c r="B9" s="3">
        <f t="shared" si="1"/>
        <v>44592</v>
      </c>
      <c r="C9" s="4">
        <v>212.17619999999999</v>
      </c>
      <c r="D9" s="4">
        <v>76379.512900000002</v>
      </c>
      <c r="E9" s="4">
        <v>542.62950000000001</v>
      </c>
      <c r="F9" s="4">
        <v>1056.7842000000001</v>
      </c>
      <c r="G9" s="4">
        <v>18539.215400000001</v>
      </c>
      <c r="H9" s="4">
        <v>28891.026600000001</v>
      </c>
      <c r="I9" s="4">
        <v>46549.2111</v>
      </c>
      <c r="J9" s="4">
        <v>212.17619999999999</v>
      </c>
      <c r="K9" s="4">
        <v>9.58</v>
      </c>
      <c r="L9" s="4">
        <v>212.398</v>
      </c>
      <c r="M9" s="4">
        <v>76429.2</v>
      </c>
      <c r="N9" s="4">
        <v>543.91</v>
      </c>
      <c r="O9" s="4">
        <v>1057</v>
      </c>
      <c r="P9" s="4">
        <v>18538.099999999999</v>
      </c>
      <c r="Q9" s="4">
        <v>28923</v>
      </c>
      <c r="R9" s="4">
        <v>32998.800000000003</v>
      </c>
      <c r="S9" s="4">
        <v>212.398</v>
      </c>
      <c r="T9" s="4">
        <v>9.6349999999999998</v>
      </c>
    </row>
    <row r="10" spans="1:20" x14ac:dyDescent="0.25">
      <c r="A10" s="3">
        <f t="shared" si="0"/>
        <v>44593</v>
      </c>
      <c r="B10" s="3">
        <f t="shared" si="1"/>
        <v>44620</v>
      </c>
      <c r="C10" s="4">
        <v>205.59129999999999</v>
      </c>
      <c r="D10" s="4">
        <v>72780.502099999998</v>
      </c>
      <c r="E10" s="4">
        <v>499.50790000000001</v>
      </c>
      <c r="F10" s="4">
        <v>1307.6901</v>
      </c>
      <c r="G10" s="4">
        <v>18507.375199999999</v>
      </c>
      <c r="H10" s="4">
        <v>27449.5851</v>
      </c>
      <c r="I10" s="4">
        <v>45880.29</v>
      </c>
      <c r="J10" s="4">
        <v>205.59129999999999</v>
      </c>
      <c r="K10" s="4">
        <v>10.199999999999999</v>
      </c>
      <c r="L10" s="4">
        <v>207.298</v>
      </c>
      <c r="M10" s="4">
        <v>73414.600000000006</v>
      </c>
      <c r="N10" s="4">
        <v>497.56400000000002</v>
      </c>
      <c r="O10" s="4">
        <v>1311.38</v>
      </c>
      <c r="P10" s="4">
        <v>18518.900000000001</v>
      </c>
      <c r="Q10" s="4">
        <v>27673.5</v>
      </c>
      <c r="R10" s="4">
        <v>32857</v>
      </c>
      <c r="S10" s="4">
        <v>207.298</v>
      </c>
      <c r="T10" s="4">
        <v>9.9629999999999992</v>
      </c>
    </row>
    <row r="11" spans="1:20" x14ac:dyDescent="0.25">
      <c r="A11" s="3">
        <f t="shared" si="0"/>
        <v>44621</v>
      </c>
      <c r="B11" s="3">
        <f t="shared" si="1"/>
        <v>44651</v>
      </c>
      <c r="C11" s="4">
        <v>253.99879999999999</v>
      </c>
      <c r="D11" s="4">
        <v>73555.060599999997</v>
      </c>
      <c r="E11" s="4">
        <v>368.61590000000001</v>
      </c>
      <c r="F11" s="4">
        <v>1738.1893</v>
      </c>
      <c r="G11" s="4">
        <v>19189.095799999999</v>
      </c>
      <c r="H11" s="4">
        <v>28444.110400000001</v>
      </c>
      <c r="I11" s="4">
        <v>47864.035300000003</v>
      </c>
      <c r="J11" s="4">
        <v>253.99879999999999</v>
      </c>
      <c r="K11" s="4">
        <v>10.85</v>
      </c>
      <c r="L11" s="4">
        <v>254.82</v>
      </c>
      <c r="M11" s="4">
        <v>73559.3</v>
      </c>
      <c r="N11" s="4">
        <v>368.88</v>
      </c>
      <c r="O11" s="4">
        <v>1739.83</v>
      </c>
      <c r="P11" s="4">
        <v>19197.7</v>
      </c>
      <c r="Q11" s="4">
        <v>28464.799999999999</v>
      </c>
      <c r="R11" s="4">
        <v>35435.599999999999</v>
      </c>
      <c r="S11" s="4">
        <v>254.82</v>
      </c>
      <c r="T11" s="4">
        <v>10.9777</v>
      </c>
    </row>
    <row r="12" spans="1:20" x14ac:dyDescent="0.25">
      <c r="A12" s="3">
        <f t="shared" si="0"/>
        <v>44652</v>
      </c>
      <c r="B12" s="3">
        <f>EOMONTH(B11,1)-2</f>
        <v>44679</v>
      </c>
      <c r="C12" s="4">
        <v>180.33260000000001</v>
      </c>
      <c r="D12" s="4">
        <v>69669.392699999997</v>
      </c>
      <c r="E12" s="4">
        <v>334.04070000000002</v>
      </c>
      <c r="F12" s="4">
        <v>1529.8880999999999</v>
      </c>
      <c r="G12" s="4">
        <v>18371.277900000001</v>
      </c>
      <c r="H12" s="4">
        <v>27733.643199999999</v>
      </c>
      <c r="I12" s="4">
        <v>45147.090799999998</v>
      </c>
      <c r="J12" s="4">
        <v>180.33260000000001</v>
      </c>
      <c r="K12" s="4">
        <v>9.74</v>
      </c>
      <c r="L12" s="4">
        <v>178.24799999999999</v>
      </c>
      <c r="M12" s="4">
        <v>69468.399999999994</v>
      </c>
      <c r="N12" s="4">
        <v>334.25799999999998</v>
      </c>
      <c r="O12" s="4">
        <v>1528.92</v>
      </c>
      <c r="P12" s="4">
        <v>18387.8</v>
      </c>
      <c r="Q12" s="4">
        <v>27650.1</v>
      </c>
      <c r="R12" s="4">
        <v>34664</v>
      </c>
      <c r="S12" s="4">
        <v>178.24799999999999</v>
      </c>
      <c r="T12" s="4">
        <v>9.8221000000000007</v>
      </c>
    </row>
    <row r="13" spans="1:20" x14ac:dyDescent="0.25">
      <c r="A13" s="3">
        <f t="shared" si="0"/>
        <v>44682</v>
      </c>
      <c r="B13" s="3">
        <f t="shared" si="1"/>
        <v>44712</v>
      </c>
      <c r="C13" s="4">
        <v>133.9812</v>
      </c>
      <c r="D13" s="4">
        <v>70414.004300000001</v>
      </c>
      <c r="E13" s="4">
        <v>330.2604</v>
      </c>
      <c r="F13" s="4">
        <v>1611.4313999999999</v>
      </c>
      <c r="G13" s="4">
        <v>18129.414499999999</v>
      </c>
      <c r="H13" s="4">
        <v>28044.569</v>
      </c>
      <c r="I13" s="4">
        <v>44567.458299999998</v>
      </c>
      <c r="J13" s="4">
        <v>133.9812</v>
      </c>
      <c r="K13" s="4">
        <v>9.14</v>
      </c>
      <c r="L13" s="4">
        <v>133.12799999999999</v>
      </c>
      <c r="M13" s="4">
        <v>70054.8</v>
      </c>
      <c r="N13" s="4">
        <v>330.85399999999998</v>
      </c>
      <c r="O13" s="4">
        <v>1613.4</v>
      </c>
      <c r="P13" s="4">
        <v>18114.7</v>
      </c>
      <c r="Q13" s="4">
        <v>27861</v>
      </c>
      <c r="R13" s="4">
        <v>34292.199999999997</v>
      </c>
      <c r="S13" s="4">
        <v>133.12799999999999</v>
      </c>
      <c r="T13" s="4">
        <v>9.1046999999999993</v>
      </c>
    </row>
    <row r="14" spans="1:20" x14ac:dyDescent="0.25">
      <c r="A14" s="3">
        <f t="shared" si="0"/>
        <v>44713</v>
      </c>
      <c r="B14" s="3">
        <f t="shared" si="1"/>
        <v>44742</v>
      </c>
      <c r="C14" s="4">
        <v>119.17570000000001</v>
      </c>
      <c r="D14" s="4">
        <v>65434.015299999999</v>
      </c>
      <c r="E14" s="4">
        <v>318.21199999999999</v>
      </c>
      <c r="F14" s="4">
        <v>1144.9657</v>
      </c>
      <c r="G14" s="4">
        <v>16947.205600000001</v>
      </c>
      <c r="H14" s="4">
        <v>26126.284</v>
      </c>
      <c r="I14" s="4">
        <v>41073.287799999998</v>
      </c>
      <c r="J14" s="4">
        <v>119.17570000000001</v>
      </c>
      <c r="K14" s="4">
        <v>7.88</v>
      </c>
      <c r="L14" s="4">
        <v>117.392</v>
      </c>
      <c r="M14" s="4">
        <v>65583.399999999994</v>
      </c>
      <c r="N14" s="4">
        <v>316.94200000000001</v>
      </c>
      <c r="O14" s="4">
        <v>1143.9000000000001</v>
      </c>
      <c r="P14" s="4">
        <v>16962.599999999999</v>
      </c>
      <c r="Q14" s="4">
        <v>26147.200000000001</v>
      </c>
      <c r="R14" s="4">
        <v>32909.800000000003</v>
      </c>
      <c r="S14" s="4">
        <v>117.392</v>
      </c>
      <c r="T14" s="4">
        <v>7.9928999999999997</v>
      </c>
    </row>
    <row r="15" spans="1:20" x14ac:dyDescent="0.25">
      <c r="A15" s="3">
        <f t="shared" si="0"/>
        <v>44743</v>
      </c>
      <c r="B15" s="3">
        <f>EOMONTH(B14,1)-4</f>
        <v>44769</v>
      </c>
      <c r="C15" s="4">
        <v>120.02670000000001</v>
      </c>
      <c r="D15" s="4">
        <v>65388.6175</v>
      </c>
      <c r="E15" s="4">
        <v>303.4083</v>
      </c>
      <c r="F15" s="4">
        <v>1010.3111</v>
      </c>
      <c r="G15" s="4">
        <v>17752.6276</v>
      </c>
      <c r="H15" s="4">
        <v>26057.045399999999</v>
      </c>
      <c r="I15" s="4">
        <v>43349.697699999997</v>
      </c>
      <c r="J15" s="4">
        <v>120.02670000000001</v>
      </c>
      <c r="K15" s="4">
        <v>7.98</v>
      </c>
      <c r="L15" s="4">
        <v>118.53400000000001</v>
      </c>
      <c r="M15" s="4">
        <v>65503.199999999997</v>
      </c>
      <c r="N15" s="4">
        <v>301.95150000000001</v>
      </c>
      <c r="O15" s="4">
        <v>1009.785</v>
      </c>
      <c r="P15" s="4">
        <v>17763.27</v>
      </c>
      <c r="Q15" s="4">
        <v>26068.958999999999</v>
      </c>
      <c r="R15" s="4">
        <v>34808.895199999999</v>
      </c>
      <c r="S15" s="4">
        <v>118.53400000000001</v>
      </c>
      <c r="T15" s="4">
        <v>7.74</v>
      </c>
    </row>
    <row r="16" spans="1:20" x14ac:dyDescent="0.25">
      <c r="A16" s="3">
        <f t="shared" si="0"/>
        <v>44774</v>
      </c>
      <c r="B16" s="3">
        <f t="shared" si="1"/>
        <v>44804</v>
      </c>
      <c r="C16" s="4">
        <v>127.54559999999999</v>
      </c>
      <c r="D16" s="4">
        <v>65227.089200000002</v>
      </c>
      <c r="E16" s="4">
        <v>303.45339999999999</v>
      </c>
      <c r="F16" s="4">
        <v>1059.1637000000001</v>
      </c>
      <c r="G16" s="4">
        <v>17256.092199999999</v>
      </c>
      <c r="H16" s="4">
        <v>25870.191999999999</v>
      </c>
      <c r="I16" s="4">
        <v>43067.740599999997</v>
      </c>
      <c r="J16" s="4">
        <v>127.54559999999999</v>
      </c>
      <c r="K16" s="4">
        <v>7.69</v>
      </c>
      <c r="L16" s="4">
        <v>127.2</v>
      </c>
      <c r="M16" s="4">
        <v>64839.48</v>
      </c>
      <c r="N16" s="4">
        <v>304.01</v>
      </c>
      <c r="O16" s="4">
        <v>1057.4849999999999</v>
      </c>
      <c r="P16" s="4">
        <v>17231.54</v>
      </c>
      <c r="Q16" s="4">
        <v>25710.3315</v>
      </c>
      <c r="R16" s="4">
        <v>36239.7526</v>
      </c>
      <c r="S16" s="4">
        <v>127.2</v>
      </c>
      <c r="T16" s="4">
        <v>7.8583999999999996</v>
      </c>
    </row>
    <row r="17" spans="1:20" x14ac:dyDescent="0.25">
      <c r="A17" s="3">
        <f t="shared" si="0"/>
        <v>44805</v>
      </c>
      <c r="B17" s="3">
        <f t="shared" si="1"/>
        <v>44834</v>
      </c>
      <c r="C17" s="4">
        <v>112.9807</v>
      </c>
      <c r="D17" s="4">
        <v>56747.806700000001</v>
      </c>
      <c r="E17" s="4">
        <v>289.25940000000003</v>
      </c>
      <c r="F17" s="4">
        <v>984.75519999999995</v>
      </c>
      <c r="G17" s="4">
        <v>14347.6471</v>
      </c>
      <c r="H17" s="4">
        <v>20644.713599999999</v>
      </c>
      <c r="I17" s="4">
        <v>39219.750099999997</v>
      </c>
      <c r="J17" s="4">
        <v>112.9807</v>
      </c>
      <c r="K17" s="4">
        <v>7.75</v>
      </c>
      <c r="L17" s="4">
        <v>112.884</v>
      </c>
      <c r="M17" s="4">
        <v>56398.356</v>
      </c>
      <c r="N17" s="4">
        <v>289.24</v>
      </c>
      <c r="O17" s="4">
        <v>984.38</v>
      </c>
      <c r="P17" s="4">
        <v>14351.852000000001</v>
      </c>
      <c r="Q17" s="4">
        <v>20687.328000000001</v>
      </c>
      <c r="R17" s="4">
        <v>34956.469400000002</v>
      </c>
      <c r="S17" s="4">
        <v>112.884</v>
      </c>
      <c r="T17" s="4">
        <v>7.7853000000000003</v>
      </c>
    </row>
    <row r="18" spans="1:20" x14ac:dyDescent="0.25">
      <c r="A18" s="3">
        <f t="shared" si="0"/>
        <v>44835</v>
      </c>
      <c r="B18" s="3">
        <f t="shared" si="1"/>
        <v>44865</v>
      </c>
      <c r="C18" s="4">
        <v>120.3854</v>
      </c>
      <c r="D18" s="4">
        <v>55926.242899999997</v>
      </c>
      <c r="E18" s="4">
        <v>285.91469999999998</v>
      </c>
      <c r="F18" s="4">
        <v>1097.9157</v>
      </c>
      <c r="G18" s="4">
        <v>15548.460499999999</v>
      </c>
      <c r="H18" s="4">
        <v>19743.252799999998</v>
      </c>
      <c r="I18" s="4">
        <v>42458.6342</v>
      </c>
      <c r="J18" s="4">
        <v>120.3854</v>
      </c>
      <c r="K18" s="4">
        <v>8.43</v>
      </c>
      <c r="L18" s="4">
        <v>119.52849999999999</v>
      </c>
      <c r="M18" s="4">
        <v>56079.87</v>
      </c>
      <c r="N18" s="4">
        <v>284.923</v>
      </c>
      <c r="O18" s="4">
        <v>1100.75</v>
      </c>
      <c r="P18" s="4">
        <v>15577.314</v>
      </c>
      <c r="Q18" s="4">
        <v>19770.3675</v>
      </c>
      <c r="R18" s="4">
        <v>36059.462599999999</v>
      </c>
      <c r="S18" s="4">
        <v>119.52849999999999</v>
      </c>
      <c r="T18" s="4">
        <v>8.1823999999999995</v>
      </c>
    </row>
    <row r="19" spans="1:20" x14ac:dyDescent="0.25">
      <c r="A19" s="3">
        <f t="shared" si="0"/>
        <v>44866</v>
      </c>
      <c r="B19" s="3">
        <f t="shared" si="1"/>
        <v>44895</v>
      </c>
      <c r="C19" s="4">
        <v>124.7128</v>
      </c>
      <c r="D19" s="4">
        <v>65431.220699999998</v>
      </c>
      <c r="E19" s="4">
        <v>292.8177</v>
      </c>
      <c r="F19" s="4">
        <v>1101.5263</v>
      </c>
      <c r="G19" s="4">
        <v>18539.071800000002</v>
      </c>
      <c r="H19" s="4">
        <v>23623.104200000002</v>
      </c>
      <c r="I19" s="4">
        <v>45591.408799999997</v>
      </c>
      <c r="J19" s="4">
        <v>124.7128</v>
      </c>
      <c r="K19" s="4">
        <v>29.29</v>
      </c>
      <c r="L19" s="4">
        <v>124.65600000000001</v>
      </c>
      <c r="M19" s="4">
        <v>65264.639999999999</v>
      </c>
      <c r="N19" s="4">
        <v>295.66500000000002</v>
      </c>
      <c r="O19" s="4">
        <v>1098.3</v>
      </c>
      <c r="P19" s="4">
        <v>18543.756000000001</v>
      </c>
      <c r="Q19" s="4">
        <v>23563.8</v>
      </c>
      <c r="R19" s="4">
        <v>36453.830099999999</v>
      </c>
      <c r="S19" s="4">
        <v>124.65600000000001</v>
      </c>
      <c r="T19" s="4">
        <v>28.621300000000002</v>
      </c>
    </row>
    <row r="20" spans="1:20" x14ac:dyDescent="0.25">
      <c r="A20" s="3">
        <f t="shared" si="0"/>
        <v>44896</v>
      </c>
      <c r="B20" s="3">
        <f>EOMONTH(B19,1)-2</f>
        <v>44924</v>
      </c>
      <c r="C20" s="4">
        <v>112.1343</v>
      </c>
      <c r="D20" s="4">
        <v>63877.315499999997</v>
      </c>
      <c r="E20" s="4">
        <v>294.5052</v>
      </c>
      <c r="F20" s="4">
        <v>907.22709999999995</v>
      </c>
      <c r="G20" s="4">
        <v>18262.604200000002</v>
      </c>
      <c r="H20" s="4">
        <v>23139.346399999999</v>
      </c>
      <c r="I20" s="4">
        <v>44901.962899999999</v>
      </c>
      <c r="J20" s="4">
        <v>112.1343</v>
      </c>
      <c r="K20" s="4">
        <v>48.39</v>
      </c>
      <c r="L20" s="4">
        <v>112.008</v>
      </c>
      <c r="M20" s="4">
        <v>64063.188000000002</v>
      </c>
      <c r="N20" s="4">
        <v>295.87200000000001</v>
      </c>
      <c r="O20" s="4">
        <v>906.28250000000003</v>
      </c>
      <c r="P20" s="4">
        <v>18273.46</v>
      </c>
      <c r="Q20" s="4">
        <v>23190.583500000001</v>
      </c>
      <c r="R20" s="4">
        <v>36257.818299999999</v>
      </c>
      <c r="S20" s="4">
        <v>112.008</v>
      </c>
      <c r="T20" s="4">
        <v>28.522200000000002</v>
      </c>
    </row>
    <row r="21" spans="1:20" x14ac:dyDescent="0.25">
      <c r="A21" s="3">
        <f t="shared" si="0"/>
        <v>44927</v>
      </c>
      <c r="B21" s="3">
        <f>EOMONTH(B20,1)-1</f>
        <v>44956</v>
      </c>
      <c r="C21" s="4">
        <v>123.8171</v>
      </c>
      <c r="D21" s="4">
        <v>72023.734100000001</v>
      </c>
      <c r="E21" s="4">
        <v>314.05669999999998</v>
      </c>
      <c r="F21" s="4">
        <v>992.52890000000002</v>
      </c>
      <c r="G21" s="4">
        <v>19375.454099999999</v>
      </c>
      <c r="H21" s="4">
        <v>26438.0249</v>
      </c>
      <c r="I21" s="4">
        <v>48432.386299999998</v>
      </c>
      <c r="J21" s="4">
        <v>123.8171</v>
      </c>
      <c r="K21" s="4">
        <v>50.96</v>
      </c>
      <c r="L21" s="4">
        <v>125.226</v>
      </c>
      <c r="M21" s="4">
        <v>71989.440000000002</v>
      </c>
      <c r="N21" s="4">
        <v>315.315</v>
      </c>
      <c r="O21" s="4">
        <v>991.45</v>
      </c>
      <c r="P21" s="4">
        <v>19371.941999999999</v>
      </c>
      <c r="Q21" s="4">
        <v>26430.592499999999</v>
      </c>
      <c r="R21" s="4">
        <v>38212.876799999998</v>
      </c>
      <c r="S21" s="4">
        <v>125.226</v>
      </c>
      <c r="T21" s="4">
        <v>50.937600000000003</v>
      </c>
    </row>
    <row r="22" spans="1:20" x14ac:dyDescent="0.25">
      <c r="A22" s="3">
        <f t="shared" si="0"/>
        <v>44958</v>
      </c>
      <c r="B22" s="3">
        <f t="shared" si="1"/>
        <v>44985</v>
      </c>
      <c r="C22" s="4">
        <v>124.6521</v>
      </c>
      <c r="D22" s="4">
        <v>67782.029599999994</v>
      </c>
      <c r="E22" s="4">
        <v>326.33499999999998</v>
      </c>
      <c r="F22" s="4">
        <v>981.47329999999999</v>
      </c>
      <c r="G22" s="4">
        <v>18565.072700000001</v>
      </c>
      <c r="H22" s="4">
        <v>24413.548699999999</v>
      </c>
      <c r="I22" s="4">
        <v>48042.883800000003</v>
      </c>
      <c r="J22" s="4">
        <v>124.6521</v>
      </c>
      <c r="K22" s="4">
        <v>49.33</v>
      </c>
      <c r="L22" s="4">
        <v>123.42</v>
      </c>
      <c r="M22" s="4">
        <v>67786.259999999995</v>
      </c>
      <c r="N22" s="4">
        <v>328.09199999999998</v>
      </c>
      <c r="O22" s="4">
        <v>980.51250000000005</v>
      </c>
      <c r="P22" s="4">
        <v>18543.844000000001</v>
      </c>
      <c r="Q22" s="4">
        <v>24377.359499999999</v>
      </c>
      <c r="R22" s="4">
        <v>38660.8269</v>
      </c>
      <c r="S22" s="4">
        <v>123.42</v>
      </c>
      <c r="T22" s="4">
        <v>48.517299999999999</v>
      </c>
    </row>
    <row r="23" spans="1:20" x14ac:dyDescent="0.25">
      <c r="A23" s="3">
        <f t="shared" si="0"/>
        <v>44986</v>
      </c>
      <c r="B23" s="3">
        <f t="shared" si="1"/>
        <v>45016</v>
      </c>
      <c r="C23" s="4">
        <v>127.6156</v>
      </c>
      <c r="D23" s="4">
        <v>69835.351999999999</v>
      </c>
      <c r="E23" s="4">
        <v>360.30369999999999</v>
      </c>
      <c r="F23" s="4">
        <v>1003.1294</v>
      </c>
      <c r="G23" s="4">
        <v>18591.485799999999</v>
      </c>
      <c r="H23" s="4">
        <v>24707.736499999999</v>
      </c>
      <c r="I23" s="4">
        <v>50452.6011</v>
      </c>
      <c r="J23" s="4">
        <v>127.6156</v>
      </c>
      <c r="K23" s="4">
        <v>50.51</v>
      </c>
      <c r="L23" s="4">
        <v>126.492</v>
      </c>
      <c r="M23" s="4">
        <v>69847.763999999996</v>
      </c>
      <c r="N23" s="4">
        <v>359.37</v>
      </c>
      <c r="O23" s="4">
        <v>1002.54</v>
      </c>
      <c r="P23" s="4">
        <v>18578.407999999999</v>
      </c>
      <c r="Q23" s="4">
        <v>24664.473000000002</v>
      </c>
      <c r="R23" s="4">
        <v>39374.152399999999</v>
      </c>
      <c r="S23" s="4">
        <v>126.492</v>
      </c>
      <c r="T23" s="4">
        <v>50.1188</v>
      </c>
    </row>
    <row r="24" spans="1:20" x14ac:dyDescent="0.25">
      <c r="A24" s="3">
        <f t="shared" si="0"/>
        <v>45017</v>
      </c>
      <c r="B24" s="3">
        <f>EOMONTH(B23,1)-2</f>
        <v>45044</v>
      </c>
      <c r="C24" s="4">
        <v>129.1918</v>
      </c>
      <c r="D24" s="4">
        <v>69465.584099999993</v>
      </c>
      <c r="E24" s="4">
        <v>379.72559999999999</v>
      </c>
      <c r="F24" s="4">
        <v>1006.2421000000001</v>
      </c>
      <c r="G24" s="4">
        <v>17587.371299999999</v>
      </c>
      <c r="H24" s="4">
        <v>24506.741000000002</v>
      </c>
      <c r="I24" s="4">
        <v>51992.682399999998</v>
      </c>
      <c r="J24" s="4">
        <v>129.1918</v>
      </c>
      <c r="K24" s="4">
        <v>52.37</v>
      </c>
      <c r="L24" s="4">
        <v>128.733</v>
      </c>
      <c r="M24" s="4">
        <v>69547.127999999997</v>
      </c>
      <c r="N24" s="4">
        <v>382.98750000000001</v>
      </c>
      <c r="O24" s="4">
        <v>1008.19</v>
      </c>
      <c r="P24" s="4">
        <v>17592.099999999999</v>
      </c>
      <c r="Q24" s="4">
        <v>24458.2065</v>
      </c>
      <c r="R24" s="4">
        <v>40005.126799999998</v>
      </c>
      <c r="S24" s="4">
        <v>128.733</v>
      </c>
      <c r="T24" s="4">
        <v>52.554499999999997</v>
      </c>
    </row>
    <row r="25" spans="1:20" x14ac:dyDescent="0.25">
      <c r="A25" s="3">
        <f t="shared" si="0"/>
        <v>45047</v>
      </c>
      <c r="B25" s="3">
        <f t="shared" si="1"/>
        <v>45077</v>
      </c>
      <c r="C25" s="4">
        <v>114.505</v>
      </c>
      <c r="D25" s="4">
        <v>68229.626499999998</v>
      </c>
      <c r="E25" s="4">
        <v>429.04230000000001</v>
      </c>
      <c r="F25" s="4">
        <v>1014.3523</v>
      </c>
      <c r="G25" s="4">
        <v>16833.853999999999</v>
      </c>
      <c r="H25" s="4">
        <v>23415.105</v>
      </c>
      <c r="I25" s="4">
        <v>52036.142599999999</v>
      </c>
      <c r="J25" s="4">
        <v>114.505</v>
      </c>
      <c r="K25" s="4">
        <v>62.36</v>
      </c>
      <c r="L25" s="4">
        <v>113.30549999999999</v>
      </c>
      <c r="M25" s="4">
        <v>68115.528000000006</v>
      </c>
      <c r="N25" s="4">
        <v>431.5</v>
      </c>
      <c r="O25" s="4">
        <v>1016.4</v>
      </c>
      <c r="P25" s="4">
        <v>16839.756000000001</v>
      </c>
      <c r="Q25" s="4">
        <v>23320.7235</v>
      </c>
      <c r="R25" s="4">
        <v>40593.657899999998</v>
      </c>
      <c r="S25" s="4">
        <v>113.30549999999999</v>
      </c>
      <c r="T25" s="4">
        <v>61.4358</v>
      </c>
    </row>
    <row r="26" spans="1:20" x14ac:dyDescent="0.25">
      <c r="A26" s="3">
        <f t="shared" si="0"/>
        <v>45078</v>
      </c>
      <c r="B26" s="3">
        <f t="shared" si="1"/>
        <v>45107</v>
      </c>
      <c r="C26" s="4">
        <v>109.0716</v>
      </c>
      <c r="D26" s="4">
        <v>71123.566200000001</v>
      </c>
      <c r="E26" s="4">
        <v>439.85399999999998</v>
      </c>
      <c r="F26" s="4">
        <v>1254.7349999999999</v>
      </c>
      <c r="G26" s="4">
        <v>17802.556400000001</v>
      </c>
      <c r="H26" s="4">
        <v>23502.695500000002</v>
      </c>
      <c r="I26" s="4">
        <v>56481.948799999998</v>
      </c>
      <c r="J26" s="4">
        <v>109.0716</v>
      </c>
      <c r="K26" s="4">
        <v>67.010000000000005</v>
      </c>
      <c r="L26" s="4">
        <v>108.8075</v>
      </c>
      <c r="M26" s="4">
        <v>71273.34</v>
      </c>
      <c r="N26" s="4">
        <v>442.37400000000002</v>
      </c>
      <c r="O26" s="4">
        <v>1256.6125</v>
      </c>
      <c r="P26" s="4">
        <v>17806.464</v>
      </c>
      <c r="Q26" s="4">
        <v>23480.838</v>
      </c>
      <c r="R26" s="4">
        <v>42955.552799999998</v>
      </c>
      <c r="S26" s="4">
        <v>108.8075</v>
      </c>
      <c r="T26" s="4">
        <v>66.06</v>
      </c>
    </row>
    <row r="27" spans="1:20" x14ac:dyDescent="0.25">
      <c r="A27" s="3">
        <f t="shared" si="0"/>
        <v>45108</v>
      </c>
      <c r="B27" s="3">
        <f t="shared" si="1"/>
        <v>45138</v>
      </c>
      <c r="C27" s="4" cm="1">
        <f t="array" ref="C27">_xll.BDH(C$2,$C$1,$B27)</f>
        <v>115.5064</v>
      </c>
      <c r="D27" s="4" cm="1">
        <f t="array" ref="D27">_xll.BDH(D$2,$C$1,$B27)</f>
        <v>75690.907800000001</v>
      </c>
      <c r="E27" s="4" cm="1">
        <f t="array" ref="E27">_xll.BDH(E$2,$C$1,$B27)</f>
        <v>442.13909999999998</v>
      </c>
      <c r="F27" s="4" cm="1">
        <f t="array" ref="F27">_xll.BDH(F$2,$C$1,$B27)</f>
        <v>1541.7769000000001</v>
      </c>
      <c r="G27" s="4" cm="1">
        <f t="array" ref="G27">_xll.BDH(G$2,$C$1,$B27)</f>
        <v>18429.276699999999</v>
      </c>
      <c r="H27" s="4" cm="1">
        <f t="array" ref="H27">_xll.BDH(H$2,$C$1,$B27)</f>
        <v>24941.0962</v>
      </c>
      <c r="I27" s="4" cm="1">
        <f t="array" ref="I27">_xll.BDH(I$2,$C$1,$B27)</f>
        <v>59186.090300000003</v>
      </c>
      <c r="J27" s="4" cm="1">
        <f t="array" ref="J27">_xll.BDH(J$2,$C$1,$B27)</f>
        <v>115.5064</v>
      </c>
      <c r="K27" s="4" cm="1">
        <f t="array" ref="K27">_xll.BDH(K$2,$C$1,$B27)</f>
        <v>70.453999999999994</v>
      </c>
      <c r="L27" s="4" cm="1">
        <f t="array" ref="L27">_xll.BDH(L$2,$L$1,$B27)</f>
        <v>115.09</v>
      </c>
      <c r="M27" s="4" cm="1">
        <f t="array" ref="M27">_xll.BDH(M$2,$L$1,$B27)</f>
        <v>75743.945999999996</v>
      </c>
      <c r="N27" s="4" cm="1">
        <f t="array" ref="N27">_xll.BDH(N$2,$L$1,$B27)</f>
        <v>444.21</v>
      </c>
      <c r="O27" s="4" cm="1">
        <f t="array" ref="O27">_xll.BDH(O$2,$L$1,$B27)</f>
        <v>1544.4974999999999</v>
      </c>
      <c r="P27" s="4" cm="1">
        <f t="array" ref="P27">_xll.BDH(P$2,$L$1,$B27)</f>
        <v>18446.784</v>
      </c>
      <c r="Q27" s="4" cm="1">
        <f t="array" ref="Q27">_xll.BDH(Q$2,$L$1,$B27)</f>
        <v>24899.422500000001</v>
      </c>
      <c r="R27" s="4" cm="1">
        <f t="array" ref="R27">_xll.BDH(R$2,$L$1,$B27)</f>
        <v>44465.0507</v>
      </c>
      <c r="S27" s="4" cm="1">
        <f t="array" ref="S27">_xll.BDH(S$2,$L$1,$B27)</f>
        <v>115.09</v>
      </c>
      <c r="T27" s="4" cm="1">
        <f t="array" ref="T27">_xll.BDH(T$2,$L$1,$B27)</f>
        <v>69.209599999999995</v>
      </c>
    </row>
    <row r="28" spans="1:20" x14ac:dyDescent="0.25">
      <c r="C28" s="3"/>
    </row>
    <row r="29" spans="1:20" x14ac:dyDescent="0.25">
      <c r="C29" s="3"/>
    </row>
    <row r="30" spans="1:20" x14ac:dyDescent="0.25">
      <c r="C30" s="3"/>
    </row>
    <row r="31" spans="1:20" x14ac:dyDescent="0.25">
      <c r="C31" s="3"/>
    </row>
    <row r="32" spans="1:20" x14ac:dyDescent="0.25">
      <c r="C32" s="3"/>
    </row>
    <row r="33" spans="3:3" x14ac:dyDescent="0.25">
      <c r="C33" s="3"/>
    </row>
    <row r="34" spans="3:3" x14ac:dyDescent="0.25">
      <c r="C34" s="3"/>
    </row>
    <row r="35" spans="3:3" x14ac:dyDescent="0.25">
      <c r="C35" s="3"/>
    </row>
    <row r="36" spans="3:3" x14ac:dyDescent="0.25">
      <c r="C36" s="3"/>
    </row>
    <row r="37" spans="3:3" x14ac:dyDescent="0.25">
      <c r="C37" s="3"/>
    </row>
    <row r="38" spans="3:3" x14ac:dyDescent="0.25">
      <c r="C38" s="3"/>
    </row>
    <row r="39" spans="3:3" x14ac:dyDescent="0.25">
      <c r="C39" s="3"/>
    </row>
    <row r="40" spans="3:3" x14ac:dyDescent="0.25">
      <c r="C40" s="3"/>
    </row>
    <row r="41" spans="3:3" x14ac:dyDescent="0.25">
      <c r="C41" s="3"/>
    </row>
    <row r="42" spans="3:3" x14ac:dyDescent="0.25">
      <c r="C42" s="3"/>
    </row>
    <row r="43" spans="3:3" x14ac:dyDescent="0.25">
      <c r="C43" s="3"/>
    </row>
    <row r="44" spans="3:3" x14ac:dyDescent="0.25">
      <c r="C44" s="3"/>
    </row>
    <row r="45" spans="3:3" x14ac:dyDescent="0.25">
      <c r="C45" s="3"/>
    </row>
    <row r="46" spans="3:3" x14ac:dyDescent="0.25">
      <c r="C46" s="3"/>
    </row>
    <row r="47" spans="3:3" x14ac:dyDescent="0.25">
      <c r="C47" s="3"/>
    </row>
    <row r="48" spans="3:3" x14ac:dyDescent="0.25">
      <c r="C48" s="3"/>
    </row>
    <row r="49" spans="3:3" x14ac:dyDescent="0.25">
      <c r="C49" s="3"/>
    </row>
    <row r="50" spans="3:3" x14ac:dyDescent="0.25">
      <c r="C50" s="3"/>
    </row>
    <row r="51" spans="3:3" x14ac:dyDescent="0.25">
      <c r="C51" s="3"/>
    </row>
    <row r="52" spans="3:3" x14ac:dyDescent="0.25">
      <c r="C52" s="3"/>
    </row>
    <row r="53" spans="3:3" x14ac:dyDescent="0.25">
      <c r="C53" s="3"/>
    </row>
    <row r="54" spans="3:3" x14ac:dyDescent="0.25">
      <c r="C54" s="3"/>
    </row>
    <row r="55" spans="3:3" x14ac:dyDescent="0.25">
      <c r="C55" s="3"/>
    </row>
    <row r="56" spans="3:3" x14ac:dyDescent="0.25">
      <c r="C56" s="3"/>
    </row>
    <row r="57" spans="3:3" x14ac:dyDescent="0.25">
      <c r="C57" s="3"/>
    </row>
    <row r="58" spans="3:3" x14ac:dyDescent="0.25">
      <c r="C58" s="3"/>
    </row>
    <row r="59" spans="3:3" x14ac:dyDescent="0.25">
      <c r="C59" s="3"/>
    </row>
    <row r="60" spans="3:3" x14ac:dyDescent="0.25">
      <c r="C60" s="3"/>
    </row>
    <row r="61" spans="3:3" x14ac:dyDescent="0.25">
      <c r="C61" s="3"/>
    </row>
    <row r="62" spans="3:3" x14ac:dyDescent="0.25">
      <c r="C62" s="3"/>
    </row>
    <row r="63" spans="3:3" x14ac:dyDescent="0.25">
      <c r="C63" s="3"/>
    </row>
    <row r="64" spans="3:3" x14ac:dyDescent="0.25">
      <c r="C64" s="3"/>
    </row>
    <row r="65" spans="3:3" x14ac:dyDescent="0.25">
      <c r="C65" s="3"/>
    </row>
    <row r="66" spans="3:3" x14ac:dyDescent="0.25">
      <c r="C66" s="3"/>
    </row>
    <row r="67" spans="3:3" x14ac:dyDescent="0.25">
      <c r="C67" s="3"/>
    </row>
    <row r="68" spans="3:3" x14ac:dyDescent="0.25">
      <c r="C68" s="3"/>
    </row>
    <row r="69" spans="3:3" x14ac:dyDescent="0.25">
      <c r="C69" s="3"/>
    </row>
    <row r="70" spans="3:3" x14ac:dyDescent="0.25">
      <c r="C70" s="3"/>
    </row>
    <row r="71" spans="3:3" x14ac:dyDescent="0.25">
      <c r="C71" s="3"/>
    </row>
    <row r="72" spans="3:3" x14ac:dyDescent="0.25">
      <c r="C72" s="3"/>
    </row>
    <row r="73" spans="3:3" x14ac:dyDescent="0.25">
      <c r="C73" s="3"/>
    </row>
    <row r="74" spans="3:3" x14ac:dyDescent="0.25">
      <c r="C74" s="3"/>
    </row>
    <row r="75" spans="3:3" x14ac:dyDescent="0.25">
      <c r="C75" s="3"/>
    </row>
    <row r="76" spans="3:3" x14ac:dyDescent="0.25">
      <c r="C76" s="3"/>
    </row>
    <row r="77" spans="3:3" x14ac:dyDescent="0.25">
      <c r="C77" s="3"/>
    </row>
    <row r="78" spans="3:3" x14ac:dyDescent="0.25">
      <c r="C78" s="3"/>
    </row>
    <row r="79" spans="3:3" x14ac:dyDescent="0.25">
      <c r="C79" s="3"/>
    </row>
    <row r="80" spans="3:3" x14ac:dyDescent="0.25">
      <c r="C80" s="3"/>
    </row>
    <row r="81" spans="3:3" x14ac:dyDescent="0.25">
      <c r="C81" s="3"/>
    </row>
    <row r="82" spans="3:3" x14ac:dyDescent="0.25">
      <c r="C82" s="3"/>
    </row>
    <row r="83" spans="3:3" x14ac:dyDescent="0.25">
      <c r="C83" s="3"/>
    </row>
    <row r="84" spans="3:3" x14ac:dyDescent="0.25">
      <c r="C84" s="3"/>
    </row>
    <row r="85" spans="3:3" x14ac:dyDescent="0.25">
      <c r="C85" s="3"/>
    </row>
    <row r="86" spans="3:3" x14ac:dyDescent="0.25">
      <c r="C86" s="3"/>
    </row>
    <row r="87" spans="3:3" x14ac:dyDescent="0.25">
      <c r="C87" s="3"/>
    </row>
    <row r="88" spans="3:3" x14ac:dyDescent="0.25">
      <c r="C88" s="3"/>
    </row>
    <row r="89" spans="3:3" x14ac:dyDescent="0.25">
      <c r="C89" s="3"/>
    </row>
    <row r="90" spans="3:3" x14ac:dyDescent="0.25">
      <c r="C90" s="3"/>
    </row>
    <row r="91" spans="3:3" x14ac:dyDescent="0.25">
      <c r="C91" s="3"/>
    </row>
    <row r="92" spans="3:3" x14ac:dyDescent="0.25">
      <c r="C92" s="3"/>
    </row>
    <row r="93" spans="3:3" x14ac:dyDescent="0.25">
      <c r="C93" s="3"/>
    </row>
    <row r="94" spans="3:3" x14ac:dyDescent="0.25">
      <c r="C94" s="3"/>
    </row>
    <row r="95" spans="3:3" x14ac:dyDescent="0.25">
      <c r="C95" s="3"/>
    </row>
    <row r="96" spans="3:3" x14ac:dyDescent="0.25">
      <c r="C96" s="3"/>
    </row>
    <row r="97" spans="3:3" x14ac:dyDescent="0.25">
      <c r="C97" s="3"/>
    </row>
    <row r="98" spans="3:3" x14ac:dyDescent="0.25">
      <c r="C98" s="3"/>
    </row>
    <row r="99" spans="3:3" x14ac:dyDescent="0.25">
      <c r="C99" s="3"/>
    </row>
    <row r="100" spans="3:3" x14ac:dyDescent="0.25">
      <c r="C100" s="3"/>
    </row>
    <row r="101" spans="3:3" x14ac:dyDescent="0.25">
      <c r="C101" s="3"/>
    </row>
    <row r="102" spans="3:3" x14ac:dyDescent="0.25">
      <c r="C102" s="3"/>
    </row>
    <row r="103" spans="3:3" x14ac:dyDescent="0.25">
      <c r="C103" s="3"/>
    </row>
    <row r="104" spans="3:3" x14ac:dyDescent="0.25">
      <c r="C104" s="3"/>
    </row>
    <row r="105" spans="3:3" x14ac:dyDescent="0.25">
      <c r="C105" s="3"/>
    </row>
    <row r="106" spans="3:3" x14ac:dyDescent="0.25">
      <c r="C106" s="3"/>
    </row>
    <row r="107" spans="3:3" x14ac:dyDescent="0.25">
      <c r="C107" s="3"/>
    </row>
    <row r="108" spans="3:3" x14ac:dyDescent="0.25">
      <c r="C108" s="3"/>
    </row>
    <row r="109" spans="3:3" x14ac:dyDescent="0.25">
      <c r="C109" s="3"/>
    </row>
    <row r="110" spans="3:3" x14ac:dyDescent="0.25">
      <c r="C110" s="3"/>
    </row>
    <row r="111" spans="3:3" x14ac:dyDescent="0.25">
      <c r="C111" s="3"/>
    </row>
    <row r="112" spans="3:3" x14ac:dyDescent="0.25">
      <c r="C112" s="3"/>
    </row>
    <row r="113" spans="3:3" x14ac:dyDescent="0.25">
      <c r="C113" s="3"/>
    </row>
    <row r="114" spans="3:3" x14ac:dyDescent="0.25">
      <c r="C114" s="3"/>
    </row>
    <row r="115" spans="3:3" x14ac:dyDescent="0.25">
      <c r="C115" s="3"/>
    </row>
    <row r="116" spans="3:3" x14ac:dyDescent="0.25">
      <c r="C116" s="3"/>
    </row>
    <row r="117" spans="3:3" x14ac:dyDescent="0.25">
      <c r="C117" s="3"/>
    </row>
    <row r="118" spans="3:3" x14ac:dyDescent="0.25">
      <c r="C118" s="3"/>
    </row>
    <row r="119" spans="3:3" x14ac:dyDescent="0.25">
      <c r="C119" s="3"/>
    </row>
    <row r="120" spans="3:3" x14ac:dyDescent="0.25">
      <c r="C120" s="3"/>
    </row>
    <row r="121" spans="3:3" x14ac:dyDescent="0.25">
      <c r="C121" s="3"/>
    </row>
    <row r="122" spans="3:3" x14ac:dyDescent="0.25">
      <c r="C122" s="3"/>
    </row>
    <row r="123" spans="3:3" x14ac:dyDescent="0.25">
      <c r="C123" s="3"/>
    </row>
    <row r="124" spans="3:3" x14ac:dyDescent="0.25">
      <c r="C124" s="3"/>
    </row>
    <row r="125" spans="3:3" x14ac:dyDescent="0.25">
      <c r="C125" s="3"/>
    </row>
    <row r="126" spans="3:3" x14ac:dyDescent="0.25">
      <c r="C126" s="3"/>
    </row>
    <row r="127" spans="3:3" x14ac:dyDescent="0.25">
      <c r="C127" s="3"/>
    </row>
    <row r="128" spans="3:3" x14ac:dyDescent="0.25">
      <c r="C128" s="3"/>
    </row>
    <row r="129" spans="3:3" x14ac:dyDescent="0.25">
      <c r="C129" s="3"/>
    </row>
    <row r="130" spans="3:3" x14ac:dyDescent="0.25">
      <c r="C130" s="3"/>
    </row>
    <row r="131" spans="3:3" x14ac:dyDescent="0.25">
      <c r="C131" s="3"/>
    </row>
    <row r="132" spans="3:3" x14ac:dyDescent="0.25">
      <c r="C132" s="3"/>
    </row>
    <row r="133" spans="3:3" x14ac:dyDescent="0.25">
      <c r="C133" s="3"/>
    </row>
    <row r="134" spans="3:3" x14ac:dyDescent="0.25">
      <c r="C134" s="3"/>
    </row>
    <row r="135" spans="3:3" x14ac:dyDescent="0.25">
      <c r="C135" s="3"/>
    </row>
    <row r="136" spans="3:3" x14ac:dyDescent="0.25">
      <c r="C136" s="3"/>
    </row>
    <row r="137" spans="3:3" x14ac:dyDescent="0.25">
      <c r="C137" s="3"/>
    </row>
    <row r="138" spans="3:3" x14ac:dyDescent="0.25">
      <c r="C138" s="3"/>
    </row>
    <row r="139" spans="3:3" x14ac:dyDescent="0.25">
      <c r="C139" s="3"/>
    </row>
    <row r="140" spans="3:3" x14ac:dyDescent="0.25">
      <c r="C140" s="3"/>
    </row>
    <row r="141" spans="3:3" x14ac:dyDescent="0.25">
      <c r="C141" s="3"/>
    </row>
    <row r="142" spans="3:3" x14ac:dyDescent="0.25">
      <c r="C142" s="3"/>
    </row>
    <row r="143" spans="3:3" x14ac:dyDescent="0.25">
      <c r="C143" s="3"/>
    </row>
    <row r="144" spans="3:3" x14ac:dyDescent="0.25">
      <c r="C144" s="3"/>
    </row>
    <row r="145" spans="3:3" x14ac:dyDescent="0.25">
      <c r="C145" s="3"/>
    </row>
    <row r="146" spans="3:3" x14ac:dyDescent="0.25">
      <c r="C146" s="3"/>
    </row>
    <row r="147" spans="3:3" x14ac:dyDescent="0.25">
      <c r="C147" s="3"/>
    </row>
    <row r="148" spans="3:3" x14ac:dyDescent="0.25">
      <c r="C148" s="3"/>
    </row>
    <row r="149" spans="3:3" x14ac:dyDescent="0.25">
      <c r="C149" s="3"/>
    </row>
    <row r="150" spans="3:3" x14ac:dyDescent="0.25">
      <c r="C150" s="3"/>
    </row>
    <row r="151" spans="3:3" x14ac:dyDescent="0.25">
      <c r="C151" s="3"/>
    </row>
    <row r="152" spans="3:3" x14ac:dyDescent="0.25">
      <c r="C152" s="3"/>
    </row>
    <row r="153" spans="3:3" x14ac:dyDescent="0.25">
      <c r="C153" s="3"/>
    </row>
    <row r="154" spans="3:3" x14ac:dyDescent="0.25">
      <c r="C154" s="3"/>
    </row>
    <row r="155" spans="3:3" x14ac:dyDescent="0.25">
      <c r="C155" s="3"/>
    </row>
    <row r="156" spans="3:3" x14ac:dyDescent="0.25">
      <c r="C156" s="3"/>
    </row>
    <row r="157" spans="3:3" x14ac:dyDescent="0.25">
      <c r="C157" s="3"/>
    </row>
    <row r="158" spans="3:3" x14ac:dyDescent="0.25">
      <c r="C158" s="3"/>
    </row>
    <row r="159" spans="3:3" x14ac:dyDescent="0.25">
      <c r="C159" s="3"/>
    </row>
    <row r="160" spans="3:3" x14ac:dyDescent="0.25">
      <c r="C160" s="3"/>
    </row>
    <row r="161" spans="3:3" x14ac:dyDescent="0.25">
      <c r="C161" s="3"/>
    </row>
    <row r="162" spans="3:3" x14ac:dyDescent="0.25">
      <c r="C162" s="3"/>
    </row>
    <row r="163" spans="3:3" x14ac:dyDescent="0.25">
      <c r="C163" s="3"/>
    </row>
    <row r="164" spans="3:3" x14ac:dyDescent="0.25">
      <c r="C164" s="3"/>
    </row>
    <row r="165" spans="3:3" x14ac:dyDescent="0.25">
      <c r="C165" s="3"/>
    </row>
    <row r="166" spans="3:3" x14ac:dyDescent="0.25">
      <c r="C166" s="3"/>
    </row>
    <row r="167" spans="3:3" x14ac:dyDescent="0.25">
      <c r="C167" s="3"/>
    </row>
    <row r="168" spans="3:3" x14ac:dyDescent="0.25">
      <c r="C168" s="3"/>
    </row>
    <row r="169" spans="3:3" x14ac:dyDescent="0.25">
      <c r="C169" s="3"/>
    </row>
    <row r="170" spans="3:3" x14ac:dyDescent="0.25">
      <c r="C170" s="3"/>
    </row>
    <row r="171" spans="3:3" x14ac:dyDescent="0.25">
      <c r="C171" s="3"/>
    </row>
    <row r="172" spans="3:3" x14ac:dyDescent="0.25">
      <c r="C172" s="3"/>
    </row>
    <row r="173" spans="3:3" x14ac:dyDescent="0.25">
      <c r="C173" s="3"/>
    </row>
    <row r="174" spans="3:3" x14ac:dyDescent="0.25">
      <c r="C174" s="3"/>
    </row>
    <row r="175" spans="3:3" x14ac:dyDescent="0.25">
      <c r="C175" s="3"/>
    </row>
    <row r="176" spans="3:3" x14ac:dyDescent="0.25">
      <c r="C176" s="3"/>
    </row>
    <row r="177" spans="3:3" x14ac:dyDescent="0.25">
      <c r="C177" s="3"/>
    </row>
    <row r="178" spans="3:3" x14ac:dyDescent="0.25">
      <c r="C178" s="3"/>
    </row>
    <row r="179" spans="3:3" x14ac:dyDescent="0.25">
      <c r="C179" s="3"/>
    </row>
    <row r="180" spans="3:3" x14ac:dyDescent="0.25">
      <c r="C180" s="3"/>
    </row>
    <row r="181" spans="3:3" x14ac:dyDescent="0.25">
      <c r="C181" s="3"/>
    </row>
    <row r="182" spans="3:3" x14ac:dyDescent="0.25">
      <c r="C182" s="3"/>
    </row>
    <row r="183" spans="3:3" x14ac:dyDescent="0.25">
      <c r="C183" s="3"/>
    </row>
    <row r="184" spans="3:3" x14ac:dyDescent="0.25">
      <c r="C184" s="3"/>
    </row>
    <row r="185" spans="3:3" x14ac:dyDescent="0.25">
      <c r="C185" s="3"/>
    </row>
    <row r="186" spans="3:3" x14ac:dyDescent="0.25">
      <c r="C186" s="3"/>
    </row>
    <row r="187" spans="3:3" x14ac:dyDescent="0.25">
      <c r="C187" s="3"/>
    </row>
    <row r="188" spans="3:3" x14ac:dyDescent="0.25">
      <c r="C188" s="3"/>
    </row>
    <row r="189" spans="3:3" x14ac:dyDescent="0.25">
      <c r="C189" s="3"/>
    </row>
    <row r="190" spans="3:3" x14ac:dyDescent="0.25">
      <c r="C190" s="3"/>
    </row>
    <row r="191" spans="3:3" x14ac:dyDescent="0.25">
      <c r="C191" s="3"/>
    </row>
    <row r="192" spans="3:3" x14ac:dyDescent="0.25">
      <c r="C192" s="3"/>
    </row>
    <row r="193" spans="3:3" x14ac:dyDescent="0.25">
      <c r="C193" s="3"/>
    </row>
    <row r="194" spans="3:3" x14ac:dyDescent="0.25">
      <c r="C194" s="3"/>
    </row>
    <row r="195" spans="3:3" x14ac:dyDescent="0.25">
      <c r="C195" s="3"/>
    </row>
    <row r="196" spans="3:3" x14ac:dyDescent="0.25">
      <c r="C196" s="3"/>
    </row>
    <row r="197" spans="3:3" x14ac:dyDescent="0.25">
      <c r="C197" s="3"/>
    </row>
    <row r="198" spans="3:3" x14ac:dyDescent="0.25">
      <c r="C198" s="3"/>
    </row>
    <row r="199" spans="3:3" x14ac:dyDescent="0.25">
      <c r="C199" s="3"/>
    </row>
    <row r="200" spans="3:3" x14ac:dyDescent="0.25">
      <c r="C200" s="3"/>
    </row>
    <row r="201" spans="3:3" x14ac:dyDescent="0.25">
      <c r="C201" s="3"/>
    </row>
    <row r="202" spans="3:3" x14ac:dyDescent="0.25">
      <c r="C202" s="3"/>
    </row>
    <row r="203" spans="3:3" x14ac:dyDescent="0.25">
      <c r="C203" s="3"/>
    </row>
    <row r="204" spans="3:3" x14ac:dyDescent="0.25">
      <c r="C204" s="3"/>
    </row>
    <row r="205" spans="3:3" x14ac:dyDescent="0.25">
      <c r="C205" s="3"/>
    </row>
    <row r="206" spans="3:3" x14ac:dyDescent="0.25">
      <c r="C206" s="3"/>
    </row>
    <row r="207" spans="3:3" x14ac:dyDescent="0.25">
      <c r="C207" s="3"/>
    </row>
    <row r="208" spans="3:3" x14ac:dyDescent="0.25">
      <c r="C208" s="3"/>
    </row>
    <row r="209" spans="3:3" x14ac:dyDescent="0.25">
      <c r="C209" s="3"/>
    </row>
    <row r="210" spans="3:3" x14ac:dyDescent="0.25">
      <c r="C210" s="3"/>
    </row>
    <row r="211" spans="3:3" x14ac:dyDescent="0.25">
      <c r="C211" s="3"/>
    </row>
    <row r="212" spans="3:3" x14ac:dyDescent="0.25">
      <c r="C212" s="3"/>
    </row>
    <row r="213" spans="3:3" x14ac:dyDescent="0.25">
      <c r="C213" s="3"/>
    </row>
    <row r="214" spans="3:3" x14ac:dyDescent="0.25">
      <c r="C214" s="3"/>
    </row>
    <row r="215" spans="3:3" x14ac:dyDescent="0.25">
      <c r="C215" s="3"/>
    </row>
    <row r="216" spans="3:3" x14ac:dyDescent="0.25">
      <c r="C216" s="3"/>
    </row>
    <row r="217" spans="3:3" x14ac:dyDescent="0.25">
      <c r="C217" s="3"/>
    </row>
    <row r="218" spans="3:3" x14ac:dyDescent="0.25">
      <c r="C218" s="3"/>
    </row>
    <row r="219" spans="3:3" x14ac:dyDescent="0.25">
      <c r="C219" s="3"/>
    </row>
    <row r="220" spans="3:3" x14ac:dyDescent="0.25">
      <c r="C220" s="3"/>
    </row>
    <row r="221" spans="3:3" x14ac:dyDescent="0.25">
      <c r="C221" s="3"/>
    </row>
    <row r="222" spans="3:3" x14ac:dyDescent="0.25">
      <c r="C222" s="3"/>
    </row>
    <row r="223" spans="3:3" x14ac:dyDescent="0.25">
      <c r="C223" s="3"/>
    </row>
    <row r="224" spans="3:3" x14ac:dyDescent="0.25">
      <c r="C224" s="3"/>
    </row>
    <row r="225" spans="3:3" x14ac:dyDescent="0.25">
      <c r="C225" s="3"/>
    </row>
    <row r="226" spans="3:3" x14ac:dyDescent="0.25">
      <c r="C226" s="3"/>
    </row>
    <row r="227" spans="3:3" x14ac:dyDescent="0.25">
      <c r="C227" s="3"/>
    </row>
    <row r="228" spans="3:3" x14ac:dyDescent="0.25">
      <c r="C228" s="3"/>
    </row>
    <row r="229" spans="3:3" x14ac:dyDescent="0.25">
      <c r="C229" s="3"/>
    </row>
    <row r="230" spans="3:3" x14ac:dyDescent="0.25">
      <c r="C230" s="3"/>
    </row>
    <row r="231" spans="3:3" x14ac:dyDescent="0.25">
      <c r="C231" s="3"/>
    </row>
    <row r="232" spans="3:3" x14ac:dyDescent="0.25">
      <c r="C232" s="3"/>
    </row>
    <row r="233" spans="3:3" x14ac:dyDescent="0.25">
      <c r="C233" s="3"/>
    </row>
    <row r="234" spans="3:3" x14ac:dyDescent="0.25">
      <c r="C234" s="3"/>
    </row>
    <row r="235" spans="3:3" x14ac:dyDescent="0.25">
      <c r="C235" s="3"/>
    </row>
    <row r="236" spans="3:3" x14ac:dyDescent="0.25">
      <c r="C236" s="3"/>
    </row>
    <row r="237" spans="3:3" x14ac:dyDescent="0.25">
      <c r="C237" s="3"/>
    </row>
    <row r="238" spans="3:3" x14ac:dyDescent="0.25">
      <c r="C238" s="3"/>
    </row>
    <row r="239" spans="3:3" x14ac:dyDescent="0.25">
      <c r="C239" s="3"/>
    </row>
    <row r="240" spans="3:3" x14ac:dyDescent="0.25">
      <c r="C240" s="3"/>
    </row>
    <row r="241" spans="3:3" x14ac:dyDescent="0.25">
      <c r="C241" s="3"/>
    </row>
    <row r="242" spans="3:3" x14ac:dyDescent="0.25">
      <c r="C242" s="3"/>
    </row>
    <row r="243" spans="3:3" x14ac:dyDescent="0.25">
      <c r="C243" s="3"/>
    </row>
    <row r="244" spans="3:3" x14ac:dyDescent="0.25">
      <c r="C244" s="3"/>
    </row>
    <row r="245" spans="3:3" x14ac:dyDescent="0.25">
      <c r="C245" s="3"/>
    </row>
    <row r="246" spans="3:3" x14ac:dyDescent="0.25">
      <c r="C246" s="3"/>
    </row>
    <row r="247" spans="3:3" x14ac:dyDescent="0.25">
      <c r="C247" s="3"/>
    </row>
    <row r="248" spans="3:3" x14ac:dyDescent="0.25">
      <c r="C248" s="3"/>
    </row>
    <row r="249" spans="3:3" x14ac:dyDescent="0.25">
      <c r="C249" s="3"/>
    </row>
    <row r="250" spans="3:3" x14ac:dyDescent="0.25">
      <c r="C250" s="3"/>
    </row>
    <row r="251" spans="3:3" x14ac:dyDescent="0.25">
      <c r="C251" s="3"/>
    </row>
    <row r="252" spans="3:3" x14ac:dyDescent="0.25">
      <c r="C252" s="3"/>
    </row>
    <row r="253" spans="3:3" x14ac:dyDescent="0.25">
      <c r="C25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MKT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Andres Neyra Chavez</cp:lastModifiedBy>
  <dcterms:created xsi:type="dcterms:W3CDTF">2023-07-06T15:18:18Z</dcterms:created>
  <dcterms:modified xsi:type="dcterms:W3CDTF">2026-07-22T22:13:48Z</dcterms:modified>
</cp:coreProperties>
</file>